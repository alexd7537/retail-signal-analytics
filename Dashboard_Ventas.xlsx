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tables/table4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bd427dcf2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730fd3d30a640ee"/>
    <x:sheet xmlns:r="http://schemas.openxmlformats.org/officeDocument/2006/relationships" name="Filtros" sheetId="2" r:id="R8f62d88ce70449c8"/>
    <x:sheet xmlns:r="http://schemas.openxmlformats.org/officeDocument/2006/relationships" name="Datos" sheetId="3" r:id="Rde6307e7de324475"/>
    <x:sheet xmlns:r="http://schemas.openxmlformats.org/officeDocument/2006/relationships" name="Validación" sheetId="4" r:id="Ra300f1a2aa2248b6"/>
    <x:sheet xmlns:r="http://schemas.openxmlformats.org/officeDocument/2006/relationships" name="Productos" sheetId="5" r:id="R016c0d00e1e045f6"/>
    <x:sheet xmlns:r="http://schemas.openxmlformats.org/officeDocument/2006/relationships" name="Clientes" sheetId="6" r:id="R31b65612e5e047c3"/>
    <x:sheet xmlns:r="http://schemas.openxmlformats.org/officeDocument/2006/relationships" name="Países" sheetId="7" r:id="R349162843c0346cb"/>
    <x:sheet xmlns:r="http://schemas.openxmlformats.org/officeDocument/2006/relationships" name="Guía" sheetId="8" r:id="R584bbf0c65b9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£&quot;#,##0.00;[Red](&quot;£&quot;#,##0.00)"/>
    <x:numFmt numFmtId="201" formatCode="#,##0"/>
    <x:numFmt numFmtId="202" formatCode="0.0%"/>
    <x:numFmt numFmtId="203" formatCode="dd/mm/yyyy"/>
    <x:numFmt numFmtId="204" formatCode="&quot;£&quot;#,##0.000"/>
  </x:numFmts>
  <x:fonts count="14">
    <x:font>
      <x:sz val="11"/>
      <x:name val="Carlito"/>
    </x:font>
    <x:font>
      <x:sz val="10"/>
      <x:color rgb="FF153C3C"/>
      <x:name val="Arial"/>
    </x:font>
    <x:font>
      <x:b/>
      <x:sz val="10"/>
      <x:color rgb="FF167C73"/>
      <x:name val="Arial"/>
    </x:font>
    <x:font>
      <x:b/>
      <x:sz val="20"/>
      <x:color rgb="FF153C3C"/>
      <x:name val="Arial"/>
    </x:font>
    <x:font>
      <x:sz val="10"/>
      <x:color rgb="FF657674"/>
      <x:name val="Arial"/>
    </x:font>
    <x:font>
      <x:b/>
      <x:sz val="10"/>
      <x:color rgb="FFFFFFFF"/>
      <x:name val="Arial"/>
    </x:font>
    <x:font>
      <x:b/>
      <x:sz val="9"/>
      <x:color rgb="FF153C3C"/>
      <x:name val="Arial"/>
    </x:font>
    <x:font>
      <x:b/>
      <x:sz val="22"/>
      <x:color rgb="FF153C3C"/>
      <x:name val="Arial"/>
    </x:font>
    <x:font>
      <x:b/>
      <x:sz val="9"/>
      <x:color rgb="FFFFFFFF"/>
      <x:name val="Arial"/>
    </x:font>
    <x:font>
      <x:sz val="10"/>
      <x:color rgb="FFFFFFFF"/>
      <x:name val="Arial"/>
    </x:font>
    <x:font>
      <x:b/>
      <x:sz val="22"/>
      <x:color rgb="FFFFFFFF"/>
      <x:name val="Arial"/>
    </x:font>
    <x:font>
      <x:b/>
      <x:sz val="9"/>
      <x:color rgb="FFD76B50"/>
      <x:name val="Arial"/>
    </x:font>
    <x:font>
      <x:sz val="10"/>
      <x:color rgb="FFD76B50"/>
      <x:name val="Arial"/>
    </x:font>
    <x:font>
      <x:sz val="10"/>
      <x:color rgb="FF167C7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5F3ED"/>
      </x:patternFill>
    </x:fill>
    <x:fill>
      <x:patternFill patternType="solid">
        <x:fgColor rgb="FFFFF2CC"/>
      </x:patternFill>
    </x:fill>
    <x:fill>
      <x:patternFill patternType="solid">
        <x:fgColor rgb="FF153C3C"/>
      </x:patternFill>
    </x:fill>
    <x:fill>
      <x:patternFill patternType="solid">
        <x:fgColor rgb="FFFFFFFF"/>
      </x:patternFill>
    </x:fill>
  </x:fills>
  <x:borders count="3">
    <x:border/>
    <x:border>
      <x:bottom style="thin">
        <x:color rgb="FFD9E3DB"/>
      </x:bottom>
    </x:border>
    <x:border>
      <x:top style="medium">
        <x:color rgb="FFE9F2ED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7" fillId="2" borderId="0" xfId="0" applyNumberFormat="1" applyFont="1" applyFill="1" applyBorder="1" applyAlignment="1">
      <x:alignment horizontal="left" vertical="center"/>
    </x:xf>
    <x:xf numFmtId="201" fontId="1" fillId="2" borderId="0" xfId="0" applyNumberFormat="1" applyFont="1" applyFill="1" applyBorder="1" applyAlignment="1">
      <x:alignment horizontal="left" vertical="center"/>
    </x:xf>
    <x:xf numFmtId="201" fontId="7" fillId="2" borderId="0" xfId="0" applyNumberFormat="1" applyFont="1" applyFill="1" applyBorder="1" applyAlignment="1">
      <x:alignment horizontal="left" vertical="center"/>
    </x:xf>
    <x:xf numFmtId="202" fontId="1" fillId="2" borderId="0" xfId="0" applyNumberFormat="1" applyFont="1" applyFill="1" applyBorder="1" applyAlignment="1">
      <x:alignment horizontal="left" vertical="center"/>
    </x:xf>
    <x:xf numFmtId="202" fontId="7" fillId="2" borderId="0" xfId="0" applyNumberFormat="1" applyFont="1" applyFill="1" applyBorder="1" applyAlignment="1">
      <x:alignment horizontal="left" vertical="center"/>
    </x:xf>
    <x:xf numFmtId="0" fontId="6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horizontal="left" vertical="center"/>
    </x:xf>
    <x:xf numFmtId="0" fontId="6" fillId="5" borderId="2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horizontal="left" vertical="center"/>
    </x:xf>
    <x:xf numFmtId="202" fontId="7" fillId="5" borderId="0" xfId="0" applyNumberFormat="1" applyFont="1" applyFill="1" applyBorder="1" applyAlignment="1">
      <x:alignment horizontal="left" vertical="center"/>
    </x:xf>
    <x:xf numFmtId="0" fontId="6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8" fillId="4" borderId="2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vertical="center"/>
    </x:xf>
    <x:xf numFmtId="200" fontId="10" fillId="4" borderId="0" xfId="0" applyNumberFormat="1" applyFont="1" applyFill="1" applyBorder="1" applyAlignment="1">
      <x:alignment horizontal="left" vertical="center"/>
    </x:xf>
    <x:xf numFmtId="0" fontId="9" fillId="4" borderId="0" xfId="0" applyNumberFormat="1" applyFont="1" applyFill="1" applyBorder="1" applyAlignment="1">
      <x:alignment horizontal="left" vertical="center"/>
    </x:xf>
    <x:xf numFmtId="0" fontId="11" fillId="5" borderId="2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3" fontId="1" fillId="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4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A52A2A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1e0e9c8d047ce" /><Relationship Type="http://schemas.openxmlformats.org/officeDocument/2006/relationships/theme" Target="/xl/theme/theme1.xml" Id="R8a42457d17174331" /><Relationship Type="http://schemas.openxmlformats.org/officeDocument/2006/relationships/sharedStrings" Target="/xl/sharedStrings.xml" Id="Re250b15bac5e42fe" /><Relationship Type="http://schemas.openxmlformats.org/officeDocument/2006/relationships/worksheet" Target="/xl/worksheets/sheet1.xml" Id="R7730fd3d30a640ee" /><Relationship Type="http://schemas.openxmlformats.org/officeDocument/2006/relationships/worksheet" Target="/xl/worksheets/sheet2.xml" Id="R8f62d88ce70449c8" /><Relationship Type="http://schemas.openxmlformats.org/officeDocument/2006/relationships/worksheet" Target="/xl/worksheets/sheet3.xml" Id="Rde6307e7de324475" /><Relationship Type="http://schemas.openxmlformats.org/officeDocument/2006/relationships/worksheet" Target="/xl/worksheets/sheet4.xml" Id="Ra300f1a2aa2248b6" /><Relationship Type="http://schemas.openxmlformats.org/officeDocument/2006/relationships/worksheet" Target="/xl/worksheets/sheet5.xml" Id="R016c0d00e1e045f6" /><Relationship Type="http://schemas.openxmlformats.org/officeDocument/2006/relationships/worksheet" Target="/xl/worksheets/sheet6.xml" Id="R31b65612e5e047c3" /><Relationship Type="http://schemas.openxmlformats.org/officeDocument/2006/relationships/worksheet" Target="/xl/worksheets/sheet7.xml" Id="R349162843c0346cb" /><Relationship Type="http://schemas.openxmlformats.org/officeDocument/2006/relationships/worksheet" Target="/xl/worksheets/sheet8.xml" Id="R584bbf0c65b946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65de7dc3f94959" /><Relationship Type="http://schemas.openxmlformats.org/officeDocument/2006/relationships/chart" Target="/xl/drawings/charts/chart2.xml" Id="R0f516c51dd35467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6f23286c2b744e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e2ac4d2d6a640f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e0012b5b76946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Ventas netas por mes (país seleccionado)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Neto GBP</c:v>
          </c:tx>
          <c:spPr>
            <a:solidFill xmlns:a="http://schemas.openxmlformats.org/drawingml/2006/main">
              <a:srgbClr val="167C73"/>
            </a:solidFill>
            <a:ln xmlns:a="http://schemas.openxmlformats.org/drawingml/2006/main" w="19050">
              <a:solidFill>
                <a:srgbClr val="167C73"/>
              </a:solidFill>
              <a:prstDash val="solid"/>
            </a:ln>
          </c:spPr>
          <c:marker>
            <c:symbol val="none"/>
          </c:marker>
          <c:cat>
            <c:strRef>
              <c:f>'Resumen'!$B$32:$B$44</c:f>
              <c:strCache>
                <c:ptCount val="0"/>
              </c:strCache>
            </c:strRef>
          </c:cat>
          <c:val>
            <c:numRef>
              <c:f>'Resumen'!$E$32:$E$44</c:f>
              <c:numCache>
                <c:formatCode>"£"#,##0.00;[Red]("£"#,##0.00)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0.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5 mercados principales del periodo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Neto GBP</c:v>
          </c:tx>
          <c:spPr>
            <a:solidFill xmlns:a="http://schemas.openxmlformats.org/drawingml/2006/main">
              <a:srgbClr val="167C73"/>
            </a:solidFill>
          </c:spPr>
          <c:cat>
            <c:strRef>
              <c:f>'Resumen'!$J$32:$J$36</c:f>
              <c:strCache>
                <c:ptCount val="0"/>
              </c:strCache>
            </c:strRef>
          </c:cat>
          <c:val>
            <c:numRef>
              <c:f>'Resumen'!$K$32:$K$36</c:f>
              <c:numCache>
                <c:formatCode>"£"#,##0.00;[Red]("£"#,##0.00)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#,##0,&quot; 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Top 10 productos por ventas netas (GBP)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Neto GBP</c:v>
          </c:tx>
          <c:spPr>
            <a:solidFill xmlns:a="http://schemas.openxmlformats.org/drawingml/2006/main">
              <a:srgbClr val="167C73"/>
            </a:solidFill>
          </c:spPr>
          <c:cat>
            <c:strRef>
              <c:f>'Productos'!$B$25:$B$34</c:f>
              <c:strCache>
                <c:ptCount val="0"/>
              </c:strCache>
            </c:strRef>
          </c:cat>
          <c:val>
            <c:numRef>
              <c:f>'Productos'!$F$25:$F$34</c:f>
              <c:numCache>
                <c:formatCode>"£"#,##0.00;[Red]("£"#,##0.00)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#,##0,&quot; 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Top 10 clientes por ventas netas (GBP)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Neto GBP</c:v>
          </c:tx>
          <c:spPr>
            <a:solidFill xmlns:a="http://schemas.openxmlformats.org/drawingml/2006/main">
              <a:srgbClr val="167C73"/>
            </a:solidFill>
          </c:spPr>
          <c:cat>
            <c:strRef>
              <c:f>'Clientes'!$B$25:$B$34</c:f>
              <c:strCache>
                <c:ptCount val="0"/>
              </c:strCache>
            </c:strRef>
          </c:cat>
          <c:val>
            <c:numRef>
              <c:f>'Clientes'!$H$25:$H$34</c:f>
              <c:numCache>
                <c:formatCode>"£"#,##0.00;[Red]("£"#,##0.00)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#,##0,&quot; 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Ventas netas fuera de Reino Unido (GBP)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167C73"/>
            </a:solidFill>
          </c:spPr>
          <c:cat>
            <c:strRef>
              <c:f>'Países'!$B$26:$B$35</c:f>
              <c:strCache>
                <c:ptCount val="0"/>
              </c:strCache>
            </c:strRef>
          </c:cat>
          <c:val>
            <c:numRef>
              <c:f>'Países'!$E$26:$E$35</c:f>
              <c:numCache>
                <c:formatCode>"£"#,##0.00;[Red]("£"#,##0.00)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#,##0,&quot; 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13</xdr:row>
      <xdr:rowOff>0</xdr:rowOff>
    </xdr:from>
    <xdr:to>
      <xdr:col>9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65de7dc3f94959"/>
        </a:graphicData>
      </a:graphic>
    </xdr:graphicFrame>
    <xdr:clientData/>
  </xdr:twoCellAnchor>
  <xdr:twoCellAnchor>
    <xdr:from>
      <xdr:col>9</xdr:col>
      <xdr:colOff>0</xdr:colOff>
      <xdr:row>13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516c51dd35467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4</xdr:row>
      <xdr:rowOff>0</xdr:rowOff>
    </xdr:from>
    <xdr:to>
      <xdr:col>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f23286c2b744e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</xdr:col>
      <xdr:colOff>0</xdr:colOff>
      <xdr:row>4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2ac4d2d6a640f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</xdr:col>
      <xdr:colOff>0</xdr:colOff>
      <xdr:row>4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0012b5b76946f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boVentas" displayName="CuboVentas" ref="B6:P552" headerRowCount="1" totalsRowCount="0" totalsRowShown="0">
  <x:tableColumns count="15">
    <x:tableColumn id="1" name="Mes"/>
    <x:tableColumn id="2" name="País"/>
    <x:tableColumn id="3" name="Bruto GBP"/>
    <x:tableColumn id="4" name="Abonos GBP"/>
    <x:tableColumn id="5" name="Neto GBP"/>
    <x:tableColumn id="6" name="Pedidos"/>
    <x:tableColumn id="7" name="Doc. abono"/>
    <x:tableColumn id="8" name="Clientes"/>
    <x:tableColumn id="9" name="Recurrentes"/>
    <x:tableColumn id="10" name="Unidades"/>
    <x:tableColumn id="11" name="Unid. abono"/>
    <x:tableColumn id="12" name="Bruto identificado"/>
    <x:tableColumn id="13" name="Líneas"/>
    <x:tableColumn id="14" name="Ticket GBP"/>
    <x:tableColumn id="15" name="Abonos / bru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osVentas" displayName="ProductosVentas" ref="B24:K3837" headerRowCount="1" totalsRowCount="0" totalsRowShown="0">
  <x:tableColumns count="10">
    <x:tableColumn id="1" name="Código"/>
    <x:tableColumn id="2" name="Descripción"/>
    <x:tableColumn id="3" name="Bruto GBP"/>
    <x:tableColumn id="4" name="Abonos GBP"/>
    <x:tableColumn id="5" name="Neto GBP"/>
    <x:tableColumn id="6" name="Unidades"/>
    <x:tableColumn id="7" name="Unid. abono"/>
    <x:tableColumn id="8" name="Pedidos"/>
    <x:tableColumn id="9" name="Abonos / bruto"/>
    <x:tableColumn id="10" name="% neto tot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ientesVentas" displayName="ClientesVentas" ref="B24:I4386" headerRowCount="1" totalsRowCount="0" totalsRowShown="0">
  <x:tableColumns count="8">
    <x:tableColumn id="1" name="Cliente"/>
    <x:tableColumn id="2" name="Pedidos"/>
    <x:tableColumn id="3" name="Última compra"/>
    <x:tableColumn id="4" name="Segmento"/>
    <x:tableColumn id="5" name="Bruto GBP"/>
    <x:tableColumn id="6" name="Abonos GBP"/>
    <x:tableColumn id="7" name="Neto GBP"/>
    <x:tableColumn id="8" name="Ticket bru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ísesVentas" displayName="PaísesVentas" ref="B24:I62" headerRowCount="1" totalsRowCount="0" totalsRowShown="0">
  <x:tableColumns count="8">
    <x:tableColumn id="1" name="País"/>
    <x:tableColumn id="2" name="Bruto GBP"/>
    <x:tableColumn id="3" name="Abonos GBP"/>
    <x:tableColumn id="4" name="Neto GBP"/>
    <x:tableColumn id="5" name="Pedidos"/>
    <x:tableColumn id="6" name="Clientes"/>
    <x:tableColumn id="7" name="Ticket GBP"/>
    <x:tableColumn id="8" name="Abonos / bru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73ea6992b94e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c49ff4bcf8944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a3f022f9b963465d" /><Relationship Type="http://schemas.openxmlformats.org/officeDocument/2006/relationships/table" Target="/xl/tables/table2.xml" Id="R07d0da1f76914d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fc7d2baa238942ca" /><Relationship Type="http://schemas.openxmlformats.org/officeDocument/2006/relationships/table" Target="/xl/tables/table3.xml" Id="Ra4902671777b4d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00557178c4e7499c" /><Relationship Type="http://schemas.openxmlformats.org/officeDocument/2006/relationships/table" Target="/xl/tables/table4.xml" Id="R1f841cec1bc647ad" /></Relationships>
</file>

<file path=xl/worksheets/sheet1.xml><?xml version="1.0" encoding="utf-8"?>
<x:worksheet xmlns:x="http://schemas.openxmlformats.org/spreadsheetml/2006/main">
  <x:sheetPr>
    <x:tabColor rgb="FF153C3C"/>
  </x:sheetPr>
  <x:sheetViews>
    <x:sheetView showGridLines="0" workbookViewId="0"/>
  </x:sheetViews>
  <x:sheetFormatPr defaultRowHeight="15"/>
  <x:cols>
    <x:col min="1" max="1" width="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2" customHeight="1">
      <x:c r="A2" s="3"/>
      <x:c r="B2" s="4" t="str">
        <x:v>RETAIL / SIGNAL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34" customHeight="1">
      <x:c r="A3" s="3"/>
      <x:c r="B3" s="5" t="str">
        <x:v>El pulso de las ventas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 ht="22" customHeight="1">
      <x:c r="A4" s="3"/>
      <x:c r="B4" s="7" t="str">
        <x:v>Diciembre 2010 – diciembre 2011. Moneda: GBP. Diciembre 2011 es parcial.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</x:row>
    <x:row r="5" ht="22" customHeight="1">
      <x:c r="A5" s="3"/>
      <x:c r="B5" s="3" t="str">
        <x:v>Mes:</x:v>
      </x:c>
      <x:c r="C5" s="3" t="str">
        <x:f>Filtros!D5</x:f>
        <x:v>Todos</x:v>
      </x:c>
      <x:c r="D5" s="3"/>
      <x:c r="E5" s="3"/>
      <x:c r="F5" s="3" t="str">
        <x:v>País:</x:v>
      </x:c>
      <x:c r="G5" s="3" t="str">
        <x:f>Filtros!D6</x:f>
        <x:v>Todos</x:v>
      </x:c>
      <x:c r="H5" s="3"/>
      <x:c r="I5" s="3"/>
      <x:c r="J5" s="3" t="str">
        <x:v>Cambiar selección en Filtros</x:v>
      </x:c>
      <x:c r="K5" s="3"/>
      <x:c r="L5" s="3"/>
      <x:c r="M5" s="3"/>
      <x:c r="N5" s="3"/>
      <x:c r="O5" s="3"/>
    </x:row>
    <x:row r="6" ht="2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ht="22" customHeight="1">
      <x:c r="A7" s="3"/>
      <x:c r="B7" s="36" t="str">
        <x:v>VENTAS NETAS</x:v>
      </x:c>
      <x:c r="C7" s="37"/>
      <x:c r="D7" s="37"/>
      <x:c r="E7" s="3"/>
      <x:c r="F7" s="28" t="str">
        <x:v>PEDIDOS</x:v>
      </x:c>
      <x:c r="G7" s="29"/>
      <x:c r="H7" s="29"/>
      <x:c r="I7" s="3"/>
      <x:c r="J7" s="28" t="str">
        <x:v>TICKET BRUTO</x:v>
      </x:c>
      <x:c r="K7" s="29"/>
      <x:c r="L7" s="29"/>
      <x:c r="M7" s="3"/>
      <x:c r="N7" s="3"/>
      <x:c r="O7" s="3"/>
    </x:row>
    <x:row r="8" ht="38" customHeight="1">
      <x:c r="A8" s="3"/>
      <x:c r="B8" s="38" t="n">
        <x:f>SUMIFS('Datos'!$F$7:$F$552,'Datos'!$B$7:$B$552,Filtros!$D$5,'Datos'!$C$7:$C$552,Filtros!$D$6)</x:f>
        <x:v>9792708.883</x:v>
      </x:c>
      <x:c r="C8" s="39"/>
      <x:c r="D8" s="39"/>
      <x:c r="E8" s="3"/>
      <x:c r="F8" s="30" t="n">
        <x:f>SUMIFS('Datos'!$G$7:$G$552,'Datos'!$B$7:$B$552,Filtros!$D$5,'Datos'!$C$7:$C$552,Filtros!$D$6)</x:f>
        <x:v>19773</x:v>
      </x:c>
      <x:c r="G8" s="27"/>
      <x:c r="H8" s="27"/>
      <x:c r="I8" s="3"/>
      <x:c r="J8" s="26" t="n">
        <x:f>IF(F8=0,"n.a.",J11/F8)</x:f>
        <x:v>519.4676105295099</x:v>
      </x:c>
      <x:c r="K8" s="27"/>
      <x:c r="L8" s="27"/>
      <x:c r="M8" s="3"/>
      <x:c r="N8" s="3"/>
      <x:c r="O8" s="3"/>
    </x:row>
    <x:row r="9" ht="22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 ht="22" customHeight="1">
      <x:c r="A10" s="3"/>
      <x:c r="B10" s="40" t="str">
        <x:v>ABONOS / BRUTO</x:v>
      </x:c>
      <x:c r="C10" s="29"/>
      <x:c r="D10" s="29"/>
      <x:c r="E10" s="3"/>
      <x:c r="F10" s="28" t="str">
        <x:v>CLIENTES IDENTIFICADOS</x:v>
      </x:c>
      <x:c r="G10" s="29"/>
      <x:c r="H10" s="29"/>
      <x:c r="I10" s="3"/>
      <x:c r="J10" s="28" t="str">
        <x:v>VENTAS BRUTAS</x:v>
      </x:c>
      <x:c r="K10" s="29"/>
      <x:c r="L10" s="29"/>
      <x:c r="M10" s="3"/>
      <x:c r="N10" s="3"/>
      <x:c r="O10" s="3"/>
    </x:row>
    <x:row r="11" ht="38" customHeight="1">
      <x:c r="A11" s="3"/>
      <x:c r="B11" s="31" t="n">
        <x:f>IF(J11=0,"n.a.",SUMIFS('Datos'!$E$7:$E$552,'Datos'!$B$7:$B$552,Filtros!$D$5,'Datos'!$C$7:$C$552,Filtros!$D$6)/J11)</x:f>
        <x:v>0.046607340676197526</x:v>
      </x:c>
      <x:c r="C11" s="27"/>
      <x:c r="D11" s="27"/>
      <x:c r="E11" s="3"/>
      <x:c r="F11" s="30" t="n">
        <x:f>SUMIFS('Datos'!$I$7:$I$552,'Datos'!$B$7:$B$552,Filtros!$D$5,'Datos'!$C$7:$C$552,Filtros!$D$6)</x:f>
        <x:v>4334</x:v>
      </x:c>
      <x:c r="G11" s="27"/>
      <x:c r="H11" s="27"/>
      <x:c r="I11" s="3"/>
      <x:c r="J11" s="26" t="n">
        <x:f>SUMIFS('Datos'!$D$7:$D$552,'Datos'!$B$7:$B$552,Filtros!$D$5,'Datos'!$C$7:$C$552,Filtros!$D$6)</x:f>
        <x:v>10271433.063</x:v>
      </x:c>
      <x:c r="K11" s="27"/>
      <x:c r="L11" s="27"/>
      <x:c r="M11" s="3"/>
      <x:c r="N11" s="3"/>
      <x:c r="O11" s="3"/>
    </x:row>
    <x:row r="12" ht="22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 ht="22" customHeight="1">
      <x:c r="A13" s="3"/>
      <x:c r="B13" s="41" t="str">
        <x:v>Diciembre 2011: solo días 1–9.</x:v>
      </x:c>
      <x:c r="C13" s="3"/>
      <x:c r="D13" s="3"/>
      <x:c r="E13" s="3"/>
      <x:c r="F13" s="3"/>
      <x:c r="G13" s="3"/>
      <x:c r="H13" s="3"/>
      <x:c r="I13" s="3"/>
      <x:c r="J13" s="42" t="str">
        <x:v>Cinco líderes del periodo completo.</x:v>
      </x:c>
      <x:c r="K13" s="3"/>
      <x:c r="L13" s="3"/>
      <x:c r="M13" s="3"/>
      <x:c r="N13" s="3"/>
      <x:c r="O13" s="3"/>
    </x:row>
    <x:row r="14" ht="22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</x:row>
    <x:row r="24" ht="22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</x:row>
    <x:row r="26" ht="2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</x:row>
    <x:row r="27" ht="2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</x:row>
    <x:row r="31" ht="30" customHeight="1">
      <x:c r="A31" s="3"/>
      <x:c r="B31" s="12" t="str">
        <x:v>Mes</x:v>
      </x:c>
      <x:c r="C31" s="12" t="str">
        <x:v>Bruto GBP</x:v>
      </x:c>
      <x:c r="D31" s="12" t="str">
        <x:v>Abonos GBP</x:v>
      </x:c>
      <x:c r="E31" s="12" t="str">
        <x:v>Neto GBP</x:v>
      </x:c>
      <x:c r="F31" s="12" t="str">
        <x:v>Pedidos</x:v>
      </x:c>
      <x:c r="G31" s="12" t="str">
        <x:v>Ticket GBP</x:v>
      </x:c>
      <x:c r="H31" s="12" t="str">
        <x:v>Var. neta MoM</x:v>
      </x:c>
      <x:c r="I31" s="3"/>
      <x:c r="J31" s="12" t="str">
        <x:v>País</x:v>
      </x:c>
      <x:c r="K31" s="12" t="str">
        <x:v>Neto GBP</x:v>
      </x:c>
      <x:c r="L31" s="12" t="str">
        <x:v>Pedidos</x:v>
      </x:c>
      <x:c r="M31" s="3"/>
      <x:c r="N31" s="3"/>
      <x:c r="O31" s="3"/>
    </x:row>
    <x:row r="32" ht="22" customHeight="1">
      <x:c r="A32" s="3"/>
      <x:c r="B32" s="3" t="str">
        <x:v>2010-12</x:v>
      </x:c>
      <x:c r="C32" s="13" t="n">
        <x:f>SUMIFS('Datos'!$D$7:$D$552,'Datos'!$B$7:$B$552,B32,'Datos'!$C$7:$C$552,Filtros!$D$6)</x:f>
        <x:v>777931.77</x:v>
      </x:c>
      <x:c r="D32" s="13" t="n">
        <x:f>SUMIFS('Datos'!$E$7:$E$552,'Datos'!$B$7:$B$552,B32,'Datos'!$C$7:$C$552,Filtros!$D$6)</x:f>
        <x:v>17607.86</x:v>
      </x:c>
      <x:c r="E32" s="13" t="n">
        <x:f>SUMIFS('Datos'!$F$7:$F$552,'Datos'!$B$7:$B$552,B32,'Datos'!$C$7:$C$552,Filtros!$D$6)</x:f>
        <x:v>760323.91</x:v>
      </x:c>
      <x:c r="F32" s="14" t="n">
        <x:f>SUMIFS('Datos'!$G$7:$G$552,'Datos'!$B$7:$B$552,B32,'Datos'!$C$7:$C$552,Filtros!$D$6)</x:f>
        <x:v>1550</x:v>
      </x:c>
      <x:c r="G32" s="13" t="n">
        <x:f>IF(F32=0,"n.a.",C32/F32)</x:f>
        <x:v>501.891464516129</x:v>
      </x:c>
      <x:c r="H32" s="15" t="str">
        <x:v>n.a.</x:v>
      </x:c>
      <x:c r="I32" s="3"/>
      <x:c r="J32" s="3" t="str">
        <x:v>United Kingdom</x:v>
      </x:c>
      <x:c r="K32" s="13" t="n">
        <x:f>SUMIFS('Datos'!$F$7:$F$552,'Datos'!$B$7:$B$552,Filtros!$D$5,'Datos'!$C$7:$C$552,J32)</x:f>
        <x:v>8301718.283000001</x:v>
      </x:c>
      <x:c r="L32" s="3" t="n">
        <x:f>SUMIFS('Datos'!$G$7:$G$552,'Datos'!$B$7:$B$552,Filtros!$D$5,'Datos'!$C$7:$C$552,J32)</x:f>
        <x:v>17901</x:v>
      </x:c>
      <x:c r="M32" s="3"/>
      <x:c r="N32" s="3"/>
      <x:c r="O32" s="3"/>
    </x:row>
    <x:row r="33" ht="22" customHeight="1">
      <x:c r="A33" s="3"/>
      <x:c r="B33" s="3" t="str">
        <x:v>2011-01</x:v>
      </x:c>
      <x:c r="C33" s="13" t="n">
        <x:f>SUMIFS('Datos'!$D$7:$D$552,'Datos'!$B$7:$B$552,B33,'Datos'!$C$7:$C$552,Filtros!$D$6)</x:f>
        <x:v>671933.19</x:v>
      </x:c>
      <x:c r="D33" s="13" t="n">
        <x:f>SUMIFS('Datos'!$E$7:$E$552,'Datos'!$B$7:$B$552,B33,'Datos'!$C$7:$C$552,Filtros!$D$6)</x:f>
        <x:v>91526.3</x:v>
      </x:c>
      <x:c r="E33" s="13" t="n">
        <x:f>SUMIFS('Datos'!$F$7:$F$552,'Datos'!$B$7:$B$552,B33,'Datos'!$C$7:$C$552,Filtros!$D$6)</x:f>
        <x:v>580406.8899999999</x:v>
      </x:c>
      <x:c r="F33" s="14" t="n">
        <x:f>SUMIFS('Datos'!$G$7:$G$552,'Datos'!$B$7:$B$552,B33,'Datos'!$C$7:$C$552,Filtros!$D$6)</x:f>
        <x:v>1081</x:v>
      </x:c>
      <x:c r="G33" s="13" t="n">
        <x:f>IF(F33=0,"n.a.",C33/F33)</x:f>
        <x:v>621.5848196114708</x:v>
      </x:c>
      <x:c r="H33" s="15" t="n">
        <x:f>IF(E32&lt;=0,"n.a.",E33/E32-1)</x:f>
        <x:v>-0.23663206908750267</x:v>
      </x:c>
      <x:c r="I33" s="3"/>
      <x:c r="J33" s="3" t="str">
        <x:v>Netherlands</x:v>
      </x:c>
      <x:c r="K33" s="13" t="n">
        <x:f>SUMIFS('Datos'!$F$7:$F$552,'Datos'!$B$7:$B$552,Filtros!$D$5,'Datos'!$C$7:$C$552,J33)</x:f>
        <x:v>283479.54000000004</x:v>
      </x:c>
      <x:c r="L33" s="3" t="n">
        <x:f>SUMIFS('Datos'!$G$7:$G$552,'Datos'!$B$7:$B$552,Filtros!$D$5,'Datos'!$C$7:$C$552,J33)</x:f>
        <x:v>93</x:v>
      </x:c>
      <x:c r="M33" s="3"/>
      <x:c r="N33" s="3"/>
      <x:c r="O33" s="3"/>
    </x:row>
    <x:row r="34" ht="22" customHeight="1">
      <x:c r="A34" s="3"/>
      <x:c r="B34" s="3" t="str">
        <x:v>2011-02</x:v>
      </x:c>
      <x:c r="C34" s="13" t="n">
        <x:f>SUMIFS('Datos'!$D$7:$D$552,'Datos'!$B$7:$B$552,B34,'Datos'!$C$7:$C$552,Filtros!$D$6)</x:f>
        <x:v>508886.2</x:v>
      </x:c>
      <x:c r="D34" s="13" t="n">
        <x:f>SUMIFS('Datos'!$E$7:$E$552,'Datos'!$B$7:$B$552,B34,'Datos'!$C$7:$C$552,Filtros!$D$6)</x:f>
        <x:v>8375.87</x:v>
      </x:c>
      <x:c r="E34" s="13" t="n">
        <x:f>SUMIFS('Datos'!$F$7:$F$552,'Datos'!$B$7:$B$552,B34,'Datos'!$C$7:$C$552,Filtros!$D$6)</x:f>
        <x:v>500510.33</x:v>
      </x:c>
      <x:c r="F34" s="14" t="n">
        <x:f>SUMIFS('Datos'!$G$7:$G$552,'Datos'!$B$7:$B$552,B34,'Datos'!$C$7:$C$552,Filtros!$D$6)</x:f>
        <x:v>1093</x:v>
      </x:c>
      <x:c r="G34" s="13" t="n">
        <x:f>IF(F34=0,"n.a.",C34/F34)</x:f>
        <x:v>465.58664226898446</x:v>
      </x:c>
      <x:c r="H34" s="15" t="n">
        <x:f>IF(E33&lt;=0,"n.a.",E34/E33-1)</x:f>
        <x:v>-0.1376561191408322</x:v>
      </x:c>
      <x:c r="I34" s="3"/>
      <x:c r="J34" s="3" t="str">
        <x:v>EIRE</x:v>
      </x:c>
      <x:c r="K34" s="13" t="n">
        <x:f>SUMIFS('Datos'!$F$7:$F$552,'Datos'!$B$7:$B$552,Filtros!$D$5,'Datos'!$C$7:$C$552,J34)</x:f>
        <x:v>259663.46</x:v>
      </x:c>
      <x:c r="L34" s="3" t="n">
        <x:f>SUMIFS('Datos'!$G$7:$G$552,'Datos'!$B$7:$B$552,Filtros!$D$5,'Datos'!$C$7:$C$552,J34)</x:f>
        <x:v>282</x:v>
      </x:c>
      <x:c r="M34" s="3"/>
      <x:c r="N34" s="3"/>
      <x:c r="O34" s="3"/>
    </x:row>
    <x:row r="35" ht="22" customHeight="1">
      <x:c r="A35" s="3"/>
      <x:c r="B35" s="3" t="str">
        <x:v>2011-03</x:v>
      </x:c>
      <x:c r="C35" s="13" t="n">
        <x:f>SUMIFS('Datos'!$D$7:$D$552,'Datos'!$B$7:$B$552,B35,'Datos'!$C$7:$C$552,Filtros!$D$6)</x:f>
        <x:v>691257.61</x:v>
      </x:c>
      <x:c r="D35" s="13" t="n">
        <x:f>SUMIFS('Datos'!$E$7:$E$552,'Datos'!$B$7:$B$552,B35,'Datos'!$C$7:$C$552,Filtros!$D$6)</x:f>
        <x:v>10675.3</x:v>
      </x:c>
      <x:c r="E35" s="13" t="n">
        <x:f>SUMIFS('Datos'!$F$7:$F$552,'Datos'!$B$7:$B$552,B35,'Datos'!$C$7:$C$552,Filtros!$D$6)</x:f>
        <x:v>680582.3099999999</x:v>
      </x:c>
      <x:c r="F35" s="14" t="n">
        <x:f>SUMIFS('Datos'!$G$7:$G$552,'Datos'!$B$7:$B$552,B35,'Datos'!$C$7:$C$552,Filtros!$D$6)</x:f>
        <x:v>1440</x:v>
      </x:c>
      <x:c r="G35" s="13" t="n">
        <x:f>IF(F35=0,"n.a.",C35/F35)</x:f>
        <x:v>480.04000694444443</x:v>
      </x:c>
      <x:c r="H35" s="15" t="n">
        <x:f>IF(E34&lt;=0,"n.a.",E35/E34-1)</x:f>
        <x:v>0.35977675026207745</x:v>
      </x:c>
      <x:c r="I35" s="3"/>
      <x:c r="J35" s="3" t="str">
        <x:v>Germany</x:v>
      </x:c>
      <x:c r="K35" s="13" t="n">
        <x:f>SUMIFS('Datos'!$F$7:$F$552,'Datos'!$B$7:$B$552,Filtros!$D$5,'Datos'!$C$7:$C$552,J35)</x:f>
        <x:v>200808.40000000002</x:v>
      </x:c>
      <x:c r="L35" s="3" t="n">
        <x:f>SUMIFS('Datos'!$G$7:$G$552,'Datos'!$B$7:$B$552,Filtros!$D$5,'Datos'!$C$7:$C$552,J35)</x:f>
        <x:v>443</x:v>
      </x:c>
      <x:c r="M35" s="3"/>
      <x:c r="N35" s="3"/>
      <x:c r="O35" s="3"/>
    </x:row>
    <x:row r="36" ht="22" customHeight="1">
      <x:c r="A36" s="3"/>
      <x:c r="B36" s="3" t="str">
        <x:v>2011-04</x:v>
      </x:c>
      <x:c r="C36" s="13" t="n">
        <x:f>SUMIFS('Datos'!$D$7:$D$552,'Datos'!$B$7:$B$552,B36,'Datos'!$C$7:$C$552,Filtros!$D$6)</x:f>
        <x:v>516218.121</x:v>
      </x:c>
      <x:c r="D36" s="13" t="n">
        <x:f>SUMIFS('Datos'!$E$7:$E$552,'Datos'!$B$7:$B$552,B36,'Datos'!$C$7:$C$552,Filtros!$D$6)</x:f>
        <x:v>33316.91</x:v>
      </x:c>
      <x:c r="E36" s="13" t="n">
        <x:f>SUMIFS('Datos'!$F$7:$F$552,'Datos'!$B$7:$B$552,B36,'Datos'!$C$7:$C$552,Filtros!$D$6)</x:f>
        <x:v>482901.211</x:v>
      </x:c>
      <x:c r="F36" s="14" t="n">
        <x:f>SUMIFS('Datos'!$G$7:$G$552,'Datos'!$B$7:$B$552,B36,'Datos'!$C$7:$C$552,Filtros!$D$6)</x:f>
        <x:v>1235</x:v>
      </x:c>
      <x:c r="G36" s="13" t="n">
        <x:f>IF(F36=0,"n.a.",C36/F36)</x:f>
        <x:v>417.9903813765182</x:v>
      </x:c>
      <x:c r="H36" s="15" t="n">
        <x:f>IF(E35&lt;=0,"n.a.",E36/E35-1)</x:f>
        <x:v>-0.2904587675809557</x:v>
      </x:c>
      <x:c r="I36" s="3"/>
      <x:c r="J36" s="3" t="str">
        <x:v>France</x:v>
      </x:c>
      <x:c r="K36" s="13" t="n">
        <x:f>SUMIFS('Datos'!$F$7:$F$552,'Datos'!$B$7:$B$552,Filtros!$D$5,'Datos'!$C$7:$C$552,J36)</x:f>
        <x:v>182163.38999999998</x:v>
      </x:c>
      <x:c r="L36" s="3" t="n">
        <x:f>SUMIFS('Datos'!$G$7:$G$552,'Datos'!$B$7:$B$552,Filtros!$D$5,'Datos'!$C$7:$C$552,J36)</x:f>
        <x:v>382</x:v>
      </x:c>
      <x:c r="M36" s="3"/>
      <x:c r="N36" s="3"/>
      <x:c r="O36" s="3"/>
    </x:row>
    <x:row r="37" ht="22" customHeight="1">
      <x:c r="A37" s="3"/>
      <x:c r="B37" s="3" t="str">
        <x:v>2011-05</x:v>
      </x:c>
      <x:c r="C37" s="13" t="n">
        <x:f>SUMIFS('Datos'!$D$7:$D$552,'Datos'!$B$7:$B$552,B37,'Datos'!$C$7:$C$552,Filtros!$D$6)</x:f>
        <x:v>741192.41</x:v>
      </x:c>
      <x:c r="D37" s="13" t="n">
        <x:f>SUMIFS('Datos'!$E$7:$E$552,'Datos'!$B$7:$B$552,B37,'Datos'!$C$7:$C$552,Filtros!$D$6)</x:f>
        <x:v>8948.23</x:v>
      </x:c>
      <x:c r="E37" s="13" t="n">
        <x:f>SUMIFS('Datos'!$F$7:$F$552,'Datos'!$B$7:$B$552,B37,'Datos'!$C$7:$C$552,Filtros!$D$6)</x:f>
        <x:v>732244.18</x:v>
      </x:c>
      <x:c r="F37" s="14" t="n">
        <x:f>SUMIFS('Datos'!$G$7:$G$552,'Datos'!$B$7:$B$552,B37,'Datos'!$C$7:$C$552,Filtros!$D$6)</x:f>
        <x:v>1668</x:v>
      </x:c>
      <x:c r="G37" s="13" t="n">
        <x:f>IF(F37=0,"n.a.",C37/F37)</x:f>
        <x:v>444.35995803357315</x:v>
      </x:c>
      <x:c r="H37" s="15" t="n">
        <x:f>IF(E36&lt;=0,"n.a.",E37/E36-1)</x:f>
        <x:v>0.5163436399002943</x:v>
      </x:c>
      <x:c r="I37" s="3"/>
      <x:c r="J37" s="3" t="str">
        <x:v>Australia</x:v>
      </x:c>
      <x:c r="K37" s="13" t="n">
        <x:f>SUMIFS('Datos'!$F$7:$F$552,'Datos'!$B$7:$B$552,Filtros!$D$5,'Datos'!$C$7:$C$552,J37)</x:f>
        <x:v>136990</x:v>
      </x:c>
      <x:c r="L37" s="3" t="n">
        <x:f>SUMIFS('Datos'!$G$7:$G$552,'Datos'!$B$7:$B$552,Filtros!$D$5,'Datos'!$C$7:$C$552,J37)</x:f>
        <x:v>56</x:v>
      </x:c>
      <x:c r="M37" s="3"/>
      <x:c r="N37" s="3"/>
      <x:c r="O37" s="3"/>
    </x:row>
    <x:row r="38" ht="22" customHeight="1">
      <x:c r="A38" s="3"/>
      <x:c r="B38" s="3" t="str">
        <x:v>2011-06</x:v>
      </x:c>
      <x:c r="C38" s="13" t="n">
        <x:f>SUMIFS('Datos'!$D$7:$D$552,'Datos'!$B$7:$B$552,B38,'Datos'!$C$7:$C$552,Filtros!$D$6)</x:f>
        <x:v>738751.87</x:v>
      </x:c>
      <x:c r="D38" s="13" t="n">
        <x:f>SUMIFS('Datos'!$E$7:$E$552,'Datos'!$B$7:$B$552,B38,'Datos'!$C$7:$C$552,Filtros!$D$6)</x:f>
        <x:v>13760.84</x:v>
      </x:c>
      <x:c r="E38" s="13" t="n">
        <x:f>SUMIFS('Datos'!$F$7:$F$552,'Datos'!$B$7:$B$552,B38,'Datos'!$C$7:$C$552,Filtros!$D$6)</x:f>
        <x:v>724991.03</x:v>
      </x:c>
      <x:c r="F38" s="14" t="n">
        <x:f>SUMIFS('Datos'!$G$7:$G$552,'Datos'!$B$7:$B$552,B38,'Datos'!$C$7:$C$552,Filtros!$D$6)</x:f>
        <x:v>1525</x:v>
      </x:c>
      <x:c r="G38" s="13" t="n">
        <x:f>IF(F38=0,"n.a.",C38/F38)</x:f>
        <x:v>484.4274557377049</x:v>
      </x:c>
      <x:c r="H38" s="15" t="n">
        <x:f>IF(E37&lt;=0,"n.a.",E38/E37-1)</x:f>
        <x:v>-0.00990537063742869</x:v>
      </x:c>
      <x:c r="I38" s="3"/>
      <x:c r="J38" s="3" t="str">
        <x:v>Switzerland</x:v>
      </x:c>
      <x:c r="K38" s="13" t="n">
        <x:f>SUMIFS('Datos'!$F$7:$F$552,'Datos'!$B$7:$B$552,Filtros!$D$5,'Datos'!$C$7:$C$552,J38)</x:f>
        <x:v>52505.35</x:v>
      </x:c>
      <x:c r="L38" s="3" t="n">
        <x:f>SUMIFS('Datos'!$G$7:$G$552,'Datos'!$B$7:$B$552,Filtros!$D$5,'Datos'!$C$7:$C$552,J38)</x:f>
        <x:v>50</x:v>
      </x:c>
      <x:c r="M38" s="3"/>
      <x:c r="N38" s="3"/>
      <x:c r="O38" s="3"/>
    </x:row>
    <x:row r="39" ht="22" customHeight="1">
      <x:c r="A39" s="3"/>
      <x:c r="B39" s="3" t="str">
        <x:v>2011-07</x:v>
      </x:c>
      <x:c r="C39" s="13" t="n">
        <x:f>SUMIFS('Datos'!$D$7:$D$552,'Datos'!$B$7:$B$552,B39,'Datos'!$C$7:$C$552,Filtros!$D$6)</x:f>
        <x:v>689364.411</x:v>
      </x:c>
      <x:c r="D39" s="13" t="n">
        <x:f>SUMIFS('Datos'!$E$7:$E$552,'Datos'!$B$7:$B$552,B39,'Datos'!$C$7:$C$552,Filtros!$D$6)</x:f>
        <x:v>11409.21</x:v>
      </x:c>
      <x:c r="E39" s="13" t="n">
        <x:f>SUMIFS('Datos'!$F$7:$F$552,'Datos'!$B$7:$B$552,B39,'Datos'!$C$7:$C$552,Filtros!$D$6)</x:f>
        <x:v>677955.201</x:v>
      </x:c>
      <x:c r="F39" s="14" t="n">
        <x:f>SUMIFS('Datos'!$G$7:$G$552,'Datos'!$B$7:$B$552,B39,'Datos'!$C$7:$C$552,Filtros!$D$6)</x:f>
        <x:v>1452</x:v>
      </x:c>
      <x:c r="G39" s="13" t="n">
        <x:f>IF(F39=0,"n.a.",C39/F39)</x:f>
        <x:v>474.76887809917355</x:v>
      </x:c>
      <x:c r="H39" s="15" t="n">
        <x:f>IF(E38&lt;=0,"n.a.",E39/E38-1)</x:f>
        <x:v>-0.06487780821233058</x:v>
      </x:c>
      <x:c r="I39" s="3"/>
      <x:c r="J39" s="3" t="str">
        <x:v>Spain</x:v>
      </x:c>
      <x:c r="K39" s="13" t="n">
        <x:f>SUMIFS('Datos'!$F$7:$F$552,'Datos'!$B$7:$B$552,Filtros!$D$5,'Datos'!$C$7:$C$552,J39)</x:f>
        <x:v>51765.2</x:v>
      </x:c>
      <x:c r="L39" s="3" t="n">
        <x:f>SUMIFS('Datos'!$G$7:$G$552,'Datos'!$B$7:$B$552,Filtros!$D$5,'Datos'!$C$7:$C$552,J39)</x:f>
        <x:v>88</x:v>
      </x:c>
      <x:c r="M39" s="3"/>
      <x:c r="N39" s="3"/>
      <x:c r="O39" s="3"/>
    </x:row>
    <x:row r="40" ht="22" customHeight="1">
      <x:c r="A40" s="3"/>
      <x:c r="B40" s="3" t="str">
        <x:v>2011-08</x:v>
      </x:c>
      <x:c r="C40" s="13" t="n">
        <x:f>SUMIFS('Datos'!$D$7:$D$552,'Datos'!$B$7:$B$552,B40,'Datos'!$C$7:$C$552,Filtros!$D$6)</x:f>
        <x:v>725513.5</x:v>
      </x:c>
      <x:c r="D40" s="13" t="n">
        <x:f>SUMIFS('Datos'!$E$7:$E$552,'Datos'!$B$7:$B$552,B40,'Datos'!$C$7:$C$552,Filtros!$D$6)</x:f>
        <x:v>22929.52</x:v>
      </x:c>
      <x:c r="E40" s="13" t="n">
        <x:f>SUMIFS('Datos'!$F$7:$F$552,'Datos'!$B$7:$B$552,B40,'Datos'!$C$7:$C$552,Filtros!$D$6)</x:f>
        <x:v>702583.98</x:v>
      </x:c>
      <x:c r="F40" s="14" t="n">
        <x:f>SUMIFS('Datos'!$G$7:$G$552,'Datos'!$B$7:$B$552,B40,'Datos'!$C$7:$C$552,Filtros!$D$6)</x:f>
        <x:v>1339</x:v>
      </x:c>
      <x:c r="G40" s="13" t="n">
        <x:f>IF(F40=0,"n.a.",C40/F40)</x:f>
        <x:v>541.8323375653473</x:v>
      </x:c>
      <x:c r="H40" s="15" t="n">
        <x:f>IF(E39&lt;=0,"n.a.",E40/E39-1)</x:f>
        <x:v>0.03632803312618882</x:v>
      </x:c>
      <x:c r="I40" s="3"/>
      <x:c r="J40" s="3" t="str">
        <x:v>Belgium</x:v>
      </x:c>
      <x:c r="K40" s="13" t="n">
        <x:f>SUMIFS('Datos'!$F$7:$F$552,'Datos'!$B$7:$B$552,Filtros!$D$5,'Datos'!$C$7:$C$552,J40)</x:f>
        <x:v>36662.96</x:v>
      </x:c>
      <x:c r="L40" s="3" t="n">
        <x:f>SUMIFS('Datos'!$G$7:$G$552,'Datos'!$B$7:$B$552,Filtros!$D$5,'Datos'!$C$7:$C$552,J40)</x:f>
        <x:v>98</x:v>
      </x:c>
      <x:c r="M40" s="3"/>
      <x:c r="N40" s="3"/>
      <x:c r="O40" s="3"/>
    </x:row>
    <x:row r="41" ht="22" customHeight="1">
      <x:c r="A41" s="3"/>
      <x:c r="B41" s="3" t="str">
        <x:v>2011-09</x:v>
      </x:c>
      <x:c r="C41" s="13" t="n">
        <x:f>SUMIFS('Datos'!$D$7:$D$552,'Datos'!$B$7:$B$552,B41,'Datos'!$C$7:$C$552,Filtros!$D$6)</x:f>
        <x:v>1030475.361</x:v>
      </x:c>
      <x:c r="D41" s="13" t="n">
        <x:f>SUMIFS('Datos'!$E$7:$E$552,'Datos'!$B$7:$B$552,B41,'Datos'!$C$7:$C$552,Filtros!$D$6)</x:f>
        <x:v>17044.68</x:v>
      </x:c>
      <x:c r="E41" s="13" t="n">
        <x:f>SUMIFS('Datos'!$F$7:$F$552,'Datos'!$B$7:$B$552,B41,'Datos'!$C$7:$C$552,Filtros!$D$6)</x:f>
        <x:v>1013430.681</x:v>
      </x:c>
      <x:c r="F41" s="14" t="n">
        <x:f>SUMIFS('Datos'!$G$7:$G$552,'Datos'!$B$7:$B$552,B41,'Datos'!$C$7:$C$552,Filtros!$D$6)</x:f>
        <x:v>1818</x:v>
      </x:c>
      <x:c r="G41" s="13" t="n">
        <x:f>IF(F41=0,"n.a.",C41/F41)</x:f>
        <x:v>566.8181303630363</x:v>
      </x:c>
      <x:c r="H41" s="15" t="n">
        <x:f>IF(E40&lt;=0,"n.a.",E41/E40-1)</x:f>
        <x:v>0.44243351663099406</x:v>
      </x:c>
      <x:c r="I41" s="3"/>
      <x:c r="J41" s="3" t="str">
        <x:v>Japan</x:v>
      </x:c>
      <x:c r="K41" s="13" t="n">
        <x:f>SUMIFS('Datos'!$F$7:$F$552,'Datos'!$B$7:$B$552,Filtros!$D$5,'Datos'!$C$7:$C$552,J41)</x:f>
        <x:v>35419.79</x:v>
      </x:c>
      <x:c r="L41" s="3" t="n">
        <x:f>SUMIFS('Datos'!$G$7:$G$552,'Datos'!$B$7:$B$552,Filtros!$D$5,'Datos'!$C$7:$C$552,J41)</x:f>
        <x:v>19</x:v>
      </x:c>
      <x:c r="M41" s="3"/>
      <x:c r="N41" s="3"/>
      <x:c r="O41" s="3"/>
    </x:row>
    <x:row r="42" ht="22" customHeight="1">
      <x:c r="A42" s="3"/>
      <x:c r="B42" s="3" t="str">
        <x:v>2011-10</x:v>
      </x:c>
      <x:c r="C42" s="13" t="n">
        <x:f>SUMIFS('Datos'!$D$7:$D$552,'Datos'!$B$7:$B$552,B42,'Datos'!$C$7:$C$552,Filtros!$D$6)</x:f>
        <x:v>1106669.82</x:v>
      </x:c>
      <x:c r="D42" s="13" t="n">
        <x:f>SUMIFS('Datos'!$E$7:$E$552,'Datos'!$B$7:$B$552,B42,'Datos'!$C$7:$C$552,Filtros!$D$6)</x:f>
        <x:v>43992.16</x:v>
      </x:c>
      <x:c r="E42" s="13" t="n">
        <x:f>SUMIFS('Datos'!$F$7:$F$552,'Datos'!$B$7:$B$552,B42,'Datos'!$C$7:$C$552,Filtros!$D$6)</x:f>
        <x:v>1062677.6600000001</x:v>
      </x:c>
      <x:c r="F42" s="14" t="n">
        <x:f>SUMIFS('Datos'!$G$7:$G$552,'Datos'!$B$7:$B$552,B42,'Datos'!$C$7:$C$552,Filtros!$D$6)</x:f>
        <x:v>2005</x:v>
      </x:c>
      <x:c r="G42" s="13" t="n">
        <x:f>IF(F42=0,"n.a.",C42/F42)</x:f>
        <x:v>551.9550224438904</x:v>
      </x:c>
      <x:c r="H42" s="15" t="n">
        <x:f>IF(E41&lt;=0,"n.a.",E42/E41-1)</x:f>
        <x:v>0.048594324134143774</x:v>
      </x:c>
      <x:c r="I42" s="3"/>
      <x:c r="J42" s="3" t="str">
        <x:v>Sweden</x:v>
      </x:c>
      <x:c r="K42" s="13" t="n">
        <x:f>SUMIFS('Datos'!$F$7:$F$552,'Datos'!$B$7:$B$552,Filtros!$D$5,'Datos'!$C$7:$C$552,J42)</x:f>
        <x:v>35176.91</x:v>
      </x:c>
      <x:c r="L42" s="3" t="n">
        <x:f>SUMIFS('Datos'!$G$7:$G$552,'Datos'!$B$7:$B$552,Filtros!$D$5,'Datos'!$C$7:$C$552,J42)</x:f>
        <x:v>34</x:v>
      </x:c>
      <x:c r="M42" s="3"/>
      <x:c r="N42" s="3"/>
      <x:c r="O42" s="3"/>
    </x:row>
    <x:row r="43" ht="22" customHeight="1">
      <x:c r="A43" s="3"/>
      <x:c r="B43" s="3" t="str">
        <x:v>2011-11</x:v>
      </x:c>
      <x:c r="C43" s="13" t="n">
        <x:f>SUMIFS('Datos'!$D$7:$D$552,'Datos'!$B$7:$B$552,B43,'Datos'!$C$7:$C$552,Filtros!$D$6)</x:f>
        <x:v>1457745.53</x:v>
      </x:c>
      <x:c r="D43" s="13" t="n">
        <x:f>SUMIFS('Datos'!$E$7:$E$552,'Datos'!$B$7:$B$552,B43,'Datos'!$C$7:$C$552,Filtros!$D$6)</x:f>
        <x:v>25010.54</x:v>
      </x:c>
      <x:c r="E43" s="13" t="n">
        <x:f>SUMIFS('Datos'!$F$7:$F$552,'Datos'!$B$7:$B$552,B43,'Datos'!$C$7:$C$552,Filtros!$D$6)</x:f>
        <x:v>1432734.99</x:v>
      </x:c>
      <x:c r="F43" s="14" t="n">
        <x:f>SUMIFS('Datos'!$G$7:$G$552,'Datos'!$B$7:$B$552,B43,'Datos'!$C$7:$C$552,Filtros!$D$6)</x:f>
        <x:v>2751</x:v>
      </x:c>
      <x:c r="G43" s="13" t="n">
        <x:f>IF(F43=0,"n.a.",C43/F43)</x:f>
        <x:v>529.8965939658306</x:v>
      </x:c>
      <x:c r="H43" s="15" t="n">
        <x:f>IF(E42&lt;=0,"n.a.",E43/E42-1)</x:f>
        <x:v>0.34823102425998087</x:v>
      </x:c>
      <x:c r="I43" s="3"/>
      <x:c r="J43" s="3" t="str">
        <x:v>Norway</x:v>
      </x:c>
      <x:c r="K43" s="13" t="n">
        <x:f>SUMIFS('Datos'!$F$7:$F$552,'Datos'!$B$7:$B$552,Filtros!$D$5,'Datos'!$C$7:$C$552,J43)</x:f>
        <x:v>32292.96</x:v>
      </x:c>
      <x:c r="L43" s="3" t="n">
        <x:f>SUMIFS('Datos'!$G$7:$G$552,'Datos'!$B$7:$B$552,Filtros!$D$5,'Datos'!$C$7:$C$552,J43)</x:f>
        <x:v>32</x:v>
      </x:c>
      <x:c r="M43" s="3"/>
      <x:c r="N43" s="3"/>
      <x:c r="O43" s="3"/>
    </x:row>
    <x:row r="44" ht="22" customHeight="1">
      <x:c r="A44" s="3"/>
      <x:c r="B44" s="8" t="str">
        <x:v>2011-12</x:v>
      </x:c>
      <x:c r="C44" s="43" t="n">
        <x:f>SUMIFS('Datos'!$D$7:$D$552,'Datos'!$B$7:$B$552,B44,'Datos'!$C$7:$C$552,Filtros!$D$6)</x:f>
        <x:v>615493.27</x:v>
      </x:c>
      <x:c r="D44" s="43" t="n">
        <x:f>SUMIFS('Datos'!$E$7:$E$552,'Datos'!$B$7:$B$552,B44,'Datos'!$C$7:$C$552,Filtros!$D$6)</x:f>
        <x:v>174126.76</x:v>
      </x:c>
      <x:c r="E44" s="43" t="n">
        <x:f>SUMIFS('Datos'!$F$7:$F$552,'Datos'!$B$7:$B$552,B44,'Datos'!$C$7:$C$552,Filtros!$D$6)</x:f>
        <x:v>441366.51</x:v>
      </x:c>
      <x:c r="F44" s="44" t="n">
        <x:f>SUMIFS('Datos'!$G$7:$G$552,'Datos'!$B$7:$B$552,B44,'Datos'!$C$7:$C$552,Filtros!$D$6)</x:f>
        <x:v>816</x:v>
      </x:c>
      <x:c r="G44" s="43" t="n">
        <x:f>IF(F44=0,"n.a.",C44/F44)</x:f>
        <x:v>754.280968137255</x:v>
      </x:c>
      <x:c r="H44" s="45" t="str">
        <x:v>n.a.</x:v>
      </x:c>
      <x:c r="I44" s="3"/>
      <x:c r="J44" s="3" t="str">
        <x:v>Portugal</x:v>
      </x:c>
      <x:c r="K44" s="13" t="n">
        <x:f>SUMIFS('Datos'!$F$7:$F$552,'Datos'!$B$7:$B$552,Filtros!$D$5,'Datos'!$C$7:$C$552,J44)</x:f>
        <x:v>26871.52</x:v>
      </x:c>
      <x:c r="L44" s="3" t="n">
        <x:f>SUMIFS('Datos'!$G$7:$G$552,'Datos'!$B$7:$B$552,Filtros!$D$5,'Datos'!$C$7:$C$552,J44)</x:f>
        <x:v>50</x:v>
      </x:c>
      <x:c r="M44" s="3"/>
      <x:c r="N44" s="3"/>
      <x:c r="O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 t="str">
        <x:v>Channel Islands</x:v>
      </x:c>
      <x:c r="K45" s="13" t="n">
        <x:f>SUMIFS('Datos'!$F$7:$F$552,'Datos'!$B$7:$B$552,Filtros!$D$5,'Datos'!$C$7:$C$552,J45)</x:f>
        <x:v>19936.289999999997</x:v>
      </x:c>
      <x:c r="L45" s="3" t="n">
        <x:f>SUMIFS('Datos'!$G$7:$G$552,'Datos'!$B$7:$B$552,Filtros!$D$5,'Datos'!$C$7:$C$552,J45)</x:f>
        <x:v>25</x:v>
      </x:c>
      <x:c r="M45" s="3"/>
      <x:c r="N45" s="3"/>
      <x:c r="O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 t="str">
        <x:v>Finland</x:v>
      </x:c>
      <x:c r="K46" s="13" t="n">
        <x:f>SUMIFS('Datos'!$F$7:$F$552,'Datos'!$B$7:$B$552,Filtros!$D$5,'Datos'!$C$7:$C$552,J46)</x:f>
        <x:v>18303.54</x:v>
      </x:c>
      <x:c r="L46" s="3" t="n">
        <x:f>SUMIFS('Datos'!$G$7:$G$552,'Datos'!$B$7:$B$552,Filtros!$D$5,'Datos'!$C$7:$C$552,J46)</x:f>
        <x:v>40</x:v>
      </x:c>
      <x:c r="M46" s="3"/>
      <x:c r="N46" s="3"/>
      <x:c r="O46" s="3"/>
    </x:row>
    <x:row r="47" ht="22" customHeight="1">
      <x:c r="A47" s="3"/>
      <x:c r="B47" s="3" t="str">
        <x:v>La tendencia usa el país; la tabla de países usa el mes. Las tarjetas usan ambos filtros.</x:v>
      </x:c>
      <x:c r="C47" s="3"/>
      <x:c r="D47" s="3"/>
      <x:c r="E47" s="3"/>
      <x:c r="F47" s="3"/>
      <x:c r="G47" s="3"/>
      <x:c r="H47" s="3"/>
      <x:c r="I47" s="3"/>
      <x:c r="J47" s="3" t="str">
        <x:v>Denmark</x:v>
      </x:c>
      <x:c r="K47" s="13" t="n">
        <x:f>SUMIFS('Datos'!$F$7:$F$552,'Datos'!$B$7:$B$552,Filtros!$D$5,'Datos'!$C$7:$C$552,J47)</x:f>
        <x:v>18042.14</x:v>
      </x:c>
      <x:c r="L47" s="3" t="n">
        <x:f>SUMIFS('Datos'!$G$7:$G$552,'Datos'!$B$7:$B$552,Filtros!$D$5,'Datos'!$C$7:$C$552,J47)</x:f>
        <x:v>18</x:v>
      </x:c>
      <x:c r="M47" s="3"/>
      <x:c r="N47" s="3"/>
      <x:c r="O47" s="3"/>
    </x:row>
    <x:row r="48" ht="22" customHeight="1">
      <x:c r="A48" s="3"/>
      <x:c r="B48" s="3" t="str">
        <x:v>El gráfico compara los cinco mayores mercados del periodo total; el grupo se mantiene al cambiar mes.</x:v>
      </x:c>
      <x:c r="C48" s="3"/>
      <x:c r="D48" s="3"/>
      <x:c r="E48" s="3"/>
      <x:c r="F48" s="3"/>
      <x:c r="G48" s="3"/>
      <x:c r="H48" s="3"/>
      <x:c r="I48" s="3"/>
      <x:c r="J48" s="3" t="str">
        <x:v>Italy</x:v>
      </x:c>
      <x:c r="K48" s="13" t="n">
        <x:f>SUMIFS('Datos'!$F$7:$F$552,'Datos'!$B$7:$B$552,Filtros!$D$5,'Datos'!$C$7:$C$552,J48)</x:f>
        <x:v>15276.34</x:v>
      </x:c>
      <x:c r="L48" s="3" t="n">
        <x:f>SUMIFS('Datos'!$G$7:$G$552,'Datos'!$B$7:$B$552,Filtros!$D$5,'Datos'!$C$7:$C$552,J48)</x:f>
        <x:v>35</x:v>
      </x:c>
      <x:c r="M48" s="3"/>
      <x:c r="N48" s="3"/>
      <x:c r="O48" s="3"/>
    </x:row>
    <x:row r="49" ht="22" customHeight="1">
      <x:c r="A49" s="3"/>
      <x:c r="B49" s="3" t="str">
        <x:v>Clientes distintos y pedidos se calculan por selección: no se suman clientes de meses diferentes.</x:v>
      </x:c>
      <x:c r="C49" s="3"/>
      <x:c r="D49" s="3"/>
      <x:c r="E49" s="3"/>
      <x:c r="F49" s="3"/>
      <x:c r="G49" s="3"/>
      <x:c r="H49" s="3"/>
      <x:c r="I49" s="3"/>
      <x:c r="J49" s="3" t="str">
        <x:v>Cyprus</x:v>
      </x:c>
      <x:c r="K49" s="13" t="n">
        <x:f>SUMIFS('Datos'!$F$7:$F$552,'Datos'!$B$7:$B$552,Filtros!$D$5,'Datos'!$C$7:$C$552,J49)</x:f>
        <x:v>12931.29</x:v>
      </x:c>
      <x:c r="L49" s="3" t="n">
        <x:f>SUMIFS('Datos'!$G$7:$G$552,'Datos'!$B$7:$B$552,Filtros!$D$5,'Datos'!$C$7:$C$552,J49)</x:f>
        <x:v>14</x:v>
      </x:c>
      <x:c r="M49" s="3"/>
      <x:c r="N49" s="3"/>
      <x:c r="O49" s="3"/>
    </x:row>
    <x:row r="50" ht="22" customHeight="1">
      <x:c r="A50" s="3"/>
      <x:c r="B50" s="3" t="str">
        <x:v>Datos de entrada y fórmulas: Datos. Decisiones de limpieza y conciliación: Validación.</x:v>
      </x:c>
      <x:c r="C50" s="3"/>
      <x:c r="D50" s="3"/>
      <x:c r="E50" s="3"/>
      <x:c r="F50" s="3"/>
      <x:c r="G50" s="3"/>
      <x:c r="H50" s="3"/>
      <x:c r="I50" s="3"/>
      <x:c r="J50" s="3" t="str">
        <x:v>Hong Kong</x:v>
      </x:c>
      <x:c r="K50" s="13" t="n">
        <x:f>SUMIFS('Datos'!$F$7:$F$552,'Datos'!$B$7:$B$552,Filtros!$D$5,'Datos'!$C$7:$C$552,J50)</x:f>
        <x:v>9942.039999999999</x:v>
      </x:c>
      <x:c r="L50" s="3" t="n">
        <x:f>SUMIFS('Datos'!$G$7:$G$552,'Datos'!$B$7:$B$552,Filtros!$D$5,'Datos'!$C$7:$C$552,J50)</x:f>
        <x:v>7</x:v>
      </x:c>
      <x:c r="M50" s="3"/>
      <x:c r="N50" s="3"/>
      <x:c r="O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 t="str">
        <x:v>Singapore</x:v>
      </x:c>
      <x:c r="K51" s="13" t="n">
        <x:f>SUMIFS('Datos'!$F$7:$F$552,'Datos'!$B$7:$B$552,Filtros!$D$5,'Datos'!$C$7:$C$552,J51)</x:f>
        <x:v>9120.39</x:v>
      </x:c>
      <x:c r="L51" s="3" t="n">
        <x:f>SUMIFS('Datos'!$G$7:$G$552,'Datos'!$B$7:$B$552,Filtros!$D$5,'Datos'!$C$7:$C$552,J51)</x:f>
        <x:v>4</x:v>
      </x:c>
      <x:c r="M51" s="3"/>
      <x:c r="N51" s="3"/>
      <x:c r="O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 t="str">
        <x:v>Austria</x:v>
      </x:c>
      <x:c r="K52" s="13" t="n">
        <x:f>SUMIFS('Datos'!$F$7:$F$552,'Datos'!$B$7:$B$552,Filtros!$D$5,'Datos'!$C$7:$C$552,J52)</x:f>
        <x:v>8698.32</x:v>
      </x:c>
      <x:c r="L52" s="3" t="n">
        <x:f>SUMIFS('Datos'!$G$7:$G$552,'Datos'!$B$7:$B$552,Filtros!$D$5,'Datos'!$C$7:$C$552,J52)</x:f>
        <x:v>17</x:v>
      </x:c>
      <x:c r="M52" s="3"/>
      <x:c r="N52" s="3"/>
      <x:c r="O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 t="str">
        <x:v>Israel</x:v>
      </x:c>
      <x:c r="K53" s="13" t="n">
        <x:f>SUMIFS('Datos'!$F$7:$F$552,'Datos'!$B$7:$B$552,Filtros!$D$5,'Datos'!$C$7:$C$552,J53)</x:f>
        <x:v>7907.820000000001</x:v>
      </x:c>
      <x:c r="L53" s="3" t="n">
        <x:f>SUMIFS('Datos'!$G$7:$G$552,'Datos'!$B$7:$B$552,Filtros!$D$5,'Datos'!$C$7:$C$552,J53)</x:f>
        <x:v>8</x:v>
      </x:c>
      <x:c r="M53" s="3"/>
      <x:c r="N53" s="3"/>
      <x:c r="O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 t="str">
        <x:v>Poland</x:v>
      </x:c>
      <x:c r="K54" s="13" t="n">
        <x:f>SUMIFS('Datos'!$F$7:$F$552,'Datos'!$B$7:$B$552,Filtros!$D$5,'Datos'!$C$7:$C$552,J54)</x:f>
        <x:v>6853.139999999999</x:v>
      </x:c>
      <x:c r="L54" s="3" t="n">
        <x:f>SUMIFS('Datos'!$G$7:$G$552,'Datos'!$B$7:$B$552,Filtros!$D$5,'Datos'!$C$7:$C$552,J54)</x:f>
        <x:v>19</x:v>
      </x:c>
      <x:c r="M54" s="3"/>
      <x:c r="N54" s="3"/>
      <x:c r="O54" s="3"/>
    </x:row>
    <x:row r="55">
      <x:c r="J55" t="str">
        <x:v>Unspecified</x:v>
      </x:c>
      <x:c r="K55" s="46" t="n">
        <x:f>SUMIFS('Datos'!$F$7:$F$552,'Datos'!$B$7:$B$552,Filtros!$D$5,'Datos'!$C$7:$C$552,J55)</x:f>
        <x:v>4749.79</x:v>
      </x:c>
      <x:c r="L55" t="n">
        <x:f>SUMIFS('Datos'!$G$7:$G$552,'Datos'!$B$7:$B$552,Filtros!$D$5,'Datos'!$C$7:$C$552,J55)</x:f>
        <x:v>13</x:v>
      </x:c>
    </x:row>
    <x:row r="56">
      <x:c r="J56" t="str">
        <x:v>Greece</x:v>
      </x:c>
      <x:c r="K56" s="46" t="n">
        <x:f>SUMIFS('Datos'!$F$7:$F$552,'Datos'!$B$7:$B$552,Filtros!$D$5,'Datos'!$C$7:$C$552,J56)</x:f>
        <x:v>4425.52</x:v>
      </x:c>
      <x:c r="L56" t="n">
        <x:f>SUMIFS('Datos'!$G$7:$G$552,'Datos'!$B$7:$B$552,Filtros!$D$5,'Datos'!$C$7:$C$552,J56)</x:f>
        <x:v>5</x:v>
      </x:c>
    </x:row>
    <x:row r="57">
      <x:c r="J57" t="str">
        <x:v>Iceland</x:v>
      </x:c>
      <x:c r="K57" s="46" t="n">
        <x:f>SUMIFS('Datos'!$F$7:$F$552,'Datos'!$B$7:$B$552,Filtros!$D$5,'Datos'!$C$7:$C$552,J57)</x:f>
        <x:v>4310</x:v>
      </x:c>
      <x:c r="L57" t="n">
        <x:f>SUMIFS('Datos'!$G$7:$G$552,'Datos'!$B$7:$B$552,Filtros!$D$5,'Datos'!$C$7:$C$552,J57)</x:f>
        <x:v>7</x:v>
      </x:c>
    </x:row>
    <x:row r="58">
      <x:c r="J58" t="str">
        <x:v>Canada</x:v>
      </x:c>
      <x:c r="K58" s="46" t="n">
        <x:f>SUMIFS('Datos'!$F$7:$F$552,'Datos'!$B$7:$B$552,Filtros!$D$5,'Datos'!$C$7:$C$552,J58)</x:f>
        <x:v>3115.44</x:v>
      </x:c>
      <x:c r="L58" t="n">
        <x:f>SUMIFS('Datos'!$G$7:$G$552,'Datos'!$B$7:$B$552,Filtros!$D$5,'Datos'!$C$7:$C$552,J58)</x:f>
        <x:v>5</x:v>
      </x:c>
    </x:row>
    <x:row r="59">
      <x:c r="J59" t="str">
        <x:v>Malta</x:v>
      </x:c>
      <x:c r="K59" s="46" t="n">
        <x:f>SUMIFS('Datos'!$F$7:$F$552,'Datos'!$B$7:$B$552,Filtros!$D$5,'Datos'!$C$7:$C$552,J59)</x:f>
        <x:v>1980.4700000000003</x:v>
      </x:c>
      <x:c r="L59" t="n">
        <x:f>SUMIFS('Datos'!$G$7:$G$552,'Datos'!$B$7:$B$552,Filtros!$D$5,'Datos'!$C$7:$C$552,J59)</x:f>
        <x:v>5</x:v>
      </x:c>
    </x:row>
    <x:row r="60">
      <x:c r="J60" t="str">
        <x:v>United Arab Emirates</x:v>
      </x:c>
      <x:c r="K60" s="46" t="n">
        <x:f>SUMIFS('Datos'!$F$7:$F$552,'Datos'!$B$7:$B$552,Filtros!$D$5,'Datos'!$C$7:$C$552,J60)</x:f>
        <x:v>1864.78</x:v>
      </x:c>
      <x:c r="L60" t="n">
        <x:f>SUMIFS('Datos'!$G$7:$G$552,'Datos'!$B$7:$B$552,Filtros!$D$5,'Datos'!$C$7:$C$552,J60)</x:f>
        <x:v>2</x:v>
      </x:c>
    </x:row>
    <x:row r="61">
      <x:c r="J61" t="str">
        <x:v>USA</x:v>
      </x:c>
      <x:c r="K61" s="46" t="n">
        <x:f>SUMIFS('Datos'!$F$7:$F$552,'Datos'!$B$7:$B$552,Filtros!$D$5,'Datos'!$C$7:$C$552,J61)</x:f>
        <x:v>1730.9199999999998</x:v>
      </x:c>
      <x:c r="L61" t="n">
        <x:f>SUMIFS('Datos'!$G$7:$G$552,'Datos'!$B$7:$B$552,Filtros!$D$5,'Datos'!$C$7:$C$552,J61)</x:f>
        <x:v>5</x:v>
      </x:c>
    </x:row>
    <x:row r="62">
      <x:c r="J62" t="str">
        <x:v>Lebanon</x:v>
      </x:c>
      <x:c r="K62" s="46" t="n">
        <x:f>SUMIFS('Datos'!$F$7:$F$552,'Datos'!$B$7:$B$552,Filtros!$D$5,'Datos'!$C$7:$C$552,J62)</x:f>
        <x:v>1693.88</x:v>
      </x:c>
      <x:c r="L62" t="n">
        <x:f>SUMIFS('Datos'!$G$7:$G$552,'Datos'!$B$7:$B$552,Filtros!$D$5,'Datos'!$C$7:$C$552,J62)</x:f>
        <x:v>1</x:v>
      </x:c>
    </x:row>
    <x:row r="63">
      <x:c r="J63" t="str">
        <x:v>Lithuania</x:v>
      </x:c>
      <x:c r="K63" s="46" t="n">
        <x:f>SUMIFS('Datos'!$F$7:$F$552,'Datos'!$B$7:$B$552,Filtros!$D$5,'Datos'!$C$7:$C$552,J63)</x:f>
        <x:v>1661.06</x:v>
      </x:c>
      <x:c r="L63" t="n">
        <x:f>SUMIFS('Datos'!$G$7:$G$552,'Datos'!$B$7:$B$552,Filtros!$D$5,'Datos'!$C$7:$C$552,J63)</x:f>
        <x:v>4</x:v>
      </x:c>
    </x:row>
    <x:row r="64">
      <x:c r="J64" t="str">
        <x:v>European Community</x:v>
      </x:c>
      <x:c r="K64" s="46" t="n">
        <x:f>SUMIFS('Datos'!$F$7:$F$552,'Datos'!$B$7:$B$552,Filtros!$D$5,'Datos'!$C$7:$C$552,J64)</x:f>
        <x:v>1150.75</x:v>
      </x:c>
      <x:c r="L64" t="n">
        <x:f>SUMIFS('Datos'!$G$7:$G$552,'Datos'!$B$7:$B$552,Filtros!$D$5,'Datos'!$C$7:$C$552,J64)</x:f>
        <x:v>3</x:v>
      </x:c>
    </x:row>
    <x:row r="65">
      <x:c r="J65" t="str">
        <x:v>Brazil</x:v>
      </x:c>
      <x:c r="K65" s="46" t="n">
        <x:f>SUMIFS('Datos'!$F$7:$F$552,'Datos'!$B$7:$B$552,Filtros!$D$5,'Datos'!$C$7:$C$552,J65)</x:f>
        <x:v>1143.6</x:v>
      </x:c>
      <x:c r="L65" t="n">
        <x:f>SUMIFS('Datos'!$G$7:$G$552,'Datos'!$B$7:$B$552,Filtros!$D$5,'Datos'!$C$7:$C$552,J65)</x:f>
        <x:v>1</x:v>
      </x:c>
    </x:row>
    <x:row r="66">
      <x:c r="J66" t="str">
        <x:v>RSA</x:v>
      </x:c>
      <x:c r="K66" s="46" t="n">
        <x:f>SUMIFS('Datos'!$F$7:$F$552,'Datos'!$B$7:$B$552,Filtros!$D$5,'Datos'!$C$7:$C$552,J66)</x:f>
        <x:v>1002.31</x:v>
      </x:c>
      <x:c r="L66" t="n">
        <x:f>SUMIFS('Datos'!$G$7:$G$552,'Datos'!$B$7:$B$552,Filtros!$D$5,'Datos'!$C$7:$C$552,J66)</x:f>
        <x:v>1</x:v>
      </x:c>
    </x:row>
    <x:row r="67">
      <x:c r="J67" t="str">
        <x:v>Czech Republic</x:v>
      </x:c>
      <x:c r="K67" s="46" t="n">
        <x:f>SUMIFS('Datos'!$F$7:$F$552,'Datos'!$B$7:$B$552,Filtros!$D$5,'Datos'!$C$7:$C$552,J67)</x:f>
        <x:v>671.72</x:v>
      </x:c>
      <x:c r="L67" t="n">
        <x:f>SUMIFS('Datos'!$G$7:$G$552,'Datos'!$B$7:$B$552,Filtros!$D$5,'Datos'!$C$7:$C$552,J67)</x:f>
        <x:v>2</x:v>
      </x:c>
    </x:row>
    <x:row r="68">
      <x:c r="J68" t="str">
        <x:v>Bahrain</x:v>
      </x:c>
      <x:c r="K68" s="46" t="n">
        <x:f>SUMIFS('Datos'!$F$7:$F$552,'Datos'!$B$7:$B$552,Filtros!$D$5,'Datos'!$C$7:$C$552,J68)</x:f>
        <x:v>548.4</x:v>
      </x:c>
      <x:c r="L68" t="n">
        <x:f>SUMIFS('Datos'!$G$7:$G$552,'Datos'!$B$7:$B$552,Filtros!$D$5,'Datos'!$C$7:$C$552,J68)</x:f>
        <x:v>3</x:v>
      </x:c>
    </x:row>
    <x:row r="69">
      <x:c r="J69" t="str">
        <x:v>Saudi Arabia</x:v>
      </x:c>
      <x:c r="K69" s="46" t="n">
        <x:f>SUMIFS('Datos'!$F$7:$F$552,'Datos'!$B$7:$B$552,Filtros!$D$5,'Datos'!$C$7:$C$552,J69)</x:f>
        <x:v>131.17</x:v>
      </x:c>
      <x:c r="L69" t="n">
        <x:f>SUMIFS('Datos'!$G$7:$G$552,'Datos'!$B$7:$B$552,Filtros!$D$5,'Datos'!$C$7:$C$552,J69)</x:f>
        <x:v>1</x:v>
      </x:c>
    </x:row>
    <x:row r="70">
      <x:c r="K70" s="46"/>
    </x:row>
  </x:sheetData>
  <x:mergeCells>
    <x:mergeCell ref="B8:D8"/>
    <x:mergeCell ref="F8:H8"/>
    <x:mergeCell ref="J8:L8"/>
    <x:mergeCell ref="B11:D11"/>
    <x:mergeCell ref="F11:H11"/>
    <x:mergeCell ref="J11:L11"/>
  </x:mergeCells>
  <x:pageMargins left="0.7" right="0.7" top="0.75" bottom="0.75" header="0.3" footer="0.3"/>
  <x:drawing xmlns:r="http://schemas.openxmlformats.org/officeDocument/2006/relationships" r:id="R3073ea6992b94ea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4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5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2" customHeight="1">
      <x:c r="A2" s="3"/>
      <x:c r="B2" s="4" t="str">
        <x:v>RETAIL / SIGNAL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34" customHeight="1">
      <x:c r="A3" s="3"/>
      <x:c r="B3" s="5" t="str">
        <x:v>Controles del dashboard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 ht="22" customHeight="1">
      <x:c r="A4" s="3"/>
      <x:c r="B4" s="7" t="str">
        <x:v>Datos históricos en GBP. Solo las celdas amarillas son controles.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</x:row>
    <x:row r="5" ht="22" customHeight="1">
      <x:c r="A5" s="3"/>
      <x:c r="B5" s="3" t="str">
        <x:v>Mes</x:v>
      </x:c>
      <x:c r="C5" s="3"/>
      <x:c r="D5" s="8" t="str">
        <x:v>Todos</x:v>
      </x:c>
      <x:c r="E5" s="3"/>
      <x:c r="F5" s="3"/>
      <x:c r="G5" s="3"/>
      <x:c r="H5" s="3"/>
      <x:c r="I5" s="3"/>
      <x:c r="J5" s="3" t="str">
        <x:v>Meses</x:v>
      </x:c>
      <x:c r="K5" s="3" t="str">
        <x:v>Países</x:v>
      </x:c>
      <x:c r="L5" s="3"/>
      <x:c r="M5" s="3"/>
      <x:c r="N5" s="3"/>
      <x:c r="O5" s="3"/>
    </x:row>
    <x:row r="6" ht="22" customHeight="1">
      <x:c r="A6" s="3"/>
      <x:c r="B6" s="3" t="str">
        <x:v>País</x:v>
      </x:c>
      <x:c r="C6" s="3"/>
      <x:c r="D6" s="8" t="str">
        <x:v>Todos</x:v>
      </x:c>
      <x:c r="E6" s="3"/>
      <x:c r="F6" s="3"/>
      <x:c r="G6" s="3"/>
      <x:c r="H6" s="3"/>
      <x:c r="I6" s="3"/>
      <x:c r="J6" s="3" t="str">
        <x:v>Todos</x:v>
      </x:c>
      <x:c r="K6" s="3" t="str">
        <x:v>Todos</x:v>
      </x:c>
      <x:c r="L6" s="3"/>
      <x:c r="M6" s="3"/>
      <x:c r="N6" s="3"/>
      <x:c r="O6" s="3"/>
    </x:row>
    <x:row r="7" ht="22" customHeight="1">
      <x:c r="A7" s="3"/>
      <x:c r="B7" s="3"/>
      <x:c r="C7" s="3"/>
      <x:c r="D7" s="3"/>
      <x:c r="E7" s="3"/>
      <x:c r="F7" s="3"/>
      <x:c r="G7" s="3"/>
      <x:c r="H7" s="3"/>
      <x:c r="I7" s="3"/>
      <x:c r="J7" s="3" t="str">
        <x:v>2010-12</x:v>
      </x:c>
      <x:c r="K7" s="3" t="str">
        <x:v>Australia</x:v>
      </x:c>
      <x:c r="L7" s="3"/>
      <x:c r="M7" s="3"/>
      <x:c r="N7" s="3"/>
      <x:c r="O7" s="3"/>
    </x:row>
    <x:row r="8" ht="22" customHeight="1">
      <x:c r="A8" s="3"/>
      <x:c r="B8" s="3"/>
      <x:c r="C8" s="3"/>
      <x:c r="D8" s="3"/>
      <x:c r="E8" s="3"/>
      <x:c r="F8" s="3"/>
      <x:c r="G8" s="3"/>
      <x:c r="H8" s="3"/>
      <x:c r="I8" s="3"/>
      <x:c r="J8" s="3" t="str">
        <x:v>2011-01</x:v>
      </x:c>
      <x:c r="K8" s="3" t="str">
        <x:v>Austria</x:v>
      </x:c>
      <x:c r="L8" s="3"/>
      <x:c r="M8" s="3"/>
      <x:c r="N8" s="3"/>
      <x:c r="O8" s="3"/>
    </x:row>
    <x:row r="9" ht="22" customHeight="1">
      <x:c r="A9" s="3"/>
      <x:c r="B9" s="3" t="str">
        <x:v>Alcance: productos con precio positivo y documento con signo válido.</x:v>
      </x:c>
      <x:c r="C9" s="3"/>
      <x:c r="D9" s="3"/>
      <x:c r="E9" s="3"/>
      <x:c r="F9" s="3"/>
      <x:c r="G9" s="3"/>
      <x:c r="H9" s="3"/>
      <x:c r="I9" s="3"/>
      <x:c r="J9" s="3" t="str">
        <x:v>2011-02</x:v>
      </x:c>
      <x:c r="K9" s="3" t="str">
        <x:v>Bahrain</x:v>
      </x:c>
      <x:c r="L9" s="3"/>
      <x:c r="M9" s="3"/>
      <x:c r="N9" s="3"/>
      <x:c r="O9" s="3"/>
    </x:row>
    <x:row r="10" ht="22" customHeight="1">
      <x:c r="A10" s="3"/>
      <x:c r="B10" s="3" t="str">
        <x:v>Los posibles duplicados se conservan. Validación muestra la sensibilidad.</x:v>
      </x:c>
      <x:c r="C10" s="3"/>
      <x:c r="D10" s="3"/>
      <x:c r="E10" s="3"/>
      <x:c r="F10" s="3"/>
      <x:c r="G10" s="3"/>
      <x:c r="H10" s="3"/>
      <x:c r="I10" s="3"/>
      <x:c r="J10" s="3" t="str">
        <x:v>2011-03</x:v>
      </x:c>
      <x:c r="K10" s="3" t="str">
        <x:v>Belgium</x:v>
      </x:c>
      <x:c r="L10" s="3"/>
      <x:c r="M10" s="3"/>
      <x:c r="N10" s="3"/>
      <x:c r="O10" s="3"/>
    </x:row>
    <x:row r="11" ht="22" customHeight="1">
      <x:c r="A11" s="3"/>
      <x:c r="B11" s="3" t="str">
        <x:v>Los filtros controlan Resumen. Productos, Clientes y Países cubren todo el periodo.</x:v>
      </x:c>
      <x:c r="C11" s="3"/>
      <x:c r="D11" s="3"/>
      <x:c r="E11" s="3"/>
      <x:c r="F11" s="3"/>
      <x:c r="G11" s="3"/>
      <x:c r="H11" s="3"/>
      <x:c r="I11" s="3"/>
      <x:c r="J11" s="3" t="str">
        <x:v>2011-04</x:v>
      </x:c>
      <x:c r="K11" s="3" t="str">
        <x:v>Brazil</x:v>
      </x:c>
      <x:c r="L11" s="3"/>
      <x:c r="M11" s="3"/>
      <x:c r="N11" s="3"/>
      <x:c r="O11" s="3"/>
    </x:row>
    <x:row r="12" ht="22" customHeight="1">
      <x:c r="A12" s="3"/>
      <x:c r="B12" s="3" t="str">
        <x:v>Los abonos se registran en su fecha; no se asignan a una venta original.</x:v>
      </x:c>
      <x:c r="C12" s="3"/>
      <x:c r="D12" s="3"/>
      <x:c r="E12" s="3"/>
      <x:c r="F12" s="3"/>
      <x:c r="G12" s="3"/>
      <x:c r="H12" s="3"/>
      <x:c r="I12" s="3"/>
      <x:c r="J12" s="3" t="str">
        <x:v>2011-05</x:v>
      </x:c>
      <x:c r="K12" s="3" t="str">
        <x:v>Canada</x:v>
      </x:c>
      <x:c r="L12" s="3"/>
      <x:c r="M12" s="3"/>
      <x:c r="N12" s="3"/>
      <x:c r="O12" s="3"/>
    </x:row>
    <x:row r="13" ht="22" customHeight="1">
      <x:c r="A13" s="3"/>
      <x:c r="B13" s="3" t="str">
        <x:v>Diciembre de 2011 es parcial (1–9). No comparar con un mes completo.</x:v>
      </x:c>
      <x:c r="C13" s="3"/>
      <x:c r="D13" s="3"/>
      <x:c r="E13" s="3"/>
      <x:c r="F13" s="3"/>
      <x:c r="G13" s="3"/>
      <x:c r="H13" s="3"/>
      <x:c r="I13" s="3"/>
      <x:c r="J13" s="3" t="str">
        <x:v>2011-06</x:v>
      </x:c>
      <x:c r="K13" s="3" t="str">
        <x:v>Channel Islands</x:v>
      </x:c>
      <x:c r="L13" s="3"/>
      <x:c r="M13" s="3"/>
      <x:c r="N13" s="3"/>
      <x:c r="O13" s="3"/>
    </x:row>
    <x:row r="14" ht="22" customHeight="1">
      <x:c r="A14" s="3"/>
      <x:c r="B14" s="3" t="str">
        <x:v>Para refrescar: ejecutar src/analyze.py y reconstruir el libro con el script entregado.</x:v>
      </x:c>
      <x:c r="C14" s="3"/>
      <x:c r="D14" s="3"/>
      <x:c r="E14" s="3"/>
      <x:c r="F14" s="3"/>
      <x:c r="G14" s="3"/>
      <x:c r="H14" s="3"/>
      <x:c r="I14" s="3"/>
      <x:c r="J14" s="3" t="str">
        <x:v>2011-07</x:v>
      </x:c>
      <x:c r="K14" s="3" t="str">
        <x:v>Cyprus</x:v>
      </x:c>
      <x:c r="L14" s="3"/>
      <x:c r="M14" s="3"/>
      <x:c r="N14" s="3"/>
      <x:c r="O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 t="str">
        <x:v>2011-08</x:v>
      </x:c>
      <x:c r="K15" s="3" t="str">
        <x:v>Czech Republic</x:v>
      </x:c>
      <x:c r="L15" s="3"/>
      <x:c r="M15" s="3"/>
      <x:c r="N15" s="3"/>
      <x:c r="O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 t="str">
        <x:v>2011-09</x:v>
      </x:c>
      <x:c r="K16" s="3" t="str">
        <x:v>Denmark</x:v>
      </x:c>
      <x:c r="L16" s="3"/>
      <x:c r="M16" s="3"/>
      <x:c r="N16" s="3"/>
      <x:c r="O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 t="str">
        <x:v>2011-10</x:v>
      </x:c>
      <x:c r="K17" s="3" t="str">
        <x:v>EIRE</x:v>
      </x:c>
      <x:c r="L17" s="3"/>
      <x:c r="M17" s="3"/>
      <x:c r="N17" s="3"/>
      <x:c r="O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 t="str">
        <x:v>2011-11</x:v>
      </x:c>
      <x:c r="K18" s="3" t="str">
        <x:v>European Community</x:v>
      </x:c>
      <x:c r="L18" s="3"/>
      <x:c r="M18" s="3"/>
      <x:c r="N18" s="3"/>
      <x:c r="O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 t="str">
        <x:v>2011-12</x:v>
      </x:c>
      <x:c r="K19" s="3" t="str">
        <x:v>Finland</x:v>
      </x:c>
      <x:c r="L19" s="3"/>
      <x:c r="M19" s="3"/>
      <x:c r="N19" s="3"/>
      <x:c r="O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 t="str">
        <x:v>France</x:v>
      </x:c>
      <x:c r="L20" s="3"/>
      <x:c r="M20" s="3"/>
      <x:c r="N20" s="3"/>
      <x:c r="O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 t="str">
        <x:v>Germany</x:v>
      </x:c>
      <x:c r="L21" s="3"/>
      <x:c r="M21" s="3"/>
      <x:c r="N21" s="3"/>
      <x:c r="O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 t="str">
        <x:v>Greece</x:v>
      </x:c>
      <x:c r="L22" s="3"/>
      <x:c r="M22" s="3"/>
      <x:c r="N22" s="3"/>
      <x:c r="O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 t="str">
        <x:v>Hong Kong</x:v>
      </x:c>
      <x:c r="L23" s="3"/>
      <x:c r="M23" s="3"/>
      <x:c r="N23" s="3"/>
      <x:c r="O23" s="3"/>
    </x:row>
    <x:row r="24" ht="22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 t="str">
        <x:v>Iceland</x:v>
      </x:c>
      <x:c r="L24" s="3"/>
      <x:c r="M24" s="3"/>
      <x:c r="N24" s="3"/>
      <x:c r="O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 t="str">
        <x:v>Israel</x:v>
      </x:c>
      <x:c r="L25" s="3"/>
      <x:c r="M25" s="3"/>
      <x:c r="N25" s="3"/>
      <x:c r="O25" s="3"/>
    </x:row>
    <x:row r="26" ht="2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 t="str">
        <x:v>Italy</x:v>
      </x:c>
      <x:c r="L26" s="3"/>
      <x:c r="M26" s="3"/>
      <x:c r="N26" s="3"/>
      <x:c r="O26" s="3"/>
    </x:row>
    <x:row r="27" ht="2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 t="str">
        <x:v>Japan</x:v>
      </x:c>
      <x:c r="L27" s="3"/>
      <x:c r="M27" s="3"/>
      <x:c r="N27" s="3"/>
      <x:c r="O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 t="str">
        <x:v>Lebanon</x:v>
      </x:c>
      <x:c r="L28" s="3"/>
      <x:c r="M28" s="3"/>
      <x:c r="N28" s="3"/>
      <x:c r="O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 t="str">
        <x:v>Lithuania</x:v>
      </x:c>
      <x:c r="L29" s="3"/>
      <x:c r="M29" s="3"/>
      <x:c r="N29" s="3"/>
      <x:c r="O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 t="str">
        <x:v>Malta</x:v>
      </x:c>
      <x:c r="L30" s="3"/>
      <x:c r="M30" s="3"/>
      <x:c r="N30" s="3"/>
      <x:c r="O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 t="str">
        <x:v>Netherlands</x:v>
      </x:c>
      <x:c r="L31" s="3"/>
      <x:c r="M31" s="3"/>
      <x:c r="N31" s="3"/>
      <x:c r="O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 t="str">
        <x:v>Norway</x:v>
      </x:c>
      <x:c r="L32" s="3"/>
      <x:c r="M32" s="3"/>
      <x:c r="N32" s="3"/>
      <x:c r="O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 t="str">
        <x:v>Poland</x:v>
      </x:c>
      <x:c r="L33" s="3"/>
      <x:c r="M33" s="3"/>
      <x:c r="N33" s="3"/>
      <x:c r="O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 t="str">
        <x:v>Portugal</x:v>
      </x:c>
      <x:c r="L34" s="3"/>
      <x:c r="M34" s="3"/>
      <x:c r="N34" s="3"/>
      <x:c r="O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 t="str">
        <x:v>RSA</x:v>
      </x:c>
      <x:c r="L35" s="3"/>
      <x:c r="M35" s="3"/>
      <x:c r="N35" s="3"/>
      <x:c r="O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 t="str">
        <x:v>Saudi Arabia</x:v>
      </x:c>
      <x:c r="L36" s="3"/>
      <x:c r="M36" s="3"/>
      <x:c r="N36" s="3"/>
      <x:c r="O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 t="str">
        <x:v>Singapore</x:v>
      </x:c>
      <x:c r="L37" s="3"/>
      <x:c r="M37" s="3"/>
      <x:c r="N37" s="3"/>
      <x:c r="O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 t="str">
        <x:v>Spain</x:v>
      </x:c>
      <x:c r="L38" s="3"/>
      <x:c r="M38" s="3"/>
      <x:c r="N38" s="3"/>
      <x:c r="O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 t="str">
        <x:v>Sweden</x:v>
      </x:c>
      <x:c r="L39" s="3"/>
      <x:c r="M39" s="3"/>
      <x:c r="N39" s="3"/>
      <x:c r="O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 t="str">
        <x:v>Switzerland</x:v>
      </x:c>
      <x:c r="L40" s="3"/>
      <x:c r="M40" s="3"/>
      <x:c r="N40" s="3"/>
      <x:c r="O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 t="str">
        <x:v>USA</x:v>
      </x:c>
      <x:c r="L41" s="3"/>
      <x:c r="M41" s="3"/>
      <x:c r="N41" s="3"/>
      <x:c r="O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 t="str">
        <x:v>United Arab Emirates</x:v>
      </x:c>
      <x:c r="L42" s="3"/>
      <x:c r="M42" s="3"/>
      <x:c r="N42" s="3"/>
      <x:c r="O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 t="str">
        <x:v>United Kingdom</x:v>
      </x:c>
      <x:c r="L43" s="3"/>
      <x:c r="M43" s="3"/>
      <x:c r="N43" s="3"/>
      <x:c r="O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 t="str">
        <x:v>Unspecified</x:v>
      </x:c>
      <x:c r="L44" s="3"/>
      <x:c r="M44" s="3"/>
      <x:c r="N44" s="3"/>
      <x:c r="O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</x:row>
  </x:sheetData>
  <x:dataValidations count="2">
    <x:dataValidation type="list" errorStyle="stop" showErrorMessage="1" errorTitle="Mes no válido" error="Seleccione un mes de la lista." sqref="D5">
      <x:formula1>Filtros!$J$6:$J$19</x:formula1>
    </x:dataValidation>
    <x:dataValidation type="list" errorStyle="stop" showErrorMessage="1" errorTitle="País no válido" error="Seleccione un país de la lista." sqref="D6">
      <x:formula1>Filtros!$K$6:$K$44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4" hidden="0" customWidth="1"/>
    <x:col min="3" max="3" width="2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2" customHeight="1">
      <x:c r="A2" s="3"/>
      <x:c r="B2" s="4" t="str">
        <x:v>RETAIL / SIGNAL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3"/>
    </x:row>
    <x:row r="3" ht="34" customHeight="1">
      <x:c r="A3" s="3"/>
      <x:c r="B3" s="5" t="str">
        <x:v>Agregados de ventas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3"/>
    </x:row>
    <x:row r="4" ht="22" customHeight="1">
      <x:c r="A4" s="3"/>
      <x:c r="B4" s="7" t="str">
        <x:v>Fuente: Online Retail.xlsx (archivo del usuario); UCI https://doi.org/10.24432/C5BW33. Análisis: src/analyze.py.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3"/>
    </x:row>
    <x:row r="5" ht="2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30" customHeight="1">
      <x:c r="A6" s="3"/>
      <x:c r="B6" s="12" t="str">
        <x:v>Mes</x:v>
      </x:c>
      <x:c r="C6" s="12" t="str">
        <x:v>País</x:v>
      </x:c>
      <x:c r="D6" s="12" t="str">
        <x:v>Bruto GBP</x:v>
      </x:c>
      <x:c r="E6" s="12" t="str">
        <x:v>Abonos GBP</x:v>
      </x:c>
      <x:c r="F6" s="12" t="str">
        <x:v>Neto GBP</x:v>
      </x:c>
      <x:c r="G6" s="12" t="str">
        <x:v>Pedidos</x:v>
      </x:c>
      <x:c r="H6" s="12" t="str">
        <x:v>Doc. abono</x:v>
      </x:c>
      <x:c r="I6" s="12" t="str">
        <x:v>Clientes</x:v>
      </x:c>
      <x:c r="J6" s="12" t="str">
        <x:v>Recurrentes</x:v>
      </x:c>
      <x:c r="K6" s="12" t="str">
        <x:v>Unidades</x:v>
      </x:c>
      <x:c r="L6" s="12" t="str">
        <x:v>Unid. abono</x:v>
      </x:c>
      <x:c r="M6" s="12" t="str">
        <x:v>Bruto identificado</x:v>
      </x:c>
      <x:c r="N6" s="12" t="str">
        <x:v>Líneas</x:v>
      </x:c>
      <x:c r="O6" s="12" t="str">
        <x:v>Ticket GBP</x:v>
      </x:c>
      <x:c r="P6" s="12" t="str">
        <x:v>Abonos / bruto</x:v>
      </x:c>
    </x:row>
    <x:row r="7" ht="22" customHeight="1">
      <x:c r="A7" s="3"/>
      <x:c r="B7" s="3" t="str">
        <x:v>Todos</x:v>
      </x:c>
      <x:c r="C7" s="3" t="str">
        <x:v>Todos</x:v>
      </x:c>
      <x:c r="D7" s="13" t="n">
        <x:v>10271433.063</x:v>
      </x:c>
      <x:c r="E7" s="13" t="n">
        <x:v>478724.18</x:v>
      </x:c>
      <x:c r="F7" s="13" t="n">
        <x:f>D7-E7</x:f>
        <x:v>9792708.883</x:v>
      </x:c>
      <x:c r="G7" s="14" t="n">
        <x:v>19773</x:v>
      </x:c>
      <x:c r="H7" s="14" t="n">
        <x:v>3422</x:v>
      </x:c>
      <x:c r="I7" s="14" t="n">
        <x:v>4334</x:v>
      </x:c>
      <x:c r="J7" s="14" t="n">
        <x:v>2829</x:v>
      </x:c>
      <x:c r="K7" s="14" t="n">
        <x:v>5577103</x:v>
      </x:c>
      <x:c r="L7" s="14" t="n">
        <x:v>272030</x:v>
      </x:c>
      <x:c r="M7" s="13" t="n">
        <x:v>8761066.653</x:v>
      </x:c>
      <x:c r="N7" s="3" t="n">
        <x:v>536465</x:v>
      </x:c>
      <x:c r="O7" s="13" t="n">
        <x:f>IF(G7=0,"n.a.",D7/G7)</x:f>
        <x:v>519.4676105295099</x:v>
      </x:c>
      <x:c r="P7" s="15" t="n">
        <x:f>IF(D7=0,"n.a.",E7/D7)</x:f>
        <x:v>0.046607340676197526</x:v>
      </x:c>
    </x:row>
    <x:row r="8" ht="22" customHeight="1">
      <x:c r="A8" s="3"/>
      <x:c r="B8" s="3" t="str">
        <x:v>Todos</x:v>
      </x:c>
      <x:c r="C8" s="3" t="str">
        <x:v>Australia</x:v>
      </x:c>
      <x:c r="D8" s="13" t="n">
        <x:v>138171.31</x:v>
      </x:c>
      <x:c r="E8" s="13" t="n">
        <x:v>1181.31</x:v>
      </x:c>
      <x:c r="F8" s="13" t="n">
        <x:f>D8-E8</x:f>
        <x:v>136990</x:v>
      </x:c>
      <x:c r="G8" s="14" t="n">
        <x:v>56</x:v>
      </x:c>
      <x:c r="H8" s="14" t="n">
        <x:v>11</x:v>
      </x:c>
      <x:c r="I8" s="14" t="n">
        <x:v>9</x:v>
      </x:c>
      <x:c r="J8" s="14" t="n">
        <x:v>9</x:v>
      </x:c>
      <x:c r="K8" s="14" t="n">
        <x:v>83900</x:v>
      </x:c>
      <x:c r="L8" s="14" t="n">
        <x:v>555</x:v>
      </x:c>
      <x:c r="M8" s="13" t="n">
        <x:v>138171.31</x:v>
      </x:c>
      <x:c r="N8" s="3" t="n">
        <x:v>1254</x:v>
      </x:c>
      <x:c r="O8" s="13" t="n">
        <x:f>IF(G8=0,"n.a.",D8/G8)</x:f>
        <x:v>2467.3448214285713</x:v>
      </x:c>
      <x:c r="P8" s="15" t="n">
        <x:f>IF(D8=0,"n.a.",E8/D8)</x:f>
        <x:v>0.008549604111012627</x:v>
      </x:c>
    </x:row>
    <x:row r="9" ht="22" customHeight="1">
      <x:c r="A9" s="3"/>
      <x:c r="B9" s="3" t="str">
        <x:v>Todos</x:v>
      </x:c>
      <x:c r="C9" s="3" t="str">
        <x:v>Austria</x:v>
      </x:c>
      <x:c r="D9" s="13" t="n">
        <x:v>8742.68</x:v>
      </x:c>
      <x:c r="E9" s="13" t="n">
        <x:v>44.36</x:v>
      </x:c>
      <x:c r="F9" s="13" t="n">
        <x:f>D9-E9</x:f>
        <x:v>8698.32</x:v>
      </x:c>
      <x:c r="G9" s="14" t="n">
        <x:v>17</x:v>
      </x:c>
      <x:c r="H9" s="14" t="n">
        <x:v>2</x:v>
      </x:c>
      <x:c r="I9" s="14" t="n">
        <x:v>11</x:v>
      </x:c>
      <x:c r="J9" s="14" t="n">
        <x:v>4</x:v>
      </x:c>
      <x:c r="K9" s="14" t="n">
        <x:v>4844</x:v>
      </x:c>
      <x:c r="L9" s="14" t="n">
        <x:v>54</x:v>
      </x:c>
      <x:c r="M9" s="13" t="n">
        <x:v>8742.68</x:v>
      </x:c>
      <x:c r="N9" s="3" t="n">
        <x:v>387</x:v>
      </x:c>
      <x:c r="O9" s="13" t="n">
        <x:f>IF(G9=0,"n.a.",D9/G9)</x:f>
        <x:v>514.275294117647</x:v>
      </x:c>
      <x:c r="P9" s="15" t="n">
        <x:f>IF(D9=0,"n.a.",E9/D9)</x:f>
        <x:v>0.005073959014855856</x:v>
      </x:c>
    </x:row>
    <x:row r="10" ht="22" customHeight="1">
      <x:c r="A10" s="3"/>
      <x:c r="B10" s="3" t="str">
        <x:v>Todos</x:v>
      </x:c>
      <x:c r="C10" s="3" t="str">
        <x:v>Bahrain</x:v>
      </x:c>
      <x:c r="D10" s="13" t="n">
        <x:v>754.14</x:v>
      </x:c>
      <x:c r="E10" s="13" t="n">
        <x:v>205.74</x:v>
      </x:c>
      <x:c r="F10" s="13" t="n">
        <x:f>D10-E10</x:f>
        <x:v>548.4</x:v>
      </x:c>
      <x:c r="G10" s="14" t="n">
        <x:v>3</x:v>
      </x:c>
      <x:c r="H10" s="14" t="n">
        <x:v>1</x:v>
      </x:c>
      <x:c r="I10" s="14" t="n">
        <x:v>2</x:v>
      </x:c>
      <x:c r="J10" s="14" t="n">
        <x:v>0</x:v>
      </x:c>
      <x:c r="K10" s="14" t="n">
        <x:v>314</x:v>
      </x:c>
      <x:c r="L10" s="14" t="n">
        <x:v>54</x:v>
      </x:c>
      <x:c r="M10" s="13" t="n">
        <x:v>548.4</x:v>
      </x:c>
      <x:c r="N10" s="3" t="n">
        <x:v>19</x:v>
      </x:c>
      <x:c r="O10" s="13" t="n">
        <x:f>IF(G10=0,"n.a.",D10/G10)</x:f>
        <x:v>251.38</x:v>
      </x:c>
      <x:c r="P10" s="15" t="n">
        <x:f>IF(D10=0,"n.a.",E10/D10)</x:f>
        <x:v>0.27281406635372746</x:v>
      </x:c>
    </x:row>
    <x:row r="11" ht="22" customHeight="1">
      <x:c r="A11" s="3"/>
      <x:c r="B11" s="3" t="str">
        <x:v>Todos</x:v>
      </x:c>
      <x:c r="C11" s="3" t="str">
        <x:v>Belgium</x:v>
      </x:c>
      <x:c r="D11" s="13" t="n">
        <x:v>36927.34</x:v>
      </x:c>
      <x:c r="E11" s="13" t="n">
        <x:v>264.38</x:v>
      </x:c>
      <x:c r="F11" s="13" t="n">
        <x:f>D11-E11</x:f>
        <x:v>36662.96</x:v>
      </x:c>
      <x:c r="G11" s="14" t="n">
        <x:v>98</x:v>
      </x:c>
      <x:c r="H11" s="14" t="n">
        <x:v>19</x:v>
      </x:c>
      <x:c r="I11" s="14" t="n">
        <x:v>25</x:v>
      </x:c>
      <x:c r="J11" s="14" t="n">
        <x:v>18</x:v>
      </x:c>
      <x:c r="K11" s="14" t="n">
        <x:v>22962</x:v>
      </x:c>
      <x:c r="L11" s="14" t="n">
        <x:v>82</x:v>
      </x:c>
      <x:c r="M11" s="13" t="n">
        <x:v>36927.34</x:v>
      </x:c>
      <x:c r="N11" s="3" t="n">
        <x:v>1971</x:v>
      </x:c>
      <x:c r="O11" s="13" t="n">
        <x:f>IF(G11=0,"n.a.",D11/G11)</x:f>
        <x:v>376.8095918367347</x:v>
      </x:c>
      <x:c r="P11" s="15" t="n">
        <x:f>IF(D11=0,"n.a.",E11/D11)</x:f>
        <x:v>0.007159465046764809</x:v>
      </x:c>
    </x:row>
    <x:row r="12" ht="22" customHeight="1">
      <x:c r="A12" s="3"/>
      <x:c r="B12" s="3" t="str">
        <x:v>Todos</x:v>
      </x:c>
      <x:c r="C12" s="3" t="str">
        <x:v>Brazil</x:v>
      </x:c>
      <x:c r="D12" s="13" t="n">
        <x:v>1143.6</x:v>
      </x:c>
      <x:c r="E12" s="13" t="n">
        <x:v>0</x:v>
      </x:c>
      <x:c r="F12" s="13" t="n">
        <x:f>D12-E12</x:f>
        <x:v>1143.6</x:v>
      </x:c>
      <x:c r="G12" s="14" t="n">
        <x:v>1</x:v>
      </x:c>
      <x:c r="H12" s="14" t="n">
        <x:v>0</x:v>
      </x:c>
      <x:c r="I12" s="14" t="n">
        <x:v>1</x:v>
      </x:c>
      <x:c r="J12" s="14" t="n">
        <x:v>0</x:v>
      </x:c>
      <x:c r="K12" s="14" t="n">
        <x:v>356</x:v>
      </x:c>
      <x:c r="L12" s="14" t="n">
        <x:v>0</x:v>
      </x:c>
      <x:c r="M12" s="13" t="n">
        <x:v>1143.6</x:v>
      </x:c>
      <x:c r="N12" s="3" t="n">
        <x:v>32</x:v>
      </x:c>
      <x:c r="O12" s="13" t="n">
        <x:f>IF(G12=0,"n.a.",D12/G12)</x:f>
        <x:v>1143.6</x:v>
      </x:c>
      <x:c r="P12" s="15" t="n">
        <x:f>IF(D12=0,"n.a.",E12/D12)</x:f>
        <x:v>0</x:v>
      </x:c>
    </x:row>
    <x:row r="13" ht="22" customHeight="1">
      <x:c r="A13" s="3"/>
      <x:c r="B13" s="3" t="str">
        <x:v>Todos</x:v>
      </x:c>
      <x:c r="C13" s="3" t="str">
        <x:v>Canada</x:v>
      </x:c>
      <x:c r="D13" s="13" t="n">
        <x:v>3115.44</x:v>
      </x:c>
      <x:c r="E13" s="13" t="n">
        <x:v>0</x:v>
      </x:c>
      <x:c r="F13" s="13" t="n">
        <x:f>D13-E13</x:f>
        <x:v>3115.44</x:v>
      </x:c>
      <x:c r="G13" s="14" t="n">
        <x:v>5</x:v>
      </x:c>
      <x:c r="H13" s="14" t="n">
        <x:v>0</x:v>
      </x:c>
      <x:c r="I13" s="14" t="n">
        <x:v>4</x:v>
      </x:c>
      <x:c r="J13" s="14" t="n">
        <x:v>1</x:v>
      </x:c>
      <x:c r="K13" s="14" t="n">
        <x:v>2762</x:v>
      </x:c>
      <x:c r="L13" s="14" t="n">
        <x:v>0</x:v>
      </x:c>
      <x:c r="M13" s="13" t="n">
        <x:v>3115.44</x:v>
      </x:c>
      <x:c r="N13" s="3" t="n">
        <x:v>150</x:v>
      </x:c>
      <x:c r="O13" s="13" t="n">
        <x:f>IF(G13=0,"n.a.",D13/G13)</x:f>
        <x:v>623.088</x:v>
      </x:c>
      <x:c r="P13" s="15" t="n">
        <x:f>IF(D13=0,"n.a.",E13/D13)</x:f>
        <x:v>0</x:v>
      </x:c>
    </x:row>
    <x:row r="14" ht="22" customHeight="1">
      <x:c r="A14" s="3"/>
      <x:c r="B14" s="3" t="str">
        <x:v>Todos</x:v>
      </x:c>
      <x:c r="C14" s="3" t="str">
        <x:v>Channel Islands</x:v>
      </x:c>
      <x:c r="D14" s="13" t="n">
        <x:v>20007.44</x:v>
      </x:c>
      <x:c r="E14" s="13" t="n">
        <x:v>71.15</x:v>
      </x:c>
      <x:c r="F14" s="13" t="n">
        <x:f>D14-E14</x:f>
        <x:v>19936.289999999997</x:v>
      </x:c>
      <x:c r="G14" s="14" t="n">
        <x:v>25</x:v>
      </x:c>
      <x:c r="H14" s="14" t="n">
        <x:v>6</x:v>
      </x:c>
      <x:c r="I14" s="14" t="n">
        <x:v>9</x:v>
      </x:c>
      <x:c r="J14" s="14" t="n">
        <x:v>6</x:v>
      </x:c>
      <x:c r="K14" s="14" t="n">
        <x:v>9487</x:v>
      </x:c>
      <x:c r="L14" s="14" t="n">
        <x:v>11</x:v>
      </x:c>
      <x:c r="M14" s="13" t="n">
        <x:v>20007.44</x:v>
      </x:c>
      <x:c r="N14" s="3" t="n">
        <x:v>753</x:v>
      </x:c>
      <x:c r="O14" s="13" t="n">
        <x:f>IF(G14=0,"n.a.",D14/G14)</x:f>
        <x:v>800.2976</x:v>
      </x:c>
      <x:c r="P14" s="15" t="n">
        <x:f>IF(D14=0,"n.a.",E14/D14)</x:f>
        <x:v>0.0035561771021180126</x:v>
      </x:c>
    </x:row>
    <x:row r="15" ht="22" customHeight="1">
      <x:c r="A15" s="3"/>
      <x:c r="B15" s="3" t="str">
        <x:v>Todos</x:v>
      </x:c>
      <x:c r="C15" s="3" t="str">
        <x:v>Cyprus</x:v>
      </x:c>
      <x:c r="D15" s="13" t="n">
        <x:v>13254.69</x:v>
      </x:c>
      <x:c r="E15" s="13" t="n">
        <x:v>323.4</x:v>
      </x:c>
      <x:c r="F15" s="13" t="n">
        <x:f>D15-E15</x:f>
        <x:v>12931.29</x:v>
      </x:c>
      <x:c r="G15" s="14" t="n">
        <x:v>14</x:v>
      </x:c>
      <x:c r="H15" s="14" t="n">
        <x:v>3</x:v>
      </x:c>
      <x:c r="I15" s="14" t="n">
        <x:v>8</x:v>
      </x:c>
      <x:c r="J15" s="14" t="n">
        <x:v>3</x:v>
      </x:c>
      <x:c r="K15" s="14" t="n">
        <x:v>6359</x:v>
      </x:c>
      <x:c r="L15" s="14" t="n">
        <x:v>43</x:v>
      </x:c>
      <x:c r="M15" s="13" t="n">
        <x:v>13254.69</x:v>
      </x:c>
      <x:c r="N15" s="3" t="n">
        <x:v>619</x:v>
      </x:c>
      <x:c r="O15" s="13" t="n">
        <x:f>IF(G15=0,"n.a.",D15/G15)</x:f>
        <x:v>946.7635714285715</x:v>
      </x:c>
      <x:c r="P15" s="15" t="n">
        <x:f>IF(D15=0,"n.a.",E15/D15)</x:f>
        <x:v>0.024398910876074806</x:v>
      </x:c>
    </x:row>
    <x:row r="16" ht="22" customHeight="1">
      <x:c r="A16" s="3"/>
      <x:c r="B16" s="3" t="str">
        <x:v>Todos</x:v>
      </x:c>
      <x:c r="C16" s="3" t="str">
        <x:v>Czech Republic</x:v>
      </x:c>
      <x:c r="D16" s="13" t="n">
        <x:v>786.74</x:v>
      </x:c>
      <x:c r="E16" s="13" t="n">
        <x:v>115.02</x:v>
      </x:c>
      <x:c r="F16" s="13" t="n">
        <x:f>D16-E16</x:f>
        <x:v>671.72</x:v>
      </x:c>
      <x:c r="G16" s="14" t="n">
        <x:v>2</x:v>
      </x:c>
      <x:c r="H16" s="14" t="n">
        <x:v>2</x:v>
      </x:c>
      <x:c r="I16" s="14" t="n">
        <x:v>1</x:v>
      </x:c>
      <x:c r="J16" s="14" t="n">
        <x:v>1</x:v>
      </x:c>
      <x:c r="K16" s="14" t="n">
        <x:v>670</x:v>
      </x:c>
      <x:c r="L16" s="14" t="n">
        <x:v>78</x:v>
      </x:c>
      <x:c r="M16" s="13" t="n">
        <x:v>786.74</x:v>
      </x:c>
      <x:c r="N16" s="3" t="n">
        <x:v>28</x:v>
      </x:c>
      <x:c r="O16" s="13" t="n">
        <x:f>IF(G16=0,"n.a.",D16/G16)</x:f>
        <x:v>393.37</x:v>
      </x:c>
      <x:c r="P16" s="15" t="n">
        <x:f>IF(D16=0,"n.a.",E16/D16)</x:f>
        <x:v>0.1461982357576836</x:v>
      </x:c>
    </x:row>
    <x:row r="17" ht="22" customHeight="1">
      <x:c r="A17" s="3"/>
      <x:c r="B17" s="3" t="str">
        <x:v>Todos</x:v>
      </x:c>
      <x:c r="C17" s="3" t="str">
        <x:v>Denmark</x:v>
      </x:c>
      <x:c r="D17" s="13" t="n">
        <x:v>18211.34</x:v>
      </x:c>
      <x:c r="E17" s="13" t="n">
        <x:v>169.2</x:v>
      </x:c>
      <x:c r="F17" s="13" t="n">
        <x:f>D17-E17</x:f>
        <x:v>18042.14</x:v>
      </x:c>
      <x:c r="G17" s="14" t="n">
        <x:v>18</x:v>
      </x:c>
      <x:c r="H17" s="14" t="n">
        <x:v>2</x:v>
      </x:c>
      <x:c r="I17" s="14" t="n">
        <x:v>9</x:v>
      </x:c>
      <x:c r="J17" s="14" t="n">
        <x:v>6</x:v>
      </x:c>
      <x:c r="K17" s="14" t="n">
        <x:v>8193</x:v>
      </x:c>
      <x:c r="L17" s="14" t="n">
        <x:v>46</x:v>
      </x:c>
      <x:c r="M17" s="13" t="n">
        <x:v>18211.34</x:v>
      </x:c>
      <x:c r="N17" s="3" t="n">
        <x:v>375</x:v>
      </x:c>
      <x:c r="O17" s="13" t="n">
        <x:f>IF(G17=0,"n.a.",D17/G17)</x:f>
        <x:v>1011.7411111111111</x:v>
      </x:c>
      <x:c r="P17" s="15" t="n">
        <x:f>IF(D17=0,"n.a.",E17/D17)</x:f>
        <x:v>0.009290914342382273</x:v>
      </x:c>
    </x:row>
    <x:row r="18" ht="22" customHeight="1">
      <x:c r="A18" s="3"/>
      <x:c r="B18" s="3" t="str">
        <x:v>Todos</x:v>
      </x:c>
      <x:c r="C18" s="3" t="str">
        <x:v>EIRE</x:v>
      </x:c>
      <x:c r="D18" s="13" t="n">
        <x:v>271164.3</x:v>
      </x:c>
      <x:c r="E18" s="13" t="n">
        <x:v>11500.84</x:v>
      </x:c>
      <x:c r="F18" s="13" t="n">
        <x:f>D18-E18</x:f>
        <x:v>259663.46</x:v>
      </x:c>
      <x:c r="G18" s="14" t="n">
        <x:v>282</x:v>
      </x:c>
      <x:c r="H18" s="14" t="n">
        <x:v>65</x:v>
      </x:c>
      <x:c r="I18" s="14" t="n">
        <x:v>3</x:v>
      </x:c>
      <x:c r="J18" s="14" t="n">
        <x:v>3</x:v>
      </x:c>
      <x:c r="K18" s="14" t="n">
        <x:v>147062</x:v>
      </x:c>
      <x:c r="L18" s="14" t="n">
        <x:v>4800</x:v>
      </x:c>
      <x:c r="M18" s="13" t="n">
        <x:v>257296.56</x:v>
      </x:c>
      <x:c r="N18" s="3" t="n">
        <x:v>8071</x:v>
      </x:c>
      <x:c r="O18" s="13" t="n">
        <x:f>IF(G18=0,"n.a.",D18/G18)</x:f>
        <x:v>961.5755319148935</x:v>
      </x:c>
      <x:c r="P18" s="15" t="n">
        <x:f>IF(D18=0,"n.a.",E18/D18)</x:f>
        <x:v>0.042412810240876106</x:v>
      </x:c>
    </x:row>
    <x:row r="19" ht="22" customHeight="1">
      <x:c r="A19" s="3"/>
      <x:c r="B19" s="3" t="str">
        <x:v>Todos</x:v>
      </x:c>
      <x:c r="C19" s="3" t="str">
        <x:v>European Community</x:v>
      </x:c>
      <x:c r="D19" s="13" t="n">
        <x:v>1159.25</x:v>
      </x:c>
      <x:c r="E19" s="13" t="n">
        <x:v>8.5</x:v>
      </x:c>
      <x:c r="F19" s="13" t="n">
        <x:f>D19-E19</x:f>
        <x:v>1150.75</x:v>
      </x:c>
      <x:c r="G19" s="14" t="n">
        <x:v>3</x:v>
      </x:c>
      <x:c r="H19" s="14" t="n">
        <x:v>1</x:v>
      </x:c>
      <x:c r="I19" s="14" t="n">
        <x:v>1</x:v>
      </x:c>
      <x:c r="J19" s="14" t="n">
        <x:v>1</x:v>
      </x:c>
      <x:c r="K19" s="14" t="n">
        <x:v>490</x:v>
      </x:c>
      <x:c r="L19" s="14" t="n">
        <x:v>2</x:v>
      </x:c>
      <x:c r="M19" s="13" t="n">
        <x:v>1159.25</x:v>
      </x:c>
      <x:c r="N19" s="3" t="n">
        <x:v>58</x:v>
      </x:c>
      <x:c r="O19" s="13" t="n">
        <x:f>IF(G19=0,"n.a.",D19/G19)</x:f>
        <x:v>386.4166666666667</x:v>
      </x:c>
      <x:c r="P19" s="15" t="n">
        <x:f>IF(D19=0,"n.a.",E19/D19)</x:f>
        <x:v>0.007332326935518654</x:v>
      </x:c>
    </x:row>
    <x:row r="20" ht="22" customHeight="1">
      <x:c r="A20" s="3"/>
      <x:c r="B20" s="3" t="str">
        <x:v>Todos</x:v>
      </x:c>
      <x:c r="C20" s="3" t="str">
        <x:v>Finland</x:v>
      </x:c>
      <x:c r="D20" s="13" t="n">
        <x:v>18344.88</x:v>
      </x:c>
      <x:c r="E20" s="13" t="n">
        <x:v>41.34</x:v>
      </x:c>
      <x:c r="F20" s="13" t="n">
        <x:f>D20-E20</x:f>
        <x:v>18303.54</x:v>
      </x:c>
      <x:c r="G20" s="14" t="n">
        <x:v>40</x:v>
      </x:c>
      <x:c r="H20" s="14" t="n">
        <x:v>4</x:v>
      </x:c>
      <x:c r="I20" s="14" t="n">
        <x:v>12</x:v>
      </x:c>
      <x:c r="J20" s="14" t="n">
        <x:v>7</x:v>
      </x:c>
      <x:c r="K20" s="14" t="n">
        <x:v>10608</x:v>
      </x:c>
      <x:c r="L20" s="14" t="n">
        <x:v>33</x:v>
      </x:c>
      <x:c r="M20" s="13" t="n">
        <x:v>18344.88</x:v>
      </x:c>
      <x:c r="N20" s="3" t="n">
        <x:v>653</x:v>
      </x:c>
      <x:c r="O20" s="13" t="n">
        <x:f>IF(G20=0,"n.a.",D20/G20)</x:f>
        <x:v>458.622</x:v>
      </x:c>
      <x:c r="P20" s="15" t="n">
        <x:f>IF(D20=0,"n.a.",E20/D20)</x:f>
        <x:v>0.002253489802059212</x:v>
      </x:c>
    </x:row>
    <x:row r="21" ht="22" customHeight="1">
      <x:c r="A21" s="3"/>
      <x:c r="B21" s="3" t="str">
        <x:v>Todos</x:v>
      </x:c>
      <x:c r="C21" s="3" t="str">
        <x:v>France</x:v>
      </x:c>
      <x:c r="D21" s="13" t="n">
        <x:v>184582.74</x:v>
      </x:c>
      <x:c r="E21" s="13" t="n">
        <x:v>2419.35</x:v>
      </x:c>
      <x:c r="F21" s="13" t="n">
        <x:f>D21-E21</x:f>
        <x:v>182163.38999999998</x:v>
      </x:c>
      <x:c r="G21" s="14" t="n">
        <x:v>382</x:v>
      </x:c>
      <x:c r="H21" s="14" t="n">
        <x:v>59</x:v>
      </x:c>
      <x:c r="I21" s="14" t="n">
        <x:v>87</x:v>
      </x:c>
      <x:c r="J21" s="14" t="n">
        <x:v>58</x:v>
      </x:c>
      <x:c r="K21" s="14" t="n">
        <x:v>111269</x:v>
      </x:c>
      <x:c r="L21" s="14" t="n">
        <x:v>1579</x:v>
      </x:c>
      <x:c r="M21" s="13" t="n">
        <x:v>183891.68</x:v>
      </x:c>
      <x:c r="N21" s="3" t="n">
        <x:v>8234</x:v>
      </x:c>
      <x:c r="O21" s="13" t="n">
        <x:f>IF(G21=0,"n.a.",D21/G21)</x:f>
        <x:v>483.200890052356</x:v>
      </x:c>
      <x:c r="P21" s="15" t="n">
        <x:f>IF(D21=0,"n.a.",E21/D21)</x:f>
        <x:v>0.013107130168292009</x:v>
      </x:c>
    </x:row>
    <x:row r="22" ht="22" customHeight="1">
      <x:c r="A22" s="3"/>
      <x:c r="B22" s="3" t="str">
        <x:v>Todos</x:v>
      </x:c>
      <x:c r="C22" s="3" t="str">
        <x:v>Germany</x:v>
      </x:c>
      <x:c r="D22" s="13" t="n">
        <x:v>205569.89</x:v>
      </x:c>
      <x:c r="E22" s="13" t="n">
        <x:v>4761.49</x:v>
      </x:c>
      <x:c r="F22" s="13" t="n">
        <x:f>D22-E22</x:f>
        <x:v>200808.40000000002</x:v>
      </x:c>
      <x:c r="G22" s="14" t="n">
        <x:v>443</x:v>
      </x:c>
      <x:c r="H22" s="14" t="n">
        <x:v>135</x:v>
      </x:c>
      <x:c r="I22" s="14" t="n">
        <x:v>94</x:v>
      </x:c>
      <x:c r="J22" s="14" t="n">
        <x:v>67</x:v>
      </x:c>
      <x:c r="K22" s="14" t="n">
        <x:v>118139</x:v>
      </x:c>
      <x:c r="L22" s="14" t="n">
        <x:v>1798</x:v>
      </x:c>
      <x:c r="M22" s="13" t="n">
        <x:v>205569.89</x:v>
      </x:c>
      <x:c r="N22" s="3" t="n">
        <x:v>9095</x:v>
      </x:c>
      <x:c r="O22" s="13" t="n">
        <x:f>IF(G22=0,"n.a.",D22/G22)</x:f>
        <x:v>464.04038374717834</x:v>
      </x:c>
      <x:c r="P22" s="15" t="n">
        <x:f>IF(D22=0,"n.a.",E22/D22)</x:f>
        <x:v>0.023162390172996636</x:v>
      </x:c>
    </x:row>
    <x:row r="23" ht="22" customHeight="1">
      <x:c r="A23" s="3"/>
      <x:c r="B23" s="3" t="str">
        <x:v>Todos</x:v>
      </x:c>
      <x:c r="C23" s="3" t="str">
        <x:v>Greece</x:v>
      </x:c>
      <x:c r="D23" s="13" t="n">
        <x:v>4425.52</x:v>
      </x:c>
      <x:c r="E23" s="13" t="n">
        <x:v>0</x:v>
      </x:c>
      <x:c r="F23" s="13" t="n">
        <x:f>D23-E23</x:f>
        <x:v>4425.52</x:v>
      </x:c>
      <x:c r="G23" s="14" t="n">
        <x:v>5</x:v>
      </x:c>
      <x:c r="H23" s="14" t="n">
        <x:v>0</x:v>
      </x:c>
      <x:c r="I23" s="14" t="n">
        <x:v>4</x:v>
      </x:c>
      <x:c r="J23" s="14" t="n">
        <x:v>1</x:v>
      </x:c>
      <x:c r="K23" s="14" t="n">
        <x:v>1550</x:v>
      </x:c>
      <x:c r="L23" s="14" t="n">
        <x:v>0</x:v>
      </x:c>
      <x:c r="M23" s="13" t="n">
        <x:v>4425.52</x:v>
      </x:c>
      <x:c r="N23" s="3" t="n">
        <x:v>142</x:v>
      </x:c>
      <x:c r="O23" s="13" t="n">
        <x:f>IF(G23=0,"n.a.",D23/G23)</x:f>
        <x:v>885.104</x:v>
      </x:c>
      <x:c r="P23" s="15" t="n">
        <x:f>IF(D23=0,"n.a.",E23/D23)</x:f>
        <x:v>0</x:v>
      </x:c>
    </x:row>
    <x:row r="24" ht="22" customHeight="1">
      <x:c r="A24" s="3"/>
      <x:c r="B24" s="3" t="str">
        <x:v>Todos</x:v>
      </x:c>
      <x:c r="C24" s="3" t="str">
        <x:v>Hong Kong</x:v>
      </x:c>
      <x:c r="D24" s="13" t="n">
        <x:v>9952.99</x:v>
      </x:c>
      <x:c r="E24" s="13" t="n">
        <x:v>10.95</x:v>
      </x:c>
      <x:c r="F24" s="13" t="n">
        <x:f>D24-E24</x:f>
        <x:v>9942.039999999999</x:v>
      </x:c>
      <x:c r="G24" s="14" t="n">
        <x:v>7</x:v>
      </x:c>
      <x:c r="H24" s="14" t="n">
        <x:v>1</x:v>
      </x:c>
      <x:c r="I24" s="14" t="n">
        <x:v>0</x:v>
      </x:c>
      <x:c r="J24" s="14" t="n">
        <x:v>0</x:v>
      </x:c>
      <x:c r="K24" s="14" t="n">
        <x:v>4768</x:v>
      </x:c>
      <x:c r="L24" s="14" t="n">
        <x:v>1</x:v>
      </x:c>
      <x:c r="M24" s="13" t="n">
        <x:v>0</x:v>
      </x:c>
      <x:c r="N24" s="3" t="n">
        <x:v>280</x:v>
      </x:c>
      <x:c r="O24" s="13" t="n">
        <x:f>IF(G24=0,"n.a.",D24/G24)</x:f>
        <x:v>1421.8557142857142</x:v>
      </x:c>
      <x:c r="P24" s="15" t="n">
        <x:f>IF(D24=0,"n.a.",E24/D24)</x:f>
        <x:v>0.0011001719081401668</x:v>
      </x:c>
    </x:row>
    <x:row r="25" ht="22" customHeight="1">
      <x:c r="A25" s="3"/>
      <x:c r="B25" s="3" t="str">
        <x:v>Todos</x:v>
      </x:c>
      <x:c r="C25" s="3" t="str">
        <x:v>Iceland</x:v>
      </x:c>
      <x:c r="D25" s="13" t="n">
        <x:v>4310</x:v>
      </x:c>
      <x:c r="E25" s="13" t="n">
        <x:v>0</x:v>
      </x:c>
      <x:c r="F25" s="13" t="n">
        <x:f>D25-E25</x:f>
        <x:v>4310</x:v>
      </x:c>
      <x:c r="G25" s="14" t="n">
        <x:v>7</x:v>
      </x:c>
      <x:c r="H25" s="14" t="n">
        <x:v>0</x:v>
      </x:c>
      <x:c r="I25" s="14" t="n">
        <x:v>1</x:v>
      </x:c>
      <x:c r="J25" s="14" t="n">
        <x:v>1</x:v>
      </x:c>
      <x:c r="K25" s="14" t="n">
        <x:v>2458</x:v>
      </x:c>
      <x:c r="L25" s="14" t="n">
        <x:v>0</x:v>
      </x:c>
      <x:c r="M25" s="13" t="n">
        <x:v>4310</x:v>
      </x:c>
      <x:c r="N25" s="3" t="n">
        <x:v>182</x:v>
      </x:c>
      <x:c r="O25" s="13" t="n">
        <x:f>IF(G25=0,"n.a.",D25/G25)</x:f>
        <x:v>615.7142857142857</x:v>
      </x:c>
      <x:c r="P25" s="15" t="n">
        <x:f>IF(D25=0,"n.a.",E25/D25)</x:f>
        <x:v>0</x:v>
      </x:c>
    </x:row>
    <x:row r="26" ht="22" customHeight="1">
      <x:c r="A26" s="3"/>
      <x:c r="B26" s="3" t="str">
        <x:v>Todos</x:v>
      </x:c>
      <x:c r="C26" s="3" t="str">
        <x:v>Israel</x:v>
      </x:c>
      <x:c r="D26" s="13" t="n">
        <x:v>8135.26</x:v>
      </x:c>
      <x:c r="E26" s="13" t="n">
        <x:v>227.44</x:v>
      </x:c>
      <x:c r="F26" s="13" t="n">
        <x:f>D26-E26</x:f>
        <x:v>7907.820000000001</x:v>
      </x:c>
      <x:c r="G26" s="14" t="n">
        <x:v>8</x:v>
      </x:c>
      <x:c r="H26" s="14" t="n">
        <x:v>1</x:v>
      </x:c>
      <x:c r="I26" s="14" t="n">
        <x:v>3</x:v>
      </x:c>
      <x:c r="J26" s="14" t="n">
        <x:v>2</x:v>
      </x:c>
      <x:c r="K26" s="14" t="n">
        <x:v>4409</x:v>
      </x:c>
      <x:c r="L26" s="14" t="n">
        <x:v>56</x:v>
      </x:c>
      <x:c r="M26" s="13" t="n">
        <x:v>7221.69</x:v>
      </x:c>
      <x:c r="N26" s="3" t="n">
        <x:v>297</x:v>
      </x:c>
      <x:c r="O26" s="13" t="n">
        <x:f>IF(G26=0,"n.a.",D26/G26)</x:f>
        <x:v>1016.9075</x:v>
      </x:c>
      <x:c r="P26" s="15" t="n">
        <x:f>IF(D26=0,"n.a.",E26/D26)</x:f>
        <x:v>0.02795731175156049</x:v>
      </x:c>
    </x:row>
    <x:row r="27" ht="22" customHeight="1">
      <x:c r="A27" s="3"/>
      <x:c r="B27" s="3" t="str">
        <x:v>Todos</x:v>
      </x:c>
      <x:c r="C27" s="3" t="str">
        <x:v>Italy</x:v>
      </x:c>
      <x:c r="D27" s="13" t="n">
        <x:v>15820.24</x:v>
      </x:c>
      <x:c r="E27" s="13" t="n">
        <x:v>543.9</x:v>
      </x:c>
      <x:c r="F27" s="13" t="n">
        <x:f>D27-E27</x:f>
        <x:v>15276.34</x:v>
      </x:c>
      <x:c r="G27" s="14" t="n">
        <x:v>35</x:v>
      </x:c>
      <x:c r="H27" s="14" t="n">
        <x:v>14</x:v>
      </x:c>
      <x:c r="I27" s="14" t="n">
        <x:v>14</x:v>
      </x:c>
      <x:c r="J27" s="14" t="n">
        <x:v>5</x:v>
      </x:c>
      <x:c r="K27" s="14" t="n">
        <x:v>8067</x:v>
      </x:c>
      <x:c r="L27" s="14" t="n">
        <x:v>110</x:v>
      </x:c>
      <x:c r="M27" s="13" t="n">
        <x:v>15820.24</x:v>
      </x:c>
      <x:c r="N27" s="3" t="n">
        <x:v>783</x:v>
      </x:c>
      <x:c r="O27" s="13" t="n">
        <x:f>IF(G27=0,"n.a.",D27/G27)</x:f>
        <x:v>452.00685714285714</x:v>
      </x:c>
      <x:c r="P27" s="15" t="n">
        <x:f>IF(D27=0,"n.a.",E27/D27)</x:f>
        <x:v>0.034380009405672735</x:v>
      </x:c>
    </x:row>
    <x:row r="28" ht="22" customHeight="1">
      <x:c r="A28" s="3"/>
      <x:c r="B28" s="3" t="str">
        <x:v>Todos</x:v>
      </x:c>
      <x:c r="C28" s="3" t="str">
        <x:v>Japan</x:v>
      </x:c>
      <x:c r="D28" s="13" t="n">
        <x:v>37416.37</x:v>
      </x:c>
      <x:c r="E28" s="13" t="n">
        <x:v>1996.58</x:v>
      </x:c>
      <x:c r="F28" s="13" t="n">
        <x:f>D28-E28</x:f>
        <x:v>35419.79</x:v>
      </x:c>
      <x:c r="G28" s="14" t="n">
        <x:v>19</x:v>
      </x:c>
      <x:c r="H28" s="14" t="n">
        <x:v>6</x:v>
      </x:c>
      <x:c r="I28" s="14" t="n">
        <x:v>8</x:v>
      </x:c>
      <x:c r="J28" s="14" t="n">
        <x:v>5</x:v>
      </x:c>
      <x:c r="K28" s="14" t="n">
        <x:v>26016</x:v>
      </x:c>
      <x:c r="L28" s="14" t="n">
        <x:v>795</x:v>
      </x:c>
      <x:c r="M28" s="13" t="n">
        <x:v>37416.37</x:v>
      </x:c>
      <x:c r="N28" s="3" t="n">
        <x:v>355</x:v>
      </x:c>
      <x:c r="O28" s="13" t="n">
        <x:f>IF(G28=0,"n.a.",D28/G28)</x:f>
        <x:v>1969.2826315789475</x:v>
      </x:c>
      <x:c r="P28" s="15" t="n">
        <x:f>IF(D28=0,"n.a.",E28/D28)</x:f>
        <x:v>0.05336113578094293</x:v>
      </x:c>
    </x:row>
    <x:row r="29" ht="22" customHeight="1">
      <x:c r="A29" s="3"/>
      <x:c r="B29" s="3" t="str">
        <x:v>Todos</x:v>
      </x:c>
      <x:c r="C29" s="3" t="str">
        <x:v>Lebanon</x:v>
      </x:c>
      <x:c r="D29" s="13" t="n">
        <x:v>1693.88</x:v>
      </x:c>
      <x:c r="E29" s="13" t="n">
        <x:v>0</x:v>
      </x:c>
      <x:c r="F29" s="13" t="n">
        <x:f>D29-E29</x:f>
        <x:v>1693.88</x:v>
      </x:c>
      <x:c r="G29" s="14" t="n">
        <x:v>1</x:v>
      </x:c>
      <x:c r="H29" s="14" t="n">
        <x:v>0</x:v>
      </x:c>
      <x:c r="I29" s="14" t="n">
        <x:v>1</x:v>
      </x:c>
      <x:c r="J29" s="14" t="n">
        <x:v>0</x:v>
      </x:c>
      <x:c r="K29" s="14" t="n">
        <x:v>386</x:v>
      </x:c>
      <x:c r="L29" s="14" t="n">
        <x:v>0</x:v>
      </x:c>
      <x:c r="M29" s="13" t="n">
        <x:v>1693.88</x:v>
      </x:c>
      <x:c r="N29" s="3" t="n">
        <x:v>45</x:v>
      </x:c>
      <x:c r="O29" s="13" t="n">
        <x:f>IF(G29=0,"n.a.",D29/G29)</x:f>
        <x:v>1693.88</x:v>
      </x:c>
      <x:c r="P29" s="15" t="n">
        <x:f>IF(D29=0,"n.a.",E29/D29)</x:f>
        <x:v>0</x:v>
      </x:c>
    </x:row>
    <x:row r="30" ht="22" customHeight="1">
      <x:c r="A30" s="3"/>
      <x:c r="B30" s="3" t="str">
        <x:v>Todos</x:v>
      </x:c>
      <x:c r="C30" s="3" t="str">
        <x:v>Lithuania</x:v>
      </x:c>
      <x:c r="D30" s="13" t="n">
        <x:v>1661.06</x:v>
      </x:c>
      <x:c r="E30" s="13" t="n">
        <x:v>0</x:v>
      </x:c>
      <x:c r="F30" s="13" t="n">
        <x:f>D30-E30</x:f>
        <x:v>1661.06</x:v>
      </x:c>
      <x:c r="G30" s="14" t="n">
        <x:v>4</x:v>
      </x:c>
      <x:c r="H30" s="14" t="n">
        <x:v>0</x:v>
      </x:c>
      <x:c r="I30" s="14" t="n">
        <x:v>1</x:v>
      </x:c>
      <x:c r="J30" s="14" t="n">
        <x:v>1</x:v>
      </x:c>
      <x:c r="K30" s="14" t="n">
        <x:v>652</x:v>
      </x:c>
      <x:c r="L30" s="14" t="n">
        <x:v>0</x:v>
      </x:c>
      <x:c r="M30" s="13" t="n">
        <x:v>1661.06</x:v>
      </x:c>
      <x:c r="N30" s="3" t="n">
        <x:v>35</x:v>
      </x:c>
      <x:c r="O30" s="13" t="n">
        <x:f>IF(G30=0,"n.a.",D30/G30)</x:f>
        <x:v>415.265</x:v>
      </x:c>
      <x:c r="P30" s="15" t="n">
        <x:f>IF(D30=0,"n.a.",E30/D30)</x:f>
        <x:v>0</x:v>
      </x:c>
    </x:row>
    <x:row r="31" ht="22" customHeight="1">
      <x:c r="A31" s="3"/>
      <x:c r="B31" s="3" t="str">
        <x:v>Todos</x:v>
      </x:c>
      <x:c r="C31" s="3" t="str">
        <x:v>Malta</x:v>
      </x:c>
      <x:c r="D31" s="13" t="n">
        <x:v>2070.59</x:v>
      </x:c>
      <x:c r="E31" s="13" t="n">
        <x:v>90.12</x:v>
      </x:c>
      <x:c r="F31" s="13" t="n">
        <x:f>D31-E31</x:f>
        <x:v>1980.4700000000003</x:v>
      </x:c>
      <x:c r="G31" s="14" t="n">
        <x:v>5</x:v>
      </x:c>
      <x:c r="H31" s="14" t="n">
        <x:v>4</x:v>
      </x:c>
      <x:c r="I31" s="14" t="n">
        <x:v>2</x:v>
      </x:c>
      <x:c r="J31" s="14" t="n">
        <x:v>1</x:v>
      </x:c>
      <x:c r="K31" s="14" t="n">
        <x:v>958</x:v>
      </x:c>
      <x:c r="L31" s="14" t="n">
        <x:v>24</x:v>
      </x:c>
      <x:c r="M31" s="13" t="n">
        <x:v>2070.59</x:v>
      </x:c>
      <x:c r="N31" s="3" t="n">
        <x:v>123</x:v>
      </x:c>
      <x:c r="O31" s="13" t="n">
        <x:f>IF(G31=0,"n.a.",D31/G31)</x:f>
        <x:v>414.11800000000005</x:v>
      </x:c>
      <x:c r="P31" s="15" t="n">
        <x:f>IF(D31=0,"n.a.",E31/D31)</x:f>
        <x:v>0.043523826542193285</x:v>
      </x:c>
    </x:row>
    <x:row r="32" ht="22" customHeight="1">
      <x:c r="A32" s="3"/>
      <x:c r="B32" s="3" t="str">
        <x:v>Todos</x:v>
      </x:c>
      <x:c r="C32" s="3" t="str">
        <x:v>Netherlands</x:v>
      </x:c>
      <x:c r="D32" s="13" t="n">
        <x:v>283889.34</x:v>
      </x:c>
      <x:c r="E32" s="13" t="n">
        <x:v>409.8</x:v>
      </x:c>
      <x:c r="F32" s="13" t="n">
        <x:f>D32-E32</x:f>
        <x:v>283479.54000000004</x:v>
      </x:c>
      <x:c r="G32" s="14" t="n">
        <x:v>93</x:v>
      </x:c>
      <x:c r="H32" s="14" t="n">
        <x:v>3</x:v>
      </x:c>
      <x:c r="I32" s="14" t="n">
        <x:v>9</x:v>
      </x:c>
      <x:c r="J32" s="14" t="n">
        <x:v>5</x:v>
      </x:c>
      <x:c r="K32" s="14" t="n">
        <x:v>200258</x:v>
      </x:c>
      <x:c r="L32" s="14" t="n">
        <x:v>324</x:v>
      </x:c>
      <x:c r="M32" s="13" t="n">
        <x:v>283889.34</x:v>
      </x:c>
      <x:c r="N32" s="3" t="n">
        <x:v>2326</x:v>
      </x:c>
      <x:c r="O32" s="13" t="n">
        <x:f>IF(G32=0,"n.a.",D32/G32)</x:f>
        <x:v>3052.573548387097</x:v>
      </x:c>
      <x:c r="P32" s="15" t="n">
        <x:f>IF(D32=0,"n.a.",E32/D32)</x:f>
        <x:v>0.0014435202110794298</x:v>
      </x:c>
    </x:row>
    <x:row r="33" ht="22" customHeight="1">
      <x:c r="A33" s="3"/>
      <x:c r="B33" s="3" t="str">
        <x:v>Todos</x:v>
      </x:c>
      <x:c r="C33" s="3" t="str">
        <x:v>Norway</x:v>
      </x:c>
      <x:c r="D33" s="13" t="n">
        <x:v>32454.64</x:v>
      </x:c>
      <x:c r="E33" s="13" t="n">
        <x:v>161.68</x:v>
      </x:c>
      <x:c r="F33" s="13" t="n">
        <x:f>D33-E33</x:f>
        <x:v>32292.96</x:v>
      </x:c>
      <x:c r="G33" s="14" t="n">
        <x:v>32</x:v>
      </x:c>
      <x:c r="H33" s="14" t="n">
        <x:v>2</x:v>
      </x:c>
      <x:c r="I33" s="14" t="n">
        <x:v>10</x:v>
      </x:c>
      <x:c r="J33" s="14" t="n">
        <x:v>6</x:v>
      </x:c>
      <x:c r="K33" s="14" t="n">
        <x:v>19276</x:v>
      </x:c>
      <x:c r="L33" s="14" t="n">
        <x:v>88</x:v>
      </x:c>
      <x:c r="M33" s="13" t="n">
        <x:v>32454.64</x:v>
      </x:c>
      <x:c r="N33" s="3" t="n">
        <x:v>1059</x:v>
      </x:c>
      <x:c r="O33" s="13" t="n">
        <x:f>IF(G33=0,"n.a.",D33/G33)</x:f>
        <x:v>1014.2075</x:v>
      </x:c>
      <x:c r="P33" s="15" t="n">
        <x:f>IF(D33=0,"n.a.",E33/D33)</x:f>
        <x:v>0.0049817221820978455</x:v>
      </x:c>
    </x:row>
    <x:row r="34" ht="22" customHeight="1">
      <x:c r="A34" s="3"/>
      <x:c r="B34" s="3" t="str">
        <x:v>Todos</x:v>
      </x:c>
      <x:c r="C34" s="3" t="str">
        <x:v>Poland</x:v>
      </x:c>
      <x:c r="D34" s="13" t="n">
        <x:v>6974.65</x:v>
      </x:c>
      <x:c r="E34" s="13" t="n">
        <x:v>121.51</x:v>
      </x:c>
      <x:c r="F34" s="13" t="n">
        <x:f>D34-E34</x:f>
        <x:v>6853.139999999999</x:v>
      </x:c>
      <x:c r="G34" s="14" t="n">
        <x:v>19</x:v>
      </x:c>
      <x:c r="H34" s="14" t="n">
        <x:v>5</x:v>
      </x:c>
      <x:c r="I34" s="14" t="n">
        <x:v>6</x:v>
      </x:c>
      <x:c r="J34" s="14" t="n">
        <x:v>4</x:v>
      </x:c>
      <x:c r="K34" s="14" t="n">
        <x:v>3675</x:v>
      </x:c>
      <x:c r="L34" s="14" t="n">
        <x:v>31</x:v>
      </x:c>
      <x:c r="M34" s="13" t="n">
        <x:v>6974.65</x:v>
      </x:c>
      <x:c r="N34" s="3" t="n">
        <x:v>336</x:v>
      </x:c>
      <x:c r="O34" s="13" t="n">
        <x:f>IF(G34=0,"n.a.",D34/G34)</x:f>
        <x:v>367.08684210526314</x:v>
      </x:c>
      <x:c r="P34" s="15" t="n">
        <x:f>IF(D34=0,"n.a.",E34/D34)</x:f>
        <x:v>0.01742166273576452</x:v>
      </x:c>
    </x:row>
    <x:row r="35" ht="22" customHeight="1">
      <x:c r="A35" s="3"/>
      <x:c r="B35" s="3" t="str">
        <x:v>Todos</x:v>
      </x:c>
      <x:c r="C35" s="3" t="str">
        <x:v>Portugal</x:v>
      </x:c>
      <x:c r="D35" s="13" t="n">
        <x:v>27015.16</x:v>
      </x:c>
      <x:c r="E35" s="13" t="n">
        <x:v>143.64</x:v>
      </x:c>
      <x:c r="F35" s="13" t="n">
        <x:f>D35-E35</x:f>
        <x:v>26871.52</x:v>
      </x:c>
      <x:c r="G35" s="14" t="n">
        <x:v>50</x:v>
      </x:c>
      <x:c r="H35" s="14" t="n">
        <x:v>6</x:v>
      </x:c>
      <x:c r="I35" s="14" t="n">
        <x:v>19</x:v>
      </x:c>
      <x:c r="J35" s="14" t="n">
        <x:v>11</x:v>
      </x:c>
      <x:c r="K35" s="14" t="n">
        <x:v>16153</x:v>
      </x:c>
      <x:c r="L35" s="14" t="n">
        <x:v>71</x:v>
      </x:c>
      <x:c r="M35" s="13" t="n">
        <x:v>26707.95</x:v>
      </x:c>
      <x:c r="N35" s="3" t="n">
        <x:v>1475</x:v>
      </x:c>
      <x:c r="O35" s="13" t="n">
        <x:f>IF(G35=0,"n.a.",D35/G35)</x:f>
        <x:v>540.3032</x:v>
      </x:c>
      <x:c r="P35" s="15" t="n">
        <x:f>IF(D35=0,"n.a.",E35/D35)</x:f>
        <x:v>0.00531701459476827</x:v>
      </x:c>
    </x:row>
    <x:row r="36" ht="22" customHeight="1">
      <x:c r="A36" s="3"/>
      <x:c r="B36" s="3" t="str">
        <x:v>Todos</x:v>
      </x:c>
      <x:c r="C36" s="3" t="str">
        <x:v>RSA</x:v>
      </x:c>
      <x:c r="D36" s="13" t="n">
        <x:v>1002.31</x:v>
      </x:c>
      <x:c r="E36" s="13" t="n">
        <x:v>0</x:v>
      </x:c>
      <x:c r="F36" s="13" t="n">
        <x:f>D36-E36</x:f>
        <x:v>1002.31</x:v>
      </x:c>
      <x:c r="G36" s="14" t="n">
        <x:v>1</x:v>
      </x:c>
      <x:c r="H36" s="14" t="n">
        <x:v>0</x:v>
      </x:c>
      <x:c r="I36" s="14" t="n">
        <x:v>1</x:v>
      </x:c>
      <x:c r="J36" s="14" t="n">
        <x:v>0</x:v>
      </x:c>
      <x:c r="K36" s="14" t="n">
        <x:v>351</x:v>
      </x:c>
      <x:c r="L36" s="14" t="n">
        <x:v>0</x:v>
      </x:c>
      <x:c r="M36" s="13" t="n">
        <x:v>1002.31</x:v>
      </x:c>
      <x:c r="N36" s="3" t="n">
        <x:v>57</x:v>
      </x:c>
      <x:c r="O36" s="13" t="n">
        <x:f>IF(G36=0,"n.a.",D36/G36)</x:f>
        <x:v>1002.31</x:v>
      </x:c>
      <x:c r="P36" s="15" t="n">
        <x:f>IF(D36=0,"n.a.",E36/D36)</x:f>
        <x:v>0</x:v>
      </x:c>
    </x:row>
    <x:row r="37" ht="22" customHeight="1">
      <x:c r="A37" s="3"/>
      <x:c r="B37" s="3" t="str">
        <x:v>Todos</x:v>
      </x:c>
      <x:c r="C37" s="3" t="str">
        <x:v>Saudi Arabia</x:v>
      </x:c>
      <x:c r="D37" s="13" t="n">
        <x:v>145.92</x:v>
      </x:c>
      <x:c r="E37" s="13" t="n">
        <x:v>14.75</x:v>
      </x:c>
      <x:c r="F37" s="13" t="n">
        <x:f>D37-E37</x:f>
        <x:v>131.17</x:v>
      </x:c>
      <x:c r="G37" s="14" t="n">
        <x:v>1</x:v>
      </x:c>
      <x:c r="H37" s="14" t="n">
        <x:v>1</x:v>
      </x:c>
      <x:c r="I37" s="14" t="n">
        <x:v>1</x:v>
      </x:c>
      <x:c r="J37" s="14" t="n">
        <x:v>0</x:v>
      </x:c>
      <x:c r="K37" s="14" t="n">
        <x:v>80</x:v>
      </x:c>
      <x:c r="L37" s="14" t="n">
        <x:v>5</x:v>
      </x:c>
      <x:c r="M37" s="13" t="n">
        <x:v>145.92</x:v>
      </x:c>
      <x:c r="N37" s="3" t="n">
        <x:v>10</x:v>
      </x:c>
      <x:c r="O37" s="13" t="n">
        <x:f>IF(G37=0,"n.a.",D37/G37)</x:f>
        <x:v>145.92</x:v>
      </x:c>
      <x:c r="P37" s="15" t="n">
        <x:f>IF(D37=0,"n.a.",E37/D37)</x:f>
        <x:v>0.10108278508771931</x:v>
      </x:c>
    </x:row>
    <x:row r="38" ht="22" customHeight="1">
      <x:c r="A38" s="3"/>
      <x:c r="B38" s="3" t="str">
        <x:v>Todos</x:v>
      </x:c>
      <x:c r="C38" s="3" t="str">
        <x:v>Singapore</x:v>
      </x:c>
      <x:c r="D38" s="13" t="n">
        <x:v>9120.39</x:v>
      </x:c>
      <x:c r="E38" s="13" t="n">
        <x:v>0</x:v>
      </x:c>
      <x:c r="F38" s="13" t="n">
        <x:f>D38-E38</x:f>
        <x:v>9120.39</x:v>
      </x:c>
      <x:c r="G38" s="14" t="n">
        <x:v>4</x:v>
      </x:c>
      <x:c r="H38" s="14" t="n">
        <x:v>0</x:v>
      </x:c>
      <x:c r="I38" s="14" t="n">
        <x:v>1</x:v>
      </x:c>
      <x:c r="J38" s="14" t="n">
        <x:v>1</x:v>
      </x:c>
      <x:c r="K38" s="14" t="n">
        <x:v>5234</x:v>
      </x:c>
      <x:c r="L38" s="14" t="n">
        <x:v>0</x:v>
      </x:c>
      <x:c r="M38" s="13" t="n">
        <x:v>9120.39</x:v>
      </x:c>
      <x:c r="N38" s="3" t="n">
        <x:v>215</x:v>
      </x:c>
      <x:c r="O38" s="13" t="n">
        <x:f>IF(G38=0,"n.a.",D38/G38)</x:f>
        <x:v>2280.0975</x:v>
      </x:c>
      <x:c r="P38" s="15" t="n">
        <x:f>IF(D38=0,"n.a.",E38/D38)</x:f>
        <x:v>0</x:v>
      </x:c>
    </x:row>
    <x:row r="39" ht="22" customHeight="1">
      <x:c r="A39" s="3"/>
      <x:c r="B39" s="3" t="str">
        <x:v>Todos</x:v>
      </x:c>
      <x:c r="C39" s="3" t="str">
        <x:v>Spain</x:v>
      </x:c>
      <x:c r="D39" s="13" t="n">
        <x:v>55725.11</x:v>
      </x:c>
      <x:c r="E39" s="13" t="n">
        <x:v>3959.91</x:v>
      </x:c>
      <x:c r="F39" s="13" t="n">
        <x:f>D39-E39</x:f>
        <x:v>51765.2</x:v>
      </x:c>
      <x:c r="G39" s="14" t="n">
        <x:v>88</x:v>
      </x:c>
      <x:c r="H39" s="14" t="n">
        <x:v>12</x:v>
      </x:c>
      <x:c r="I39" s="14" t="n">
        <x:v>30</x:v>
      </x:c>
      <x:c r="J39" s="14" t="n">
        <x:v>19</x:v>
      </x:c>
      <x:c r="K39" s="14" t="n">
        <x:v>27731</x:v>
      </x:c>
      <x:c r="L39" s="14" t="n">
        <x:v>1124</x:v>
      </x:c>
      <x:c r="M39" s="13" t="n">
        <x:v>55725.11</x:v>
      </x:c>
      <x:c r="N39" s="3" t="n">
        <x:v>2467</x:v>
      </x:c>
      <x:c r="O39" s="13" t="n">
        <x:f>IF(G39=0,"n.a.",D39/G39)</x:f>
        <x:v>633.2398863636364</x:v>
      </x:c>
      <x:c r="P39" s="15" t="n">
        <x:f>IF(D39=0,"n.a.",E39/D39)</x:f>
        <x:v>0.07106150171798674</x:v>
      </x:c>
    </x:row>
    <x:row r="40" ht="22" customHeight="1">
      <x:c r="A40" s="3"/>
      <x:c r="B40" s="3" t="str">
        <x:v>Todos</x:v>
      </x:c>
      <x:c r="C40" s="3" t="str">
        <x:v>Sweden</x:v>
      </x:c>
      <x:c r="D40" s="13" t="n">
        <x:v>36839.33</x:v>
      </x:c>
      <x:c r="E40" s="13" t="n">
        <x:v>1662.42</x:v>
      </x:c>
      <x:c r="F40" s="13" t="n">
        <x:f>D40-E40</x:f>
        <x:v>35176.91</x:v>
      </x:c>
      <x:c r="G40" s="14" t="n">
        <x:v>34</x:v>
      </x:c>
      <x:c r="H40" s="14" t="n">
        <x:v>8</x:v>
      </x:c>
      <x:c r="I40" s="14" t="n">
        <x:v>8</x:v>
      </x:c>
      <x:c r="J40" s="14" t="n">
        <x:v>4</x:v>
      </x:c>
      <x:c r="K40" s="14" t="n">
        <x:v>36042</x:v>
      </x:c>
      <x:c r="L40" s="14" t="n">
        <x:v>443</x:v>
      </x:c>
      <x:c r="M40" s="13" t="n">
        <x:v>36839.33</x:v>
      </x:c>
      <x:c r="N40" s="3" t="n">
        <x:v>437</x:v>
      </x:c>
      <x:c r="O40" s="13" t="n">
        <x:f>IF(G40=0,"n.a.",D40/G40)</x:f>
        <x:v>1083.509705882353</x:v>
      </x:c>
      <x:c r="P40" s="15" t="n">
        <x:f>IF(D40=0,"n.a.",E40/D40)</x:f>
        <x:v>0.045126227865707656</x:v>
      </x:c>
    </x:row>
    <x:row r="41" ht="22" customHeight="1">
      <x:c r="A41" s="3"/>
      <x:c r="B41" s="3" t="str">
        <x:v>Todos</x:v>
      </x:c>
      <x:c r="C41" s="3" t="str">
        <x:v>Switzerland</x:v>
      </x:c>
      <x:c r="D41" s="13" t="n">
        <x:v>53087.9</x:v>
      </x:c>
      <x:c r="E41" s="13" t="n">
        <x:v>582.55</x:v>
      </x:c>
      <x:c r="F41" s="13" t="n">
        <x:f>D41-E41</x:f>
        <x:v>52505.35</x:v>
      </x:c>
      <x:c r="G41" s="14" t="n">
        <x:v>50</x:v>
      </x:c>
      <x:c r="H41" s="14" t="n">
        <x:v>18</x:v>
      </x:c>
      <x:c r="I41" s="14" t="n">
        <x:v>21</x:v>
      </x:c>
      <x:c r="J41" s="14" t="n">
        <x:v>12</x:v>
      </x:c>
      <x:c r="K41" s="14" t="n">
        <x:v>30527</x:v>
      </x:c>
      <x:c r="L41" s="14" t="n">
        <x:v>300</x:v>
      </x:c>
      <x:c r="M41" s="13" t="n">
        <x:v>52441.95</x:v>
      </x:c>
      <x:c r="N41" s="3" t="n">
        <x:v>1968</x:v>
      </x:c>
      <x:c r="O41" s="13" t="n">
        <x:f>IF(G41=0,"n.a.",D41/G41)</x:f>
        <x:v>1061.758</x:v>
      </x:c>
      <x:c r="P41" s="15" t="n">
        <x:f>IF(D41=0,"n.a.",E41/D41)</x:f>
        <x:v>0.010973310302347614</x:v>
      </x:c>
    </x:row>
    <x:row r="42" ht="22" customHeight="1">
      <x:c r="A42" s="3"/>
      <x:c r="B42" s="3" t="str">
        <x:v>Todos</x:v>
      </x:c>
      <x:c r="C42" s="3" t="str">
        <x:v>USA</x:v>
      </x:c>
      <x:c r="D42" s="13" t="n">
        <x:v>3580.39</x:v>
      </x:c>
      <x:c r="E42" s="13" t="n">
        <x:v>1849.47</x:v>
      </x:c>
      <x:c r="F42" s="13" t="n">
        <x:f>D42-E42</x:f>
        <x:v>1730.9199999999998</x:v>
      </x:c>
      <x:c r="G42" s="14" t="n">
        <x:v>5</x:v>
      </x:c>
      <x:c r="H42" s="14" t="n">
        <x:v>2</x:v>
      </x:c>
      <x:c r="I42" s="14" t="n">
        <x:v>4</x:v>
      </x:c>
      <x:c r="J42" s="14" t="n">
        <x:v>1</x:v>
      </x:c>
      <x:c r="K42" s="14" t="n">
        <x:v>2458</x:v>
      </x:c>
      <x:c r="L42" s="14" t="n">
        <x:v>1424</x:v>
      </x:c>
      <x:c r="M42" s="13" t="n">
        <x:v>3580.39</x:v>
      </x:c>
      <x:c r="N42" s="3" t="n">
        <x:v>291</x:v>
      </x:c>
      <x:c r="O42" s="13" t="n">
        <x:f>IF(G42=0,"n.a.",D42/G42)</x:f>
        <x:v>716.078</x:v>
      </x:c>
      <x:c r="P42" s="15" t="n">
        <x:f>IF(D42=0,"n.a.",E42/D42)</x:f>
        <x:v>0.5165554590421714</x:v>
      </x:c>
    </x:row>
    <x:row r="43" ht="22" customHeight="1">
      <x:c r="A43" s="3"/>
      <x:c r="B43" s="3" t="str">
        <x:v>Todos</x:v>
      </x:c>
      <x:c r="C43" s="3" t="str">
        <x:v>United Arab Emirates</x:v>
      </x:c>
      <x:c r="D43" s="13" t="n">
        <x:v>1864.78</x:v>
      </x:c>
      <x:c r="E43" s="13" t="n">
        <x:v>0</x:v>
      </x:c>
      <x:c r="F43" s="13" t="n">
        <x:f>D43-E43</x:f>
        <x:v>1864.78</x:v>
      </x:c>
      <x:c r="G43" s="14" t="n">
        <x:v>2</x:v>
      </x:c>
      <x:c r="H43" s="14" t="n">
        <x:v>0</x:v>
      </x:c>
      <x:c r="I43" s="14" t="n">
        <x:v>2</x:v>
      </x:c>
      <x:c r="J43" s="14" t="n">
        <x:v>0</x:v>
      </x:c>
      <x:c r="K43" s="14" t="n">
        <x:v>981</x:v>
      </x:c>
      <x:c r="L43" s="14" t="n">
        <x:v>0</x:v>
      </x:c>
      <x:c r="M43" s="13" t="n">
        <x:v>1864.78</x:v>
      </x:c>
      <x:c r="N43" s="3" t="n">
        <x:v>67</x:v>
      </x:c>
      <x:c r="O43" s="13" t="n">
        <x:f>IF(G43=0,"n.a.",D43/G43)</x:f>
        <x:v>932.39</x:v>
      </x:c>
      <x:c r="P43" s="15" t="n">
        <x:f>IF(D43=0,"n.a.",E43/D43)</x:f>
        <x:v>0</x:v>
      </x:c>
    </x:row>
    <x:row r="44" ht="22" customHeight="1">
      <x:c r="A44" s="3"/>
      <x:c r="B44" s="3" t="str">
        <x:v>Todos</x:v>
      </x:c>
      <x:c r="C44" s="3" t="str">
        <x:v>United Kingdom</x:v>
      </x:c>
      <x:c r="D44" s="13" t="n">
        <x:v>8747561.663</x:v>
      </x:c>
      <x:c r="E44" s="13" t="n">
        <x:v>445843.38</x:v>
      </x:c>
      <x:c r="F44" s="13" t="n">
        <x:f>D44-E44</x:f>
        <x:v>8301718.283000001</x:v>
      </x:c>
      <x:c r="G44" s="14" t="n">
        <x:v>17901</x:v>
      </x:c>
      <x:c r="H44" s="14" t="n">
        <x:v>3029</x:v>
      </x:c>
      <x:c r="I44" s="14" t="n">
        <x:v>3916</x:v>
      </x:c>
      <x:c r="J44" s="14" t="n">
        <x:v>2563</x:v>
      </x:c>
      <x:c r="K44" s="14" t="n">
        <x:v>4654358</x:v>
      </x:c>
      <x:c r="L44" s="14" t="n">
        <x:v>258099</x:v>
      </x:c>
      <x:c r="M44" s="13" t="n">
        <x:v>7265862.233</x:v>
      </x:c>
      <x:c r="N44" s="3" t="n">
        <x:v>491370</x:v>
      </x:c>
      <x:c r="O44" s="13" t="n">
        <x:f>IF(G44=0,"n.a.",D44/G44)</x:f>
        <x:v>488.6632960728451</x:v>
      </x:c>
      <x:c r="P44" s="15" t="n">
        <x:f>IF(D44=0,"n.a.",E44/D44)</x:f>
        <x:v>0.050967732172247045</x:v>
      </x:c>
    </x:row>
    <x:row r="45" ht="22" customHeight="1">
      <x:c r="A45" s="3"/>
      <x:c r="B45" s="3" t="str">
        <x:v>Todos</x:v>
      </x:c>
      <x:c r="C45" s="3" t="str">
        <x:v>Unspecified</x:v>
      </x:c>
      <x:c r="D45" s="13" t="n">
        <x:v>4749.79</x:v>
      </x:c>
      <x:c r="E45" s="13" t="n">
        <x:v>0</x:v>
      </x:c>
      <x:c r="F45" s="13" t="n">
        <x:f>D45-E45</x:f>
        <x:v>4749.79</x:v>
      </x:c>
      <x:c r="G45" s="14" t="n">
        <x:v>13</x:v>
      </x:c>
      <x:c r="H45" s="14" t="n">
        <x:v>0</x:v>
      </x:c>
      <x:c r="I45" s="14" t="n">
        <x:v>4</x:v>
      </x:c>
      <x:c r="J45" s="14" t="n">
        <x:v>4</x:v>
      </x:c>
      <x:c r="K45" s="14" t="n">
        <x:v>3300</x:v>
      </x:c>
      <x:c r="L45" s="14" t="n">
        <x:v>0</x:v>
      </x:c>
      <x:c r="M45" s="13" t="n">
        <x:v>2667.07</x:v>
      </x:c>
      <x:c r="N45" s="3" t="n">
        <x:v>446</x:v>
      </x:c>
      <x:c r="O45" s="13" t="n">
        <x:f>IF(G45=0,"n.a.",D45/G45)</x:f>
        <x:v>365.36846153846153</x:v>
      </x:c>
      <x:c r="P45" s="15" t="n">
        <x:f>IF(D45=0,"n.a.",E45/D45)</x:f>
        <x:v>0</x:v>
      </x:c>
    </x:row>
    <x:row r="46" ht="22" customHeight="1">
      <x:c r="A46" s="3"/>
      <x:c r="B46" s="3" t="str">
        <x:v>2010-12</x:v>
      </x:c>
      <x:c r="C46" s="3" t="str">
        <x:v>Todos</x:v>
      </x:c>
      <x:c r="D46" s="13" t="n">
        <x:v>777931.77</x:v>
      </x:c>
      <x:c r="E46" s="13" t="n">
        <x:v>17607.86</x:v>
      </x:c>
      <x:c r="F46" s="13" t="n">
        <x:f>D46-E46</x:f>
        <x:v>760323.91</x:v>
      </x:c>
      <x:c r="G46" s="14" t="n">
        <x:v>1550</x:v>
      </x:c>
      <x:c r="H46" s="14" t="n">
        <x:v>301</x:v>
      </x:c>
      <x:c r="I46" s="14" t="n">
        <x:v>884</x:v>
      </x:c>
      <x:c r="J46" s="14" t="n">
        <x:v>262</x:v>
      </x:c>
      <x:c r="K46" s="14" t="n">
        <x:v>358749</x:v>
      </x:c>
      <x:c r="L46" s="14" t="n">
        <x:v>16009</x:v>
      </x:c>
      <x:c r="M46" s="13" t="n">
        <x:v>567490.72</x:v>
      </x:c>
      <x:c r="N46" s="3" t="n">
        <x:v>42013</x:v>
      </x:c>
      <x:c r="O46" s="13" t="n">
        <x:f>IF(G46=0,"n.a.",D46/G46)</x:f>
        <x:v>501.891464516129</x:v>
      </x:c>
      <x:c r="P46" s="15" t="n">
        <x:f>IF(D46=0,"n.a.",E46/D46)</x:f>
        <x:v>0.02263419579843101</x:v>
      </x:c>
    </x:row>
    <x:row r="47" ht="22" customHeight="1">
      <x:c r="A47" s="3"/>
      <x:c r="B47" s="3" t="str">
        <x:v>2010-12</x:v>
      </x:c>
      <x:c r="C47" s="3" t="str">
        <x:v>Australia</x:v>
      </x:c>
      <x:c r="D47" s="13" t="n">
        <x:v>1032.85</x:v>
      </x:c>
      <x:c r="E47" s="13" t="n">
        <x:v>27.75</x:v>
      </x:c>
      <x:c r="F47" s="13" t="n">
        <x:f>D47-E47</x:f>
        <x:v>1005.0999999999999</x:v>
      </x:c>
      <x:c r="G47" s="14" t="n">
        <x:v>3</x:v>
      </x:c>
      <x:c r="H47" s="14" t="n">
        <x:v>1</x:v>
      </x:c>
      <x:c r="I47" s="14" t="n">
        <x:v>2</x:v>
      </x:c>
      <x:c r="J47" s="14" t="n">
        <x:v>1</x:v>
      </x:c>
      <x:c r="K47" s="14" t="n">
        <x:v>467</x:v>
      </x:c>
      <x:c r="L47" s="14" t="n">
        <x:v>13</x:v>
      </x:c>
      <x:c r="M47" s="13" t="n">
        <x:v>1032.85</x:v>
      </x:c>
      <x:c r="N47" s="3" t="n">
        <x:v>35</x:v>
      </x:c>
      <x:c r="O47" s="13" t="n">
        <x:f>IF(G47=0,"n.a.",D47/G47)</x:f>
        <x:v>344.2833333333333</x:v>
      </x:c>
      <x:c r="P47" s="15" t="n">
        <x:f>IF(D47=0,"n.a.",E47/D47)</x:f>
        <x:v>0.026867405722031276</x:v>
      </x:c>
    </x:row>
    <x:row r="48" ht="22" customHeight="1">
      <x:c r="A48" s="3"/>
      <x:c r="B48" s="3" t="str">
        <x:v>2010-12</x:v>
      </x:c>
      <x:c r="C48" s="3" t="str">
        <x:v>Austria</x:v>
      </x:c>
      <x:c r="D48" s="13" t="n">
        <x:v>157.2</x:v>
      </x:c>
      <x:c r="E48" s="13" t="n">
        <x:v>20.16</x:v>
      </x:c>
      <x:c r="F48" s="13" t="n">
        <x:f>D48-E48</x:f>
        <x:v>137.04</x:v>
      </x:c>
      <x:c r="G48" s="14" t="n">
        <x:v>1</x:v>
      </x:c>
      <x:c r="H48" s="14" t="n">
        <x:v>1</x:v>
      </x:c>
      <x:c r="I48" s="14" t="n">
        <x:v>1</x:v>
      </x:c>
      <x:c r="J48" s="14" t="n">
        <x:v>0</x:v>
      </x:c>
      <x:c r="K48" s="14" t="n">
        <x:v>48</x:v>
      </x:c>
      <x:c r="L48" s="14" t="n">
        <x:v>48</x:v>
      </x:c>
      <x:c r="M48" s="13" t="n">
        <x:v>157.2</x:v>
      </x:c>
      <x:c r="N48" s="3" t="n">
        <x:v>8</x:v>
      </x:c>
      <x:c r="O48" s="13" t="n">
        <x:f>IF(G48=0,"n.a.",D48/G48)</x:f>
        <x:v>157.2</x:v>
      </x:c>
      <x:c r="P48" s="15" t="n">
        <x:f>IF(D48=0,"n.a.",E48/D48)</x:f>
        <x:v>0.1282442748091603</x:v>
      </x:c>
    </x:row>
    <x:row r="49" ht="22" customHeight="1">
      <x:c r="A49" s="3"/>
      <x:c r="B49" s="3" t="str">
        <x:v>2010-12</x:v>
      </x:c>
      <x:c r="C49" s="3" t="str">
        <x:v>Bahrain</x:v>
      </x:c>
      <x:c r="D49" s="13" t="n">
        <x:v>205.74</x:v>
      </x:c>
      <x:c r="E49" s="13" t="n">
        <x:v>0</x:v>
      </x:c>
      <x:c r="F49" s="13" t="n">
        <x:f>D49-E49</x:f>
        <x:v>205.74</x:v>
      </x:c>
      <x:c r="G49" s="14" t="n">
        <x:v>1</x:v>
      </x:c>
      <x:c r="H49" s="14" t="n">
        <x:v>0</x:v>
      </x:c>
      <x:c r="I49" s="14" t="n">
        <x:v>0</x:v>
      </x:c>
      <x:c r="J49" s="14" t="n">
        <x:v>0</x:v>
      </x:c>
      <x:c r="K49" s="14" t="n">
        <x:v>54</x:v>
      </x:c>
      <x:c r="L49" s="14" t="n">
        <x:v>0</x:v>
      </x:c>
      <x:c r="M49" s="13" t="n">
        <x:v>0</x:v>
      </x:c>
      <x:c r="N49" s="3" t="n">
        <x:v>1</x:v>
      </x:c>
      <x:c r="O49" s="13" t="n">
        <x:f>IF(G49=0,"n.a.",D49/G49)</x:f>
        <x:v>205.74</x:v>
      </x:c>
      <x:c r="P49" s="15" t="n">
        <x:f>IF(D49=0,"n.a.",E49/D49)</x:f>
        <x:v>0</x:v>
      </x:c>
    </x:row>
    <x:row r="50" ht="22" customHeight="1">
      <x:c r="A50" s="3"/>
      <x:c r="B50" s="3" t="str">
        <x:v>2010-12</x:v>
      </x:c>
      <x:c r="C50" s="3" t="str">
        <x:v>Belgium</x:v>
      </x:c>
      <x:c r="D50" s="13" t="n">
        <x:v>1599.91</x:v>
      </x:c>
      <x:c r="E50" s="13" t="n">
        <x:v>0</x:v>
      </x:c>
      <x:c r="F50" s="13" t="n">
        <x:f>D50-E50</x:f>
        <x:v>1599.91</x:v>
      </x:c>
      <x:c r="G50" s="14" t="n">
        <x:v>5</x:v>
      </x:c>
      <x:c r="H50" s="14" t="n">
        <x:v>0</x:v>
      </x:c>
      <x:c r="I50" s="14" t="n">
        <x:v>4</x:v>
      </x:c>
      <x:c r="J50" s="14" t="n">
        <x:v>1</x:v>
      </x:c>
      <x:c r="K50" s="14" t="n">
        <x:v>1742</x:v>
      </x:c>
      <x:c r="L50" s="14" t="n">
        <x:v>0</x:v>
      </x:c>
      <x:c r="M50" s="13" t="n">
        <x:v>1599.91</x:v>
      </x:c>
      <x:c r="N50" s="3" t="n">
        <x:v>90</x:v>
      </x:c>
      <x:c r="O50" s="13" t="n">
        <x:f>IF(G50=0,"n.a.",D50/G50)</x:f>
        <x:v>319.982</x:v>
      </x:c>
      <x:c r="P50" s="15" t="n">
        <x:f>IF(D50=0,"n.a.",E50/D50)</x:f>
        <x:v>0</x:v>
      </x:c>
    </x:row>
    <x:row r="51" ht="22" customHeight="1">
      <x:c r="A51" s="3"/>
      <x:c r="B51" s="3" t="str">
        <x:v>2010-12</x:v>
      </x:c>
      <x:c r="C51" s="3" t="str">
        <x:v>Brazil</x:v>
      </x:c>
      <x:c r="D51" s="13" t="n">
        <x:v>0</x:v>
      </x:c>
      <x:c r="E51" s="13" t="n">
        <x:v>0</x:v>
      </x:c>
      <x:c r="F51" s="13" t="n">
        <x:f>D51-E51</x:f>
        <x:v>0</x:v>
      </x:c>
      <x:c r="G51" s="14" t="n">
        <x:v>0</x:v>
      </x:c>
      <x:c r="H51" s="14" t="n">
        <x:v>0</x:v>
      </x:c>
      <x:c r="I51" s="14" t="n">
        <x:v>0</x:v>
      </x:c>
      <x:c r="J51" s="14" t="n">
        <x:v>0</x:v>
      </x:c>
      <x:c r="K51" s="14" t="n">
        <x:v>0</x:v>
      </x:c>
      <x:c r="L51" s="14" t="n">
        <x:v>0</x:v>
      </x:c>
      <x:c r="M51" s="13" t="n">
        <x:v>0</x:v>
      </x:c>
      <x:c r="N51" s="3" t="n">
        <x:v>0</x:v>
      </x:c>
      <x:c r="O51" s="13" t="str">
        <x:f>IF(G51=0,"n.a.",D51/G51)</x:f>
        <x:v>n.a.</x:v>
      </x:c>
      <x:c r="P51" s="15" t="str">
        <x:f>IF(D51=0,"n.a.",E51/D51)</x:f>
        <x:v>n.a.</x:v>
      </x:c>
    </x:row>
    <x:row r="52" ht="22" customHeight="1">
      <x:c r="A52" s="3"/>
      <x:c r="B52" s="3" t="str">
        <x:v>2010-12</x:v>
      </x:c>
      <x:c r="C52" s="3" t="str">
        <x:v>Canada</x:v>
      </x:c>
      <x:c r="D52" s="13" t="n">
        <x:v>0</x:v>
      </x:c>
      <x:c r="E52" s="13" t="n">
        <x:v>0</x:v>
      </x:c>
      <x:c r="F52" s="13" t="n">
        <x:f>D52-E52</x:f>
        <x:v>0</x:v>
      </x:c>
      <x:c r="G52" s="14" t="n">
        <x:v>0</x:v>
      </x:c>
      <x:c r="H52" s="14" t="n">
        <x:v>0</x:v>
      </x:c>
      <x:c r="I52" s="14" t="n">
        <x:v>0</x:v>
      </x:c>
      <x:c r="J52" s="14" t="n">
        <x:v>0</x:v>
      </x:c>
      <x:c r="K52" s="14" t="n">
        <x:v>0</x:v>
      </x:c>
      <x:c r="L52" s="14" t="n">
        <x:v>0</x:v>
      </x:c>
      <x:c r="M52" s="13" t="n">
        <x:v>0</x:v>
      </x:c>
      <x:c r="N52" s="3" t="n">
        <x:v>0</x:v>
      </x:c>
      <x:c r="O52" s="13" t="str">
        <x:f>IF(G52=0,"n.a.",D52/G52)</x:f>
        <x:v>n.a.</x:v>
      </x:c>
      <x:c r="P52" s="15" t="str">
        <x:f>IF(D52=0,"n.a.",E52/D52)</x:f>
        <x:v>n.a.</x:v>
      </x:c>
    </x:row>
    <x:row r="53" ht="22" customHeight="1">
      <x:c r="A53" s="3"/>
      <x:c r="B53" s="3" t="str">
        <x:v>2010-12</x:v>
      </x:c>
      <x:c r="C53" s="3" t="str">
        <x:v>Channel Islands</x:v>
      </x:c>
      <x:c r="D53" s="13" t="n">
        <x:v>313.53</x:v>
      </x:c>
      <x:c r="E53" s="13" t="n">
        <x:v>0</x:v>
      </x:c>
      <x:c r="F53" s="13" t="n">
        <x:f>D53-E53</x:f>
        <x:v>313.53</x:v>
      </x:c>
      <x:c r="G53" s="14" t="n">
        <x:v>1</x:v>
      </x:c>
      <x:c r="H53" s="14" t="n">
        <x:v>0</x:v>
      </x:c>
      <x:c r="I53" s="14" t="n">
        <x:v>1</x:v>
      </x:c>
      <x:c r="J53" s="14" t="n">
        <x:v>0</x:v>
      </x:c>
      <x:c r="K53" s="14" t="n">
        <x:v>79</x:v>
      </x:c>
      <x:c r="L53" s="14" t="n">
        <x:v>0</x:v>
      </x:c>
      <x:c r="M53" s="13" t="n">
        <x:v>313.53</x:v>
      </x:c>
      <x:c r="N53" s="3" t="n">
        <x:v>16</x:v>
      </x:c>
      <x:c r="O53" s="13" t="n">
        <x:f>IF(G53=0,"n.a.",D53/G53)</x:f>
        <x:v>313.53</x:v>
      </x:c>
      <x:c r="P53" s="15" t="n">
        <x:f>IF(D53=0,"n.a.",E53/D53)</x:f>
        <x:v>0</x:v>
      </x:c>
    </x:row>
    <x:row r="54" ht="22" customHeight="1">
      <x:c r="A54" s="3"/>
      <x:c r="B54" s="3" t="str">
        <x:v>2010-12</x:v>
      </x:c>
      <x:c r="C54" s="3" t="str">
        <x:v>Cyprus</x:v>
      </x:c>
      <x:c r="D54" s="13" t="n">
        <x:v>1590.82</x:v>
      </x:c>
      <x:c r="E54" s="13" t="n">
        <x:v>0</x:v>
      </x:c>
      <x:c r="F54" s="13" t="n">
        <x:f>D54-E54</x:f>
        <x:v>1590.82</x:v>
      </x:c>
      <x:c r="G54" s="14" t="n">
        <x:v>1</x:v>
      </x:c>
      <x:c r="H54" s="14" t="n">
        <x:v>0</x:v>
      </x:c>
      <x:c r="I54" s="14" t="n">
        <x:v>1</x:v>
      </x:c>
      <x:c r="J54" s="14" t="n">
        <x:v>0</x:v>
      </x:c>
      <x:c r="K54" s="14" t="n">
        <x:v>917</x:v>
      </x:c>
      <x:c r="L54" s="14" t="n">
        <x:v>0</x:v>
      </x:c>
      <x:c r="M54" s="13" t="n">
        <x:v>1590.82</x:v>
      </x:c>
      <x:c r="N54" s="3" t="n">
        <x:v>83</x:v>
      </x:c>
      <x:c r="O54" s="13" t="n">
        <x:f>IF(G54=0,"n.a.",D54/G54)</x:f>
        <x:v>1590.82</x:v>
      </x:c>
      <x:c r="P54" s="15" t="n">
        <x:f>IF(D54=0,"n.a.",E54/D54)</x:f>
        <x:v>0</x:v>
      </x:c>
    </x:row>
    <x:row r="55" ht="22" customHeight="1">
      <x:c r="A55" s="3"/>
      <x:c r="B55" s="3" t="str">
        <x:v>2010-12</x:v>
      </x:c>
      <x:c r="C55" s="3" t="str">
        <x:v>Czech Republic</x:v>
      </x:c>
      <x:c r="D55" s="13" t="n">
        <x:v>0</x:v>
      </x:c>
      <x:c r="E55" s="13" t="n">
        <x:v>0</x:v>
      </x:c>
      <x:c r="F55" s="13" t="n">
        <x:f>D55-E55</x:f>
        <x:v>0</x:v>
      </x:c>
      <x:c r="G55" s="14" t="n">
        <x:v>0</x:v>
      </x:c>
      <x:c r="H55" s="14" t="n">
        <x:v>0</x:v>
      </x:c>
      <x:c r="I55" s="14" t="n">
        <x:v>0</x:v>
      </x:c>
      <x:c r="J55" s="14" t="n">
        <x:v>0</x:v>
      </x:c>
      <x:c r="K55" s="14" t="n">
        <x:v>0</x:v>
      </x:c>
      <x:c r="L55" s="14" t="n">
        <x:v>0</x:v>
      </x:c>
      <x:c r="M55" s="13" t="n">
        <x:v>0</x:v>
      </x:c>
      <x:c r="N55" s="3" t="n">
        <x:v>0</x:v>
      </x:c>
      <x:c r="O55" s="13" t="str">
        <x:f>IF(G55=0,"n.a.",D55/G55)</x:f>
        <x:v>n.a.</x:v>
      </x:c>
      <x:c r="P55" s="15" t="str">
        <x:f>IF(D55=0,"n.a.",E55/D55)</x:f>
        <x:v>n.a.</x:v>
      </x:c>
    </x:row>
    <x:row r="56" ht="22" customHeight="1">
      <x:c r="A56" s="3"/>
      <x:c r="B56" s="3" t="str">
        <x:v>2010-12</x:v>
      </x:c>
      <x:c r="C56" s="3" t="str">
        <x:v>Denmark</x:v>
      </x:c>
      <x:c r="D56" s="13" t="n">
        <x:v>1137.5</x:v>
      </x:c>
      <x:c r="E56" s="13" t="n">
        <x:v>0</x:v>
      </x:c>
      <x:c r="F56" s="13" t="n">
        <x:f>D56-E56</x:f>
        <x:v>1137.5</x:v>
      </x:c>
      <x:c r="G56" s="14" t="n">
        <x:v>1</x:v>
      </x:c>
      <x:c r="H56" s="14" t="n">
        <x:v>0</x:v>
      </x:c>
      <x:c r="I56" s="14" t="n">
        <x:v>1</x:v>
      </x:c>
      <x:c r="J56" s="14" t="n">
        <x:v>0</x:v>
      </x:c>
      <x:c r="K56" s="14" t="n">
        <x:v>446</x:v>
      </x:c>
      <x:c r="L56" s="14" t="n">
        <x:v>0</x:v>
      </x:c>
      <x:c r="M56" s="13" t="n">
        <x:v>1137.5</x:v>
      </x:c>
      <x:c r="N56" s="3" t="n">
        <x:v>19</x:v>
      </x:c>
      <x:c r="O56" s="13" t="n">
        <x:f>IF(G56=0,"n.a.",D56/G56)</x:f>
        <x:v>1137.5</x:v>
      </x:c>
      <x:c r="P56" s="15" t="n">
        <x:f>IF(D56=0,"n.a.",E56/D56)</x:f>
        <x:v>0</x:v>
      </x:c>
    </x:row>
    <x:row r="57" ht="22" customHeight="1">
      <x:c r="A57" s="3"/>
      <x:c r="B57" s="3" t="str">
        <x:v>2010-12</x:v>
      </x:c>
      <x:c r="C57" s="3" t="str">
        <x:v>EIRE</x:v>
      </x:c>
      <x:c r="D57" s="13" t="n">
        <x:v>9683.26</x:v>
      </x:c>
      <x:c r="E57" s="13" t="n">
        <x:v>1003.31</x:v>
      </x:c>
      <x:c r="F57" s="13" t="n">
        <x:f>D57-E57</x:f>
        <x:v>8679.95</x:v>
      </x:c>
      <x:c r="G57" s="14" t="n">
        <x:v>17</x:v>
      </x:c>
      <x:c r="H57" s="14" t="n">
        <x:v>5</x:v>
      </x:c>
      <x:c r="I57" s="14" t="n">
        <x:v>3</x:v>
      </x:c>
      <x:c r="J57" s="14" t="n">
        <x:v>1</x:v>
      </x:c>
      <x:c r="K57" s="14" t="n">
        <x:v>5763</x:v>
      </x:c>
      <x:c r="L57" s="14" t="n">
        <x:v>399</x:v>
      </x:c>
      <x:c r="M57" s="13" t="n">
        <x:v>8513.88</x:v>
      </x:c>
      <x:c r="N57" s="3" t="n">
        <x:v>395</x:v>
      </x:c>
      <x:c r="O57" s="13" t="n">
        <x:f>IF(G57=0,"n.a.",D57/G57)</x:f>
        <x:v>569.6035294117647</x:v>
      </x:c>
      <x:c r="P57" s="15" t="n">
        <x:f>IF(D57=0,"n.a.",E57/D57)</x:f>
        <x:v>0.10361283286826957</x:v>
      </x:c>
    </x:row>
    <x:row r="58" ht="22" customHeight="1">
      <x:c r="A58" s="3"/>
      <x:c r="B58" s="3" t="str">
        <x:v>2010-12</x:v>
      </x:c>
      <x:c r="C58" s="3" t="str">
        <x:v>European Community</x:v>
      </x:c>
      <x:c r="D58" s="13" t="n">
        <x:v>0</x:v>
      </x:c>
      <x:c r="E58" s="13" t="n">
        <x:v>0</x:v>
      </x:c>
      <x:c r="F58" s="13" t="n">
        <x:f>D58-E58</x:f>
        <x:v>0</x:v>
      </x:c>
      <x:c r="G58" s="14" t="n">
        <x:v>0</x:v>
      </x:c>
      <x:c r="H58" s="14" t="n">
        <x:v>0</x:v>
      </x:c>
      <x:c r="I58" s="14" t="n">
        <x:v>0</x:v>
      </x:c>
      <x:c r="J58" s="14" t="n">
        <x:v>0</x:v>
      </x:c>
      <x:c r="K58" s="14" t="n">
        <x:v>0</x:v>
      </x:c>
      <x:c r="L58" s="14" t="n">
        <x:v>0</x:v>
      </x:c>
      <x:c r="M58" s="13" t="n">
        <x:v>0</x:v>
      </x:c>
      <x:c r="N58" s="3" t="n">
        <x:v>0</x:v>
      </x:c>
      <x:c r="O58" s="13" t="str">
        <x:f>IF(G58=0,"n.a.",D58/G58)</x:f>
        <x:v>n.a.</x:v>
      </x:c>
      <x:c r="P58" s="15" t="str">
        <x:f>IF(D58=0,"n.a.",E58/D58)</x:f>
        <x:v>n.a.</x:v>
      </x:c>
    </x:row>
    <x:row r="59" ht="22" customHeight="1">
      <x:c r="A59" s="3"/>
      <x:c r="B59" s="3" t="str">
        <x:v>2010-12</x:v>
      </x:c>
      <x:c r="C59" s="3" t="str">
        <x:v>Finland</x:v>
      </x:c>
      <x:c r="D59" s="13" t="n">
        <x:v>652.8</x:v>
      </x:c>
      <x:c r="E59" s="13" t="n">
        <x:v>0</x:v>
      </x:c>
      <x:c r="F59" s="13" t="n">
        <x:f>D59-E59</x:f>
        <x:v>652.8</x:v>
      </x:c>
      <x:c r="G59" s="14" t="n">
        <x:v>1</x:v>
      </x:c>
      <x:c r="H59" s="14" t="n">
        <x:v>0</x:v>
      </x:c>
      <x:c r="I59" s="14" t="n">
        <x:v>1</x:v>
      </x:c>
      <x:c r="J59" s="14" t="n">
        <x:v>0</x:v>
      </x:c>
      <x:c r="K59" s="14" t="n">
        <x:v>1248</x:v>
      </x:c>
      <x:c r="L59" s="14" t="n">
        <x:v>0</x:v>
      </x:c>
      <x:c r="M59" s="13" t="n">
        <x:v>652.8</x:v>
      </x:c>
      <x:c r="N59" s="3" t="n">
        <x:v>16</x:v>
      </x:c>
      <x:c r="O59" s="13" t="n">
        <x:f>IF(G59=0,"n.a.",D59/G59)</x:f>
        <x:v>652.8</x:v>
      </x:c>
      <x:c r="P59" s="15" t="n">
        <x:f>IF(D59=0,"n.a.",E59/D59)</x:f>
        <x:v>0</x:v>
      </x:c>
    </x:row>
    <x:row r="60" ht="22" customHeight="1">
      <x:c r="A60" s="3"/>
      <x:c r="B60" s="3" t="str">
        <x:v>2010-12</x:v>
      </x:c>
      <x:c r="C60" s="3" t="str">
        <x:v>France</x:v>
      </x:c>
      <x:c r="D60" s="13" t="n">
        <x:v>8530.31</x:v>
      </x:c>
      <x:c r="E60" s="13" t="n">
        <x:v>40.95</x:v>
      </x:c>
      <x:c r="F60" s="13" t="n">
        <x:f>D60-E60</x:f>
        <x:v>8489.359999999999</x:v>
      </x:c>
      <x:c r="G60" s="14" t="n">
        <x:v>20</x:v>
      </x:c>
      <x:c r="H60" s="14" t="n">
        <x:v>3</x:v>
      </x:c>
      <x:c r="I60" s="14" t="n">
        <x:v>15</x:v>
      </x:c>
      <x:c r="J60" s="14" t="n">
        <x:v>5</x:v>
      </x:c>
      <x:c r="K60" s="14" t="n">
        <x:v>4936</x:v>
      </x:c>
      <x:c r="L60" s="14" t="n">
        <x:v>11</x:v>
      </x:c>
      <x:c r="M60" s="13" t="n">
        <x:v>8530.31</x:v>
      </x:c>
      <x:c r="N60" s="3" t="n">
        <x:v>421</x:v>
      </x:c>
      <x:c r="O60" s="13" t="n">
        <x:f>IF(G60=0,"n.a.",D60/G60)</x:f>
        <x:v>426.5155</x:v>
      </x:c>
      <x:c r="P60" s="15" t="n">
        <x:f>IF(D60=0,"n.a.",E60/D60)</x:f>
        <x:v>0.004800528937400869</x:v>
      </x:c>
    </x:row>
    <x:row r="61" ht="22" customHeight="1">
      <x:c r="A61" s="3"/>
      <x:c r="B61" s="3" t="str">
        <x:v>2010-12</x:v>
      </x:c>
      <x:c r="C61" s="3" t="str">
        <x:v>Germany</x:v>
      </x:c>
      <x:c r="D61" s="13" t="n">
        <x:v>13279.14</x:v>
      </x:c>
      <x:c r="E61" s="13" t="n">
        <x:v>660.3</x:v>
      </x:c>
      <x:c r="F61" s="13" t="n">
        <x:f>D61-E61</x:f>
        <x:v>12618.84</x:v>
      </x:c>
      <x:c r="G61" s="14" t="n">
        <x:v>29</x:v>
      </x:c>
      <x:c r="H61" s="14" t="n">
        <x:v>12</x:v>
      </x:c>
      <x:c r="I61" s="14" t="n">
        <x:v>18</x:v>
      </x:c>
      <x:c r="J61" s="14" t="n">
        <x:v>8</x:v>
      </x:c>
      <x:c r="K61" s="14" t="n">
        <x:v>6768</x:v>
      </x:c>
      <x:c r="L61" s="14" t="n">
        <x:v>154</x:v>
      </x:c>
      <x:c r="M61" s="13" t="n">
        <x:v>13279.14</x:v>
      </x:c>
      <x:c r="N61" s="3" t="n">
        <x:v>537</x:v>
      </x:c>
      <x:c r="O61" s="13" t="n">
        <x:f>IF(G61=0,"n.a.",D61/G61)</x:f>
        <x:v>457.9013793103448</x:v>
      </x:c>
      <x:c r="P61" s="15" t="n">
        <x:f>IF(D61=0,"n.a.",E61/D61)</x:f>
        <x:v>0.049724605659703866</x:v>
      </x:c>
    </x:row>
    <x:row r="62" ht="22" customHeight="1">
      <x:c r="A62" s="3"/>
      <x:c r="B62" s="3" t="str">
        <x:v>2010-12</x:v>
      </x:c>
      <x:c r="C62" s="3" t="str">
        <x:v>Greece</x:v>
      </x:c>
      <x:c r="D62" s="13" t="n">
        <x:v>0</x:v>
      </x:c>
      <x:c r="E62" s="13" t="n">
        <x:v>0</x:v>
      </x:c>
      <x:c r="F62" s="13" t="n">
        <x:f>D62-E62</x:f>
        <x:v>0</x:v>
      </x:c>
      <x:c r="G62" s="14" t="n">
        <x:v>0</x:v>
      </x:c>
      <x:c r="H62" s="14" t="n">
        <x:v>0</x:v>
      </x:c>
      <x:c r="I62" s="14" t="n">
        <x:v>0</x:v>
      </x:c>
      <x:c r="J62" s="14" t="n">
        <x:v>0</x:v>
      </x:c>
      <x:c r="K62" s="14" t="n">
        <x:v>0</x:v>
      </x:c>
      <x:c r="L62" s="14" t="n">
        <x:v>0</x:v>
      </x:c>
      <x:c r="M62" s="13" t="n">
        <x:v>0</x:v>
      </x:c>
      <x:c r="N62" s="3" t="n">
        <x:v>0</x:v>
      </x:c>
      <x:c r="O62" s="13" t="str">
        <x:f>IF(G62=0,"n.a.",D62/G62)</x:f>
        <x:v>n.a.</x:v>
      </x:c>
      <x:c r="P62" s="15" t="str">
        <x:f>IF(D62=0,"n.a.",E62/D62)</x:f>
        <x:v>n.a.</x:v>
      </x:c>
    </x:row>
    <x:row r="63" ht="22" customHeight="1">
      <x:c r="A63" s="3"/>
      <x:c r="B63" s="3" t="str">
        <x:v>2010-12</x:v>
      </x:c>
      <x:c r="C63" s="3" t="str">
        <x:v>Hong Kong</x:v>
      </x:c>
      <x:c r="D63" s="13" t="n">
        <x:v>0</x:v>
      </x:c>
      <x:c r="E63" s="13" t="n">
        <x:v>0</x:v>
      </x:c>
      <x:c r="F63" s="13" t="n">
        <x:f>D63-E63</x:f>
        <x:v>0</x:v>
      </x:c>
      <x:c r="G63" s="14" t="n">
        <x:v>0</x:v>
      </x:c>
      <x:c r="H63" s="14" t="n">
        <x:v>0</x:v>
      </x:c>
      <x:c r="I63" s="14" t="n">
        <x:v>0</x:v>
      </x:c>
      <x:c r="J63" s="14" t="n">
        <x:v>0</x:v>
      </x:c>
      <x:c r="K63" s="14" t="n">
        <x:v>0</x:v>
      </x:c>
      <x:c r="L63" s="14" t="n">
        <x:v>0</x:v>
      </x:c>
      <x:c r="M63" s="13" t="n">
        <x:v>0</x:v>
      </x:c>
      <x:c r="N63" s="3" t="n">
        <x:v>0</x:v>
      </x:c>
      <x:c r="O63" s="13" t="str">
        <x:f>IF(G63=0,"n.a.",D63/G63)</x:f>
        <x:v>n.a.</x:v>
      </x:c>
      <x:c r="P63" s="15" t="str">
        <x:f>IF(D63=0,"n.a.",E63/D63)</x:f>
        <x:v>n.a.</x:v>
      </x:c>
    </x:row>
    <x:row r="64" ht="22" customHeight="1">
      <x:c r="A64" s="3"/>
      <x:c r="B64" s="3" t="str">
        <x:v>2010-12</x:v>
      </x:c>
      <x:c r="C64" s="3" t="str">
        <x:v>Iceland</x:v>
      </x:c>
      <x:c r="D64" s="13" t="n">
        <x:v>711.79</x:v>
      </x:c>
      <x:c r="E64" s="13" t="n">
        <x:v>0</x:v>
      </x:c>
      <x:c r="F64" s="13" t="n">
        <x:f>D64-E64</x:f>
        <x:v>711.79</x:v>
      </x:c>
      <x:c r="G64" s="14" t="n">
        <x:v>1</x:v>
      </x:c>
      <x:c r="H64" s="14" t="n">
        <x:v>0</x:v>
      </x:c>
      <x:c r="I64" s="14" t="n">
        <x:v>1</x:v>
      </x:c>
      <x:c r="J64" s="14" t="n">
        <x:v>0</x:v>
      </x:c>
      <x:c r="K64" s="14" t="n">
        <x:v>319</x:v>
      </x:c>
      <x:c r="L64" s="14" t="n">
        <x:v>0</x:v>
      </x:c>
      <x:c r="M64" s="13" t="n">
        <x:v>711.79</x:v>
      </x:c>
      <x:c r="N64" s="3" t="n">
        <x:v>31</x:v>
      </x:c>
      <x:c r="O64" s="13" t="n">
        <x:f>IF(G64=0,"n.a.",D64/G64)</x:f>
        <x:v>711.79</x:v>
      </x:c>
      <x:c r="P64" s="15" t="n">
        <x:f>IF(D64=0,"n.a.",E64/D64)</x:f>
        <x:v>0</x:v>
      </x:c>
    </x:row>
    <x:row r="65" ht="22" customHeight="1">
      <x:c r="A65" s="3"/>
      <x:c r="B65" s="3" t="str">
        <x:v>2010-12</x:v>
      </x:c>
      <x:c r="C65" s="3" t="str">
        <x:v>Israel</x:v>
      </x:c>
      <x:c r="D65" s="13" t="n">
        <x:v>0</x:v>
      </x:c>
      <x:c r="E65" s="13" t="n">
        <x:v>227.44</x:v>
      </x:c>
      <x:c r="F65" s="13" t="n">
        <x:f>D65-E65</x:f>
        <x:v>-227.44</x:v>
      </x:c>
      <x:c r="G65" s="14" t="n">
        <x:v>0</x:v>
      </x:c>
      <x:c r="H65" s="14" t="n">
        <x:v>1</x:v>
      </x:c>
      <x:c r="I65" s="14" t="n">
        <x:v>0</x:v>
      </x:c>
      <x:c r="J65" s="14" t="n">
        <x:v>0</x:v>
      </x:c>
      <x:c r="K65" s="14" t="n">
        <x:v>0</x:v>
      </x:c>
      <x:c r="L65" s="14" t="n">
        <x:v>56</x:v>
      </x:c>
      <x:c r="M65" s="13" t="n">
        <x:v>0</x:v>
      </x:c>
      <x:c r="N65" s="3" t="n">
        <x:v>2</x:v>
      </x:c>
      <x:c r="O65" s="13" t="str">
        <x:f>IF(G65=0,"n.a.",D65/G65)</x:f>
        <x:v>n.a.</x:v>
      </x:c>
      <x:c r="P65" s="15" t="str">
        <x:f>IF(D65=0,"n.a.",E65/D65)</x:f>
        <x:v>n.a.</x:v>
      </x:c>
    </x:row>
    <x:row r="66" ht="22" customHeight="1">
      <x:c r="A66" s="3"/>
      <x:c r="B66" s="3" t="str">
        <x:v>2010-12</x:v>
      </x:c>
      <x:c r="C66" s="3" t="str">
        <x:v>Italy</x:v>
      </x:c>
      <x:c r="D66" s="13" t="n">
        <x:v>650.5</x:v>
      </x:c>
      <x:c r="E66" s="13" t="n">
        <x:v>17</x:v>
      </x:c>
      <x:c r="F66" s="13" t="n">
        <x:f>D66-E66</x:f>
        <x:v>633.5</x:v>
      </x:c>
      <x:c r="G66" s="14" t="n">
        <x:v>2</x:v>
      </x:c>
      <x:c r="H66" s="14" t="n">
        <x:v>1</x:v>
      </x:c>
      <x:c r="I66" s="14" t="n">
        <x:v>2</x:v>
      </x:c>
      <x:c r="J66" s="14" t="n">
        <x:v>0</x:v>
      </x:c>
      <x:c r="K66" s="14" t="n">
        <x:v>290</x:v>
      </x:c>
      <x:c r="L66" s="14" t="n">
        <x:v>2</x:v>
      </x:c>
      <x:c r="M66" s="13" t="n">
        <x:v>650.5</x:v>
      </x:c>
      <x:c r="N66" s="3" t="n">
        <x:v>39</x:v>
      </x:c>
      <x:c r="O66" s="13" t="n">
        <x:f>IF(G66=0,"n.a.",D66/G66)</x:f>
        <x:v>325.25</x:v>
      </x:c>
      <x:c r="P66" s="15" t="n">
        <x:f>IF(D66=0,"n.a.",E66/D66)</x:f>
        <x:v>0.026133743274404306</x:v>
      </x:c>
    </x:row>
    <x:row r="67" ht="22" customHeight="1">
      <x:c r="A67" s="3"/>
      <x:c r="B67" s="3" t="str">
        <x:v>2010-12</x:v>
      </x:c>
      <x:c r="C67" s="3" t="str">
        <x:v>Japan</x:v>
      </x:c>
      <x:c r="D67" s="13" t="n">
        <x:v>7705.07</x:v>
      </x:c>
      <x:c r="E67" s="13" t="n">
        <x:v>0</x:v>
      </x:c>
      <x:c r="F67" s="13" t="n">
        <x:f>D67-E67</x:f>
        <x:v>7705.07</x:v>
      </x:c>
      <x:c r="G67" s="14" t="n">
        <x:v>3</x:v>
      </x:c>
      <x:c r="H67" s="14" t="n">
        <x:v>0</x:v>
      </x:c>
      <x:c r="I67" s="14" t="n">
        <x:v>3</x:v>
      </x:c>
      <x:c r="J67" s="14" t="n">
        <x:v>0</x:v>
      </x:c>
      <x:c r="K67" s="14" t="n">
        <x:v>4093</x:v>
      </x:c>
      <x:c r="L67" s="14" t="n">
        <x:v>0</x:v>
      </x:c>
      <x:c r="M67" s="13" t="n">
        <x:v>7705.07</x:v>
      </x:c>
      <x:c r="N67" s="3" t="n">
        <x:v>65</x:v>
      </x:c>
      <x:c r="O67" s="13" t="n">
        <x:f>IF(G67=0,"n.a.",D67/G67)</x:f>
        <x:v>2568.3566666666666</x:v>
      </x:c>
      <x:c r="P67" s="15" t="n">
        <x:f>IF(D67=0,"n.a.",E67/D67)</x:f>
        <x:v>0</x:v>
      </x:c>
    </x:row>
    <x:row r="68" ht="22" customHeight="1">
      <x:c r="A68" s="3"/>
      <x:c r="B68" s="3" t="str">
        <x:v>2010-12</x:v>
      </x:c>
      <x:c r="C68" s="3" t="str">
        <x:v>Lebanon</x:v>
      </x:c>
      <x:c r="D68" s="13" t="n">
        <x:v>0</x:v>
      </x:c>
      <x:c r="E68" s="13" t="n">
        <x:v>0</x:v>
      </x:c>
      <x:c r="F68" s="13" t="n">
        <x:f>D68-E68</x:f>
        <x:v>0</x:v>
      </x:c>
      <x:c r="G68" s="14" t="n">
        <x:v>0</x:v>
      </x:c>
      <x:c r="H68" s="14" t="n">
        <x:v>0</x:v>
      </x:c>
      <x:c r="I68" s="14" t="n">
        <x:v>0</x:v>
      </x:c>
      <x:c r="J68" s="14" t="n">
        <x:v>0</x:v>
      </x:c>
      <x:c r="K68" s="14" t="n">
        <x:v>0</x:v>
      </x:c>
      <x:c r="L68" s="14" t="n">
        <x:v>0</x:v>
      </x:c>
      <x:c r="M68" s="13" t="n">
        <x:v>0</x:v>
      </x:c>
      <x:c r="N68" s="3" t="n">
        <x:v>0</x:v>
      </x:c>
      <x:c r="O68" s="13" t="str">
        <x:f>IF(G68=0,"n.a.",D68/G68)</x:f>
        <x:v>n.a.</x:v>
      </x:c>
      <x:c r="P68" s="15" t="str">
        <x:f>IF(D68=0,"n.a.",E68/D68)</x:f>
        <x:v>n.a.</x:v>
      </x:c>
    </x:row>
    <x:row r="69" ht="22" customHeight="1">
      <x:c r="A69" s="3"/>
      <x:c r="B69" s="3" t="str">
        <x:v>2010-12</x:v>
      </x:c>
      <x:c r="C69" s="3" t="str">
        <x:v>Lithuania</x:v>
      </x:c>
      <x:c r="D69" s="13" t="n">
        <x:v>1661.06</x:v>
      </x:c>
      <x:c r="E69" s="13" t="n">
        <x:v>0</x:v>
      </x:c>
      <x:c r="F69" s="13" t="n">
        <x:f>D69-E69</x:f>
        <x:v>1661.06</x:v>
      </x:c>
      <x:c r="G69" s="14" t="n">
        <x:v>4</x:v>
      </x:c>
      <x:c r="H69" s="14" t="n">
        <x:v>0</x:v>
      </x:c>
      <x:c r="I69" s="14" t="n">
        <x:v>1</x:v>
      </x:c>
      <x:c r="J69" s="14" t="n">
        <x:v>1</x:v>
      </x:c>
      <x:c r="K69" s="14" t="n">
        <x:v>652</x:v>
      </x:c>
      <x:c r="L69" s="14" t="n">
        <x:v>0</x:v>
      </x:c>
      <x:c r="M69" s="13" t="n">
        <x:v>1661.06</x:v>
      </x:c>
      <x:c r="N69" s="3" t="n">
        <x:v>35</x:v>
      </x:c>
      <x:c r="O69" s="13" t="n">
        <x:f>IF(G69=0,"n.a.",D69/G69)</x:f>
        <x:v>415.265</x:v>
      </x:c>
      <x:c r="P69" s="15" t="n">
        <x:f>IF(D69=0,"n.a.",E69/D69)</x:f>
        <x:v>0</x:v>
      </x:c>
    </x:row>
    <x:row r="70" ht="22" customHeight="1">
      <x:c r="A70" s="3"/>
      <x:c r="B70" s="3" t="str">
        <x:v>2010-12</x:v>
      </x:c>
      <x:c r="C70" s="3" t="str">
        <x:v>Malta</x:v>
      </x:c>
      <x:c r="D70" s="13" t="n">
        <x:v>0</x:v>
      </x:c>
      <x:c r="E70" s="13" t="n">
        <x:v>0</x:v>
      </x:c>
      <x:c r="F70" s="13" t="n">
        <x:f>D70-E70</x:f>
        <x:v>0</x:v>
      </x:c>
      <x:c r="G70" s="14" t="n">
        <x:v>0</x:v>
      </x:c>
      <x:c r="H70" s="14" t="n">
        <x:v>0</x:v>
      </x:c>
      <x:c r="I70" s="14" t="n">
        <x:v>0</x:v>
      </x:c>
      <x:c r="J70" s="14" t="n">
        <x:v>0</x:v>
      </x:c>
      <x:c r="K70" s="14" t="n">
        <x:v>0</x:v>
      </x:c>
      <x:c r="L70" s="14" t="n">
        <x:v>0</x:v>
      </x:c>
      <x:c r="M70" s="13" t="n">
        <x:v>0</x:v>
      </x:c>
      <x:c r="N70" s="3" t="n">
        <x:v>0</x:v>
      </x:c>
      <x:c r="O70" s="13" t="str">
        <x:f>IF(G70=0,"n.a.",D70/G70)</x:f>
        <x:v>n.a.</x:v>
      </x:c>
      <x:c r="P70" s="15" t="str">
        <x:f>IF(D70=0,"n.a.",E70/D70)</x:f>
        <x:v>n.a.</x:v>
      </x:c>
    </x:row>
    <x:row r="71" ht="22" customHeight="1">
      <x:c r="A71" s="3"/>
      <x:c r="B71" s="3" t="str">
        <x:v>2010-12</x:v>
      </x:c>
      <x:c r="C71" s="3" t="str">
        <x:v>Netherlands</x:v>
      </x:c>
      <x:c r="D71" s="13" t="n">
        <x:v>8754.48</x:v>
      </x:c>
      <x:c r="E71" s="13" t="n">
        <x:v>0</x:v>
      </x:c>
      <x:c r="F71" s="13" t="n">
        <x:f>D71-E71</x:f>
        <x:v>8754.48</x:v>
      </x:c>
      <x:c r="G71" s="14" t="n">
        <x:v>3</x:v>
      </x:c>
      <x:c r="H71" s="14" t="n">
        <x:v>0</x:v>
      </x:c>
      <x:c r="I71" s="14" t="n">
        <x:v>2</x:v>
      </x:c>
      <x:c r="J71" s="14" t="n">
        <x:v>1</x:v>
      </x:c>
      <x:c r="K71" s="14" t="n">
        <x:v>6809</x:v>
      </x:c>
      <x:c r="L71" s="14" t="n">
        <x:v>0</x:v>
      </x:c>
      <x:c r="M71" s="13" t="n">
        <x:v>8754.48</x:v>
      </x:c>
      <x:c r="N71" s="3" t="n">
        <x:v>70</x:v>
      </x:c>
      <x:c r="O71" s="13" t="n">
        <x:f>IF(G71=0,"n.a.",D71/G71)</x:f>
        <x:v>2918.16</x:v>
      </x:c>
      <x:c r="P71" s="15" t="n">
        <x:f>IF(D71=0,"n.a.",E71/D71)</x:f>
        <x:v>0</x:v>
      </x:c>
    </x:row>
    <x:row r="72" ht="22" customHeight="1">
      <x:c r="A72" s="3"/>
      <x:c r="B72" s="3" t="str">
        <x:v>2010-12</x:v>
      </x:c>
      <x:c r="C72" s="3" t="str">
        <x:v>Norway</x:v>
      </x:c>
      <x:c r="D72" s="13" t="n">
        <x:v>3787.12</x:v>
      </x:c>
      <x:c r="E72" s="13" t="n">
        <x:v>0</x:v>
      </x:c>
      <x:c r="F72" s="13" t="n">
        <x:f>D72-E72</x:f>
        <x:v>3787.12</x:v>
      </x:c>
      <x:c r="G72" s="14" t="n">
        <x:v>2</x:v>
      </x:c>
      <x:c r="H72" s="14" t="n">
        <x:v>0</x:v>
      </x:c>
      <x:c r="I72" s="14" t="n">
        <x:v>1</x:v>
      </x:c>
      <x:c r="J72" s="14" t="n">
        <x:v>1</x:v>
      </x:c>
      <x:c r="K72" s="14" t="n">
        <x:v>3582</x:v>
      </x:c>
      <x:c r="L72" s="14" t="n">
        <x:v>0</x:v>
      </x:c>
      <x:c r="M72" s="13" t="n">
        <x:v>3787.12</x:v>
      </x:c>
      <x:c r="N72" s="3" t="n">
        <x:v>147</x:v>
      </x:c>
      <x:c r="O72" s="13" t="n">
        <x:f>IF(G72=0,"n.a.",D72/G72)</x:f>
        <x:v>1893.56</x:v>
      </x:c>
      <x:c r="P72" s="15" t="n">
        <x:f>IF(D72=0,"n.a.",E72/D72)</x:f>
        <x:v>0</x:v>
      </x:c>
    </x:row>
    <x:row r="73" ht="22" customHeight="1">
      <x:c r="A73" s="3"/>
      <x:c r="B73" s="3" t="str">
        <x:v>2010-12</x:v>
      </x:c>
      <x:c r="C73" s="3" t="str">
        <x:v>Poland</x:v>
      </x:c>
      <x:c r="D73" s="13" t="n">
        <x:v>248.16</x:v>
      </x:c>
      <x:c r="E73" s="13" t="n">
        <x:v>0</x:v>
      </x:c>
      <x:c r="F73" s="13" t="n">
        <x:f>D73-E73</x:f>
        <x:v>248.16</x:v>
      </x:c>
      <x:c r="G73" s="14" t="n">
        <x:v>1</x:v>
      </x:c>
      <x:c r="H73" s="14" t="n">
        <x:v>0</x:v>
      </x:c>
      <x:c r="I73" s="14" t="n">
        <x:v>1</x:v>
      </x:c>
      <x:c r="J73" s="14" t="n">
        <x:v>0</x:v>
      </x:c>
      <x:c r="K73" s="14" t="n">
        <x:v>140</x:v>
      </x:c>
      <x:c r="L73" s="14" t="n">
        <x:v>0</x:v>
      </x:c>
      <x:c r="M73" s="13" t="n">
        <x:v>248.16</x:v>
      </x:c>
      <x:c r="N73" s="3" t="n">
        <x:v>8</x:v>
      </x:c>
      <x:c r="O73" s="13" t="n">
        <x:f>IF(G73=0,"n.a.",D73/G73)</x:f>
        <x:v>248.16</x:v>
      </x:c>
      <x:c r="P73" s="15" t="n">
        <x:f>IF(D73=0,"n.a.",E73/D73)</x:f>
        <x:v>0</x:v>
      </x:c>
    </x:row>
    <x:row r="74" ht="22" customHeight="1">
      <x:c r="A74" s="3"/>
      <x:c r="B74" s="3" t="str">
        <x:v>2010-12</x:v>
      </x:c>
      <x:c r="C74" s="3" t="str">
        <x:v>Portugal</x:v>
      </x:c>
      <x:c r="D74" s="13" t="n">
        <x:v>2047.97</x:v>
      </x:c>
      <x:c r="E74" s="13" t="n">
        <x:v>59.85</x:v>
      </x:c>
      <x:c r="F74" s="13" t="n">
        <x:f>D74-E74</x:f>
        <x:v>1988.1200000000001</x:v>
      </x:c>
      <x:c r="G74" s="14" t="n">
        <x:v>6</x:v>
      </x:c>
      <x:c r="H74" s="14" t="n">
        <x:v>2</x:v>
      </x:c>
      <x:c r="I74" s="14" t="n">
        <x:v>6</x:v>
      </x:c>
      <x:c r="J74" s="14" t="n">
        <x:v>0</x:v>
      </x:c>
      <x:c r="K74" s="14" t="n">
        <x:v>970</x:v>
      </x:c>
      <x:c r="L74" s="14" t="n">
        <x:v>39</x:v>
      </x:c>
      <x:c r="M74" s="13" t="n">
        <x:v>2047.97</x:v>
      </x:c>
      <x:c r="N74" s="3" t="n">
        <x:v>114</x:v>
      </x:c>
      <x:c r="O74" s="13" t="n">
        <x:f>IF(G74=0,"n.a.",D74/G74)</x:f>
        <x:v>341.3283333333333</x:v>
      </x:c>
      <x:c r="P74" s="15" t="n">
        <x:f>IF(D74=0,"n.a.",E74/D74)</x:f>
        <x:v>0.02922406089932958</x:v>
      </x:c>
    </x:row>
    <x:row r="75" ht="22" customHeight="1">
      <x:c r="A75" s="3"/>
      <x:c r="B75" s="3" t="str">
        <x:v>2010-12</x:v>
      </x:c>
      <x:c r="C75" s="3" t="str">
        <x:v>RSA</x:v>
      </x:c>
      <x:c r="D75" s="13" t="n">
        <x:v>0</x:v>
      </x:c>
      <x:c r="E75" s="13" t="n">
        <x:v>0</x:v>
      </x:c>
      <x:c r="F75" s="13" t="n">
        <x:f>D75-E75</x:f>
        <x:v>0</x:v>
      </x:c>
      <x:c r="G75" s="14" t="n">
        <x:v>0</x:v>
      </x:c>
      <x:c r="H75" s="14" t="n">
        <x:v>0</x:v>
      </x:c>
      <x:c r="I75" s="14" t="n">
        <x:v>0</x:v>
      </x:c>
      <x:c r="J75" s="14" t="n">
        <x:v>0</x:v>
      </x:c>
      <x:c r="K75" s="14" t="n">
        <x:v>0</x:v>
      </x:c>
      <x:c r="L75" s="14" t="n">
        <x:v>0</x:v>
      </x:c>
      <x:c r="M75" s="13" t="n">
        <x:v>0</x:v>
      </x:c>
      <x:c r="N75" s="3" t="n">
        <x:v>0</x:v>
      </x:c>
      <x:c r="O75" s="13" t="str">
        <x:f>IF(G75=0,"n.a.",D75/G75)</x:f>
        <x:v>n.a.</x:v>
      </x:c>
      <x:c r="P75" s="15" t="str">
        <x:f>IF(D75=0,"n.a.",E75/D75)</x:f>
        <x:v>n.a.</x:v>
      </x:c>
    </x:row>
    <x:row r="76" ht="22" customHeight="1">
      <x:c r="A76" s="3"/>
      <x:c r="B76" s="3" t="str">
        <x:v>2010-12</x:v>
      </x:c>
      <x:c r="C76" s="3" t="str">
        <x:v>Saudi Arabia</x:v>
      </x:c>
      <x:c r="D76" s="13" t="n">
        <x:v>0</x:v>
      </x:c>
      <x:c r="E76" s="13" t="n">
        <x:v>0</x:v>
      </x:c>
      <x:c r="F76" s="13" t="n">
        <x:f>D76-E76</x:f>
        <x:v>0</x:v>
      </x:c>
      <x:c r="G76" s="14" t="n">
        <x:v>0</x:v>
      </x:c>
      <x:c r="H76" s="14" t="n">
        <x:v>0</x:v>
      </x:c>
      <x:c r="I76" s="14" t="n">
        <x:v>0</x:v>
      </x:c>
      <x:c r="J76" s="14" t="n">
        <x:v>0</x:v>
      </x:c>
      <x:c r="K76" s="14" t="n">
        <x:v>0</x:v>
      </x:c>
      <x:c r="L76" s="14" t="n">
        <x:v>0</x:v>
      </x:c>
      <x:c r="M76" s="13" t="n">
        <x:v>0</x:v>
      </x:c>
      <x:c r="N76" s="3" t="n">
        <x:v>0</x:v>
      </x:c>
      <x:c r="O76" s="13" t="str">
        <x:f>IF(G76=0,"n.a.",D76/G76)</x:f>
        <x:v>n.a.</x:v>
      </x:c>
      <x:c r="P76" s="15" t="str">
        <x:f>IF(D76=0,"n.a.",E76/D76)</x:f>
        <x:v>n.a.</x:v>
      </x:c>
    </x:row>
    <x:row r="77" ht="22" customHeight="1">
      <x:c r="A77" s="3"/>
      <x:c r="B77" s="3" t="str">
        <x:v>2010-12</x:v>
      </x:c>
      <x:c r="C77" s="3" t="str">
        <x:v>Singapore</x:v>
      </x:c>
      <x:c r="D77" s="13" t="n">
        <x:v>0</x:v>
      </x:c>
      <x:c r="E77" s="13" t="n">
        <x:v>0</x:v>
      </x:c>
      <x:c r="F77" s="13" t="n">
        <x:f>D77-E77</x:f>
        <x:v>0</x:v>
      </x:c>
      <x:c r="G77" s="14" t="n">
        <x:v>0</x:v>
      </x:c>
      <x:c r="H77" s="14" t="n">
        <x:v>0</x:v>
      </x:c>
      <x:c r="I77" s="14" t="n">
        <x:v>0</x:v>
      </x:c>
      <x:c r="J77" s="14" t="n">
        <x:v>0</x:v>
      </x:c>
      <x:c r="K77" s="14" t="n">
        <x:v>0</x:v>
      </x:c>
      <x:c r="L77" s="14" t="n">
        <x:v>0</x:v>
      </x:c>
      <x:c r="M77" s="13" t="n">
        <x:v>0</x:v>
      </x:c>
      <x:c r="N77" s="3" t="n">
        <x:v>0</x:v>
      </x:c>
      <x:c r="O77" s="13" t="str">
        <x:f>IF(G77=0,"n.a.",D77/G77)</x:f>
        <x:v>n.a.</x:v>
      </x:c>
      <x:c r="P77" s="15" t="str">
        <x:f>IF(D77=0,"n.a.",E77/D77)</x:f>
        <x:v>n.a.</x:v>
      </x:c>
    </x:row>
    <x:row r="78" ht="22" customHeight="1">
      <x:c r="A78" s="3"/>
      <x:c r="B78" s="3" t="str">
        <x:v>2010-12</x:v>
      </x:c>
      <x:c r="C78" s="3" t="str">
        <x:v>Spain</x:v>
      </x:c>
      <x:c r="D78" s="13" t="n">
        <x:v>1703.73</x:v>
      </x:c>
      <x:c r="E78" s="13" t="n">
        <x:v>0</x:v>
      </x:c>
      <x:c r="F78" s="13" t="n">
        <x:f>D78-E78</x:f>
        <x:v>1703.73</x:v>
      </x:c>
      <x:c r="G78" s="14" t="n">
        <x:v>4</x:v>
      </x:c>
      <x:c r="H78" s="14" t="n">
        <x:v>0</x:v>
      </x:c>
      <x:c r="I78" s="14" t="n">
        <x:v>4</x:v>
      </x:c>
      <x:c r="J78" s="14" t="n">
        <x:v>0</x:v>
      </x:c>
      <x:c r="K78" s="14" t="n">
        <x:v>862</x:v>
      </x:c>
      <x:c r="L78" s="14" t="n">
        <x:v>0</x:v>
      </x:c>
      <x:c r="M78" s="13" t="n">
        <x:v>1703.73</x:v>
      </x:c>
      <x:c r="N78" s="3" t="n">
        <x:v>74</x:v>
      </x:c>
      <x:c r="O78" s="13" t="n">
        <x:f>IF(G78=0,"n.a.",D78/G78)</x:f>
        <x:v>425.9325</x:v>
      </x:c>
      <x:c r="P78" s="15" t="n">
        <x:f>IF(D78=0,"n.a.",E78/D78)</x:f>
        <x:v>0</x:v>
      </x:c>
    </x:row>
    <x:row r="79" ht="22" customHeight="1">
      <x:c r="A79" s="3"/>
      <x:c r="B79" s="3" t="str">
        <x:v>2010-12</x:v>
      </x:c>
      <x:c r="C79" s="3" t="str">
        <x:v>Sweden</x:v>
      </x:c>
      <x:c r="D79" s="13" t="n">
        <x:v>3834.3</x:v>
      </x:c>
      <x:c r="E79" s="13" t="n">
        <x:v>1188</x:v>
      </x:c>
      <x:c r="F79" s="13" t="n">
        <x:f>D79-E79</x:f>
        <x:v>2646.3</x:v>
      </x:c>
      <x:c r="G79" s="14" t="n">
        <x:v>2</x:v>
      </x:c>
      <x:c r="H79" s="14" t="n">
        <x:v>1</x:v>
      </x:c>
      <x:c r="I79" s="14" t="n">
        <x:v>1</x:v>
      </x:c>
      <x:c r="J79" s="14" t="n">
        <x:v>1</x:v>
      </x:c>
      <x:c r="K79" s="14" t="n">
        <x:v>3954</x:v>
      </x:c>
      <x:c r="L79" s="14" t="n">
        <x:v>240</x:v>
      </x:c>
      <x:c r="M79" s="13" t="n">
        <x:v>3834.3</x:v>
      </x:c>
      <x:c r="N79" s="3" t="n">
        <x:v>27</x:v>
      </x:c>
      <x:c r="O79" s="13" t="n">
        <x:f>IF(G79=0,"n.a.",D79/G79)</x:f>
        <x:v>1917.15</x:v>
      </x:c>
      <x:c r="P79" s="15" t="n">
        <x:f>IF(D79=0,"n.a.",E79/D79)</x:f>
        <x:v>0.309834911196307</x:v>
      </x:c>
    </x:row>
    <x:row r="80" ht="22" customHeight="1">
      <x:c r="A80" s="3"/>
      <x:c r="B80" s="3" t="str">
        <x:v>2010-12</x:v>
      </x:c>
      <x:c r="C80" s="3" t="str">
        <x:v>Switzerland</x:v>
      </x:c>
      <x:c r="D80" s="13" t="n">
        <x:v>1224.92</x:v>
      </x:c>
      <x:c r="E80" s="13" t="n">
        <x:v>0</x:v>
      </x:c>
      <x:c r="F80" s="13" t="n">
        <x:f>D80-E80</x:f>
        <x:v>1224.92</x:v>
      </x:c>
      <x:c r="G80" s="14" t="n">
        <x:v>2</x:v>
      </x:c>
      <x:c r="H80" s="14" t="n">
        <x:v>0</x:v>
      </x:c>
      <x:c r="I80" s="14" t="n">
        <x:v>2</x:v>
      </x:c>
      <x:c r="J80" s="14" t="n">
        <x:v>0</x:v>
      </x:c>
      <x:c r="K80" s="14" t="n">
        <x:v>712</x:v>
      </x:c>
      <x:c r="L80" s="14" t="n">
        <x:v>0</x:v>
      </x:c>
      <x:c r="M80" s="13" t="n">
        <x:v>1224.92</x:v>
      </x:c>
      <x:c r="N80" s="3" t="n">
        <x:v>48</x:v>
      </x:c>
      <x:c r="O80" s="13" t="n">
        <x:f>IF(G80=0,"n.a.",D80/G80)</x:f>
        <x:v>612.46</x:v>
      </x:c>
      <x:c r="P80" s="15" t="n">
        <x:f>IF(D80=0,"n.a.",E80/D80)</x:f>
        <x:v>0</x:v>
      </x:c>
    </x:row>
    <x:row r="81" ht="22" customHeight="1">
      <x:c r="A81" s="3"/>
      <x:c r="B81" s="3" t="str">
        <x:v>2010-12</x:v>
      </x:c>
      <x:c r="C81" s="3" t="str">
        <x:v>USA</x:v>
      </x:c>
      <x:c r="D81" s="13" t="n">
        <x:v>0</x:v>
      </x:c>
      <x:c r="E81" s="13" t="n">
        <x:v>0</x:v>
      </x:c>
      <x:c r="F81" s="13" t="n">
        <x:f>D81-E81</x:f>
        <x:v>0</x:v>
      </x:c>
      <x:c r="G81" s="14" t="n">
        <x:v>0</x:v>
      </x:c>
      <x:c r="H81" s="14" t="n">
        <x:v>0</x:v>
      </x:c>
      <x:c r="I81" s="14" t="n">
        <x:v>0</x:v>
      </x:c>
      <x:c r="J81" s="14" t="n">
        <x:v>0</x:v>
      </x:c>
      <x:c r="K81" s="14" t="n">
        <x:v>0</x:v>
      </x:c>
      <x:c r="L81" s="14" t="n">
        <x:v>0</x:v>
      </x:c>
      <x:c r="M81" s="13" t="n">
        <x:v>0</x:v>
      </x:c>
      <x:c r="N81" s="3" t="n">
        <x:v>0</x:v>
      </x:c>
      <x:c r="O81" s="13" t="str">
        <x:f>IF(G81=0,"n.a.",D81/G81)</x:f>
        <x:v>n.a.</x:v>
      </x:c>
      <x:c r="P81" s="15" t="str">
        <x:f>IF(D81=0,"n.a.",E81/D81)</x:f>
        <x:v>n.a.</x:v>
      </x:c>
    </x:row>
    <x:row r="82" ht="22" customHeight="1">
      <x:c r="A82" s="3"/>
      <x:c r="B82" s="3" t="str">
        <x:v>2010-12</x:v>
      </x:c>
      <x:c r="C82" s="3" t="str">
        <x:v>United Arab Emirates</x:v>
      </x:c>
      <x:c r="D82" s="13" t="n">
        <x:v>0</x:v>
      </x:c>
      <x:c r="E82" s="13" t="n">
        <x:v>0</x:v>
      </x:c>
      <x:c r="F82" s="13" t="n">
        <x:f>D82-E82</x:f>
        <x:v>0</x:v>
      </x:c>
      <x:c r="G82" s="14" t="n">
        <x:v>0</x:v>
      </x:c>
      <x:c r="H82" s="14" t="n">
        <x:v>0</x:v>
      </x:c>
      <x:c r="I82" s="14" t="n">
        <x:v>0</x:v>
      </x:c>
      <x:c r="J82" s="14" t="n">
        <x:v>0</x:v>
      </x:c>
      <x:c r="K82" s="14" t="n">
        <x:v>0</x:v>
      </x:c>
      <x:c r="L82" s="14" t="n">
        <x:v>0</x:v>
      </x:c>
      <x:c r="M82" s="13" t="n">
        <x:v>0</x:v>
      </x:c>
      <x:c r="N82" s="3" t="n">
        <x:v>0</x:v>
      </x:c>
      <x:c r="O82" s="13" t="str">
        <x:f>IF(G82=0,"n.a.",D82/G82)</x:f>
        <x:v>n.a.</x:v>
      </x:c>
      <x:c r="P82" s="15" t="str">
        <x:f>IF(D82=0,"n.a.",E82/D82)</x:f>
        <x:v>n.a.</x:v>
      </x:c>
    </x:row>
    <x:row r="83" ht="22" customHeight="1">
      <x:c r="A83" s="3"/>
      <x:c r="B83" s="3" t="str">
        <x:v>2010-12</x:v>
      </x:c>
      <x:c r="C83" s="3" t="str">
        <x:v>United Kingdom</x:v>
      </x:c>
      <x:c r="D83" s="13" t="n">
        <x:v>707419.61</x:v>
      </x:c>
      <x:c r="E83" s="13" t="n">
        <x:v>14363.1</x:v>
      </x:c>
      <x:c r="F83" s="13" t="n">
        <x:f>D83-E83</x:f>
        <x:v>693056.51</x:v>
      </x:c>
      <x:c r="G83" s="14" t="n">
        <x:v>1440</x:v>
      </x:c>
      <x:c r="H83" s="14" t="n">
        <x:v>274</x:v>
      </x:c>
      <x:c r="I83" s="14" t="n">
        <x:v>814</x:v>
      </x:c>
      <x:c r="J83" s="14" t="n">
        <x:v>241</x:v>
      </x:c>
      <x:c r="K83" s="14" t="n">
        <x:v>313898</x:v>
      </x:c>
      <x:c r="L83" s="14" t="n">
        <x:v>15047</x:v>
      </x:c>
      <x:c r="M83" s="13" t="n">
        <x:v>498353.68</x:v>
      </x:c>
      <x:c r="N83" s="3" t="n">
        <x:v>39732</x:v>
      </x:c>
      <x:c r="O83" s="13" t="n">
        <x:f>IF(G83=0,"n.a.",D83/G83)</x:f>
        <x:v>491.2636180555555</x:v>
      </x:c>
      <x:c r="P83" s="15" t="n">
        <x:f>IF(D83=0,"n.a.",E83/D83)</x:f>
        <x:v>0.020303508408538465</x:v>
      </x:c>
    </x:row>
    <x:row r="84" ht="22" customHeight="1">
      <x:c r="A84" s="3"/>
      <x:c r="B84" s="3" t="str">
        <x:v>2010-12</x:v>
      </x:c>
      <x:c r="C84" s="3" t="str">
        <x:v>Unspecified</x:v>
      </x:c>
      <x:c r="D84" s="13" t="n">
        <x:v>0</x:v>
      </x:c>
      <x:c r="E84" s="13" t="n">
        <x:v>0</x:v>
      </x:c>
      <x:c r="F84" s="13" t="n">
        <x:f>D84-E84</x:f>
        <x:v>0</x:v>
      </x:c>
      <x:c r="G84" s="14" t="n">
        <x:v>0</x:v>
      </x:c>
      <x:c r="H84" s="14" t="n">
        <x:v>0</x:v>
      </x:c>
      <x:c r="I84" s="14" t="n">
        <x:v>0</x:v>
      </x:c>
      <x:c r="J84" s="14" t="n">
        <x:v>0</x:v>
      </x:c>
      <x:c r="K84" s="14" t="n">
        <x:v>0</x:v>
      </x:c>
      <x:c r="L84" s="14" t="n">
        <x:v>0</x:v>
      </x:c>
      <x:c r="M84" s="13" t="n">
        <x:v>0</x:v>
      </x:c>
      <x:c r="N84" s="3" t="n">
        <x:v>0</x:v>
      </x:c>
      <x:c r="O84" s="13" t="str">
        <x:f>IF(G84=0,"n.a.",D84/G84)</x:f>
        <x:v>n.a.</x:v>
      </x:c>
      <x:c r="P84" s="15" t="str">
        <x:f>IF(D84=0,"n.a.",E84/D84)</x:f>
        <x:v>n.a.</x:v>
      </x:c>
    </x:row>
    <x:row r="85" ht="22" customHeight="1">
      <x:c r="A85" s="3"/>
      <x:c r="B85" s="3" t="str">
        <x:v>2011-01</x:v>
      </x:c>
      <x:c r="C85" s="3" t="str">
        <x:v>Todos</x:v>
      </x:c>
      <x:c r="D85" s="13" t="n">
        <x:v>671933.19</x:v>
      </x:c>
      <x:c r="E85" s="13" t="n">
        <x:v>91526.3</x:v>
      </x:c>
      <x:c r="F85" s="13" t="n">
        <x:f>D85-E85</x:f>
        <x:v>580406.8899999999</x:v>
      </x:c>
      <x:c r="G85" s="14" t="n">
        <x:v>1081</x:v>
      </x:c>
      <x:c r="H85" s="14" t="n">
        <x:v>247</x:v>
      </x:c>
      <x:c r="I85" s="14" t="n">
        <x:v>739</x:v>
      </x:c>
      <x:c r="J85" s="14" t="n">
        <x:v>147</x:v>
      </x:c>
      <x:c r="K85" s="14" t="n">
        <x:v>387424</x:v>
      </x:c>
      <x:c r="L85" s="14" t="n">
        <x:v>79784</x:v>
      </x:c>
      <x:c r="M85" s="13" t="n">
        <x:v>564026.64</x:v>
      </x:c>
      <x:c r="N85" s="3" t="n">
        <x:v>34827</x:v>
      </x:c>
      <x:c r="O85" s="13" t="n">
        <x:f>IF(G85=0,"n.a.",D85/G85)</x:f>
        <x:v>621.5848196114708</x:v>
      </x:c>
      <x:c r="P85" s="15" t="n">
        <x:f>IF(D85=0,"n.a.",E85/D85)</x:f>
        <x:v>0.1362133934774081</x:v>
      </x:c>
    </x:row>
    <x:row r="86" ht="22" customHeight="1">
      <x:c r="A86" s="3"/>
      <x:c r="B86" s="3" t="str">
        <x:v>2011-01</x:v>
      </x:c>
      <x:c r="C86" s="3" t="str">
        <x:v>Australia</x:v>
      </x:c>
      <x:c r="D86" s="13" t="n">
        <x:v>9017.71</x:v>
      </x:c>
      <x:c r="E86" s="13" t="n">
        <x:v>0</x:v>
      </x:c>
      <x:c r="F86" s="13" t="n">
        <x:f>D86-E86</x:f>
        <x:v>9017.71</x:v>
      </x:c>
      <x:c r="G86" s="14" t="n">
        <x:v>9</x:v>
      </x:c>
      <x:c r="H86" s="14" t="n">
        <x:v>0</x:v>
      </x:c>
      <x:c r="I86" s="14" t="n">
        <x:v>7</x:v>
      </x:c>
      <x:c r="J86" s="14" t="n">
        <x:v>2</x:v>
      </x:c>
      <x:c r="K86" s="14" t="n">
        <x:v>5644</x:v>
      </x:c>
      <x:c r="L86" s="14" t="n">
        <x:v>0</x:v>
      </x:c>
      <x:c r="M86" s="13" t="n">
        <x:v>9017.71</x:v>
      </x:c>
      <x:c r="N86" s="3" t="n">
        <x:v>127</x:v>
      </x:c>
      <x:c r="O86" s="13" t="n">
        <x:f>IF(G86=0,"n.a.",D86/G86)</x:f>
        <x:v>1001.9677777777777</x:v>
      </x:c>
      <x:c r="P86" s="15" t="n">
        <x:f>IF(D86=0,"n.a.",E86/D86)</x:f>
        <x:v>0</x:v>
      </x:c>
    </x:row>
    <x:row r="87" ht="22" customHeight="1">
      <x:c r="A87" s="3"/>
      <x:c r="B87" s="3" t="str">
        <x:v>2011-01</x:v>
      </x:c>
      <x:c r="C87" s="3" t="str">
        <x:v>Austria</x:v>
      </x:c>
      <x:c r="D87" s="13" t="n">
        <x:v>0</x:v>
      </x:c>
      <x:c r="E87" s="13" t="n">
        <x:v>0</x:v>
      </x:c>
      <x:c r="F87" s="13" t="n">
        <x:f>D87-E87</x:f>
        <x:v>0</x:v>
      </x:c>
      <x:c r="G87" s="14" t="n">
        <x:v>0</x:v>
      </x:c>
      <x:c r="H87" s="14" t="n">
        <x:v>0</x:v>
      </x:c>
      <x:c r="I87" s="14" t="n">
        <x:v>0</x:v>
      </x:c>
      <x:c r="J87" s="14" t="n">
        <x:v>0</x:v>
      </x:c>
      <x:c r="K87" s="14" t="n">
        <x:v>0</x:v>
      </x:c>
      <x:c r="L87" s="14" t="n">
        <x:v>0</x:v>
      </x:c>
      <x:c r="M87" s="13" t="n">
        <x:v>0</x:v>
      </x:c>
      <x:c r="N87" s="3" t="n">
        <x:v>0</x:v>
      </x:c>
      <x:c r="O87" s="13" t="str">
        <x:f>IF(G87=0,"n.a.",D87/G87)</x:f>
        <x:v>n.a.</x:v>
      </x:c>
      <x:c r="P87" s="15" t="str">
        <x:f>IF(D87=0,"n.a.",E87/D87)</x:f>
        <x:v>n.a.</x:v>
      </x:c>
    </x:row>
    <x:row r="88" ht="22" customHeight="1">
      <x:c r="A88" s="3"/>
      <x:c r="B88" s="3" t="str">
        <x:v>2011-01</x:v>
      </x:c>
      <x:c r="C88" s="3" t="str">
        <x:v>Bahrain</x:v>
      </x:c>
      <x:c r="D88" s="13" t="n">
        <x:v>0</x:v>
      </x:c>
      <x:c r="E88" s="13" t="n">
        <x:v>205.74</x:v>
      </x:c>
      <x:c r="F88" s="13" t="n">
        <x:f>D88-E88</x:f>
        <x:v>-205.74</x:v>
      </x:c>
      <x:c r="G88" s="14" t="n">
        <x:v>0</x:v>
      </x:c>
      <x:c r="H88" s="14" t="n">
        <x:v>1</x:v>
      </x:c>
      <x:c r="I88" s="14" t="n">
        <x:v>0</x:v>
      </x:c>
      <x:c r="J88" s="14" t="n">
        <x:v>0</x:v>
      </x:c>
      <x:c r="K88" s="14" t="n">
        <x:v>0</x:v>
      </x:c>
      <x:c r="L88" s="14" t="n">
        <x:v>54</x:v>
      </x:c>
      <x:c r="M88" s="13" t="n">
        <x:v>0</x:v>
      </x:c>
      <x:c r="N88" s="3" t="n">
        <x:v>1</x:v>
      </x:c>
      <x:c r="O88" s="13" t="str">
        <x:f>IF(G88=0,"n.a.",D88/G88)</x:f>
        <x:v>n.a.</x:v>
      </x:c>
      <x:c r="P88" s="15" t="str">
        <x:f>IF(D88=0,"n.a.",E88/D88)</x:f>
        <x:v>n.a.</x:v>
      </x:c>
    </x:row>
    <x:row r="89" ht="22" customHeight="1">
      <x:c r="A89" s="3"/>
      <x:c r="B89" s="3" t="str">
        <x:v>2011-01</x:v>
      </x:c>
      <x:c r="C89" s="3" t="str">
        <x:v>Belgium</x:v>
      </x:c>
      <x:c r="D89" s="13" t="n">
        <x:v>1080.2</x:v>
      </x:c>
      <x:c r="E89" s="13" t="n">
        <x:v>46.15</x:v>
      </x:c>
      <x:c r="F89" s="13" t="n">
        <x:f>D89-E89</x:f>
        <x:v>1034.05</x:v>
      </x:c>
      <x:c r="G89" s="14" t="n">
        <x:v>3</x:v>
      </x:c>
      <x:c r="H89" s="14" t="n">
        <x:v>3</x:v>
      </x:c>
      <x:c r="I89" s="14" t="n">
        <x:v>3</x:v>
      </x:c>
      <x:c r="J89" s="14" t="n">
        <x:v>0</x:v>
      </x:c>
      <x:c r="K89" s="14" t="n">
        <x:v>784</x:v>
      </x:c>
      <x:c r="L89" s="14" t="n">
        <x:v>9</x:v>
      </x:c>
      <x:c r="M89" s="13" t="n">
        <x:v>1080.2</x:v>
      </x:c>
      <x:c r="N89" s="3" t="n">
        <x:v>60</x:v>
      </x:c>
      <x:c r="O89" s="13" t="n">
        <x:f>IF(G89=0,"n.a.",D89/G89)</x:f>
        <x:v>360.06666666666666</x:v>
      </x:c>
      <x:c r="P89" s="15" t="n">
        <x:f>IF(D89=0,"n.a.",E89/D89)</x:f>
        <x:v>0.04272356970931309</x:v>
      </x:c>
    </x:row>
    <x:row r="90" ht="22" customHeight="1">
      <x:c r="A90" s="3"/>
      <x:c r="B90" s="3" t="str">
        <x:v>2011-01</x:v>
      </x:c>
      <x:c r="C90" s="3" t="str">
        <x:v>Brazil</x:v>
      </x:c>
      <x:c r="D90" s="13" t="n">
        <x:v>0</x:v>
      </x:c>
      <x:c r="E90" s="13" t="n">
        <x:v>0</x:v>
      </x:c>
      <x:c r="F90" s="13" t="n">
        <x:f>D90-E90</x:f>
        <x:v>0</x:v>
      </x:c>
      <x:c r="G90" s="14" t="n">
        <x:v>0</x:v>
      </x:c>
      <x:c r="H90" s="14" t="n">
        <x:v>0</x:v>
      </x:c>
      <x:c r="I90" s="14" t="n">
        <x:v>0</x:v>
      </x:c>
      <x:c r="J90" s="14" t="n">
        <x:v>0</x:v>
      </x:c>
      <x:c r="K90" s="14" t="n">
        <x:v>0</x:v>
      </x:c>
      <x:c r="L90" s="14" t="n">
        <x:v>0</x:v>
      </x:c>
      <x:c r="M90" s="13" t="n">
        <x:v>0</x:v>
      </x:c>
      <x:c r="N90" s="3" t="n">
        <x:v>0</x:v>
      </x:c>
      <x:c r="O90" s="13" t="str">
        <x:f>IF(G90=0,"n.a.",D90/G90)</x:f>
        <x:v>n.a.</x:v>
      </x:c>
      <x:c r="P90" s="15" t="str">
        <x:f>IF(D90=0,"n.a.",E90/D90)</x:f>
        <x:v>n.a.</x:v>
      </x:c>
    </x:row>
    <x:row r="91" ht="22" customHeight="1">
      <x:c r="A91" s="3"/>
      <x:c r="B91" s="3" t="str">
        <x:v>2011-01</x:v>
      </x:c>
      <x:c r="C91" s="3" t="str">
        <x:v>Canada</x:v>
      </x:c>
      <x:c r="D91" s="13" t="n">
        <x:v>0</x:v>
      </x:c>
      <x:c r="E91" s="13" t="n">
        <x:v>0</x:v>
      </x:c>
      <x:c r="F91" s="13" t="n">
        <x:f>D91-E91</x:f>
        <x:v>0</x:v>
      </x:c>
      <x:c r="G91" s="14" t="n">
        <x:v>0</x:v>
      </x:c>
      <x:c r="H91" s="14" t="n">
        <x:v>0</x:v>
      </x:c>
      <x:c r="I91" s="14" t="n">
        <x:v>0</x:v>
      </x:c>
      <x:c r="J91" s="14" t="n">
        <x:v>0</x:v>
      </x:c>
      <x:c r="K91" s="14" t="n">
        <x:v>0</x:v>
      </x:c>
      <x:c r="L91" s="14" t="n">
        <x:v>0</x:v>
      </x:c>
      <x:c r="M91" s="13" t="n">
        <x:v>0</x:v>
      </x:c>
      <x:c r="N91" s="3" t="n">
        <x:v>0</x:v>
      </x:c>
      <x:c r="O91" s="13" t="str">
        <x:f>IF(G91=0,"n.a.",D91/G91)</x:f>
        <x:v>n.a.</x:v>
      </x:c>
      <x:c r="P91" s="15" t="str">
        <x:f>IF(D91=0,"n.a.",E91/D91)</x:f>
        <x:v>n.a.</x:v>
      </x:c>
    </x:row>
    <x:row r="92" ht="22" customHeight="1">
      <x:c r="A92" s="3"/>
      <x:c r="B92" s="3" t="str">
        <x:v>2011-01</x:v>
      </x:c>
      <x:c r="C92" s="3" t="str">
        <x:v>Channel Islands</x:v>
      </x:c>
      <x:c r="D92" s="13" t="n">
        <x:v>675.58</x:v>
      </x:c>
      <x:c r="E92" s="13" t="n">
        <x:v>30.5</x:v>
      </x:c>
      <x:c r="F92" s="13" t="n">
        <x:f>D92-E92</x:f>
        <x:v>645.08</x:v>
      </x:c>
      <x:c r="G92" s="14" t="n">
        <x:v>1</x:v>
      </x:c>
      <x:c r="H92" s="14" t="n">
        <x:v>1</x:v>
      </x:c>
      <x:c r="I92" s="14" t="n">
        <x:v>1</x:v>
      </x:c>
      <x:c r="J92" s="14" t="n">
        <x:v>0</x:v>
      </x:c>
      <x:c r="K92" s="14" t="n">
        <x:v>259</x:v>
      </x:c>
      <x:c r="L92" s="14" t="n">
        <x:v>4</x:v>
      </x:c>
      <x:c r="M92" s="13" t="n">
        <x:v>675.58</x:v>
      </x:c>
      <x:c r="N92" s="3" t="n">
        <x:v>32</x:v>
      </x:c>
      <x:c r="O92" s="13" t="n">
        <x:f>IF(G92=0,"n.a.",D92/G92)</x:f>
        <x:v>675.58</x:v>
      </x:c>
      <x:c r="P92" s="15" t="n">
        <x:f>IF(D92=0,"n.a.",E92/D92)</x:f>
        <x:v>0.045146392729210456</x:v>
      </x:c>
    </x:row>
    <x:row r="93" ht="22" customHeight="1">
      <x:c r="A93" s="3"/>
      <x:c r="B93" s="3" t="str">
        <x:v>2011-01</x:v>
      </x:c>
      <x:c r="C93" s="3" t="str">
        <x:v>Cyprus</x:v>
      </x:c>
      <x:c r="D93" s="13" t="n">
        <x:v>547.5</x:v>
      </x:c>
      <x:c r="E93" s="13" t="n">
        <x:v>0</x:v>
      </x:c>
      <x:c r="F93" s="13" t="n">
        <x:f>D93-E93</x:f>
        <x:v>547.5</x:v>
      </x:c>
      <x:c r="G93" s="14" t="n">
        <x:v>1</x:v>
      </x:c>
      <x:c r="H93" s="14" t="n">
        <x:v>0</x:v>
      </x:c>
      <x:c r="I93" s="14" t="n">
        <x:v>1</x:v>
      </x:c>
      <x:c r="J93" s="14" t="n">
        <x:v>0</x:v>
      </x:c>
      <x:c r="K93" s="14" t="n">
        <x:v>144</x:v>
      </x:c>
      <x:c r="L93" s="14" t="n">
        <x:v>0</x:v>
      </x:c>
      <x:c r="M93" s="13" t="n">
        <x:v>547.5</x:v>
      </x:c>
      <x:c r="N93" s="3" t="n">
        <x:v>16</x:v>
      </x:c>
      <x:c r="O93" s="13" t="n">
        <x:f>IF(G93=0,"n.a.",D93/G93)</x:f>
        <x:v>547.5</x:v>
      </x:c>
      <x:c r="P93" s="15" t="n">
        <x:f>IF(D93=0,"n.a.",E93/D93)</x:f>
        <x:v>0</x:v>
      </x:c>
    </x:row>
    <x:row r="94" ht="22" customHeight="1">
      <x:c r="A94" s="3"/>
      <x:c r="B94" s="3" t="str">
        <x:v>2011-01</x:v>
      </x:c>
      <x:c r="C94" s="3" t="str">
        <x:v>Czech Republic</x:v>
      </x:c>
      <x:c r="D94" s="13" t="n">
        <x:v>0</x:v>
      </x:c>
      <x:c r="E94" s="13" t="n">
        <x:v>0</x:v>
      </x:c>
      <x:c r="F94" s="13" t="n">
        <x:f>D94-E94</x:f>
        <x:v>0</x:v>
      </x:c>
      <x:c r="G94" s="14" t="n">
        <x:v>0</x:v>
      </x:c>
      <x:c r="H94" s="14" t="n">
        <x:v>0</x:v>
      </x:c>
      <x:c r="I94" s="14" t="n">
        <x:v>0</x:v>
      </x:c>
      <x:c r="J94" s="14" t="n">
        <x:v>0</x:v>
      </x:c>
      <x:c r="K94" s="14" t="n">
        <x:v>0</x:v>
      </x:c>
      <x:c r="L94" s="14" t="n">
        <x:v>0</x:v>
      </x:c>
      <x:c r="M94" s="13" t="n">
        <x:v>0</x:v>
      </x:c>
      <x:c r="N94" s="3" t="n">
        <x:v>0</x:v>
      </x:c>
      <x:c r="O94" s="13" t="str">
        <x:f>IF(G94=0,"n.a.",D94/G94)</x:f>
        <x:v>n.a.</x:v>
      </x:c>
      <x:c r="P94" s="15" t="str">
        <x:f>IF(D94=0,"n.a.",E94/D94)</x:f>
        <x:v>n.a.</x:v>
      </x:c>
    </x:row>
    <x:row r="95" ht="22" customHeight="1">
      <x:c r="A95" s="3"/>
      <x:c r="B95" s="3" t="str">
        <x:v>2011-01</x:v>
      </x:c>
      <x:c r="C95" s="3" t="str">
        <x:v>Denmark</x:v>
      </x:c>
      <x:c r="D95" s="13" t="n">
        <x:v>0</x:v>
      </x:c>
      <x:c r="E95" s="13" t="n">
        <x:v>0</x:v>
      </x:c>
      <x:c r="F95" s="13" t="n">
        <x:f>D95-E95</x:f>
        <x:v>0</x:v>
      </x:c>
      <x:c r="G95" s="14" t="n">
        <x:v>0</x:v>
      </x:c>
      <x:c r="H95" s="14" t="n">
        <x:v>0</x:v>
      </x:c>
      <x:c r="I95" s="14" t="n">
        <x:v>0</x:v>
      </x:c>
      <x:c r="J95" s="14" t="n">
        <x:v>0</x:v>
      </x:c>
      <x:c r="K95" s="14" t="n">
        <x:v>0</x:v>
      </x:c>
      <x:c r="L95" s="14" t="n">
        <x:v>0</x:v>
      </x:c>
      <x:c r="M95" s="13" t="n">
        <x:v>0</x:v>
      </x:c>
      <x:c r="N95" s="3" t="n">
        <x:v>0</x:v>
      </x:c>
      <x:c r="O95" s="13" t="str">
        <x:f>IF(G95=0,"n.a.",D95/G95)</x:f>
        <x:v>n.a.</x:v>
      </x:c>
      <x:c r="P95" s="15" t="str">
        <x:f>IF(D95=0,"n.a.",E95/D95)</x:f>
        <x:v>n.a.</x:v>
      </x:c>
    </x:row>
    <x:row r="96" ht="22" customHeight="1">
      <x:c r="A96" s="3"/>
      <x:c r="B96" s="3" t="str">
        <x:v>2011-01</x:v>
      </x:c>
      <x:c r="C96" s="3" t="str">
        <x:v>EIRE</x:v>
      </x:c>
      <x:c r="D96" s="13" t="n">
        <x:v>21704.19</x:v>
      </x:c>
      <x:c r="E96" s="13" t="n">
        <x:v>197.67</x:v>
      </x:c>
      <x:c r="F96" s="13" t="n">
        <x:f>D96-E96</x:f>
        <x:v>21506.52</x:v>
      </x:c>
      <x:c r="G96" s="14" t="n">
        <x:v>7</x:v>
      </x:c>
      <x:c r="H96" s="14" t="n">
        <x:v>2</x:v>
      </x:c>
      <x:c r="I96" s="14" t="n">
        <x:v>2</x:v>
      </x:c>
      <x:c r="J96" s="14" t="n">
        <x:v>1</x:v>
      </x:c>
      <x:c r="K96" s="14" t="n">
        <x:v>8790</x:v>
      </x:c>
      <x:c r="L96" s="14" t="n">
        <x:v>105</x:v>
      </x:c>
      <x:c r="M96" s="13" t="n">
        <x:v>21704.19</x:v>
      </x:c>
      <x:c r="N96" s="3" t="n">
        <x:v>184</x:v>
      </x:c>
      <x:c r="O96" s="13" t="n">
        <x:f>IF(G96=0,"n.a.",D96/G96)</x:f>
        <x:v>3100.598571428571</x:v>
      </x:c>
      <x:c r="P96" s="15" t="n">
        <x:f>IF(D96=0,"n.a.",E96/D96)</x:f>
        <x:v>0.009107458053030313</x:v>
      </x:c>
    </x:row>
    <x:row r="97" ht="22" customHeight="1">
      <x:c r="A97" s="3"/>
      <x:c r="B97" s="3" t="str">
        <x:v>2011-01</x:v>
      </x:c>
      <x:c r="C97" s="3" t="str">
        <x:v>European Community</x:v>
      </x:c>
      <x:c r="D97" s="13" t="n">
        <x:v>0</x:v>
      </x:c>
      <x:c r="E97" s="13" t="n">
        <x:v>0</x:v>
      </x:c>
      <x:c r="F97" s="13" t="n">
        <x:f>D97-E97</x:f>
        <x:v>0</x:v>
      </x:c>
      <x:c r="G97" s="14" t="n">
        <x:v>0</x:v>
      </x:c>
      <x:c r="H97" s="14" t="n">
        <x:v>0</x:v>
      </x:c>
      <x:c r="I97" s="14" t="n">
        <x:v>0</x:v>
      </x:c>
      <x:c r="J97" s="14" t="n">
        <x:v>0</x:v>
      </x:c>
      <x:c r="K97" s="14" t="n">
        <x:v>0</x:v>
      </x:c>
      <x:c r="L97" s="14" t="n">
        <x:v>0</x:v>
      </x:c>
      <x:c r="M97" s="13" t="n">
        <x:v>0</x:v>
      </x:c>
      <x:c r="N97" s="3" t="n">
        <x:v>0</x:v>
      </x:c>
      <x:c r="O97" s="13" t="str">
        <x:f>IF(G97=0,"n.a.",D97/G97)</x:f>
        <x:v>n.a.</x:v>
      </x:c>
      <x:c r="P97" s="15" t="str">
        <x:f>IF(D97=0,"n.a.",E97/D97)</x:f>
        <x:v>n.a.</x:v>
      </x:c>
    </x:row>
    <x:row r="98" ht="22" customHeight="1">
      <x:c r="A98" s="3"/>
      <x:c r="B98" s="3" t="str">
        <x:v>2011-01</x:v>
      </x:c>
      <x:c r="C98" s="3" t="str">
        <x:v>Finland</x:v>
      </x:c>
      <x:c r="D98" s="13" t="n">
        <x:v>769.02</x:v>
      </x:c>
      <x:c r="E98" s="13" t="n">
        <x:v>0</x:v>
      </x:c>
      <x:c r="F98" s="13" t="n">
        <x:f>D98-E98</x:f>
        <x:v>769.02</x:v>
      </x:c>
      <x:c r="G98" s="14" t="n">
        <x:v>2</x:v>
      </x:c>
      <x:c r="H98" s="14" t="n">
        <x:v>0</x:v>
      </x:c>
      <x:c r="I98" s="14" t="n">
        <x:v>2</x:v>
      </x:c>
      <x:c r="J98" s="14" t="n">
        <x:v>0</x:v>
      </x:c>
      <x:c r="K98" s="14" t="n">
        <x:v>762</x:v>
      </x:c>
      <x:c r="L98" s="14" t="n">
        <x:v>0</x:v>
      </x:c>
      <x:c r="M98" s="13" t="n">
        <x:v>769.02</x:v>
      </x:c>
      <x:c r="N98" s="3" t="n">
        <x:v>9</x:v>
      </x:c>
      <x:c r="O98" s="13" t="n">
        <x:f>IF(G98=0,"n.a.",D98/G98)</x:f>
        <x:v>384.51</x:v>
      </x:c>
      <x:c r="P98" s="15" t="n">
        <x:f>IF(D98=0,"n.a.",E98/D98)</x:f>
        <x:v>0</x:v>
      </x:c>
    </x:row>
    <x:row r="99" ht="22" customHeight="1">
      <x:c r="A99" s="3"/>
      <x:c r="B99" s="3" t="str">
        <x:v>2011-01</x:v>
      </x:c>
      <x:c r="C99" s="3" t="str">
        <x:v>France</x:v>
      </x:c>
      <x:c r="D99" s="13" t="n">
        <x:v>16174.12</x:v>
      </x:c>
      <x:c r="E99" s="13" t="n">
        <x:v>183.05</x:v>
      </x:c>
      <x:c r="F99" s="13" t="n">
        <x:f>D99-E99</x:f>
        <x:v>15991.070000000002</x:v>
      </x:c>
      <x:c r="G99" s="14" t="n">
        <x:v>28</x:v>
      </x:c>
      <x:c r="H99" s="14" t="n">
        <x:v>9</x:v>
      </x:c>
      <x:c r="I99" s="14" t="n">
        <x:v>24</x:v>
      </x:c>
      <x:c r="J99" s="14" t="n">
        <x:v>2</x:v>
      </x:c>
      <x:c r="K99" s="14" t="n">
        <x:v>9112</x:v>
      </x:c>
      <x:c r="L99" s="14" t="n">
        <x:v>41</x:v>
      </x:c>
      <x:c r="M99" s="13" t="n">
        <x:v>16174.12</x:v>
      </x:c>
      <x:c r="N99" s="3" t="n">
        <x:v>650</x:v>
      </x:c>
      <x:c r="O99" s="13" t="n">
        <x:f>IF(G99=0,"n.a.",D99/G99)</x:f>
        <x:v>577.6471428571429</x:v>
      </x:c>
      <x:c r="P99" s="15" t="n">
        <x:f>IF(D99=0,"n.a.",E99/D99)</x:f>
        <x:v>0.011317462712036265</x:v>
      </x:c>
    </x:row>
    <x:row r="100" ht="22" customHeight="1">
      <x:c r="A100" s="3"/>
      <x:c r="B100" s="3" t="str">
        <x:v>2011-01</x:v>
      </x:c>
      <x:c r="C100" s="3" t="str">
        <x:v>Germany</x:v>
      </x:c>
      <x:c r="D100" s="13" t="n">
        <x:v>15326.84</x:v>
      </x:c>
      <x:c r="E100" s="13" t="n">
        <x:v>459.41</x:v>
      </x:c>
      <x:c r="F100" s="13" t="n">
        <x:f>D100-E100</x:f>
        <x:v>14867.43</x:v>
      </x:c>
      <x:c r="G100" s="14" t="n">
        <x:v>31</x:v>
      </x:c>
      <x:c r="H100" s="14" t="n">
        <x:v>9</x:v>
      </x:c>
      <x:c r="I100" s="14" t="n">
        <x:v>28</x:v>
      </x:c>
      <x:c r="J100" s="14" t="n">
        <x:v>2</x:v>
      </x:c>
      <x:c r="K100" s="14" t="n">
        <x:v>8989</x:v>
      </x:c>
      <x:c r="L100" s="14" t="n">
        <x:v>171</x:v>
      </x:c>
      <x:c r="M100" s="13" t="n">
        <x:v>15326.84</x:v>
      </x:c>
      <x:c r="N100" s="3" t="n">
        <x:v>797</x:v>
      </x:c>
      <x:c r="O100" s="13" t="n">
        <x:f>IF(G100=0,"n.a.",D100/G100)</x:f>
        <x:v>494.4141935483871</x:v>
      </x:c>
      <x:c r="P100" s="15" t="n">
        <x:f>IF(D100=0,"n.a.",E100/D100)</x:f>
        <x:v>0.02997421516764056</x:v>
      </x:c>
    </x:row>
    <x:row r="101" ht="22" customHeight="1">
      <x:c r="A101" s="3"/>
      <x:c r="B101" s="3" t="str">
        <x:v>2011-01</x:v>
      </x:c>
      <x:c r="C101" s="3" t="str">
        <x:v>Greece</x:v>
      </x:c>
      <x:c r="D101" s="13" t="n">
        <x:v>2661.24</x:v>
      </x:c>
      <x:c r="E101" s="13" t="n">
        <x:v>0</x:v>
      </x:c>
      <x:c r="F101" s="13" t="n">
        <x:f>D101-E101</x:f>
        <x:v>2661.24</x:v>
      </x:c>
      <x:c r="G101" s="14" t="n">
        <x:v>1</x:v>
      </x:c>
      <x:c r="H101" s="14" t="n">
        <x:v>0</x:v>
      </x:c>
      <x:c r="I101" s="14" t="n">
        <x:v>1</x:v>
      </x:c>
      <x:c r="J101" s="14" t="n">
        <x:v>0</x:v>
      </x:c>
      <x:c r="K101" s="14" t="n">
        <x:v>526</x:v>
      </x:c>
      <x:c r="L101" s="14" t="n">
        <x:v>0</x:v>
      </x:c>
      <x:c r="M101" s="13" t="n">
        <x:v>2661.24</x:v>
      </x:c>
      <x:c r="N101" s="3" t="n">
        <x:v>32</x:v>
      </x:c>
      <x:c r="O101" s="13" t="n">
        <x:f>IF(G101=0,"n.a.",D101/G101)</x:f>
        <x:v>2661.24</x:v>
      </x:c>
      <x:c r="P101" s="15" t="n">
        <x:f>IF(D101=0,"n.a.",E101/D101)</x:f>
        <x:v>0</x:v>
      </x:c>
    </x:row>
    <x:row r="102" ht="22" customHeight="1">
      <x:c r="A102" s="3"/>
      <x:c r="B102" s="3" t="str">
        <x:v>2011-01</x:v>
      </x:c>
      <x:c r="C102" s="3" t="str">
        <x:v>Hong Kong</x:v>
      </x:c>
      <x:c r="D102" s="13" t="n">
        <x:v>2439.76</x:v>
      </x:c>
      <x:c r="E102" s="13" t="n">
        <x:v>0</x:v>
      </x:c>
      <x:c r="F102" s="13" t="n">
        <x:f>D102-E102</x:f>
        <x:v>2439.76</x:v>
      </x:c>
      <x:c r="G102" s="14" t="n">
        <x:v>1</x:v>
      </x:c>
      <x:c r="H102" s="14" t="n">
        <x:v>0</x:v>
      </x:c>
      <x:c r="I102" s="14" t="n">
        <x:v>0</x:v>
      </x:c>
      <x:c r="J102" s="14" t="n">
        <x:v>0</x:v>
      </x:c>
      <x:c r="K102" s="14" t="n">
        <x:v>1121</x:v>
      </x:c>
      <x:c r="L102" s="14" t="n">
        <x:v>0</x:v>
      </x:c>
      <x:c r="M102" s="13" t="n">
        <x:v>0</x:v>
      </x:c>
      <x:c r="N102" s="3" t="n">
        <x:v>57</x:v>
      </x:c>
      <x:c r="O102" s="13" t="n">
        <x:f>IF(G102=0,"n.a.",D102/G102)</x:f>
        <x:v>2439.76</x:v>
      </x:c>
      <x:c r="P102" s="15" t="n">
        <x:f>IF(D102=0,"n.a.",E102/D102)</x:f>
        <x:v>0</x:v>
      </x:c>
    </x:row>
    <x:row r="103" ht="22" customHeight="1">
      <x:c r="A103" s="3"/>
      <x:c r="B103" s="3" t="str">
        <x:v>2011-01</x:v>
      </x:c>
      <x:c r="C103" s="3" t="str">
        <x:v>Iceland</x:v>
      </x:c>
      <x:c r="D103" s="13" t="n">
        <x:v>475.39</x:v>
      </x:c>
      <x:c r="E103" s="13" t="n">
        <x:v>0</x:v>
      </x:c>
      <x:c r="F103" s="13" t="n">
        <x:f>D103-E103</x:f>
        <x:v>475.39</x:v>
      </x:c>
      <x:c r="G103" s="14" t="n">
        <x:v>1</x:v>
      </x:c>
      <x:c r="H103" s="14" t="n">
        <x:v>0</x:v>
      </x:c>
      <x:c r="I103" s="14" t="n">
        <x:v>1</x:v>
      </x:c>
      <x:c r="J103" s="14" t="n">
        <x:v>0</x:v>
      </x:c>
      <x:c r="K103" s="14" t="n">
        <x:v>315</x:v>
      </x:c>
      <x:c r="L103" s="14" t="n">
        <x:v>0</x:v>
      </x:c>
      <x:c r="M103" s="13" t="n">
        <x:v>475.39</x:v>
      </x:c>
      <x:c r="N103" s="3" t="n">
        <x:v>29</x:v>
      </x:c>
      <x:c r="O103" s="13" t="n">
        <x:f>IF(G103=0,"n.a.",D103/G103)</x:f>
        <x:v>475.39</x:v>
      </x:c>
      <x:c r="P103" s="15" t="n">
        <x:f>IF(D103=0,"n.a.",E103/D103)</x:f>
        <x:v>0</x:v>
      </x:c>
    </x:row>
    <x:row r="104" ht="22" customHeight="1">
      <x:c r="A104" s="3"/>
      <x:c r="B104" s="3" t="str">
        <x:v>2011-01</x:v>
      </x:c>
      <x:c r="C104" s="3" t="str">
        <x:v>Israel</x:v>
      </x:c>
      <x:c r="D104" s="13" t="n">
        <x:v>379.84</x:v>
      </x:c>
      <x:c r="E104" s="13" t="n">
        <x:v>0</x:v>
      </x:c>
      <x:c r="F104" s="13" t="n">
        <x:f>D104-E104</x:f>
        <x:v>379.84</x:v>
      </x:c>
      <x:c r="G104" s="14" t="n">
        <x:v>1</x:v>
      </x:c>
      <x:c r="H104" s="14" t="n">
        <x:v>0</x:v>
      </x:c>
      <x:c r="I104" s="14" t="n">
        <x:v>0</x:v>
      </x:c>
      <x:c r="J104" s="14" t="n">
        <x:v>0</x:v>
      </x:c>
      <x:c r="K104" s="14" t="n">
        <x:v>100</x:v>
      </x:c>
      <x:c r="L104" s="14" t="n">
        <x:v>0</x:v>
      </x:c>
      <x:c r="M104" s="13" t="n">
        <x:v>0</x:v>
      </x:c>
      <x:c r="N104" s="3" t="n">
        <x:v>14</x:v>
      </x:c>
      <x:c r="O104" s="13" t="n">
        <x:f>IF(G104=0,"n.a.",D104/G104)</x:f>
        <x:v>379.84</x:v>
      </x:c>
      <x:c r="P104" s="15" t="n">
        <x:f>IF(D104=0,"n.a.",E104/D104)</x:f>
        <x:v>0</x:v>
      </x:c>
    </x:row>
    <x:row r="105" ht="22" customHeight="1">
      <x:c r="A105" s="3"/>
      <x:c r="B105" s="3" t="str">
        <x:v>2011-01</x:v>
      </x:c>
      <x:c r="C105" s="3" t="str">
        <x:v>Italy</x:v>
      </x:c>
      <x:c r="D105" s="13" t="n">
        <x:v>2066.51</x:v>
      </x:c>
      <x:c r="E105" s="13" t="n">
        <x:v>41.15</x:v>
      </x:c>
      <x:c r="F105" s="13" t="n">
        <x:f>D105-E105</x:f>
        <x:v>2025.3600000000001</x:v>
      </x:c>
      <x:c r="G105" s="14" t="n">
        <x:v>3</x:v>
      </x:c>
      <x:c r="H105" s="14" t="n">
        <x:v>2</x:v>
      </x:c>
      <x:c r="I105" s="14" t="n">
        <x:v>3</x:v>
      </x:c>
      <x:c r="J105" s="14" t="n">
        <x:v>0</x:v>
      </x:c>
      <x:c r="K105" s="14" t="n">
        <x:v>1109</x:v>
      </x:c>
      <x:c r="L105" s="14" t="n">
        <x:v>25</x:v>
      </x:c>
      <x:c r="M105" s="13" t="n">
        <x:v>2066.51</x:v>
      </x:c>
      <x:c r="N105" s="3" t="n">
        <x:v>111</x:v>
      </x:c>
      <x:c r="O105" s="13" t="n">
        <x:f>IF(G105=0,"n.a.",D105/G105)</x:f>
        <x:v>688.8366666666667</x:v>
      </x:c>
      <x:c r="P105" s="15" t="n">
        <x:f>IF(D105=0,"n.a.",E105/D105)</x:f>
        <x:v>0.01991279984127829</x:v>
      </x:c>
    </x:row>
    <x:row r="106" ht="22" customHeight="1">
      <x:c r="A106" s="3"/>
      <x:c r="B106" s="3" t="str">
        <x:v>2011-01</x:v>
      </x:c>
      <x:c r="C106" s="3" t="str">
        <x:v>Japan</x:v>
      </x:c>
      <x:c r="D106" s="13" t="n">
        <x:v>0</x:v>
      </x:c>
      <x:c r="E106" s="13" t="n">
        <x:v>109.8</x:v>
      </x:c>
      <x:c r="F106" s="13" t="n">
        <x:f>D106-E106</x:f>
        <x:v>-109.8</x:v>
      </x:c>
      <x:c r="G106" s="14" t="n">
        <x:v>0</x:v>
      </x:c>
      <x:c r="H106" s="14" t="n">
        <x:v>1</x:v>
      </x:c>
      <x:c r="I106" s="14" t="n">
        <x:v>0</x:v>
      </x:c>
      <x:c r="J106" s="14" t="n">
        <x:v>0</x:v>
      </x:c>
      <x:c r="K106" s="14" t="n">
        <x:v>0</x:v>
      </x:c>
      <x:c r="L106" s="14" t="n">
        <x:v>45</x:v>
      </x:c>
      <x:c r="M106" s="13" t="n">
        <x:v>0</x:v>
      </x:c>
      <x:c r="N106" s="3" t="n">
        <x:v>4</x:v>
      </x:c>
      <x:c r="O106" s="13" t="str">
        <x:f>IF(G106=0,"n.a.",D106/G106)</x:f>
        <x:v>n.a.</x:v>
      </x:c>
      <x:c r="P106" s="15" t="str">
        <x:f>IF(D106=0,"n.a.",E106/D106)</x:f>
        <x:v>n.a.</x:v>
      </x:c>
    </x:row>
    <x:row r="107" ht="22" customHeight="1">
      <x:c r="A107" s="3"/>
      <x:c r="B107" s="3" t="str">
        <x:v>2011-01</x:v>
      </x:c>
      <x:c r="C107" s="3" t="str">
        <x:v>Lebanon</x:v>
      </x:c>
      <x:c r="D107" s="13" t="n">
        <x:v>1693.88</x:v>
      </x:c>
      <x:c r="E107" s="13" t="n">
        <x:v>0</x:v>
      </x:c>
      <x:c r="F107" s="13" t="n">
        <x:f>D107-E107</x:f>
        <x:v>1693.88</x:v>
      </x:c>
      <x:c r="G107" s="14" t="n">
        <x:v>1</x:v>
      </x:c>
      <x:c r="H107" s="14" t="n">
        <x:v>0</x:v>
      </x:c>
      <x:c r="I107" s="14" t="n">
        <x:v>1</x:v>
      </x:c>
      <x:c r="J107" s="14" t="n">
        <x:v>0</x:v>
      </x:c>
      <x:c r="K107" s="14" t="n">
        <x:v>386</x:v>
      </x:c>
      <x:c r="L107" s="14" t="n">
        <x:v>0</x:v>
      </x:c>
      <x:c r="M107" s="13" t="n">
        <x:v>1693.88</x:v>
      </x:c>
      <x:c r="N107" s="3" t="n">
        <x:v>45</x:v>
      </x:c>
      <x:c r="O107" s="13" t="n">
        <x:f>IF(G107=0,"n.a.",D107/G107)</x:f>
        <x:v>1693.88</x:v>
      </x:c>
      <x:c r="P107" s="15" t="n">
        <x:f>IF(D107=0,"n.a.",E107/D107)</x:f>
        <x:v>0</x:v>
      </x:c>
    </x:row>
    <x:row r="108" ht="22" customHeight="1">
      <x:c r="A108" s="3"/>
      <x:c r="B108" s="3" t="str">
        <x:v>2011-01</x:v>
      </x:c>
      <x:c r="C108" s="3" t="str">
        <x:v>Lithuania</x:v>
      </x:c>
      <x:c r="D108" s="13" t="n">
        <x:v>0</x:v>
      </x:c>
      <x:c r="E108" s="13" t="n">
        <x:v>0</x:v>
      </x:c>
      <x:c r="F108" s="13" t="n">
        <x:f>D108-E108</x:f>
        <x:v>0</x:v>
      </x:c>
      <x:c r="G108" s="14" t="n">
        <x:v>0</x:v>
      </x:c>
      <x:c r="H108" s="14" t="n">
        <x:v>0</x:v>
      </x:c>
      <x:c r="I108" s="14" t="n">
        <x:v>0</x:v>
      </x:c>
      <x:c r="J108" s="14" t="n">
        <x:v>0</x:v>
      </x:c>
      <x:c r="K108" s="14" t="n">
        <x:v>0</x:v>
      </x:c>
      <x:c r="L108" s="14" t="n">
        <x:v>0</x:v>
      </x:c>
      <x:c r="M108" s="13" t="n">
        <x:v>0</x:v>
      </x:c>
      <x:c r="N108" s="3" t="n">
        <x:v>0</x:v>
      </x:c>
      <x:c r="O108" s="13" t="str">
        <x:f>IF(G108=0,"n.a.",D108/G108)</x:f>
        <x:v>n.a.</x:v>
      </x:c>
      <x:c r="P108" s="15" t="str">
        <x:f>IF(D108=0,"n.a.",E108/D108)</x:f>
        <x:v>n.a.</x:v>
      </x:c>
    </x:row>
    <x:row r="109" ht="22" customHeight="1">
      <x:c r="A109" s="3"/>
      <x:c r="B109" s="3" t="str">
        <x:v>2011-01</x:v>
      </x:c>
      <x:c r="C109" s="3" t="str">
        <x:v>Malta</x:v>
      </x:c>
      <x:c r="D109" s="13" t="n">
        <x:v>0</x:v>
      </x:c>
      <x:c r="E109" s="13" t="n">
        <x:v>0</x:v>
      </x:c>
      <x:c r="F109" s="13" t="n">
        <x:f>D109-E109</x:f>
        <x:v>0</x:v>
      </x:c>
      <x:c r="G109" s="14" t="n">
        <x:v>0</x:v>
      </x:c>
      <x:c r="H109" s="14" t="n">
        <x:v>0</x:v>
      </x:c>
      <x:c r="I109" s="14" t="n">
        <x:v>0</x:v>
      </x:c>
      <x:c r="J109" s="14" t="n">
        <x:v>0</x:v>
      </x:c>
      <x:c r="K109" s="14" t="n">
        <x:v>0</x:v>
      </x:c>
      <x:c r="L109" s="14" t="n">
        <x:v>0</x:v>
      </x:c>
      <x:c r="M109" s="13" t="n">
        <x:v>0</x:v>
      </x:c>
      <x:c r="N109" s="3" t="n">
        <x:v>0</x:v>
      </x:c>
      <x:c r="O109" s="13" t="str">
        <x:f>IF(G109=0,"n.a.",D109/G109)</x:f>
        <x:v>n.a.</x:v>
      </x:c>
      <x:c r="P109" s="15" t="str">
        <x:f>IF(D109=0,"n.a.",E109/D109)</x:f>
        <x:v>n.a.</x:v>
      </x:c>
    </x:row>
    <x:row r="110" ht="22" customHeight="1">
      <x:c r="A110" s="3"/>
      <x:c r="B110" s="3" t="str">
        <x:v>2011-01</x:v>
      </x:c>
      <x:c r="C110" s="3" t="str">
        <x:v>Netherlands</x:v>
      </x:c>
      <x:c r="D110" s="13" t="n">
        <x:v>26596.16</x:v>
      </x:c>
      <x:c r="E110" s="13" t="n">
        <x:v>0</x:v>
      </x:c>
      <x:c r="F110" s="13" t="n">
        <x:f>D110-E110</x:f>
        <x:v>26596.16</x:v>
      </x:c>
      <x:c r="G110" s="14" t="n">
        <x:v>5</x:v>
      </x:c>
      <x:c r="H110" s="14" t="n">
        <x:v>0</x:v>
      </x:c>
      <x:c r="I110" s="14" t="n">
        <x:v>2</x:v>
      </x:c>
      <x:c r="J110" s="14" t="n">
        <x:v>1</x:v>
      </x:c>
      <x:c r="K110" s="14" t="n">
        <x:v>20416</x:v>
      </x:c>
      <x:c r="L110" s="14" t="n">
        <x:v>0</x:v>
      </x:c>
      <x:c r="M110" s="13" t="n">
        <x:v>26596.16</x:v>
      </x:c>
      <x:c r="N110" s="3" t="n">
        <x:v>228</x:v>
      </x:c>
      <x:c r="O110" s="13" t="n">
        <x:f>IF(G110=0,"n.a.",D110/G110)</x:f>
        <x:v>5319.232</x:v>
      </x:c>
      <x:c r="P110" s="15" t="n">
        <x:f>IF(D110=0,"n.a.",E110/D110)</x:f>
        <x:v>0</x:v>
      </x:c>
    </x:row>
    <x:row r="111" ht="22" customHeight="1">
      <x:c r="A111" s="3"/>
      <x:c r="B111" s="3" t="str">
        <x:v>2011-01</x:v>
      </x:c>
      <x:c r="C111" s="3" t="str">
        <x:v>Norway</x:v>
      </x:c>
      <x:c r="D111" s="13" t="n">
        <x:v>0</x:v>
      </x:c>
      <x:c r="E111" s="13" t="n">
        <x:v>0</x:v>
      </x:c>
      <x:c r="F111" s="13" t="n">
        <x:f>D111-E111</x:f>
        <x:v>0</x:v>
      </x:c>
      <x:c r="G111" s="14" t="n">
        <x:v>0</x:v>
      </x:c>
      <x:c r="H111" s="14" t="n">
        <x:v>0</x:v>
      </x:c>
      <x:c r="I111" s="14" t="n">
        <x:v>0</x:v>
      </x:c>
      <x:c r="J111" s="14" t="n">
        <x:v>0</x:v>
      </x:c>
      <x:c r="K111" s="14" t="n">
        <x:v>0</x:v>
      </x:c>
      <x:c r="L111" s="14" t="n">
        <x:v>0</x:v>
      </x:c>
      <x:c r="M111" s="13" t="n">
        <x:v>0</x:v>
      </x:c>
      <x:c r="N111" s="3" t="n">
        <x:v>0</x:v>
      </x:c>
      <x:c r="O111" s="13" t="str">
        <x:f>IF(G111=0,"n.a.",D111/G111)</x:f>
        <x:v>n.a.</x:v>
      </x:c>
      <x:c r="P111" s="15" t="str">
        <x:f>IF(D111=0,"n.a.",E111/D111)</x:f>
        <x:v>n.a.</x:v>
      </x:c>
    </x:row>
    <x:row r="112" ht="22" customHeight="1">
      <x:c r="A112" s="3"/>
      <x:c r="B112" s="3" t="str">
        <x:v>2011-01</x:v>
      </x:c>
      <x:c r="C112" s="3" t="str">
        <x:v>Poland</x:v>
      </x:c>
      <x:c r="D112" s="13" t="n">
        <x:v>613.22</x:v>
      </x:c>
      <x:c r="E112" s="13" t="n">
        <x:v>0</x:v>
      </x:c>
      <x:c r="F112" s="13" t="n">
        <x:f>D112-E112</x:f>
        <x:v>613.22</x:v>
      </x:c>
      <x:c r="G112" s="14" t="n">
        <x:v>1</x:v>
      </x:c>
      <x:c r="H112" s="14" t="n">
        <x:v>0</x:v>
      </x:c>
      <x:c r="I112" s="14" t="n">
        <x:v>1</x:v>
      </x:c>
      <x:c r="J112" s="14" t="n">
        <x:v>0</x:v>
      </x:c>
      <x:c r="K112" s="14" t="n">
        <x:v>288</x:v>
      </x:c>
      <x:c r="L112" s="14" t="n">
        <x:v>0</x:v>
      </x:c>
      <x:c r="M112" s="13" t="n">
        <x:v>613.22</x:v>
      </x:c>
      <x:c r="N112" s="3" t="n">
        <x:v>25</x:v>
      </x:c>
      <x:c r="O112" s="13" t="n">
        <x:f>IF(G112=0,"n.a.",D112/G112)</x:f>
        <x:v>613.22</x:v>
      </x:c>
      <x:c r="P112" s="15" t="n">
        <x:f>IF(D112=0,"n.a.",E112/D112)</x:f>
        <x:v>0</x:v>
      </x:c>
    </x:row>
    <x:row r="113" ht="22" customHeight="1">
      <x:c r="A113" s="3"/>
      <x:c r="B113" s="3" t="str">
        <x:v>2011-01</x:v>
      </x:c>
      <x:c r="C113" s="3" t="str">
        <x:v>Portugal</x:v>
      </x:c>
      <x:c r="D113" s="13" t="n">
        <x:v>3479.71</x:v>
      </x:c>
      <x:c r="E113" s="13" t="n">
        <x:v>57.6</x:v>
      </x:c>
      <x:c r="F113" s="13" t="n">
        <x:f>D113-E113</x:f>
        <x:v>3422.11</x:v>
      </x:c>
      <x:c r="G113" s="14" t="n">
        <x:v>4</x:v>
      </x:c>
      <x:c r="H113" s="14" t="n">
        <x:v>1</x:v>
      </x:c>
      <x:c r="I113" s="14" t="n">
        <x:v>4</x:v>
      </x:c>
      <x:c r="J113" s="14" t="n">
        <x:v>0</x:v>
      </x:c>
      <x:c r="K113" s="14" t="n">
        <x:v>2067</x:v>
      </x:c>
      <x:c r="L113" s="14" t="n">
        <x:v>16</x:v>
      </x:c>
      <x:c r="M113" s="13" t="n">
        <x:v>3479.71</x:v>
      </x:c>
      <x:c r="N113" s="3" t="n">
        <x:v>118</x:v>
      </x:c>
      <x:c r="O113" s="13" t="n">
        <x:f>IF(G113=0,"n.a.",D113/G113)</x:f>
        <x:v>869.9275</x:v>
      </x:c>
      <x:c r="P113" s="15" t="n">
        <x:f>IF(D113=0,"n.a.",E113/D113)</x:f>
        <x:v>0.01655310356322797</x:v>
      </x:c>
    </x:row>
    <x:row r="114" ht="22" customHeight="1">
      <x:c r="A114" s="3"/>
      <x:c r="B114" s="3" t="str">
        <x:v>2011-01</x:v>
      </x:c>
      <x:c r="C114" s="3" t="str">
        <x:v>RSA</x:v>
      </x:c>
      <x:c r="D114" s="13" t="n">
        <x:v>0</x:v>
      </x:c>
      <x:c r="E114" s="13" t="n">
        <x:v>0</x:v>
      </x:c>
      <x:c r="F114" s="13" t="n">
        <x:f>D114-E114</x:f>
        <x:v>0</x:v>
      </x:c>
      <x:c r="G114" s="14" t="n">
        <x:v>0</x:v>
      </x:c>
      <x:c r="H114" s="14" t="n">
        <x:v>0</x:v>
      </x:c>
      <x:c r="I114" s="14" t="n">
        <x:v>0</x:v>
      </x:c>
      <x:c r="J114" s="14" t="n">
        <x:v>0</x:v>
      </x:c>
      <x:c r="K114" s="14" t="n">
        <x:v>0</x:v>
      </x:c>
      <x:c r="L114" s="14" t="n">
        <x:v>0</x:v>
      </x:c>
      <x:c r="M114" s="13" t="n">
        <x:v>0</x:v>
      </x:c>
      <x:c r="N114" s="3" t="n">
        <x:v>0</x:v>
      </x:c>
      <x:c r="O114" s="13" t="str">
        <x:f>IF(G114=0,"n.a.",D114/G114)</x:f>
        <x:v>n.a.</x:v>
      </x:c>
      <x:c r="P114" s="15" t="str">
        <x:f>IF(D114=0,"n.a.",E114/D114)</x:f>
        <x:v>n.a.</x:v>
      </x:c>
    </x:row>
    <x:row r="115" ht="22" customHeight="1">
      <x:c r="A115" s="3"/>
      <x:c r="B115" s="3" t="str">
        <x:v>2011-01</x:v>
      </x:c>
      <x:c r="C115" s="3" t="str">
        <x:v>Saudi Arabia</x:v>
      </x:c>
      <x:c r="D115" s="13" t="n">
        <x:v>0</x:v>
      </x:c>
      <x:c r="E115" s="13" t="n">
        <x:v>0</x:v>
      </x:c>
      <x:c r="F115" s="13" t="n">
        <x:f>D115-E115</x:f>
        <x:v>0</x:v>
      </x:c>
      <x:c r="G115" s="14" t="n">
        <x:v>0</x:v>
      </x:c>
      <x:c r="H115" s="14" t="n">
        <x:v>0</x:v>
      </x:c>
      <x:c r="I115" s="14" t="n">
        <x:v>0</x:v>
      </x:c>
      <x:c r="J115" s="14" t="n">
        <x:v>0</x:v>
      </x:c>
      <x:c r="K115" s="14" t="n">
        <x:v>0</x:v>
      </x:c>
      <x:c r="L115" s="14" t="n">
        <x:v>0</x:v>
      </x:c>
      <x:c r="M115" s="13" t="n">
        <x:v>0</x:v>
      </x:c>
      <x:c r="N115" s="3" t="n">
        <x:v>0</x:v>
      </x:c>
      <x:c r="O115" s="13" t="str">
        <x:f>IF(G115=0,"n.a.",D115/G115)</x:f>
        <x:v>n.a.</x:v>
      </x:c>
      <x:c r="P115" s="15" t="str">
        <x:f>IF(D115=0,"n.a.",E115/D115)</x:f>
        <x:v>n.a.</x:v>
      </x:c>
    </x:row>
    <x:row r="116" ht="22" customHeight="1">
      <x:c r="A116" s="3"/>
      <x:c r="B116" s="3" t="str">
        <x:v>2011-01</x:v>
      </x:c>
      <x:c r="C116" s="3" t="str">
        <x:v>Singapore</x:v>
      </x:c>
      <x:c r="D116" s="13" t="n">
        <x:v>2053.07</x:v>
      </x:c>
      <x:c r="E116" s="13" t="n">
        <x:v>0</x:v>
      </x:c>
      <x:c r="F116" s="13" t="n">
        <x:f>D116-E116</x:f>
        <x:v>2053.07</x:v>
      </x:c>
      <x:c r="G116" s="14" t="n">
        <x:v>1</x:v>
      </x:c>
      <x:c r="H116" s="14" t="n">
        <x:v>0</x:v>
      </x:c>
      <x:c r="I116" s="14" t="n">
        <x:v>1</x:v>
      </x:c>
      <x:c r="J116" s="14" t="n">
        <x:v>0</x:v>
      </x:c>
      <x:c r="K116" s="14" t="n">
        <x:v>1091</x:v>
      </x:c>
      <x:c r="L116" s="14" t="n">
        <x:v>0</x:v>
      </x:c>
      <x:c r="M116" s="13" t="n">
        <x:v>2053.07</x:v>
      </x:c>
      <x:c r="N116" s="3" t="n">
        <x:v>56</x:v>
      </x:c>
      <x:c r="O116" s="13" t="n">
        <x:f>IF(G116=0,"n.a.",D116/G116)</x:f>
        <x:v>2053.07</x:v>
      </x:c>
      <x:c r="P116" s="15" t="n">
        <x:f>IF(D116=0,"n.a.",E116/D116)</x:f>
        <x:v>0</x:v>
      </x:c>
    </x:row>
    <x:row r="117" ht="22" customHeight="1">
      <x:c r="A117" s="3"/>
      <x:c r="B117" s="3" t="str">
        <x:v>2011-01</x:v>
      </x:c>
      <x:c r="C117" s="3" t="str">
        <x:v>Spain</x:v>
      </x:c>
      <x:c r="D117" s="13" t="n">
        <x:v>9694.09</x:v>
      </x:c>
      <x:c r="E117" s="13" t="n">
        <x:v>65.7</x:v>
      </x:c>
      <x:c r="F117" s="13" t="n">
        <x:f>D117-E117</x:f>
        <x:v>9628.39</x:v>
      </x:c>
      <x:c r="G117" s="14" t="n">
        <x:v>8</x:v>
      </x:c>
      <x:c r="H117" s="14" t="n">
        <x:v>1</x:v>
      </x:c>
      <x:c r="I117" s="14" t="n">
        <x:v>7</x:v>
      </x:c>
      <x:c r="J117" s="14" t="n">
        <x:v>1</x:v>
      </x:c>
      <x:c r="K117" s="14" t="n">
        <x:v>3831</x:v>
      </x:c>
      <x:c r="L117" s="14" t="n">
        <x:v>6</x:v>
      </x:c>
      <x:c r="M117" s="13" t="n">
        <x:v>9694.09</x:v>
      </x:c>
      <x:c r="N117" s="3" t="n">
        <x:v>379</x:v>
      </x:c>
      <x:c r="O117" s="13" t="n">
        <x:f>IF(G117=0,"n.a.",D117/G117)</x:f>
        <x:v>1211.76125</x:v>
      </x:c>
      <x:c r="P117" s="15" t="n">
        <x:f>IF(D117=0,"n.a.",E117/D117)</x:f>
        <x:v>0.006777325153779262</x:v>
      </x:c>
    </x:row>
    <x:row r="118" ht="22" customHeight="1">
      <x:c r="A118" s="3"/>
      <x:c r="B118" s="3" t="str">
        <x:v>2011-01</x:v>
      </x:c>
      <x:c r="C118" s="3" t="str">
        <x:v>Sweden</x:v>
      </x:c>
      <x:c r="D118" s="13" t="n">
        <x:v>3286.32</x:v>
      </x:c>
      <x:c r="E118" s="13" t="n">
        <x:v>0</x:v>
      </x:c>
      <x:c r="F118" s="13" t="n">
        <x:f>D118-E118</x:f>
        <x:v>3286.32</x:v>
      </x:c>
      <x:c r="G118" s="14" t="n">
        <x:v>2</x:v>
      </x:c>
      <x:c r="H118" s="14" t="n">
        <x:v>0</x:v>
      </x:c>
      <x:c r="I118" s="14" t="n">
        <x:v>2</x:v>
      </x:c>
      <x:c r="J118" s="14" t="n">
        <x:v>0</x:v>
      </x:c>
      <x:c r="K118" s="14" t="n">
        <x:v>3092</x:v>
      </x:c>
      <x:c r="L118" s="14" t="n">
        <x:v>0</x:v>
      </x:c>
      <x:c r="M118" s="13" t="n">
        <x:v>3286.32</x:v>
      </x:c>
      <x:c r="N118" s="3" t="n">
        <x:v>33</x:v>
      </x:c>
      <x:c r="O118" s="13" t="n">
        <x:f>IF(G118=0,"n.a.",D118/G118)</x:f>
        <x:v>1643.16</x:v>
      </x:c>
      <x:c r="P118" s="15" t="n">
        <x:f>IF(D118=0,"n.a.",E118/D118)</x:f>
        <x:v>0</x:v>
      </x:c>
    </x:row>
    <x:row r="119" ht="22" customHeight="1">
      <x:c r="A119" s="3"/>
      <x:c r="B119" s="3" t="str">
        <x:v>2011-01</x:v>
      </x:c>
      <x:c r="C119" s="3" t="str">
        <x:v>Switzerland</x:v>
      </x:c>
      <x:c r="D119" s="13" t="n">
        <x:v>4031.23</x:v>
      </x:c>
      <x:c r="E119" s="13" t="n">
        <x:v>0</x:v>
      </x:c>
      <x:c r="F119" s="13" t="n">
        <x:f>D119-E119</x:f>
        <x:v>4031.23</x:v>
      </x:c>
      <x:c r="G119" s="14" t="n">
        <x:v>3</x:v>
      </x:c>
      <x:c r="H119" s="14" t="n">
        <x:v>0</x:v>
      </x:c>
      <x:c r="I119" s="14" t="n">
        <x:v>3</x:v>
      </x:c>
      <x:c r="J119" s="14" t="n">
        <x:v>0</x:v>
      </x:c>
      <x:c r="K119" s="14" t="n">
        <x:v>2988</x:v>
      </x:c>
      <x:c r="L119" s="14" t="n">
        <x:v>0</x:v>
      </x:c>
      <x:c r="M119" s="13" t="n">
        <x:v>4031.23</x:v>
      </x:c>
      <x:c r="N119" s="3" t="n">
        <x:v>158</x:v>
      </x:c>
      <x:c r="O119" s="13" t="n">
        <x:f>IF(G119=0,"n.a.",D119/G119)</x:f>
        <x:v>1343.7433333333333</x:v>
      </x:c>
      <x:c r="P119" s="15" t="n">
        <x:f>IF(D119=0,"n.a.",E119/D119)</x:f>
        <x:v>0</x:v>
      </x:c>
    </x:row>
    <x:row r="120" ht="22" customHeight="1">
      <x:c r="A120" s="3"/>
      <x:c r="B120" s="3" t="str">
        <x:v>2011-01</x:v>
      </x:c>
      <x:c r="C120" s="3" t="str">
        <x:v>USA</x:v>
      </x:c>
      <x:c r="D120" s="13" t="n">
        <x:v>0</x:v>
      </x:c>
      <x:c r="E120" s="13" t="n">
        <x:v>0</x:v>
      </x:c>
      <x:c r="F120" s="13" t="n">
        <x:f>D120-E120</x:f>
        <x:v>0</x:v>
      </x:c>
      <x:c r="G120" s="14" t="n">
        <x:v>0</x:v>
      </x:c>
      <x:c r="H120" s="14" t="n">
        <x:v>0</x:v>
      </x:c>
      <x:c r="I120" s="14" t="n">
        <x:v>0</x:v>
      </x:c>
      <x:c r="J120" s="14" t="n">
        <x:v>0</x:v>
      </x:c>
      <x:c r="K120" s="14" t="n">
        <x:v>0</x:v>
      </x:c>
      <x:c r="L120" s="14" t="n">
        <x:v>0</x:v>
      </x:c>
      <x:c r="M120" s="13" t="n">
        <x:v>0</x:v>
      </x:c>
      <x:c r="N120" s="3" t="n">
        <x:v>0</x:v>
      </x:c>
      <x:c r="O120" s="13" t="str">
        <x:f>IF(G120=0,"n.a.",D120/G120)</x:f>
        <x:v>n.a.</x:v>
      </x:c>
      <x:c r="P120" s="15" t="str">
        <x:f>IF(D120=0,"n.a.",E120/D120)</x:f>
        <x:v>n.a.</x:v>
      </x:c>
    </x:row>
    <x:row r="121" ht="22" customHeight="1">
      <x:c r="A121" s="3"/>
      <x:c r="B121" s="3" t="str">
        <x:v>2011-01</x:v>
      </x:c>
      <x:c r="C121" s="3" t="str">
        <x:v>United Arab Emirates</x:v>
      </x:c>
      <x:c r="D121" s="13" t="n">
        <x:v>0</x:v>
      </x:c>
      <x:c r="E121" s="13" t="n">
        <x:v>0</x:v>
      </x:c>
      <x:c r="F121" s="13" t="n">
        <x:f>D121-E121</x:f>
        <x:v>0</x:v>
      </x:c>
      <x:c r="G121" s="14" t="n">
        <x:v>0</x:v>
      </x:c>
      <x:c r="H121" s="14" t="n">
        <x:v>0</x:v>
      </x:c>
      <x:c r="I121" s="14" t="n">
        <x:v>0</x:v>
      </x:c>
      <x:c r="J121" s="14" t="n">
        <x:v>0</x:v>
      </x:c>
      <x:c r="K121" s="14" t="n">
        <x:v>0</x:v>
      </x:c>
      <x:c r="L121" s="14" t="n">
        <x:v>0</x:v>
      </x:c>
      <x:c r="M121" s="13" t="n">
        <x:v>0</x:v>
      </x:c>
      <x:c r="N121" s="3" t="n">
        <x:v>0</x:v>
      </x:c>
      <x:c r="O121" s="13" t="str">
        <x:f>IF(G121=0,"n.a.",D121/G121)</x:f>
        <x:v>n.a.</x:v>
      </x:c>
      <x:c r="P121" s="15" t="str">
        <x:f>IF(D121=0,"n.a.",E121/D121)</x:f>
        <x:v>n.a.</x:v>
      </x:c>
    </x:row>
    <x:row r="122" ht="22" customHeight="1">
      <x:c r="A122" s="3"/>
      <x:c r="B122" s="3" t="str">
        <x:v>2011-01</x:v>
      </x:c>
      <x:c r="C122" s="3" t="str">
        <x:v>United Kingdom</x:v>
      </x:c>
      <x:c r="D122" s="13" t="n">
        <x:v>547167.61</x:v>
      </x:c>
      <x:c r="E122" s="13" t="n">
        <x:v>90129.53</x:v>
      </x:c>
      <x:c r="F122" s="13" t="n">
        <x:f>D122-E122</x:f>
        <x:v>457038.07999999996</x:v>
      </x:c>
      <x:c r="G122" s="14" t="n">
        <x:v>967</x:v>
      </x:c>
      <x:c r="H122" s="14" t="n">
        <x:v>217</x:v>
      </x:c>
      <x:c r="I122" s="14" t="n">
        <x:v>645</x:v>
      </x:c>
      <x:c r="J122" s="14" t="n">
        <x:v>138</x:v>
      </x:c>
      <x:c r="K122" s="14" t="n">
        <x:v>315610</x:v>
      </x:c>
      <x:c r="L122" s="14" t="n">
        <x:v>79308</x:v>
      </x:c>
      <x:c r="M122" s="13" t="n">
        <x:v>442080.66</x:v>
      </x:c>
      <x:c r="N122" s="3" t="n">
        <x:v>31662</x:v>
      </x:c>
      <x:c r="O122" s="13" t="n">
        <x:f>IF(G122=0,"n.a.",D122/G122)</x:f>
        <x:v>565.8403412616339</x:v>
      </x:c>
      <x:c r="P122" s="15" t="n">
        <x:f>IF(D122=0,"n.a.",E122/D122)</x:f>
        <x:v>0.16472014854826658</x:v>
      </x:c>
    </x:row>
    <x:row r="123" ht="22" customHeight="1">
      <x:c r="A123" s="3"/>
      <x:c r="B123" s="3" t="str">
        <x:v>2011-01</x:v>
      </x:c>
      <x:c r="C123" s="3" t="str">
        <x:v>Unspecified</x:v>
      </x:c>
      <x:c r="D123" s="13" t="n">
        <x:v>0</x:v>
      </x:c>
      <x:c r="E123" s="13" t="n">
        <x:v>0</x:v>
      </x:c>
      <x:c r="F123" s="13" t="n">
        <x:f>D123-E123</x:f>
        <x:v>0</x:v>
      </x:c>
      <x:c r="G123" s="14" t="n">
        <x:v>0</x:v>
      </x:c>
      <x:c r="H123" s="14" t="n">
        <x:v>0</x:v>
      </x:c>
      <x:c r="I123" s="14" t="n">
        <x:v>0</x:v>
      </x:c>
      <x:c r="J123" s="14" t="n">
        <x:v>0</x:v>
      </x:c>
      <x:c r="K123" s="14" t="n">
        <x:v>0</x:v>
      </x:c>
      <x:c r="L123" s="14" t="n">
        <x:v>0</x:v>
      </x:c>
      <x:c r="M123" s="13" t="n">
        <x:v>0</x:v>
      </x:c>
      <x:c r="N123" s="3" t="n">
        <x:v>0</x:v>
      </x:c>
      <x:c r="O123" s="13" t="str">
        <x:f>IF(G123=0,"n.a.",D123/G123)</x:f>
        <x:v>n.a.</x:v>
      </x:c>
      <x:c r="P123" s="15" t="str">
        <x:f>IF(D123=0,"n.a.",E123/D123)</x:f>
        <x:v>n.a.</x:v>
      </x:c>
    </x:row>
    <x:row r="124" ht="22" customHeight="1">
      <x:c r="A124" s="3"/>
      <x:c r="B124" s="3" t="str">
        <x:v>2011-02</x:v>
      </x:c>
      <x:c r="C124" s="3" t="str">
        <x:v>Todos</x:v>
      </x:c>
      <x:c r="D124" s="13" t="n">
        <x:v>508886.2</x:v>
      </x:c>
      <x:c r="E124" s="13" t="n">
        <x:v>8375.87</x:v>
      </x:c>
      <x:c r="F124" s="13" t="n">
        <x:f>D124-E124</x:f>
        <x:v>500510.33</x:v>
      </x:c>
      <x:c r="G124" s="14" t="n">
        <x:v>1093</x:v>
      </x:c>
      <x:c r="H124" s="14" t="n">
        <x:v>191</x:v>
      </x:c>
      <x:c r="I124" s="14" t="n">
        <x:v>757</x:v>
      </x:c>
      <x:c r="J124" s="14" t="n">
        <x:v>147</x:v>
      </x:c>
      <x:c r="K124" s="14" t="n">
        <x:v>283248</x:v>
      </x:c>
      <x:c r="L124" s="14" t="n">
        <x:v>2606</x:v>
      </x:c>
      <x:c r="M124" s="13" t="n">
        <x:v>443346.02</x:v>
      </x:c>
      <x:c r="N124" s="3" t="n">
        <x:v>27382</x:v>
      </x:c>
      <x:c r="O124" s="13" t="n">
        <x:f>IF(G124=0,"n.a.",D124/G124)</x:f>
        <x:v>465.58664226898446</x:v>
      </x:c>
      <x:c r="P124" s="15" t="n">
        <x:f>IF(D124=0,"n.a.",E124/D124)</x:f>
        <x:v>0.016459220155704755</x:v>
      </x:c>
    </x:row>
    <x:row r="125" ht="22" customHeight="1">
      <x:c r="A125" s="3"/>
      <x:c r="B125" s="3" t="str">
        <x:v>2011-02</x:v>
      </x:c>
      <x:c r="C125" s="3" t="str">
        <x:v>Australia</x:v>
      </x:c>
      <x:c r="D125" s="13" t="n">
        <x:v>14695.42</x:v>
      </x:c>
      <x:c r="E125" s="13" t="n">
        <x:v>67.95</x:v>
      </x:c>
      <x:c r="F125" s="13" t="n">
        <x:f>D125-E125</x:f>
        <x:v>14627.47</x:v>
      </x:c>
      <x:c r="G125" s="14" t="n">
        <x:v>5</x:v>
      </x:c>
      <x:c r="H125" s="14" t="n">
        <x:v>1</x:v>
      </x:c>
      <x:c r="I125" s="14" t="n">
        <x:v>4</x:v>
      </x:c>
      <x:c r="J125" s="14" t="n">
        <x:v>1</x:v>
      </x:c>
      <x:c r="K125" s="14" t="n">
        <x:v>8680</x:v>
      </x:c>
      <x:c r="L125" s="14" t="n">
        <x:v>21</x:v>
      </x:c>
      <x:c r="M125" s="13" t="n">
        <x:v>14695.42</x:v>
      </x:c>
      <x:c r="N125" s="3" t="n">
        <x:v>91</x:v>
      </x:c>
      <x:c r="O125" s="13" t="n">
        <x:f>IF(G125=0,"n.a.",D125/G125)</x:f>
        <x:v>2939.084</x:v>
      </x:c>
      <x:c r="P125" s="15" t="n">
        <x:f>IF(D125=0,"n.a.",E125/D125)</x:f>
        <x:v>0.004623889620031275</x:v>
      </x:c>
    </x:row>
    <x:row r="126" ht="22" customHeight="1">
      <x:c r="A126" s="3"/>
      <x:c r="B126" s="3" t="str">
        <x:v>2011-02</x:v>
      </x:c>
      <x:c r="C126" s="3" t="str">
        <x:v>Austria</x:v>
      </x:c>
      <x:c r="D126" s="13" t="n">
        <x:v>438.36</x:v>
      </x:c>
      <x:c r="E126" s="13" t="n">
        <x:v>0</x:v>
      </x:c>
      <x:c r="F126" s="13" t="n">
        <x:f>D126-E126</x:f>
        <x:v>438.36</x:v>
      </x:c>
      <x:c r="G126" s="14" t="n">
        <x:v>2</x:v>
      </x:c>
      <x:c r="H126" s="14" t="n">
        <x:v>0</x:v>
      </x:c>
      <x:c r="I126" s="14" t="n">
        <x:v>2</x:v>
      </x:c>
      <x:c r="J126" s="14" t="n">
        <x:v>0</x:v>
      </x:c>
      <x:c r="K126" s="14" t="n">
        <x:v>340</x:v>
      </x:c>
      <x:c r="L126" s="14" t="n">
        <x:v>0</x:v>
      </x:c>
      <x:c r="M126" s="13" t="n">
        <x:v>438.36</x:v>
      </x:c>
      <x:c r="N126" s="3" t="n">
        <x:v>19</x:v>
      </x:c>
      <x:c r="O126" s="13" t="n">
        <x:f>IF(G126=0,"n.a.",D126/G126)</x:f>
        <x:v>219.18</x:v>
      </x:c>
      <x:c r="P126" s="15" t="n">
        <x:f>IF(D126=0,"n.a.",E126/D126)</x:f>
        <x:v>0</x:v>
      </x:c>
    </x:row>
    <x:row r="127" ht="22" customHeight="1">
      <x:c r="A127" s="3"/>
      <x:c r="B127" s="3" t="str">
        <x:v>2011-02</x:v>
      </x:c>
      <x:c r="C127" s="3" t="str">
        <x:v>Bahrain</x:v>
      </x:c>
      <x:c r="D127" s="13" t="n">
        <x:v>0</x:v>
      </x:c>
      <x:c r="E127" s="13" t="n">
        <x:v>0</x:v>
      </x:c>
      <x:c r="F127" s="13" t="n">
        <x:f>D127-E127</x:f>
        <x:v>0</x:v>
      </x:c>
      <x:c r="G127" s="14" t="n">
        <x:v>0</x:v>
      </x:c>
      <x:c r="H127" s="14" t="n">
        <x:v>0</x:v>
      </x:c>
      <x:c r="I127" s="14" t="n">
        <x:v>0</x:v>
      </x:c>
      <x:c r="J127" s="14" t="n">
        <x:v>0</x:v>
      </x:c>
      <x:c r="K127" s="14" t="n">
        <x:v>0</x:v>
      </x:c>
      <x:c r="L127" s="14" t="n">
        <x:v>0</x:v>
      </x:c>
      <x:c r="M127" s="13" t="n">
        <x:v>0</x:v>
      </x:c>
      <x:c r="N127" s="3" t="n">
        <x:v>0</x:v>
      </x:c>
      <x:c r="O127" s="13" t="str">
        <x:f>IF(G127=0,"n.a.",D127/G127)</x:f>
        <x:v>n.a.</x:v>
      </x:c>
      <x:c r="P127" s="15" t="str">
        <x:f>IF(D127=0,"n.a.",E127/D127)</x:f>
        <x:v>n.a.</x:v>
      </x:c>
    </x:row>
    <x:row r="128" ht="22" customHeight="1">
      <x:c r="A128" s="3"/>
      <x:c r="B128" s="3" t="str">
        <x:v>2011-02</x:v>
      </x:c>
      <x:c r="C128" s="3" t="str">
        <x:v>Belgium</x:v>
      </x:c>
      <x:c r="D128" s="13" t="n">
        <x:v>1926.07</x:v>
      </x:c>
      <x:c r="E128" s="13" t="n">
        <x:v>19.75</x:v>
      </x:c>
      <x:c r="F128" s="13" t="n">
        <x:f>D128-E128</x:f>
        <x:v>1906.32</x:v>
      </x:c>
      <x:c r="G128" s="14" t="n">
        <x:v>8</x:v>
      </x:c>
      <x:c r="H128" s="14" t="n">
        <x:v>2</x:v>
      </x:c>
      <x:c r="I128" s="14" t="n">
        <x:v>7</x:v>
      </x:c>
      <x:c r="J128" s="14" t="n">
        <x:v>1</x:v>
      </x:c>
      <x:c r="K128" s="14" t="n">
        <x:v>1085</x:v>
      </x:c>
      <x:c r="L128" s="14" t="n">
        <x:v>5</x:v>
      </x:c>
      <x:c r="M128" s="13" t="n">
        <x:v>1926.07</x:v>
      </x:c>
      <x:c r="N128" s="3" t="n">
        <x:v>112</x:v>
      </x:c>
      <x:c r="O128" s="13" t="n">
        <x:f>IF(G128=0,"n.a.",D128/G128)</x:f>
        <x:v>240.75875</x:v>
      </x:c>
      <x:c r="P128" s="15" t="n">
        <x:f>IF(D128=0,"n.a.",E128/D128)</x:f>
        <x:v>0.01025404061119274</x:v>
      </x:c>
    </x:row>
    <x:row r="129" ht="22" customHeight="1">
      <x:c r="A129" s="3"/>
      <x:c r="B129" s="3" t="str">
        <x:v>2011-02</x:v>
      </x:c>
      <x:c r="C129" s="3" t="str">
        <x:v>Brazil</x:v>
      </x:c>
      <x:c r="D129" s="13" t="n">
        <x:v>0</x:v>
      </x:c>
      <x:c r="E129" s="13" t="n">
        <x:v>0</x:v>
      </x:c>
      <x:c r="F129" s="13" t="n">
        <x:f>D129-E129</x:f>
        <x:v>0</x:v>
      </x:c>
      <x:c r="G129" s="14" t="n">
        <x:v>0</x:v>
      </x:c>
      <x:c r="H129" s="14" t="n">
        <x:v>0</x:v>
      </x:c>
      <x:c r="I129" s="14" t="n">
        <x:v>0</x:v>
      </x:c>
      <x:c r="J129" s="14" t="n">
        <x:v>0</x:v>
      </x:c>
      <x:c r="K129" s="14" t="n">
        <x:v>0</x:v>
      </x:c>
      <x:c r="L129" s="14" t="n">
        <x:v>0</x:v>
      </x:c>
      <x:c r="M129" s="13" t="n">
        <x:v>0</x:v>
      </x:c>
      <x:c r="N129" s="3" t="n">
        <x:v>0</x:v>
      </x:c>
      <x:c r="O129" s="13" t="str">
        <x:f>IF(G129=0,"n.a.",D129/G129)</x:f>
        <x:v>n.a.</x:v>
      </x:c>
      <x:c r="P129" s="15" t="str">
        <x:f>IF(D129=0,"n.a.",E129/D129)</x:f>
        <x:v>n.a.</x:v>
      </x:c>
    </x:row>
    <x:row r="130" ht="22" customHeight="1">
      <x:c r="A130" s="3"/>
      <x:c r="B130" s="3" t="str">
        <x:v>2011-02</x:v>
      </x:c>
      <x:c r="C130" s="3" t="str">
        <x:v>Canada</x:v>
      </x:c>
      <x:c r="D130" s="13" t="n">
        <x:v>0</x:v>
      </x:c>
      <x:c r="E130" s="13" t="n">
        <x:v>0</x:v>
      </x:c>
      <x:c r="F130" s="13" t="n">
        <x:f>D130-E130</x:f>
        <x:v>0</x:v>
      </x:c>
      <x:c r="G130" s="14" t="n">
        <x:v>0</x:v>
      </x:c>
      <x:c r="H130" s="14" t="n">
        <x:v>0</x:v>
      </x:c>
      <x:c r="I130" s="14" t="n">
        <x:v>0</x:v>
      </x:c>
      <x:c r="J130" s="14" t="n">
        <x:v>0</x:v>
      </x:c>
      <x:c r="K130" s="14" t="n">
        <x:v>0</x:v>
      </x:c>
      <x:c r="L130" s="14" t="n">
        <x:v>0</x:v>
      </x:c>
      <x:c r="M130" s="13" t="n">
        <x:v>0</x:v>
      </x:c>
      <x:c r="N130" s="3" t="n">
        <x:v>0</x:v>
      </x:c>
      <x:c r="O130" s="13" t="str">
        <x:f>IF(G130=0,"n.a.",D130/G130)</x:f>
        <x:v>n.a.</x:v>
      </x:c>
      <x:c r="P130" s="15" t="str">
        <x:f>IF(D130=0,"n.a.",E130/D130)</x:f>
        <x:v>n.a.</x:v>
      </x:c>
    </x:row>
    <x:row r="131" ht="22" customHeight="1">
      <x:c r="A131" s="3"/>
      <x:c r="B131" s="3" t="str">
        <x:v>2011-02</x:v>
      </x:c>
      <x:c r="C131" s="3" t="str">
        <x:v>Channel Islands</x:v>
      </x:c>
      <x:c r="D131" s="13" t="n">
        <x:v>1784.71</x:v>
      </x:c>
      <x:c r="E131" s="13" t="n">
        <x:v>0</x:v>
      </x:c>
      <x:c r="F131" s="13" t="n">
        <x:f>D131-E131</x:f>
        <x:v>1784.71</x:v>
      </x:c>
      <x:c r="G131" s="14" t="n">
        <x:v>1</x:v>
      </x:c>
      <x:c r="H131" s="14" t="n">
        <x:v>0</x:v>
      </x:c>
      <x:c r="I131" s="14" t="n">
        <x:v>1</x:v>
      </x:c>
      <x:c r="J131" s="14" t="n">
        <x:v>0</x:v>
      </x:c>
      <x:c r="K131" s="14" t="n">
        <x:v>935</x:v>
      </x:c>
      <x:c r="L131" s="14" t="n">
        <x:v>0</x:v>
      </x:c>
      <x:c r="M131" s="13" t="n">
        <x:v>1784.71</x:v>
      </x:c>
      <x:c r="N131" s="3" t="n">
        <x:v>10</x:v>
      </x:c>
      <x:c r="O131" s="13" t="n">
        <x:f>IF(G131=0,"n.a.",D131/G131)</x:f>
        <x:v>1784.71</x:v>
      </x:c>
      <x:c r="P131" s="15" t="n">
        <x:f>IF(D131=0,"n.a.",E131/D131)</x:f>
        <x:v>0</x:v>
      </x:c>
    </x:row>
    <x:row r="132" ht="22" customHeight="1">
      <x:c r="A132" s="3"/>
      <x:c r="B132" s="3" t="str">
        <x:v>2011-02</x:v>
      </x:c>
      <x:c r="C132" s="3" t="str">
        <x:v>Cyprus</x:v>
      </x:c>
      <x:c r="D132" s="13" t="n">
        <x:v>3998.55</x:v>
      </x:c>
      <x:c r="E132" s="13" t="n">
        <x:v>0</x:v>
      </x:c>
      <x:c r="F132" s="13" t="n">
        <x:f>D132-E132</x:f>
        <x:v>3998.55</x:v>
      </x:c>
      <x:c r="G132" s="14" t="n">
        <x:v>4</x:v>
      </x:c>
      <x:c r="H132" s="14" t="n">
        <x:v>0</x:v>
      </x:c>
      <x:c r="I132" s="14" t="n">
        <x:v>4</x:v>
      </x:c>
      <x:c r="J132" s="14" t="n">
        <x:v>0</x:v>
      </x:c>
      <x:c r="K132" s="14" t="n">
        <x:v>2189</x:v>
      </x:c>
      <x:c r="L132" s="14" t="n">
        <x:v>0</x:v>
      </x:c>
      <x:c r="M132" s="13" t="n">
        <x:v>3998.55</x:v>
      </x:c>
      <x:c r="N132" s="3" t="n">
        <x:v>154</x:v>
      </x:c>
      <x:c r="O132" s="13" t="n">
        <x:f>IF(G132=0,"n.a.",D132/G132)</x:f>
        <x:v>999.6375</x:v>
      </x:c>
      <x:c r="P132" s="15" t="n">
        <x:f>IF(D132=0,"n.a.",E132/D132)</x:f>
        <x:v>0</x:v>
      </x:c>
    </x:row>
    <x:row r="133" ht="22" customHeight="1">
      <x:c r="A133" s="3"/>
      <x:c r="B133" s="3" t="str">
        <x:v>2011-02</x:v>
      </x:c>
      <x:c r="C133" s="3" t="str">
        <x:v>Czech Republic</x:v>
      </x:c>
      <x:c r="D133" s="13" t="n">
        <x:v>549.26</x:v>
      </x:c>
      <x:c r="E133" s="13" t="n">
        <x:v>0</x:v>
      </x:c>
      <x:c r="F133" s="13" t="n">
        <x:f>D133-E133</x:f>
        <x:v>549.26</x:v>
      </x:c>
      <x:c r="G133" s="14" t="n">
        <x:v>1</x:v>
      </x:c>
      <x:c r="H133" s="14" t="n">
        <x:v>0</x:v>
      </x:c>
      <x:c r="I133" s="14" t="n">
        <x:v>1</x:v>
      </x:c>
      <x:c r="J133" s="14" t="n">
        <x:v>0</x:v>
      </x:c>
      <x:c r="K133" s="14" t="n">
        <x:v>346</x:v>
      </x:c>
      <x:c r="L133" s="14" t="n">
        <x:v>0</x:v>
      </x:c>
      <x:c r="M133" s="13" t="n">
        <x:v>549.26</x:v>
      </x:c>
      <x:c r="N133" s="3" t="n">
        <x:v>15</x:v>
      </x:c>
      <x:c r="O133" s="13" t="n">
        <x:f>IF(G133=0,"n.a.",D133/G133)</x:f>
        <x:v>549.26</x:v>
      </x:c>
      <x:c r="P133" s="15" t="n">
        <x:f>IF(D133=0,"n.a.",E133/D133)</x:f>
        <x:v>0</x:v>
      </x:c>
    </x:row>
    <x:row r="134" ht="22" customHeight="1">
      <x:c r="A134" s="3"/>
      <x:c r="B134" s="3" t="str">
        <x:v>2011-02</x:v>
      </x:c>
      <x:c r="C134" s="3" t="str">
        <x:v>Denmark</x:v>
      </x:c>
      <x:c r="D134" s="13" t="n">
        <x:v>363.22</x:v>
      </x:c>
      <x:c r="E134" s="13" t="n">
        <x:v>0</x:v>
      </x:c>
      <x:c r="F134" s="13" t="n">
        <x:f>D134-E134</x:f>
        <x:v>363.22</x:v>
      </x:c>
      <x:c r="G134" s="14" t="n">
        <x:v>1</x:v>
      </x:c>
      <x:c r="H134" s="14" t="n">
        <x:v>0</x:v>
      </x:c>
      <x:c r="I134" s="14" t="n">
        <x:v>1</x:v>
      </x:c>
      <x:c r="J134" s="14" t="n">
        <x:v>0</x:v>
      </x:c>
      <x:c r="K134" s="14" t="n">
        <x:v>222</x:v>
      </x:c>
      <x:c r="L134" s="14" t="n">
        <x:v>0</x:v>
      </x:c>
      <x:c r="M134" s="13" t="n">
        <x:v>363.22</x:v>
      </x:c>
      <x:c r="N134" s="3" t="n">
        <x:v>19</x:v>
      </x:c>
      <x:c r="O134" s="13" t="n">
        <x:f>IF(G134=0,"n.a.",D134/G134)</x:f>
        <x:v>363.22</x:v>
      </x:c>
      <x:c r="P134" s="15" t="n">
        <x:f>IF(D134=0,"n.a.",E134/D134)</x:f>
        <x:v>0</x:v>
      </x:c>
    </x:row>
    <x:row r="135" ht="22" customHeight="1">
      <x:c r="A135" s="3"/>
      <x:c r="B135" s="3" t="str">
        <x:v>2011-02</x:v>
      </x:c>
      <x:c r="C135" s="3" t="str">
        <x:v>EIRE</x:v>
      </x:c>
      <x:c r="D135" s="13" t="n">
        <x:v>12083.74</x:v>
      </x:c>
      <x:c r="E135" s="13" t="n">
        <x:v>2574.6</x:v>
      </x:c>
      <x:c r="F135" s="13" t="n">
        <x:f>D135-E135</x:f>
        <x:v>9509.14</x:v>
      </x:c>
      <x:c r="G135" s="14" t="n">
        <x:v>13</x:v>
      </x:c>
      <x:c r="H135" s="14" t="n">
        <x:v>2</x:v>
      </x:c>
      <x:c r="I135" s="14" t="n">
        <x:v>2</x:v>
      </x:c>
      <x:c r="J135" s="14" t="n">
        <x:v>2</x:v>
      </x:c>
      <x:c r="K135" s="14" t="n">
        <x:v>6000</x:v>
      </x:c>
      <x:c r="L135" s="14" t="n">
        <x:v>676</x:v>
      </x:c>
      <x:c r="M135" s="13" t="n">
        <x:v>9976.52</x:v>
      </x:c>
      <x:c r="N135" s="3" t="n">
        <x:v>436</x:v>
      </x:c>
      <x:c r="O135" s="13" t="n">
        <x:f>IF(G135=0,"n.a.",D135/G135)</x:f>
        <x:v>929.5184615384616</x:v>
      </x:c>
      <x:c r="P135" s="15" t="n">
        <x:f>IF(D135=0,"n.a.",E135/D135)</x:f>
        <x:v>0.21306317414972517</x:v>
      </x:c>
    </x:row>
    <x:row r="136" ht="22" customHeight="1">
      <x:c r="A136" s="3"/>
      <x:c r="B136" s="3" t="str">
        <x:v>2011-02</x:v>
      </x:c>
      <x:c r="C136" s="3" t="str">
        <x:v>European Community</x:v>
      </x:c>
      <x:c r="D136" s="13" t="n">
        <x:v>0</x:v>
      </x:c>
      <x:c r="E136" s="13" t="n">
        <x:v>0</x:v>
      </x:c>
      <x:c r="F136" s="13" t="n">
        <x:f>D136-E136</x:f>
        <x:v>0</x:v>
      </x:c>
      <x:c r="G136" s="14" t="n">
        <x:v>0</x:v>
      </x:c>
      <x:c r="H136" s="14" t="n">
        <x:v>0</x:v>
      </x:c>
      <x:c r="I136" s="14" t="n">
        <x:v>0</x:v>
      </x:c>
      <x:c r="J136" s="14" t="n">
        <x:v>0</x:v>
      </x:c>
      <x:c r="K136" s="14" t="n">
        <x:v>0</x:v>
      </x:c>
      <x:c r="L136" s="14" t="n">
        <x:v>0</x:v>
      </x:c>
      <x:c r="M136" s="13" t="n">
        <x:v>0</x:v>
      </x:c>
      <x:c r="N136" s="3" t="n">
        <x:v>0</x:v>
      </x:c>
      <x:c r="O136" s="13" t="str">
        <x:f>IF(G136=0,"n.a.",D136/G136)</x:f>
        <x:v>n.a.</x:v>
      </x:c>
      <x:c r="P136" s="15" t="str">
        <x:f>IF(D136=0,"n.a.",E136/D136)</x:f>
        <x:v>n.a.</x:v>
      </x:c>
    </x:row>
    <x:row r="137" ht="22" customHeight="1">
      <x:c r="A137" s="3"/>
      <x:c r="B137" s="3" t="str">
        <x:v>2011-02</x:v>
      </x:c>
      <x:c r="C137" s="3" t="str">
        <x:v>Finland</x:v>
      </x:c>
      <x:c r="D137" s="13" t="n">
        <x:v>165.16</x:v>
      </x:c>
      <x:c r="E137" s="13" t="n">
        <x:v>0</x:v>
      </x:c>
      <x:c r="F137" s="13" t="n">
        <x:f>D137-E137</x:f>
        <x:v>165.16</x:v>
      </x:c>
      <x:c r="G137" s="14" t="n">
        <x:v>1</x:v>
      </x:c>
      <x:c r="H137" s="14" t="n">
        <x:v>0</x:v>
      </x:c>
      <x:c r="I137" s="14" t="n">
        <x:v>1</x:v>
      </x:c>
      <x:c r="J137" s="14" t="n">
        <x:v>0</x:v>
      </x:c>
      <x:c r="K137" s="14" t="n">
        <x:v>140</x:v>
      </x:c>
      <x:c r="L137" s="14" t="n">
        <x:v>0</x:v>
      </x:c>
      <x:c r="M137" s="13" t="n">
        <x:v>165.16</x:v>
      </x:c>
      <x:c r="N137" s="3" t="n">
        <x:v>11</x:v>
      </x:c>
      <x:c r="O137" s="13" t="n">
        <x:f>IF(G137=0,"n.a.",D137/G137)</x:f>
        <x:v>165.16</x:v>
      </x:c>
      <x:c r="P137" s="15" t="n">
        <x:f>IF(D137=0,"n.a.",E137/D137)</x:f>
        <x:v>0</x:v>
      </x:c>
    </x:row>
    <x:row r="138" ht="22" customHeight="1">
      <x:c r="A138" s="3"/>
      <x:c r="B138" s="3" t="str">
        <x:v>2011-02</x:v>
      </x:c>
      <x:c r="C138" s="3" t="str">
        <x:v>France</x:v>
      </x:c>
      <x:c r="D138" s="13" t="n">
        <x:v>7687.96</x:v>
      </x:c>
      <x:c r="E138" s="13" t="n">
        <x:v>41.05</x:v>
      </x:c>
      <x:c r="F138" s="13" t="n">
        <x:f>D138-E138</x:f>
        <x:v>7646.91</x:v>
      </x:c>
      <x:c r="G138" s="14" t="n">
        <x:v>21</x:v>
      </x:c>
      <x:c r="H138" s="14" t="n">
        <x:v>4</x:v>
      </x:c>
      <x:c r="I138" s="14" t="n">
        <x:v>17</x:v>
      </x:c>
      <x:c r="J138" s="14" t="n">
        <x:v>3</x:v>
      </x:c>
      <x:c r="K138" s="14" t="n">
        <x:v>5294</x:v>
      </x:c>
      <x:c r="L138" s="14" t="n">
        <x:v>37</x:v>
      </x:c>
      <x:c r="M138" s="13" t="n">
        <x:v>7687.96</x:v>
      </x:c>
      <x:c r="N138" s="3" t="n">
        <x:v>406</x:v>
      </x:c>
      <x:c r="O138" s="13" t="n">
        <x:f>IF(G138=0,"n.a.",D138/G138)</x:f>
        <x:v>366.09333333333336</x:v>
      </x:c>
      <x:c r="P138" s="15" t="n">
        <x:f>IF(D138=0,"n.a.",E138/D138)</x:f>
        <x:v>0.005339517895514545</x:v>
      </x:c>
    </x:row>
    <x:row r="139" ht="22" customHeight="1">
      <x:c r="A139" s="3"/>
      <x:c r="B139" s="3" t="str">
        <x:v>2011-02</x:v>
      </x:c>
      <x:c r="C139" s="3" t="str">
        <x:v>Germany</x:v>
      </x:c>
      <x:c r="D139" s="13" t="n">
        <x:v>8825.05</x:v>
      </x:c>
      <x:c r="E139" s="13" t="n">
        <x:v>575.81</x:v>
      </x:c>
      <x:c r="F139" s="13" t="n">
        <x:f>D139-E139</x:f>
        <x:v>8249.24</x:v>
      </x:c>
      <x:c r="G139" s="14" t="n">
        <x:v>19</x:v>
      </x:c>
      <x:c r="H139" s="14" t="n">
        <x:v>12</x:v>
      </x:c>
      <x:c r="I139" s="14" t="n">
        <x:v>17</x:v>
      </x:c>
      <x:c r="J139" s="14" t="n">
        <x:v>2</x:v>
      </x:c>
      <x:c r="K139" s="14" t="n">
        <x:v>4203</x:v>
      </x:c>
      <x:c r="L139" s="14" t="n">
        <x:v>160</x:v>
      </x:c>
      <x:c r="M139" s="13" t="n">
        <x:v>8825.05</x:v>
      </x:c>
      <x:c r="N139" s="3" t="n">
        <x:v>333</x:v>
      </x:c>
      <x:c r="O139" s="13" t="n">
        <x:f>IF(G139=0,"n.a.",D139/G139)</x:f>
        <x:v>464.47631578947363</x:v>
      </x:c>
      <x:c r="P139" s="15" t="n">
        <x:f>IF(D139=0,"n.a.",E139/D139)</x:f>
        <x:v>0.06524722239534053</x:v>
      </x:c>
    </x:row>
    <x:row r="140" ht="22" customHeight="1">
      <x:c r="A140" s="3"/>
      <x:c r="B140" s="3" t="str">
        <x:v>2011-02</x:v>
      </x:c>
      <x:c r="C140" s="3" t="str">
        <x:v>Greece</x:v>
      </x:c>
      <x:c r="D140" s="13" t="n">
        <x:v>0</x:v>
      </x:c>
      <x:c r="E140" s="13" t="n">
        <x:v>0</x:v>
      </x:c>
      <x:c r="F140" s="13" t="n">
        <x:f>D140-E140</x:f>
        <x:v>0</x:v>
      </x:c>
      <x:c r="G140" s="14" t="n">
        <x:v>0</x:v>
      </x:c>
      <x:c r="H140" s="14" t="n">
        <x:v>0</x:v>
      </x:c>
      <x:c r="I140" s="14" t="n">
        <x:v>0</x:v>
      </x:c>
      <x:c r="J140" s="14" t="n">
        <x:v>0</x:v>
      </x:c>
      <x:c r="K140" s="14" t="n">
        <x:v>0</x:v>
      </x:c>
      <x:c r="L140" s="14" t="n">
        <x:v>0</x:v>
      </x:c>
      <x:c r="M140" s="13" t="n">
        <x:v>0</x:v>
      </x:c>
      <x:c r="N140" s="3" t="n">
        <x:v>0</x:v>
      </x:c>
      <x:c r="O140" s="13" t="str">
        <x:f>IF(G140=0,"n.a.",D140/G140)</x:f>
        <x:v>n.a.</x:v>
      </x:c>
      <x:c r="P140" s="15" t="str">
        <x:f>IF(D140=0,"n.a.",E140/D140)</x:f>
        <x:v>n.a.</x:v>
      </x:c>
    </x:row>
    <x:row r="141" ht="22" customHeight="1">
      <x:c r="A141" s="3"/>
      <x:c r="B141" s="3" t="str">
        <x:v>2011-02</x:v>
      </x:c>
      <x:c r="C141" s="3" t="str">
        <x:v>Hong Kong</x:v>
      </x:c>
      <x:c r="D141" s="13" t="n">
        <x:v>0</x:v>
      </x:c>
      <x:c r="E141" s="13" t="n">
        <x:v>0</x:v>
      </x:c>
      <x:c r="F141" s="13" t="n">
        <x:f>D141-E141</x:f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0</x:v>
      </x:c>
      <x:c r="K141" s="14" t="n">
        <x:v>0</x:v>
      </x:c>
      <x:c r="L141" s="14" t="n">
        <x:v>0</x:v>
      </x:c>
      <x:c r="M141" s="13" t="n">
        <x:v>0</x:v>
      </x:c>
      <x:c r="N141" s="3" t="n">
        <x:v>0</x:v>
      </x:c>
      <x:c r="O141" s="13" t="str">
        <x:f>IF(G141=0,"n.a.",D141/G141)</x:f>
        <x:v>n.a.</x:v>
      </x:c>
      <x:c r="P141" s="15" t="str">
        <x:f>IF(D141=0,"n.a.",E141/D141)</x:f>
        <x:v>n.a.</x:v>
      </x:c>
    </x:row>
    <x:row r="142" ht="22" customHeight="1">
      <x:c r="A142" s="3"/>
      <x:c r="B142" s="3" t="str">
        <x:v>2011-02</x:v>
      </x:c>
      <x:c r="C142" s="3" t="str">
        <x:v>Iceland</x:v>
      </x:c>
      <x:c r="D142" s="13" t="n">
        <x:v>0</x:v>
      </x:c>
      <x:c r="E142" s="13" t="n">
        <x:v>0</x:v>
      </x:c>
      <x:c r="F142" s="13" t="n">
        <x:f>D142-E142</x:f>
        <x:v>0</x:v>
      </x:c>
      <x:c r="G142" s="14" t="n">
        <x:v>0</x:v>
      </x:c>
      <x:c r="H142" s="14" t="n">
        <x:v>0</x:v>
      </x:c>
      <x:c r="I142" s="14" t="n">
        <x:v>0</x:v>
      </x:c>
      <x:c r="J142" s="14" t="n">
        <x:v>0</x:v>
      </x:c>
      <x:c r="K142" s="14" t="n">
        <x:v>0</x:v>
      </x:c>
      <x:c r="L142" s="14" t="n">
        <x:v>0</x:v>
      </x:c>
      <x:c r="M142" s="13" t="n">
        <x:v>0</x:v>
      </x:c>
      <x:c r="N142" s="3" t="n">
        <x:v>0</x:v>
      </x:c>
      <x:c r="O142" s="13" t="str">
        <x:f>IF(G142=0,"n.a.",D142/G142)</x:f>
        <x:v>n.a.</x:v>
      </x:c>
      <x:c r="P142" s="15" t="str">
        <x:f>IF(D142=0,"n.a.",E142/D142)</x:f>
        <x:v>n.a.</x:v>
      </x:c>
    </x:row>
    <x:row r="143" ht="22" customHeight="1">
      <x:c r="A143" s="3"/>
      <x:c r="B143" s="3" t="str">
        <x:v>2011-02</x:v>
      </x:c>
      <x:c r="C143" s="3" t="str">
        <x:v>Israel</x:v>
      </x:c>
      <x:c r="D143" s="13" t="n">
        <x:v>779.1</x:v>
      </x:c>
      <x:c r="E143" s="13" t="n">
        <x:v>0</x:v>
      </x:c>
      <x:c r="F143" s="13" t="n">
        <x:f>D143-E143</x:f>
        <x:v>779.1</x:v>
      </x:c>
      <x:c r="G143" s="14" t="n">
        <x:v>1</x:v>
      </x:c>
      <x:c r="H143" s="14" t="n">
        <x:v>0</x:v>
      </x:c>
      <x:c r="I143" s="14" t="n">
        <x:v>1</x:v>
      </x:c>
      <x:c r="J143" s="14" t="n">
        <x:v>0</x:v>
      </x:c>
      <x:c r="K143" s="14" t="n">
        <x:v>286</x:v>
      </x:c>
      <x:c r="L143" s="14" t="n">
        <x:v>0</x:v>
      </x:c>
      <x:c r="M143" s="13" t="n">
        <x:v>779.1</x:v>
      </x:c>
      <x:c r="N143" s="3" t="n">
        <x:v>16</x:v>
      </x:c>
      <x:c r="O143" s="13" t="n">
        <x:f>IF(G143=0,"n.a.",D143/G143)</x:f>
        <x:v>779.1</x:v>
      </x:c>
      <x:c r="P143" s="15" t="n">
        <x:f>IF(D143=0,"n.a.",E143/D143)</x:f>
        <x:v>0</x:v>
      </x:c>
    </x:row>
    <x:row r="144" ht="22" customHeight="1">
      <x:c r="A144" s="3"/>
      <x:c r="B144" s="3" t="str">
        <x:v>2011-02</x:v>
      </x:c>
      <x:c r="C144" s="3" t="str">
        <x:v>Italy</x:v>
      </x:c>
      <x:c r="D144" s="13" t="n">
        <x:v>228</x:v>
      </x:c>
      <x:c r="E144" s="13" t="n">
        <x:v>0</x:v>
      </x:c>
      <x:c r="F144" s="13" t="n">
        <x:f>D144-E144</x:f>
        <x:v>228</x:v>
      </x:c>
      <x:c r="G144" s="14" t="n">
        <x:v>1</x:v>
      </x:c>
      <x:c r="H144" s="14" t="n">
        <x:v>0</x:v>
      </x:c>
      <x:c r="I144" s="14" t="n">
        <x:v>1</x:v>
      </x:c>
      <x:c r="J144" s="14" t="n">
        <x:v>0</x:v>
      </x:c>
      <x:c r="K144" s="14" t="n">
        <x:v>110</x:v>
      </x:c>
      <x:c r="L144" s="14" t="n">
        <x:v>0</x:v>
      </x:c>
      <x:c r="M144" s="13" t="n">
        <x:v>228</x:v>
      </x:c>
      <x:c r="N144" s="3" t="n">
        <x:v>12</x:v>
      </x:c>
      <x:c r="O144" s="13" t="n">
        <x:f>IF(G144=0,"n.a.",D144/G144)</x:f>
        <x:v>228</x:v>
      </x:c>
      <x:c r="P144" s="15" t="n">
        <x:f>IF(D144=0,"n.a.",E144/D144)</x:f>
        <x:v>0</x:v>
      </x:c>
    </x:row>
    <x:row r="145" ht="22" customHeight="1">
      <x:c r="A145" s="3"/>
      <x:c r="B145" s="3" t="str">
        <x:v>2011-02</x:v>
      </x:c>
      <x:c r="C145" s="3" t="str">
        <x:v>Japan</x:v>
      </x:c>
      <x:c r="D145" s="13" t="n">
        <x:v>5780.81</x:v>
      </x:c>
      <x:c r="E145" s="13" t="n">
        <x:v>0</x:v>
      </x:c>
      <x:c r="F145" s="13" t="n">
        <x:f>D145-E145</x:f>
        <x:v>5780.81</x:v>
      </x:c>
      <x:c r="G145" s="14" t="n">
        <x:v>2</x:v>
      </x:c>
      <x:c r="H145" s="14" t="n">
        <x:v>0</x:v>
      </x:c>
      <x:c r="I145" s="14" t="n">
        <x:v>2</x:v>
      </x:c>
      <x:c r="J145" s="14" t="n">
        <x:v>0</x:v>
      </x:c>
      <x:c r="K145" s="14" t="n">
        <x:v>2999</x:v>
      </x:c>
      <x:c r="L145" s="14" t="n">
        <x:v>0</x:v>
      </x:c>
      <x:c r="M145" s="13" t="n">
        <x:v>5780.81</x:v>
      </x:c>
      <x:c r="N145" s="3" t="n">
        <x:v>85</x:v>
      </x:c>
      <x:c r="O145" s="13" t="n">
        <x:f>IF(G145=0,"n.a.",D145/G145)</x:f>
        <x:v>2890.405</x:v>
      </x:c>
      <x:c r="P145" s="15" t="n">
        <x:f>IF(D145=0,"n.a.",E145/D145)</x:f>
        <x:v>0</x:v>
      </x:c>
    </x:row>
    <x:row r="146" ht="22" customHeight="1">
      <x:c r="A146" s="3"/>
      <x:c r="B146" s="3" t="str">
        <x:v>2011-02</x:v>
      </x:c>
      <x:c r="C146" s="3" t="str">
        <x:v>Lebanon</x:v>
      </x:c>
      <x:c r="D146" s="13" t="n">
        <x:v>0</x:v>
      </x:c>
      <x:c r="E146" s="13" t="n">
        <x:v>0</x:v>
      </x:c>
      <x:c r="F146" s="13" t="n">
        <x:f>D146-E146</x:f>
        <x:v>0</x:v>
      </x:c>
      <x:c r="G146" s="14" t="n">
        <x:v>0</x:v>
      </x:c>
      <x:c r="H146" s="14" t="n">
        <x:v>0</x:v>
      </x:c>
      <x:c r="I146" s="14" t="n">
        <x:v>0</x:v>
      </x:c>
      <x:c r="J146" s="14" t="n">
        <x:v>0</x:v>
      </x:c>
      <x:c r="K146" s="14" t="n">
        <x:v>0</x:v>
      </x:c>
      <x:c r="L146" s="14" t="n">
        <x:v>0</x:v>
      </x:c>
      <x:c r="M146" s="13" t="n">
        <x:v>0</x:v>
      </x:c>
      <x:c r="N146" s="3" t="n">
        <x:v>0</x:v>
      </x:c>
      <x:c r="O146" s="13" t="str">
        <x:f>IF(G146=0,"n.a.",D146/G146)</x:f>
        <x:v>n.a.</x:v>
      </x:c>
      <x:c r="P146" s="15" t="str">
        <x:f>IF(D146=0,"n.a.",E146/D146)</x:f>
        <x:v>n.a.</x:v>
      </x:c>
    </x:row>
    <x:row r="147" ht="22" customHeight="1">
      <x:c r="A147" s="3"/>
      <x:c r="B147" s="3" t="str">
        <x:v>2011-02</x:v>
      </x:c>
      <x:c r="C147" s="3" t="str">
        <x:v>Lithuania</x:v>
      </x:c>
      <x:c r="D147" s="13" t="n">
        <x:v>0</x:v>
      </x:c>
      <x:c r="E147" s="13" t="n">
        <x:v>0</x:v>
      </x:c>
      <x:c r="F147" s="13" t="n">
        <x:f>D147-E147</x:f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0</x:v>
      </x:c>
      <x:c r="K147" s="14" t="n">
        <x:v>0</x:v>
      </x:c>
      <x:c r="L147" s="14" t="n">
        <x:v>0</x:v>
      </x:c>
      <x:c r="M147" s="13" t="n">
        <x:v>0</x:v>
      </x:c>
      <x:c r="N147" s="3" t="n">
        <x:v>0</x:v>
      </x:c>
      <x:c r="O147" s="13" t="str">
        <x:f>IF(G147=0,"n.a.",D147/G147)</x:f>
        <x:v>n.a.</x:v>
      </x:c>
      <x:c r="P147" s="15" t="str">
        <x:f>IF(D147=0,"n.a.",E147/D147)</x:f>
        <x:v>n.a.</x:v>
      </x:c>
    </x:row>
    <x:row r="148" ht="22" customHeight="1">
      <x:c r="A148" s="3"/>
      <x:c r="B148" s="3" t="str">
        <x:v>2011-02</x:v>
      </x:c>
      <x:c r="C148" s="3" t="str">
        <x:v>Malta</x:v>
      </x:c>
      <x:c r="D148" s="13" t="n">
        <x:v>0</x:v>
      </x:c>
      <x:c r="E148" s="13" t="n">
        <x:v>0</x:v>
      </x:c>
      <x:c r="F148" s="13" t="n">
        <x:f>D148-E148</x:f>
        <x:v>0</x:v>
      </x:c>
      <x:c r="G148" s="14" t="n">
        <x:v>0</x:v>
      </x:c>
      <x:c r="H148" s="14" t="n">
        <x:v>0</x:v>
      </x:c>
      <x:c r="I148" s="14" t="n">
        <x:v>0</x:v>
      </x:c>
      <x:c r="J148" s="14" t="n">
        <x:v>0</x:v>
      </x:c>
      <x:c r="K148" s="14" t="n">
        <x:v>0</x:v>
      </x:c>
      <x:c r="L148" s="14" t="n">
        <x:v>0</x:v>
      </x:c>
      <x:c r="M148" s="13" t="n">
        <x:v>0</x:v>
      </x:c>
      <x:c r="N148" s="3" t="n">
        <x:v>0</x:v>
      </x:c>
      <x:c r="O148" s="13" t="str">
        <x:f>IF(G148=0,"n.a.",D148/G148)</x:f>
        <x:v>n.a.</x:v>
      </x:c>
      <x:c r="P148" s="15" t="str">
        <x:f>IF(D148=0,"n.a.",E148/D148)</x:f>
        <x:v>n.a.</x:v>
      </x:c>
    </x:row>
    <x:row r="149" ht="22" customHeight="1">
      <x:c r="A149" s="3"/>
      <x:c r="B149" s="3" t="str">
        <x:v>2011-02</x:v>
      </x:c>
      <x:c r="C149" s="3" t="str">
        <x:v>Netherlands</x:v>
      </x:c>
      <x:c r="D149" s="13" t="n">
        <x:v>22831.91</x:v>
      </x:c>
      <x:c r="E149" s="13" t="n">
        <x:v>34.8</x:v>
      </x:c>
      <x:c r="F149" s="13" t="n">
        <x:f>D149-E149</x:f>
        <x:v>22797.11</x:v>
      </x:c>
      <x:c r="G149" s="14" t="n">
        <x:v>5</x:v>
      </x:c>
      <x:c r="H149" s="14" t="n">
        <x:v>1</x:v>
      </x:c>
      <x:c r="I149" s="14" t="n">
        <x:v>2</x:v>
      </x:c>
      <x:c r="J149" s="14" t="n">
        <x:v>1</x:v>
      </x:c>
      <x:c r="K149" s="14" t="n">
        <x:v>16375</x:v>
      </x:c>
      <x:c r="L149" s="14" t="n">
        <x:v>24</x:v>
      </x:c>
      <x:c r="M149" s="13" t="n">
        <x:v>22831.91</x:v>
      </x:c>
      <x:c r="N149" s="3" t="n">
        <x:v>188</x:v>
      </x:c>
      <x:c r="O149" s="13" t="n">
        <x:f>IF(G149=0,"n.a.",D149/G149)</x:f>
        <x:v>4566.382</x:v>
      </x:c>
      <x:c r="P149" s="15" t="n">
        <x:f>IF(D149=0,"n.a.",E149/D149)</x:f>
        <x:v>0.0015241826023315614</x:v>
      </x:c>
    </x:row>
    <x:row r="150" ht="22" customHeight="1">
      <x:c r="A150" s="3"/>
      <x:c r="B150" s="3" t="str">
        <x:v>2011-02</x:v>
      </x:c>
      <x:c r="C150" s="3" t="str">
        <x:v>Norway</x:v>
      </x:c>
      <x:c r="D150" s="13" t="n">
        <x:v>590.9</x:v>
      </x:c>
      <x:c r="E150" s="13" t="n">
        <x:v>0</x:v>
      </x:c>
      <x:c r="F150" s="13" t="n">
        <x:f>D150-E150</x:f>
        <x:v>590.9</x:v>
      </x:c>
      <x:c r="G150" s="14" t="n">
        <x:v>2</x:v>
      </x:c>
      <x:c r="H150" s="14" t="n">
        <x:v>0</x:v>
      </x:c>
      <x:c r="I150" s="14" t="n">
        <x:v>2</x:v>
      </x:c>
      <x:c r="J150" s="14" t="n">
        <x:v>0</x:v>
      </x:c>
      <x:c r="K150" s="14" t="n">
        <x:v>294</x:v>
      </x:c>
      <x:c r="L150" s="14" t="n">
        <x:v>0</x:v>
      </x:c>
      <x:c r="M150" s="13" t="n">
        <x:v>590.9</x:v>
      </x:c>
      <x:c r="N150" s="3" t="n">
        <x:v>31</x:v>
      </x:c>
      <x:c r="O150" s="13" t="n">
        <x:f>IF(G150=0,"n.a.",D150/G150)</x:f>
        <x:v>295.45</x:v>
      </x:c>
      <x:c r="P150" s="15" t="n">
        <x:f>IF(D150=0,"n.a.",E150/D150)</x:f>
        <x:v>0</x:v>
      </x:c>
    </x:row>
    <x:row r="151" ht="22" customHeight="1">
      <x:c r="A151" s="3"/>
      <x:c r="B151" s="3" t="str">
        <x:v>2011-02</x:v>
      </x:c>
      <x:c r="C151" s="3" t="str">
        <x:v>Poland</x:v>
      </x:c>
      <x:c r="D151" s="13" t="n">
        <x:v>604.05</x:v>
      </x:c>
      <x:c r="E151" s="13" t="n">
        <x:v>0</x:v>
      </x:c>
      <x:c r="F151" s="13" t="n">
        <x:f>D151-E151</x:f>
        <x:v>604.05</x:v>
      </x:c>
      <x:c r="G151" s="14" t="n">
        <x:v>2</x:v>
      </x:c>
      <x:c r="H151" s="14" t="n">
        <x:v>0</x:v>
      </x:c>
      <x:c r="I151" s="14" t="n">
        <x:v>2</x:v>
      </x:c>
      <x:c r="J151" s="14" t="n">
        <x:v>0</x:v>
      </x:c>
      <x:c r="K151" s="14" t="n">
        <x:v>297</x:v>
      </x:c>
      <x:c r="L151" s="14" t="n">
        <x:v>0</x:v>
      </x:c>
      <x:c r="M151" s="13" t="n">
        <x:v>604.05</x:v>
      </x:c>
      <x:c r="N151" s="3" t="n">
        <x:v>28</x:v>
      </x:c>
      <x:c r="O151" s="13" t="n">
        <x:f>IF(G151=0,"n.a.",D151/G151)</x:f>
        <x:v>302.025</x:v>
      </x:c>
      <x:c r="P151" s="15" t="n">
        <x:f>IF(D151=0,"n.a.",E151/D151)</x:f>
        <x:v>0</x:v>
      </x:c>
    </x:row>
    <x:row r="152" ht="22" customHeight="1">
      <x:c r="A152" s="3"/>
      <x:c r="B152" s="3" t="str">
        <x:v>2011-02</x:v>
      </x:c>
      <x:c r="C152" s="3" t="str">
        <x:v>Portugal</x:v>
      </x:c>
      <x:c r="D152" s="13" t="n">
        <x:v>1017.9</x:v>
      </x:c>
      <x:c r="E152" s="13" t="n">
        <x:v>0</x:v>
      </x:c>
      <x:c r="F152" s="13" t="n">
        <x:f>D152-E152</x:f>
        <x:v>1017.9</x:v>
      </x:c>
      <x:c r="G152" s="14" t="n">
        <x:v>2</x:v>
      </x:c>
      <x:c r="H152" s="14" t="n">
        <x:v>0</x:v>
      </x:c>
      <x:c r="I152" s="14" t="n">
        <x:v>2</x:v>
      </x:c>
      <x:c r="J152" s="14" t="n">
        <x:v>0</x:v>
      </x:c>
      <x:c r="K152" s="14" t="n">
        <x:v>551</x:v>
      </x:c>
      <x:c r="L152" s="14" t="n">
        <x:v>0</x:v>
      </x:c>
      <x:c r="M152" s="13" t="n">
        <x:v>1017.9</x:v>
      </x:c>
      <x:c r="N152" s="3" t="n">
        <x:v>55</x:v>
      </x:c>
      <x:c r="O152" s="13" t="n">
        <x:f>IF(G152=0,"n.a.",D152/G152)</x:f>
        <x:v>508.95</x:v>
      </x:c>
      <x:c r="P152" s="15" t="n">
        <x:f>IF(D152=0,"n.a.",E152/D152)</x:f>
        <x:v>0</x:v>
      </x:c>
    </x:row>
    <x:row r="153" ht="22" customHeight="1">
      <x:c r="A153" s="3"/>
      <x:c r="B153" s="3" t="str">
        <x:v>2011-02</x:v>
      </x:c>
      <x:c r="C153" s="3" t="str">
        <x:v>RSA</x:v>
      </x:c>
      <x:c r="D153" s="13" t="n">
        <x:v>0</x:v>
      </x:c>
      <x:c r="E153" s="13" t="n">
        <x:v>0</x:v>
      </x:c>
      <x:c r="F153" s="13" t="n">
        <x:f>D153-E153</x:f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0</x:v>
      </x:c>
      <x:c r="K153" s="14" t="n">
        <x:v>0</x:v>
      </x:c>
      <x:c r="L153" s="14" t="n">
        <x:v>0</x:v>
      </x:c>
      <x:c r="M153" s="13" t="n">
        <x:v>0</x:v>
      </x:c>
      <x:c r="N153" s="3" t="n">
        <x:v>0</x:v>
      </x:c>
      <x:c r="O153" s="13" t="str">
        <x:f>IF(G153=0,"n.a.",D153/G153)</x:f>
        <x:v>n.a.</x:v>
      </x:c>
      <x:c r="P153" s="15" t="str">
        <x:f>IF(D153=0,"n.a.",E153/D153)</x:f>
        <x:v>n.a.</x:v>
      </x:c>
    </x:row>
    <x:row r="154" ht="22" customHeight="1">
      <x:c r="A154" s="3"/>
      <x:c r="B154" s="3" t="str">
        <x:v>2011-02</x:v>
      </x:c>
      <x:c r="C154" s="3" t="str">
        <x:v>Saudi Arabia</x:v>
      </x:c>
      <x:c r="D154" s="13" t="n">
        <x:v>145.92</x:v>
      </x:c>
      <x:c r="E154" s="13" t="n">
        <x:v>0</x:v>
      </x:c>
      <x:c r="F154" s="13" t="n">
        <x:f>D154-E154</x:f>
        <x:v>145.92</x:v>
      </x:c>
      <x:c r="G154" s="14" t="n">
        <x:v>1</x:v>
      </x:c>
      <x:c r="H154" s="14" t="n">
        <x:v>0</x:v>
      </x:c>
      <x:c r="I154" s="14" t="n">
        <x:v>1</x:v>
      </x:c>
      <x:c r="J154" s="14" t="n">
        <x:v>0</x:v>
      </x:c>
      <x:c r="K154" s="14" t="n">
        <x:v>80</x:v>
      </x:c>
      <x:c r="L154" s="14" t="n">
        <x:v>0</x:v>
      </x:c>
      <x:c r="M154" s="13" t="n">
        <x:v>145.92</x:v>
      </x:c>
      <x:c r="N154" s="3" t="n">
        <x:v>9</x:v>
      </x:c>
      <x:c r="O154" s="13" t="n">
        <x:f>IF(G154=0,"n.a.",D154/G154)</x:f>
        <x:v>145.92</x:v>
      </x:c>
      <x:c r="P154" s="15" t="n">
        <x:f>IF(D154=0,"n.a.",E154/D154)</x:f>
        <x:v>0</x:v>
      </x:c>
    </x:row>
    <x:row r="155" ht="22" customHeight="1">
      <x:c r="A155" s="3"/>
      <x:c r="B155" s="3" t="str">
        <x:v>2011-02</x:v>
      </x:c>
      <x:c r="C155" s="3" t="str">
        <x:v>Singapore</x:v>
      </x:c>
      <x:c r="D155" s="13" t="n">
        <x:v>0</x:v>
      </x:c>
      <x:c r="E155" s="13" t="n">
        <x:v>0</x:v>
      </x:c>
      <x:c r="F155" s="13" t="n">
        <x:f>D155-E155</x:f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0</x:v>
      </x:c>
      <x:c r="K155" s="14" t="n">
        <x:v>0</x:v>
      </x:c>
      <x:c r="L155" s="14" t="n">
        <x:v>0</x:v>
      </x:c>
      <x:c r="M155" s="13" t="n">
        <x:v>0</x:v>
      </x:c>
      <x:c r="N155" s="3" t="n">
        <x:v>0</x:v>
      </x:c>
      <x:c r="O155" s="13" t="str">
        <x:f>IF(G155=0,"n.a.",D155/G155)</x:f>
        <x:v>n.a.</x:v>
      </x:c>
      <x:c r="P155" s="15" t="str">
        <x:f>IF(D155=0,"n.a.",E155/D155)</x:f>
        <x:v>n.a.</x:v>
      </x:c>
    </x:row>
    <x:row r="156" ht="22" customHeight="1">
      <x:c r="A156" s="3"/>
      <x:c r="B156" s="3" t="str">
        <x:v>2011-02</x:v>
      </x:c>
      <x:c r="C156" s="3" t="str">
        <x:v>Spain</x:v>
      </x:c>
      <x:c r="D156" s="13" t="n">
        <x:v>1722.5</x:v>
      </x:c>
      <x:c r="E156" s="13" t="n">
        <x:v>20.8</x:v>
      </x:c>
      <x:c r="F156" s="13" t="n">
        <x:f>D156-E156</x:f>
        <x:v>1701.7</x:v>
      </x:c>
      <x:c r="G156" s="14" t="n">
        <x:v>4</x:v>
      </x:c>
      <x:c r="H156" s="14" t="n">
        <x:v>1</x:v>
      </x:c>
      <x:c r="I156" s="14" t="n">
        <x:v>4</x:v>
      </x:c>
      <x:c r="J156" s="14" t="n">
        <x:v>0</x:v>
      </x:c>
      <x:c r="K156" s="14" t="n">
        <x:v>856</x:v>
      </x:c>
      <x:c r="L156" s="14" t="n">
        <x:v>4</x:v>
      </x:c>
      <x:c r="M156" s="13" t="n">
        <x:v>1722.5</x:v>
      </x:c>
      <x:c r="N156" s="3" t="n">
        <x:v>96</x:v>
      </x:c>
      <x:c r="O156" s="13" t="n">
        <x:f>IF(G156=0,"n.a.",D156/G156)</x:f>
        <x:v>430.625</x:v>
      </x:c>
      <x:c r="P156" s="15" t="n">
        <x:f>IF(D156=0,"n.a.",E156/D156)</x:f>
        <x:v>0.012075471698113209</x:v>
      </x:c>
    </x:row>
    <x:row r="157" ht="22" customHeight="1">
      <x:c r="A157" s="3"/>
      <x:c r="B157" s="3" t="str">
        <x:v>2011-02</x:v>
      </x:c>
      <x:c r="C157" s="3" t="str">
        <x:v>Sweden</x:v>
      </x:c>
      <x:c r="D157" s="13" t="n">
        <x:v>469.5</x:v>
      </x:c>
      <x:c r="E157" s="13" t="n">
        <x:v>0</x:v>
      </x:c>
      <x:c r="F157" s="13" t="n">
        <x:f>D157-E157</x:f>
        <x:v>469.5</x:v>
      </x:c>
      <x:c r="G157" s="14" t="n">
        <x:v>1</x:v>
      </x:c>
      <x:c r="H157" s="14" t="n">
        <x:v>0</x:v>
      </x:c>
      <x:c r="I157" s="14" t="n">
        <x:v>1</x:v>
      </x:c>
      <x:c r="J157" s="14" t="n">
        <x:v>0</x:v>
      </x:c>
      <x:c r="K157" s="14" t="n">
        <x:v>249</x:v>
      </x:c>
      <x:c r="L157" s="14" t="n">
        <x:v>0</x:v>
      </x:c>
      <x:c r="M157" s="13" t="n">
        <x:v>469.5</x:v>
      </x:c>
      <x:c r="N157" s="3" t="n">
        <x:v>11</x:v>
      </x:c>
      <x:c r="O157" s="13" t="n">
        <x:f>IF(G157=0,"n.a.",D157/G157)</x:f>
        <x:v>469.5</x:v>
      </x:c>
      <x:c r="P157" s="15" t="n">
        <x:f>IF(D157=0,"n.a.",E157/D157)</x:f>
        <x:v>0</x:v>
      </x:c>
    </x:row>
    <x:row r="158" ht="22" customHeight="1">
      <x:c r="A158" s="3"/>
      <x:c r="B158" s="3" t="str">
        <x:v>2011-02</x:v>
      </x:c>
      <x:c r="C158" s="3" t="str">
        <x:v>Switzerland</x:v>
      </x:c>
      <x:c r="D158" s="13" t="n">
        <x:v>2374.92</x:v>
      </x:c>
      <x:c r="E158" s="13" t="n">
        <x:v>12.25</x:v>
      </x:c>
      <x:c r="F158" s="13" t="n">
        <x:f>D158-E158</x:f>
        <x:v>2362.67</x:v>
      </x:c>
      <x:c r="G158" s="14" t="n">
        <x:v>5</x:v>
      </x:c>
      <x:c r="H158" s="14" t="n">
        <x:v>1</x:v>
      </x:c>
      <x:c r="I158" s="14" t="n">
        <x:v>4</x:v>
      </x:c>
      <x:c r="J158" s="14" t="n">
        <x:v>1</x:v>
      </x:c>
      <x:c r="K158" s="14" t="n">
        <x:v>1100</x:v>
      </x:c>
      <x:c r="L158" s="14" t="n">
        <x:v>2</x:v>
      </x:c>
      <x:c r="M158" s="13" t="n">
        <x:v>2374.92</x:v>
      </x:c>
      <x:c r="N158" s="3" t="n">
        <x:v>100</x:v>
      </x:c>
      <x:c r="O158" s="13" t="n">
        <x:f>IF(G158=0,"n.a.",D158/G158)</x:f>
        <x:v>474.98400000000004</x:v>
      </x:c>
      <x:c r="P158" s="15" t="n">
        <x:f>IF(D158=0,"n.a.",E158/D158)</x:f>
        <x:v>0.005158068482306773</x:v>
      </x:c>
    </x:row>
    <x:row r="159" ht="22" customHeight="1">
      <x:c r="A159" s="3"/>
      <x:c r="B159" s="3" t="str">
        <x:v>2011-02</x:v>
      </x:c>
      <x:c r="C159" s="3" t="str">
        <x:v>USA</x:v>
      </x:c>
      <x:c r="D159" s="13" t="n">
        <x:v>0</x:v>
      </x:c>
      <x:c r="E159" s="13" t="n">
        <x:v>0</x:v>
      </x:c>
      <x:c r="F159" s="13" t="n">
        <x:f>D159-E159</x:f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0</x:v>
      </x:c>
      <x:c r="K159" s="14" t="n">
        <x:v>0</x:v>
      </x:c>
      <x:c r="L159" s="14" t="n">
        <x:v>0</x:v>
      </x:c>
      <x:c r="M159" s="13" t="n">
        <x:v>0</x:v>
      </x:c>
      <x:c r="N159" s="3" t="n">
        <x:v>0</x:v>
      </x:c>
      <x:c r="O159" s="13" t="str">
        <x:f>IF(G159=0,"n.a.",D159/G159)</x:f>
        <x:v>n.a.</x:v>
      </x:c>
      <x:c r="P159" s="15" t="str">
        <x:f>IF(D159=0,"n.a.",E159/D159)</x:f>
        <x:v>n.a.</x:v>
      </x:c>
    </x:row>
    <x:row r="160" ht="22" customHeight="1">
      <x:c r="A160" s="3"/>
      <x:c r="B160" s="3" t="str">
        <x:v>2011-02</x:v>
      </x:c>
      <x:c r="C160" s="3" t="str">
        <x:v>United Arab Emirates</x:v>
      </x:c>
      <x:c r="D160" s="13" t="n">
        <x:v>889.24</x:v>
      </x:c>
      <x:c r="E160" s="13" t="n">
        <x:v>0</x:v>
      </x:c>
      <x:c r="F160" s="13" t="n">
        <x:f>D160-E160</x:f>
        <x:v>889.24</x:v>
      </x:c>
      <x:c r="G160" s="14" t="n">
        <x:v>1</x:v>
      </x:c>
      <x:c r="H160" s="14" t="n">
        <x:v>0</x:v>
      </x:c>
      <x:c r="I160" s="14" t="n">
        <x:v>1</x:v>
      </x:c>
      <x:c r="J160" s="14" t="n">
        <x:v>0</x:v>
      </x:c>
      <x:c r="K160" s="14" t="n">
        <x:v>496</x:v>
      </x:c>
      <x:c r="L160" s="14" t="n">
        <x:v>0</x:v>
      </x:c>
      <x:c r="M160" s="13" t="n">
        <x:v>889.24</x:v>
      </x:c>
      <x:c r="N160" s="3" t="n">
        <x:v>30</x:v>
      </x:c>
      <x:c r="O160" s="13" t="n">
        <x:f>IF(G160=0,"n.a.",D160/G160)</x:f>
        <x:v>889.24</x:v>
      </x:c>
      <x:c r="P160" s="15" t="n">
        <x:f>IF(D160=0,"n.a.",E160/D160)</x:f>
        <x:v>0</x:v>
      </x:c>
    </x:row>
    <x:row r="161" ht="22" customHeight="1">
      <x:c r="A161" s="3"/>
      <x:c r="B161" s="3" t="str">
        <x:v>2011-02</x:v>
      </x:c>
      <x:c r="C161" s="3" t="str">
        <x:v>United Kingdom</x:v>
      </x:c>
      <x:c r="D161" s="13" t="n">
        <x:v>418933.95</x:v>
      </x:c>
      <x:c r="E161" s="13" t="n">
        <x:v>5028.86</x:v>
      </x:c>
      <x:c r="F161" s="13" t="n">
        <x:f>D161-E161</x:f>
        <x:v>413905.09</x:v>
      </x:c>
      <x:c r="G161" s="14" t="n">
        <x:v>990</x:v>
      </x:c>
      <x:c r="H161" s="14" t="n">
        <x:v>167</x:v>
      </x:c>
      <x:c r="I161" s="14" t="n">
        <x:v>678</x:v>
      </x:c>
      <x:c r="J161" s="14" t="n">
        <x:v>135</x:v>
      </x:c>
      <x:c r="K161" s="14" t="n">
        <x:v>230121</x:v>
      </x:c>
      <x:c r="L161" s="14" t="n">
        <x:v>1677</x:v>
      </x:c>
      <x:c r="M161" s="13" t="n">
        <x:v>355500.99</x:v>
      </x:c>
      <x:c r="N161" s="3" t="n">
        <x:v>25115</x:v>
      </x:c>
      <x:c r="O161" s="13" t="n">
        <x:f>IF(G161=0,"n.a.",D161/G161)</x:f>
        <x:v>423.1656060606061</x:v>
      </x:c>
      <x:c r="P161" s="15" t="n">
        <x:f>IF(D161=0,"n.a.",E161/D161)</x:f>
        <x:v>0.012003944774587974</x:v>
      </x:c>
    </x:row>
    <x:row r="162" ht="22" customHeight="1">
      <x:c r="A162" s="3"/>
      <x:c r="B162" s="3" t="str">
        <x:v>2011-02</x:v>
      </x:c>
      <x:c r="C162" s="3" t="str">
        <x:v>Unspecified</x:v>
      </x:c>
      <x:c r="D162" s="13" t="n">
        <x:v>0</x:v>
      </x:c>
      <x:c r="E162" s="13" t="n">
        <x:v>0</x:v>
      </x:c>
      <x:c r="F162" s="13" t="n">
        <x:f>D162-E162</x:f>
        <x:v>0</x:v>
      </x:c>
      <x:c r="G162" s="14" t="n">
        <x:v>0</x:v>
      </x:c>
      <x:c r="H162" s="14" t="n">
        <x:v>0</x:v>
      </x:c>
      <x:c r="I162" s="14" t="n">
        <x:v>0</x:v>
      </x:c>
      <x:c r="J162" s="14" t="n">
        <x:v>0</x:v>
      </x:c>
      <x:c r="K162" s="14" t="n">
        <x:v>0</x:v>
      </x:c>
      <x:c r="L162" s="14" t="n">
        <x:v>0</x:v>
      </x:c>
      <x:c r="M162" s="13" t="n">
        <x:v>0</x:v>
      </x:c>
      <x:c r="N162" s="3" t="n">
        <x:v>0</x:v>
      </x:c>
      <x:c r="O162" s="13" t="str">
        <x:f>IF(G162=0,"n.a.",D162/G162)</x:f>
        <x:v>n.a.</x:v>
      </x:c>
      <x:c r="P162" s="15" t="str">
        <x:f>IF(D162=0,"n.a.",E162/D162)</x:f>
        <x:v>n.a.</x:v>
      </x:c>
    </x:row>
    <x:row r="163" ht="22" customHeight="1">
      <x:c r="A163" s="3"/>
      <x:c r="B163" s="3" t="str">
        <x:v>2011-03</x:v>
      </x:c>
      <x:c r="C163" s="3" t="str">
        <x:v>Todos</x:v>
      </x:c>
      <x:c r="D163" s="13" t="n">
        <x:v>691257.61</x:v>
      </x:c>
      <x:c r="E163" s="13" t="n">
        <x:v>10675.3</x:v>
      </x:c>
      <x:c r="F163" s="13" t="n">
        <x:f>D163-E163</x:f>
        <x:v>680582.3099999999</x:v>
      </x:c>
      <x:c r="G163" s="14" t="n">
        <x:v>1440</x:v>
      </x:c>
      <x:c r="H163" s="14" t="n">
        <x:v>281</x:v>
      </x:c>
      <x:c r="I163" s="14" t="n">
        <x:v>973</x:v>
      </x:c>
      <x:c r="J163" s="14" t="n">
        <x:v>198</x:v>
      </x:c>
      <x:c r="K163" s="14" t="n">
        <x:v>377109</x:v>
      </x:c>
      <x:c r="L163" s="14" t="n">
        <x:v>4338</x:v>
      </x:c>
      <x:c r="M163" s="13" t="n">
        <x:v>584562.85</x:v>
      </x:c>
      <x:c r="N163" s="3" t="n">
        <x:v>36249</x:v>
      </x:c>
      <x:c r="O163" s="13" t="n">
        <x:f>IF(G163=0,"n.a.",D163/G163)</x:f>
        <x:v>480.04000694444443</x:v>
      </x:c>
      <x:c r="P163" s="15" t="n">
        <x:f>IF(D163=0,"n.a.",E163/D163)</x:f>
        <x:v>0.015443301955113375</x:v>
      </x:c>
    </x:row>
    <x:row r="164" ht="22" customHeight="1">
      <x:c r="A164" s="3"/>
      <x:c r="B164" s="3" t="str">
        <x:v>2011-03</x:v>
      </x:c>
      <x:c r="C164" s="3" t="str">
        <x:v>Australia</x:v>
      </x:c>
      <x:c r="D164" s="13" t="n">
        <x:v>17223.99</x:v>
      </x:c>
      <x:c r="E164" s="13" t="n">
        <x:v>168.7</x:v>
      </x:c>
      <x:c r="F164" s="13" t="n">
        <x:f>D164-E164</x:f>
        <x:v>17055.29</x:v>
      </x:c>
      <x:c r="G164" s="14" t="n">
        <x:v>3</x:v>
      </x:c>
      <x:c r="H164" s="14" t="n">
        <x:v>1</x:v>
      </x:c>
      <x:c r="I164" s="14" t="n">
        <x:v>3</x:v>
      </x:c>
      <x:c r="J164" s="14" t="n">
        <x:v>0</x:v>
      </x:c>
      <x:c r="K164" s="14" t="n">
        <x:v>10439</x:v>
      </x:c>
      <x:c r="L164" s="14" t="n">
        <x:v>110</x:v>
      </x:c>
      <x:c r="M164" s="13" t="n">
        <x:v>17223.99</x:v>
      </x:c>
      <x:c r="N164" s="3" t="n">
        <x:v>110</x:v>
      </x:c>
      <x:c r="O164" s="13" t="n">
        <x:f>IF(G164=0,"n.a.",D164/G164)</x:f>
        <x:v>5741.330000000001</x:v>
      </x:c>
      <x:c r="P164" s="15" t="n">
        <x:f>IF(D164=0,"n.a.",E164/D164)</x:f>
        <x:v>0.009794478515140799</x:v>
      </x:c>
    </x:row>
    <x:row r="165" ht="22" customHeight="1">
      <x:c r="A165" s="3"/>
      <x:c r="B165" s="3" t="str">
        <x:v>2011-03</x:v>
      </x:c>
      <x:c r="C165" s="3" t="str">
        <x:v>Austria</x:v>
      </x:c>
      <x:c r="D165" s="13" t="n">
        <x:v>1308.12</x:v>
      </x:c>
      <x:c r="E165" s="13" t="n">
        <x:v>0</x:v>
      </x:c>
      <x:c r="F165" s="13" t="n">
        <x:f>D165-E165</x:f>
        <x:v>1308.12</x:v>
      </x:c>
      <x:c r="G165" s="14" t="n">
        <x:v>2</x:v>
      </x:c>
      <x:c r="H165" s="14" t="n">
        <x:v>0</x:v>
      </x:c>
      <x:c r="I165" s="14" t="n">
        <x:v>2</x:v>
      </x:c>
      <x:c r="J165" s="14" t="n">
        <x:v>0</x:v>
      </x:c>
      <x:c r="K165" s="14" t="n">
        <x:v>972</x:v>
      </x:c>
      <x:c r="L165" s="14" t="n">
        <x:v>0</x:v>
      </x:c>
      <x:c r="M165" s="13" t="n">
        <x:v>1308.12</x:v>
      </x:c>
      <x:c r="N165" s="3" t="n">
        <x:v>16</x:v>
      </x:c>
      <x:c r="O165" s="13" t="n">
        <x:f>IF(G165=0,"n.a.",D165/G165)</x:f>
        <x:v>654.06</x:v>
      </x:c>
      <x:c r="P165" s="15" t="n">
        <x:f>IF(D165=0,"n.a.",E165/D165)</x:f>
        <x:v>0</x:v>
      </x:c>
    </x:row>
    <x:row r="166" ht="22" customHeight="1">
      <x:c r="A166" s="3"/>
      <x:c r="B166" s="3" t="str">
        <x:v>2011-03</x:v>
      </x:c>
      <x:c r="C166" s="3" t="str">
        <x:v>Bahrain</x:v>
      </x:c>
      <x:c r="D166" s="13" t="n">
        <x:v>0</x:v>
      </x:c>
      <x:c r="E166" s="13" t="n">
        <x:v>0</x:v>
      </x:c>
      <x:c r="F166" s="13" t="n">
        <x:f>D166-E166</x:f>
        <x:v>0</x:v>
      </x:c>
      <x:c r="G166" s="14" t="n">
        <x:v>0</x:v>
      </x:c>
      <x:c r="H166" s="14" t="n">
        <x:v>0</x:v>
      </x:c>
      <x:c r="I166" s="14" t="n">
        <x:v>0</x:v>
      </x:c>
      <x:c r="J166" s="14" t="n">
        <x:v>0</x:v>
      </x:c>
      <x:c r="K166" s="14" t="n">
        <x:v>0</x:v>
      </x:c>
      <x:c r="L166" s="14" t="n">
        <x:v>0</x:v>
      </x:c>
      <x:c r="M166" s="13" t="n">
        <x:v>0</x:v>
      </x:c>
      <x:c r="N166" s="3" t="n">
        <x:v>0</x:v>
      </x:c>
      <x:c r="O166" s="13" t="str">
        <x:f>IF(G166=0,"n.a.",D166/G166)</x:f>
        <x:v>n.a.</x:v>
      </x:c>
      <x:c r="P166" s="15" t="str">
        <x:f>IF(D166=0,"n.a.",E166/D166)</x:f>
        <x:v>n.a.</x:v>
      </x:c>
    </x:row>
    <x:row r="167" ht="22" customHeight="1">
      <x:c r="A167" s="3"/>
      <x:c r="B167" s="3" t="str">
        <x:v>2011-03</x:v>
      </x:c>
      <x:c r="C167" s="3" t="str">
        <x:v>Belgium</x:v>
      </x:c>
      <x:c r="D167" s="13" t="n">
        <x:v>2994.98</x:v>
      </x:c>
      <x:c r="E167" s="13" t="n">
        <x:v>18.4</x:v>
      </x:c>
      <x:c r="F167" s="13" t="n">
        <x:f>D167-E167</x:f>
        <x:v>2976.58</x:v>
      </x:c>
      <x:c r="G167" s="14" t="n">
        <x:v>9</x:v>
      </x:c>
      <x:c r="H167" s="14" t="n">
        <x:v>1</x:v>
      </x:c>
      <x:c r="I167" s="14" t="n">
        <x:v>8</x:v>
      </x:c>
      <x:c r="J167" s="14" t="n">
        <x:v>1</x:v>
      </x:c>
      <x:c r="K167" s="14" t="n">
        <x:v>1760</x:v>
      </x:c>
      <x:c r="L167" s="14" t="n">
        <x:v>7</x:v>
      </x:c>
      <x:c r="M167" s="13" t="n">
        <x:v>2994.98</x:v>
      </x:c>
      <x:c r="N167" s="3" t="n">
        <x:v>155</x:v>
      </x:c>
      <x:c r="O167" s="13" t="n">
        <x:f>IF(G167=0,"n.a.",D167/G167)</x:f>
        <x:v>332.77555555555557</x:v>
      </x:c>
      <x:c r="P167" s="15" t="n">
        <x:f>IF(D167=0,"n.a.",E167/D167)</x:f>
        <x:v>0.006143613646835705</x:v>
      </x:c>
    </x:row>
    <x:row r="168" ht="22" customHeight="1">
      <x:c r="A168" s="3"/>
      <x:c r="B168" s="3" t="str">
        <x:v>2011-03</x:v>
      </x:c>
      <x:c r="C168" s="3" t="str">
        <x:v>Brazil</x:v>
      </x:c>
      <x:c r="D168" s="13" t="n">
        <x:v>0</x:v>
      </x:c>
      <x:c r="E168" s="13" t="n">
        <x:v>0</x:v>
      </x:c>
      <x:c r="F168" s="13" t="n">
        <x:f>D168-E168</x:f>
        <x:v>0</x:v>
      </x:c>
      <x:c r="G168" s="14" t="n">
        <x:v>0</x:v>
      </x:c>
      <x:c r="H168" s="14" t="n">
        <x:v>0</x:v>
      </x:c>
      <x:c r="I168" s="14" t="n">
        <x:v>0</x:v>
      </x:c>
      <x:c r="J168" s="14" t="n">
        <x:v>0</x:v>
      </x:c>
      <x:c r="K168" s="14" t="n">
        <x:v>0</x:v>
      </x:c>
      <x:c r="L168" s="14" t="n">
        <x:v>0</x:v>
      </x:c>
      <x:c r="M168" s="13" t="n">
        <x:v>0</x:v>
      </x:c>
      <x:c r="N168" s="3" t="n">
        <x:v>0</x:v>
      </x:c>
      <x:c r="O168" s="13" t="str">
        <x:f>IF(G168=0,"n.a.",D168/G168)</x:f>
        <x:v>n.a.</x:v>
      </x:c>
      <x:c r="P168" s="15" t="str">
        <x:f>IF(D168=0,"n.a.",E168/D168)</x:f>
        <x:v>n.a.</x:v>
      </x:c>
    </x:row>
    <x:row r="169" ht="22" customHeight="1">
      <x:c r="A169" s="3"/>
      <x:c r="B169" s="3" t="str">
        <x:v>2011-03</x:v>
      </x:c>
      <x:c r="C169" s="3" t="str">
        <x:v>Canada</x:v>
      </x:c>
      <x:c r="D169" s="13" t="n">
        <x:v>140.54</x:v>
      </x:c>
      <x:c r="E169" s="13" t="n">
        <x:v>0</x:v>
      </x:c>
      <x:c r="F169" s="13" t="n">
        <x:f>D169-E169</x:f>
        <x:v>140.54</x:v>
      </x:c>
      <x:c r="G169" s="14" t="n">
        <x:v>1</x:v>
      </x:c>
      <x:c r="H169" s="14" t="n">
        <x:v>0</x:v>
      </x:c>
      <x:c r="I169" s="14" t="n">
        <x:v>1</x:v>
      </x:c>
      <x:c r="J169" s="14" t="n">
        <x:v>0</x:v>
      </x:c>
      <x:c r="K169" s="14" t="n">
        <x:v>88</x:v>
      </x:c>
      <x:c r="L169" s="14" t="n">
        <x:v>0</x:v>
      </x:c>
      <x:c r="M169" s="13" t="n">
        <x:v>140.54</x:v>
      </x:c>
      <x:c r="N169" s="3" t="n">
        <x:v>10</x:v>
      </x:c>
      <x:c r="O169" s="13" t="n">
        <x:f>IF(G169=0,"n.a.",D169/G169)</x:f>
        <x:v>140.54</x:v>
      </x:c>
      <x:c r="P169" s="15" t="n">
        <x:f>IF(D169=0,"n.a.",E169/D169)</x:f>
        <x:v>0</x:v>
      </x:c>
    </x:row>
    <x:row r="170" ht="22" customHeight="1">
      <x:c r="A170" s="3"/>
      <x:c r="B170" s="3" t="str">
        <x:v>2011-03</x:v>
      </x:c>
      <x:c r="C170" s="3" t="str">
        <x:v>Channel Islands</x:v>
      </x:c>
      <x:c r="D170" s="13" t="n">
        <x:v>3509.33</x:v>
      </x:c>
      <x:c r="E170" s="13" t="n">
        <x:v>0</x:v>
      </x:c>
      <x:c r="F170" s="13" t="n">
        <x:f>D170-E170</x:f>
        <x:v>3509.33</x:v>
      </x:c>
      <x:c r="G170" s="14" t="n">
        <x:v>3</x:v>
      </x:c>
      <x:c r="H170" s="14" t="n">
        <x:v>0</x:v>
      </x:c>
      <x:c r="I170" s="14" t="n">
        <x:v>3</x:v>
      </x:c>
      <x:c r="J170" s="14" t="n">
        <x:v>0</x:v>
      </x:c>
      <x:c r="K170" s="14" t="n">
        <x:v>2104</x:v>
      </x:c>
      <x:c r="L170" s="14" t="n">
        <x:v>0</x:v>
      </x:c>
      <x:c r="M170" s="13" t="n">
        <x:v>3509.33</x:v>
      </x:c>
      <x:c r="N170" s="3" t="n">
        <x:v>182</x:v>
      </x:c>
      <x:c r="O170" s="13" t="n">
        <x:f>IF(G170=0,"n.a.",D170/G170)</x:f>
        <x:v>1169.7766666666666</x:v>
      </x:c>
      <x:c r="P170" s="15" t="n">
        <x:f>IF(D170=0,"n.a.",E170/D170)</x:f>
        <x:v>0</x:v>
      </x:c>
    </x:row>
    <x:row r="171" ht="22" customHeight="1">
      <x:c r="A171" s="3"/>
      <x:c r="B171" s="3" t="str">
        <x:v>2011-03</x:v>
      </x:c>
      <x:c r="C171" s="3" t="str">
        <x:v>Cyprus</x:v>
      </x:c>
      <x:c r="D171" s="13" t="n">
        <x:v>938.39</x:v>
      </x:c>
      <x:c r="E171" s="13" t="n">
        <x:v>0</x:v>
      </x:c>
      <x:c r="F171" s="13" t="n">
        <x:f>D171-E171</x:f>
        <x:v>938.39</x:v>
      </x:c>
      <x:c r="G171" s="14" t="n">
        <x:v>1</x:v>
      </x:c>
      <x:c r="H171" s="14" t="n">
        <x:v>0</x:v>
      </x:c>
      <x:c r="I171" s="14" t="n">
        <x:v>1</x:v>
      </x:c>
      <x:c r="J171" s="14" t="n">
        <x:v>0</x:v>
      </x:c>
      <x:c r="K171" s="14" t="n">
        <x:v>1005</x:v>
      </x:c>
      <x:c r="L171" s="14" t="n">
        <x:v>0</x:v>
      </x:c>
      <x:c r="M171" s="13" t="n">
        <x:v>938.39</x:v>
      </x:c>
      <x:c r="N171" s="3" t="n">
        <x:v>48</x:v>
      </x:c>
      <x:c r="O171" s="13" t="n">
        <x:f>IF(G171=0,"n.a.",D171/G171)</x:f>
        <x:v>938.39</x:v>
      </x:c>
      <x:c r="P171" s="15" t="n">
        <x:f>IF(D171=0,"n.a.",E171/D171)</x:f>
        <x:v>0</x:v>
      </x:c>
    </x:row>
    <x:row r="172" ht="22" customHeight="1">
      <x:c r="A172" s="3"/>
      <x:c r="B172" s="3" t="str">
        <x:v>2011-03</x:v>
      </x:c>
      <x:c r="C172" s="3" t="str">
        <x:v>Czech Republic</x:v>
      </x:c>
      <x:c r="D172" s="13" t="n">
        <x:v>0</x:v>
      </x:c>
      <x:c r="E172" s="13" t="n">
        <x:v>0</x:v>
      </x:c>
      <x:c r="F172" s="13" t="n">
        <x:f>D172-E172</x:f>
        <x:v>0</x:v>
      </x:c>
      <x:c r="G172" s="14" t="n">
        <x:v>0</x:v>
      </x:c>
      <x:c r="H172" s="14" t="n">
        <x:v>0</x:v>
      </x:c>
      <x:c r="I172" s="14" t="n">
        <x:v>0</x:v>
      </x:c>
      <x:c r="J172" s="14" t="n">
        <x:v>0</x:v>
      </x:c>
      <x:c r="K172" s="14" t="n">
        <x:v>0</x:v>
      </x:c>
      <x:c r="L172" s="14" t="n">
        <x:v>0</x:v>
      </x:c>
      <x:c r="M172" s="13" t="n">
        <x:v>0</x:v>
      </x:c>
      <x:c r="N172" s="3" t="n">
        <x:v>0</x:v>
      </x:c>
      <x:c r="O172" s="13" t="str">
        <x:f>IF(G172=0,"n.a.",D172/G172)</x:f>
        <x:v>n.a.</x:v>
      </x:c>
      <x:c r="P172" s="15" t="str">
        <x:f>IF(D172=0,"n.a.",E172/D172)</x:f>
        <x:v>n.a.</x:v>
      </x:c>
    </x:row>
    <x:row r="173" ht="22" customHeight="1">
      <x:c r="A173" s="3"/>
      <x:c r="B173" s="3" t="str">
        <x:v>2011-03</x:v>
      </x:c>
      <x:c r="C173" s="3" t="str">
        <x:v>Denmark</x:v>
      </x:c>
      <x:c r="D173" s="13" t="n">
        <x:v>3978.99</x:v>
      </x:c>
      <x:c r="E173" s="13" t="n">
        <x:v>0</x:v>
      </x:c>
      <x:c r="F173" s="13" t="n">
        <x:f>D173-E173</x:f>
        <x:v>3978.99</x:v>
      </x:c>
      <x:c r="G173" s="14" t="n">
        <x:v>1</x:v>
      </x:c>
      <x:c r="H173" s="14" t="n">
        <x:v>0</x:v>
      </x:c>
      <x:c r="I173" s="14" t="n">
        <x:v>1</x:v>
      </x:c>
      <x:c r="J173" s="14" t="n">
        <x:v>0</x:v>
      </x:c>
      <x:c r="K173" s="14" t="n">
        <x:v>879</x:v>
      </x:c>
      <x:c r="L173" s="14" t="n">
        <x:v>0</x:v>
      </x:c>
      <x:c r="M173" s="13" t="n">
        <x:v>3978.99</x:v>
      </x:c>
      <x:c r="N173" s="3" t="n">
        <x:v>19</x:v>
      </x:c>
      <x:c r="O173" s="13" t="n">
        <x:f>IF(G173=0,"n.a.",D173/G173)</x:f>
        <x:v>3978.99</x:v>
      </x:c>
      <x:c r="P173" s="15" t="n">
        <x:f>IF(D173=0,"n.a.",E173/D173)</x:f>
        <x:v>0</x:v>
      </x:c>
    </x:row>
    <x:row r="174" ht="22" customHeight="1">
      <x:c r="A174" s="3"/>
      <x:c r="B174" s="3" t="str">
        <x:v>2011-03</x:v>
      </x:c>
      <x:c r="C174" s="3" t="str">
        <x:v>EIRE</x:v>
      </x:c>
      <x:c r="D174" s="13" t="n">
        <x:v>18323.17</x:v>
      </x:c>
      <x:c r="E174" s="13" t="n">
        <x:v>39.94</x:v>
      </x:c>
      <x:c r="F174" s="13" t="n">
        <x:f>D174-E174</x:f>
        <x:v>18283.23</x:v>
      </x:c>
      <x:c r="G174" s="14" t="n">
        <x:v>21</x:v>
      </x:c>
      <x:c r="H174" s="14" t="n">
        <x:v>3</x:v>
      </x:c>
      <x:c r="I174" s="14" t="n">
        <x:v>3</x:v>
      </x:c>
      <x:c r="J174" s="14" t="n">
        <x:v>2</x:v>
      </x:c>
      <x:c r="K174" s="14" t="n">
        <x:v>9568</x:v>
      </x:c>
      <x:c r="L174" s="14" t="n">
        <x:v>16</x:v>
      </x:c>
      <x:c r="M174" s="13" t="n">
        <x:v>17850.02</x:v>
      </x:c>
      <x:c r="N174" s="3" t="n">
        <x:v>551</x:v>
      </x:c>
      <x:c r="O174" s="13" t="n">
        <x:f>IF(G174=0,"n.a.",D174/G174)</x:f>
        <x:v>872.5319047619047</x:v>
      </x:c>
      <x:c r="P174" s="15" t="n">
        <x:f>IF(D174=0,"n.a.",E174/D174)</x:f>
        <x:v>0.0021797538308054774</x:v>
      </x:c>
    </x:row>
    <x:row r="175" ht="22" customHeight="1">
      <x:c r="A175" s="3"/>
      <x:c r="B175" s="3" t="str">
        <x:v>2011-03</x:v>
      </x:c>
      <x:c r="C175" s="3" t="str">
        <x:v>European Community</x:v>
      </x:c>
      <x:c r="D175" s="13" t="n">
        <x:v>0</x:v>
      </x:c>
      <x:c r="E175" s="13" t="n">
        <x:v>0</x:v>
      </x:c>
      <x:c r="F175" s="13" t="n">
        <x:f>D175-E175</x:f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0</x:v>
      </x:c>
      <x:c r="K175" s="14" t="n">
        <x:v>0</x:v>
      </x:c>
      <x:c r="L175" s="14" t="n">
        <x:v>0</x:v>
      </x:c>
      <x:c r="M175" s="13" t="n">
        <x:v>0</x:v>
      </x:c>
      <x:c r="N175" s="3" t="n">
        <x:v>0</x:v>
      </x:c>
      <x:c r="O175" s="13" t="str">
        <x:f>IF(G175=0,"n.a.",D175/G175)</x:f>
        <x:v>n.a.</x:v>
      </x:c>
      <x:c r="P175" s="15" t="str">
        <x:f>IF(D175=0,"n.a.",E175/D175)</x:f>
        <x:v>n.a.</x:v>
      </x:c>
    </x:row>
    <x:row r="176" ht="22" customHeight="1">
      <x:c r="A176" s="3"/>
      <x:c r="B176" s="3" t="str">
        <x:v>2011-03</x:v>
      </x:c>
      <x:c r="C176" s="3" t="str">
        <x:v>Finland</x:v>
      </x:c>
      <x:c r="D176" s="13" t="n">
        <x:v>4865.62</x:v>
      </x:c>
      <x:c r="E176" s="13" t="n">
        <x:v>12.2</x:v>
      </x:c>
      <x:c r="F176" s="13" t="n">
        <x:f>D176-E176</x:f>
        <x:v>4853.42</x:v>
      </x:c>
      <x:c r="G176" s="14" t="n">
        <x:v>4</x:v>
      </x:c>
      <x:c r="H176" s="14" t="n">
        <x:v>1</x:v>
      </x:c>
      <x:c r="I176" s="14" t="n">
        <x:v>1</x:v>
      </x:c>
      <x:c r="J176" s="14" t="n">
        <x:v>1</x:v>
      </x:c>
      <x:c r="K176" s="14" t="n">
        <x:v>2521</x:v>
      </x:c>
      <x:c r="L176" s="14" t="n">
        <x:v>2</x:v>
      </x:c>
      <x:c r="M176" s="13" t="n">
        <x:v>4865.62</x:v>
      </x:c>
      <x:c r="N176" s="3" t="n">
        <x:v>213</x:v>
      </x:c>
      <x:c r="O176" s="13" t="n">
        <x:f>IF(G176=0,"n.a.",D176/G176)</x:f>
        <x:v>1216.405</x:v>
      </x:c>
      <x:c r="P176" s="15" t="n">
        <x:f>IF(D176=0,"n.a.",E176/D176)</x:f>
        <x:v>0.002507388575351137</x:v>
      </x:c>
    </x:row>
    <x:row r="177" ht="22" customHeight="1">
      <x:c r="A177" s="3"/>
      <x:c r="B177" s="3" t="str">
        <x:v>2011-03</x:v>
      </x:c>
      <x:c r="C177" s="3" t="str">
        <x:v>France</x:v>
      </x:c>
      <x:c r="D177" s="13" t="n">
        <x:v>13689.55</x:v>
      </x:c>
      <x:c r="E177" s="13" t="n">
        <x:v>72.65</x:v>
      </x:c>
      <x:c r="F177" s="13" t="n">
        <x:f>D177-E177</x:f>
        <x:v>13616.9</x:v>
      </x:c>
      <x:c r="G177" s="14" t="n">
        <x:v>25</x:v>
      </x:c>
      <x:c r="H177" s="14" t="n">
        <x:v>3</x:v>
      </x:c>
      <x:c r="I177" s="14" t="n">
        <x:v>17</x:v>
      </x:c>
      <x:c r="J177" s="14" t="n">
        <x:v>6</x:v>
      </x:c>
      <x:c r="K177" s="14" t="n">
        <x:v>8640</x:v>
      </x:c>
      <x:c r="L177" s="14" t="n">
        <x:v>51</x:v>
      </x:c>
      <x:c r="M177" s="13" t="n">
        <x:v>13689.55</x:v>
      </x:c>
      <x:c r="N177" s="3" t="n">
        <x:v>532</x:v>
      </x:c>
      <x:c r="O177" s="13" t="n">
        <x:f>IF(G177=0,"n.a.",D177/G177)</x:f>
        <x:v>547.582</x:v>
      </x:c>
      <x:c r="P177" s="15" t="n">
        <x:f>IF(D177=0,"n.a.",E177/D177)</x:f>
        <x:v>0.005306967723555559</x:v>
      </x:c>
    </x:row>
    <x:row r="178" ht="22" customHeight="1">
      <x:c r="A178" s="3"/>
      <x:c r="B178" s="3" t="str">
        <x:v>2011-03</x:v>
      </x:c>
      <x:c r="C178" s="3" t="str">
        <x:v>Germany</x:v>
      </x:c>
      <x:c r="D178" s="13" t="n">
        <x:v>12862.69</x:v>
      </x:c>
      <x:c r="E178" s="13" t="n">
        <x:v>222.67</x:v>
      </x:c>
      <x:c r="F178" s="13" t="n">
        <x:f>D178-E178</x:f>
        <x:v>12640.02</x:v>
      </x:c>
      <x:c r="G178" s="14" t="n">
        <x:v>31</x:v>
      </x:c>
      <x:c r="H178" s="14" t="n">
        <x:v>10</x:v>
      </x:c>
      <x:c r="I178" s="14" t="n">
        <x:v>24</x:v>
      </x:c>
      <x:c r="J178" s="14" t="n">
        <x:v>7</x:v>
      </x:c>
      <x:c r="K178" s="14" t="n">
        <x:v>7654</x:v>
      </x:c>
      <x:c r="L178" s="14" t="n">
        <x:v>64</x:v>
      </x:c>
      <x:c r="M178" s="13" t="n">
        <x:v>12862.69</x:v>
      </x:c>
      <x:c r="N178" s="3" t="n">
        <x:v>577</x:v>
      </x:c>
      <x:c r="O178" s="13" t="n">
        <x:f>IF(G178=0,"n.a.",D178/G178)</x:f>
        <x:v>414.92548387096775</x:v>
      </x:c>
      <x:c r="P178" s="15" t="n">
        <x:f>IF(D178=0,"n.a.",E178/D178)</x:f>
        <x:v>0.017311308909722614</x:v>
      </x:c>
    </x:row>
    <x:row r="179" ht="22" customHeight="1">
      <x:c r="A179" s="3"/>
      <x:c r="B179" s="3" t="str">
        <x:v>2011-03</x:v>
      </x:c>
      <x:c r="C179" s="3" t="str">
        <x:v>Greece</x:v>
      </x:c>
      <x:c r="D179" s="13" t="n">
        <x:v>387.31</x:v>
      </x:c>
      <x:c r="E179" s="13" t="n">
        <x:v>0</x:v>
      </x:c>
      <x:c r="F179" s="13" t="n">
        <x:f>D179-E179</x:f>
        <x:v>387.31</x:v>
      </x:c>
      <x:c r="G179" s="14" t="n">
        <x:v>1</x:v>
      </x:c>
      <x:c r="H179" s="14" t="n">
        <x:v>0</x:v>
      </x:c>
      <x:c r="I179" s="14" t="n">
        <x:v>1</x:v>
      </x:c>
      <x:c r="J179" s="14" t="n">
        <x:v>0</x:v>
      </x:c>
      <x:c r="K179" s="14" t="n">
        <x:v>289</x:v>
      </x:c>
      <x:c r="L179" s="14" t="n">
        <x:v>0</x:v>
      </x:c>
      <x:c r="M179" s="13" t="n">
        <x:v>387.31</x:v>
      </x:c>
      <x:c r="N179" s="3" t="n">
        <x:v>22</x:v>
      </x:c>
      <x:c r="O179" s="13" t="n">
        <x:f>IF(G179=0,"n.a.",D179/G179)</x:f>
        <x:v>387.31</x:v>
      </x:c>
      <x:c r="P179" s="15" t="n">
        <x:f>IF(D179=0,"n.a.",E179/D179)</x:f>
        <x:v>0</x:v>
      </x:c>
    </x:row>
    <x:row r="180" ht="22" customHeight="1">
      <x:c r="A180" s="3"/>
      <x:c r="B180" s="3" t="str">
        <x:v>2011-03</x:v>
      </x:c>
      <x:c r="C180" s="3" t="str">
        <x:v>Hong Kong</x:v>
      </x:c>
      <x:c r="D180" s="13" t="n">
        <x:v>0</x:v>
      </x:c>
      <x:c r="E180" s="13" t="n">
        <x:v>0</x:v>
      </x:c>
      <x:c r="F180" s="13" t="n">
        <x:f>D180-E180</x:f>
        <x:v>0</x:v>
      </x:c>
      <x:c r="G180" s="14" t="n">
        <x:v>0</x:v>
      </x:c>
      <x:c r="H180" s="14" t="n">
        <x:v>0</x:v>
      </x:c>
      <x:c r="I180" s="14" t="n">
        <x:v>0</x:v>
      </x:c>
      <x:c r="J180" s="14" t="n">
        <x:v>0</x:v>
      </x:c>
      <x:c r="K180" s="14" t="n">
        <x:v>0</x:v>
      </x:c>
      <x:c r="L180" s="14" t="n">
        <x:v>0</x:v>
      </x:c>
      <x:c r="M180" s="13" t="n">
        <x:v>0</x:v>
      </x:c>
      <x:c r="N180" s="3" t="n">
        <x:v>0</x:v>
      </x:c>
      <x:c r="O180" s="13" t="str">
        <x:f>IF(G180=0,"n.a.",D180/G180)</x:f>
        <x:v>n.a.</x:v>
      </x:c>
      <x:c r="P180" s="15" t="str">
        <x:f>IF(D180=0,"n.a.",E180/D180)</x:f>
        <x:v>n.a.</x:v>
      </x:c>
    </x:row>
    <x:row r="181" ht="22" customHeight="1">
      <x:c r="A181" s="3"/>
      <x:c r="B181" s="3" t="str">
        <x:v>2011-03</x:v>
      </x:c>
      <x:c r="C181" s="3" t="str">
        <x:v>Iceland</x:v>
      </x:c>
      <x:c r="D181" s="13" t="n">
        <x:v>0</x:v>
      </x:c>
      <x:c r="E181" s="13" t="n">
        <x:v>0</x:v>
      </x:c>
      <x:c r="F181" s="13" t="n">
        <x:f>D181-E181</x:f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0</x:v>
      </x:c>
      <x:c r="L181" s="14" t="n">
        <x:v>0</x:v>
      </x:c>
      <x:c r="M181" s="13" t="n">
        <x:v>0</x:v>
      </x:c>
      <x:c r="N181" s="3" t="n">
        <x:v>0</x:v>
      </x:c>
      <x:c r="O181" s="13" t="str">
        <x:f>IF(G181=0,"n.a.",D181/G181)</x:f>
        <x:v>n.a.</x:v>
      </x:c>
      <x:c r="P181" s="15" t="str">
        <x:f>IF(D181=0,"n.a.",E181/D181)</x:f>
        <x:v>n.a.</x:v>
      </x:c>
    </x:row>
    <x:row r="182" ht="22" customHeight="1">
      <x:c r="A182" s="3"/>
      <x:c r="B182" s="3" t="str">
        <x:v>2011-03</x:v>
      </x:c>
      <x:c r="C182" s="3" t="str">
        <x:v>Israel</x:v>
      </x:c>
      <x:c r="D182" s="13" t="n">
        <x:v>0</x:v>
      </x:c>
      <x:c r="E182" s="13" t="n">
        <x:v>0</x:v>
      </x:c>
      <x:c r="F182" s="13" t="n">
        <x:f>D182-E182</x:f>
        <x:v>0</x:v>
      </x:c>
      <x:c r="G182" s="14" t="n">
        <x:v>0</x:v>
      </x:c>
      <x:c r="H182" s="14" t="n">
        <x:v>0</x:v>
      </x:c>
      <x:c r="I182" s="14" t="n">
        <x:v>0</x:v>
      </x:c>
      <x:c r="J182" s="14" t="n">
        <x:v>0</x:v>
      </x:c>
      <x:c r="K182" s="14" t="n">
        <x:v>0</x:v>
      </x:c>
      <x:c r="L182" s="14" t="n">
        <x:v>0</x:v>
      </x:c>
      <x:c r="M182" s="13" t="n">
        <x:v>0</x:v>
      </x:c>
      <x:c r="N182" s="3" t="n">
        <x:v>0</x:v>
      </x:c>
      <x:c r="O182" s="13" t="str">
        <x:f>IF(G182=0,"n.a.",D182/G182)</x:f>
        <x:v>n.a.</x:v>
      </x:c>
      <x:c r="P182" s="15" t="str">
        <x:f>IF(D182=0,"n.a.",E182/D182)</x:f>
        <x:v>n.a.</x:v>
      </x:c>
    </x:row>
    <x:row r="183" ht="22" customHeight="1">
      <x:c r="A183" s="3"/>
      <x:c r="B183" s="3" t="str">
        <x:v>2011-03</x:v>
      </x:c>
      <x:c r="C183" s="3" t="str">
        <x:v>Italy</x:v>
      </x:c>
      <x:c r="D183" s="13" t="n">
        <x:v>1676.81</x:v>
      </x:c>
      <x:c r="E183" s="13" t="n">
        <x:v>9.9</x:v>
      </x:c>
      <x:c r="F183" s="13" t="n">
        <x:f>D183-E183</x:f>
        <x:v>1666.9099999999999</x:v>
      </x:c>
      <x:c r="G183" s="14" t="n">
        <x:v>3</x:v>
      </x:c>
      <x:c r="H183" s="14" t="n">
        <x:v>1</x:v>
      </x:c>
      <x:c r="I183" s="14" t="n">
        <x:v>3</x:v>
      </x:c>
      <x:c r="J183" s="14" t="n">
        <x:v>0</x:v>
      </x:c>
      <x:c r="K183" s="14" t="n">
        <x:v>683</x:v>
      </x:c>
      <x:c r="L183" s="14" t="n">
        <x:v>2</x:v>
      </x:c>
      <x:c r="M183" s="13" t="n">
        <x:v>1676.81</x:v>
      </x:c>
      <x:c r="N183" s="3" t="n">
        <x:v>81</x:v>
      </x:c>
      <x:c r="O183" s="13" t="n">
        <x:f>IF(G183=0,"n.a.",D183/G183)</x:f>
        <x:v>558.9366666666666</x:v>
      </x:c>
      <x:c r="P183" s="15" t="n">
        <x:f>IF(D183=0,"n.a.",E183/D183)</x:f>
        <x:v>0.005904067843106852</x:v>
      </x:c>
    </x:row>
    <x:row r="184" ht="22" customHeight="1">
      <x:c r="A184" s="3"/>
      <x:c r="B184" s="3" t="str">
        <x:v>2011-03</x:v>
      </x:c>
      <x:c r="C184" s="3" t="str">
        <x:v>Japan</x:v>
      </x:c>
      <x:c r="D184" s="13" t="n">
        <x:v>48.9</x:v>
      </x:c>
      <x:c r="E184" s="13" t="n">
        <x:v>43.39</x:v>
      </x:c>
      <x:c r="F184" s="13" t="n">
        <x:f>D184-E184</x:f>
        <x:v>5.509999999999998</x:v>
      </x:c>
      <x:c r="G184" s="14" t="n">
        <x:v>3</x:v>
      </x:c>
      <x:c r="H184" s="14" t="n">
        <x:v>1</x:v>
      </x:c>
      <x:c r="I184" s="14" t="n">
        <x:v>3</x:v>
      </x:c>
      <x:c r="J184" s="14" t="n">
        <x:v>0</x:v>
      </x:c>
      <x:c r="K184" s="14" t="n">
        <x:v>21</x:v>
      </x:c>
      <x:c r="L184" s="14" t="n">
        <x:v>17</x:v>
      </x:c>
      <x:c r="M184" s="13" t="n">
        <x:v>48.9</x:v>
      </x:c>
      <x:c r="N184" s="3" t="n">
        <x:v>21</x:v>
      </x:c>
      <x:c r="O184" s="13" t="n">
        <x:f>IF(G184=0,"n.a.",D184/G184)</x:f>
        <x:v>16.3</x:v>
      </x:c>
      <x:c r="P184" s="15" t="n">
        <x:f>IF(D184=0,"n.a.",E184/D184)</x:f>
        <x:v>0.8873210633946831</x:v>
      </x:c>
    </x:row>
    <x:row r="185" ht="22" customHeight="1">
      <x:c r="A185" s="3"/>
      <x:c r="B185" s="3" t="str">
        <x:v>2011-03</x:v>
      </x:c>
      <x:c r="C185" s="3" t="str">
        <x:v>Lebanon</x:v>
      </x:c>
      <x:c r="D185" s="13" t="n">
        <x:v>0</x:v>
      </x:c>
      <x:c r="E185" s="13" t="n">
        <x:v>0</x:v>
      </x:c>
      <x:c r="F185" s="13" t="n">
        <x:f>D185-E185</x:f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0</x:v>
      </x:c>
      <x:c r="L185" s="14" t="n">
        <x:v>0</x:v>
      </x:c>
      <x:c r="M185" s="13" t="n">
        <x:v>0</x:v>
      </x:c>
      <x:c r="N185" s="3" t="n">
        <x:v>0</x:v>
      </x:c>
      <x:c r="O185" s="13" t="str">
        <x:f>IF(G185=0,"n.a.",D185/G185)</x:f>
        <x:v>n.a.</x:v>
      </x:c>
      <x:c r="P185" s="15" t="str">
        <x:f>IF(D185=0,"n.a.",E185/D185)</x:f>
        <x:v>n.a.</x:v>
      </x:c>
    </x:row>
    <x:row r="186" ht="22" customHeight="1">
      <x:c r="A186" s="3"/>
      <x:c r="B186" s="3" t="str">
        <x:v>2011-03</x:v>
      </x:c>
      <x:c r="C186" s="3" t="str">
        <x:v>Lithuania</x:v>
      </x:c>
      <x:c r="D186" s="13" t="n">
        <x:v>0</x:v>
      </x:c>
      <x:c r="E186" s="13" t="n">
        <x:v>0</x:v>
      </x:c>
      <x:c r="F186" s="13" t="n">
        <x:f>D186-E186</x:f>
        <x:v>0</x:v>
      </x:c>
      <x:c r="G186" s="14" t="n">
        <x:v>0</x:v>
      </x:c>
      <x:c r="H186" s="14" t="n">
        <x:v>0</x:v>
      </x:c>
      <x:c r="I186" s="14" t="n">
        <x:v>0</x:v>
      </x:c>
      <x:c r="J186" s="14" t="n">
        <x:v>0</x:v>
      </x:c>
      <x:c r="K186" s="14" t="n">
        <x:v>0</x:v>
      </x:c>
      <x:c r="L186" s="14" t="n">
        <x:v>0</x:v>
      </x:c>
      <x:c r="M186" s="13" t="n">
        <x:v>0</x:v>
      </x:c>
      <x:c r="N186" s="3" t="n">
        <x:v>0</x:v>
      </x:c>
      <x:c r="O186" s="13" t="str">
        <x:f>IF(G186=0,"n.a.",D186/G186)</x:f>
        <x:v>n.a.</x:v>
      </x:c>
      <x:c r="P186" s="15" t="str">
        <x:f>IF(D186=0,"n.a.",E186/D186)</x:f>
        <x:v>n.a.</x:v>
      </x:c>
    </x:row>
    <x:row r="187" ht="22" customHeight="1">
      <x:c r="A187" s="3"/>
      <x:c r="B187" s="3" t="str">
        <x:v>2011-03</x:v>
      </x:c>
      <x:c r="C187" s="3" t="str">
        <x:v>Malta</x:v>
      </x:c>
      <x:c r="D187" s="13" t="n">
        <x:v>0</x:v>
      </x:c>
      <x:c r="E187" s="13" t="n">
        <x:v>0</x:v>
      </x:c>
      <x:c r="F187" s="13" t="n">
        <x:f>D187-E187</x:f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0</x:v>
      </x:c>
      <x:c r="K187" s="14" t="n">
        <x:v>0</x:v>
      </x:c>
      <x:c r="L187" s="14" t="n">
        <x:v>0</x:v>
      </x:c>
      <x:c r="M187" s="13" t="n">
        <x:v>0</x:v>
      </x:c>
      <x:c r="N187" s="3" t="n">
        <x:v>0</x:v>
      </x:c>
      <x:c r="O187" s="13" t="str">
        <x:f>IF(G187=0,"n.a.",D187/G187)</x:f>
        <x:v>n.a.</x:v>
      </x:c>
      <x:c r="P187" s="15" t="str">
        <x:f>IF(D187=0,"n.a.",E187/D187)</x:f>
        <x:v>n.a.</x:v>
      </x:c>
    </x:row>
    <x:row r="188" ht="22" customHeight="1">
      <x:c r="A188" s="3"/>
      <x:c r="B188" s="3" t="str">
        <x:v>2011-03</x:v>
      </x:c>
      <x:c r="C188" s="3" t="str">
        <x:v>Netherlands</x:v>
      </x:c>
      <x:c r="D188" s="13" t="n">
        <x:v>22206.49</x:v>
      </x:c>
      <x:c r="E188" s="13" t="n">
        <x:v>0</x:v>
      </x:c>
      <x:c r="F188" s="13" t="n">
        <x:f>D188-E188</x:f>
        <x:v>22206.49</x:v>
      </x:c>
      <x:c r="G188" s="14" t="n">
        <x:v>8</x:v>
      </x:c>
      <x:c r="H188" s="14" t="n">
        <x:v>0</x:v>
      </x:c>
      <x:c r="I188" s="14" t="n">
        <x:v>4</x:v>
      </x:c>
      <x:c r="J188" s="14" t="n">
        <x:v>2</x:v>
      </x:c>
      <x:c r="K188" s="14" t="n">
        <x:v>14814</x:v>
      </x:c>
      <x:c r="L188" s="14" t="n">
        <x:v>0</x:v>
      </x:c>
      <x:c r="M188" s="13" t="n">
        <x:v>22206.49</x:v>
      </x:c>
      <x:c r="N188" s="3" t="n">
        <x:v>184</x:v>
      </x:c>
      <x:c r="O188" s="13" t="n">
        <x:f>IF(G188=0,"n.a.",D188/G188)</x:f>
        <x:v>2775.81125</x:v>
      </x:c>
      <x:c r="P188" s="15" t="n">
        <x:f>IF(D188=0,"n.a.",E188/D188)</x:f>
        <x:v>0</x:v>
      </x:c>
    </x:row>
    <x:row r="189" ht="22" customHeight="1">
      <x:c r="A189" s="3"/>
      <x:c r="B189" s="3" t="str">
        <x:v>2011-03</x:v>
      </x:c>
      <x:c r="C189" s="3" t="str">
        <x:v>Norway</x:v>
      </x:c>
      <x:c r="D189" s="13" t="n">
        <x:v>345.01</x:v>
      </x:c>
      <x:c r="E189" s="13" t="n">
        <x:v>120.33</x:v>
      </x:c>
      <x:c r="F189" s="13" t="n">
        <x:f>D189-E189</x:f>
        <x:v>224.68</x:v>
      </x:c>
      <x:c r="G189" s="14" t="n">
        <x:v>3</x:v>
      </x:c>
      <x:c r="H189" s="14" t="n">
        <x:v>1</x:v>
      </x:c>
      <x:c r="I189" s="14" t="n">
        <x:v>1</x:v>
      </x:c>
      <x:c r="J189" s="14" t="n">
        <x:v>1</x:v>
      </x:c>
      <x:c r="K189" s="14" t="n">
        <x:v>151</x:v>
      </x:c>
      <x:c r="L189" s="14" t="n">
        <x:v>63</x:v>
      </x:c>
      <x:c r="M189" s="13" t="n">
        <x:v>345.01</x:v>
      </x:c>
      <x:c r="N189" s="3" t="n">
        <x:v>25</x:v>
      </x:c>
      <x:c r="O189" s="13" t="n">
        <x:f>IF(G189=0,"n.a.",D189/G189)</x:f>
        <x:v>115.00333333333333</x:v>
      </x:c>
      <x:c r="P189" s="15" t="n">
        <x:f>IF(D189=0,"n.a.",E189/D189)</x:f>
        <x:v>0.348772499347845</x:v>
      </x:c>
    </x:row>
    <x:row r="190" ht="22" customHeight="1">
      <x:c r="A190" s="3"/>
      <x:c r="B190" s="3" t="str">
        <x:v>2011-03</x:v>
      </x:c>
      <x:c r="C190" s="3" t="str">
        <x:v>Poland</x:v>
      </x:c>
      <x:c r="D190" s="13" t="n">
        <x:v>317.78</x:v>
      </x:c>
      <x:c r="E190" s="13" t="n">
        <x:v>14.39</x:v>
      </x:c>
      <x:c r="F190" s="13" t="n">
        <x:f>D190-E190</x:f>
        <x:v>303.39</x:v>
      </x:c>
      <x:c r="G190" s="14" t="n">
        <x:v>1</x:v>
      </x:c>
      <x:c r="H190" s="14" t="n">
        <x:v>1</x:v>
      </x:c>
      <x:c r="I190" s="14" t="n">
        <x:v>1</x:v>
      </x:c>
      <x:c r="J190" s="14" t="n">
        <x:v>0</x:v>
      </x:c>
      <x:c r="K190" s="14" t="n">
        <x:v>162</x:v>
      </x:c>
      <x:c r="L190" s="14" t="n">
        <x:v>9</x:v>
      </x:c>
      <x:c r="M190" s="13" t="n">
        <x:v>317.78</x:v>
      </x:c>
      <x:c r="N190" s="3" t="n">
        <x:v>12</x:v>
      </x:c>
      <x:c r="O190" s="13" t="n">
        <x:f>IF(G190=0,"n.a.",D190/G190)</x:f>
        <x:v>317.78</x:v>
      </x:c>
      <x:c r="P190" s="15" t="n">
        <x:f>IF(D190=0,"n.a.",E190/D190)</x:f>
        <x:v>0.04528290011957959</x:v>
      </x:c>
    </x:row>
    <x:row r="191" ht="22" customHeight="1">
      <x:c r="A191" s="3"/>
      <x:c r="B191" s="3" t="str">
        <x:v>2011-03</x:v>
      </x:c>
      <x:c r="C191" s="3" t="str">
        <x:v>Portugal</x:v>
      </x:c>
      <x:c r="D191" s="13" t="n">
        <x:v>2520.85</x:v>
      </x:c>
      <x:c r="E191" s="13" t="n">
        <x:v>0</x:v>
      </x:c>
      <x:c r="F191" s="13" t="n">
        <x:f>D191-E191</x:f>
        <x:v>2520.85</x:v>
      </x:c>
      <x:c r="G191" s="14" t="n">
        <x:v>4</x:v>
      </x:c>
      <x:c r="H191" s="14" t="n">
        <x:v>0</x:v>
      </x:c>
      <x:c r="I191" s="14" t="n">
        <x:v>4</x:v>
      </x:c>
      <x:c r="J191" s="14" t="n">
        <x:v>0</x:v>
      </x:c>
      <x:c r="K191" s="14" t="n">
        <x:v>1620</x:v>
      </x:c>
      <x:c r="L191" s="14" t="n">
        <x:v>0</x:v>
      </x:c>
      <x:c r="M191" s="13" t="n">
        <x:v>2520.85</x:v>
      </x:c>
      <x:c r="N191" s="3" t="n">
        <x:v>110</x:v>
      </x:c>
      <x:c r="O191" s="13" t="n">
        <x:f>IF(G191=0,"n.a.",D191/G191)</x:f>
        <x:v>630.2125</x:v>
      </x:c>
      <x:c r="P191" s="15" t="n">
        <x:f>IF(D191=0,"n.a.",E191/D191)</x:f>
        <x:v>0</x:v>
      </x:c>
    </x:row>
    <x:row r="192" ht="22" customHeight="1">
      <x:c r="A192" s="3"/>
      <x:c r="B192" s="3" t="str">
        <x:v>2011-03</x:v>
      </x:c>
      <x:c r="C192" s="3" t="str">
        <x:v>RSA</x:v>
      </x:c>
      <x:c r="D192" s="13" t="n">
        <x:v>0</x:v>
      </x:c>
      <x:c r="E192" s="13" t="n">
        <x:v>0</x:v>
      </x:c>
      <x:c r="F192" s="13" t="n">
        <x:f>D192-E192</x:f>
        <x:v>0</x:v>
      </x:c>
      <x:c r="G192" s="14" t="n">
        <x:v>0</x:v>
      </x:c>
      <x:c r="H192" s="14" t="n">
        <x:v>0</x:v>
      </x:c>
      <x:c r="I192" s="14" t="n">
        <x:v>0</x:v>
      </x:c>
      <x:c r="J192" s="14" t="n">
        <x:v>0</x:v>
      </x:c>
      <x:c r="K192" s="14" t="n">
        <x:v>0</x:v>
      </x:c>
      <x:c r="L192" s="14" t="n">
        <x:v>0</x:v>
      </x:c>
      <x:c r="M192" s="13" t="n">
        <x:v>0</x:v>
      </x:c>
      <x:c r="N192" s="3" t="n">
        <x:v>0</x:v>
      </x:c>
      <x:c r="O192" s="13" t="str">
        <x:f>IF(G192=0,"n.a.",D192/G192)</x:f>
        <x:v>n.a.</x:v>
      </x:c>
      <x:c r="P192" s="15" t="str">
        <x:f>IF(D192=0,"n.a.",E192/D192)</x:f>
        <x:v>n.a.</x:v>
      </x:c>
    </x:row>
    <x:row r="193" ht="22" customHeight="1">
      <x:c r="A193" s="3"/>
      <x:c r="B193" s="3" t="str">
        <x:v>2011-03</x:v>
      </x:c>
      <x:c r="C193" s="3" t="str">
        <x:v>Saudi Arabia</x:v>
      </x:c>
      <x:c r="D193" s="13" t="n">
        <x:v>0</x:v>
      </x:c>
      <x:c r="E193" s="13" t="n">
        <x:v>14.75</x:v>
      </x:c>
      <x:c r="F193" s="13" t="n">
        <x:f>D193-E193</x:f>
        <x:v>-14.75</x:v>
      </x:c>
      <x:c r="G193" s="14" t="n">
        <x:v>0</x:v>
      </x:c>
      <x:c r="H193" s="14" t="n">
        <x:v>1</x:v>
      </x:c>
      <x:c r="I193" s="14" t="n">
        <x:v>0</x:v>
      </x:c>
      <x:c r="J193" s="14" t="n">
        <x:v>0</x:v>
      </x:c>
      <x:c r="K193" s="14" t="n">
        <x:v>0</x:v>
      </x:c>
      <x:c r="L193" s="14" t="n">
        <x:v>5</x:v>
      </x:c>
      <x:c r="M193" s="13" t="n">
        <x:v>0</x:v>
      </x:c>
      <x:c r="N193" s="3" t="n">
        <x:v>1</x:v>
      </x:c>
      <x:c r="O193" s="13" t="str">
        <x:f>IF(G193=0,"n.a.",D193/G193)</x:f>
        <x:v>n.a.</x:v>
      </x:c>
      <x:c r="P193" s="15" t="str">
        <x:f>IF(D193=0,"n.a.",E193/D193)</x:f>
        <x:v>n.a.</x:v>
      </x:c>
    </x:row>
    <x:row r="194" ht="22" customHeight="1">
      <x:c r="A194" s="3"/>
      <x:c r="B194" s="3" t="str">
        <x:v>2011-03</x:v>
      </x:c>
      <x:c r="C194" s="3" t="str">
        <x:v>Singapore</x:v>
      </x:c>
      <x:c r="D194" s="13" t="n">
        <x:v>0</x:v>
      </x:c>
      <x:c r="E194" s="13" t="n">
        <x:v>0</x:v>
      </x:c>
      <x:c r="F194" s="13" t="n">
        <x:f>D194-E194</x:f>
        <x:v>0</x:v>
      </x:c>
      <x:c r="G194" s="14" t="n">
        <x:v>0</x:v>
      </x:c>
      <x:c r="H194" s="14" t="n">
        <x:v>0</x:v>
      </x:c>
      <x:c r="I194" s="14" t="n">
        <x:v>0</x:v>
      </x:c>
      <x:c r="J194" s="14" t="n">
        <x:v>0</x:v>
      </x:c>
      <x:c r="K194" s="14" t="n">
        <x:v>0</x:v>
      </x:c>
      <x:c r="L194" s="14" t="n">
        <x:v>0</x:v>
      </x:c>
      <x:c r="M194" s="13" t="n">
        <x:v>0</x:v>
      </x:c>
      <x:c r="N194" s="3" t="n">
        <x:v>0</x:v>
      </x:c>
      <x:c r="O194" s="13" t="str">
        <x:f>IF(G194=0,"n.a.",D194/G194)</x:f>
        <x:v>n.a.</x:v>
      </x:c>
      <x:c r="P194" s="15" t="str">
        <x:f>IF(D194=0,"n.a.",E194/D194)</x:f>
        <x:v>n.a.</x:v>
      </x:c>
    </x:row>
    <x:row r="195" ht="22" customHeight="1">
      <x:c r="A195" s="3"/>
      <x:c r="B195" s="3" t="str">
        <x:v>2011-03</x:v>
      </x:c>
      <x:c r="C195" s="3" t="str">
        <x:v>Spain</x:v>
      </x:c>
      <x:c r="D195" s="13" t="n">
        <x:v>4775.15</x:v>
      </x:c>
      <x:c r="E195" s="13" t="n">
        <x:v>36.5</x:v>
      </x:c>
      <x:c r="F195" s="13" t="n">
        <x:f>D195-E195</x:f>
        <x:v>4738.65</x:v>
      </x:c>
      <x:c r="G195" s="14" t="n">
        <x:v>8</x:v>
      </x:c>
      <x:c r="H195" s="14" t="n">
        <x:v>1</x:v>
      </x:c>
      <x:c r="I195" s="14" t="n">
        <x:v>8</x:v>
      </x:c>
      <x:c r="J195" s="14" t="n">
        <x:v>0</x:v>
      </x:c>
      <x:c r="K195" s="14" t="n">
        <x:v>2524</x:v>
      </x:c>
      <x:c r="L195" s="14" t="n">
        <x:v>5</x:v>
      </x:c>
      <x:c r="M195" s="13" t="n">
        <x:v>4775.15</x:v>
      </x:c>
      <x:c r="N195" s="3" t="n">
        <x:v>198</x:v>
      </x:c>
      <x:c r="O195" s="13" t="n">
        <x:f>IF(G195=0,"n.a.",D195/G195)</x:f>
        <x:v>596.89375</x:v>
      </x:c>
      <x:c r="P195" s="15" t="n">
        <x:f>IF(D195=0,"n.a.",E195/D195)</x:f>
        <x:v>0.007643738940138007</x:v>
      </x:c>
    </x:row>
    <x:row r="196" ht="22" customHeight="1">
      <x:c r="A196" s="3"/>
      <x:c r="B196" s="3" t="str">
        <x:v>2011-03</x:v>
      </x:c>
      <x:c r="C196" s="3" t="str">
        <x:v>Sweden</x:v>
      </x:c>
      <x:c r="D196" s="13" t="n">
        <x:v>4680.58</x:v>
      </x:c>
      <x:c r="E196" s="13" t="n">
        <x:v>180</x:v>
      </x:c>
      <x:c r="F196" s="13" t="n">
        <x:f>D196-E196</x:f>
        <x:v>4500.58</x:v>
      </x:c>
      <x:c r="G196" s="14" t="n">
        <x:v>3</x:v>
      </x:c>
      <x:c r="H196" s="14" t="n">
        <x:v>1</x:v>
      </x:c>
      <x:c r="I196" s="14" t="n">
        <x:v>2</x:v>
      </x:c>
      <x:c r="J196" s="14" t="n">
        <x:v>1</x:v>
      </x:c>
      <x:c r="K196" s="14" t="n">
        <x:v>5406</x:v>
      </x:c>
      <x:c r="L196" s="14" t="n">
        <x:v>144</x:v>
      </x:c>
      <x:c r="M196" s="13" t="n">
        <x:v>4680.58</x:v>
      </x:c>
      <x:c r="N196" s="3" t="n">
        <x:v>35</x:v>
      </x:c>
      <x:c r="O196" s="13" t="n">
        <x:f>IF(G196=0,"n.a.",D196/G196)</x:f>
        <x:v>1560.1933333333334</x:v>
      </x:c>
      <x:c r="P196" s="15" t="n">
        <x:f>IF(D196=0,"n.a.",E196/D196)</x:f>
        <x:v>0.038456772451277405</x:v>
      </x:c>
    </x:row>
    <x:row r="197" ht="22" customHeight="1">
      <x:c r="A197" s="3"/>
      <x:c r="B197" s="3" t="str">
        <x:v>2011-03</x:v>
      </x:c>
      <x:c r="C197" s="3" t="str">
        <x:v>Switzerland</x:v>
      </x:c>
      <x:c r="D197" s="13" t="n">
        <x:v>1590.23</x:v>
      </x:c>
      <x:c r="E197" s="13" t="n">
        <x:v>0</x:v>
      </x:c>
      <x:c r="F197" s="13" t="n">
        <x:f>D197-E197</x:f>
        <x:v>1590.23</x:v>
      </x:c>
      <x:c r="G197" s="14" t="n">
        <x:v>3</x:v>
      </x:c>
      <x:c r="H197" s="14" t="n">
        <x:v>0</x:v>
      </x:c>
      <x:c r="I197" s="14" t="n">
        <x:v>3</x:v>
      </x:c>
      <x:c r="J197" s="14" t="n">
        <x:v>0</x:v>
      </x:c>
      <x:c r="K197" s="14" t="n">
        <x:v>979</x:v>
      </x:c>
      <x:c r="L197" s="14" t="n">
        <x:v>0</x:v>
      </x:c>
      <x:c r="M197" s="13" t="n">
        <x:v>1590.23</x:v>
      </x:c>
      <x:c r="N197" s="3" t="n">
        <x:v>55</x:v>
      </x:c>
      <x:c r="O197" s="13" t="n">
        <x:f>IF(G197=0,"n.a.",D197/G197)</x:f>
        <x:v>530.0766666666667</x:v>
      </x:c>
      <x:c r="P197" s="15" t="n">
        <x:f>IF(D197=0,"n.a.",E197/D197)</x:f>
        <x:v>0</x:v>
      </x:c>
    </x:row>
    <x:row r="198" ht="22" customHeight="1">
      <x:c r="A198" s="3"/>
      <x:c r="B198" s="3" t="str">
        <x:v>2011-03</x:v>
      </x:c>
      <x:c r="C198" s="3" t="str">
        <x:v>USA</x:v>
      </x:c>
      <x:c r="D198" s="13" t="n">
        <x:v>0</x:v>
      </x:c>
      <x:c r="E198" s="13" t="n">
        <x:v>0</x:v>
      </x:c>
      <x:c r="F198" s="13" t="n">
        <x:f>D198-E198</x:f>
        <x:v>0</x:v>
      </x:c>
      <x:c r="G198" s="14" t="n">
        <x:v>0</x:v>
      </x:c>
      <x:c r="H198" s="14" t="n">
        <x:v>0</x:v>
      </x:c>
      <x:c r="I198" s="14" t="n">
        <x:v>0</x:v>
      </x:c>
      <x:c r="J198" s="14" t="n">
        <x:v>0</x:v>
      </x:c>
      <x:c r="K198" s="14" t="n">
        <x:v>0</x:v>
      </x:c>
      <x:c r="L198" s="14" t="n">
        <x:v>0</x:v>
      </x:c>
      <x:c r="M198" s="13" t="n">
        <x:v>0</x:v>
      </x:c>
      <x:c r="N198" s="3" t="n">
        <x:v>0</x:v>
      </x:c>
      <x:c r="O198" s="13" t="str">
        <x:f>IF(G198=0,"n.a.",D198/G198)</x:f>
        <x:v>n.a.</x:v>
      </x:c>
      <x:c r="P198" s="15" t="str">
        <x:f>IF(D198=0,"n.a.",E198/D198)</x:f>
        <x:v>n.a.</x:v>
      </x:c>
    </x:row>
    <x:row r="199" ht="22" customHeight="1">
      <x:c r="A199" s="3"/>
      <x:c r="B199" s="3" t="str">
        <x:v>2011-03</x:v>
      </x:c>
      <x:c r="C199" s="3" t="str">
        <x:v>United Arab Emirates</x:v>
      </x:c>
      <x:c r="D199" s="13" t="n">
        <x:v>0</x:v>
      </x:c>
      <x:c r="E199" s="13" t="n">
        <x:v>0</x:v>
      </x:c>
      <x:c r="F199" s="13" t="n">
        <x:f>D199-E199</x:f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0</x:v>
      </x:c>
      <x:c r="K199" s="14" t="n">
        <x:v>0</x:v>
      </x:c>
      <x:c r="L199" s="14" t="n">
        <x:v>0</x:v>
      </x:c>
      <x:c r="M199" s="13" t="n">
        <x:v>0</x:v>
      </x:c>
      <x:c r="N199" s="3" t="n">
        <x:v>0</x:v>
      </x:c>
      <x:c r="O199" s="13" t="str">
        <x:f>IF(G199=0,"n.a.",D199/G199)</x:f>
        <x:v>n.a.</x:v>
      </x:c>
      <x:c r="P199" s="15" t="str">
        <x:f>IF(D199=0,"n.a.",E199/D199)</x:f>
        <x:v>n.a.</x:v>
      </x:c>
    </x:row>
    <x:row r="200" ht="22" customHeight="1">
      <x:c r="A200" s="3"/>
      <x:c r="B200" s="3" t="str">
        <x:v>2011-03</x:v>
      </x:c>
      <x:c r="C200" s="3" t="str">
        <x:v>United Kingdom</x:v>
      </x:c>
      <x:c r="D200" s="13" t="n">
        <x:v>572873.13</x:v>
      </x:c>
      <x:c r="E200" s="13" t="n">
        <x:v>9721.48</x:v>
      </x:c>
      <x:c r="F200" s="13" t="n">
        <x:f>D200-E200</x:f>
        <x:v>563151.65</x:v>
      </x:c>
      <x:c r="G200" s="14" t="n">
        <x:v>1302</x:v>
      </x:c>
      <x:c r="H200" s="14" t="n">
        <x:v>255</x:v>
      </x:c>
      <x:c r="I200" s="14" t="n">
        <x:v>879</x:v>
      </x:c>
      <x:c r="J200" s="14" t="n">
        <x:v>177</x:v>
      </x:c>
      <x:c r="K200" s="14" t="n">
        <x:v>304830</x:v>
      </x:c>
      <x:c r="L200" s="14" t="n">
        <x:v>3843</x:v>
      </x:c>
      <x:c r="M200" s="13" t="n">
        <x:v>466651.52</x:v>
      </x:c>
      <x:c r="N200" s="3" t="n">
        <x:v>33092</x:v>
      </x:c>
      <x:c r="O200" s="13" t="n">
        <x:f>IF(G200=0,"n.a.",D200/G200)</x:f>
        <x:v>439.99472350230417</x:v>
      </x:c>
      <x:c r="P200" s="15" t="n">
        <x:f>IF(D200=0,"n.a.",E200/D200)</x:f>
        <x:v>0.016969691002962556</x:v>
      </x:c>
    </x:row>
    <x:row r="201" ht="22" customHeight="1">
      <x:c r="A201" s="3"/>
      <x:c r="B201" s="3" t="str">
        <x:v>2011-03</x:v>
      </x:c>
      <x:c r="C201" s="3" t="str">
        <x:v>Unspecified</x:v>
      </x:c>
      <x:c r="D201" s="13" t="n">
        <x:v>0</x:v>
      </x:c>
      <x:c r="E201" s="13" t="n">
        <x:v>0</x:v>
      </x:c>
      <x:c r="F201" s="13" t="n">
        <x:f>D201-E201</x:f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0</x:v>
      </x:c>
      <x:c r="K201" s="14" t="n">
        <x:v>0</x:v>
      </x:c>
      <x:c r="L201" s="14" t="n">
        <x:v>0</x:v>
      </x:c>
      <x:c r="M201" s="13" t="n">
        <x:v>0</x:v>
      </x:c>
      <x:c r="N201" s="3" t="n">
        <x:v>0</x:v>
      </x:c>
      <x:c r="O201" s="13" t="str">
        <x:f>IF(G201=0,"n.a.",D201/G201)</x:f>
        <x:v>n.a.</x:v>
      </x:c>
      <x:c r="P201" s="15" t="str">
        <x:f>IF(D201=0,"n.a.",E201/D201)</x:f>
        <x:v>n.a.</x:v>
      </x:c>
    </x:row>
    <x:row r="202" ht="22" customHeight="1">
      <x:c r="A202" s="3"/>
      <x:c r="B202" s="3" t="str">
        <x:v>2011-04</x:v>
      </x:c>
      <x:c r="C202" s="3" t="str">
        <x:v>Todos</x:v>
      </x:c>
      <x:c r="D202" s="13" t="n">
        <x:v>516218.121</x:v>
      </x:c>
      <x:c r="E202" s="13" t="n">
        <x:v>33316.91</x:v>
      </x:c>
      <x:c r="F202" s="13" t="n">
        <x:f>D202-E202</x:f>
        <x:v>482901.211</x:v>
      </x:c>
      <x:c r="G202" s="14" t="n">
        <x:v>1235</x:v>
      </x:c>
      <x:c r="H202" s="14" t="n">
        <x:v>220</x:v>
      </x:c>
      <x:c r="I202" s="14" t="n">
        <x:v>853</x:v>
      </x:c>
      <x:c r="J202" s="14" t="n">
        <x:v>164</x:v>
      </x:c>
      <x:c r="K202" s="14" t="n">
        <x:v>308513</x:v>
      </x:c>
      <x:c r="L202" s="14" t="n">
        <x:v>13600</x:v>
      </x:c>
      <x:c r="M202" s="13" t="n">
        <x:v>455266.911</x:v>
      </x:c>
      <x:c r="N202" s="3" t="n">
        <x:v>29488</x:v>
      </x:c>
      <x:c r="O202" s="13" t="n">
        <x:f>IF(G202=0,"n.a.",D202/G202)</x:f>
        <x:v>417.9903813765182</x:v>
      </x:c>
      <x:c r="P202" s="15" t="n">
        <x:f>IF(D202=0,"n.a.",E202/D202)</x:f>
        <x:v>0.06454037284754675</x:v>
      </x:c>
    </x:row>
    <x:row r="203" ht="22" customHeight="1">
      <x:c r="A203" s="3"/>
      <x:c r="B203" s="3" t="str">
        <x:v>2011-04</x:v>
      </x:c>
      <x:c r="C203" s="3" t="str">
        <x:v>Australia</x:v>
      </x:c>
      <x:c r="D203" s="13" t="n">
        <x:v>421.6</x:v>
      </x:c>
      <x:c r="E203" s="13" t="n">
        <x:v>438.2</x:v>
      </x:c>
      <x:c r="F203" s="13" t="n">
        <x:f>D203-E203</x:f>
        <x:v>-16.599999999999966</x:v>
      </x:c>
      <x:c r="G203" s="14" t="n">
        <x:v>1</x:v>
      </x:c>
      <x:c r="H203" s="14" t="n">
        <x:v>2</x:v>
      </x:c>
      <x:c r="I203" s="14" t="n">
        <x:v>1</x:v>
      </x:c>
      <x:c r="J203" s="14" t="n">
        <x:v>0</x:v>
      </x:c>
      <x:c r="K203" s="14" t="n">
        <x:v>224</x:v>
      </x:c>
      <x:c r="L203" s="14" t="n">
        <x:v>108</x:v>
      </x:c>
      <x:c r="M203" s="13" t="n">
        <x:v>421.6</x:v>
      </x:c>
      <x:c r="N203" s="3" t="n">
        <x:v>19</x:v>
      </x:c>
      <x:c r="O203" s="13" t="n">
        <x:f>IF(G203=0,"n.a.",D203/G203)</x:f>
        <x:v>421.6</x:v>
      </x:c>
      <x:c r="P203" s="15" t="n">
        <x:f>IF(D203=0,"n.a.",E203/D203)</x:f>
        <x:v>1.0393738140417457</x:v>
      </x:c>
    </x:row>
    <x:row r="204" ht="22" customHeight="1">
      <x:c r="A204" s="3"/>
      <x:c r="B204" s="3" t="str">
        <x:v>2011-04</x:v>
      </x:c>
      <x:c r="C204" s="3" t="str">
        <x:v>Austria</x:v>
      </x:c>
      <x:c r="D204" s="13" t="n">
        <x:v>584.78</x:v>
      </x:c>
      <x:c r="E204" s="13" t="n">
        <x:v>0</x:v>
      </x:c>
      <x:c r="F204" s="13" t="n">
        <x:f>D204-E204</x:f>
        <x:v>584.78</x:v>
      </x:c>
      <x:c r="G204" s="14" t="n">
        <x:v>2</x:v>
      </x:c>
      <x:c r="H204" s="14" t="n">
        <x:v>0</x:v>
      </x:c>
      <x:c r="I204" s="14" t="n">
        <x:v>2</x:v>
      </x:c>
      <x:c r="J204" s="14" t="n">
        <x:v>0</x:v>
      </x:c>
      <x:c r="K204" s="14" t="n">
        <x:v>308</x:v>
      </x:c>
      <x:c r="L204" s="14" t="n">
        <x:v>0</x:v>
      </x:c>
      <x:c r="M204" s="13" t="n">
        <x:v>584.78</x:v>
      </x:c>
      <x:c r="N204" s="3" t="n">
        <x:v>24</x:v>
      </x:c>
      <x:c r="O204" s="13" t="n">
        <x:f>IF(G204=0,"n.a.",D204/G204)</x:f>
        <x:v>292.39</x:v>
      </x:c>
      <x:c r="P204" s="15" t="n">
        <x:f>IF(D204=0,"n.a.",E204/D204)</x:f>
        <x:v>0</x:v>
      </x:c>
    </x:row>
    <x:row r="205" ht="22" customHeight="1">
      <x:c r="A205" s="3"/>
      <x:c r="B205" s="3" t="str">
        <x:v>2011-04</x:v>
      </x:c>
      <x:c r="C205" s="3" t="str">
        <x:v>Bahrain</x:v>
      </x:c>
      <x:c r="D205" s="13" t="n">
        <x:v>0</x:v>
      </x:c>
      <x:c r="E205" s="13" t="n">
        <x:v>0</x:v>
      </x:c>
      <x:c r="F205" s="13" t="n">
        <x:f>D205-E205</x:f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0</x:v>
      </x:c>
      <x:c r="K205" s="14" t="n">
        <x:v>0</x:v>
      </x:c>
      <x:c r="L205" s="14" t="n">
        <x:v>0</x:v>
      </x:c>
      <x:c r="M205" s="13" t="n">
        <x:v>0</x:v>
      </x:c>
      <x:c r="N205" s="3" t="n">
        <x:v>0</x:v>
      </x:c>
      <x:c r="O205" s="13" t="str">
        <x:f>IF(G205=0,"n.a.",D205/G205)</x:f>
        <x:v>n.a.</x:v>
      </x:c>
      <x:c r="P205" s="15" t="str">
        <x:f>IF(D205=0,"n.a.",E205/D205)</x:f>
        <x:v>n.a.</x:v>
      </x:c>
    </x:row>
    <x:row r="206" ht="22" customHeight="1">
      <x:c r="A206" s="3"/>
      <x:c r="B206" s="3" t="str">
        <x:v>2011-04</x:v>
      </x:c>
      <x:c r="C206" s="3" t="str">
        <x:v>Belgium</x:v>
      </x:c>
      <x:c r="D206" s="13" t="n">
        <x:v>1788.48</x:v>
      </x:c>
      <x:c r="E206" s="13" t="n">
        <x:v>29.33</x:v>
      </x:c>
      <x:c r="F206" s="13" t="n">
        <x:f>D206-E206</x:f>
        <x:v>1759.15</x:v>
      </x:c>
      <x:c r="G206" s="14" t="n">
        <x:v>6</x:v>
      </x:c>
      <x:c r="H206" s="14" t="n">
        <x:v>2</x:v>
      </x:c>
      <x:c r="I206" s="14" t="n">
        <x:v>6</x:v>
      </x:c>
      <x:c r="J206" s="14" t="n">
        <x:v>0</x:v>
      </x:c>
      <x:c r="K206" s="14" t="n">
        <x:v>1170</x:v>
      </x:c>
      <x:c r="L206" s="14" t="n">
        <x:v>8</x:v>
      </x:c>
      <x:c r="M206" s="13" t="n">
        <x:v>1788.48</x:v>
      </x:c>
      <x:c r="N206" s="3" t="n">
        <x:v>116</x:v>
      </x:c>
      <x:c r="O206" s="13" t="n">
        <x:f>IF(G206=0,"n.a.",D206/G206)</x:f>
        <x:v>298.08</x:v>
      </x:c>
      <x:c r="P206" s="15" t="n">
        <x:f>IF(D206=0,"n.a.",E206/D206)</x:f>
        <x:v>0.016399400608337805</x:v>
      </x:c>
    </x:row>
    <x:row r="207" ht="22" customHeight="1">
      <x:c r="A207" s="3"/>
      <x:c r="B207" s="3" t="str">
        <x:v>2011-04</x:v>
      </x:c>
      <x:c r="C207" s="3" t="str">
        <x:v>Brazil</x:v>
      </x:c>
      <x:c r="D207" s="13" t="n">
        <x:v>1143.6</x:v>
      </x:c>
      <x:c r="E207" s="13" t="n">
        <x:v>0</x:v>
      </x:c>
      <x:c r="F207" s="13" t="n">
        <x:f>D207-E207</x:f>
        <x:v>1143.6</x:v>
      </x:c>
      <x:c r="G207" s="14" t="n">
        <x:v>1</x:v>
      </x:c>
      <x:c r="H207" s="14" t="n">
        <x:v>0</x:v>
      </x:c>
      <x:c r="I207" s="14" t="n">
        <x:v>1</x:v>
      </x:c>
      <x:c r="J207" s="14" t="n">
        <x:v>0</x:v>
      </x:c>
      <x:c r="K207" s="14" t="n">
        <x:v>356</x:v>
      </x:c>
      <x:c r="L207" s="14" t="n">
        <x:v>0</x:v>
      </x:c>
      <x:c r="M207" s="13" t="n">
        <x:v>1143.6</x:v>
      </x:c>
      <x:c r="N207" s="3" t="n">
        <x:v>32</x:v>
      </x:c>
      <x:c r="O207" s="13" t="n">
        <x:f>IF(G207=0,"n.a.",D207/G207)</x:f>
        <x:v>1143.6</x:v>
      </x:c>
      <x:c r="P207" s="15" t="n">
        <x:f>IF(D207=0,"n.a.",E207/D207)</x:f>
        <x:v>0</x:v>
      </x:c>
    </x:row>
    <x:row r="208" ht="22" customHeight="1">
      <x:c r="A208" s="3"/>
      <x:c r="B208" s="3" t="str">
        <x:v>2011-04</x:v>
      </x:c>
      <x:c r="C208" s="3" t="str">
        <x:v>Canada</x:v>
      </x:c>
      <x:c r="D208" s="13" t="n">
        <x:v>0</x:v>
      </x:c>
      <x:c r="E208" s="13" t="n">
        <x:v>0</x:v>
      </x:c>
      <x:c r="F208" s="13" t="n">
        <x:f>D208-E208</x:f>
        <x:v>0</x:v>
      </x:c>
      <x:c r="G208" s="14" t="n">
        <x:v>0</x:v>
      </x:c>
      <x:c r="H208" s="14" t="n">
        <x:v>0</x:v>
      </x:c>
      <x:c r="I208" s="14" t="n">
        <x:v>0</x:v>
      </x:c>
      <x:c r="J208" s="14" t="n">
        <x:v>0</x:v>
      </x:c>
      <x:c r="K208" s="14" t="n">
        <x:v>0</x:v>
      </x:c>
      <x:c r="L208" s="14" t="n">
        <x:v>0</x:v>
      </x:c>
      <x:c r="M208" s="13" t="n">
        <x:v>0</x:v>
      </x:c>
      <x:c r="N208" s="3" t="n">
        <x:v>0</x:v>
      </x:c>
      <x:c r="O208" s="13" t="str">
        <x:f>IF(G208=0,"n.a.",D208/G208)</x:f>
        <x:v>n.a.</x:v>
      </x:c>
      <x:c r="P208" s="15" t="str">
        <x:f>IF(D208=0,"n.a.",E208/D208)</x:f>
        <x:v>n.a.</x:v>
      </x:c>
    </x:row>
    <x:row r="209" ht="22" customHeight="1">
      <x:c r="A209" s="3"/>
      <x:c r="B209" s="3" t="str">
        <x:v>2011-04</x:v>
      </x:c>
      <x:c r="C209" s="3" t="str">
        <x:v>Channel Islands</x:v>
      </x:c>
      <x:c r="D209" s="13" t="n">
        <x:v>243</x:v>
      </x:c>
      <x:c r="E209" s="13" t="n">
        <x:v>0</x:v>
      </x:c>
      <x:c r="F209" s="13" t="n">
        <x:f>D209-E209</x:f>
        <x:v>243</x:v>
      </x:c>
      <x:c r="G209" s="14" t="n">
        <x:v>1</x:v>
      </x:c>
      <x:c r="H209" s="14" t="n">
        <x:v>0</x:v>
      </x:c>
      <x:c r="I209" s="14" t="n">
        <x:v>1</x:v>
      </x:c>
      <x:c r="J209" s="14" t="n">
        <x:v>0</x:v>
      </x:c>
      <x:c r="K209" s="14" t="n">
        <x:v>96</x:v>
      </x:c>
      <x:c r="L209" s="14" t="n">
        <x:v>0</x:v>
      </x:c>
      <x:c r="M209" s="13" t="n">
        <x:v>243</x:v>
      </x:c>
      <x:c r="N209" s="3" t="n">
        <x:v>8</x:v>
      </x:c>
      <x:c r="O209" s="13" t="n">
        <x:f>IF(G209=0,"n.a.",D209/G209)</x:f>
        <x:v>243</x:v>
      </x:c>
      <x:c r="P209" s="15" t="n">
        <x:f>IF(D209=0,"n.a.",E209/D209)</x:f>
        <x:v>0</x:v>
      </x:c>
    </x:row>
    <x:row r="210" ht="22" customHeight="1">
      <x:c r="A210" s="3"/>
      <x:c r="B210" s="3" t="str">
        <x:v>2011-04</x:v>
      </x:c>
      <x:c r="C210" s="3" t="str">
        <x:v>Cyprus</x:v>
      </x:c>
      <x:c r="D210" s="13" t="n">
        <x:v>0</x:v>
      </x:c>
      <x:c r="E210" s="13" t="n">
        <x:v>35.8</x:v>
      </x:c>
      <x:c r="F210" s="13" t="n">
        <x:f>D210-E210</x:f>
        <x:v>-35.8</x:v>
      </x:c>
      <x:c r="G210" s="14" t="n">
        <x:v>0</x:v>
      </x:c>
      <x:c r="H210" s="14" t="n">
        <x:v>1</x:v>
      </x:c>
      <x:c r="I210" s="14" t="n">
        <x:v>0</x:v>
      </x:c>
      <x:c r="J210" s="14" t="n">
        <x:v>0</x:v>
      </x:c>
      <x:c r="K210" s="14" t="n">
        <x:v>0</x:v>
      </x:c>
      <x:c r="L210" s="14" t="n">
        <x:v>4</x:v>
      </x:c>
      <x:c r="M210" s="13" t="n">
        <x:v>0</x:v>
      </x:c>
      <x:c r="N210" s="3" t="n">
        <x:v>2</x:v>
      </x:c>
      <x:c r="O210" s="13" t="str">
        <x:f>IF(G210=0,"n.a.",D210/G210)</x:f>
        <x:v>n.a.</x:v>
      </x:c>
      <x:c r="P210" s="15" t="str">
        <x:f>IF(D210=0,"n.a.",E210/D210)</x:f>
        <x:v>n.a.</x:v>
      </x:c>
    </x:row>
    <x:row r="211" ht="22" customHeight="1">
      <x:c r="A211" s="3"/>
      <x:c r="B211" s="3" t="str">
        <x:v>2011-04</x:v>
      </x:c>
      <x:c r="C211" s="3" t="str">
        <x:v>Czech Republic</x:v>
      </x:c>
      <x:c r="D211" s="13" t="n">
        <x:v>0</x:v>
      </x:c>
      <x:c r="E211" s="13" t="n">
        <x:v>57.51</x:v>
      </x:c>
      <x:c r="F211" s="13" t="n">
        <x:f>D211-E211</x:f>
        <x:v>-57.51</x:v>
      </x:c>
      <x:c r="G211" s="14" t="n">
        <x:v>0</x:v>
      </x:c>
      <x:c r="H211" s="14" t="n">
        <x:v>1</x:v>
      </x:c>
      <x:c r="I211" s="14" t="n">
        <x:v>0</x:v>
      </x:c>
      <x:c r="J211" s="14" t="n">
        <x:v>0</x:v>
      </x:c>
      <x:c r="K211" s="14" t="n">
        <x:v>0</x:v>
      </x:c>
      <x:c r="L211" s="14" t="n">
        <x:v>39</x:v>
      </x:c>
      <x:c r="M211" s="13" t="n">
        <x:v>0</x:v>
      </x:c>
      <x:c r="N211" s="3" t="n">
        <x:v>2</x:v>
      </x:c>
      <x:c r="O211" s="13" t="str">
        <x:f>IF(G211=0,"n.a.",D211/G211)</x:f>
        <x:v>n.a.</x:v>
      </x:c>
      <x:c r="P211" s="15" t="str">
        <x:f>IF(D211=0,"n.a.",E211/D211)</x:f>
        <x:v>n.a.</x:v>
      </x:c>
    </x:row>
    <x:row r="212" ht="22" customHeight="1">
      <x:c r="A212" s="3"/>
      <x:c r="B212" s="3" t="str">
        <x:v>2011-04</x:v>
      </x:c>
      <x:c r="C212" s="3" t="str">
        <x:v>Denmark</x:v>
      </x:c>
      <x:c r="D212" s="13" t="n">
        <x:v>0</x:v>
      </x:c>
      <x:c r="E212" s="13" t="n">
        <x:v>0</x:v>
      </x:c>
      <x:c r="F212" s="13" t="n">
        <x:f>D212-E212</x:f>
        <x:v>0</x:v>
      </x:c>
      <x:c r="G212" s="14" t="n">
        <x:v>0</x:v>
      </x:c>
      <x:c r="H212" s="14" t="n">
        <x:v>0</x:v>
      </x:c>
      <x:c r="I212" s="14" t="n">
        <x:v>0</x:v>
      </x:c>
      <x:c r="J212" s="14" t="n">
        <x:v>0</x:v>
      </x:c>
      <x:c r="K212" s="14" t="n">
        <x:v>0</x:v>
      </x:c>
      <x:c r="L212" s="14" t="n">
        <x:v>0</x:v>
      </x:c>
      <x:c r="M212" s="13" t="n">
        <x:v>0</x:v>
      </x:c>
      <x:c r="N212" s="3" t="n">
        <x:v>0</x:v>
      </x:c>
      <x:c r="O212" s="13" t="str">
        <x:f>IF(G212=0,"n.a.",D212/G212)</x:f>
        <x:v>n.a.</x:v>
      </x:c>
      <x:c r="P212" s="15" t="str">
        <x:f>IF(D212=0,"n.a.",E212/D212)</x:f>
        <x:v>n.a.</x:v>
      </x:c>
    </x:row>
    <x:row r="213" ht="22" customHeight="1">
      <x:c r="A213" s="3"/>
      <x:c r="B213" s="3" t="str">
        <x:v>2011-04</x:v>
      </x:c>
      <x:c r="C213" s="3" t="str">
        <x:v>EIRE</x:v>
      </x:c>
      <x:c r="D213" s="13" t="n">
        <x:v>7270.5</x:v>
      </x:c>
      <x:c r="E213" s="13" t="n">
        <x:v>0</x:v>
      </x:c>
      <x:c r="F213" s="13" t="n">
        <x:f>D213-E213</x:f>
        <x:v>7270.5</x:v>
      </x:c>
      <x:c r="G213" s="14" t="n">
        <x:v>11</x:v>
      </x:c>
      <x:c r="H213" s="14" t="n">
        <x:v>0</x:v>
      </x:c>
      <x:c r="I213" s="14" t="n">
        <x:v>2</x:v>
      </x:c>
      <x:c r="J213" s="14" t="n">
        <x:v>2</x:v>
      </x:c>
      <x:c r="K213" s="14" t="n">
        <x:v>4129</x:v>
      </x:c>
      <x:c r="L213" s="14" t="n">
        <x:v>0</x:v>
      </x:c>
      <x:c r="M213" s="13" t="n">
        <x:v>7270.5</x:v>
      </x:c>
      <x:c r="N213" s="3" t="n">
        <x:v>300</x:v>
      </x:c>
      <x:c r="O213" s="13" t="n">
        <x:f>IF(G213=0,"n.a.",D213/G213)</x:f>
        <x:v>660.9545454545455</x:v>
      </x:c>
      <x:c r="P213" s="15" t="n">
        <x:f>IF(D213=0,"n.a.",E213/D213)</x:f>
        <x:v>0</x:v>
      </x:c>
    </x:row>
    <x:row r="214" ht="22" customHeight="1">
      <x:c r="A214" s="3"/>
      <x:c r="B214" s="3" t="str">
        <x:v>2011-04</x:v>
      </x:c>
      <x:c r="C214" s="3" t="str">
        <x:v>European Community</x:v>
      </x:c>
      <x:c r="D214" s="13" t="n">
        <x:v>155.4</x:v>
      </x:c>
      <x:c r="E214" s="13" t="n">
        <x:v>0</x:v>
      </x:c>
      <x:c r="F214" s="13" t="n">
        <x:f>D214-E214</x:f>
        <x:v>155.4</x:v>
      </x:c>
      <x:c r="G214" s="14" t="n">
        <x:v>1</x:v>
      </x:c>
      <x:c r="H214" s="14" t="n">
        <x:v>0</x:v>
      </x:c>
      <x:c r="I214" s="14" t="n">
        <x:v>1</x:v>
      </x:c>
      <x:c r="J214" s="14" t="n">
        <x:v>0</x:v>
      </x:c>
      <x:c r="K214" s="14" t="n">
        <x:v>32</x:v>
      </x:c>
      <x:c r="L214" s="14" t="n">
        <x:v>0</x:v>
      </x:c>
      <x:c r="M214" s="13" t="n">
        <x:v>155.4</x:v>
      </x:c>
      <x:c r="N214" s="3" t="n">
        <x:v>10</x:v>
      </x:c>
      <x:c r="O214" s="13" t="n">
        <x:f>IF(G214=0,"n.a.",D214/G214)</x:f>
        <x:v>155.4</x:v>
      </x:c>
      <x:c r="P214" s="15" t="n">
        <x:f>IF(D214=0,"n.a.",E214/D214)</x:f>
        <x:v>0</x:v>
      </x:c>
    </x:row>
    <x:row r="215" ht="22" customHeight="1">
      <x:c r="A215" s="3"/>
      <x:c r="B215" s="3" t="str">
        <x:v>2011-04</x:v>
      </x:c>
      <x:c r="C215" s="3" t="str">
        <x:v>Finland</x:v>
      </x:c>
      <x:c r="D215" s="13" t="n">
        <x:v>1368.92</x:v>
      </x:c>
      <x:c r="E215" s="13" t="n">
        <x:v>22.11</x:v>
      </x:c>
      <x:c r="F215" s="13" t="n">
        <x:f>D215-E215</x:f>
        <x:v>1346.8100000000002</x:v>
      </x:c>
      <x:c r="G215" s="14" t="n">
        <x:v>4</x:v>
      </x:c>
      <x:c r="H215" s="14" t="n">
        <x:v>1</x:v>
      </x:c>
      <x:c r="I215" s="14" t="n">
        <x:v>4</x:v>
      </x:c>
      <x:c r="J215" s="14" t="n">
        <x:v>0</x:v>
      </x:c>
      <x:c r="K215" s="14" t="n">
        <x:v>810</x:v>
      </x:c>
      <x:c r="L215" s="14" t="n">
        <x:v>29</x:v>
      </x:c>
      <x:c r="M215" s="13" t="n">
        <x:v>1368.92</x:v>
      </x:c>
      <x:c r="N215" s="3" t="n">
        <x:v>38</x:v>
      </x:c>
      <x:c r="O215" s="13" t="n">
        <x:f>IF(G215=0,"n.a.",D215/G215)</x:f>
        <x:v>342.23</x:v>
      </x:c>
      <x:c r="P215" s="15" t="n">
        <x:f>IF(D215=0,"n.a.",E215/D215)</x:f>
        <x:v>0.016151418636589428</x:v>
      </x:c>
    </x:row>
    <x:row r="216" ht="22" customHeight="1">
      <x:c r="A216" s="3"/>
      <x:c r="B216" s="3" t="str">
        <x:v>2011-04</x:v>
      </x:c>
      <x:c r="C216" s="3" t="str">
        <x:v>France</x:v>
      </x:c>
      <x:c r="D216" s="13" t="n">
        <x:v>3899.31</x:v>
      </x:c>
      <x:c r="E216" s="13" t="n">
        <x:v>133.1</x:v>
      </x:c>
      <x:c r="F216" s="13" t="n">
        <x:f>D216-E216</x:f>
        <x:v>3766.21</x:v>
      </x:c>
      <x:c r="G216" s="14" t="n">
        <x:v>12</x:v>
      </x:c>
      <x:c r="H216" s="14" t="n">
        <x:v>4</x:v>
      </x:c>
      <x:c r="I216" s="14" t="n">
        <x:v>12</x:v>
      </x:c>
      <x:c r="J216" s="14" t="n">
        <x:v>0</x:v>
      </x:c>
      <x:c r="K216" s="14" t="n">
        <x:v>2265</x:v>
      </x:c>
      <x:c r="L216" s="14" t="n">
        <x:v>66</x:v>
      </x:c>
      <x:c r="M216" s="13" t="n">
        <x:v>3899.31</x:v>
      </x:c>
      <x:c r="N216" s="3" t="n">
        <x:v>221</x:v>
      </x:c>
      <x:c r="O216" s="13" t="n">
        <x:f>IF(G216=0,"n.a.",D216/G216)</x:f>
        <x:v>324.9425</x:v>
      </x:c>
      <x:c r="P216" s="15" t="n">
        <x:f>IF(D216=0,"n.a.",E216/D216)</x:f>
        <x:v>0.03413424426372871</x:v>
      </x:c>
    </x:row>
    <x:row r="217" ht="22" customHeight="1">
      <x:c r="A217" s="3"/>
      <x:c r="B217" s="3" t="str">
        <x:v>2011-04</x:v>
      </x:c>
      <x:c r="C217" s="3" t="str">
        <x:v>Germany</x:v>
      </x:c>
      <x:c r="D217" s="13" t="n">
        <x:v>10994.79</x:v>
      </x:c>
      <x:c r="E217" s="13" t="n">
        <x:v>129.42</x:v>
      </x:c>
      <x:c r="F217" s="13" t="n">
        <x:f>D217-E217</x:f>
        <x:v>10865.37</x:v>
      </x:c>
      <x:c r="G217" s="14" t="n">
        <x:v>22</x:v>
      </x:c>
      <x:c r="H217" s="14" t="n">
        <x:v>7</x:v>
      </x:c>
      <x:c r="I217" s="14" t="n">
        <x:v>19</x:v>
      </x:c>
      <x:c r="J217" s="14" t="n">
        <x:v>2</x:v>
      </x:c>
      <x:c r="K217" s="14" t="n">
        <x:v>5702</x:v>
      </x:c>
      <x:c r="L217" s="14" t="n">
        <x:v>71</x:v>
      </x:c>
      <x:c r="M217" s="13" t="n">
        <x:v>10994.79</x:v>
      </x:c>
      <x:c r="N217" s="3" t="n">
        <x:v>442</x:v>
      </x:c>
      <x:c r="O217" s="13" t="n">
        <x:f>IF(G217=0,"n.a.",D217/G217)</x:f>
        <x:v>499.76318181818186</x:v>
      </x:c>
      <x:c r="P217" s="15" t="n">
        <x:f>IF(D217=0,"n.a.",E217/D217)</x:f>
        <x:v>0.01177102973317362</x:v>
      </x:c>
    </x:row>
    <x:row r="218" ht="22" customHeight="1">
      <x:c r="A218" s="3"/>
      <x:c r="B218" s="3" t="str">
        <x:v>2011-04</x:v>
      </x:c>
      <x:c r="C218" s="3" t="str">
        <x:v>Greece</x:v>
      </x:c>
      <x:c r="D218" s="13" t="n">
        <x:v>509.74</x:v>
      </x:c>
      <x:c r="E218" s="13" t="n">
        <x:v>0</x:v>
      </x:c>
      <x:c r="F218" s="13" t="n">
        <x:f>D218-E218</x:f>
        <x:v>509.74</x:v>
      </x:c>
      <x:c r="G218" s="14" t="n">
        <x:v>1</x:v>
      </x:c>
      <x:c r="H218" s="14" t="n">
        <x:v>0</x:v>
      </x:c>
      <x:c r="I218" s="14" t="n">
        <x:v>1</x:v>
      </x:c>
      <x:c r="J218" s="14" t="n">
        <x:v>0</x:v>
      </x:c>
      <x:c r="K218" s="14" t="n">
        <x:v>260</x:v>
      </x:c>
      <x:c r="L218" s="14" t="n">
        <x:v>0</x:v>
      </x:c>
      <x:c r="M218" s="13" t="n">
        <x:v>509.74</x:v>
      </x:c>
      <x:c r="N218" s="3" t="n">
        <x:v>30</x:v>
      </x:c>
      <x:c r="O218" s="13" t="n">
        <x:f>IF(G218=0,"n.a.",D218/G218)</x:f>
        <x:v>509.74</x:v>
      </x:c>
      <x:c r="P218" s="15" t="n">
        <x:f>IF(D218=0,"n.a.",E218/D218)</x:f>
        <x:v>0</x:v>
      </x:c>
    </x:row>
    <x:row r="219" ht="22" customHeight="1">
      <x:c r="A219" s="3"/>
      <x:c r="B219" s="3" t="str">
        <x:v>2011-04</x:v>
      </x:c>
      <x:c r="C219" s="3" t="str">
        <x:v>Hong Kong</x:v>
      </x:c>
      <x:c r="D219" s="13" t="n">
        <x:v>1539.64</x:v>
      </x:c>
      <x:c r="E219" s="13" t="n">
        <x:v>0</x:v>
      </x:c>
      <x:c r="F219" s="13" t="n">
        <x:f>D219-E219</x:f>
        <x:v>1539.64</x:v>
      </x:c>
      <x:c r="G219" s="14" t="n">
        <x:v>1</x:v>
      </x:c>
      <x:c r="H219" s="14" t="n">
        <x:v>0</x:v>
      </x:c>
      <x:c r="I219" s="14" t="n">
        <x:v>0</x:v>
      </x:c>
      <x:c r="J219" s="14" t="n">
        <x:v>0</x:v>
      </x:c>
      <x:c r="K219" s="14" t="n">
        <x:v>732</x:v>
      </x:c>
      <x:c r="L219" s="14" t="n">
        <x:v>0</x:v>
      </x:c>
      <x:c r="M219" s="13" t="n">
        <x:v>0</x:v>
      </x:c>
      <x:c r="N219" s="3" t="n">
        <x:v>32</x:v>
      </x:c>
      <x:c r="O219" s="13" t="n">
        <x:f>IF(G219=0,"n.a.",D219/G219)</x:f>
        <x:v>1539.64</x:v>
      </x:c>
      <x:c r="P219" s="15" t="n">
        <x:f>IF(D219=0,"n.a.",E219/D219)</x:f>
        <x:v>0</x:v>
      </x:c>
    </x:row>
    <x:row r="220" ht="22" customHeight="1">
      <x:c r="A220" s="3"/>
      <x:c r="B220" s="3" t="str">
        <x:v>2011-04</x:v>
      </x:c>
      <x:c r="C220" s="3" t="str">
        <x:v>Iceland</x:v>
      </x:c>
      <x:c r="D220" s="13" t="n">
        <x:v>636.25</x:v>
      </x:c>
      <x:c r="E220" s="13" t="n">
        <x:v>0</x:v>
      </x:c>
      <x:c r="F220" s="13" t="n">
        <x:f>D220-E220</x:f>
        <x:v>636.25</x:v>
      </x:c>
      <x:c r="G220" s="14" t="n">
        <x:v>1</x:v>
      </x:c>
      <x:c r="H220" s="14" t="n">
        <x:v>0</x:v>
      </x:c>
      <x:c r="I220" s="14" t="n">
        <x:v>1</x:v>
      </x:c>
      <x:c r="J220" s="14" t="n">
        <x:v>0</x:v>
      </x:c>
      <x:c r="K220" s="14" t="n">
        <x:v>483</x:v>
      </x:c>
      <x:c r="L220" s="14" t="n">
        <x:v>0</x:v>
      </x:c>
      <x:c r="M220" s="13" t="n">
        <x:v>636.25</x:v>
      </x:c>
      <x:c r="N220" s="3" t="n">
        <x:v>24</x:v>
      </x:c>
      <x:c r="O220" s="13" t="n">
        <x:f>IF(G220=0,"n.a.",D220/G220)</x:f>
        <x:v>636.25</x:v>
      </x:c>
      <x:c r="P220" s="15" t="n">
        <x:f>IF(D220=0,"n.a.",E220/D220)</x:f>
        <x:v>0</x:v>
      </x:c>
    </x:row>
    <x:row r="221" ht="22" customHeight="1">
      <x:c r="A221" s="3"/>
      <x:c r="B221" s="3" t="str">
        <x:v>2011-04</x:v>
      </x:c>
      <x:c r="C221" s="3" t="str">
        <x:v>Israel</x:v>
      </x:c>
      <x:c r="D221" s="13" t="n">
        <x:v>110</x:v>
      </x:c>
      <x:c r="E221" s="13" t="n">
        <x:v>0</x:v>
      </x:c>
      <x:c r="F221" s="13" t="n">
        <x:f>D221-E221</x:f>
        <x:v>110</x:v>
      </x:c>
      <x:c r="G221" s="14" t="n">
        <x:v>1</x:v>
      </x:c>
      <x:c r="H221" s="14" t="n">
        <x:v>0</x:v>
      </x:c>
      <x:c r="I221" s="14" t="n">
        <x:v>0</x:v>
      </x:c>
      <x:c r="J221" s="14" t="n">
        <x:v>0</x:v>
      </x:c>
      <x:c r="K221" s="14" t="n">
        <x:v>30</x:v>
      </x:c>
      <x:c r="L221" s="14" t="n">
        <x:v>0</x:v>
      </x:c>
      <x:c r="M221" s="13" t="n">
        <x:v>0</x:v>
      </x:c>
      <x:c r="N221" s="3" t="n">
        <x:v>6</x:v>
      </x:c>
      <x:c r="O221" s="13" t="n">
        <x:f>IF(G221=0,"n.a.",D221/G221)</x:f>
        <x:v>110</x:v>
      </x:c>
      <x:c r="P221" s="15" t="n">
        <x:f>IF(D221=0,"n.a.",E221/D221)</x:f>
        <x:v>0</x:v>
      </x:c>
    </x:row>
    <x:row r="222" ht="22" customHeight="1">
      <x:c r="A222" s="3"/>
      <x:c r="B222" s="3" t="str">
        <x:v>2011-04</x:v>
      </x:c>
      <x:c r="C222" s="3" t="str">
        <x:v>Italy</x:v>
      </x:c>
      <x:c r="D222" s="13" t="n">
        <x:v>737.83</x:v>
      </x:c>
      <x:c r="E222" s="13" t="n">
        <x:v>0</x:v>
      </x:c>
      <x:c r="F222" s="13" t="n">
        <x:f>D222-E222</x:f>
        <x:v>737.83</x:v>
      </x:c>
      <x:c r="G222" s="14" t="n">
        <x:v>2</x:v>
      </x:c>
      <x:c r="H222" s="14" t="n">
        <x:v>0</x:v>
      </x:c>
      <x:c r="I222" s="14" t="n">
        <x:v>2</x:v>
      </x:c>
      <x:c r="J222" s="14" t="n">
        <x:v>0</x:v>
      </x:c>
      <x:c r="K222" s="14" t="n">
        <x:v>653</x:v>
      </x:c>
      <x:c r="L222" s="14" t="n">
        <x:v>0</x:v>
      </x:c>
      <x:c r="M222" s="13" t="n">
        <x:v>737.83</x:v>
      </x:c>
      <x:c r="N222" s="3" t="n">
        <x:v>22</x:v>
      </x:c>
      <x:c r="O222" s="13" t="n">
        <x:f>IF(G222=0,"n.a.",D222/G222)</x:f>
        <x:v>368.915</x:v>
      </x:c>
      <x:c r="P222" s="15" t="n">
        <x:f>IF(D222=0,"n.a.",E222/D222)</x:f>
        <x:v>0</x:v>
      </x:c>
    </x:row>
    <x:row r="223" ht="22" customHeight="1">
      <x:c r="A223" s="3"/>
      <x:c r="B223" s="3" t="str">
        <x:v>2011-04</x:v>
      </x:c>
      <x:c r="C223" s="3" t="str">
        <x:v>Japan</x:v>
      </x:c>
      <x:c r="D223" s="13" t="n">
        <x:v>6548.5</x:v>
      </x:c>
      <x:c r="E223" s="13" t="n">
        <x:v>1676.67</x:v>
      </x:c>
      <x:c r="F223" s="13" t="n">
        <x:f>D223-E223</x:f>
        <x:v>4871.83</x:v>
      </x:c>
      <x:c r="G223" s="14" t="n">
        <x:v>2</x:v>
      </x:c>
      <x:c r="H223" s="14" t="n">
        <x:v>2</x:v>
      </x:c>
      <x:c r="I223" s="14" t="n">
        <x:v>2</x:v>
      </x:c>
      <x:c r="J223" s="14" t="n">
        <x:v>0</x:v>
      </x:c>
      <x:c r="K223" s="14" t="n">
        <x:v>8058</x:v>
      </x:c>
      <x:c r="L223" s="14" t="n">
        <x:v>657</x:v>
      </x:c>
      <x:c r="M223" s="13" t="n">
        <x:v>6548.5</x:v>
      </x:c>
      <x:c r="N223" s="3" t="n">
        <x:v>55</x:v>
      </x:c>
      <x:c r="O223" s="13" t="n">
        <x:f>IF(G223=0,"n.a.",D223/G223)</x:f>
        <x:v>3274.25</x:v>
      </x:c>
      <x:c r="P223" s="15" t="n">
        <x:f>IF(D223=0,"n.a.",E223/D223)</x:f>
        <x:v>0.25603878750858977</x:v>
      </x:c>
    </x:row>
    <x:row r="224" ht="22" customHeight="1">
      <x:c r="A224" s="3"/>
      <x:c r="B224" s="3" t="str">
        <x:v>2011-04</x:v>
      </x:c>
      <x:c r="C224" s="3" t="str">
        <x:v>Lebanon</x:v>
      </x:c>
      <x:c r="D224" s="13" t="n">
        <x:v>0</x:v>
      </x:c>
      <x:c r="E224" s="13" t="n">
        <x:v>0</x:v>
      </x:c>
      <x:c r="F224" s="13" t="n">
        <x:f>D224-E224</x:f>
        <x:v>0</x:v>
      </x:c>
      <x:c r="G224" s="14" t="n">
        <x:v>0</x:v>
      </x:c>
      <x:c r="H224" s="14" t="n">
        <x:v>0</x:v>
      </x:c>
      <x:c r="I224" s="14" t="n">
        <x:v>0</x:v>
      </x:c>
      <x:c r="J224" s="14" t="n">
        <x:v>0</x:v>
      </x:c>
      <x:c r="K224" s="14" t="n">
        <x:v>0</x:v>
      </x:c>
      <x:c r="L224" s="14" t="n">
        <x:v>0</x:v>
      </x:c>
      <x:c r="M224" s="13" t="n">
        <x:v>0</x:v>
      </x:c>
      <x:c r="N224" s="3" t="n">
        <x:v>0</x:v>
      </x:c>
      <x:c r="O224" s="13" t="str">
        <x:f>IF(G224=0,"n.a.",D224/G224)</x:f>
        <x:v>n.a.</x:v>
      </x:c>
      <x:c r="P224" s="15" t="str">
        <x:f>IF(D224=0,"n.a.",E224/D224)</x:f>
        <x:v>n.a.</x:v>
      </x:c>
    </x:row>
    <x:row r="225" ht="22" customHeight="1">
      <x:c r="A225" s="3"/>
      <x:c r="B225" s="3" t="str">
        <x:v>2011-04</x:v>
      </x:c>
      <x:c r="C225" s="3" t="str">
        <x:v>Lithuania</x:v>
      </x:c>
      <x:c r="D225" s="13" t="n">
        <x:v>0</x:v>
      </x:c>
      <x:c r="E225" s="13" t="n">
        <x:v>0</x:v>
      </x:c>
      <x:c r="F225" s="13" t="n">
        <x:f>D225-E225</x:f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0</x:v>
      </x:c>
      <x:c r="L225" s="14" t="n">
        <x:v>0</x:v>
      </x:c>
      <x:c r="M225" s="13" t="n">
        <x:v>0</x:v>
      </x:c>
      <x:c r="N225" s="3" t="n">
        <x:v>0</x:v>
      </x:c>
      <x:c r="O225" s="13" t="str">
        <x:f>IF(G225=0,"n.a.",D225/G225)</x:f>
        <x:v>n.a.</x:v>
      </x:c>
      <x:c r="P225" s="15" t="str">
        <x:f>IF(D225=0,"n.a.",E225/D225)</x:f>
        <x:v>n.a.</x:v>
      </x:c>
    </x:row>
    <x:row r="226" ht="22" customHeight="1">
      <x:c r="A226" s="3"/>
      <x:c r="B226" s="3" t="str">
        <x:v>2011-04</x:v>
      </x:c>
      <x:c r="C226" s="3" t="str">
        <x:v>Malta</x:v>
      </x:c>
      <x:c r="D226" s="13" t="n">
        <x:v>0</x:v>
      </x:c>
      <x:c r="E226" s="13" t="n">
        <x:v>0</x:v>
      </x:c>
      <x:c r="F226" s="13" t="n">
        <x:f>D226-E226</x:f>
        <x:v>0</x:v>
      </x:c>
      <x:c r="G226" s="14" t="n">
        <x:v>0</x:v>
      </x:c>
      <x:c r="H226" s="14" t="n">
        <x:v>0</x:v>
      </x:c>
      <x:c r="I226" s="14" t="n">
        <x:v>0</x:v>
      </x:c>
      <x:c r="J226" s="14" t="n">
        <x:v>0</x:v>
      </x:c>
      <x:c r="K226" s="14" t="n">
        <x:v>0</x:v>
      </x:c>
      <x:c r="L226" s="14" t="n">
        <x:v>0</x:v>
      </x:c>
      <x:c r="M226" s="13" t="n">
        <x:v>0</x:v>
      </x:c>
      <x:c r="N226" s="3" t="n">
        <x:v>0</x:v>
      </x:c>
      <x:c r="O226" s="13" t="str">
        <x:f>IF(G226=0,"n.a.",D226/G226)</x:f>
        <x:v>n.a.</x:v>
      </x:c>
      <x:c r="P226" s="15" t="str">
        <x:f>IF(D226=0,"n.a.",E226/D226)</x:f>
        <x:v>n.a.</x:v>
      </x:c>
    </x:row>
    <x:row r="227" ht="22" customHeight="1">
      <x:c r="A227" s="3"/>
      <x:c r="B227" s="3" t="str">
        <x:v>2011-04</x:v>
      </x:c>
      <x:c r="C227" s="3" t="str">
        <x:v>Netherlands</x:v>
      </x:c>
      <x:c r="D227" s="13" t="n">
        <x:v>2886.56</x:v>
      </x:c>
      <x:c r="E227" s="13" t="n">
        <x:v>0</x:v>
      </x:c>
      <x:c r="F227" s="13" t="n">
        <x:f>D227-E227</x:f>
        <x:v>2886.56</x:v>
      </x:c>
      <x:c r="G227" s="14" t="n">
        <x:v>3</x:v>
      </x:c>
      <x:c r="H227" s="14" t="n">
        <x:v>0</x:v>
      </x:c>
      <x:c r="I227" s="14" t="n">
        <x:v>1</x:v>
      </x:c>
      <x:c r="J227" s="14" t="n">
        <x:v>1</x:v>
      </x:c>
      <x:c r="K227" s="14" t="n">
        <x:v>1762</x:v>
      </x:c>
      <x:c r="L227" s="14" t="n">
        <x:v>0</x:v>
      </x:c>
      <x:c r="M227" s="13" t="n">
        <x:v>2886.56</x:v>
      </x:c>
      <x:c r="N227" s="3" t="n">
        <x:v>23</x:v>
      </x:c>
      <x:c r="O227" s="13" t="n">
        <x:f>IF(G227=0,"n.a.",D227/G227)</x:f>
        <x:v>962.1866666666666</x:v>
      </x:c>
      <x:c r="P227" s="15" t="n">
        <x:f>IF(D227=0,"n.a.",E227/D227)</x:f>
        <x:v>0</x:v>
      </x:c>
    </x:row>
    <x:row r="228" ht="22" customHeight="1">
      <x:c r="A228" s="3"/>
      <x:c r="B228" s="3" t="str">
        <x:v>2011-04</x:v>
      </x:c>
      <x:c r="C228" s="3" t="str">
        <x:v>Norway</x:v>
      </x:c>
      <x:c r="D228" s="13" t="n">
        <x:v>0</x:v>
      </x:c>
      <x:c r="E228" s="13" t="n">
        <x:v>0</x:v>
      </x:c>
      <x:c r="F228" s="13" t="n">
        <x:f>D228-E228</x:f>
        <x:v>0</x:v>
      </x:c>
      <x:c r="G228" s="14" t="n">
        <x:v>0</x:v>
      </x:c>
      <x:c r="H228" s="14" t="n">
        <x:v>0</x:v>
      </x:c>
      <x:c r="I228" s="14" t="n">
        <x:v>0</x:v>
      </x:c>
      <x:c r="J228" s="14" t="n">
        <x:v>0</x:v>
      </x:c>
      <x:c r="K228" s="14" t="n">
        <x:v>0</x:v>
      </x:c>
      <x:c r="L228" s="14" t="n">
        <x:v>0</x:v>
      </x:c>
      <x:c r="M228" s="13" t="n">
        <x:v>0</x:v>
      </x:c>
      <x:c r="N228" s="3" t="n">
        <x:v>0</x:v>
      </x:c>
      <x:c r="O228" s="13" t="str">
        <x:f>IF(G228=0,"n.a.",D228/G228)</x:f>
        <x:v>n.a.</x:v>
      </x:c>
      <x:c r="P228" s="15" t="str">
        <x:f>IF(D228=0,"n.a.",E228/D228)</x:f>
        <x:v>n.a.</x:v>
      </x:c>
    </x:row>
    <x:row r="229" ht="22" customHeight="1">
      <x:c r="A229" s="3"/>
      <x:c r="B229" s="3" t="str">
        <x:v>2011-04</x:v>
      </x:c>
      <x:c r="C229" s="3" t="str">
        <x:v>Poland</x:v>
      </x:c>
      <x:c r="D229" s="13" t="n">
        <x:v>705.84</x:v>
      </x:c>
      <x:c r="E229" s="13" t="n">
        <x:v>0</x:v>
      </x:c>
      <x:c r="F229" s="13" t="n">
        <x:f>D229-E229</x:f>
        <x:v>705.84</x:v>
      </x:c>
      <x:c r="G229" s="14" t="n">
        <x:v>1</x:v>
      </x:c>
      <x:c r="H229" s="14" t="n">
        <x:v>0</x:v>
      </x:c>
      <x:c r="I229" s="14" t="n">
        <x:v>1</x:v>
      </x:c>
      <x:c r="J229" s="14" t="n">
        <x:v>0</x:v>
      </x:c>
      <x:c r="K229" s="14" t="n">
        <x:v>432</x:v>
      </x:c>
      <x:c r="L229" s="14" t="n">
        <x:v>0</x:v>
      </x:c>
      <x:c r="M229" s="13" t="n">
        <x:v>705.84</x:v>
      </x:c>
      <x:c r="N229" s="3" t="n">
        <x:v>25</x:v>
      </x:c>
      <x:c r="O229" s="13" t="n">
        <x:f>IF(G229=0,"n.a.",D229/G229)</x:f>
        <x:v>705.84</x:v>
      </x:c>
      <x:c r="P229" s="15" t="n">
        <x:f>IF(D229=0,"n.a.",E229/D229)</x:f>
        <x:v>0</x:v>
      </x:c>
    </x:row>
    <x:row r="230" ht="22" customHeight="1">
      <x:c r="A230" s="3"/>
      <x:c r="B230" s="3" t="str">
        <x:v>2011-04</x:v>
      </x:c>
      <x:c r="C230" s="3" t="str">
        <x:v>Portugal</x:v>
      </x:c>
      <x:c r="D230" s="13" t="n">
        <x:v>1687.75</x:v>
      </x:c>
      <x:c r="E230" s="13" t="n">
        <x:v>0</x:v>
      </x:c>
      <x:c r="F230" s="13" t="n">
        <x:f>D230-E230</x:f>
        <x:v>1687.75</x:v>
      </x:c>
      <x:c r="G230" s="14" t="n">
        <x:v>2</x:v>
      </x:c>
      <x:c r="H230" s="14" t="n">
        <x:v>0</x:v>
      </x:c>
      <x:c r="I230" s="14" t="n">
        <x:v>2</x:v>
      </x:c>
      <x:c r="J230" s="14" t="n">
        <x:v>0</x:v>
      </x:c>
      <x:c r="K230" s="14" t="n">
        <x:v>951</x:v>
      </x:c>
      <x:c r="L230" s="14" t="n">
        <x:v>0</x:v>
      </x:c>
      <x:c r="M230" s="13" t="n">
        <x:v>1687.75</x:v>
      </x:c>
      <x:c r="N230" s="3" t="n">
        <x:v>77</x:v>
      </x:c>
      <x:c r="O230" s="13" t="n">
        <x:f>IF(G230=0,"n.a.",D230/G230)</x:f>
        <x:v>843.875</x:v>
      </x:c>
      <x:c r="P230" s="15" t="n">
        <x:f>IF(D230=0,"n.a.",E230/D230)</x:f>
        <x:v>0</x:v>
      </x:c>
    </x:row>
    <x:row r="231" ht="22" customHeight="1">
      <x:c r="A231" s="3"/>
      <x:c r="B231" s="3" t="str">
        <x:v>2011-04</x:v>
      </x:c>
      <x:c r="C231" s="3" t="str">
        <x:v>RSA</x:v>
      </x:c>
      <x:c r="D231" s="13" t="n">
        <x:v>0</x:v>
      </x:c>
      <x:c r="E231" s="13" t="n">
        <x:v>0</x:v>
      </x:c>
      <x:c r="F231" s="13" t="n">
        <x:f>D231-E231</x:f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0</x:v>
      </x:c>
      <x:c r="L231" s="14" t="n">
        <x:v>0</x:v>
      </x:c>
      <x:c r="M231" s="13" t="n">
        <x:v>0</x:v>
      </x:c>
      <x:c r="N231" s="3" t="n">
        <x:v>0</x:v>
      </x:c>
      <x:c r="O231" s="13" t="str">
        <x:f>IF(G231=0,"n.a.",D231/G231)</x:f>
        <x:v>n.a.</x:v>
      </x:c>
      <x:c r="P231" s="15" t="str">
        <x:f>IF(D231=0,"n.a.",E231/D231)</x:f>
        <x:v>n.a.</x:v>
      </x:c>
    </x:row>
    <x:row r="232" ht="22" customHeight="1">
      <x:c r="A232" s="3"/>
      <x:c r="B232" s="3" t="str">
        <x:v>2011-04</x:v>
      </x:c>
      <x:c r="C232" s="3" t="str">
        <x:v>Saudi Arabia</x:v>
      </x:c>
      <x:c r="D232" s="13" t="n">
        <x:v>0</x:v>
      </x:c>
      <x:c r="E232" s="13" t="n">
        <x:v>0</x:v>
      </x:c>
      <x:c r="F232" s="13" t="n">
        <x:f>D232-E232</x:f>
        <x:v>0</x:v>
      </x:c>
      <x:c r="G232" s="14" t="n">
        <x:v>0</x:v>
      </x:c>
      <x:c r="H232" s="14" t="n">
        <x:v>0</x:v>
      </x:c>
      <x:c r="I232" s="14" t="n">
        <x:v>0</x:v>
      </x:c>
      <x:c r="J232" s="14" t="n">
        <x:v>0</x:v>
      </x:c>
      <x:c r="K232" s="14" t="n">
        <x:v>0</x:v>
      </x:c>
      <x:c r="L232" s="14" t="n">
        <x:v>0</x:v>
      </x:c>
      <x:c r="M232" s="13" t="n">
        <x:v>0</x:v>
      </x:c>
      <x:c r="N232" s="3" t="n">
        <x:v>0</x:v>
      </x:c>
      <x:c r="O232" s="13" t="str">
        <x:f>IF(G232=0,"n.a.",D232/G232)</x:f>
        <x:v>n.a.</x:v>
      </x:c>
      <x:c r="P232" s="15" t="str">
        <x:f>IF(D232=0,"n.a.",E232/D232)</x:f>
        <x:v>n.a.</x:v>
      </x:c>
    </x:row>
    <x:row r="233" ht="22" customHeight="1">
      <x:c r="A233" s="3"/>
      <x:c r="B233" s="3" t="str">
        <x:v>2011-04</x:v>
      </x:c>
      <x:c r="C233" s="3" t="str">
        <x:v>Singapore</x:v>
      </x:c>
      <x:c r="D233" s="13" t="n">
        <x:v>2118.74</x:v>
      </x:c>
      <x:c r="E233" s="13" t="n">
        <x:v>0</x:v>
      </x:c>
      <x:c r="F233" s="13" t="n">
        <x:f>D233-E233</x:f>
        <x:v>2118.74</x:v>
      </x:c>
      <x:c r="G233" s="14" t="n">
        <x:v>1</x:v>
      </x:c>
      <x:c r="H233" s="14" t="n">
        <x:v>0</x:v>
      </x:c>
      <x:c r="I233" s="14" t="n">
        <x:v>1</x:v>
      </x:c>
      <x:c r="J233" s="14" t="n">
        <x:v>0</x:v>
      </x:c>
      <x:c r="K233" s="14" t="n">
        <x:v>1384</x:v>
      </x:c>
      <x:c r="L233" s="14" t="n">
        <x:v>0</x:v>
      </x:c>
      <x:c r="M233" s="13" t="n">
        <x:v>2118.74</x:v>
      </x:c>
      <x:c r="N233" s="3" t="n">
        <x:v>52</x:v>
      </x:c>
      <x:c r="O233" s="13" t="n">
        <x:f>IF(G233=0,"n.a.",D233/G233)</x:f>
        <x:v>2118.74</x:v>
      </x:c>
      <x:c r="P233" s="15" t="n">
        <x:f>IF(D233=0,"n.a.",E233/D233)</x:f>
        <x:v>0</x:v>
      </x:c>
    </x:row>
    <x:row r="234" ht="22" customHeight="1">
      <x:c r="A234" s="3"/>
      <x:c r="B234" s="3" t="str">
        <x:v>2011-04</x:v>
      </x:c>
      <x:c r="C234" s="3" t="str">
        <x:v>Spain</x:v>
      </x:c>
      <x:c r="D234" s="13" t="n">
        <x:v>1645.65</x:v>
      </x:c>
      <x:c r="E234" s="13" t="n">
        <x:v>0</x:v>
      </x:c>
      <x:c r="F234" s="13" t="n">
        <x:f>D234-E234</x:f>
        <x:v>1645.65</x:v>
      </x:c>
      <x:c r="G234" s="14" t="n">
        <x:v>3</x:v>
      </x:c>
      <x:c r="H234" s="14" t="n">
        <x:v>0</x:v>
      </x:c>
      <x:c r="I234" s="14" t="n">
        <x:v>3</x:v>
      </x:c>
      <x:c r="J234" s="14" t="n">
        <x:v>0</x:v>
      </x:c>
      <x:c r="K234" s="14" t="n">
        <x:v>948</x:v>
      </x:c>
      <x:c r="L234" s="14" t="n">
        <x:v>0</x:v>
      </x:c>
      <x:c r="M234" s="13" t="n">
        <x:v>1645.65</x:v>
      </x:c>
      <x:c r="N234" s="3" t="n">
        <x:v>94</x:v>
      </x:c>
      <x:c r="O234" s="13" t="n">
        <x:f>IF(G234=0,"n.a.",D234/G234)</x:f>
        <x:v>548.5500000000001</x:v>
      </x:c>
      <x:c r="P234" s="15" t="n">
        <x:f>IF(D234=0,"n.a.",E234/D234)</x:f>
        <x:v>0</x:v>
      </x:c>
    </x:row>
    <x:row r="235" ht="22" customHeight="1">
      <x:c r="A235" s="3"/>
      <x:c r="B235" s="3" t="str">
        <x:v>2011-04</x:v>
      </x:c>
      <x:c r="C235" s="3" t="str">
        <x:v>Sweden</x:v>
      </x:c>
      <x:c r="D235" s="13" t="n">
        <x:v>649.1</x:v>
      </x:c>
      <x:c r="E235" s="13" t="n">
        <x:v>0</x:v>
      </x:c>
      <x:c r="F235" s="13" t="n">
        <x:f>D235-E235</x:f>
        <x:v>649.1</x:v>
      </x:c>
      <x:c r="G235" s="14" t="n">
        <x:v>2</x:v>
      </x:c>
      <x:c r="H235" s="14" t="n">
        <x:v>0</x:v>
      </x:c>
      <x:c r="I235" s="14" t="n">
        <x:v>2</x:v>
      </x:c>
      <x:c r="J235" s="14" t="n">
        <x:v>0</x:v>
      </x:c>
      <x:c r="K235" s="14" t="n">
        <x:v>306</x:v>
      </x:c>
      <x:c r="L235" s="14" t="n">
        <x:v>0</x:v>
      </x:c>
      <x:c r="M235" s="13" t="n">
        <x:v>649.1</x:v>
      </x:c>
      <x:c r="N235" s="3" t="n">
        <x:v>32</x:v>
      </x:c>
      <x:c r="O235" s="13" t="n">
        <x:f>IF(G235=0,"n.a.",D235/G235)</x:f>
        <x:v>324.55</x:v>
      </x:c>
      <x:c r="P235" s="15" t="n">
        <x:f>IF(D235=0,"n.a.",E235/D235)</x:f>
        <x:v>0</x:v>
      </x:c>
    </x:row>
    <x:row r="236" ht="22" customHeight="1">
      <x:c r="A236" s="3"/>
      <x:c r="B236" s="3" t="str">
        <x:v>2011-04</x:v>
      </x:c>
      <x:c r="C236" s="3" t="str">
        <x:v>Switzerland</x:v>
      </x:c>
      <x:c r="D236" s="13" t="n">
        <x:v>1756.94</x:v>
      </x:c>
      <x:c r="E236" s="13" t="n">
        <x:v>254.75</x:v>
      </x:c>
      <x:c r="F236" s="13" t="n">
        <x:f>D236-E236</x:f>
        <x:v>1502.19</x:v>
      </x:c>
      <x:c r="G236" s="14" t="n">
        <x:v>4</x:v>
      </x:c>
      <x:c r="H236" s="14" t="n">
        <x:v>3</x:v>
      </x:c>
      <x:c r="I236" s="14" t="n">
        <x:v>2</x:v>
      </x:c>
      <x:c r="J236" s="14" t="n">
        <x:v>1</x:v>
      </x:c>
      <x:c r="K236" s="14" t="n">
        <x:v>878</x:v>
      </x:c>
      <x:c r="L236" s="14" t="n">
        <x:v>109</x:v>
      </x:c>
      <x:c r="M236" s="13" t="n">
        <x:v>1756.94</x:v>
      </x:c>
      <x:c r="N236" s="3" t="n">
        <x:v>79</x:v>
      </x:c>
      <x:c r="O236" s="13" t="n">
        <x:f>IF(G236=0,"n.a.",D236/G236)</x:f>
        <x:v>439.235</x:v>
      </x:c>
      <x:c r="P236" s="15" t="n">
        <x:f>IF(D236=0,"n.a.",E236/D236)</x:f>
        <x:v>0.14499641422017825</x:v>
      </x:c>
    </x:row>
    <x:row r="237" ht="22" customHeight="1">
      <x:c r="A237" s="3"/>
      <x:c r="B237" s="3" t="str">
        <x:v>2011-04</x:v>
      </x:c>
      <x:c r="C237" s="3" t="str">
        <x:v>USA</x:v>
      </x:c>
      <x:c r="D237" s="13" t="n">
        <x:v>383.95</x:v>
      </x:c>
      <x:c r="E237" s="13" t="n">
        <x:v>0</x:v>
      </x:c>
      <x:c r="F237" s="13" t="n">
        <x:f>D237-E237</x:f>
        <x:v>383.95</x:v>
      </x:c>
      <x:c r="G237" s="14" t="n">
        <x:v>1</x:v>
      </x:c>
      <x:c r="H237" s="14" t="n">
        <x:v>0</x:v>
      </x:c>
      <x:c r="I237" s="14" t="n">
        <x:v>1</x:v>
      </x:c>
      <x:c r="J237" s="14" t="n">
        <x:v>0</x:v>
      </x:c>
      <x:c r="K237" s="14" t="n">
        <x:v>137</x:v>
      </x:c>
      <x:c r="L237" s="14" t="n">
        <x:v>0</x:v>
      </x:c>
      <x:c r="M237" s="13" t="n">
        <x:v>383.95</x:v>
      </x:c>
      <x:c r="N237" s="3" t="n">
        <x:v>22</x:v>
      </x:c>
      <x:c r="O237" s="13" t="n">
        <x:f>IF(G237=0,"n.a.",D237/G237)</x:f>
        <x:v>383.95</x:v>
      </x:c>
      <x:c r="P237" s="15" t="n">
        <x:f>IF(D237=0,"n.a.",E237/D237)</x:f>
        <x:v>0</x:v>
      </x:c>
    </x:row>
    <x:row r="238" ht="22" customHeight="1">
      <x:c r="A238" s="3"/>
      <x:c r="B238" s="3" t="str">
        <x:v>2011-04</x:v>
      </x:c>
      <x:c r="C238" s="3" t="str">
        <x:v>United Arab Emirates</x:v>
      </x:c>
      <x:c r="D238" s="13" t="n">
        <x:v>0</x:v>
      </x:c>
      <x:c r="E238" s="13" t="n">
        <x:v>0</x:v>
      </x:c>
      <x:c r="F238" s="13" t="n">
        <x:f>D238-E238</x:f>
        <x:v>0</x:v>
      </x:c>
      <x:c r="G238" s="14" t="n">
        <x:v>0</x:v>
      </x:c>
      <x:c r="H238" s="14" t="n">
        <x:v>0</x:v>
      </x:c>
      <x:c r="I238" s="14" t="n">
        <x:v>0</x:v>
      </x:c>
      <x:c r="J238" s="14" t="n">
        <x:v>0</x:v>
      </x:c>
      <x:c r="K238" s="14" t="n">
        <x:v>0</x:v>
      </x:c>
      <x:c r="L238" s="14" t="n">
        <x:v>0</x:v>
      </x:c>
      <x:c r="M238" s="13" t="n">
        <x:v>0</x:v>
      </x:c>
      <x:c r="N238" s="3" t="n">
        <x:v>0</x:v>
      </x:c>
      <x:c r="O238" s="13" t="str">
        <x:f>IF(G238=0,"n.a.",D238/G238)</x:f>
        <x:v>n.a.</x:v>
      </x:c>
      <x:c r="P238" s="15" t="str">
        <x:f>IF(D238=0,"n.a.",E238/D238)</x:f>
        <x:v>n.a.</x:v>
      </x:c>
    </x:row>
    <x:row r="239" ht="22" customHeight="1">
      <x:c r="A239" s="3"/>
      <x:c r="B239" s="3" t="str">
        <x:v>2011-04</x:v>
      </x:c>
      <x:c r="C239" s="3" t="str">
        <x:v>United Kingdom</x:v>
      </x:c>
      <x:c r="D239" s="13" t="n">
        <x:v>466132.151</x:v>
      </x:c>
      <x:c r="E239" s="13" t="n">
        <x:v>30540.02</x:v>
      </x:c>
      <x:c r="F239" s="13" t="n">
        <x:f>D239-E239</x:f>
        <x:v>435592.131</x:v>
      </x:c>
      <x:c r="G239" s="14" t="n">
        <x:v>1148</x:v>
      </x:c>
      <x:c r="H239" s="14" t="n">
        <x:v>197</x:v>
      </x:c>
      <x:c r="I239" s="14" t="n">
        <x:v>784</x:v>
      </x:c>
      <x:c r="J239" s="14" t="n">
        <x:v>158</x:v>
      </x:c>
      <x:c r="K239" s="14" t="n">
        <x:v>276125</x:v>
      </x:c>
      <x:c r="L239" s="14" t="n">
        <x:v>12509</x:v>
      </x:c>
      <x:c r="M239" s="13" t="n">
        <x:v>406830.581</x:v>
      </x:c>
      <x:c r="N239" s="3" t="n">
        <x:v>27685</x:v>
      </x:c>
      <x:c r="O239" s="13" t="n">
        <x:f>IF(G239=0,"n.a.",D239/G239)</x:f>
        <x:v>406.03845905923345</x:v>
      </x:c>
      <x:c r="P239" s="15" t="n">
        <x:f>IF(D239=0,"n.a.",E239/D239)</x:f>
        <x:v>0.06551794364426924</x:v>
      </x:c>
    </x:row>
    <x:row r="240" ht="22" customHeight="1">
      <x:c r="A240" s="3"/>
      <x:c r="B240" s="3" t="str">
        <x:v>2011-04</x:v>
      </x:c>
      <x:c r="C240" s="3" t="str">
        <x:v>Unspecified</x:v>
      </x:c>
      <x:c r="D240" s="13" t="n">
        <x:v>299.1</x:v>
      </x:c>
      <x:c r="E240" s="13" t="n">
        <x:v>0</x:v>
      </x:c>
      <x:c r="F240" s="13" t="n">
        <x:f>D240-E240</x:f>
        <x:v>299.1</x:v>
      </x:c>
      <x:c r="G240" s="14" t="n">
        <x:v>1</x:v>
      </x:c>
      <x:c r="H240" s="14" t="n">
        <x:v>0</x:v>
      </x:c>
      <x:c r="I240" s="14" t="n">
        <x:v>1</x:v>
      </x:c>
      <x:c r="J240" s="14" t="n">
        <x:v>0</x:v>
      </x:c>
      <x:c r="K240" s="14" t="n">
        <x:v>282</x:v>
      </x:c>
      <x:c r="L240" s="14" t="n">
        <x:v>0</x:v>
      </x:c>
      <x:c r="M240" s="13" t="n">
        <x:v>299.1</x:v>
      </x:c>
      <x:c r="N240" s="3" t="n">
        <x:v>16</x:v>
      </x:c>
      <x:c r="O240" s="13" t="n">
        <x:f>IF(G240=0,"n.a.",D240/G240)</x:f>
        <x:v>299.1</x:v>
      </x:c>
      <x:c r="P240" s="15" t="n">
        <x:f>IF(D240=0,"n.a.",E240/D240)</x:f>
        <x:v>0</x:v>
      </x:c>
    </x:row>
    <x:row r="241" ht="22" customHeight="1">
      <x:c r="A241" s="3"/>
      <x:c r="B241" s="3" t="str">
        <x:v>2011-05</x:v>
      </x:c>
      <x:c r="C241" s="3" t="str">
        <x:v>Todos</x:v>
      </x:c>
      <x:c r="D241" s="13" t="n">
        <x:v>741192.41</x:v>
      </x:c>
      <x:c r="E241" s="13" t="n">
        <x:v>8948.23</x:v>
      </x:c>
      <x:c r="F241" s="13" t="n">
        <x:f>D241-E241</x:f>
        <x:v>732244.18</x:v>
      </x:c>
      <x:c r="G241" s="14" t="n">
        <x:v>1668</x:v>
      </x:c>
      <x:c r="H241" s="14" t="n">
        <x:v>267</x:v>
      </x:c>
      <x:c r="I241" s="14" t="n">
        <x:v>1054</x:v>
      </x:c>
      <x:c r="J241" s="14" t="n">
        <x:v>275</x:v>
      </x:c>
      <x:c r="K241" s="14" t="n">
        <x:v>395390</x:v>
      </x:c>
      <x:c r="L241" s="14" t="n">
        <x:v>4057</x:v>
      </x:c>
      <x:c r="M241" s="13" t="n">
        <x:v>660481.9</x:v>
      </x:c>
      <x:c r="N241" s="3" t="n">
        <x:v>36537</x:v>
      </x:c>
      <x:c r="O241" s="13" t="n">
        <x:f>IF(G241=0,"n.a.",D241/G241)</x:f>
        <x:v>444.35995803357315</x:v>
      </x:c>
      <x:c r="P241" s="15" t="n">
        <x:f>IF(D241=0,"n.a.",E241/D241)</x:f>
        <x:v>0.012072749098982273</x:v>
      </x:c>
    </x:row>
    <x:row r="242" ht="22" customHeight="1">
      <x:c r="A242" s="3"/>
      <x:c r="B242" s="3" t="str">
        <x:v>2011-05</x:v>
      </x:c>
      <x:c r="C242" s="3" t="str">
        <x:v>Australia</x:v>
      </x:c>
      <x:c r="D242" s="13" t="n">
        <x:v>13638.41</x:v>
      </x:c>
      <x:c r="E242" s="13" t="n">
        <x:v>9.9</x:v>
      </x:c>
      <x:c r="F242" s="13" t="n">
        <x:f>D242-E242</x:f>
        <x:v>13628.51</x:v>
      </x:c>
      <x:c r="G242" s="14" t="n">
        <x:v>4</x:v>
      </x:c>
      <x:c r="H242" s="14" t="n">
        <x:v>1</x:v>
      </x:c>
      <x:c r="I242" s="14" t="n">
        <x:v>2</x:v>
      </x:c>
      <x:c r="J242" s="14" t="n">
        <x:v>2</x:v>
      </x:c>
      <x:c r="K242" s="14" t="n">
        <x:v>8999</x:v>
      </x:c>
      <x:c r="L242" s="14" t="n">
        <x:v>6</x:v>
      </x:c>
      <x:c r="M242" s="13" t="n">
        <x:v>13638.41</x:v>
      </x:c>
      <x:c r="N242" s="3" t="n">
        <x:v>117</x:v>
      </x:c>
      <x:c r="O242" s="13" t="n">
        <x:f>IF(G242=0,"n.a.",D242/G242)</x:f>
        <x:v>3409.6025</x:v>
      </x:c>
      <x:c r="P242" s="15" t="n">
        <x:f>IF(D242=0,"n.a.",E242/D242)</x:f>
        <x:v>0.0007258910679470702</x:v>
      </x:c>
    </x:row>
    <x:row r="243" ht="22" customHeight="1">
      <x:c r="A243" s="3"/>
      <x:c r="B243" s="3" t="str">
        <x:v>2011-05</x:v>
      </x:c>
      <x:c r="C243" s="3" t="str">
        <x:v>Austria</x:v>
      </x:c>
      <x:c r="D243" s="13" t="n">
        <x:v>1049.43</x:v>
      </x:c>
      <x:c r="E243" s="13" t="n">
        <x:v>0</x:v>
      </x:c>
      <x:c r="F243" s="13" t="n">
        <x:f>D243-E243</x:f>
        <x:v>1049.43</x:v>
      </x:c>
      <x:c r="G243" s="14" t="n">
        <x:v>2</x:v>
      </x:c>
      <x:c r="H243" s="14" t="n">
        <x:v>0</x:v>
      </x:c>
      <x:c r="I243" s="14" t="n">
        <x:v>2</x:v>
      </x:c>
      <x:c r="J243" s="14" t="n">
        <x:v>0</x:v>
      </x:c>
      <x:c r="K243" s="14" t="n">
        <x:v>471</x:v>
      </x:c>
      <x:c r="L243" s="14" t="n">
        <x:v>0</x:v>
      </x:c>
      <x:c r="M243" s="13" t="n">
        <x:v>1049.43</x:v>
      </x:c>
      <x:c r="N243" s="3" t="n">
        <x:v>49</x:v>
      </x:c>
      <x:c r="O243" s="13" t="n">
        <x:f>IF(G243=0,"n.a.",D243/G243)</x:f>
        <x:v>524.715</x:v>
      </x:c>
      <x:c r="P243" s="15" t="n">
        <x:f>IF(D243=0,"n.a.",E243/D243)</x:f>
        <x:v>0</x:v>
      </x:c>
    </x:row>
    <x:row r="244" ht="22" customHeight="1">
      <x:c r="A244" s="3"/>
      <x:c r="B244" s="3" t="str">
        <x:v>2011-05</x:v>
      </x:c>
      <x:c r="C244" s="3" t="str">
        <x:v>Bahrain</x:v>
      </x:c>
      <x:c r="D244" s="13" t="n">
        <x:v>548.4</x:v>
      </x:c>
      <x:c r="E244" s="13" t="n">
        <x:v>0</x:v>
      </x:c>
      <x:c r="F244" s="13" t="n">
        <x:f>D244-E244</x:f>
        <x:v>548.4</x:v>
      </x:c>
      <x:c r="G244" s="14" t="n">
        <x:v>2</x:v>
      </x:c>
      <x:c r="H244" s="14" t="n">
        <x:v>0</x:v>
      </x:c>
      <x:c r="I244" s="14" t="n">
        <x:v>2</x:v>
      </x:c>
      <x:c r="J244" s="14" t="n">
        <x:v>0</x:v>
      </x:c>
      <x:c r="K244" s="14" t="n">
        <x:v>260</x:v>
      </x:c>
      <x:c r="L244" s="14" t="n">
        <x:v>0</x:v>
      </x:c>
      <x:c r="M244" s="13" t="n">
        <x:v>548.4</x:v>
      </x:c>
      <x:c r="N244" s="3" t="n">
        <x:v>17</x:v>
      </x:c>
      <x:c r="O244" s="13" t="n">
        <x:f>IF(G244=0,"n.a.",D244/G244)</x:f>
        <x:v>274.2</x:v>
      </x:c>
      <x:c r="P244" s="15" t="n">
        <x:f>IF(D244=0,"n.a.",E244/D244)</x:f>
        <x:v>0</x:v>
      </x:c>
    </x:row>
    <x:row r="245" ht="22" customHeight="1">
      <x:c r="A245" s="3"/>
      <x:c r="B245" s="3" t="str">
        <x:v>2011-05</x:v>
      </x:c>
      <x:c r="C245" s="3" t="str">
        <x:v>Belgium</x:v>
      </x:c>
      <x:c r="D245" s="13" t="n">
        <x:v>2486.4</x:v>
      </x:c>
      <x:c r="E245" s="13" t="n">
        <x:v>5.4</x:v>
      </x:c>
      <x:c r="F245" s="13" t="n">
        <x:f>D245-E245</x:f>
        <x:v>2481</x:v>
      </x:c>
      <x:c r="G245" s="14" t="n">
        <x:v>9</x:v>
      </x:c>
      <x:c r="H245" s="14" t="n">
        <x:v>1</x:v>
      </x:c>
      <x:c r="I245" s="14" t="n">
        <x:v>7</x:v>
      </x:c>
      <x:c r="J245" s="14" t="n">
        <x:v>2</x:v>
      </x:c>
      <x:c r="K245" s="14" t="n">
        <x:v>1813</x:v>
      </x:c>
      <x:c r="L245" s="14" t="n">
        <x:v>4</x:v>
      </x:c>
      <x:c r="M245" s="13" t="n">
        <x:v>2486.4</x:v>
      </x:c>
      <x:c r="N245" s="3" t="n">
        <x:v>141</x:v>
      </x:c>
      <x:c r="O245" s="13" t="n">
        <x:f>IF(G245=0,"n.a.",D245/G245)</x:f>
        <x:v>276.26666666666665</x:v>
      </x:c>
      <x:c r="P245" s="15" t="n">
        <x:f>IF(D245=0,"n.a.",E245/D245)</x:f>
        <x:v>0.002171814671814672</x:v>
      </x:c>
    </x:row>
    <x:row r="246" ht="22" customHeight="1">
      <x:c r="A246" s="3"/>
      <x:c r="B246" s="3" t="str">
        <x:v>2011-05</x:v>
      </x:c>
      <x:c r="C246" s="3" t="str">
        <x:v>Brazil</x:v>
      </x:c>
      <x:c r="D246" s="13" t="n">
        <x:v>0</x:v>
      </x:c>
      <x:c r="E246" s="13" t="n">
        <x:v>0</x:v>
      </x:c>
      <x:c r="F246" s="13" t="n">
        <x:f>D246-E246</x:f>
        <x:v>0</x:v>
      </x:c>
      <x:c r="G246" s="14" t="n">
        <x:v>0</x:v>
      </x:c>
      <x:c r="H246" s="14" t="n">
        <x:v>0</x:v>
      </x:c>
      <x:c r="I246" s="14" t="n">
        <x:v>0</x:v>
      </x:c>
      <x:c r="J246" s="14" t="n">
        <x:v>0</x:v>
      </x:c>
      <x:c r="K246" s="14" t="n">
        <x:v>0</x:v>
      </x:c>
      <x:c r="L246" s="14" t="n">
        <x:v>0</x:v>
      </x:c>
      <x:c r="M246" s="13" t="n">
        <x:v>0</x:v>
      </x:c>
      <x:c r="N246" s="3" t="n">
        <x:v>0</x:v>
      </x:c>
      <x:c r="O246" s="13" t="str">
        <x:f>IF(G246=0,"n.a.",D246/G246)</x:f>
        <x:v>n.a.</x:v>
      </x:c>
      <x:c r="P246" s="15" t="str">
        <x:f>IF(D246=0,"n.a.",E246/D246)</x:f>
        <x:v>n.a.</x:v>
      </x:c>
    </x:row>
    <x:row r="247" ht="22" customHeight="1">
      <x:c r="A247" s="3"/>
      <x:c r="B247" s="3" t="str">
        <x:v>2011-05</x:v>
      </x:c>
      <x:c r="C247" s="3" t="str">
        <x:v>Canada</x:v>
      </x:c>
      <x:c r="D247" s="13" t="n">
        <x:v>534.24</x:v>
      </x:c>
      <x:c r="E247" s="13" t="n">
        <x:v>0</x:v>
      </x:c>
      <x:c r="F247" s="13" t="n">
        <x:f>D247-E247</x:f>
        <x:v>534.24</x:v>
      </x:c>
      <x:c r="G247" s="14" t="n">
        <x:v>1</x:v>
      </x:c>
      <x:c r="H247" s="14" t="n">
        <x:v>0</x:v>
      </x:c>
      <x:c r="I247" s="14" t="n">
        <x:v>1</x:v>
      </x:c>
      <x:c r="J247" s="14" t="n">
        <x:v>0</x:v>
      </x:c>
      <x:c r="K247" s="14" t="n">
        <x:v>504</x:v>
      </x:c>
      <x:c r="L247" s="14" t="n">
        <x:v>0</x:v>
      </x:c>
      <x:c r="M247" s="13" t="n">
        <x:v>534.24</x:v>
      </x:c>
      <x:c r="N247" s="3" t="n">
        <x:v>1</x:v>
      </x:c>
      <x:c r="O247" s="13" t="n">
        <x:f>IF(G247=0,"n.a.",D247/G247)</x:f>
        <x:v>534.24</x:v>
      </x:c>
      <x:c r="P247" s="15" t="n">
        <x:f>IF(D247=0,"n.a.",E247/D247)</x:f>
        <x:v>0</x:v>
      </x:c>
    </x:row>
    <x:row r="248" ht="22" customHeight="1">
      <x:c r="A248" s="3"/>
      <x:c r="B248" s="3" t="str">
        <x:v>2011-05</x:v>
      </x:c>
      <x:c r="C248" s="3" t="str">
        <x:v>Channel Islands</x:v>
      </x:c>
      <x:c r="D248" s="13" t="n">
        <x:v>914.24</x:v>
      </x:c>
      <x:c r="E248" s="13" t="n">
        <x:v>10.45</x:v>
      </x:c>
      <x:c r="F248" s="13" t="n">
        <x:f>D248-E248</x:f>
        <x:v>903.79</x:v>
      </x:c>
      <x:c r="G248" s="14" t="n">
        <x:v>1</x:v>
      </x:c>
      <x:c r="H248" s="14" t="n">
        <x:v>1</x:v>
      </x:c>
      <x:c r="I248" s="14" t="n">
        <x:v>1</x:v>
      </x:c>
      <x:c r="J248" s="14" t="n">
        <x:v>0</x:v>
      </x:c>
      <x:c r="K248" s="14" t="n">
        <x:v>223</x:v>
      </x:c>
      <x:c r="L248" s="14" t="n">
        <x:v>2</x:v>
      </x:c>
      <x:c r="M248" s="13" t="n">
        <x:v>914.24</x:v>
      </x:c>
      <x:c r="N248" s="3" t="n">
        <x:v>35</x:v>
      </x:c>
      <x:c r="O248" s="13" t="n">
        <x:f>IF(G248=0,"n.a.",D248/G248)</x:f>
        <x:v>914.24</x:v>
      </x:c>
      <x:c r="P248" s="15" t="n">
        <x:f>IF(D248=0,"n.a.",E248/D248)</x:f>
        <x:v>0.011430259012950647</x:v>
      </x:c>
    </x:row>
    <x:row r="249" ht="22" customHeight="1">
      <x:c r="A249" s="3"/>
      <x:c r="B249" s="3" t="str">
        <x:v>2011-05</x:v>
      </x:c>
      <x:c r="C249" s="3" t="str">
        <x:v>Cyprus</x:v>
      </x:c>
      <x:c r="D249" s="13" t="n">
        <x:v>0</x:v>
      </x:c>
      <x:c r="E249" s="13" t="n">
        <x:v>0</x:v>
      </x:c>
      <x:c r="F249" s="13" t="n">
        <x:f>D249-E249</x:f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0</x:v>
      </x:c>
      <x:c r="L249" s="14" t="n">
        <x:v>0</x:v>
      </x:c>
      <x:c r="M249" s="13" t="n">
        <x:v>0</x:v>
      </x:c>
      <x:c r="N249" s="3" t="n">
        <x:v>0</x:v>
      </x:c>
      <x:c r="O249" s="13" t="str">
        <x:f>IF(G249=0,"n.a.",D249/G249)</x:f>
        <x:v>n.a.</x:v>
      </x:c>
      <x:c r="P249" s="15" t="str">
        <x:f>IF(D249=0,"n.a.",E249/D249)</x:f>
        <x:v>n.a.</x:v>
      </x:c>
    </x:row>
    <x:row r="250" ht="22" customHeight="1">
      <x:c r="A250" s="3"/>
      <x:c r="B250" s="3" t="str">
        <x:v>2011-05</x:v>
      </x:c>
      <x:c r="C250" s="3" t="str">
        <x:v>Czech Republic</x:v>
      </x:c>
      <x:c r="D250" s="13" t="n">
        <x:v>0</x:v>
      </x:c>
      <x:c r="E250" s="13" t="n">
        <x:v>0</x:v>
      </x:c>
      <x:c r="F250" s="13" t="n">
        <x:f>D250-E250</x:f>
        <x:v>0</x:v>
      </x:c>
      <x:c r="G250" s="14" t="n">
        <x:v>0</x:v>
      </x:c>
      <x:c r="H250" s="14" t="n">
        <x:v>0</x:v>
      </x:c>
      <x:c r="I250" s="14" t="n">
        <x:v>0</x:v>
      </x:c>
      <x:c r="J250" s="14" t="n">
        <x:v>0</x:v>
      </x:c>
      <x:c r="K250" s="14" t="n">
        <x:v>0</x:v>
      </x:c>
      <x:c r="L250" s="14" t="n">
        <x:v>0</x:v>
      </x:c>
      <x:c r="M250" s="13" t="n">
        <x:v>0</x:v>
      </x:c>
      <x:c r="N250" s="3" t="n">
        <x:v>0</x:v>
      </x:c>
      <x:c r="O250" s="13" t="str">
        <x:f>IF(G250=0,"n.a.",D250/G250)</x:f>
        <x:v>n.a.</x:v>
      </x:c>
      <x:c r="P250" s="15" t="str">
        <x:f>IF(D250=0,"n.a.",E250/D250)</x:f>
        <x:v>n.a.</x:v>
      </x:c>
    </x:row>
    <x:row r="251" ht="22" customHeight="1">
      <x:c r="A251" s="3"/>
      <x:c r="B251" s="3" t="str">
        <x:v>2011-05</x:v>
      </x:c>
      <x:c r="C251" s="3" t="str">
        <x:v>Denmark</x:v>
      </x:c>
      <x:c r="D251" s="13" t="n">
        <x:v>479.7</x:v>
      </x:c>
      <x:c r="E251" s="13" t="n">
        <x:v>0</x:v>
      </x:c>
      <x:c r="F251" s="13" t="n">
        <x:f>D251-E251</x:f>
        <x:v>479.7</x:v>
      </x:c>
      <x:c r="G251" s="14" t="n">
        <x:v>1</x:v>
      </x:c>
      <x:c r="H251" s="14" t="n">
        <x:v>0</x:v>
      </x:c>
      <x:c r="I251" s="14" t="n">
        <x:v>1</x:v>
      </x:c>
      <x:c r="J251" s="14" t="n">
        <x:v>0</x:v>
      </x:c>
      <x:c r="K251" s="14" t="n">
        <x:v>366</x:v>
      </x:c>
      <x:c r="L251" s="14" t="n">
        <x:v>0</x:v>
      </x:c>
      <x:c r="M251" s="13" t="n">
        <x:v>479.7</x:v>
      </x:c>
      <x:c r="N251" s="3" t="n">
        <x:v>18</x:v>
      </x:c>
      <x:c r="O251" s="13" t="n">
        <x:f>IF(G251=0,"n.a.",D251/G251)</x:f>
        <x:v>479.7</x:v>
      </x:c>
      <x:c r="P251" s="15" t="n">
        <x:f>IF(D251=0,"n.a.",E251/D251)</x:f>
        <x:v>0</x:v>
      </x:c>
    </x:row>
    <x:row r="252" ht="22" customHeight="1">
      <x:c r="A252" s="3"/>
      <x:c r="B252" s="3" t="str">
        <x:v>2011-05</x:v>
      </x:c>
      <x:c r="C252" s="3" t="str">
        <x:v>EIRE</x:v>
      </x:c>
      <x:c r="D252" s="13" t="n">
        <x:v>17758.76</x:v>
      </x:c>
      <x:c r="E252" s="13" t="n">
        <x:v>87.41</x:v>
      </x:c>
      <x:c r="F252" s="13" t="n">
        <x:f>D252-E252</x:f>
        <x:v>17671.35</x:v>
      </x:c>
      <x:c r="G252" s="14" t="n">
        <x:v>22</x:v>
      </x:c>
      <x:c r="H252" s="14" t="n">
        <x:v>5</x:v>
      </x:c>
      <x:c r="I252" s="14" t="n">
        <x:v>3</x:v>
      </x:c>
      <x:c r="J252" s="14" t="n">
        <x:v>2</x:v>
      </x:c>
      <x:c r="K252" s="14" t="n">
        <x:v>8023</x:v>
      </x:c>
      <x:c r="L252" s="14" t="n">
        <x:v>26</x:v>
      </x:c>
      <x:c r="M252" s="13" t="n">
        <x:v>15732.19</x:v>
      </x:c>
      <x:c r="N252" s="3" t="n">
        <x:v>612</x:v>
      </x:c>
      <x:c r="O252" s="13" t="n">
        <x:f>IF(G252=0,"n.a.",D252/G252)</x:f>
        <x:v>807.2163636363636</x:v>
      </x:c>
      <x:c r="P252" s="15" t="n">
        <x:f>IF(D252=0,"n.a.",E252/D252)</x:f>
        <x:v>0.004922077892825851</x:v>
      </x:c>
    </x:row>
    <x:row r="253" ht="22" customHeight="1">
      <x:c r="A253" s="3"/>
      <x:c r="B253" s="3" t="str">
        <x:v>2011-05</x:v>
      </x:c>
      <x:c r="C253" s="3" t="str">
        <x:v>European Community</x:v>
      </x:c>
      <x:c r="D253" s="13" t="n">
        <x:v>0</x:v>
      </x:c>
      <x:c r="E253" s="13" t="n">
        <x:v>0</x:v>
      </x:c>
      <x:c r="F253" s="13" t="n">
        <x:f>D253-E253</x:f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0</x:v>
      </x:c>
      <x:c r="L253" s="14" t="n">
        <x:v>0</x:v>
      </x:c>
      <x:c r="M253" s="13" t="n">
        <x:v>0</x:v>
      </x:c>
      <x:c r="N253" s="3" t="n">
        <x:v>0</x:v>
      </x:c>
      <x:c r="O253" s="13" t="str">
        <x:f>IF(G253=0,"n.a.",D253/G253)</x:f>
        <x:v>n.a.</x:v>
      </x:c>
      <x:c r="P253" s="15" t="str">
        <x:f>IF(D253=0,"n.a.",E253/D253)</x:f>
        <x:v>n.a.</x:v>
      </x:c>
    </x:row>
    <x:row r="254" ht="22" customHeight="1">
      <x:c r="A254" s="3"/>
      <x:c r="B254" s="3" t="str">
        <x:v>2011-05</x:v>
      </x:c>
      <x:c r="C254" s="3" t="str">
        <x:v>Finland</x:v>
      </x:c>
      <x:c r="D254" s="13" t="n">
        <x:v>0</x:v>
      </x:c>
      <x:c r="E254" s="13" t="n">
        <x:v>0</x:v>
      </x:c>
      <x:c r="F254" s="13" t="n">
        <x:f>D254-E254</x:f>
        <x:v>0</x:v>
      </x:c>
      <x:c r="G254" s="14" t="n">
        <x:v>0</x:v>
      </x:c>
      <x:c r="H254" s="14" t="n">
        <x:v>0</x:v>
      </x:c>
      <x:c r="I254" s="14" t="n">
        <x:v>0</x:v>
      </x:c>
      <x:c r="J254" s="14" t="n">
        <x:v>0</x:v>
      </x:c>
      <x:c r="K254" s="14" t="n">
        <x:v>0</x:v>
      </x:c>
      <x:c r="L254" s="14" t="n">
        <x:v>0</x:v>
      </x:c>
      <x:c r="M254" s="13" t="n">
        <x:v>0</x:v>
      </x:c>
      <x:c r="N254" s="3" t="n">
        <x:v>0</x:v>
      </x:c>
      <x:c r="O254" s="13" t="str">
        <x:f>IF(G254=0,"n.a.",D254/G254)</x:f>
        <x:v>n.a.</x:v>
      </x:c>
      <x:c r="P254" s="15" t="str">
        <x:f>IF(D254=0,"n.a.",E254/D254)</x:f>
        <x:v>n.a.</x:v>
      </x:c>
    </x:row>
    <x:row r="255" ht="22" customHeight="1">
      <x:c r="A255" s="3"/>
      <x:c r="B255" s="3" t="str">
        <x:v>2011-05</x:v>
      </x:c>
      <x:c r="C255" s="3" t="str">
        <x:v>France</x:v>
      </x:c>
      <x:c r="D255" s="13" t="n">
        <x:v>16174.88</x:v>
      </x:c>
      <x:c r="E255" s="13" t="n">
        <x:v>51.8</x:v>
      </x:c>
      <x:c r="F255" s="13" t="n">
        <x:f>D255-E255</x:f>
        <x:v>16123.08</x:v>
      </x:c>
      <x:c r="G255" s="14" t="n">
        <x:v>37</x:v>
      </x:c>
      <x:c r="H255" s="14" t="n">
        <x:v>3</x:v>
      </x:c>
      <x:c r="I255" s="14" t="n">
        <x:v>28</x:v>
      </x:c>
      <x:c r="J255" s="14" t="n">
        <x:v>6</x:v>
      </x:c>
      <x:c r="K255" s="14" t="n">
        <x:v>9706</x:v>
      </x:c>
      <x:c r="L255" s="14" t="n">
        <x:v>6</x:v>
      </x:c>
      <x:c r="M255" s="13" t="n">
        <x:v>16174.88</x:v>
      </x:c>
      <x:c r="N255" s="3" t="n">
        <x:v>694</x:v>
      </x:c>
      <x:c r="O255" s="13" t="n">
        <x:f>IF(G255=0,"n.a.",D255/G255)</x:f>
        <x:v>437.1589189189189</x:v>
      </x:c>
      <x:c r="P255" s="15" t="n">
        <x:f>IF(D255=0,"n.a.",E255/D255)</x:f>
        <x:v>0.0032024967109493237</x:v>
      </x:c>
    </x:row>
    <x:row r="256" ht="22" customHeight="1">
      <x:c r="A256" s="3"/>
      <x:c r="B256" s="3" t="str">
        <x:v>2011-05</x:v>
      </x:c>
      <x:c r="C256" s="3" t="str">
        <x:v>Germany</x:v>
      </x:c>
      <x:c r="D256" s="13" t="n">
        <x:v>23518.2</x:v>
      </x:c>
      <x:c r="E256" s="13" t="n">
        <x:v>161.85</x:v>
      </x:c>
      <x:c r="F256" s="13" t="n">
        <x:f>D256-E256</x:f>
        <x:v>23356.350000000002</x:v>
      </x:c>
      <x:c r="G256" s="14" t="n">
        <x:v>41</x:v>
      </x:c>
      <x:c r="H256" s="14" t="n">
        <x:v>9</x:v>
      </x:c>
      <x:c r="I256" s="14" t="n">
        <x:v>27</x:v>
      </x:c>
      <x:c r="J256" s="14" t="n">
        <x:v>10</x:v>
      </x:c>
      <x:c r="K256" s="14" t="n">
        <x:v>12901</x:v>
      </x:c>
      <x:c r="L256" s="14" t="n">
        <x:v>45</x:v>
      </x:c>
      <x:c r="M256" s="13" t="n">
        <x:v>23518.2</x:v>
      </x:c>
      <x:c r="N256" s="3" t="n">
        <x:v>755</x:v>
      </x:c>
      <x:c r="O256" s="13" t="n">
        <x:f>IF(G256=0,"n.a.",D256/G256)</x:f>
        <x:v>573.6146341463415</x:v>
      </x:c>
      <x:c r="P256" s="15" t="n">
        <x:f>IF(D256=0,"n.a.",E256/D256)</x:f>
        <x:v>0.006881904227364339</x:v>
      </x:c>
    </x:row>
    <x:row r="257" ht="22" customHeight="1">
      <x:c r="A257" s="3"/>
      <x:c r="B257" s="3" t="str">
        <x:v>2011-05</x:v>
      </x:c>
      <x:c r="C257" s="3" t="str">
        <x:v>Greece</x:v>
      </x:c>
      <x:c r="D257" s="13" t="n">
        <x:v>0</x:v>
      </x:c>
      <x:c r="E257" s="13" t="n">
        <x:v>0</x:v>
      </x:c>
      <x:c r="F257" s="13" t="n">
        <x:f>D257-E257</x:f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0</x:v>
      </x:c>
      <x:c r="L257" s="14" t="n">
        <x:v>0</x:v>
      </x:c>
      <x:c r="M257" s="13" t="n">
        <x:v>0</x:v>
      </x:c>
      <x:c r="N257" s="3" t="n">
        <x:v>0</x:v>
      </x:c>
      <x:c r="O257" s="13" t="str">
        <x:f>IF(G257=0,"n.a.",D257/G257)</x:f>
        <x:v>n.a.</x:v>
      </x:c>
      <x:c r="P257" s="15" t="str">
        <x:f>IF(D257=0,"n.a.",E257/D257)</x:f>
        <x:v>n.a.</x:v>
      </x:c>
    </x:row>
    <x:row r="258" ht="22" customHeight="1">
      <x:c r="A258" s="3"/>
      <x:c r="B258" s="3" t="str">
        <x:v>2011-05</x:v>
      </x:c>
      <x:c r="C258" s="3" t="str">
        <x:v>Hong Kong</x:v>
      </x:c>
      <x:c r="D258" s="13" t="n">
        <x:v>1966.16</x:v>
      </x:c>
      <x:c r="E258" s="13" t="n">
        <x:v>0</x:v>
      </x:c>
      <x:c r="F258" s="13" t="n">
        <x:f>D258-E258</x:f>
        <x:v>1966.16</x:v>
      </x:c>
      <x:c r="G258" s="14" t="n">
        <x:v>1</x:v>
      </x:c>
      <x:c r="H258" s="14" t="n">
        <x:v>0</x:v>
      </x:c>
      <x:c r="I258" s="14" t="n">
        <x:v>0</x:v>
      </x:c>
      <x:c r="J258" s="14" t="n">
        <x:v>0</x:v>
      </x:c>
      <x:c r="K258" s="14" t="n">
        <x:v>1262</x:v>
      </x:c>
      <x:c r="L258" s="14" t="n">
        <x:v>0</x:v>
      </x:c>
      <x:c r="M258" s="13" t="n">
        <x:v>0</x:v>
      </x:c>
      <x:c r="N258" s="3" t="n">
        <x:v>93</x:v>
      </x:c>
      <x:c r="O258" s="13" t="n">
        <x:f>IF(G258=0,"n.a.",D258/G258)</x:f>
        <x:v>1966.16</x:v>
      </x:c>
      <x:c r="P258" s="15" t="n">
        <x:f>IF(D258=0,"n.a.",E258/D258)</x:f>
        <x:v>0</x:v>
      </x:c>
    </x:row>
    <x:row r="259" ht="22" customHeight="1">
      <x:c r="A259" s="3"/>
      <x:c r="B259" s="3" t="str">
        <x:v>2011-05</x:v>
      </x:c>
      <x:c r="C259" s="3" t="str">
        <x:v>Iceland</x:v>
      </x:c>
      <x:c r="D259" s="13" t="n">
        <x:v>0</x:v>
      </x:c>
      <x:c r="E259" s="13" t="n">
        <x:v>0</x:v>
      </x:c>
      <x:c r="F259" s="13" t="n">
        <x:f>D259-E259</x:f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0</x:v>
      </x:c>
      <x:c r="K259" s="14" t="n">
        <x:v>0</x:v>
      </x:c>
      <x:c r="L259" s="14" t="n">
        <x:v>0</x:v>
      </x:c>
      <x:c r="M259" s="13" t="n">
        <x:v>0</x:v>
      </x:c>
      <x:c r="N259" s="3" t="n">
        <x:v>0</x:v>
      </x:c>
      <x:c r="O259" s="13" t="str">
        <x:f>IF(G259=0,"n.a.",D259/G259)</x:f>
        <x:v>n.a.</x:v>
      </x:c>
      <x:c r="P259" s="15" t="str">
        <x:f>IF(D259=0,"n.a.",E259/D259)</x:f>
        <x:v>n.a.</x:v>
      </x:c>
    </x:row>
    <x:row r="260" ht="22" customHeight="1">
      <x:c r="A260" s="3"/>
      <x:c r="B260" s="3" t="str">
        <x:v>2011-05</x:v>
      </x:c>
      <x:c r="C260" s="3" t="str">
        <x:v>Israel</x:v>
      </x:c>
      <x:c r="D260" s="13" t="n">
        <x:v>0</x:v>
      </x:c>
      <x:c r="E260" s="13" t="n">
        <x:v>0</x:v>
      </x:c>
      <x:c r="F260" s="13" t="n">
        <x:f>D260-E260</x:f>
        <x:v>0</x:v>
      </x:c>
      <x:c r="G260" s="14" t="n">
        <x:v>0</x:v>
      </x:c>
      <x:c r="H260" s="14" t="n">
        <x:v>0</x:v>
      </x:c>
      <x:c r="I260" s="14" t="n">
        <x:v>0</x:v>
      </x:c>
      <x:c r="J260" s="14" t="n">
        <x:v>0</x:v>
      </x:c>
      <x:c r="K260" s="14" t="n">
        <x:v>0</x:v>
      </x:c>
      <x:c r="L260" s="14" t="n">
        <x:v>0</x:v>
      </x:c>
      <x:c r="M260" s="13" t="n">
        <x:v>0</x:v>
      </x:c>
      <x:c r="N260" s="3" t="n">
        <x:v>0</x:v>
      </x:c>
      <x:c r="O260" s="13" t="str">
        <x:f>IF(G260=0,"n.a.",D260/G260)</x:f>
        <x:v>n.a.</x:v>
      </x:c>
      <x:c r="P260" s="15" t="str">
        <x:f>IF(D260=0,"n.a.",E260/D260)</x:f>
        <x:v>n.a.</x:v>
      </x:c>
    </x:row>
    <x:row r="261" ht="22" customHeight="1">
      <x:c r="A261" s="3"/>
      <x:c r="B261" s="3" t="str">
        <x:v>2011-05</x:v>
      </x:c>
      <x:c r="C261" s="3" t="str">
        <x:v>Italy</x:v>
      </x:c>
      <x:c r="D261" s="13" t="n">
        <x:v>587.45</x:v>
      </x:c>
      <x:c r="E261" s="13" t="n">
        <x:v>0</x:v>
      </x:c>
      <x:c r="F261" s="13" t="n">
        <x:f>D261-E261</x:f>
        <x:v>587.45</x:v>
      </x:c>
      <x:c r="G261" s="14" t="n">
        <x:v>1</x:v>
      </x:c>
      <x:c r="H261" s="14" t="n">
        <x:v>0</x:v>
      </x:c>
      <x:c r="I261" s="14" t="n">
        <x:v>1</x:v>
      </x:c>
      <x:c r="J261" s="14" t="n">
        <x:v>0</x:v>
      </x:c>
      <x:c r="K261" s="14" t="n">
        <x:v>267</x:v>
      </x:c>
      <x:c r="L261" s="14" t="n">
        <x:v>0</x:v>
      </x:c>
      <x:c r="M261" s="13" t="n">
        <x:v>587.45</x:v>
      </x:c>
      <x:c r="N261" s="3" t="n">
        <x:v>23</x:v>
      </x:c>
      <x:c r="O261" s="13" t="n">
        <x:f>IF(G261=0,"n.a.",D261/G261)</x:f>
        <x:v>587.45</x:v>
      </x:c>
      <x:c r="P261" s="15" t="n">
        <x:f>IF(D261=0,"n.a.",E261/D261)</x:f>
        <x:v>0</x:v>
      </x:c>
    </x:row>
    <x:row r="262" ht="22" customHeight="1">
      <x:c r="A262" s="3"/>
      <x:c r="B262" s="3" t="str">
        <x:v>2011-05</x:v>
      </x:c>
      <x:c r="C262" s="3" t="str">
        <x:v>Japan</x:v>
      </x:c>
      <x:c r="D262" s="13" t="n">
        <x:v>1351.45</x:v>
      </x:c>
      <x:c r="E262" s="13" t="n">
        <x:v>0</x:v>
      </x:c>
      <x:c r="F262" s="13" t="n">
        <x:f>D262-E262</x:f>
        <x:v>1351.45</x:v>
      </x:c>
      <x:c r="G262" s="14" t="n">
        <x:v>1</x:v>
      </x:c>
      <x:c r="H262" s="14" t="n">
        <x:v>0</x:v>
      </x:c>
      <x:c r="I262" s="14" t="n">
        <x:v>1</x:v>
      </x:c>
      <x:c r="J262" s="14" t="n">
        <x:v>0</x:v>
      </x:c>
      <x:c r="K262" s="14" t="n">
        <x:v>743</x:v>
      </x:c>
      <x:c r="L262" s="14" t="n">
        <x:v>0</x:v>
      </x:c>
      <x:c r="M262" s="13" t="n">
        <x:v>1351.45</x:v>
      </x:c>
      <x:c r="N262" s="3" t="n">
        <x:v>12</x:v>
      </x:c>
      <x:c r="O262" s="13" t="n">
        <x:f>IF(G262=0,"n.a.",D262/G262)</x:f>
        <x:v>1351.45</x:v>
      </x:c>
      <x:c r="P262" s="15" t="n">
        <x:f>IF(D262=0,"n.a.",E262/D262)</x:f>
        <x:v>0</x:v>
      </x:c>
    </x:row>
    <x:row r="263" ht="22" customHeight="1">
      <x:c r="A263" s="3"/>
      <x:c r="B263" s="3" t="str">
        <x:v>2011-05</x:v>
      </x:c>
      <x:c r="C263" s="3" t="str">
        <x:v>Lebanon</x:v>
      </x:c>
      <x:c r="D263" s="13" t="n">
        <x:v>0</x:v>
      </x:c>
      <x:c r="E263" s="13" t="n">
        <x:v>0</x:v>
      </x:c>
      <x:c r="F263" s="13" t="n">
        <x:f>D263-E263</x:f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0</x:v>
      </x:c>
      <x:c r="K263" s="14" t="n">
        <x:v>0</x:v>
      </x:c>
      <x:c r="L263" s="14" t="n">
        <x:v>0</x:v>
      </x:c>
      <x:c r="M263" s="13" t="n">
        <x:v>0</x:v>
      </x:c>
      <x:c r="N263" s="3" t="n">
        <x:v>0</x:v>
      </x:c>
      <x:c r="O263" s="13" t="str">
        <x:f>IF(G263=0,"n.a.",D263/G263)</x:f>
        <x:v>n.a.</x:v>
      </x:c>
      <x:c r="P263" s="15" t="str">
        <x:f>IF(D263=0,"n.a.",E263/D263)</x:f>
        <x:v>n.a.</x:v>
      </x:c>
    </x:row>
    <x:row r="264" ht="22" customHeight="1">
      <x:c r="A264" s="3"/>
      <x:c r="B264" s="3" t="str">
        <x:v>2011-05</x:v>
      </x:c>
      <x:c r="C264" s="3" t="str">
        <x:v>Lithuania</x:v>
      </x:c>
      <x:c r="D264" s="13" t="n">
        <x:v>0</x:v>
      </x:c>
      <x:c r="E264" s="13" t="n">
        <x:v>0</x:v>
      </x:c>
      <x:c r="F264" s="13" t="n">
        <x:f>D264-E264</x:f>
        <x:v>0</x:v>
      </x:c>
      <x:c r="G264" s="14" t="n">
        <x:v>0</x:v>
      </x:c>
      <x:c r="H264" s="14" t="n">
        <x:v>0</x:v>
      </x:c>
      <x:c r="I264" s="14" t="n">
        <x:v>0</x:v>
      </x:c>
      <x:c r="J264" s="14" t="n">
        <x:v>0</x:v>
      </x:c>
      <x:c r="K264" s="14" t="n">
        <x:v>0</x:v>
      </x:c>
      <x:c r="L264" s="14" t="n">
        <x:v>0</x:v>
      </x:c>
      <x:c r="M264" s="13" t="n">
        <x:v>0</x:v>
      </x:c>
      <x:c r="N264" s="3" t="n">
        <x:v>0</x:v>
      </x:c>
      <x:c r="O264" s="13" t="str">
        <x:f>IF(G264=0,"n.a.",D264/G264)</x:f>
        <x:v>n.a.</x:v>
      </x:c>
      <x:c r="P264" s="15" t="str">
        <x:f>IF(D264=0,"n.a.",E264/D264)</x:f>
        <x:v>n.a.</x:v>
      </x:c>
    </x:row>
    <x:row r="265" ht="22" customHeight="1">
      <x:c r="A265" s="3"/>
      <x:c r="B265" s="3" t="str">
        <x:v>2011-05</x:v>
      </x:c>
      <x:c r="C265" s="3" t="str">
        <x:v>Malta</x:v>
      </x:c>
      <x:c r="D265" s="13" t="n">
        <x:v>0</x:v>
      </x:c>
      <x:c r="E265" s="13" t="n">
        <x:v>0</x:v>
      </x:c>
      <x:c r="F265" s="13" t="n">
        <x:f>D265-E265</x:f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0</x:v>
      </x:c>
      <x:c r="K265" s="14" t="n">
        <x:v>0</x:v>
      </x:c>
      <x:c r="L265" s="14" t="n">
        <x:v>0</x:v>
      </x:c>
      <x:c r="M265" s="13" t="n">
        <x:v>0</x:v>
      </x:c>
      <x:c r="N265" s="3" t="n">
        <x:v>0</x:v>
      </x:c>
      <x:c r="O265" s="13" t="str">
        <x:f>IF(G265=0,"n.a.",D265/G265)</x:f>
        <x:v>n.a.</x:v>
      </x:c>
      <x:c r="P265" s="15" t="str">
        <x:f>IF(D265=0,"n.a.",E265/D265)</x:f>
        <x:v>n.a.</x:v>
      </x:c>
    </x:row>
    <x:row r="266" ht="22" customHeight="1">
      <x:c r="A266" s="3"/>
      <x:c r="B266" s="3" t="str">
        <x:v>2011-05</x:v>
      </x:c>
      <x:c r="C266" s="3" t="str">
        <x:v>Netherlands</x:v>
      </x:c>
      <x:c r="D266" s="13" t="n">
        <x:v>28942.88</x:v>
      </x:c>
      <x:c r="E266" s="13" t="n">
        <x:v>0</x:v>
      </x:c>
      <x:c r="F266" s="13" t="n">
        <x:f>D266-E266</x:f>
        <x:v>28942.88</x:v>
      </x:c>
      <x:c r="G266" s="14" t="n">
        <x:v>11</x:v>
      </x:c>
      <x:c r="H266" s="14" t="n">
        <x:v>0</x:v>
      </x:c>
      <x:c r="I266" s="14" t="n">
        <x:v>4</x:v>
      </x:c>
      <x:c r="J266" s="14" t="n">
        <x:v>1</x:v>
      </x:c>
      <x:c r="K266" s="14" t="n">
        <x:v>19920</x:v>
      </x:c>
      <x:c r="L266" s="14" t="n">
        <x:v>0</x:v>
      </x:c>
      <x:c r="M266" s="13" t="n">
        <x:v>28942.88</x:v>
      </x:c>
      <x:c r="N266" s="3" t="n">
        <x:v>209</x:v>
      </x:c>
      <x:c r="O266" s="13" t="n">
        <x:f>IF(G266=0,"n.a.",D266/G266)</x:f>
        <x:v>2631.1709090909094</x:v>
      </x:c>
      <x:c r="P266" s="15" t="n">
        <x:f>IF(D266=0,"n.a.",E266/D266)</x:f>
        <x:v>0</x:v>
      </x:c>
    </x:row>
    <x:row r="267" ht="22" customHeight="1">
      <x:c r="A267" s="3"/>
      <x:c r="B267" s="3" t="str">
        <x:v>2011-05</x:v>
      </x:c>
      <x:c r="C267" s="3" t="str">
        <x:v>Norway</x:v>
      </x:c>
      <x:c r="D267" s="13" t="n">
        <x:v>0</x:v>
      </x:c>
      <x:c r="E267" s="13" t="n">
        <x:v>0</x:v>
      </x:c>
      <x:c r="F267" s="13" t="n">
        <x:f>D267-E267</x:f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0</x:v>
      </x:c>
      <x:c r="K267" s="14" t="n">
        <x:v>0</x:v>
      </x:c>
      <x:c r="L267" s="14" t="n">
        <x:v>0</x:v>
      </x:c>
      <x:c r="M267" s="13" t="n">
        <x:v>0</x:v>
      </x:c>
      <x:c r="N267" s="3" t="n">
        <x:v>0</x:v>
      </x:c>
      <x:c r="O267" s="13" t="str">
        <x:f>IF(G267=0,"n.a.",D267/G267)</x:f>
        <x:v>n.a.</x:v>
      </x:c>
      <x:c r="P267" s="15" t="str">
        <x:f>IF(D267=0,"n.a.",E267/D267)</x:f>
        <x:v>n.a.</x:v>
      </x:c>
    </x:row>
    <x:row r="268" ht="22" customHeight="1">
      <x:c r="A268" s="3"/>
      <x:c r="B268" s="3" t="str">
        <x:v>2011-05</x:v>
      </x:c>
      <x:c r="C268" s="3" t="str">
        <x:v>Poland</x:v>
      </x:c>
      <x:c r="D268" s="13" t="n">
        <x:v>1402.37</x:v>
      </x:c>
      <x:c r="E268" s="13" t="n">
        <x:v>0</x:v>
      </x:c>
      <x:c r="F268" s="13" t="n">
        <x:f>D268-E268</x:f>
        <x:v>1402.37</x:v>
      </x:c>
      <x:c r="G268" s="14" t="n">
        <x:v>3</x:v>
      </x:c>
      <x:c r="H268" s="14" t="n">
        <x:v>0</x:v>
      </x:c>
      <x:c r="I268" s="14" t="n">
        <x:v>3</x:v>
      </x:c>
      <x:c r="J268" s="14" t="n">
        <x:v>0</x:v>
      </x:c>
      <x:c r="K268" s="14" t="n">
        <x:v>613</x:v>
      </x:c>
      <x:c r="L268" s="14" t="n">
        <x:v>0</x:v>
      </x:c>
      <x:c r="M268" s="13" t="n">
        <x:v>1402.37</x:v>
      </x:c>
      <x:c r="N268" s="3" t="n">
        <x:v>68</x:v>
      </x:c>
      <x:c r="O268" s="13" t="n">
        <x:f>IF(G268=0,"n.a.",D268/G268)</x:f>
        <x:v>467.45666666666665</x:v>
      </x:c>
      <x:c r="P268" s="15" t="n">
        <x:f>IF(D268=0,"n.a.",E268/D268)</x:f>
        <x:v>0</x:v>
      </x:c>
    </x:row>
    <x:row r="269" ht="22" customHeight="1">
      <x:c r="A269" s="3"/>
      <x:c r="B269" s="3" t="str">
        <x:v>2011-05</x:v>
      </x:c>
      <x:c r="C269" s="3" t="str">
        <x:v>Portugal</x:v>
      </x:c>
      <x:c r="D269" s="13" t="n">
        <x:v>602.83</x:v>
      </x:c>
      <x:c r="E269" s="13" t="n">
        <x:v>0</x:v>
      </x:c>
      <x:c r="F269" s="13" t="n">
        <x:f>D269-E269</x:f>
        <x:v>602.83</x:v>
      </x:c>
      <x:c r="G269" s="14" t="n">
        <x:v>1</x:v>
      </x:c>
      <x:c r="H269" s="14" t="n">
        <x:v>0</x:v>
      </x:c>
      <x:c r="I269" s="14" t="n">
        <x:v>1</x:v>
      </x:c>
      <x:c r="J269" s="14" t="n">
        <x:v>0</x:v>
      </x:c>
      <x:c r="K269" s="14" t="n">
        <x:v>311</x:v>
      </x:c>
      <x:c r="L269" s="14" t="n">
        <x:v>0</x:v>
      </x:c>
      <x:c r="M269" s="13" t="n">
        <x:v>602.83</x:v>
      </x:c>
      <x:c r="N269" s="3" t="n">
        <x:v>76</x:v>
      </x:c>
      <x:c r="O269" s="13" t="n">
        <x:f>IF(G269=0,"n.a.",D269/G269)</x:f>
        <x:v>602.83</x:v>
      </x:c>
      <x:c r="P269" s="15" t="n">
        <x:f>IF(D269=0,"n.a.",E269/D269)</x:f>
        <x:v>0</x:v>
      </x:c>
    </x:row>
    <x:row r="270" ht="22" customHeight="1">
      <x:c r="A270" s="3"/>
      <x:c r="B270" s="3" t="str">
        <x:v>2011-05</x:v>
      </x:c>
      <x:c r="C270" s="3" t="str">
        <x:v>RSA</x:v>
      </x:c>
      <x:c r="D270" s="13" t="n">
        <x:v>0</x:v>
      </x:c>
      <x:c r="E270" s="13" t="n">
        <x:v>0</x:v>
      </x:c>
      <x:c r="F270" s="13" t="n">
        <x:f>D270-E270</x:f>
        <x:v>0</x:v>
      </x:c>
      <x:c r="G270" s="14" t="n">
        <x:v>0</x:v>
      </x:c>
      <x:c r="H270" s="14" t="n">
        <x:v>0</x:v>
      </x:c>
      <x:c r="I270" s="14" t="n">
        <x:v>0</x:v>
      </x:c>
      <x:c r="J270" s="14" t="n">
        <x:v>0</x:v>
      </x:c>
      <x:c r="K270" s="14" t="n">
        <x:v>0</x:v>
      </x:c>
      <x:c r="L270" s="14" t="n">
        <x:v>0</x:v>
      </x:c>
      <x:c r="M270" s="13" t="n">
        <x:v>0</x:v>
      </x:c>
      <x:c r="N270" s="3" t="n">
        <x:v>0</x:v>
      </x:c>
      <x:c r="O270" s="13" t="str">
        <x:f>IF(G270=0,"n.a.",D270/G270)</x:f>
        <x:v>n.a.</x:v>
      </x:c>
      <x:c r="P270" s="15" t="str">
        <x:f>IF(D270=0,"n.a.",E270/D270)</x:f>
        <x:v>n.a.</x:v>
      </x:c>
    </x:row>
    <x:row r="271" ht="22" customHeight="1">
      <x:c r="A271" s="3"/>
      <x:c r="B271" s="3" t="str">
        <x:v>2011-05</x:v>
      </x:c>
      <x:c r="C271" s="3" t="str">
        <x:v>Saudi Arabia</x:v>
      </x:c>
      <x:c r="D271" s="13" t="n">
        <x:v>0</x:v>
      </x:c>
      <x:c r="E271" s="13" t="n">
        <x:v>0</x:v>
      </x:c>
      <x:c r="F271" s="13" t="n">
        <x:f>D271-E271</x:f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0</x:v>
      </x:c>
      <x:c r="K271" s="14" t="n">
        <x:v>0</x:v>
      </x:c>
      <x:c r="L271" s="14" t="n">
        <x:v>0</x:v>
      </x:c>
      <x:c r="M271" s="13" t="n">
        <x:v>0</x:v>
      </x:c>
      <x:c r="N271" s="3" t="n">
        <x:v>0</x:v>
      </x:c>
      <x:c r="O271" s="13" t="str">
        <x:f>IF(G271=0,"n.a.",D271/G271)</x:f>
        <x:v>n.a.</x:v>
      </x:c>
      <x:c r="P271" s="15" t="str">
        <x:f>IF(D271=0,"n.a.",E271/D271)</x:f>
        <x:v>n.a.</x:v>
      </x:c>
    </x:row>
    <x:row r="272" ht="22" customHeight="1">
      <x:c r="A272" s="3"/>
      <x:c r="B272" s="3" t="str">
        <x:v>2011-05</x:v>
      </x:c>
      <x:c r="C272" s="3" t="str">
        <x:v>Singapore</x:v>
      </x:c>
      <x:c r="D272" s="13" t="n">
        <x:v>0</x:v>
      </x:c>
      <x:c r="E272" s="13" t="n">
        <x:v>0</x:v>
      </x:c>
      <x:c r="F272" s="13" t="n">
        <x:f>D272-E272</x:f>
        <x:v>0</x:v>
      </x:c>
      <x:c r="G272" s="14" t="n">
        <x:v>0</x:v>
      </x:c>
      <x:c r="H272" s="14" t="n">
        <x:v>0</x:v>
      </x:c>
      <x:c r="I272" s="14" t="n">
        <x:v>0</x:v>
      </x:c>
      <x:c r="J272" s="14" t="n">
        <x:v>0</x:v>
      </x:c>
      <x:c r="K272" s="14" t="n">
        <x:v>0</x:v>
      </x:c>
      <x:c r="L272" s="14" t="n">
        <x:v>0</x:v>
      </x:c>
      <x:c r="M272" s="13" t="n">
        <x:v>0</x:v>
      </x:c>
      <x:c r="N272" s="3" t="n">
        <x:v>0</x:v>
      </x:c>
      <x:c r="O272" s="13" t="str">
        <x:f>IF(G272=0,"n.a.",D272/G272)</x:f>
        <x:v>n.a.</x:v>
      </x:c>
      <x:c r="P272" s="15" t="str">
        <x:f>IF(D272=0,"n.a.",E272/D272)</x:f>
        <x:v>n.a.</x:v>
      </x:c>
    </x:row>
    <x:row r="273" ht="22" customHeight="1">
      <x:c r="A273" s="3"/>
      <x:c r="B273" s="3" t="str">
        <x:v>2011-05</x:v>
      </x:c>
      <x:c r="C273" s="3" t="str">
        <x:v>Spain</x:v>
      </x:c>
      <x:c r="D273" s="13" t="n">
        <x:v>2697.6</x:v>
      </x:c>
      <x:c r="E273" s="13" t="n">
        <x:v>0</x:v>
      </x:c>
      <x:c r="F273" s="13" t="n">
        <x:f>D273-E273</x:f>
        <x:v>2697.6</x:v>
      </x:c>
      <x:c r="G273" s="14" t="n">
        <x:v>4</x:v>
      </x:c>
      <x:c r="H273" s="14" t="n">
        <x:v>0</x:v>
      </x:c>
      <x:c r="I273" s="14" t="n">
        <x:v>3</x:v>
      </x:c>
      <x:c r="J273" s="14" t="n">
        <x:v>1</x:v>
      </x:c>
      <x:c r="K273" s="14" t="n">
        <x:v>1448</x:v>
      </x:c>
      <x:c r="L273" s="14" t="n">
        <x:v>0</x:v>
      </x:c>
      <x:c r="M273" s="13" t="n">
        <x:v>2697.6</x:v>
      </x:c>
      <x:c r="N273" s="3" t="n">
        <x:v>101</x:v>
      </x:c>
      <x:c r="O273" s="13" t="n">
        <x:f>IF(G273=0,"n.a.",D273/G273)</x:f>
        <x:v>674.4</x:v>
      </x:c>
      <x:c r="P273" s="15" t="n">
        <x:f>IF(D273=0,"n.a.",E273/D273)</x:f>
        <x:v>0</x:v>
      </x:c>
    </x:row>
    <x:row r="274" ht="22" customHeight="1">
      <x:c r="A274" s="3"/>
      <x:c r="B274" s="3" t="str">
        <x:v>2011-05</x:v>
      </x:c>
      <x:c r="C274" s="3" t="str">
        <x:v>Sweden</x:v>
      </x:c>
      <x:c r="D274" s="13" t="n">
        <x:v>2641.98</x:v>
      </x:c>
      <x:c r="E274" s="13" t="n">
        <x:v>17</x:v>
      </x:c>
      <x:c r="F274" s="13" t="n">
        <x:f>D274-E274</x:f>
        <x:v>2624.98</x:v>
      </x:c>
      <x:c r="G274" s="14" t="n">
        <x:v>3</x:v>
      </x:c>
      <x:c r="H274" s="14" t="n">
        <x:v>2</x:v>
      </x:c>
      <x:c r="I274" s="14" t="n">
        <x:v>2</x:v>
      </x:c>
      <x:c r="J274" s="14" t="n">
        <x:v>1</x:v>
      </x:c>
      <x:c r="K274" s="14" t="n">
        <x:v>2832</x:v>
      </x:c>
      <x:c r="L274" s="14" t="n">
        <x:v>4</x:v>
      </x:c>
      <x:c r="M274" s="13" t="n">
        <x:v>2641.98</x:v>
      </x:c>
      <x:c r="N274" s="3" t="n">
        <x:v>20</x:v>
      </x:c>
      <x:c r="O274" s="13" t="n">
        <x:f>IF(G274=0,"n.a.",D274/G274)</x:f>
        <x:v>880.66</x:v>
      </x:c>
      <x:c r="P274" s="15" t="n">
        <x:f>IF(D274=0,"n.a.",E274/D274)</x:f>
        <x:v>0.0064345680133839015</x:v>
      </x:c>
    </x:row>
    <x:row r="275" ht="22" customHeight="1">
      <x:c r="A275" s="3"/>
      <x:c r="B275" s="3" t="str">
        <x:v>2011-05</x:v>
      </x:c>
      <x:c r="C275" s="3" t="str">
        <x:v>Switzerland</x:v>
      </x:c>
      <x:c r="D275" s="13" t="n">
        <x:v>3450.01</x:v>
      </x:c>
      <x:c r="E275" s="13" t="n">
        <x:v>42.8</x:v>
      </x:c>
      <x:c r="F275" s="13" t="n">
        <x:f>D275-E275</x:f>
        <x:v>3407.21</x:v>
      </x:c>
      <x:c r="G275" s="14" t="n">
        <x:v>3</x:v>
      </x:c>
      <x:c r="H275" s="14" t="n">
        <x:v>1</x:v>
      </x:c>
      <x:c r="I275" s="14" t="n">
        <x:v>3</x:v>
      </x:c>
      <x:c r="J275" s="14" t="n">
        <x:v>0</x:v>
      </x:c>
      <x:c r="K275" s="14" t="n">
        <x:v>2245</x:v>
      </x:c>
      <x:c r="L275" s="14" t="n">
        <x:v>4</x:v>
      </x:c>
      <x:c r="M275" s="13" t="n">
        <x:v>3450.01</x:v>
      </x:c>
      <x:c r="N275" s="3" t="n">
        <x:v>152</x:v>
      </x:c>
      <x:c r="O275" s="13" t="n">
        <x:f>IF(G275=0,"n.a.",D275/G275)</x:f>
        <x:v>1150.0033333333333</x:v>
      </x:c>
      <x:c r="P275" s="15" t="n">
        <x:f>IF(D275=0,"n.a.",E275/D275)</x:f>
        <x:v>0.012405761142721324</x:v>
      </x:c>
    </x:row>
    <x:row r="276" ht="22" customHeight="1">
      <x:c r="A276" s="3"/>
      <x:c r="B276" s="3" t="str">
        <x:v>2011-05</x:v>
      </x:c>
      <x:c r="C276" s="3" t="str">
        <x:v>USA</x:v>
      </x:c>
      <x:c r="D276" s="13" t="n">
        <x:v>0</x:v>
      </x:c>
      <x:c r="E276" s="13" t="n">
        <x:v>0</x:v>
      </x:c>
      <x:c r="F276" s="13" t="n">
        <x:f>D276-E276</x:f>
        <x:v>0</x:v>
      </x:c>
      <x:c r="G276" s="14" t="n">
        <x:v>0</x:v>
      </x:c>
      <x:c r="H276" s="14" t="n">
        <x:v>0</x:v>
      </x:c>
      <x:c r="I276" s="14" t="n">
        <x:v>0</x:v>
      </x:c>
      <x:c r="J276" s="14" t="n">
        <x:v>0</x:v>
      </x:c>
      <x:c r="K276" s="14" t="n">
        <x:v>0</x:v>
      </x:c>
      <x:c r="L276" s="14" t="n">
        <x:v>0</x:v>
      </x:c>
      <x:c r="M276" s="13" t="n">
        <x:v>0</x:v>
      </x:c>
      <x:c r="N276" s="3" t="n">
        <x:v>0</x:v>
      </x:c>
      <x:c r="O276" s="13" t="str">
        <x:f>IF(G276=0,"n.a.",D276/G276)</x:f>
        <x:v>n.a.</x:v>
      </x:c>
      <x:c r="P276" s="15" t="str">
        <x:f>IF(D276=0,"n.a.",E276/D276)</x:f>
        <x:v>n.a.</x:v>
      </x:c>
    </x:row>
    <x:row r="277" ht="22" customHeight="1">
      <x:c r="A277" s="3"/>
      <x:c r="B277" s="3" t="str">
        <x:v>2011-05</x:v>
      </x:c>
      <x:c r="C277" s="3" t="str">
        <x:v>United Arab Emirates</x:v>
      </x:c>
      <x:c r="D277" s="13" t="n">
        <x:v>0</x:v>
      </x:c>
      <x:c r="E277" s="13" t="n">
        <x:v>0</x:v>
      </x:c>
      <x:c r="F277" s="13" t="n">
        <x:f>D277-E277</x:f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0</x:v>
      </x:c>
      <x:c r="K277" s="14" t="n">
        <x:v>0</x:v>
      </x:c>
      <x:c r="L277" s="14" t="n">
        <x:v>0</x:v>
      </x:c>
      <x:c r="M277" s="13" t="n">
        <x:v>0</x:v>
      </x:c>
      <x:c r="N277" s="3" t="n">
        <x:v>0</x:v>
      </x:c>
      <x:c r="O277" s="13" t="str">
        <x:f>IF(G277=0,"n.a.",D277/G277)</x:f>
        <x:v>n.a.</x:v>
      </x:c>
      <x:c r="P277" s="15" t="str">
        <x:f>IF(D277=0,"n.a.",E277/D277)</x:f>
        <x:v>n.a.</x:v>
      </x:c>
    </x:row>
    <x:row r="278" ht="22" customHeight="1">
      <x:c r="A278" s="3"/>
      <x:c r="B278" s="3" t="str">
        <x:v>2011-05</x:v>
      </x:c>
      <x:c r="C278" s="3" t="str">
        <x:v>United Kingdom</x:v>
      </x:c>
      <x:c r="D278" s="13" t="n">
        <x:v>619391.15</x:v>
      </x:c>
      <x:c r="E278" s="13" t="n">
        <x:v>8561.62</x:v>
      </x:c>
      <x:c r="F278" s="13" t="n">
        <x:f>D278-E278</x:f>
        <x:v>610829.53</x:v>
      </x:c>
      <x:c r="G278" s="14" t="n">
        <x:v>1518</x:v>
      </x:c>
      <x:c r="H278" s="14" t="n">
        <x:v>244</x:v>
      </x:c>
      <x:c r="I278" s="14" t="n">
        <x:v>961</x:v>
      </x:c>
      <x:c r="J278" s="14" t="n">
        <x:v>250</x:v>
      </x:c>
      <x:c r="K278" s="14" t="n">
        <x:v>321680</x:v>
      </x:c>
      <x:c r="L278" s="14" t="n">
        <x:v>3960</x:v>
      </x:c>
      <x:c r="M278" s="13" t="n">
        <x:v>542876.56</x:v>
      </x:c>
      <x:c r="N278" s="3" t="n">
        <x:v>33286</x:v>
      </x:c>
      <x:c r="O278" s="13" t="n">
        <x:f>IF(G278=0,"n.a.",D278/G278)</x:f>
        <x:v>408.03106060606063</x:v>
      </x:c>
      <x:c r="P278" s="15" t="n">
        <x:f>IF(D278=0,"n.a.",E278/D278)</x:f>
        <x:v>0.013822638570150704</x:v>
      </x:c>
    </x:row>
    <x:row r="279" ht="22" customHeight="1">
      <x:c r="A279" s="3"/>
      <x:c r="B279" s="3" t="str">
        <x:v>2011-05</x:v>
      </x:c>
      <x:c r="C279" s="3" t="str">
        <x:v>Unspecified</x:v>
      </x:c>
      <x:c r="D279" s="13" t="n">
        <x:v>1055.87</x:v>
      </x:c>
      <x:c r="E279" s="13" t="n">
        <x:v>0</x:v>
      </x:c>
      <x:c r="F279" s="13" t="n">
        <x:f>D279-E279</x:f>
        <x:v>1055.87</x:v>
      </x:c>
      <x:c r="G279" s="14" t="n">
        <x:v>2</x:v>
      </x:c>
      <x:c r="H279" s="14" t="n">
        <x:v>0</x:v>
      </x:c>
      <x:c r="I279" s="14" t="n">
        <x:v>1</x:v>
      </x:c>
      <x:c r="J279" s="14" t="n">
        <x:v>0</x:v>
      </x:c>
      <x:c r="K279" s="14" t="n">
        <x:v>803</x:v>
      </x:c>
      <x:c r="L279" s="14" t="n">
        <x:v>0</x:v>
      </x:c>
      <x:c r="M279" s="13" t="n">
        <x:v>852.68</x:v>
      </x:c>
      <x:c r="N279" s="3" t="n">
        <x:v>58</x:v>
      </x:c>
      <x:c r="O279" s="13" t="n">
        <x:f>IF(G279=0,"n.a.",D279/G279)</x:f>
        <x:v>527.935</x:v>
      </x:c>
      <x:c r="P279" s="15" t="n">
        <x:f>IF(D279=0,"n.a.",E279/D279)</x:f>
        <x:v>0</x:v>
      </x:c>
    </x:row>
    <x:row r="280" ht="22" customHeight="1">
      <x:c r="A280" s="3"/>
      <x:c r="B280" s="3" t="str">
        <x:v>2011-06</x:v>
      </x:c>
      <x:c r="C280" s="3" t="str">
        <x:v>Todos</x:v>
      </x:c>
      <x:c r="D280" s="13" t="n">
        <x:v>738751.87</x:v>
      </x:c>
      <x:c r="E280" s="13" t="n">
        <x:v>13760.84</x:v>
      </x:c>
      <x:c r="F280" s="13" t="n">
        <x:f>D280-E280</x:f>
        <x:v>724991.03</x:v>
      </x:c>
      <x:c r="G280" s="14" t="n">
        <x:v>1525</x:v>
      </x:c>
      <x:c r="H280" s="14" t="n">
        <x:v>299</x:v>
      </x:c>
      <x:c r="I280" s="14" t="n">
        <x:v>990</x:v>
      </x:c>
      <x:c r="J280" s="14" t="n">
        <x:v>218</x:v>
      </x:c>
      <x:c r="K280" s="14" t="n">
        <x:v>388826</x:v>
      </x:c>
      <x:c r="L280" s="14" t="n">
        <x:v>7215</x:v>
      </x:c>
      <x:c r="M280" s="13" t="n">
        <x:v>654432.56</x:v>
      </x:c>
      <x:c r="N280" s="3" t="n">
        <x:v>36442</x:v>
      </x:c>
      <x:c r="O280" s="13" t="n">
        <x:f>IF(G280=0,"n.a.",D280/G280)</x:f>
        <x:v>484.4274557377049</x:v>
      </x:c>
      <x:c r="P280" s="15" t="n">
        <x:f>IF(D280=0,"n.a.",E280/D280)</x:f>
        <x:v>0.018627147434496512</x:v>
      </x:c>
    </x:row>
    <x:row r="281" ht="22" customHeight="1">
      <x:c r="A281" s="3"/>
      <x:c r="B281" s="3" t="str">
        <x:v>2011-06</x:v>
      </x:c>
      <x:c r="C281" s="3" t="str">
        <x:v>Australia</x:v>
      </x:c>
      <x:c r="D281" s="13" t="n">
        <x:v>25187.77</x:v>
      </x:c>
      <x:c r="E281" s="13" t="n">
        <x:v>23</x:v>
      </x:c>
      <x:c r="F281" s="13" t="n">
        <x:f>D281-E281</x:f>
        <x:v>25164.77</x:v>
      </x:c>
      <x:c r="G281" s="14" t="n">
        <x:v>4</x:v>
      </x:c>
      <x:c r="H281" s="14" t="n">
        <x:v>1</x:v>
      </x:c>
      <x:c r="I281" s="14" t="n">
        <x:v>2</x:v>
      </x:c>
      <x:c r="J281" s="14" t="n">
        <x:v>2</x:v>
      </x:c>
      <x:c r="K281" s="14" t="n">
        <x:v>15981</x:v>
      </x:c>
      <x:c r="L281" s="14" t="n">
        <x:v>8</x:v>
      </x:c>
      <x:c r="M281" s="13" t="n">
        <x:v>25187.77</x:v>
      </x:c>
      <x:c r="N281" s="3" t="n">
        <x:v>171</x:v>
      </x:c>
      <x:c r="O281" s="13" t="n">
        <x:f>IF(G281=0,"n.a.",D281/G281)</x:f>
        <x:v>6296.9425</x:v>
      </x:c>
      <x:c r="P281" s="15" t="n">
        <x:f>IF(D281=0,"n.a.",E281/D281)</x:f>
        <x:v>0.0009131415762491082</x:v>
      </x:c>
    </x:row>
    <x:row r="282" ht="22" customHeight="1">
      <x:c r="A282" s="3"/>
      <x:c r="B282" s="3" t="str">
        <x:v>2011-06</x:v>
      </x:c>
      <x:c r="C282" s="3" t="str">
        <x:v>Austria</x:v>
      </x:c>
      <x:c r="D282" s="13" t="n">
        <x:v>0</x:v>
      </x:c>
      <x:c r="E282" s="13" t="n">
        <x:v>24.2</x:v>
      </x:c>
      <x:c r="F282" s="13" t="n">
        <x:f>D282-E282</x:f>
        <x:v>-24.2</x:v>
      </x:c>
      <x:c r="G282" s="14" t="n">
        <x:v>0</x:v>
      </x:c>
      <x:c r="H282" s="14" t="n">
        <x:v>1</x:v>
      </x:c>
      <x:c r="I282" s="14" t="n">
        <x:v>0</x:v>
      </x:c>
      <x:c r="J282" s="14" t="n">
        <x:v>0</x:v>
      </x:c>
      <x:c r="K282" s="14" t="n">
        <x:v>0</x:v>
      </x:c>
      <x:c r="L282" s="14" t="n">
        <x:v>6</x:v>
      </x:c>
      <x:c r="M282" s="13" t="n">
        <x:v>0</x:v>
      </x:c>
      <x:c r="N282" s="3" t="n">
        <x:v>2</x:v>
      </x:c>
      <x:c r="O282" s="13" t="str">
        <x:f>IF(G282=0,"n.a.",D282/G282)</x:f>
        <x:v>n.a.</x:v>
      </x:c>
      <x:c r="P282" s="15" t="str">
        <x:f>IF(D282=0,"n.a.",E282/D282)</x:f>
        <x:v>n.a.</x:v>
      </x:c>
    </x:row>
    <x:row r="283" ht="22" customHeight="1">
      <x:c r="A283" s="3"/>
      <x:c r="B283" s="3" t="str">
        <x:v>2011-06</x:v>
      </x:c>
      <x:c r="C283" s="3" t="str">
        <x:v>Bahrain</x:v>
      </x:c>
      <x:c r="D283" s="13" t="n">
        <x:v>0</x:v>
      </x:c>
      <x:c r="E283" s="13" t="n">
        <x:v>0</x:v>
      </x:c>
      <x:c r="F283" s="13" t="n">
        <x:f>D283-E283</x:f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0</x:v>
      </x:c>
      <x:c r="K283" s="14" t="n">
        <x:v>0</x:v>
      </x:c>
      <x:c r="L283" s="14" t="n">
        <x:v>0</x:v>
      </x:c>
      <x:c r="M283" s="13" t="n">
        <x:v>0</x:v>
      </x:c>
      <x:c r="N283" s="3" t="n">
        <x:v>0</x:v>
      </x:c>
      <x:c r="O283" s="13" t="str">
        <x:f>IF(G283=0,"n.a.",D283/G283)</x:f>
        <x:v>n.a.</x:v>
      </x:c>
      <x:c r="P283" s="15" t="str">
        <x:f>IF(D283=0,"n.a.",E283/D283)</x:f>
        <x:v>n.a.</x:v>
      </x:c>
    </x:row>
    <x:row r="284" ht="22" customHeight="1">
      <x:c r="A284" s="3"/>
      <x:c r="B284" s="3" t="str">
        <x:v>2011-06</x:v>
      </x:c>
      <x:c r="C284" s="3" t="str">
        <x:v>Belgium</x:v>
      </x:c>
      <x:c r="D284" s="13" t="n">
        <x:v>3848.82</x:v>
      </x:c>
      <x:c r="E284" s="13" t="n">
        <x:v>1.65</x:v>
      </x:c>
      <x:c r="F284" s="13" t="n">
        <x:f>D284-E284</x:f>
        <x:v>3847.17</x:v>
      </x:c>
      <x:c r="G284" s="14" t="n">
        <x:v>11</x:v>
      </x:c>
      <x:c r="H284" s="14" t="n">
        <x:v>1</x:v>
      </x:c>
      <x:c r="I284" s="14" t="n">
        <x:v>11</x:v>
      </x:c>
      <x:c r="J284" s="14" t="n">
        <x:v>0</x:v>
      </x:c>
      <x:c r="K284" s="14" t="n">
        <x:v>2217</x:v>
      </x:c>
      <x:c r="L284" s="14" t="n">
        <x:v>1</x:v>
      </x:c>
      <x:c r="M284" s="13" t="n">
        <x:v>3848.82</x:v>
      </x:c>
      <x:c r="N284" s="3" t="n">
        <x:v>220</x:v>
      </x:c>
      <x:c r="O284" s="13" t="n">
        <x:f>IF(G284=0,"n.a.",D284/G284)</x:f>
        <x:v>349.8927272727273</x:v>
      </x:c>
      <x:c r="P284" s="15" t="n">
        <x:f>IF(D284=0,"n.a.",E284/D284)</x:f>
        <x:v>0.00042870282320295566</x:v>
      </x:c>
    </x:row>
    <x:row r="285" ht="22" customHeight="1">
      <x:c r="A285" s="3"/>
      <x:c r="B285" s="3" t="str">
        <x:v>2011-06</x:v>
      </x:c>
      <x:c r="C285" s="3" t="str">
        <x:v>Brazil</x:v>
      </x:c>
      <x:c r="D285" s="13" t="n">
        <x:v>0</x:v>
      </x:c>
      <x:c r="E285" s="13" t="n">
        <x:v>0</x:v>
      </x:c>
      <x:c r="F285" s="13" t="n">
        <x:f>D285-E285</x:f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0</x:v>
      </x:c>
      <x:c r="K285" s="14" t="n">
        <x:v>0</x:v>
      </x:c>
      <x:c r="L285" s="14" t="n">
        <x:v>0</x:v>
      </x:c>
      <x:c r="M285" s="13" t="n">
        <x:v>0</x:v>
      </x:c>
      <x:c r="N285" s="3" t="n">
        <x:v>0</x:v>
      </x:c>
      <x:c r="O285" s="13" t="str">
        <x:f>IF(G285=0,"n.a.",D285/G285)</x:f>
        <x:v>n.a.</x:v>
      </x:c>
      <x:c r="P285" s="15" t="str">
        <x:f>IF(D285=0,"n.a.",E285/D285)</x:f>
        <x:v>n.a.</x:v>
      </x:c>
    </x:row>
    <x:row r="286" ht="22" customHeight="1">
      <x:c r="A286" s="3"/>
      <x:c r="B286" s="3" t="str">
        <x:v>2011-06</x:v>
      </x:c>
      <x:c r="C286" s="3" t="str">
        <x:v>Canada</x:v>
      </x:c>
      <x:c r="D286" s="13" t="n">
        <x:v>1171.46</x:v>
      </x:c>
      <x:c r="E286" s="13" t="n">
        <x:v>0</x:v>
      </x:c>
      <x:c r="F286" s="13" t="n">
        <x:f>D286-E286</x:f>
        <x:v>1171.46</x:v>
      </x:c>
      <x:c r="G286" s="14" t="n">
        <x:v>1</x:v>
      </x:c>
      <x:c r="H286" s="14" t="n">
        <x:v>0</x:v>
      </x:c>
      <x:c r="I286" s="14" t="n">
        <x:v>1</x:v>
      </x:c>
      <x:c r="J286" s="14" t="n">
        <x:v>0</x:v>
      </x:c>
      <x:c r="K286" s="14" t="n">
        <x:v>1092</x:v>
      </x:c>
      <x:c r="L286" s="14" t="n">
        <x:v>0</x:v>
      </x:c>
      <x:c r="M286" s="13" t="n">
        <x:v>1171.46</x:v>
      </x:c>
      <x:c r="N286" s="3" t="n">
        <x:v>57</x:v>
      </x:c>
      <x:c r="O286" s="13" t="n">
        <x:f>IF(G286=0,"n.a.",D286/G286)</x:f>
        <x:v>1171.46</x:v>
      </x:c>
      <x:c r="P286" s="15" t="n">
        <x:f>IF(D286=0,"n.a.",E286/D286)</x:f>
        <x:v>0</x:v>
      </x:c>
    </x:row>
    <x:row r="287" ht="22" customHeight="1">
      <x:c r="A287" s="3"/>
      <x:c r="B287" s="3" t="str">
        <x:v>2011-06</x:v>
      </x:c>
      <x:c r="C287" s="3" t="str">
        <x:v>Channel Islands</x:v>
      </x:c>
      <x:c r="D287" s="13" t="n">
        <x:v>2060.03</x:v>
      </x:c>
      <x:c r="E287" s="13" t="n">
        <x:v>0</x:v>
      </x:c>
      <x:c r="F287" s="13" t="n">
        <x:f>D287-E287</x:f>
        <x:v>2060.03</x:v>
      </x:c>
      <x:c r="G287" s="14" t="n">
        <x:v>1</x:v>
      </x:c>
      <x:c r="H287" s="14" t="n">
        <x:v>0</x:v>
      </x:c>
      <x:c r="I287" s="14" t="n">
        <x:v>1</x:v>
      </x:c>
      <x:c r="J287" s="14" t="n">
        <x:v>0</x:v>
      </x:c>
      <x:c r="K287" s="14" t="n">
        <x:v>836</x:v>
      </x:c>
      <x:c r="L287" s="14" t="n">
        <x:v>0</x:v>
      </x:c>
      <x:c r="M287" s="13" t="n">
        <x:v>2060.03</x:v>
      </x:c>
      <x:c r="N287" s="3" t="n">
        <x:v>81</x:v>
      </x:c>
      <x:c r="O287" s="13" t="n">
        <x:f>IF(G287=0,"n.a.",D287/G287)</x:f>
        <x:v>2060.03</x:v>
      </x:c>
      <x:c r="P287" s="15" t="n">
        <x:f>IF(D287=0,"n.a.",E287/D287)</x:f>
        <x:v>0</x:v>
      </x:c>
    </x:row>
    <x:row r="288" ht="22" customHeight="1">
      <x:c r="A288" s="3"/>
      <x:c r="B288" s="3" t="str">
        <x:v>2011-06</x:v>
      </x:c>
      <x:c r="C288" s="3" t="str">
        <x:v>Cyprus</x:v>
      </x:c>
      <x:c r="D288" s="13" t="n">
        <x:v>1109.32</x:v>
      </x:c>
      <x:c r="E288" s="13" t="n">
        <x:v>0</x:v>
      </x:c>
      <x:c r="F288" s="13" t="n">
        <x:f>D288-E288</x:f>
        <x:v>1109.32</x:v>
      </x:c>
      <x:c r="G288" s="14" t="n">
        <x:v>1</x:v>
      </x:c>
      <x:c r="H288" s="14" t="n">
        <x:v>0</x:v>
      </x:c>
      <x:c r="I288" s="14" t="n">
        <x:v>1</x:v>
      </x:c>
      <x:c r="J288" s="14" t="n">
        <x:v>0</x:v>
      </x:c>
      <x:c r="K288" s="14" t="n">
        <x:v>356</x:v>
      </x:c>
      <x:c r="L288" s="14" t="n">
        <x:v>0</x:v>
      </x:c>
      <x:c r="M288" s="13" t="n">
        <x:v>1109.32</x:v>
      </x:c>
      <x:c r="N288" s="3" t="n">
        <x:v>47</x:v>
      </x:c>
      <x:c r="O288" s="13" t="n">
        <x:f>IF(G288=0,"n.a.",D288/G288)</x:f>
        <x:v>1109.32</x:v>
      </x:c>
      <x:c r="P288" s="15" t="n">
        <x:f>IF(D288=0,"n.a.",E288/D288)</x:f>
        <x:v>0</x:v>
      </x:c>
    </x:row>
    <x:row r="289" ht="22" customHeight="1">
      <x:c r="A289" s="3"/>
      <x:c r="B289" s="3" t="str">
        <x:v>2011-06</x:v>
      </x:c>
      <x:c r="C289" s="3" t="str">
        <x:v>Czech Republic</x:v>
      </x:c>
      <x:c r="D289" s="13" t="n">
        <x:v>0</x:v>
      </x:c>
      <x:c r="E289" s="13" t="n">
        <x:v>0</x:v>
      </x:c>
      <x:c r="F289" s="13" t="n">
        <x:f>D289-E289</x:f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0</x:v>
      </x:c>
      <x:c r="K289" s="14" t="n">
        <x:v>0</x:v>
      </x:c>
      <x:c r="L289" s="14" t="n">
        <x:v>0</x:v>
      </x:c>
      <x:c r="M289" s="13" t="n">
        <x:v>0</x:v>
      </x:c>
      <x:c r="N289" s="3" t="n">
        <x:v>0</x:v>
      </x:c>
      <x:c r="O289" s="13" t="str">
        <x:f>IF(G289=0,"n.a.",D289/G289)</x:f>
        <x:v>n.a.</x:v>
      </x:c>
      <x:c r="P289" s="15" t="str">
        <x:f>IF(D289=0,"n.a.",E289/D289)</x:f>
        <x:v>n.a.</x:v>
      </x:c>
    </x:row>
    <x:row r="290" ht="22" customHeight="1">
      <x:c r="A290" s="3"/>
      <x:c r="B290" s="3" t="str">
        <x:v>2011-06</x:v>
      </x:c>
      <x:c r="C290" s="3" t="str">
        <x:v>Denmark</x:v>
      </x:c>
      <x:c r="D290" s="13" t="n">
        <x:v>3063.15</x:v>
      </x:c>
      <x:c r="E290" s="13" t="n">
        <x:v>0</x:v>
      </x:c>
      <x:c r="F290" s="13" t="n">
        <x:f>D290-E290</x:f>
        <x:v>3063.15</x:v>
      </x:c>
      <x:c r="G290" s="14" t="n">
        <x:v>3</x:v>
      </x:c>
      <x:c r="H290" s="14" t="n">
        <x:v>0</x:v>
      </x:c>
      <x:c r="I290" s="14" t="n">
        <x:v>3</x:v>
      </x:c>
      <x:c r="J290" s="14" t="n">
        <x:v>0</x:v>
      </x:c>
      <x:c r="K290" s="14" t="n">
        <x:v>1533</x:v>
      </x:c>
      <x:c r="L290" s="14" t="n">
        <x:v>0</x:v>
      </x:c>
      <x:c r="M290" s="13" t="n">
        <x:v>3063.15</x:v>
      </x:c>
      <x:c r="N290" s="3" t="n">
        <x:v>104</x:v>
      </x:c>
      <x:c r="O290" s="13" t="n">
        <x:f>IF(G290=0,"n.a.",D290/G290)</x:f>
        <x:v>1021.0500000000001</x:v>
      </x:c>
      <x:c r="P290" s="15" t="n">
        <x:f>IF(D290=0,"n.a.",E290/D290)</x:f>
        <x:v>0</x:v>
      </x:c>
    </x:row>
    <x:row r="291" ht="22" customHeight="1">
      <x:c r="A291" s="3"/>
      <x:c r="B291" s="3" t="str">
        <x:v>2011-06</x:v>
      </x:c>
      <x:c r="C291" s="3" t="str">
        <x:v>EIRE</x:v>
      </x:c>
      <x:c r="D291" s="13" t="n">
        <x:v>20713.29</x:v>
      </x:c>
      <x:c r="E291" s="13" t="n">
        <x:v>1113.04</x:v>
      </x:c>
      <x:c r="F291" s="13" t="n">
        <x:f>D291-E291</x:f>
        <x:v>19600.25</x:v>
      </x:c>
      <x:c r="G291" s="14" t="n">
        <x:v>26</x:v>
      </x:c>
      <x:c r="H291" s="14" t="n">
        <x:v>5</x:v>
      </x:c>
      <x:c r="I291" s="14" t="n">
        <x:v>2</x:v>
      </x:c>
      <x:c r="J291" s="14" t="n">
        <x:v>2</x:v>
      </x:c>
      <x:c r="K291" s="14" t="n">
        <x:v>12892</x:v>
      </x:c>
      <x:c r="L291" s="14" t="n">
        <x:v>567</x:v>
      </x:c>
      <x:c r="M291" s="13" t="n">
        <x:v>19410.99</x:v>
      </x:c>
      <x:c r="N291" s="3" t="n">
        <x:v>653</x:v>
      </x:c>
      <x:c r="O291" s="13" t="n">
        <x:f>IF(G291=0,"n.a.",D291/G291)</x:f>
        <x:v>796.6650000000001</x:v>
      </x:c>
      <x:c r="P291" s="15" t="n">
        <x:f>IF(D291=0,"n.a.",E291/D291)</x:f>
        <x:v>0.05373554852947069</x:v>
      </x:c>
    </x:row>
    <x:row r="292" ht="22" customHeight="1">
      <x:c r="A292" s="3"/>
      <x:c r="B292" s="3" t="str">
        <x:v>2011-06</x:v>
      </x:c>
      <x:c r="C292" s="3" t="str">
        <x:v>European Community</x:v>
      </x:c>
      <x:c r="D292" s="13" t="n">
        <x:v>387.05</x:v>
      </x:c>
      <x:c r="E292" s="13" t="n">
        <x:v>8.5</x:v>
      </x:c>
      <x:c r="F292" s="13" t="n">
        <x:f>D292-E292</x:f>
        <x:v>378.55</x:v>
      </x:c>
      <x:c r="G292" s="14" t="n">
        <x:v>1</x:v>
      </x:c>
      <x:c r="H292" s="14" t="n">
        <x:v>1</x:v>
      </x:c>
      <x:c r="I292" s="14" t="n">
        <x:v>1</x:v>
      </x:c>
      <x:c r="J292" s="14" t="n">
        <x:v>0</x:v>
      </x:c>
      <x:c r="K292" s="14" t="n">
        <x:v>127</x:v>
      </x:c>
      <x:c r="L292" s="14" t="n">
        <x:v>2</x:v>
      </x:c>
      <x:c r="M292" s="13" t="n">
        <x:v>387.05</x:v>
      </x:c>
      <x:c r="N292" s="3" t="n">
        <x:v>20</x:v>
      </x:c>
      <x:c r="O292" s="13" t="n">
        <x:f>IF(G292=0,"n.a.",D292/G292)</x:f>
        <x:v>387.05</x:v>
      </x:c>
      <x:c r="P292" s="15" t="n">
        <x:f>IF(D292=0,"n.a.",E292/D292)</x:f>
        <x:v>0.021960986952590102</x:v>
      </x:c>
    </x:row>
    <x:row r="293" ht="22" customHeight="1">
      <x:c r="A293" s="3"/>
      <x:c r="B293" s="3" t="str">
        <x:v>2011-06</x:v>
      </x:c>
      <x:c r="C293" s="3" t="str">
        <x:v>Finland</x:v>
      </x:c>
      <x:c r="D293" s="13" t="n">
        <x:v>289.56</x:v>
      </x:c>
      <x:c r="E293" s="13" t="n">
        <x:v>0</x:v>
      </x:c>
      <x:c r="F293" s="13" t="n">
        <x:f>D293-E293</x:f>
        <x:v>289.56</x:v>
      </x:c>
      <x:c r="G293" s="14" t="n">
        <x:v>1</x:v>
      </x:c>
      <x:c r="H293" s="14" t="n">
        <x:v>0</x:v>
      </x:c>
      <x:c r="I293" s="14" t="n">
        <x:v>1</x:v>
      </x:c>
      <x:c r="J293" s="14" t="n">
        <x:v>0</x:v>
      </x:c>
      <x:c r="K293" s="14" t="n">
        <x:v>156</x:v>
      </x:c>
      <x:c r="L293" s="14" t="n">
        <x:v>0</x:v>
      </x:c>
      <x:c r="M293" s="13" t="n">
        <x:v>289.56</x:v>
      </x:c>
      <x:c r="N293" s="3" t="n">
        <x:v>12</x:v>
      </x:c>
      <x:c r="O293" s="13" t="n">
        <x:f>IF(G293=0,"n.a.",D293/G293)</x:f>
        <x:v>289.56</x:v>
      </x:c>
      <x:c r="P293" s="15" t="n">
        <x:f>IF(D293=0,"n.a.",E293/D293)</x:f>
        <x:v>0</x:v>
      </x:c>
    </x:row>
    <x:row r="294" ht="22" customHeight="1">
      <x:c r="A294" s="3"/>
      <x:c r="B294" s="3" t="str">
        <x:v>2011-06</x:v>
      </x:c>
      <x:c r="C294" s="3" t="str">
        <x:v>France</x:v>
      </x:c>
      <x:c r="D294" s="13" t="n">
        <x:v>14962.41</x:v>
      </x:c>
      <x:c r="E294" s="13" t="n">
        <x:v>356.54</x:v>
      </x:c>
      <x:c r="F294" s="13" t="n">
        <x:f>D294-E294</x:f>
        <x:v>14605.869999999999</x:v>
      </x:c>
      <x:c r="G294" s="14" t="n">
        <x:v>31</x:v>
      </x:c>
      <x:c r="H294" s="14" t="n">
        <x:v>3</x:v>
      </x:c>
      <x:c r="I294" s="14" t="n">
        <x:v>25</x:v>
      </x:c>
      <x:c r="J294" s="14" t="n">
        <x:v>4</x:v>
      </x:c>
      <x:c r="K294" s="14" t="n">
        <x:v>9628</x:v>
      </x:c>
      <x:c r="L294" s="14" t="n">
        <x:v>264</x:v>
      </x:c>
      <x:c r="M294" s="13" t="n">
        <x:v>14692.97</x:v>
      </x:c>
      <x:c r="N294" s="3" t="n">
        <x:v>585</x:v>
      </x:c>
      <x:c r="O294" s="13" t="n">
        <x:f>IF(G294=0,"n.a.",D294/G294)</x:f>
        <x:v>482.65838709677416</x:v>
      </x:c>
      <x:c r="P294" s="15" t="n">
        <x:f>IF(D294=0,"n.a.",E294/D294)</x:f>
        <x:v>0.023829048929951795</x:v>
      </x:c>
    </x:row>
    <x:row r="295" ht="22" customHeight="1">
      <x:c r="A295" s="3"/>
      <x:c r="B295" s="3" t="str">
        <x:v>2011-06</x:v>
      </x:c>
      <x:c r="C295" s="3" t="str">
        <x:v>Germany</x:v>
      </x:c>
      <x:c r="D295" s="13" t="n">
        <x:v>12122.1</x:v>
      </x:c>
      <x:c r="E295" s="13" t="n">
        <x:v>157.08</x:v>
      </x:c>
      <x:c r="F295" s="13" t="n">
        <x:f>D295-E295</x:f>
        <x:v>11965.02</x:v>
      </x:c>
      <x:c r="G295" s="14" t="n">
        <x:v>24</x:v>
      </x:c>
      <x:c r="H295" s="14" t="n">
        <x:v>8</x:v>
      </x:c>
      <x:c r="I295" s="14" t="n">
        <x:v>21</x:v>
      </x:c>
      <x:c r="J295" s="14" t="n">
        <x:v>3</x:v>
      </x:c>
      <x:c r="K295" s="14" t="n">
        <x:v>7406</x:v>
      </x:c>
      <x:c r="L295" s="14" t="n">
        <x:v>120</x:v>
      </x:c>
      <x:c r="M295" s="13" t="n">
        <x:v>12122.1</x:v>
      </x:c>
      <x:c r="N295" s="3" t="n">
        <x:v>656</x:v>
      </x:c>
      <x:c r="O295" s="13" t="n">
        <x:f>IF(G295=0,"n.a.",D295/G295)</x:f>
        <x:v>505.08750000000003</x:v>
      </x:c>
      <x:c r="P295" s="15" t="n">
        <x:f>IF(D295=0,"n.a.",E295/D295)</x:f>
        <x:v>0.01295815081545277</x:v>
      </x:c>
    </x:row>
    <x:row r="296" ht="22" customHeight="1">
      <x:c r="A296" s="3"/>
      <x:c r="B296" s="3" t="str">
        <x:v>2011-06</x:v>
      </x:c>
      <x:c r="C296" s="3" t="str">
        <x:v>Greece</x:v>
      </x:c>
      <x:c r="D296" s="13" t="n">
        <x:v>0</x:v>
      </x:c>
      <x:c r="E296" s="13" t="n">
        <x:v>0</x:v>
      </x:c>
      <x:c r="F296" s="13" t="n">
        <x:f>D296-E296</x:f>
        <x:v>0</x:v>
      </x:c>
      <x:c r="G296" s="14" t="n">
        <x:v>0</x:v>
      </x:c>
      <x:c r="H296" s="14" t="n">
        <x:v>0</x:v>
      </x:c>
      <x:c r="I296" s="14" t="n">
        <x:v>0</x:v>
      </x:c>
      <x:c r="J296" s="14" t="n">
        <x:v>0</x:v>
      </x:c>
      <x:c r="K296" s="14" t="n">
        <x:v>0</x:v>
      </x:c>
      <x:c r="L296" s="14" t="n">
        <x:v>0</x:v>
      </x:c>
      <x:c r="M296" s="13" t="n">
        <x:v>0</x:v>
      </x:c>
      <x:c r="N296" s="3" t="n">
        <x:v>0</x:v>
      </x:c>
      <x:c r="O296" s="13" t="str">
        <x:f>IF(G296=0,"n.a.",D296/G296)</x:f>
        <x:v>n.a.</x:v>
      </x:c>
      <x:c r="P296" s="15" t="str">
        <x:f>IF(D296=0,"n.a.",E296/D296)</x:f>
        <x:v>n.a.</x:v>
      </x:c>
    </x:row>
    <x:row r="297" ht="22" customHeight="1">
      <x:c r="A297" s="3"/>
      <x:c r="B297" s="3" t="str">
        <x:v>2011-06</x:v>
      </x:c>
      <x:c r="C297" s="3" t="str">
        <x:v>Hong Kong</x:v>
      </x:c>
      <x:c r="D297" s="13" t="n">
        <x:v>618.96</x:v>
      </x:c>
      <x:c r="E297" s="13" t="n">
        <x:v>0</x:v>
      </x:c>
      <x:c r="F297" s="13" t="n">
        <x:f>D297-E297</x:f>
        <x:v>618.96</x:v>
      </x:c>
      <x:c r="G297" s="14" t="n">
        <x:v>1</x:v>
      </x:c>
      <x:c r="H297" s="14" t="n">
        <x:v>0</x:v>
      </x:c>
      <x:c r="I297" s="14" t="n">
        <x:v>0</x:v>
      </x:c>
      <x:c r="J297" s="14" t="n">
        <x:v>0</x:v>
      </x:c>
      <x:c r="K297" s="14" t="n">
        <x:v>536</x:v>
      </x:c>
      <x:c r="L297" s="14" t="n">
        <x:v>0</x:v>
      </x:c>
      <x:c r="M297" s="13" t="n">
        <x:v>0</x:v>
      </x:c>
      <x:c r="N297" s="3" t="n">
        <x:v>15</x:v>
      </x:c>
      <x:c r="O297" s="13" t="n">
        <x:f>IF(G297=0,"n.a.",D297/G297)</x:f>
        <x:v>618.96</x:v>
      </x:c>
      <x:c r="P297" s="15" t="n">
        <x:f>IF(D297=0,"n.a.",E297/D297)</x:f>
        <x:v>0</x:v>
      </x:c>
    </x:row>
    <x:row r="298" ht="22" customHeight="1">
      <x:c r="A298" s="3"/>
      <x:c r="B298" s="3" t="str">
        <x:v>2011-06</x:v>
      </x:c>
      <x:c r="C298" s="3" t="str">
        <x:v>Iceland</x:v>
      </x:c>
      <x:c r="D298" s="13" t="n">
        <x:v>382.52</x:v>
      </x:c>
      <x:c r="E298" s="13" t="n">
        <x:v>0</x:v>
      </x:c>
      <x:c r="F298" s="13" t="n">
        <x:f>D298-E298</x:f>
        <x:v>382.52</x:v>
      </x:c>
      <x:c r="G298" s="14" t="n">
        <x:v>1</x:v>
      </x:c>
      <x:c r="H298" s="14" t="n">
        <x:v>0</x:v>
      </x:c>
      <x:c r="I298" s="14" t="n">
        <x:v>1</x:v>
      </x:c>
      <x:c r="J298" s="14" t="n">
        <x:v>0</x:v>
      </x:c>
      <x:c r="K298" s="14" t="n">
        <x:v>196</x:v>
      </x:c>
      <x:c r="L298" s="14" t="n">
        <x:v>0</x:v>
      </x:c>
      <x:c r="M298" s="13" t="n">
        <x:v>382.52</x:v>
      </x:c>
      <x:c r="N298" s="3" t="n">
        <x:v>18</x:v>
      </x:c>
      <x:c r="O298" s="13" t="n">
        <x:f>IF(G298=0,"n.a.",D298/G298)</x:f>
        <x:v>382.52</x:v>
      </x:c>
      <x:c r="P298" s="15" t="n">
        <x:f>IF(D298=0,"n.a.",E298/D298)</x:f>
        <x:v>0</x:v>
      </x:c>
    </x:row>
    <x:row r="299" ht="22" customHeight="1">
      <x:c r="A299" s="3"/>
      <x:c r="B299" s="3" t="str">
        <x:v>2011-06</x:v>
      </x:c>
      <x:c r="C299" s="3" t="str">
        <x:v>Israel</x:v>
      </x:c>
      <x:c r="D299" s="13" t="n">
        <x:v>0</x:v>
      </x:c>
      <x:c r="E299" s="13" t="n">
        <x:v>0</x:v>
      </x:c>
      <x:c r="F299" s="13" t="n">
        <x:f>D299-E299</x:f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0</x:v>
      </x:c>
      <x:c r="K299" s="14" t="n">
        <x:v>0</x:v>
      </x:c>
      <x:c r="L299" s="14" t="n">
        <x:v>0</x:v>
      </x:c>
      <x:c r="M299" s="13" t="n">
        <x:v>0</x:v>
      </x:c>
      <x:c r="N299" s="3" t="n">
        <x:v>0</x:v>
      </x:c>
      <x:c r="O299" s="13" t="str">
        <x:f>IF(G299=0,"n.a.",D299/G299)</x:f>
        <x:v>n.a.</x:v>
      </x:c>
      <x:c r="P299" s="15" t="str">
        <x:f>IF(D299=0,"n.a.",E299/D299)</x:f>
        <x:v>n.a.</x:v>
      </x:c>
    </x:row>
    <x:row r="300" ht="22" customHeight="1">
      <x:c r="A300" s="3"/>
      <x:c r="B300" s="3" t="str">
        <x:v>2011-06</x:v>
      </x:c>
      <x:c r="C300" s="3" t="str">
        <x:v>Italy</x:v>
      </x:c>
      <x:c r="D300" s="13" t="n">
        <x:v>202.07</x:v>
      </x:c>
      <x:c r="E300" s="13" t="n">
        <x:v>39.8</x:v>
      </x:c>
      <x:c r="F300" s="13" t="n">
        <x:f>D300-E300</x:f>
        <x:v>162.26999999999998</x:v>
      </x:c>
      <x:c r="G300" s="14" t="n">
        <x:v>2</x:v>
      </x:c>
      <x:c r="H300" s="14" t="n">
        <x:v>1</x:v>
      </x:c>
      <x:c r="I300" s="14" t="n">
        <x:v>2</x:v>
      </x:c>
      <x:c r="J300" s="14" t="n">
        <x:v>0</x:v>
      </x:c>
      <x:c r="K300" s="14" t="n">
        <x:v>55</x:v>
      </x:c>
      <x:c r="L300" s="14" t="n">
        <x:v>4</x:v>
      </x:c>
      <x:c r="M300" s="13" t="n">
        <x:v>202.07</x:v>
      </x:c>
      <x:c r="N300" s="3" t="n">
        <x:v>13</x:v>
      </x:c>
      <x:c r="O300" s="13" t="n">
        <x:f>IF(G300=0,"n.a.",D300/G300)</x:f>
        <x:v>101.035</x:v>
      </x:c>
      <x:c r="P300" s="15" t="n">
        <x:f>IF(D300=0,"n.a.",E300/D300)</x:f>
        <x:v>0.1969614490028208</x:v>
      </x:c>
    </x:row>
    <x:row r="301" ht="22" customHeight="1">
      <x:c r="A301" s="3"/>
      <x:c r="B301" s="3" t="str">
        <x:v>2011-06</x:v>
      </x:c>
      <x:c r="C301" s="3" t="str">
        <x:v>Japan</x:v>
      </x:c>
      <x:c r="D301" s="13" t="n">
        <x:v>1607.04</x:v>
      </x:c>
      <x:c r="E301" s="13" t="n">
        <x:v>0</x:v>
      </x:c>
      <x:c r="F301" s="13" t="n">
        <x:f>D301-E301</x:f>
        <x:v>1607.04</x:v>
      </x:c>
      <x:c r="G301" s="14" t="n">
        <x:v>1</x:v>
      </x:c>
      <x:c r="H301" s="14" t="n">
        <x:v>0</x:v>
      </x:c>
      <x:c r="I301" s="14" t="n">
        <x:v>1</x:v>
      </x:c>
      <x:c r="J301" s="14" t="n">
        <x:v>0</x:v>
      </x:c>
      <x:c r="K301" s="14" t="n">
        <x:v>2256</x:v>
      </x:c>
      <x:c r="L301" s="14" t="n">
        <x:v>0</x:v>
      </x:c>
      <x:c r="M301" s="13" t="n">
        <x:v>1607.04</x:v>
      </x:c>
      <x:c r="N301" s="3" t="n">
        <x:v>6</x:v>
      </x:c>
      <x:c r="O301" s="13" t="n">
        <x:f>IF(G301=0,"n.a.",D301/G301)</x:f>
        <x:v>1607.04</x:v>
      </x:c>
      <x:c r="P301" s="15" t="n">
        <x:f>IF(D301=0,"n.a.",E301/D301)</x:f>
        <x:v>0</x:v>
      </x:c>
    </x:row>
    <x:row r="302" ht="22" customHeight="1">
      <x:c r="A302" s="3"/>
      <x:c r="B302" s="3" t="str">
        <x:v>2011-06</x:v>
      </x:c>
      <x:c r="C302" s="3" t="str">
        <x:v>Lebanon</x:v>
      </x:c>
      <x:c r="D302" s="13" t="n">
        <x:v>0</x:v>
      </x:c>
      <x:c r="E302" s="13" t="n">
        <x:v>0</x:v>
      </x:c>
      <x:c r="F302" s="13" t="n">
        <x:f>D302-E302</x:f>
        <x:v>0</x:v>
      </x:c>
      <x:c r="G302" s="14" t="n">
        <x:v>0</x:v>
      </x:c>
      <x:c r="H302" s="14" t="n">
        <x:v>0</x:v>
      </x:c>
      <x:c r="I302" s="14" t="n">
        <x:v>0</x:v>
      </x:c>
      <x:c r="J302" s="14" t="n">
        <x:v>0</x:v>
      </x:c>
      <x:c r="K302" s="14" t="n">
        <x:v>0</x:v>
      </x:c>
      <x:c r="L302" s="14" t="n">
        <x:v>0</x:v>
      </x:c>
      <x:c r="M302" s="13" t="n">
        <x:v>0</x:v>
      </x:c>
      <x:c r="N302" s="3" t="n">
        <x:v>0</x:v>
      </x:c>
      <x:c r="O302" s="13" t="str">
        <x:f>IF(G302=0,"n.a.",D302/G302)</x:f>
        <x:v>n.a.</x:v>
      </x:c>
      <x:c r="P302" s="15" t="str">
        <x:f>IF(D302=0,"n.a.",E302/D302)</x:f>
        <x:v>n.a.</x:v>
      </x:c>
    </x:row>
    <x:row r="303" ht="22" customHeight="1">
      <x:c r="A303" s="3"/>
      <x:c r="B303" s="3" t="str">
        <x:v>2011-06</x:v>
      </x:c>
      <x:c r="C303" s="3" t="str">
        <x:v>Lithuania</x:v>
      </x:c>
      <x:c r="D303" s="13" t="n">
        <x:v>0</x:v>
      </x:c>
      <x:c r="E303" s="13" t="n">
        <x:v>0</x:v>
      </x:c>
      <x:c r="F303" s="13" t="n">
        <x:f>D303-E303</x:f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0</x:v>
      </x:c>
      <x:c r="K303" s="14" t="n">
        <x:v>0</x:v>
      </x:c>
      <x:c r="L303" s="14" t="n">
        <x:v>0</x:v>
      </x:c>
      <x:c r="M303" s="13" t="n">
        <x:v>0</x:v>
      </x:c>
      <x:c r="N303" s="3" t="n">
        <x:v>0</x:v>
      </x:c>
      <x:c r="O303" s="13" t="str">
        <x:f>IF(G303=0,"n.a.",D303/G303)</x:f>
        <x:v>n.a.</x:v>
      </x:c>
      <x:c r="P303" s="15" t="str">
        <x:f>IF(D303=0,"n.a.",E303/D303)</x:f>
        <x:v>n.a.</x:v>
      </x:c>
    </x:row>
    <x:row r="304" ht="22" customHeight="1">
      <x:c r="A304" s="3"/>
      <x:c r="B304" s="3" t="str">
        <x:v>2011-06</x:v>
      </x:c>
      <x:c r="C304" s="3" t="str">
        <x:v>Malta</x:v>
      </x:c>
      <x:c r="D304" s="13" t="n">
        <x:v>703.16</x:v>
      </x:c>
      <x:c r="E304" s="13" t="n">
        <x:v>12.75</x:v>
      </x:c>
      <x:c r="F304" s="13" t="n">
        <x:f>D304-E304</x:f>
        <x:v>690.41</x:v>
      </x:c>
      <x:c r="G304" s="14" t="n">
        <x:v>2</x:v>
      </x:c>
      <x:c r="H304" s="14" t="n">
        <x:v>1</x:v>
      </x:c>
      <x:c r="I304" s="14" t="n">
        <x:v>1</x:v>
      </x:c>
      <x:c r="J304" s="14" t="n">
        <x:v>1</x:v>
      </x:c>
      <x:c r="K304" s="14" t="n">
        <x:v>398</x:v>
      </x:c>
      <x:c r="L304" s="14" t="n">
        <x:v>3</x:v>
      </x:c>
      <x:c r="M304" s="13" t="n">
        <x:v>703.16</x:v>
      </x:c>
      <x:c r="N304" s="3" t="n">
        <x:v>46</x:v>
      </x:c>
      <x:c r="O304" s="13" t="n">
        <x:f>IF(G304=0,"n.a.",D304/G304)</x:f>
        <x:v>351.58</x:v>
      </x:c>
      <x:c r="P304" s="15" t="n">
        <x:f>IF(D304=0,"n.a.",E304/D304)</x:f>
        <x:v>0.018132430741225326</x:v>
      </x:c>
    </x:row>
    <x:row r="305" ht="22" customHeight="1">
      <x:c r="A305" s="3"/>
      <x:c r="B305" s="3" t="str">
        <x:v>2011-06</x:v>
      </x:c>
      <x:c r="C305" s="3" t="str">
        <x:v>Netherlands</x:v>
      </x:c>
      <x:c r="D305" s="13" t="n">
        <x:v>26753.09</x:v>
      </x:c>
      <x:c r="E305" s="13" t="n">
        <x:v>15</x:v>
      </x:c>
      <x:c r="F305" s="13" t="n">
        <x:f>D305-E305</x:f>
        <x:v>26738.09</x:v>
      </x:c>
      <x:c r="G305" s="14" t="n">
        <x:v>11</x:v>
      </x:c>
      <x:c r="H305" s="14" t="n">
        <x:v>1</x:v>
      </x:c>
      <x:c r="I305" s="14" t="n">
        <x:v>5</x:v>
      </x:c>
      <x:c r="J305" s="14" t="n">
        <x:v>1</x:v>
      </x:c>
      <x:c r="K305" s="14" t="n">
        <x:v>19737</x:v>
      </x:c>
      <x:c r="L305" s="14" t="n">
        <x:v>12</x:v>
      </x:c>
      <x:c r="M305" s="13" t="n">
        <x:v>26753.09</x:v>
      </x:c>
      <x:c r="N305" s="3" t="n">
        <x:v>321</x:v>
      </x:c>
      <x:c r="O305" s="13" t="n">
        <x:f>IF(G305=0,"n.a.",D305/G305)</x:f>
        <x:v>2432.099090909091</x:v>
      </x:c>
      <x:c r="P305" s="15" t="n">
        <x:f>IF(D305=0,"n.a.",E305/D305)</x:f>
        <x:v>0.0005606828968167789</x:v>
      </x:c>
    </x:row>
    <x:row r="306" ht="22" customHeight="1">
      <x:c r="A306" s="3"/>
      <x:c r="B306" s="3" t="str">
        <x:v>2011-06</x:v>
      </x:c>
      <x:c r="C306" s="3" t="str">
        <x:v>Norway</x:v>
      </x:c>
      <x:c r="D306" s="13" t="n">
        <x:v>5186.86</x:v>
      </x:c>
      <x:c r="E306" s="13" t="n">
        <x:v>0</x:v>
      </x:c>
      <x:c r="F306" s="13" t="n">
        <x:f>D306-E306</x:f>
        <x:v>5186.86</x:v>
      </x:c>
      <x:c r="G306" s="14" t="n">
        <x:v>3</x:v>
      </x:c>
      <x:c r="H306" s="14" t="n">
        <x:v>0</x:v>
      </x:c>
      <x:c r="I306" s="14" t="n">
        <x:v>2</x:v>
      </x:c>
      <x:c r="J306" s="14" t="n">
        <x:v>1</x:v>
      </x:c>
      <x:c r="K306" s="14" t="n">
        <x:v>2008</x:v>
      </x:c>
      <x:c r="L306" s="14" t="n">
        <x:v>0</x:v>
      </x:c>
      <x:c r="M306" s="13" t="n">
        <x:v>5186.86</x:v>
      </x:c>
      <x:c r="N306" s="3" t="n">
        <x:v>165</x:v>
      </x:c>
      <x:c r="O306" s="13" t="n">
        <x:f>IF(G306=0,"n.a.",D306/G306)</x:f>
        <x:v>1728.9533333333331</x:v>
      </x:c>
      <x:c r="P306" s="15" t="n">
        <x:f>IF(D306=0,"n.a.",E306/D306)</x:f>
        <x:v>0</x:v>
      </x:c>
    </x:row>
    <x:row r="307" ht="22" customHeight="1">
      <x:c r="A307" s="3"/>
      <x:c r="B307" s="3" t="str">
        <x:v>2011-06</x:v>
      </x:c>
      <x:c r="C307" s="3" t="str">
        <x:v>Poland</x:v>
      </x:c>
      <x:c r="D307" s="13" t="n">
        <x:v>263.65</x:v>
      </x:c>
      <x:c r="E307" s="13" t="n">
        <x:v>78.91</x:v>
      </x:c>
      <x:c r="F307" s="13" t="n">
        <x:f>D307-E307</x:f>
        <x:v>184.73999999999998</x:v>
      </x:c>
      <x:c r="G307" s="14" t="n">
        <x:v>2</x:v>
      </x:c>
      <x:c r="H307" s="14" t="n">
        <x:v>2</x:v>
      </x:c>
      <x:c r="I307" s="14" t="n">
        <x:v>2</x:v>
      </x:c>
      <x:c r="J307" s="14" t="n">
        <x:v>0</x:v>
      </x:c>
      <x:c r="K307" s="14" t="n">
        <x:v>79</x:v>
      </x:c>
      <x:c r="L307" s="14" t="n">
        <x:v>11</x:v>
      </x:c>
      <x:c r="M307" s="13" t="n">
        <x:v>263.65</x:v>
      </x:c>
      <x:c r="N307" s="3" t="n">
        <x:v>19</x:v>
      </x:c>
      <x:c r="O307" s="13" t="n">
        <x:f>IF(G307=0,"n.a.",D307/G307)</x:f>
        <x:v>131.825</x:v>
      </x:c>
      <x:c r="P307" s="15" t="n">
        <x:f>IF(D307=0,"n.a.",E307/D307)</x:f>
        <x:v>0.2992983121562678</x:v>
      </x:c>
    </x:row>
    <x:row r="308" ht="22" customHeight="1">
      <x:c r="A308" s="3"/>
      <x:c r="B308" s="3" t="str">
        <x:v>2011-06</x:v>
      </x:c>
      <x:c r="C308" s="3" t="str">
        <x:v>Portugal</x:v>
      </x:c>
      <x:c r="D308" s="13" t="n">
        <x:v>800.46</x:v>
      </x:c>
      <x:c r="E308" s="13" t="n">
        <x:v>4.95</x:v>
      </x:c>
      <x:c r="F308" s="13" t="n">
        <x:f>D308-E308</x:f>
        <x:v>795.51</x:v>
      </x:c>
      <x:c r="G308" s="14" t="n">
        <x:v>3</x:v>
      </x:c>
      <x:c r="H308" s="14" t="n">
        <x:v>1</x:v>
      </x:c>
      <x:c r="I308" s="14" t="n">
        <x:v>3</x:v>
      </x:c>
      <x:c r="J308" s="14" t="n">
        <x:v>0</x:v>
      </x:c>
      <x:c r="K308" s="14" t="n">
        <x:v>418</x:v>
      </x:c>
      <x:c r="L308" s="14" t="n">
        <x:v>1</x:v>
      </x:c>
      <x:c r="M308" s="13" t="n">
        <x:v>800.46</x:v>
      </x:c>
      <x:c r="N308" s="3" t="n">
        <x:v>48</x:v>
      </x:c>
      <x:c r="O308" s="13" t="n">
        <x:f>IF(G308=0,"n.a.",D308/G308)</x:f>
        <x:v>266.82</x:v>
      </x:c>
      <x:c r="P308" s="15" t="n">
        <x:f>IF(D308=0,"n.a.",E308/D308)</x:f>
        <x:v>0.0061839442320665615</x:v>
      </x:c>
    </x:row>
    <x:row r="309" ht="22" customHeight="1">
      <x:c r="A309" s="3"/>
      <x:c r="B309" s="3" t="str">
        <x:v>2011-06</x:v>
      </x:c>
      <x:c r="C309" s="3" t="str">
        <x:v>RSA</x:v>
      </x:c>
      <x:c r="D309" s="13" t="n">
        <x:v>0</x:v>
      </x:c>
      <x:c r="E309" s="13" t="n">
        <x:v>0</x:v>
      </x:c>
      <x:c r="F309" s="13" t="n">
        <x:f>D309-E309</x:f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0</x:v>
      </x:c>
      <x:c r="K309" s="14" t="n">
        <x:v>0</x:v>
      </x:c>
      <x:c r="L309" s="14" t="n">
        <x:v>0</x:v>
      </x:c>
      <x:c r="M309" s="13" t="n">
        <x:v>0</x:v>
      </x:c>
      <x:c r="N309" s="3" t="n">
        <x:v>0</x:v>
      </x:c>
      <x:c r="O309" s="13" t="str">
        <x:f>IF(G309=0,"n.a.",D309/G309)</x:f>
        <x:v>n.a.</x:v>
      </x:c>
      <x:c r="P309" s="15" t="str">
        <x:f>IF(D309=0,"n.a.",E309/D309)</x:f>
        <x:v>n.a.</x:v>
      </x:c>
    </x:row>
    <x:row r="310" ht="22" customHeight="1">
      <x:c r="A310" s="3"/>
      <x:c r="B310" s="3" t="str">
        <x:v>2011-06</x:v>
      </x:c>
      <x:c r="C310" s="3" t="str">
        <x:v>Saudi Arabia</x:v>
      </x:c>
      <x:c r="D310" s="13" t="n">
        <x:v>0</x:v>
      </x:c>
      <x:c r="E310" s="13" t="n">
        <x:v>0</x:v>
      </x:c>
      <x:c r="F310" s="13" t="n">
        <x:f>D310-E310</x:f>
        <x:v>0</x:v>
      </x:c>
      <x:c r="G310" s="14" t="n">
        <x:v>0</x:v>
      </x:c>
      <x:c r="H310" s="14" t="n">
        <x:v>0</x:v>
      </x:c>
      <x:c r="I310" s="14" t="n">
        <x:v>0</x:v>
      </x:c>
      <x:c r="J310" s="14" t="n">
        <x:v>0</x:v>
      </x:c>
      <x:c r="K310" s="14" t="n">
        <x:v>0</x:v>
      </x:c>
      <x:c r="L310" s="14" t="n">
        <x:v>0</x:v>
      </x:c>
      <x:c r="M310" s="13" t="n">
        <x:v>0</x:v>
      </x:c>
      <x:c r="N310" s="3" t="n">
        <x:v>0</x:v>
      </x:c>
      <x:c r="O310" s="13" t="str">
        <x:f>IF(G310=0,"n.a.",D310/G310)</x:f>
        <x:v>n.a.</x:v>
      </x:c>
      <x:c r="P310" s="15" t="str">
        <x:f>IF(D310=0,"n.a.",E310/D310)</x:f>
        <x:v>n.a.</x:v>
      </x:c>
    </x:row>
    <x:row r="311" ht="22" customHeight="1">
      <x:c r="A311" s="3"/>
      <x:c r="B311" s="3" t="str">
        <x:v>2011-06</x:v>
      </x:c>
      <x:c r="C311" s="3" t="str">
        <x:v>Singapore</x:v>
      </x:c>
      <x:c r="D311" s="13" t="n">
        <x:v>0</x:v>
      </x:c>
      <x:c r="E311" s="13" t="n">
        <x:v>0</x:v>
      </x:c>
      <x:c r="F311" s="13" t="n">
        <x:f>D311-E311</x:f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0</x:v>
      </x:c>
      <x:c r="K311" s="14" t="n">
        <x:v>0</x:v>
      </x:c>
      <x:c r="L311" s="14" t="n">
        <x:v>0</x:v>
      </x:c>
      <x:c r="M311" s="13" t="n">
        <x:v>0</x:v>
      </x:c>
      <x:c r="N311" s="3" t="n">
        <x:v>0</x:v>
      </x:c>
      <x:c r="O311" s="13" t="str">
        <x:f>IF(G311=0,"n.a.",D311/G311)</x:f>
        <x:v>n.a.</x:v>
      </x:c>
      <x:c r="P311" s="15" t="str">
        <x:f>IF(D311=0,"n.a.",E311/D311)</x:f>
        <x:v>n.a.</x:v>
      </x:c>
    </x:row>
    <x:row r="312" ht="22" customHeight="1">
      <x:c r="A312" s="3"/>
      <x:c r="B312" s="3" t="str">
        <x:v>2011-06</x:v>
      </x:c>
      <x:c r="C312" s="3" t="str">
        <x:v>Spain</x:v>
      </x:c>
      <x:c r="D312" s="13" t="n">
        <x:v>2717.21</x:v>
      </x:c>
      <x:c r="E312" s="13" t="n">
        <x:v>0</x:v>
      </x:c>
      <x:c r="F312" s="13" t="n">
        <x:f>D312-E312</x:f>
        <x:v>2717.21</x:v>
      </x:c>
      <x:c r="G312" s="14" t="n">
        <x:v>8</x:v>
      </x:c>
      <x:c r="H312" s="14" t="n">
        <x:v>0</x:v>
      </x:c>
      <x:c r="I312" s="14" t="n">
        <x:v>8</x:v>
      </x:c>
      <x:c r="J312" s="14" t="n">
        <x:v>0</x:v>
      </x:c>
      <x:c r="K312" s="14" t="n">
        <x:v>1516</x:v>
      </x:c>
      <x:c r="L312" s="14" t="n">
        <x:v>0</x:v>
      </x:c>
      <x:c r="M312" s="13" t="n">
        <x:v>2717.21</x:v>
      </x:c>
      <x:c r="N312" s="3" t="n">
        <x:v>174</x:v>
      </x:c>
      <x:c r="O312" s="13" t="n">
        <x:f>IF(G312=0,"n.a.",D312/G312)</x:f>
        <x:v>339.65125</x:v>
      </x:c>
      <x:c r="P312" s="15" t="n">
        <x:f>IF(D312=0,"n.a.",E312/D312)</x:f>
        <x:v>0</x:v>
      </x:c>
    </x:row>
    <x:row r="313" ht="22" customHeight="1">
      <x:c r="A313" s="3"/>
      <x:c r="B313" s="3" t="str">
        <x:v>2011-06</x:v>
      </x:c>
      <x:c r="C313" s="3" t="str">
        <x:v>Sweden</x:v>
      </x:c>
      <x:c r="D313" s="13" t="n">
        <x:v>676</x:v>
      </x:c>
      <x:c r="E313" s="13" t="n">
        <x:v>0</x:v>
      </x:c>
      <x:c r="F313" s="13" t="n">
        <x:f>D313-E313</x:f>
        <x:v>676</x:v>
      </x:c>
      <x:c r="G313" s="14" t="n">
        <x:v>3</x:v>
      </x:c>
      <x:c r="H313" s="14" t="n">
        <x:v>0</x:v>
      </x:c>
      <x:c r="I313" s="14" t="n">
        <x:v>3</x:v>
      </x:c>
      <x:c r="J313" s="14" t="n">
        <x:v>0</x:v>
      </x:c>
      <x:c r="K313" s="14" t="n">
        <x:v>399</x:v>
      </x:c>
      <x:c r="L313" s="14" t="n">
        <x:v>0</x:v>
      </x:c>
      <x:c r="M313" s="13" t="n">
        <x:v>676</x:v>
      </x:c>
      <x:c r="N313" s="3" t="n">
        <x:v>32</x:v>
      </x:c>
      <x:c r="O313" s="13" t="n">
        <x:f>IF(G313=0,"n.a.",D313/G313)</x:f>
        <x:v>225.33333333333334</x:v>
      </x:c>
      <x:c r="P313" s="15" t="n">
        <x:f>IF(D313=0,"n.a.",E313/D313)</x:f>
        <x:v>0</x:v>
      </x:c>
    </x:row>
    <x:row r="314" ht="22" customHeight="1">
      <x:c r="A314" s="3"/>
      <x:c r="B314" s="3" t="str">
        <x:v>2011-06</x:v>
      </x:c>
      <x:c r="C314" s="3" t="str">
        <x:v>Switzerland</x:v>
      </x:c>
      <x:c r="D314" s="13" t="n">
        <x:v>7544.15</x:v>
      </x:c>
      <x:c r="E314" s="13" t="n">
        <x:v>21.95</x:v>
      </x:c>
      <x:c r="F314" s="13" t="n">
        <x:f>D314-E314</x:f>
        <x:v>7522.2</x:v>
      </x:c>
      <x:c r="G314" s="14" t="n">
        <x:v>4</x:v>
      </x:c>
      <x:c r="H314" s="14" t="n">
        <x:v>1</x:v>
      </x:c>
      <x:c r="I314" s="14" t="n">
        <x:v>4</x:v>
      </x:c>
      <x:c r="J314" s="14" t="n">
        <x:v>0</x:v>
      </x:c>
      <x:c r="K314" s="14" t="n">
        <x:v>3961</x:v>
      </x:c>
      <x:c r="L314" s="14" t="n">
        <x:v>5</x:v>
      </x:c>
      <x:c r="M314" s="13" t="n">
        <x:v>7544.15</x:v>
      </x:c>
      <x:c r="N314" s="3" t="n">
        <x:v>126</x:v>
      </x:c>
      <x:c r="O314" s="13" t="n">
        <x:f>IF(G314=0,"n.a.",D314/G314)</x:f>
        <x:v>1886.0375</x:v>
      </x:c>
      <x:c r="P314" s="15" t="n">
        <x:f>IF(D314=0,"n.a.",E314/D314)</x:f>
        <x:v>0.002909539179364143</x:v>
      </x:c>
    </x:row>
    <x:row r="315" ht="22" customHeight="1">
      <x:c r="A315" s="3"/>
      <x:c r="B315" s="3" t="str">
        <x:v>2011-06</x:v>
      </x:c>
      <x:c r="C315" s="3" t="str">
        <x:v>USA</x:v>
      </x:c>
      <x:c r="D315" s="13" t="n">
        <x:v>0</x:v>
      </x:c>
      <x:c r="E315" s="13" t="n">
        <x:v>0</x:v>
      </x:c>
      <x:c r="F315" s="13" t="n">
        <x:f>D315-E315</x:f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0</x:v>
      </x:c>
      <x:c r="K315" s="14" t="n">
        <x:v>0</x:v>
      </x:c>
      <x:c r="L315" s="14" t="n">
        <x:v>0</x:v>
      </x:c>
      <x:c r="M315" s="13" t="n">
        <x:v>0</x:v>
      </x:c>
      <x:c r="N315" s="3" t="n">
        <x:v>0</x:v>
      </x:c>
      <x:c r="O315" s="13" t="str">
        <x:f>IF(G315=0,"n.a.",D315/G315)</x:f>
        <x:v>n.a.</x:v>
      </x:c>
      <x:c r="P315" s="15" t="str">
        <x:f>IF(D315=0,"n.a.",E315/D315)</x:f>
        <x:v>n.a.</x:v>
      </x:c>
    </x:row>
    <x:row r="316" ht="22" customHeight="1">
      <x:c r="A316" s="3"/>
      <x:c r="B316" s="3" t="str">
        <x:v>2011-06</x:v>
      </x:c>
      <x:c r="C316" s="3" t="str">
        <x:v>United Arab Emirates</x:v>
      </x:c>
      <x:c r="D316" s="13" t="n">
        <x:v>0</x:v>
      </x:c>
      <x:c r="E316" s="13" t="n">
        <x:v>0</x:v>
      </x:c>
      <x:c r="F316" s="13" t="n">
        <x:f>D316-E316</x:f>
        <x:v>0</x:v>
      </x:c>
      <x:c r="G316" s="14" t="n">
        <x:v>0</x:v>
      </x:c>
      <x:c r="H316" s="14" t="n">
        <x:v>0</x:v>
      </x:c>
      <x:c r="I316" s="14" t="n">
        <x:v>0</x:v>
      </x:c>
      <x:c r="J316" s="14" t="n">
        <x:v>0</x:v>
      </x:c>
      <x:c r="K316" s="14" t="n">
        <x:v>0</x:v>
      </x:c>
      <x:c r="L316" s="14" t="n">
        <x:v>0</x:v>
      </x:c>
      <x:c r="M316" s="13" t="n">
        <x:v>0</x:v>
      </x:c>
      <x:c r="N316" s="3" t="n">
        <x:v>0</x:v>
      </x:c>
      <x:c r="O316" s="13" t="str">
        <x:f>IF(G316=0,"n.a.",D316/G316)</x:f>
        <x:v>n.a.</x:v>
      </x:c>
      <x:c r="P316" s="15" t="str">
        <x:f>IF(D316=0,"n.a.",E316/D316)</x:f>
        <x:v>n.a.</x:v>
      </x:c>
    </x:row>
    <x:row r="317" ht="22" customHeight="1">
      <x:c r="A317" s="3"/>
      <x:c r="B317" s="3" t="str">
        <x:v>2011-06</x:v>
      </x:c>
      <x:c r="C317" s="3" t="str">
        <x:v>United Kingdom</x:v>
      </x:c>
      <x:c r="D317" s="13" t="n">
        <x:v>606195.96</x:v>
      </x:c>
      <x:c r="E317" s="13" t="n">
        <x:v>11903.47</x:v>
      </x:c>
      <x:c r="F317" s="13" t="n">
        <x:f>D317-E317</x:f>
        <x:v>594292.49</x:v>
      </x:c>
      <x:c r="G317" s="14" t="n">
        <x:v>1379</x:v>
      </x:c>
      <x:c r="H317" s="14" t="n">
        <x:v>272</x:v>
      </x:c>
      <x:c r="I317" s="14" t="n">
        <x:v>888</x:v>
      </x:c>
      <x:c r="J317" s="14" t="n">
        <x:v>204</x:v>
      </x:c>
      <x:c r="K317" s="14" t="n">
        <x:v>304965</x:v>
      </x:c>
      <x:c r="L317" s="14" t="n">
        <x:v>6211</x:v>
      </x:c>
      <x:c r="M317" s="13" t="n">
        <x:v>524067.35</x:v>
      </x:c>
      <x:c r="N317" s="3" t="n">
        <x:v>32842</x:v>
      </x:c>
      <x:c r="O317" s="13" t="n">
        <x:f>IF(G317=0,"n.a.",D317/G317)</x:f>
        <x:v>439.5909789702683</x:v>
      </x:c>
      <x:c r="P317" s="15" t="n">
        <x:f>IF(D317=0,"n.a.",E317/D317)</x:f>
        <x:v>0.019636340037634033</x:v>
      </x:c>
    </x:row>
    <x:row r="318" ht="22" customHeight="1">
      <x:c r="A318" s="3"/>
      <x:c r="B318" s="3" t="str">
        <x:v>2011-06</x:v>
      </x:c>
      <x:c r="C318" s="3" t="str">
        <x:v>Unspecified</x:v>
      </x:c>
      <x:c r="D318" s="13" t="n">
        <x:v>185.78</x:v>
      </x:c>
      <x:c r="E318" s="13" t="n">
        <x:v>0</x:v>
      </x:c>
      <x:c r="F318" s="13" t="n">
        <x:f>D318-E318</x:f>
        <x:v>185.78</x:v>
      </x:c>
      <x:c r="G318" s="14" t="n">
        <x:v>1</x:v>
      </x:c>
      <x:c r="H318" s="14" t="n">
        <x:v>0</x:v>
      </x:c>
      <x:c r="I318" s="14" t="n">
        <x:v>1</x:v>
      </x:c>
      <x:c r="J318" s="14" t="n">
        <x:v>0</x:v>
      </x:c>
      <x:c r="K318" s="14" t="n">
        <x:v>78</x:v>
      </x:c>
      <x:c r="L318" s="14" t="n">
        <x:v>0</x:v>
      </x:c>
      <x:c r="M318" s="13" t="n">
        <x:v>185.78</x:v>
      </x:c>
      <x:c r="N318" s="3" t="n">
        <x:v>9</x:v>
      </x:c>
      <x:c r="O318" s="13" t="n">
        <x:f>IF(G318=0,"n.a.",D318/G318)</x:f>
        <x:v>185.78</x:v>
      </x:c>
      <x:c r="P318" s="15" t="n">
        <x:f>IF(D318=0,"n.a.",E318/D318)</x:f>
        <x:v>0</x:v>
      </x:c>
    </x:row>
    <x:row r="319" ht="22" customHeight="1">
      <x:c r="A319" s="3"/>
      <x:c r="B319" s="3" t="str">
        <x:v>2011-07</x:v>
      </x:c>
      <x:c r="C319" s="3" t="str">
        <x:v>Todos</x:v>
      </x:c>
      <x:c r="D319" s="13" t="n">
        <x:v>689364.411</x:v>
      </x:c>
      <x:c r="E319" s="13" t="n">
        <x:v>11409.21</x:v>
      </x:c>
      <x:c r="F319" s="13" t="n">
        <x:f>D319-E319</x:f>
        <x:v>677955.201</x:v>
      </x:c>
      <x:c r="G319" s="14" t="n">
        <x:v>1452</x:v>
      </x:c>
      <x:c r="H319" s="14" t="n">
        <x:v>236</x:v>
      </x:c>
      <x:c r="I319" s="14" t="n">
        <x:v>946</x:v>
      </x:c>
      <x:c r="J319" s="14" t="n">
        <x:v>224</x:v>
      </x:c>
      <x:c r="K319" s="14" t="n">
        <x:v>401357</x:v>
      </x:c>
      <x:c r="L319" s="14" t="n">
        <x:v>5946</x:v>
      </x:c>
      <x:c r="M319" s="13" t="n">
        <x:v>592731.901</x:v>
      </x:c>
      <x:c r="N319" s="3" t="n">
        <x:v>39086</x:v>
      </x:c>
      <x:c r="O319" s="13" t="n">
        <x:f>IF(G319=0,"n.a.",D319/G319)</x:f>
        <x:v>474.76887809917355</x:v>
      </x:c>
      <x:c r="P319" s="15" t="n">
        <x:f>IF(D319=0,"n.a.",E319/D319)</x:f>
        <x:v>0.016550332187078916</x:v>
      </x:c>
    </x:row>
    <x:row r="320" ht="22" customHeight="1">
      <x:c r="A320" s="3"/>
      <x:c r="B320" s="3" t="str">
        <x:v>2011-07</x:v>
      </x:c>
      <x:c r="C320" s="3" t="str">
        <x:v>Australia</x:v>
      </x:c>
      <x:c r="D320" s="13" t="n">
        <x:v>4964.38</x:v>
      </x:c>
      <x:c r="E320" s="13" t="n">
        <x:v>196.81</x:v>
      </x:c>
      <x:c r="F320" s="13" t="n">
        <x:f>D320-E320</x:f>
        <x:v>4767.57</x:v>
      </x:c>
      <x:c r="G320" s="14" t="n">
        <x:v>7</x:v>
      </x:c>
      <x:c r="H320" s="14" t="n">
        <x:v>2</x:v>
      </x:c>
      <x:c r="I320" s="14" t="n">
        <x:v>3</x:v>
      </x:c>
      <x:c r="J320" s="14" t="n">
        <x:v>2</x:v>
      </x:c>
      <x:c r="K320" s="14" t="n">
        <x:v>5318</x:v>
      </x:c>
      <x:c r="L320" s="14" t="n">
        <x:v>133</x:v>
      </x:c>
      <x:c r="M320" s="13" t="n">
        <x:v>4964.38</x:v>
      </x:c>
      <x:c r="N320" s="3" t="n">
        <x:v>217</x:v>
      </x:c>
      <x:c r="O320" s="13" t="n">
        <x:f>IF(G320=0,"n.a.",D320/G320)</x:f>
        <x:v>709.1971428571429</x:v>
      </x:c>
      <x:c r="P320" s="15" t="n">
        <x:f>IF(D320=0,"n.a.",E320/D320)</x:f>
        <x:v>0.03964442689721576</x:v>
      </x:c>
    </x:row>
    <x:row r="321" ht="22" customHeight="1">
      <x:c r="A321" s="3"/>
      <x:c r="B321" s="3" t="str">
        <x:v>2011-07</x:v>
      </x:c>
      <x:c r="C321" s="3" t="str">
        <x:v>Austria</x:v>
      </x:c>
      <x:c r="D321" s="13" t="n">
        <x:v>1111.95</x:v>
      </x:c>
      <x:c r="E321" s="13" t="n">
        <x:v>0</x:v>
      </x:c>
      <x:c r="F321" s="13" t="n">
        <x:f>D321-E321</x:f>
        <x:v>1111.95</x:v>
      </x:c>
      <x:c r="G321" s="14" t="n">
        <x:v>2</x:v>
      </x:c>
      <x:c r="H321" s="14" t="n">
        <x:v>0</x:v>
      </x:c>
      <x:c r="I321" s="14" t="n">
        <x:v>2</x:v>
      </x:c>
      <x:c r="J321" s="14" t="n">
        <x:v>0</x:v>
      </x:c>
      <x:c r="K321" s="14" t="n">
        <x:v>571</x:v>
      </x:c>
      <x:c r="L321" s="14" t="n">
        <x:v>0</x:v>
      </x:c>
      <x:c r="M321" s="13" t="n">
        <x:v>1111.95</x:v>
      </x:c>
      <x:c r="N321" s="3" t="n">
        <x:v>54</x:v>
      </x:c>
      <x:c r="O321" s="13" t="n">
        <x:f>IF(G321=0,"n.a.",D321/G321)</x:f>
        <x:v>555.975</x:v>
      </x:c>
      <x:c r="P321" s="15" t="n">
        <x:f>IF(D321=0,"n.a.",E321/D321)</x:f>
        <x:v>0</x:v>
      </x:c>
    </x:row>
    <x:row r="322" ht="22" customHeight="1">
      <x:c r="A322" s="3"/>
      <x:c r="B322" s="3" t="str">
        <x:v>2011-07</x:v>
      </x:c>
      <x:c r="C322" s="3" t="str">
        <x:v>Bahrain</x:v>
      </x:c>
      <x:c r="D322" s="13" t="n">
        <x:v>0</x:v>
      </x:c>
      <x:c r="E322" s="13" t="n">
        <x:v>0</x:v>
      </x:c>
      <x:c r="F322" s="13" t="n">
        <x:f>D322-E322</x:f>
        <x:v>0</x:v>
      </x:c>
      <x:c r="G322" s="14" t="n">
        <x:v>0</x:v>
      </x:c>
      <x:c r="H322" s="14" t="n">
        <x:v>0</x:v>
      </x:c>
      <x:c r="I322" s="14" t="n">
        <x:v>0</x:v>
      </x:c>
      <x:c r="J322" s="14" t="n">
        <x:v>0</x:v>
      </x:c>
      <x:c r="K322" s="14" t="n">
        <x:v>0</x:v>
      </x:c>
      <x:c r="L322" s="14" t="n">
        <x:v>0</x:v>
      </x:c>
      <x:c r="M322" s="13" t="n">
        <x:v>0</x:v>
      </x:c>
      <x:c r="N322" s="3" t="n">
        <x:v>0</x:v>
      </x:c>
      <x:c r="O322" s="13" t="str">
        <x:f>IF(G322=0,"n.a.",D322/G322)</x:f>
        <x:v>n.a.</x:v>
      </x:c>
      <x:c r="P322" s="15" t="str">
        <x:f>IF(D322=0,"n.a.",E322/D322)</x:f>
        <x:v>n.a.</x:v>
      </x:c>
    </x:row>
    <x:row r="323" ht="22" customHeight="1">
      <x:c r="A323" s="3"/>
      <x:c r="B323" s="3" t="str">
        <x:v>2011-07</x:v>
      </x:c>
      <x:c r="C323" s="3" t="str">
        <x:v>Belgium</x:v>
      </x:c>
      <x:c r="D323" s="13" t="n">
        <x:v>2205.57</x:v>
      </x:c>
      <x:c r="E323" s="13" t="n">
        <x:v>1.95</x:v>
      </x:c>
      <x:c r="F323" s="13" t="n">
        <x:f>D323-E323</x:f>
        <x:v>2203.6200000000003</x:v>
      </x:c>
      <x:c r="G323" s="14" t="n">
        <x:v>5</x:v>
      </x:c>
      <x:c r="H323" s="14" t="n">
        <x:v>1</x:v>
      </x:c>
      <x:c r="I323" s="14" t="n">
        <x:v>4</x:v>
      </x:c>
      <x:c r="J323" s="14" t="n">
        <x:v>1</x:v>
      </x:c>
      <x:c r="K323" s="14" t="n">
        <x:v>1661</x:v>
      </x:c>
      <x:c r="L323" s="14" t="n">
        <x:v>1</x:v>
      </x:c>
      <x:c r="M323" s="13" t="n">
        <x:v>2205.57</x:v>
      </x:c>
      <x:c r="N323" s="3" t="n">
        <x:v>124</x:v>
      </x:c>
      <x:c r="O323" s="13" t="n">
        <x:f>IF(G323=0,"n.a.",D323/G323)</x:f>
        <x:v>441.11400000000003</x:v>
      </x:c>
      <x:c r="P323" s="15" t="n">
        <x:f>IF(D323=0,"n.a.",E323/D323)</x:f>
        <x:v>0.0008841251921272051</x:v>
      </x:c>
    </x:row>
    <x:row r="324" ht="22" customHeight="1">
      <x:c r="A324" s="3"/>
      <x:c r="B324" s="3" t="str">
        <x:v>2011-07</x:v>
      </x:c>
      <x:c r="C324" s="3" t="str">
        <x:v>Brazil</x:v>
      </x:c>
      <x:c r="D324" s="13" t="n">
        <x:v>0</x:v>
      </x:c>
      <x:c r="E324" s="13" t="n">
        <x:v>0</x:v>
      </x:c>
      <x:c r="F324" s="13" t="n">
        <x:f>D324-E324</x:f>
        <x:v>0</x:v>
      </x:c>
      <x:c r="G324" s="14" t="n">
        <x:v>0</x:v>
      </x:c>
      <x:c r="H324" s="14" t="n">
        <x:v>0</x:v>
      </x:c>
      <x:c r="I324" s="14" t="n">
        <x:v>0</x:v>
      </x:c>
      <x:c r="J324" s="14" t="n">
        <x:v>0</x:v>
      </x:c>
      <x:c r="K324" s="14" t="n">
        <x:v>0</x:v>
      </x:c>
      <x:c r="L324" s="14" t="n">
        <x:v>0</x:v>
      </x:c>
      <x:c r="M324" s="13" t="n">
        <x:v>0</x:v>
      </x:c>
      <x:c r="N324" s="3" t="n">
        <x:v>0</x:v>
      </x:c>
      <x:c r="O324" s="13" t="str">
        <x:f>IF(G324=0,"n.a.",D324/G324)</x:f>
        <x:v>n.a.</x:v>
      </x:c>
      <x:c r="P324" s="15" t="str">
        <x:f>IF(D324=0,"n.a.",E324/D324)</x:f>
        <x:v>n.a.</x:v>
      </x:c>
    </x:row>
    <x:row r="325" ht="22" customHeight="1">
      <x:c r="A325" s="3"/>
      <x:c r="B325" s="3" t="str">
        <x:v>2011-07</x:v>
      </x:c>
      <x:c r="C325" s="3" t="str">
        <x:v>Canada</x:v>
      </x:c>
      <x:c r="D325" s="13" t="n">
        <x:v>1217.64</x:v>
      </x:c>
      <x:c r="E325" s="13" t="n">
        <x:v>0</x:v>
      </x:c>
      <x:c r="F325" s="13" t="n">
        <x:f>D325-E325</x:f>
        <x:v>1217.64</x:v>
      </x:c>
      <x:c r="G325" s="14" t="n">
        <x:v>1</x:v>
      </x:c>
      <x:c r="H325" s="14" t="n">
        <x:v>0</x:v>
      </x:c>
      <x:c r="I325" s="14" t="n">
        <x:v>1</x:v>
      </x:c>
      <x:c r="J325" s="14" t="n">
        <x:v>0</x:v>
      </x:c>
      <x:c r="K325" s="14" t="n">
        <x:v>1026</x:v>
      </x:c>
      <x:c r="L325" s="14" t="n">
        <x:v>0</x:v>
      </x:c>
      <x:c r="M325" s="13" t="n">
        <x:v>1217.64</x:v>
      </x:c>
      <x:c r="N325" s="3" t="n">
        <x:v>77</x:v>
      </x:c>
      <x:c r="O325" s="13" t="n">
        <x:f>IF(G325=0,"n.a.",D325/G325)</x:f>
        <x:v>1217.64</x:v>
      </x:c>
      <x:c r="P325" s="15" t="n">
        <x:f>IF(D325=0,"n.a.",E325/D325)</x:f>
        <x:v>0</x:v>
      </x:c>
    </x:row>
    <x:row r="326" ht="22" customHeight="1">
      <x:c r="A326" s="3"/>
      <x:c r="B326" s="3" t="str">
        <x:v>2011-07</x:v>
      </x:c>
      <x:c r="C326" s="3" t="str">
        <x:v>Channel Islands</x:v>
      </x:c>
      <x:c r="D326" s="13" t="n">
        <x:v>0</x:v>
      </x:c>
      <x:c r="E326" s="13" t="n">
        <x:v>0</x:v>
      </x:c>
      <x:c r="F326" s="13" t="n">
        <x:f>D326-E326</x:f>
        <x:v>0</x:v>
      </x:c>
      <x:c r="G326" s="14" t="n">
        <x:v>0</x:v>
      </x:c>
      <x:c r="H326" s="14" t="n">
        <x:v>0</x:v>
      </x:c>
      <x:c r="I326" s="14" t="n">
        <x:v>0</x:v>
      </x:c>
      <x:c r="J326" s="14" t="n">
        <x:v>0</x:v>
      </x:c>
      <x:c r="K326" s="14" t="n">
        <x:v>0</x:v>
      </x:c>
      <x:c r="L326" s="14" t="n">
        <x:v>0</x:v>
      </x:c>
      <x:c r="M326" s="13" t="n">
        <x:v>0</x:v>
      </x:c>
      <x:c r="N326" s="3" t="n">
        <x:v>0</x:v>
      </x:c>
      <x:c r="O326" s="13" t="str">
        <x:f>IF(G326=0,"n.a.",D326/G326)</x:f>
        <x:v>n.a.</x:v>
      </x:c>
      <x:c r="P326" s="15" t="str">
        <x:f>IF(D326=0,"n.a.",E326/D326)</x:f>
        <x:v>n.a.</x:v>
      </x:c>
    </x:row>
    <x:row r="327" ht="22" customHeight="1">
      <x:c r="A327" s="3"/>
      <x:c r="B327" s="3" t="str">
        <x:v>2011-07</x:v>
      </x:c>
      <x:c r="C327" s="3" t="str">
        <x:v>Cyprus</x:v>
      </x:c>
      <x:c r="D327" s="13" t="n">
        <x:v>0</x:v>
      </x:c>
      <x:c r="E327" s="13" t="n">
        <x:v>0</x:v>
      </x:c>
      <x:c r="F327" s="13" t="n">
        <x:f>D327-E327</x:f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0</x:v>
      </x:c>
      <x:c r="K327" s="14" t="n">
        <x:v>0</x:v>
      </x:c>
      <x:c r="L327" s="14" t="n">
        <x:v>0</x:v>
      </x:c>
      <x:c r="M327" s="13" t="n">
        <x:v>0</x:v>
      </x:c>
      <x:c r="N327" s="3" t="n">
        <x:v>0</x:v>
      </x:c>
      <x:c r="O327" s="13" t="str">
        <x:f>IF(G327=0,"n.a.",D327/G327)</x:f>
        <x:v>n.a.</x:v>
      </x:c>
      <x:c r="P327" s="15" t="str">
        <x:f>IF(D327=0,"n.a.",E327/D327)</x:f>
        <x:v>n.a.</x:v>
      </x:c>
    </x:row>
    <x:row r="328" ht="22" customHeight="1">
      <x:c r="A328" s="3"/>
      <x:c r="B328" s="3" t="str">
        <x:v>2011-07</x:v>
      </x:c>
      <x:c r="C328" s="3" t="str">
        <x:v>Czech Republic</x:v>
      </x:c>
      <x:c r="D328" s="13" t="n">
        <x:v>0</x:v>
      </x:c>
      <x:c r="E328" s="13" t="n">
        <x:v>0</x:v>
      </x:c>
      <x:c r="F328" s="13" t="n">
        <x:f>D328-E328</x:f>
        <x:v>0</x:v>
      </x:c>
      <x:c r="G328" s="14" t="n">
        <x:v>0</x:v>
      </x:c>
      <x:c r="H328" s="14" t="n">
        <x:v>0</x:v>
      </x:c>
      <x:c r="I328" s="14" t="n">
        <x:v>0</x:v>
      </x:c>
      <x:c r="J328" s="14" t="n">
        <x:v>0</x:v>
      </x:c>
      <x:c r="K328" s="14" t="n">
        <x:v>0</x:v>
      </x:c>
      <x:c r="L328" s="14" t="n">
        <x:v>0</x:v>
      </x:c>
      <x:c r="M328" s="13" t="n">
        <x:v>0</x:v>
      </x:c>
      <x:c r="N328" s="3" t="n">
        <x:v>0</x:v>
      </x:c>
      <x:c r="O328" s="13" t="str">
        <x:f>IF(G328=0,"n.a.",D328/G328)</x:f>
        <x:v>n.a.</x:v>
      </x:c>
      <x:c r="P328" s="15" t="str">
        <x:f>IF(D328=0,"n.a.",E328/D328)</x:f>
        <x:v>n.a.</x:v>
      </x:c>
    </x:row>
    <x:row r="329" ht="22" customHeight="1">
      <x:c r="A329" s="3"/>
      <x:c r="B329" s="3" t="str">
        <x:v>2011-07</x:v>
      </x:c>
      <x:c r="C329" s="3" t="str">
        <x:v>Denmark</x:v>
      </x:c>
      <x:c r="D329" s="13" t="n">
        <x:v>358.24</x:v>
      </x:c>
      <x:c r="E329" s="13" t="n">
        <x:v>0</x:v>
      </x:c>
      <x:c r="F329" s="13" t="n">
        <x:f>D329-E329</x:f>
        <x:v>358.24</x:v>
      </x:c>
      <x:c r="G329" s="14" t="n">
        <x:v>1</x:v>
      </x:c>
      <x:c r="H329" s="14" t="n">
        <x:v>0</x:v>
      </x:c>
      <x:c r="I329" s="14" t="n">
        <x:v>1</x:v>
      </x:c>
      <x:c r="J329" s="14" t="n">
        <x:v>0</x:v>
      </x:c>
      <x:c r="K329" s="14" t="n">
        <x:v>240</x:v>
      </x:c>
      <x:c r="L329" s="14" t="n">
        <x:v>0</x:v>
      </x:c>
      <x:c r="M329" s="13" t="n">
        <x:v>358.24</x:v>
      </x:c>
      <x:c r="N329" s="3" t="n">
        <x:v>16</x:v>
      </x:c>
      <x:c r="O329" s="13" t="n">
        <x:f>IF(G329=0,"n.a.",D329/G329)</x:f>
        <x:v>358.24</x:v>
      </x:c>
      <x:c r="P329" s="15" t="n">
        <x:f>IF(D329=0,"n.a.",E329/D329)</x:f>
        <x:v>0</x:v>
      </x:c>
    </x:row>
    <x:row r="330" ht="22" customHeight="1">
      <x:c r="A330" s="3"/>
      <x:c r="B330" s="3" t="str">
        <x:v>2011-07</x:v>
      </x:c>
      <x:c r="C330" s="3" t="str">
        <x:v>EIRE</x:v>
      </x:c>
      <x:c r="D330" s="13" t="n">
        <x:v>42289.85</x:v>
      </x:c>
      <x:c r="E330" s="13" t="n">
        <x:v>49.2</x:v>
      </x:c>
      <x:c r="F330" s="13" t="n">
        <x:f>D330-E330</x:f>
        <x:v>42240.65</x:v>
      </x:c>
      <x:c r="G330" s="14" t="n">
        <x:v>27</x:v>
      </x:c>
      <x:c r="H330" s="14" t="n">
        <x:v>4</x:v>
      </x:c>
      <x:c r="I330" s="14" t="n">
        <x:v>3</x:v>
      </x:c>
      <x:c r="J330" s="14" t="n">
        <x:v>2</x:v>
      </x:c>
      <x:c r="K330" s="14" t="n">
        <x:v>22101</x:v>
      </x:c>
      <x:c r="L330" s="14" t="n">
        <x:v>12</x:v>
      </x:c>
      <x:c r="M330" s="13" t="n">
        <x:v>40455.15</x:v>
      </x:c>
      <x:c r="N330" s="3" t="n">
        <x:v>705</x:v>
      </x:c>
      <x:c r="O330" s="13" t="n">
        <x:f>IF(G330=0,"n.a.",D330/G330)</x:f>
        <x:v>1566.2907407407406</x:v>
      </x:c>
      <x:c r="P330" s="15" t="n">
        <x:f>IF(D330=0,"n.a.",E330/D330)</x:f>
        <x:v>0.0011633997283036002</x:v>
      </x:c>
    </x:row>
    <x:row r="331" ht="22" customHeight="1">
      <x:c r="A331" s="3"/>
      <x:c r="B331" s="3" t="str">
        <x:v>2011-07</x:v>
      </x:c>
      <x:c r="C331" s="3" t="str">
        <x:v>European Community</x:v>
      </x:c>
      <x:c r="D331" s="13" t="n">
        <x:v>616.8</x:v>
      </x:c>
      <x:c r="E331" s="13" t="n">
        <x:v>0</x:v>
      </x:c>
      <x:c r="F331" s="13" t="n">
        <x:f>D331-E331</x:f>
        <x:v>616.8</x:v>
      </x:c>
      <x:c r="G331" s="14" t="n">
        <x:v>1</x:v>
      </x:c>
      <x:c r="H331" s="14" t="n">
        <x:v>0</x:v>
      </x:c>
      <x:c r="I331" s="14" t="n">
        <x:v>1</x:v>
      </x:c>
      <x:c r="J331" s="14" t="n">
        <x:v>0</x:v>
      </x:c>
      <x:c r="K331" s="14" t="n">
        <x:v>331</x:v>
      </x:c>
      <x:c r="L331" s="14" t="n">
        <x:v>0</x:v>
      </x:c>
      <x:c r="M331" s="13" t="n">
        <x:v>616.8</x:v>
      </x:c>
      <x:c r="N331" s="3" t="n">
        <x:v>28</x:v>
      </x:c>
      <x:c r="O331" s="13" t="n">
        <x:f>IF(G331=0,"n.a.",D331/G331)</x:f>
        <x:v>616.8</x:v>
      </x:c>
      <x:c r="P331" s="15" t="n">
        <x:f>IF(D331=0,"n.a.",E331/D331)</x:f>
        <x:v>0</x:v>
      </x:c>
    </x:row>
    <x:row r="332" ht="22" customHeight="1">
      <x:c r="A332" s="3"/>
      <x:c r="B332" s="3" t="str">
        <x:v>2011-07</x:v>
      </x:c>
      <x:c r="C332" s="3" t="str">
        <x:v>Finland</x:v>
      </x:c>
      <x:c r="D332" s="13" t="n">
        <x:v>2436.73</x:v>
      </x:c>
      <x:c r="E332" s="13" t="n">
        <x:v>0</x:v>
      </x:c>
      <x:c r="F332" s="13" t="n">
        <x:f>D332-E332</x:f>
        <x:v>2436.73</x:v>
      </x:c>
      <x:c r="G332" s="14" t="n">
        <x:v>3</x:v>
      </x:c>
      <x:c r="H332" s="14" t="n">
        <x:v>0</x:v>
      </x:c>
      <x:c r="I332" s="14" t="n">
        <x:v>3</x:v>
      </x:c>
      <x:c r="J332" s="14" t="n">
        <x:v>0</x:v>
      </x:c>
      <x:c r="K332" s="14" t="n">
        <x:v>1259</x:v>
      </x:c>
      <x:c r="L332" s="14" t="n">
        <x:v>0</x:v>
      </x:c>
      <x:c r="M332" s="13" t="n">
        <x:v>2436.73</x:v>
      </x:c>
      <x:c r="N332" s="3" t="n">
        <x:v>80</x:v>
      </x:c>
      <x:c r="O332" s="13" t="n">
        <x:f>IF(G332=0,"n.a.",D332/G332)</x:f>
        <x:v>812.2433333333333</x:v>
      </x:c>
      <x:c r="P332" s="15" t="n">
        <x:f>IF(D332=0,"n.a.",E332/D332)</x:f>
        <x:v>0</x:v>
      </x:c>
    </x:row>
    <x:row r="333" ht="22" customHeight="1">
      <x:c r="A333" s="3"/>
      <x:c r="B333" s="3" t="str">
        <x:v>2011-07</x:v>
      </x:c>
      <x:c r="C333" s="3" t="str">
        <x:v>France</x:v>
      </x:c>
      <x:c r="D333" s="13" t="n">
        <x:v>9171.19</x:v>
      </x:c>
      <x:c r="E333" s="13" t="n">
        <x:v>111.2</x:v>
      </x:c>
      <x:c r="F333" s="13" t="n">
        <x:f>D333-E333</x:f>
        <x:v>9059.99</x:v>
      </x:c>
      <x:c r="G333" s="14" t="n">
        <x:v>22</x:v>
      </x:c>
      <x:c r="H333" s="14" t="n">
        <x:v>3</x:v>
      </x:c>
      <x:c r="I333" s="14" t="n">
        <x:v>18</x:v>
      </x:c>
      <x:c r="J333" s="14" t="n">
        <x:v>2</x:v>
      </x:c>
      <x:c r="K333" s="14" t="n">
        <x:v>5625</x:v>
      </x:c>
      <x:c r="L333" s="14" t="n">
        <x:v>8</x:v>
      </x:c>
      <x:c r="M333" s="13" t="n">
        <x:v>9171.19</x:v>
      </x:c>
      <x:c r="N333" s="3" t="n">
        <x:v>434</x:v>
      </x:c>
      <x:c r="O333" s="13" t="n">
        <x:f>IF(G333=0,"n.a.",D333/G333)</x:f>
        <x:v>416.87227272727273</x:v>
      </x:c>
      <x:c r="P333" s="15" t="n">
        <x:f>IF(D333=0,"n.a.",E333/D333)</x:f>
        <x:v>0.012124925991065499</x:v>
      </x:c>
    </x:row>
    <x:row r="334" ht="22" customHeight="1">
      <x:c r="A334" s="3"/>
      <x:c r="B334" s="3" t="str">
        <x:v>2011-07</x:v>
      </x:c>
      <x:c r="C334" s="3" t="str">
        <x:v>Germany</x:v>
      </x:c>
      <x:c r="D334" s="13" t="n">
        <x:v>14743.3</x:v>
      </x:c>
      <x:c r="E334" s="13" t="n">
        <x:v>327.99</x:v>
      </x:c>
      <x:c r="F334" s="13" t="n">
        <x:f>D334-E334</x:f>
        <x:v>14415.31</x:v>
      </x:c>
      <x:c r="G334" s="14" t="n">
        <x:v>31</x:v>
      </x:c>
      <x:c r="H334" s="14" t="n">
        <x:v>9</x:v>
      </x:c>
      <x:c r="I334" s="14" t="n">
        <x:v>26</x:v>
      </x:c>
      <x:c r="J334" s="14" t="n">
        <x:v>5</x:v>
      </x:c>
      <x:c r="K334" s="14" t="n">
        <x:v>9023</x:v>
      </x:c>
      <x:c r="L334" s="14" t="n">
        <x:v>103</x:v>
      </x:c>
      <x:c r="M334" s="13" t="n">
        <x:v>14743.3</x:v>
      </x:c>
      <x:c r="N334" s="3" t="n">
        <x:v>760</x:v>
      </x:c>
      <x:c r="O334" s="13" t="n">
        <x:f>IF(G334=0,"n.a.",D334/G334)</x:f>
        <x:v>475.59032258064514</x:v>
      </x:c>
      <x:c r="P334" s="15" t="n">
        <x:f>IF(D334=0,"n.a.",E334/D334)</x:f>
        <x:v>0.022246715457190726</x:v>
      </x:c>
    </x:row>
    <x:row r="335" ht="22" customHeight="1">
      <x:c r="A335" s="3"/>
      <x:c r="B335" s="3" t="str">
        <x:v>2011-07</x:v>
      </x:c>
      <x:c r="C335" s="3" t="str">
        <x:v>Greece</x:v>
      </x:c>
      <x:c r="D335" s="13" t="n">
        <x:v>321.24</x:v>
      </x:c>
      <x:c r="E335" s="13" t="n">
        <x:v>0</x:v>
      </x:c>
      <x:c r="F335" s="13" t="n">
        <x:f>D335-E335</x:f>
        <x:v>321.24</x:v>
      </x:c>
      <x:c r="G335" s="14" t="n">
        <x:v>1</x:v>
      </x:c>
      <x:c r="H335" s="14" t="n">
        <x:v>0</x:v>
      </x:c>
      <x:c r="I335" s="14" t="n">
        <x:v>1</x:v>
      </x:c>
      <x:c r="J335" s="14" t="n">
        <x:v>0</x:v>
      </x:c>
      <x:c r="K335" s="14" t="n">
        <x:v>242</x:v>
      </x:c>
      <x:c r="L335" s="14" t="n">
        <x:v>0</x:v>
      </x:c>
      <x:c r="M335" s="13" t="n">
        <x:v>321.24</x:v>
      </x:c>
      <x:c r="N335" s="3" t="n">
        <x:v>23</x:v>
      </x:c>
      <x:c r="O335" s="13" t="n">
        <x:f>IF(G335=0,"n.a.",D335/G335)</x:f>
        <x:v>321.24</x:v>
      </x:c>
      <x:c r="P335" s="15" t="n">
        <x:f>IF(D335=0,"n.a.",E335/D335)</x:f>
        <x:v>0</x:v>
      </x:c>
    </x:row>
    <x:row r="336" ht="22" customHeight="1">
      <x:c r="A336" s="3"/>
      <x:c r="B336" s="3" t="str">
        <x:v>2011-07</x:v>
      </x:c>
      <x:c r="C336" s="3" t="str">
        <x:v>Hong Kong</x:v>
      </x:c>
      <x:c r="D336" s="13" t="n">
        <x:v>0</x:v>
      </x:c>
      <x:c r="E336" s="13" t="n">
        <x:v>0</x:v>
      </x:c>
      <x:c r="F336" s="13" t="n">
        <x:f>D336-E336</x:f>
        <x:v>0</x:v>
      </x:c>
      <x:c r="G336" s="14" t="n">
        <x:v>0</x:v>
      </x:c>
      <x:c r="H336" s="14" t="n">
        <x:v>0</x:v>
      </x:c>
      <x:c r="I336" s="14" t="n">
        <x:v>0</x:v>
      </x:c>
      <x:c r="J336" s="14" t="n">
        <x:v>0</x:v>
      </x:c>
      <x:c r="K336" s="14" t="n">
        <x:v>0</x:v>
      </x:c>
      <x:c r="L336" s="14" t="n">
        <x:v>0</x:v>
      </x:c>
      <x:c r="M336" s="13" t="n">
        <x:v>0</x:v>
      </x:c>
      <x:c r="N336" s="3" t="n">
        <x:v>0</x:v>
      </x:c>
      <x:c r="O336" s="13" t="str">
        <x:f>IF(G336=0,"n.a.",D336/G336)</x:f>
        <x:v>n.a.</x:v>
      </x:c>
      <x:c r="P336" s="15" t="str">
        <x:f>IF(D336=0,"n.a.",E336/D336)</x:f>
        <x:v>n.a.</x:v>
      </x:c>
    </x:row>
    <x:row r="337" ht="22" customHeight="1">
      <x:c r="A337" s="3"/>
      <x:c r="B337" s="3" t="str">
        <x:v>2011-07</x:v>
      </x:c>
      <x:c r="C337" s="3" t="str">
        <x:v>Iceland</x:v>
      </x:c>
      <x:c r="D337" s="13" t="n">
        <x:v>0</x:v>
      </x:c>
      <x:c r="E337" s="13" t="n">
        <x:v>0</x:v>
      </x:c>
      <x:c r="F337" s="13" t="n">
        <x:f>D337-E337</x:f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0</x:v>
      </x:c>
      <x:c r="L337" s="14" t="n">
        <x:v>0</x:v>
      </x:c>
      <x:c r="M337" s="13" t="n">
        <x:v>0</x:v>
      </x:c>
      <x:c r="N337" s="3" t="n">
        <x:v>0</x:v>
      </x:c>
      <x:c r="O337" s="13" t="str">
        <x:f>IF(G337=0,"n.a.",D337/G337)</x:f>
        <x:v>n.a.</x:v>
      </x:c>
      <x:c r="P337" s="15" t="str">
        <x:f>IF(D337=0,"n.a.",E337/D337)</x:f>
        <x:v>n.a.</x:v>
      </x:c>
    </x:row>
    <x:row r="338" ht="22" customHeight="1">
      <x:c r="A338" s="3"/>
      <x:c r="B338" s="3" t="str">
        <x:v>2011-07</x:v>
      </x:c>
      <x:c r="C338" s="3" t="str">
        <x:v>Israel</x:v>
      </x:c>
      <x:c r="D338" s="13" t="n">
        <x:v>1430.75</x:v>
      </x:c>
      <x:c r="E338" s="13" t="n">
        <x:v>0</x:v>
      </x:c>
      <x:c r="F338" s="13" t="n">
        <x:f>D338-E338</x:f>
        <x:v>1430.75</x:v>
      </x:c>
      <x:c r="G338" s="14" t="n">
        <x:v>1</x:v>
      </x:c>
      <x:c r="H338" s="14" t="n">
        <x:v>0</x:v>
      </x:c>
      <x:c r="I338" s="14" t="n">
        <x:v>1</x:v>
      </x:c>
      <x:c r="J338" s="14" t="n">
        <x:v>0</x:v>
      </x:c>
      <x:c r="K338" s="14" t="n">
        <x:v>633</x:v>
      </x:c>
      <x:c r="L338" s="14" t="n">
        <x:v>0</x:v>
      </x:c>
      <x:c r="M338" s="13" t="n">
        <x:v>1430.75</x:v>
      </x:c>
      <x:c r="N338" s="3" t="n">
        <x:v>27</x:v>
      </x:c>
      <x:c r="O338" s="13" t="n">
        <x:f>IF(G338=0,"n.a.",D338/G338)</x:f>
        <x:v>1430.75</x:v>
      </x:c>
      <x:c r="P338" s="15" t="n">
        <x:f>IF(D338=0,"n.a.",E338/D338)</x:f>
        <x:v>0</x:v>
      </x:c>
    </x:row>
    <x:row r="339" ht="22" customHeight="1">
      <x:c r="A339" s="3"/>
      <x:c r="B339" s="3" t="str">
        <x:v>2011-07</x:v>
      </x:c>
      <x:c r="C339" s="3" t="str">
        <x:v>Italy</x:v>
      </x:c>
      <x:c r="D339" s="13" t="n">
        <x:v>147.1</x:v>
      </x:c>
      <x:c r="E339" s="13" t="n">
        <x:v>0</x:v>
      </x:c>
      <x:c r="F339" s="13" t="n">
        <x:f>D339-E339</x:f>
        <x:v>147.1</x:v>
      </x:c>
      <x:c r="G339" s="14" t="n">
        <x:v>1</x:v>
      </x:c>
      <x:c r="H339" s="14" t="n">
        <x:v>0</x:v>
      </x:c>
      <x:c r="I339" s="14" t="n">
        <x:v>1</x:v>
      </x:c>
      <x:c r="J339" s="14" t="n">
        <x:v>0</x:v>
      </x:c>
      <x:c r="K339" s="14" t="n">
        <x:v>22</x:v>
      </x:c>
      <x:c r="L339" s="14" t="n">
        <x:v>0</x:v>
      </x:c>
      <x:c r="M339" s="13" t="n">
        <x:v>147.1</x:v>
      </x:c>
      <x:c r="N339" s="3" t="n">
        <x:v>6</x:v>
      </x:c>
      <x:c r="O339" s="13" t="n">
        <x:f>IF(G339=0,"n.a.",D339/G339)</x:f>
        <x:v>147.1</x:v>
      </x:c>
      <x:c r="P339" s="15" t="n">
        <x:f>IF(D339=0,"n.a.",E339/D339)</x:f>
        <x:v>0</x:v>
      </x:c>
    </x:row>
    <x:row r="340" ht="22" customHeight="1">
      <x:c r="A340" s="3"/>
      <x:c r="B340" s="3" t="str">
        <x:v>2011-07</x:v>
      </x:c>
      <x:c r="C340" s="3" t="str">
        <x:v>Japan</x:v>
      </x:c>
      <x:c r="D340" s="13" t="n">
        <x:v>3854.4</x:v>
      </x:c>
      <x:c r="E340" s="13" t="n">
        <x:v>0</x:v>
      </x:c>
      <x:c r="F340" s="13" t="n">
        <x:f>D340-E340</x:f>
        <x:v>3854.4</x:v>
      </x:c>
      <x:c r="G340" s="14" t="n">
        <x:v>2</x:v>
      </x:c>
      <x:c r="H340" s="14" t="n">
        <x:v>0</x:v>
      </x:c>
      <x:c r="I340" s="14" t="n">
        <x:v>2</x:v>
      </x:c>
      <x:c r="J340" s="14" t="n">
        <x:v>0</x:v>
      </x:c>
      <x:c r="K340" s="14" t="n">
        <x:v>2328</x:v>
      </x:c>
      <x:c r="L340" s="14" t="n">
        <x:v>0</x:v>
      </x:c>
      <x:c r="M340" s="13" t="n">
        <x:v>3854.4</x:v>
      </x:c>
      <x:c r="N340" s="3" t="n">
        <x:v>39</x:v>
      </x:c>
      <x:c r="O340" s="13" t="n">
        <x:f>IF(G340=0,"n.a.",D340/G340)</x:f>
        <x:v>1927.2</x:v>
      </x:c>
      <x:c r="P340" s="15" t="n">
        <x:f>IF(D340=0,"n.a.",E340/D340)</x:f>
        <x:v>0</x:v>
      </x:c>
    </x:row>
    <x:row r="341" ht="22" customHeight="1">
      <x:c r="A341" s="3"/>
      <x:c r="B341" s="3" t="str">
        <x:v>2011-07</x:v>
      </x:c>
      <x:c r="C341" s="3" t="str">
        <x:v>Lebanon</x:v>
      </x:c>
      <x:c r="D341" s="13" t="n">
        <x:v>0</x:v>
      </x:c>
      <x:c r="E341" s="13" t="n">
        <x:v>0</x:v>
      </x:c>
      <x:c r="F341" s="13" t="n">
        <x:f>D341-E341</x:f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0</x:v>
      </x:c>
      <x:c r="L341" s="14" t="n">
        <x:v>0</x:v>
      </x:c>
      <x:c r="M341" s="13" t="n">
        <x:v>0</x:v>
      </x:c>
      <x:c r="N341" s="3" t="n">
        <x:v>0</x:v>
      </x:c>
      <x:c r="O341" s="13" t="str">
        <x:f>IF(G341=0,"n.a.",D341/G341)</x:f>
        <x:v>n.a.</x:v>
      </x:c>
      <x:c r="P341" s="15" t="str">
        <x:f>IF(D341=0,"n.a.",E341/D341)</x:f>
        <x:v>n.a.</x:v>
      </x:c>
    </x:row>
    <x:row r="342" ht="22" customHeight="1">
      <x:c r="A342" s="3"/>
      <x:c r="B342" s="3" t="str">
        <x:v>2011-07</x:v>
      </x:c>
      <x:c r="C342" s="3" t="str">
        <x:v>Lithuania</x:v>
      </x:c>
      <x:c r="D342" s="13" t="n">
        <x:v>0</x:v>
      </x:c>
      <x:c r="E342" s="13" t="n">
        <x:v>0</x:v>
      </x:c>
      <x:c r="F342" s="13" t="n">
        <x:f>D342-E342</x:f>
        <x:v>0</x:v>
      </x:c>
      <x:c r="G342" s="14" t="n">
        <x:v>0</x:v>
      </x:c>
      <x:c r="H342" s="14" t="n">
        <x:v>0</x:v>
      </x:c>
      <x:c r="I342" s="14" t="n">
        <x:v>0</x:v>
      </x:c>
      <x:c r="J342" s="14" t="n">
        <x:v>0</x:v>
      </x:c>
      <x:c r="K342" s="14" t="n">
        <x:v>0</x:v>
      </x:c>
      <x:c r="L342" s="14" t="n">
        <x:v>0</x:v>
      </x:c>
      <x:c r="M342" s="13" t="n">
        <x:v>0</x:v>
      </x:c>
      <x:c r="N342" s="3" t="n">
        <x:v>0</x:v>
      </x:c>
      <x:c r="O342" s="13" t="str">
        <x:f>IF(G342=0,"n.a.",D342/G342)</x:f>
        <x:v>n.a.</x:v>
      </x:c>
      <x:c r="P342" s="15" t="str">
        <x:f>IF(D342=0,"n.a.",E342/D342)</x:f>
        <x:v>n.a.</x:v>
      </x:c>
    </x:row>
    <x:row r="343" ht="22" customHeight="1">
      <x:c r="A343" s="3"/>
      <x:c r="B343" s="3" t="str">
        <x:v>2011-07</x:v>
      </x:c>
      <x:c r="C343" s="3" t="str">
        <x:v>Malta</x:v>
      </x:c>
      <x:c r="D343" s="13" t="n">
        <x:v>0</x:v>
      </x:c>
      <x:c r="E343" s="13" t="n">
        <x:v>0</x:v>
      </x:c>
      <x:c r="F343" s="13" t="n">
        <x:f>D343-E343</x:f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0</x:v>
      </x:c>
      <x:c r="L343" s="14" t="n">
        <x:v>0</x:v>
      </x:c>
      <x:c r="M343" s="13" t="n">
        <x:v>0</x:v>
      </x:c>
      <x:c r="N343" s="3" t="n">
        <x:v>0</x:v>
      </x:c>
      <x:c r="O343" s="13" t="str">
        <x:f>IF(G343=0,"n.a.",D343/G343)</x:f>
        <x:v>n.a.</x:v>
      </x:c>
      <x:c r="P343" s="15" t="str">
        <x:f>IF(D343=0,"n.a.",E343/D343)</x:f>
        <x:v>n.a.</x:v>
      </x:c>
    </x:row>
    <x:row r="344" ht="22" customHeight="1">
      <x:c r="A344" s="3"/>
      <x:c r="B344" s="3" t="str">
        <x:v>2011-07</x:v>
      </x:c>
      <x:c r="C344" s="3" t="str">
        <x:v>Netherlands</x:v>
      </x:c>
      <x:c r="D344" s="13" t="n">
        <x:v>11.02</x:v>
      </x:c>
      <x:c r="E344" s="13" t="n">
        <x:v>0</x:v>
      </x:c>
      <x:c r="F344" s="13" t="n">
        <x:f>D344-E344</x:f>
        <x:v>11.02</x:v>
      </x:c>
      <x:c r="G344" s="14" t="n">
        <x:v>1</x:v>
      </x:c>
      <x:c r="H344" s="14" t="n">
        <x:v>0</x:v>
      </x:c>
      <x:c r="I344" s="14" t="n">
        <x:v>1</x:v>
      </x:c>
      <x:c r="J344" s="14" t="n">
        <x:v>0</x:v>
      </x:c>
      <x:c r="K344" s="14" t="n">
        <x:v>9</x:v>
      </x:c>
      <x:c r="L344" s="14" t="n">
        <x:v>0</x:v>
      </x:c>
      <x:c r="M344" s="13" t="n">
        <x:v>11.02</x:v>
      </x:c>
      <x:c r="N344" s="3" t="n">
        <x:v>9</x:v>
      </x:c>
      <x:c r="O344" s="13" t="n">
        <x:f>IF(G344=0,"n.a.",D344/G344)</x:f>
        <x:v>11.02</x:v>
      </x:c>
      <x:c r="P344" s="15" t="n">
        <x:f>IF(D344=0,"n.a.",E344/D344)</x:f>
        <x:v>0</x:v>
      </x:c>
    </x:row>
    <x:row r="345" ht="22" customHeight="1">
      <x:c r="A345" s="3"/>
      <x:c r="B345" s="3" t="str">
        <x:v>2011-07</x:v>
      </x:c>
      <x:c r="C345" s="3" t="str">
        <x:v>Norway</x:v>
      </x:c>
      <x:c r="D345" s="13" t="n">
        <x:v>770.07</x:v>
      </x:c>
      <x:c r="E345" s="13" t="n">
        <x:v>0</x:v>
      </x:c>
      <x:c r="F345" s="13" t="n">
        <x:f>D345-E345</x:f>
        <x:v>770.07</x:v>
      </x:c>
      <x:c r="G345" s="14" t="n">
        <x:v>1</x:v>
      </x:c>
      <x:c r="H345" s="14" t="n">
        <x:v>0</x:v>
      </x:c>
      <x:c r="I345" s="14" t="n">
        <x:v>1</x:v>
      </x:c>
      <x:c r="J345" s="14" t="n">
        <x:v>0</x:v>
      </x:c>
      <x:c r="K345" s="14" t="n">
        <x:v>583</x:v>
      </x:c>
      <x:c r="L345" s="14" t="n">
        <x:v>0</x:v>
      </x:c>
      <x:c r="M345" s="13" t="n">
        <x:v>770.07</x:v>
      </x:c>
      <x:c r="N345" s="3" t="n">
        <x:v>48</x:v>
      </x:c>
      <x:c r="O345" s="13" t="n">
        <x:f>IF(G345=0,"n.a.",D345/G345)</x:f>
        <x:v>770.07</x:v>
      </x:c>
      <x:c r="P345" s="15" t="n">
        <x:f>IF(D345=0,"n.a.",E345/D345)</x:f>
        <x:v>0</x:v>
      </x:c>
    </x:row>
    <x:row r="346" ht="22" customHeight="1">
      <x:c r="A346" s="3"/>
      <x:c r="B346" s="3" t="str">
        <x:v>2011-07</x:v>
      </x:c>
      <x:c r="C346" s="3" t="str">
        <x:v>Poland</x:v>
      </x:c>
      <x:c r="D346" s="13" t="n">
        <x:v>607.3</x:v>
      </x:c>
      <x:c r="E346" s="13" t="n">
        <x:v>8.85</x:v>
      </x:c>
      <x:c r="F346" s="13" t="n">
        <x:f>D346-E346</x:f>
        <x:v>598.4499999999999</x:v>
      </x:c>
      <x:c r="G346" s="14" t="n">
        <x:v>2</x:v>
      </x:c>
      <x:c r="H346" s="14" t="n">
        <x:v>1</x:v>
      </x:c>
      <x:c r="I346" s="14" t="n">
        <x:v>2</x:v>
      </x:c>
      <x:c r="J346" s="14" t="n">
        <x:v>0</x:v>
      </x:c>
      <x:c r="K346" s="14" t="n">
        <x:v>286</x:v>
      </x:c>
      <x:c r="L346" s="14" t="n">
        <x:v>3</x:v>
      </x:c>
      <x:c r="M346" s="13" t="n">
        <x:v>607.3</x:v>
      </x:c>
      <x:c r="N346" s="3" t="n">
        <x:v>32</x:v>
      </x:c>
      <x:c r="O346" s="13" t="n">
        <x:f>IF(G346=0,"n.a.",D346/G346)</x:f>
        <x:v>303.65</x:v>
      </x:c>
      <x:c r="P346" s="15" t="n">
        <x:f>IF(D346=0,"n.a.",E346/D346)</x:f>
        <x:v>0.014572698830890829</x:v>
      </x:c>
    </x:row>
    <x:row r="347" ht="22" customHeight="1">
      <x:c r="A347" s="3"/>
      <x:c r="B347" s="3" t="str">
        <x:v>2011-07</x:v>
      </x:c>
      <x:c r="C347" s="3" t="str">
        <x:v>Portugal</x:v>
      </x:c>
      <x:c r="D347" s="13" t="n">
        <x:v>2175.85</x:v>
      </x:c>
      <x:c r="E347" s="13" t="n">
        <x:v>0</x:v>
      </x:c>
      <x:c r="F347" s="13" t="n">
        <x:f>D347-E347</x:f>
        <x:v>2175.85</x:v>
      </x:c>
      <x:c r="G347" s="14" t="n">
        <x:v>3</x:v>
      </x:c>
      <x:c r="H347" s="14" t="n">
        <x:v>0</x:v>
      </x:c>
      <x:c r="I347" s="14" t="n">
        <x:v>3</x:v>
      </x:c>
      <x:c r="J347" s="14" t="n">
        <x:v>0</x:v>
      </x:c>
      <x:c r="K347" s="14" t="n">
        <x:v>1432</x:v>
      </x:c>
      <x:c r="L347" s="14" t="n">
        <x:v>0</x:v>
      </x:c>
      <x:c r="M347" s="13" t="n">
        <x:v>2175.85</x:v>
      </x:c>
      <x:c r="N347" s="3" t="n">
        <x:v>88</x:v>
      </x:c>
      <x:c r="O347" s="13" t="n">
        <x:f>IF(G347=0,"n.a.",D347/G347)</x:f>
        <x:v>725.2833333333333</x:v>
      </x:c>
      <x:c r="P347" s="15" t="n">
        <x:f>IF(D347=0,"n.a.",E347/D347)</x:f>
        <x:v>0</x:v>
      </x:c>
    </x:row>
    <x:row r="348" ht="22" customHeight="1">
      <x:c r="A348" s="3"/>
      <x:c r="B348" s="3" t="str">
        <x:v>2011-07</x:v>
      </x:c>
      <x:c r="C348" s="3" t="str">
        <x:v>RSA</x:v>
      </x:c>
      <x:c r="D348" s="13" t="n">
        <x:v>0</x:v>
      </x:c>
      <x:c r="E348" s="13" t="n">
        <x:v>0</x:v>
      </x:c>
      <x:c r="F348" s="13" t="n">
        <x:f>D348-E348</x:f>
        <x:v>0</x:v>
      </x:c>
      <x:c r="G348" s="14" t="n">
        <x:v>0</x:v>
      </x:c>
      <x:c r="H348" s="14" t="n">
        <x:v>0</x:v>
      </x:c>
      <x:c r="I348" s="14" t="n">
        <x:v>0</x:v>
      </x:c>
      <x:c r="J348" s="14" t="n">
        <x:v>0</x:v>
      </x:c>
      <x:c r="K348" s="14" t="n">
        <x:v>0</x:v>
      </x:c>
      <x:c r="L348" s="14" t="n">
        <x:v>0</x:v>
      </x:c>
      <x:c r="M348" s="13" t="n">
        <x:v>0</x:v>
      </x:c>
      <x:c r="N348" s="3" t="n">
        <x:v>0</x:v>
      </x:c>
      <x:c r="O348" s="13" t="str">
        <x:f>IF(G348=0,"n.a.",D348/G348)</x:f>
        <x:v>n.a.</x:v>
      </x:c>
      <x:c r="P348" s="15" t="str">
        <x:f>IF(D348=0,"n.a.",E348/D348)</x:f>
        <x:v>n.a.</x:v>
      </x:c>
    </x:row>
    <x:row r="349" ht="22" customHeight="1">
      <x:c r="A349" s="3"/>
      <x:c r="B349" s="3" t="str">
        <x:v>2011-07</x:v>
      </x:c>
      <x:c r="C349" s="3" t="str">
        <x:v>Saudi Arabia</x:v>
      </x:c>
      <x:c r="D349" s="13" t="n">
        <x:v>0</x:v>
      </x:c>
      <x:c r="E349" s="13" t="n">
        <x:v>0</x:v>
      </x:c>
      <x:c r="F349" s="13" t="n">
        <x:f>D349-E349</x:f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0</x:v>
      </x:c>
      <x:c r="L349" s="14" t="n">
        <x:v>0</x:v>
      </x:c>
      <x:c r="M349" s="13" t="n">
        <x:v>0</x:v>
      </x:c>
      <x:c r="N349" s="3" t="n">
        <x:v>0</x:v>
      </x:c>
      <x:c r="O349" s="13" t="str">
        <x:f>IF(G349=0,"n.a.",D349/G349)</x:f>
        <x:v>n.a.</x:v>
      </x:c>
      <x:c r="P349" s="15" t="str">
        <x:f>IF(D349=0,"n.a.",E349/D349)</x:f>
        <x:v>n.a.</x:v>
      </x:c>
    </x:row>
    <x:row r="350" ht="22" customHeight="1">
      <x:c r="A350" s="3"/>
      <x:c r="B350" s="3" t="str">
        <x:v>2011-07</x:v>
      </x:c>
      <x:c r="C350" s="3" t="str">
        <x:v>Singapore</x:v>
      </x:c>
      <x:c r="D350" s="13" t="n">
        <x:v>3949.32</x:v>
      </x:c>
      <x:c r="E350" s="13" t="n">
        <x:v>0</x:v>
      </x:c>
      <x:c r="F350" s="13" t="n">
        <x:f>D350-E350</x:f>
        <x:v>3949.32</x:v>
      </x:c>
      <x:c r="G350" s="14" t="n">
        <x:v>1</x:v>
      </x:c>
      <x:c r="H350" s="14" t="n">
        <x:v>0</x:v>
      </x:c>
      <x:c r="I350" s="14" t="n">
        <x:v>1</x:v>
      </x:c>
      <x:c r="J350" s="14" t="n">
        <x:v>0</x:v>
      </x:c>
      <x:c r="K350" s="14" t="n">
        <x:v>2160</x:v>
      </x:c>
      <x:c r="L350" s="14" t="n">
        <x:v>0</x:v>
      </x:c>
      <x:c r="M350" s="13" t="n">
        <x:v>3949.32</x:v>
      </x:c>
      <x:c r="N350" s="3" t="n">
        <x:v>75</x:v>
      </x:c>
      <x:c r="O350" s="13" t="n">
        <x:f>IF(G350=0,"n.a.",D350/G350)</x:f>
        <x:v>3949.32</x:v>
      </x:c>
      <x:c r="P350" s="15" t="n">
        <x:f>IF(D350=0,"n.a.",E350/D350)</x:f>
        <x:v>0</x:v>
      </x:c>
    </x:row>
    <x:row r="351" ht="22" customHeight="1">
      <x:c r="A351" s="3"/>
      <x:c r="B351" s="3" t="str">
        <x:v>2011-07</x:v>
      </x:c>
      <x:c r="C351" s="3" t="str">
        <x:v>Spain</x:v>
      </x:c>
      <x:c r="D351" s="13" t="n">
        <x:v>7120.92</x:v>
      </x:c>
      <x:c r="E351" s="13" t="n">
        <x:v>46.75</x:v>
      </x:c>
      <x:c r="F351" s="13" t="n">
        <x:f>D351-E351</x:f>
        <x:v>7074.17</x:v>
      </x:c>
      <x:c r="G351" s="14" t="n">
        <x:v>9</x:v>
      </x:c>
      <x:c r="H351" s="14" t="n">
        <x:v>1</x:v>
      </x:c>
      <x:c r="I351" s="14" t="n">
        <x:v>7</x:v>
      </x:c>
      <x:c r="J351" s="14" t="n">
        <x:v>2</x:v>
      </x:c>
      <x:c r="K351" s="14" t="n">
        <x:v>3420</x:v>
      </x:c>
      <x:c r="L351" s="14" t="n">
        <x:v>11</x:v>
      </x:c>
      <x:c r="M351" s="13" t="n">
        <x:v>7120.92</x:v>
      </x:c>
      <x:c r="N351" s="3" t="n">
        <x:v>175</x:v>
      </x:c>
      <x:c r="O351" s="13" t="n">
        <x:f>IF(G351=0,"n.a.",D351/G351)</x:f>
        <x:v>791.2133333333334</x:v>
      </x:c>
      <x:c r="P351" s="15" t="n">
        <x:f>IF(D351=0,"n.a.",E351/D351)</x:f>
        <x:v>0.006565162928385658</x:v>
      </x:c>
    </x:row>
    <x:row r="352" ht="22" customHeight="1">
      <x:c r="A352" s="3"/>
      <x:c r="B352" s="3" t="str">
        <x:v>2011-07</x:v>
      </x:c>
      <x:c r="C352" s="3" t="str">
        <x:v>Sweden</x:v>
      </x:c>
      <x:c r="D352" s="13" t="n">
        <x:v>6692.09</x:v>
      </x:c>
      <x:c r="E352" s="13" t="n">
        <x:v>0</x:v>
      </x:c>
      <x:c r="F352" s="13" t="n">
        <x:f>D352-E352</x:f>
        <x:v>6692.09</x:v>
      </x:c>
      <x:c r="G352" s="14" t="n">
        <x:v>3</x:v>
      </x:c>
      <x:c r="H352" s="14" t="n">
        <x:v>0</x:v>
      </x:c>
      <x:c r="I352" s="14" t="n">
        <x:v>2</x:v>
      </x:c>
      <x:c r="J352" s="14" t="n">
        <x:v>1</x:v>
      </x:c>
      <x:c r="K352" s="14" t="n">
        <x:v>6003</x:v>
      </x:c>
      <x:c r="L352" s="14" t="n">
        <x:v>0</x:v>
      </x:c>
      <x:c r="M352" s="13" t="n">
        <x:v>6692.09</x:v>
      </x:c>
      <x:c r="N352" s="3" t="n">
        <x:v>52</x:v>
      </x:c>
      <x:c r="O352" s="13" t="n">
        <x:f>IF(G352=0,"n.a.",D352/G352)</x:f>
        <x:v>2230.6966666666667</x:v>
      </x:c>
      <x:c r="P352" s="15" t="n">
        <x:f>IF(D352=0,"n.a.",E352/D352)</x:f>
        <x:v>0</x:v>
      </x:c>
    </x:row>
    <x:row r="353" ht="22" customHeight="1">
      <x:c r="A353" s="3"/>
      <x:c r="B353" s="3" t="str">
        <x:v>2011-07</x:v>
      </x:c>
      <x:c r="C353" s="3" t="str">
        <x:v>Switzerland</x:v>
      </x:c>
      <x:c r="D353" s="13" t="n">
        <x:v>3518.61</x:v>
      </x:c>
      <x:c r="E353" s="13" t="n">
        <x:v>102</x:v>
      </x:c>
      <x:c r="F353" s="13" t="n">
        <x:f>D353-E353</x:f>
        <x:v>3416.61</x:v>
      </x:c>
      <x:c r="G353" s="14" t="n">
        <x:v>6</x:v>
      </x:c>
      <x:c r="H353" s="14" t="n">
        <x:v>1</x:v>
      </x:c>
      <x:c r="I353" s="14" t="n">
        <x:v>4</x:v>
      </x:c>
      <x:c r="J353" s="14" t="n">
        <x:v>1</x:v>
      </x:c>
      <x:c r="K353" s="14" t="n">
        <x:v>1816</x:v>
      </x:c>
      <x:c r="L353" s="14" t="n">
        <x:v>120</x:v>
      </x:c>
      <x:c r="M353" s="13" t="n">
        <x:v>3282.65</x:v>
      </x:c>
      <x:c r="N353" s="3" t="n">
        <x:v>177</x:v>
      </x:c>
      <x:c r="O353" s="13" t="n">
        <x:f>IF(G353=0,"n.a.",D353/G353)</x:f>
        <x:v>586.4350000000001</x:v>
      </x:c>
      <x:c r="P353" s="15" t="n">
        <x:f>IF(D353=0,"n.a.",E353/D353)</x:f>
        <x:v>0.028988719977491112</x:v>
      </x:c>
    </x:row>
    <x:row r="354" ht="22" customHeight="1">
      <x:c r="A354" s="3"/>
      <x:c r="B354" s="3" t="str">
        <x:v>2011-07</x:v>
      </x:c>
      <x:c r="C354" s="3" t="str">
        <x:v>USA</x:v>
      </x:c>
      <x:c r="D354" s="13" t="n">
        <x:v>0</x:v>
      </x:c>
      <x:c r="E354" s="13" t="n">
        <x:v>0</x:v>
      </x:c>
      <x:c r="F354" s="13" t="n">
        <x:f>D354-E354</x:f>
        <x:v>0</x:v>
      </x:c>
      <x:c r="G354" s="14" t="n">
        <x:v>0</x:v>
      </x:c>
      <x:c r="H354" s="14" t="n">
        <x:v>0</x:v>
      </x:c>
      <x:c r="I354" s="14" t="n">
        <x:v>0</x:v>
      </x:c>
      <x:c r="J354" s="14" t="n">
        <x:v>0</x:v>
      </x:c>
      <x:c r="K354" s="14" t="n">
        <x:v>0</x:v>
      </x:c>
      <x:c r="L354" s="14" t="n">
        <x:v>0</x:v>
      </x:c>
      <x:c r="M354" s="13" t="n">
        <x:v>0</x:v>
      </x:c>
      <x:c r="N354" s="3" t="n">
        <x:v>0</x:v>
      </x:c>
      <x:c r="O354" s="13" t="str">
        <x:f>IF(G354=0,"n.a.",D354/G354)</x:f>
        <x:v>n.a.</x:v>
      </x:c>
      <x:c r="P354" s="15" t="str">
        <x:f>IF(D354=0,"n.a.",E354/D354)</x:f>
        <x:v>n.a.</x:v>
      </x:c>
    </x:row>
    <x:row r="355" ht="22" customHeight="1">
      <x:c r="A355" s="3"/>
      <x:c r="B355" s="3" t="str">
        <x:v>2011-07</x:v>
      </x:c>
      <x:c r="C355" s="3" t="str">
        <x:v>United Arab Emirates</x:v>
      </x:c>
      <x:c r="D355" s="13" t="n">
        <x:v>0</x:v>
      </x:c>
      <x:c r="E355" s="13" t="n">
        <x:v>0</x:v>
      </x:c>
      <x:c r="F355" s="13" t="n">
        <x:f>D355-E355</x:f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0</x:v>
      </x:c>
      <x:c r="L355" s="14" t="n">
        <x:v>0</x:v>
      </x:c>
      <x:c r="M355" s="13" t="n">
        <x:v>0</x:v>
      </x:c>
      <x:c r="N355" s="3" t="n">
        <x:v>0</x:v>
      </x:c>
      <x:c r="O355" s="13" t="str">
        <x:f>IF(G355=0,"n.a.",D355/G355)</x:f>
        <x:v>n.a.</x:v>
      </x:c>
      <x:c r="P355" s="15" t="str">
        <x:f>IF(D355=0,"n.a.",E355/D355)</x:f>
        <x:v>n.a.</x:v>
      </x:c>
    </x:row>
    <x:row r="356" ht="22" customHeight="1">
      <x:c r="A356" s="3"/>
      <x:c r="B356" s="3" t="str">
        <x:v>2011-07</x:v>
      </x:c>
      <x:c r="C356" s="3" t="str">
        <x:v>United Kingdom</x:v>
      </x:c>
      <x:c r="D356" s="13" t="n">
        <x:v>578224.681</x:v>
      </x:c>
      <x:c r="E356" s="13" t="n">
        <x:v>10564.46</x:v>
      </x:c>
      <x:c r="F356" s="13" t="n">
        <x:f>D356-E356</x:f>
        <x:v>567660.221</x:v>
      </x:c>
      <x:c r="G356" s="14" t="n">
        <x:v>1317</x:v>
      </x:c>
      <x:c r="H356" s="14" t="n">
        <x:v>214</x:v>
      </x:c>
      <x:c r="I356" s="14" t="n">
        <x:v>856</x:v>
      </x:c>
      <x:c r="J356" s="14" t="n">
        <x:v>207</x:v>
      </x:c>
      <x:c r="K356" s="14" t="n">
        <x:v>334215</x:v>
      </x:c>
      <x:c r="L356" s="14" t="n">
        <x:v>5555</x:v>
      </x:c>
      <x:c r="M356" s="13" t="n">
        <x:v>484289.761</x:v>
      </x:c>
      <x:c r="N356" s="3" t="n">
        <x:v>35619</x:v>
      </x:c>
      <x:c r="O356" s="13" t="n">
        <x:f>IF(G356=0,"n.a.",D356/G356)</x:f>
        <x:v>439.04683447228547</x:v>
      </x:c>
      <x:c r="P356" s="15" t="n">
        <x:f>IF(D356=0,"n.a.",E356/D356)</x:f>
        <x:v>0.018270510317424517</x:v>
      </x:c>
    </x:row>
    <x:row r="357" ht="22" customHeight="1">
      <x:c r="A357" s="3"/>
      <x:c r="B357" s="3" t="str">
        <x:v>2011-07</x:v>
      </x:c>
      <x:c r="C357" s="3" t="str">
        <x:v>Unspecified</x:v>
      </x:c>
      <x:c r="D357" s="13" t="n">
        <x:v>1425.41</x:v>
      </x:c>
      <x:c r="E357" s="13" t="n">
        <x:v>0</x:v>
      </x:c>
      <x:c r="F357" s="13" t="n">
        <x:f>D357-E357</x:f>
        <x:v>1425.41</x:v>
      </x:c>
      <x:c r="G357" s="14" t="n">
        <x:v>4</x:v>
      </x:c>
      <x:c r="H357" s="14" t="n">
        <x:v>0</x:v>
      </x:c>
      <x:c r="I357" s="14" t="n">
        <x:v>2</x:v>
      </x:c>
      <x:c r="J357" s="14" t="n">
        <x:v>1</x:v>
      </x:c>
      <x:c r="K357" s="14" t="n">
        <x:v>1053</x:v>
      </x:c>
      <x:c r="L357" s="14" t="n">
        <x:v>0</x:v>
      </x:c>
      <x:c r="M357" s="13" t="n">
        <x:v>798.48</x:v>
      </x:c>
      <x:c r="N357" s="3" t="n">
        <x:v>221</x:v>
      </x:c>
      <x:c r="O357" s="13" t="n">
        <x:f>IF(G357=0,"n.a.",D357/G357)</x:f>
        <x:v>356.3525</x:v>
      </x:c>
      <x:c r="P357" s="15" t="n">
        <x:f>IF(D357=0,"n.a.",E357/D357)</x:f>
        <x:v>0</x:v>
      </x:c>
    </x:row>
    <x:row r="358" ht="22" customHeight="1">
      <x:c r="A358" s="3"/>
      <x:c r="B358" s="3" t="str">
        <x:v>2011-08</x:v>
      </x:c>
      <x:c r="C358" s="3" t="str">
        <x:v>Todos</x:v>
      </x:c>
      <x:c r="D358" s="13" t="n">
        <x:v>725513.5</x:v>
      </x:c>
      <x:c r="E358" s="13" t="n">
        <x:v>22929.52</x:v>
      </x:c>
      <x:c r="F358" s="13" t="n">
        <x:f>D358-E358</x:f>
        <x:v>702583.98</x:v>
      </x:c>
      <x:c r="G358" s="14" t="n">
        <x:v>1339</x:v>
      </x:c>
      <x:c r="H358" s="14" t="n">
        <x:v>240</x:v>
      </x:c>
      <x:c r="I358" s="14" t="n">
        <x:v>933</x:v>
      </x:c>
      <x:c r="J358" s="14" t="n">
        <x:v>190</x:v>
      </x:c>
      <x:c r="K358" s="14" t="n">
        <x:v>421445</x:v>
      </x:c>
      <x:c r="L358" s="14" t="n">
        <x:v>11662</x:v>
      </x:c>
      <x:c r="M358" s="13" t="n">
        <x:v>636807.24</x:v>
      </x:c>
      <x:c r="N358" s="3" t="n">
        <x:v>34943</x:v>
      </x:c>
      <x:c r="O358" s="13" t="n">
        <x:f>IF(G358=0,"n.a.",D358/G358)</x:f>
        <x:v>541.8323375653473</x:v>
      </x:c>
      <x:c r="P358" s="15" t="n">
        <x:f>IF(D358=0,"n.a.",E358/D358)</x:f>
        <x:v>0.031604539405538284</x:v>
      </x:c>
    </x:row>
    <x:row r="359" ht="22" customHeight="1">
      <x:c r="A359" s="3"/>
      <x:c r="B359" s="3" t="str">
        <x:v>2011-08</x:v>
      </x:c>
      <x:c r="C359" s="3" t="str">
        <x:v>Australia</x:v>
      </x:c>
      <x:c r="D359" s="13" t="n">
        <x:v>22489.2</x:v>
      </x:c>
      <x:c r="E359" s="13" t="n">
        <x:v>0</x:v>
      </x:c>
      <x:c r="F359" s="13" t="n">
        <x:f>D359-E359</x:f>
        <x:v>22489.2</x:v>
      </x:c>
      <x:c r="G359" s="14" t="n">
        <x:v>2</x:v>
      </x:c>
      <x:c r="H359" s="14" t="n">
        <x:v>0</x:v>
      </x:c>
      <x:c r="I359" s="14" t="n">
        <x:v>2</x:v>
      </x:c>
      <x:c r="J359" s="14" t="n">
        <x:v>0</x:v>
      </x:c>
      <x:c r="K359" s="14" t="n">
        <x:v>12570</x:v>
      </x:c>
      <x:c r="L359" s="14" t="n">
        <x:v>0</x:v>
      </x:c>
      <x:c r="M359" s="13" t="n">
        <x:v>22489.2</x:v>
      </x:c>
      <x:c r="N359" s="3" t="n">
        <x:v>107</x:v>
      </x:c>
      <x:c r="O359" s="13" t="n">
        <x:f>IF(G359=0,"n.a.",D359/G359)</x:f>
        <x:v>11244.6</x:v>
      </x:c>
      <x:c r="P359" s="15" t="n">
        <x:f>IF(D359=0,"n.a.",E359/D359)</x:f>
        <x:v>0</x:v>
      </x:c>
    </x:row>
    <x:row r="360" ht="22" customHeight="1">
      <x:c r="A360" s="3"/>
      <x:c r="B360" s="3" t="str">
        <x:v>2011-08</x:v>
      </x:c>
      <x:c r="C360" s="3" t="str">
        <x:v>Austria</x:v>
      </x:c>
      <x:c r="D360" s="13" t="n">
        <x:v>1436.08</x:v>
      </x:c>
      <x:c r="E360" s="13" t="n">
        <x:v>0</x:v>
      </x:c>
      <x:c r="F360" s="13" t="n">
        <x:f>D360-E360</x:f>
        <x:v>1436.08</x:v>
      </x:c>
      <x:c r="G360" s="14" t="n">
        <x:v>2</x:v>
      </x:c>
      <x:c r="H360" s="14" t="n">
        <x:v>0</x:v>
      </x:c>
      <x:c r="I360" s="14" t="n">
        <x:v>2</x:v>
      </x:c>
      <x:c r="J360" s="14" t="n">
        <x:v>0</x:v>
      </x:c>
      <x:c r="K360" s="14" t="n">
        <x:v>788</x:v>
      </x:c>
      <x:c r="L360" s="14" t="n">
        <x:v>0</x:v>
      </x:c>
      <x:c r="M360" s="13" t="n">
        <x:v>1436.08</x:v>
      </x:c>
      <x:c r="N360" s="3" t="n">
        <x:v>87</x:v>
      </x:c>
      <x:c r="O360" s="13" t="n">
        <x:f>IF(G360=0,"n.a.",D360/G360)</x:f>
        <x:v>718.04</x:v>
      </x:c>
      <x:c r="P360" s="15" t="n">
        <x:f>IF(D360=0,"n.a.",E360/D360)</x:f>
        <x:v>0</x:v>
      </x:c>
    </x:row>
    <x:row r="361" ht="22" customHeight="1">
      <x:c r="A361" s="3"/>
      <x:c r="B361" s="3" t="str">
        <x:v>2011-08</x:v>
      </x:c>
      <x:c r="C361" s="3" t="str">
        <x:v>Bahrain</x:v>
      </x:c>
      <x:c r="D361" s="13" t="n">
        <x:v>0</x:v>
      </x:c>
      <x:c r="E361" s="13" t="n">
        <x:v>0</x:v>
      </x:c>
      <x:c r="F361" s="13" t="n">
        <x:f>D361-E361</x:f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0</x:v>
      </x:c>
      <x:c r="L361" s="14" t="n">
        <x:v>0</x:v>
      </x:c>
      <x:c r="M361" s="13" t="n">
        <x:v>0</x:v>
      </x:c>
      <x:c r="N361" s="3" t="n">
        <x:v>0</x:v>
      </x:c>
      <x:c r="O361" s="13" t="str">
        <x:f>IF(G361=0,"n.a.",D361/G361)</x:f>
        <x:v>n.a.</x:v>
      </x:c>
      <x:c r="P361" s="15" t="str">
        <x:f>IF(D361=0,"n.a.",E361/D361)</x:f>
        <x:v>n.a.</x:v>
      </x:c>
    </x:row>
    <x:row r="362" ht="22" customHeight="1">
      <x:c r="A362" s="3"/>
      <x:c r="B362" s="3" t="str">
        <x:v>2011-08</x:v>
      </x:c>
      <x:c r="C362" s="3" t="str">
        <x:v>Belgium</x:v>
      </x:c>
      <x:c r="D362" s="13" t="n">
        <x:v>3140.02</x:v>
      </x:c>
      <x:c r="E362" s="13" t="n">
        <x:v>17.9</x:v>
      </x:c>
      <x:c r="F362" s="13" t="n">
        <x:f>D362-E362</x:f>
        <x:v>3122.12</x:v>
      </x:c>
      <x:c r="G362" s="14" t="n">
        <x:v>9</x:v>
      </x:c>
      <x:c r="H362" s="14" t="n">
        <x:v>1</x:v>
      </x:c>
      <x:c r="I362" s="14" t="n">
        <x:v>8</x:v>
      </x:c>
      <x:c r="J362" s="14" t="n">
        <x:v>1</x:v>
      </x:c>
      <x:c r="K362" s="14" t="n">
        <x:v>2042</x:v>
      </x:c>
      <x:c r="L362" s="14" t="n">
        <x:v>8</x:v>
      </x:c>
      <x:c r="M362" s="13" t="n">
        <x:v>3140.02</x:v>
      </x:c>
      <x:c r="N362" s="3" t="n">
        <x:v>188</x:v>
      </x:c>
      <x:c r="O362" s="13" t="n">
        <x:f>IF(G362=0,"n.a.",D362/G362)</x:f>
        <x:v>348.8911111111111</x:v>
      </x:c>
      <x:c r="P362" s="15" t="n">
        <x:f>IF(D362=0,"n.a.",E362/D362)</x:f>
        <x:v>0.005700600633116986</x:v>
      </x:c>
    </x:row>
    <x:row r="363" ht="22" customHeight="1">
      <x:c r="A363" s="3"/>
      <x:c r="B363" s="3" t="str">
        <x:v>2011-08</x:v>
      </x:c>
      <x:c r="C363" s="3" t="str">
        <x:v>Brazil</x:v>
      </x:c>
      <x:c r="D363" s="13" t="n">
        <x:v>0</x:v>
      </x:c>
      <x:c r="E363" s="13" t="n">
        <x:v>0</x:v>
      </x:c>
      <x:c r="F363" s="13" t="n">
        <x:f>D363-E363</x:f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0</x:v>
      </x:c>
      <x:c r="L363" s="14" t="n">
        <x:v>0</x:v>
      </x:c>
      <x:c r="M363" s="13" t="n">
        <x:v>0</x:v>
      </x:c>
      <x:c r="N363" s="3" t="n">
        <x:v>0</x:v>
      </x:c>
      <x:c r="O363" s="13" t="str">
        <x:f>IF(G363=0,"n.a.",D363/G363)</x:f>
        <x:v>n.a.</x:v>
      </x:c>
      <x:c r="P363" s="15" t="str">
        <x:f>IF(D363=0,"n.a.",E363/D363)</x:f>
        <x:v>n.a.</x:v>
      </x:c>
    </x:row>
    <x:row r="364" ht="22" customHeight="1">
      <x:c r="A364" s="3"/>
      <x:c r="B364" s="3" t="str">
        <x:v>2011-08</x:v>
      </x:c>
      <x:c r="C364" s="3" t="str">
        <x:v>Canada</x:v>
      </x:c>
      <x:c r="D364" s="13" t="n">
        <x:v>51.56</x:v>
      </x:c>
      <x:c r="E364" s="13" t="n">
        <x:v>0</x:v>
      </x:c>
      <x:c r="F364" s="13" t="n">
        <x:f>D364-E364</x:f>
        <x:v>51.56</x:v>
      </x:c>
      <x:c r="G364" s="14" t="n">
        <x:v>1</x:v>
      </x:c>
      <x:c r="H364" s="14" t="n">
        <x:v>0</x:v>
      </x:c>
      <x:c r="I364" s="14" t="n">
        <x:v>1</x:v>
      </x:c>
      <x:c r="J364" s="14" t="n">
        <x:v>0</x:v>
      </x:c>
      <x:c r="K364" s="14" t="n">
        <x:v>52</x:v>
      </x:c>
      <x:c r="L364" s="14" t="n">
        <x:v>0</x:v>
      </x:c>
      <x:c r="M364" s="13" t="n">
        <x:v>51.56</x:v>
      </x:c>
      <x:c r="N364" s="3" t="n">
        <x:v>5</x:v>
      </x:c>
      <x:c r="O364" s="13" t="n">
        <x:f>IF(G364=0,"n.a.",D364/G364)</x:f>
        <x:v>51.56</x:v>
      </x:c>
      <x:c r="P364" s="15" t="n">
        <x:f>IF(D364=0,"n.a.",E364/D364)</x:f>
        <x:v>0</x:v>
      </x:c>
    </x:row>
    <x:row r="365" ht="22" customHeight="1">
      <x:c r="A365" s="3"/>
      <x:c r="B365" s="3" t="str">
        <x:v>2011-08</x:v>
      </x:c>
      <x:c r="C365" s="3" t="str">
        <x:v>Channel Islands</x:v>
      </x:c>
      <x:c r="D365" s="13" t="n">
        <x:v>4896.78</x:v>
      </x:c>
      <x:c r="E365" s="13" t="n">
        <x:v>4.25</x:v>
      </x:c>
      <x:c r="F365" s="13" t="n">
        <x:f>D365-E365</x:f>
        <x:v>4892.53</x:v>
      </x:c>
      <x:c r="G365" s="14" t="n">
        <x:v>5</x:v>
      </x:c>
      <x:c r="H365" s="14" t="n">
        <x:v>1</x:v>
      </x:c>
      <x:c r="I365" s="14" t="n">
        <x:v>4</x:v>
      </x:c>
      <x:c r="J365" s="14" t="n">
        <x:v>1</x:v>
      </x:c>
      <x:c r="K365" s="14" t="n">
        <x:v>2009</x:v>
      </x:c>
      <x:c r="L365" s="14" t="n">
        <x:v>1</x:v>
      </x:c>
      <x:c r="M365" s="13" t="n">
        <x:v>4896.78</x:v>
      </x:c>
      <x:c r="N365" s="3" t="n">
        <x:v>141</x:v>
      </x:c>
      <x:c r="O365" s="13" t="n">
        <x:f>IF(G365=0,"n.a.",D365/G365)</x:f>
        <x:v>979.356</x:v>
      </x:c>
      <x:c r="P365" s="15" t="n">
        <x:f>IF(D365=0,"n.a.",E365/D365)</x:f>
        <x:v>0.0008679172844195574</x:v>
      </x:c>
    </x:row>
    <x:row r="366" ht="22" customHeight="1">
      <x:c r="A366" s="3"/>
      <x:c r="B366" s="3" t="str">
        <x:v>2011-08</x:v>
      </x:c>
      <x:c r="C366" s="3" t="str">
        <x:v>Cyprus</x:v>
      </x:c>
      <x:c r="D366" s="13" t="n">
        <x:v>0</x:v>
      </x:c>
      <x:c r="E366" s="13" t="n">
        <x:v>0</x:v>
      </x:c>
      <x:c r="F366" s="13" t="n">
        <x:f>D366-E366</x:f>
        <x:v>0</x:v>
      </x:c>
      <x:c r="G366" s="14" t="n">
        <x:v>0</x:v>
      </x:c>
      <x:c r="H366" s="14" t="n">
        <x:v>0</x:v>
      </x:c>
      <x:c r="I366" s="14" t="n">
        <x:v>0</x:v>
      </x:c>
      <x:c r="J366" s="14" t="n">
        <x:v>0</x:v>
      </x:c>
      <x:c r="K366" s="14" t="n">
        <x:v>0</x:v>
      </x:c>
      <x:c r="L366" s="14" t="n">
        <x:v>0</x:v>
      </x:c>
      <x:c r="M366" s="13" t="n">
        <x:v>0</x:v>
      </x:c>
      <x:c r="N366" s="3" t="n">
        <x:v>0</x:v>
      </x:c>
      <x:c r="O366" s="13" t="str">
        <x:f>IF(G366=0,"n.a.",D366/G366)</x:f>
        <x:v>n.a.</x:v>
      </x:c>
      <x:c r="P366" s="15" t="str">
        <x:f>IF(D366=0,"n.a.",E366/D366)</x:f>
        <x:v>n.a.</x:v>
      </x:c>
    </x:row>
    <x:row r="367" ht="22" customHeight="1">
      <x:c r="A367" s="3"/>
      <x:c r="B367" s="3" t="str">
        <x:v>2011-08</x:v>
      </x:c>
      <x:c r="C367" s="3" t="str">
        <x:v>Czech Republic</x:v>
      </x:c>
      <x:c r="D367" s="13" t="n">
        <x:v>0</x:v>
      </x:c>
      <x:c r="E367" s="13" t="n">
        <x:v>0</x:v>
      </x:c>
      <x:c r="F367" s="13" t="n">
        <x:f>D367-E367</x:f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0</x:v>
      </x:c>
      <x:c r="L367" s="14" t="n">
        <x:v>0</x:v>
      </x:c>
      <x:c r="M367" s="13" t="n">
        <x:v>0</x:v>
      </x:c>
      <x:c r="N367" s="3" t="n">
        <x:v>0</x:v>
      </x:c>
      <x:c r="O367" s="13" t="str">
        <x:f>IF(G367=0,"n.a.",D367/G367)</x:f>
        <x:v>n.a.</x:v>
      </x:c>
      <x:c r="P367" s="15" t="str">
        <x:f>IF(D367=0,"n.a.",E367/D367)</x:f>
        <x:v>n.a.</x:v>
      </x:c>
    </x:row>
    <x:row r="368" ht="22" customHeight="1">
      <x:c r="A368" s="3"/>
      <x:c r="B368" s="3" t="str">
        <x:v>2011-08</x:v>
      </x:c>
      <x:c r="C368" s="3" t="str">
        <x:v>Denmark</x:v>
      </x:c>
      <x:c r="D368" s="13" t="n">
        <x:v>195.15</x:v>
      </x:c>
      <x:c r="E368" s="13" t="n">
        <x:v>134.55</x:v>
      </x:c>
      <x:c r="F368" s="13" t="n">
        <x:f>D368-E368</x:f>
        <x:v>60.599999999999994</x:v>
      </x:c>
      <x:c r="G368" s="14" t="n">
        <x:v>1</x:v>
      </x:c>
      <x:c r="H368" s="14" t="n">
        <x:v>1</x:v>
      </x:c>
      <x:c r="I368" s="14" t="n">
        <x:v>1</x:v>
      </x:c>
      <x:c r="J368" s="14" t="n">
        <x:v>0</x:v>
      </x:c>
      <x:c r="K368" s="14" t="n">
        <x:v>337</x:v>
      </x:c>
      <x:c r="L368" s="14" t="n">
        <x:v>9</x:v>
      </x:c>
      <x:c r="M368" s="13" t="n">
        <x:v>195.15</x:v>
      </x:c>
      <x:c r="N368" s="3" t="n">
        <x:v>18</x:v>
      </x:c>
      <x:c r="O368" s="13" t="n">
        <x:f>IF(G368=0,"n.a.",D368/G368)</x:f>
        <x:v>195.15</x:v>
      </x:c>
      <x:c r="P368" s="15" t="n">
        <x:f>IF(D368=0,"n.a.",E368/D368)</x:f>
        <x:v>0.6894696387394312</x:v>
      </x:c>
    </x:row>
    <x:row r="369" ht="22" customHeight="1">
      <x:c r="A369" s="3"/>
      <x:c r="B369" s="3" t="str">
        <x:v>2011-08</x:v>
      </x:c>
      <x:c r="C369" s="3" t="str">
        <x:v>EIRE</x:v>
      </x:c>
      <x:c r="D369" s="13" t="n">
        <x:v>18053.75</x:v>
      </x:c>
      <x:c r="E369" s="13" t="n">
        <x:v>4640.59</x:v>
      </x:c>
      <x:c r="F369" s="13" t="n">
        <x:f>D369-E369</x:f>
        <x:v>13413.16</x:v>
      </x:c>
      <x:c r="G369" s="14" t="n">
        <x:v>18</x:v>
      </x:c>
      <x:c r="H369" s="14" t="n">
        <x:v>7</x:v>
      </x:c>
      <x:c r="I369" s="14" t="n">
        <x:v>2</x:v>
      </x:c>
      <x:c r="J369" s="14" t="n">
        <x:v>2</x:v>
      </x:c>
      <x:c r="K369" s="14" t="n">
        <x:v>10071</x:v>
      </x:c>
      <x:c r="L369" s="14" t="n">
        <x:v>2418</x:v>
      </x:c>
      <x:c r="M369" s="13" t="n">
        <x:v>16717.38</x:v>
      </x:c>
      <x:c r="N369" s="3" t="n">
        <x:v>703</x:v>
      </x:c>
      <x:c r="O369" s="13" t="n">
        <x:f>IF(G369=0,"n.a.",D369/G369)</x:f>
        <x:v>1002.9861111111111</x:v>
      </x:c>
      <x:c r="P369" s="15" t="n">
        <x:f>IF(D369=0,"n.a.",E369/D369)</x:f>
        <x:v>0.257042996607353</x:v>
      </x:c>
    </x:row>
    <x:row r="370" ht="22" customHeight="1">
      <x:c r="A370" s="3"/>
      <x:c r="B370" s="3" t="str">
        <x:v>2011-08</x:v>
      </x:c>
      <x:c r="C370" s="3" t="str">
        <x:v>European Community</x:v>
      </x:c>
      <x:c r="D370" s="13" t="n">
        <x:v>0</x:v>
      </x:c>
      <x:c r="E370" s="13" t="n">
        <x:v>0</x:v>
      </x:c>
      <x:c r="F370" s="13" t="n">
        <x:f>D370-E370</x:f>
        <x:v>0</x:v>
      </x:c>
      <x:c r="G370" s="14" t="n">
        <x:v>0</x:v>
      </x:c>
      <x:c r="H370" s="14" t="n">
        <x:v>0</x:v>
      </x:c>
      <x:c r="I370" s="14" t="n">
        <x:v>0</x:v>
      </x:c>
      <x:c r="J370" s="14" t="n">
        <x:v>0</x:v>
      </x:c>
      <x:c r="K370" s="14" t="n">
        <x:v>0</x:v>
      </x:c>
      <x:c r="L370" s="14" t="n">
        <x:v>0</x:v>
      </x:c>
      <x:c r="M370" s="13" t="n">
        <x:v>0</x:v>
      </x:c>
      <x:c r="N370" s="3" t="n">
        <x:v>0</x:v>
      </x:c>
      <x:c r="O370" s="13" t="str">
        <x:f>IF(G370=0,"n.a.",D370/G370)</x:f>
        <x:v>n.a.</x:v>
      </x:c>
      <x:c r="P370" s="15" t="str">
        <x:f>IF(D370=0,"n.a.",E370/D370)</x:f>
        <x:v>n.a.</x:v>
      </x:c>
    </x:row>
    <x:row r="371" ht="22" customHeight="1">
      <x:c r="A371" s="3"/>
      <x:c r="B371" s="3" t="str">
        <x:v>2011-08</x:v>
      </x:c>
      <x:c r="C371" s="3" t="str">
        <x:v>Finland</x:v>
      </x:c>
      <x:c r="D371" s="13" t="n">
        <x:v>1096.5</x:v>
      </x:c>
      <x:c r="E371" s="13" t="n">
        <x:v>4.95</x:v>
      </x:c>
      <x:c r="F371" s="13" t="n">
        <x:f>D371-E371</x:f>
        <x:v>1091.55</x:v>
      </x:c>
      <x:c r="G371" s="14" t="n">
        <x:v>3</x:v>
      </x:c>
      <x:c r="H371" s="14" t="n">
        <x:v>1</x:v>
      </x:c>
      <x:c r="I371" s="14" t="n">
        <x:v>2</x:v>
      </x:c>
      <x:c r="J371" s="14" t="n">
        <x:v>1</x:v>
      </x:c>
      <x:c r="K371" s="14" t="n">
        <x:v>686</x:v>
      </x:c>
      <x:c r="L371" s="14" t="n">
        <x:v>1</x:v>
      </x:c>
      <x:c r="M371" s="13" t="n">
        <x:v>1096.5</x:v>
      </x:c>
      <x:c r="N371" s="3" t="n">
        <x:v>59</x:v>
      </x:c>
      <x:c r="O371" s="13" t="n">
        <x:f>IF(G371=0,"n.a.",D371/G371)</x:f>
        <x:v>365.5</x:v>
      </x:c>
      <x:c r="P371" s="15" t="n">
        <x:f>IF(D371=0,"n.a.",E371/D371)</x:f>
        <x:v>0.004514363885088919</x:v>
      </x:c>
    </x:row>
    <x:row r="372" ht="22" customHeight="1">
      <x:c r="A372" s="3"/>
      <x:c r="B372" s="3" t="str">
        <x:v>2011-08</x:v>
      </x:c>
      <x:c r="C372" s="3" t="str">
        <x:v>France</x:v>
      </x:c>
      <x:c r="D372" s="13" t="n">
        <x:v>12630.96</x:v>
      </x:c>
      <x:c r="E372" s="13" t="n">
        <x:v>21.7</x:v>
      </x:c>
      <x:c r="F372" s="13" t="n">
        <x:f>D372-E372</x:f>
        <x:v>12609.259999999998</x:v>
      </x:c>
      <x:c r="G372" s="14" t="n">
        <x:v>27</x:v>
      </x:c>
      <x:c r="H372" s="14" t="n">
        <x:v>1</x:v>
      </x:c>
      <x:c r="I372" s="14" t="n">
        <x:v>22</x:v>
      </x:c>
      <x:c r="J372" s="14" t="n">
        <x:v>4</x:v>
      </x:c>
      <x:c r="K372" s="14" t="n">
        <x:v>7898</x:v>
      </x:c>
      <x:c r="L372" s="14" t="n">
        <x:v>10</x:v>
      </x:c>
      <x:c r="M372" s="13" t="n">
        <x:v>12630.96</x:v>
      </x:c>
      <x:c r="N372" s="3" t="n">
        <x:v>550</x:v>
      </x:c>
      <x:c r="O372" s="13" t="n">
        <x:f>IF(G372=0,"n.a.",D372/G372)</x:f>
        <x:v>467.8133333333333</x:v>
      </x:c>
      <x:c r="P372" s="15" t="n">
        <x:f>IF(D372=0,"n.a.",E372/D372)</x:f>
        <x:v>0.0017180008487082535</x:v>
      </x:c>
    </x:row>
    <x:row r="373" ht="22" customHeight="1">
      <x:c r="A373" s="3"/>
      <x:c r="B373" s="3" t="str">
        <x:v>2011-08</x:v>
      </x:c>
      <x:c r="C373" s="3" t="str">
        <x:v>Germany</x:v>
      </x:c>
      <x:c r="D373" s="13" t="n">
        <x:v>17636.77</x:v>
      </x:c>
      <x:c r="E373" s="13" t="n">
        <x:v>179.12</x:v>
      </x:c>
      <x:c r="F373" s="13" t="n">
        <x:f>D373-E373</x:f>
        <x:v>17457.65</x:v>
      </x:c>
      <x:c r="G373" s="14" t="n">
        <x:v>37</x:v>
      </x:c>
      <x:c r="H373" s="14" t="n">
        <x:v>8</x:v>
      </x:c>
      <x:c r="I373" s="14" t="n">
        <x:v>28</x:v>
      </x:c>
      <x:c r="J373" s="14" t="n">
        <x:v>7</x:v>
      </x:c>
      <x:c r="K373" s="14" t="n">
        <x:v>9553</x:v>
      </x:c>
      <x:c r="L373" s="14" t="n">
        <x:v>80</x:v>
      </x:c>
      <x:c r="M373" s="13" t="n">
        <x:v>17636.77</x:v>
      </x:c>
      <x:c r="N373" s="3" t="n">
        <x:v>787</x:v>
      </x:c>
      <x:c r="O373" s="13" t="n">
        <x:f>IF(G373=0,"n.a.",D373/G373)</x:f>
        <x:v>476.66945945945946</x:v>
      </x:c>
      <x:c r="P373" s="15" t="n">
        <x:f>IF(D373=0,"n.a.",E373/D373)</x:f>
        <x:v>0.010156054651730447</x:v>
      </x:c>
    </x:row>
    <x:row r="374" ht="22" customHeight="1">
      <x:c r="A374" s="3"/>
      <x:c r="B374" s="3" t="str">
        <x:v>2011-08</x:v>
      </x:c>
      <x:c r="C374" s="3" t="str">
        <x:v>Greece</x:v>
      </x:c>
      <x:c r="D374" s="13" t="n">
        <x:v>0</x:v>
      </x:c>
      <x:c r="E374" s="13" t="n">
        <x:v>0</x:v>
      </x:c>
      <x:c r="F374" s="13" t="n">
        <x:f>D374-E374</x:f>
        <x:v>0</x:v>
      </x:c>
      <x:c r="G374" s="14" t="n">
        <x:v>0</x:v>
      </x:c>
      <x:c r="H374" s="14" t="n">
        <x:v>0</x:v>
      </x:c>
      <x:c r="I374" s="14" t="n">
        <x:v>0</x:v>
      </x:c>
      <x:c r="J374" s="14" t="n">
        <x:v>0</x:v>
      </x:c>
      <x:c r="K374" s="14" t="n">
        <x:v>0</x:v>
      </x:c>
      <x:c r="L374" s="14" t="n">
        <x:v>0</x:v>
      </x:c>
      <x:c r="M374" s="13" t="n">
        <x:v>0</x:v>
      </x:c>
      <x:c r="N374" s="3" t="n">
        <x:v>0</x:v>
      </x:c>
      <x:c r="O374" s="13" t="str">
        <x:f>IF(G374=0,"n.a.",D374/G374)</x:f>
        <x:v>n.a.</x:v>
      </x:c>
      <x:c r="P374" s="15" t="str">
        <x:f>IF(D374=0,"n.a.",E374/D374)</x:f>
        <x:v>n.a.</x:v>
      </x:c>
    </x:row>
    <x:row r="375" ht="22" customHeight="1">
      <x:c r="A375" s="3"/>
      <x:c r="B375" s="3" t="str">
        <x:v>2011-08</x:v>
      </x:c>
      <x:c r="C375" s="3" t="str">
        <x:v>Hong Kong</x:v>
      </x:c>
      <x:c r="D375" s="13" t="n">
        <x:v>2653.95</x:v>
      </x:c>
      <x:c r="E375" s="13" t="n">
        <x:v>0</x:v>
      </x:c>
      <x:c r="F375" s="13" t="n">
        <x:f>D375-E375</x:f>
        <x:v>2653.95</x:v>
      </x:c>
      <x:c r="G375" s="14" t="n">
        <x:v>1</x:v>
      </x:c>
      <x:c r="H375" s="14" t="n">
        <x:v>0</x:v>
      </x:c>
      <x:c r="I375" s="14" t="n">
        <x:v>0</x:v>
      </x:c>
      <x:c r="J375" s="14" t="n">
        <x:v>0</x:v>
      </x:c>
      <x:c r="K375" s="14" t="n">
        <x:v>735</x:v>
      </x:c>
      <x:c r="L375" s="14" t="n">
        <x:v>0</x:v>
      </x:c>
      <x:c r="M375" s="13" t="n">
        <x:v>0</x:v>
      </x:c>
      <x:c r="N375" s="3" t="n">
        <x:v>48</x:v>
      </x:c>
      <x:c r="O375" s="13" t="n">
        <x:f>IF(G375=0,"n.a.",D375/G375)</x:f>
        <x:v>2653.95</x:v>
      </x:c>
      <x:c r="P375" s="15" t="n">
        <x:f>IF(D375=0,"n.a.",E375/D375)</x:f>
        <x:v>0</x:v>
      </x:c>
    </x:row>
    <x:row r="376" ht="22" customHeight="1">
      <x:c r="A376" s="3"/>
      <x:c r="B376" s="3" t="str">
        <x:v>2011-08</x:v>
      </x:c>
      <x:c r="C376" s="3" t="str">
        <x:v>Iceland</x:v>
      </x:c>
      <x:c r="D376" s="13" t="n">
        <x:v>584.91</x:v>
      </x:c>
      <x:c r="E376" s="13" t="n">
        <x:v>0</x:v>
      </x:c>
      <x:c r="F376" s="13" t="n">
        <x:f>D376-E376</x:f>
        <x:v>584.91</x:v>
      </x:c>
      <x:c r="G376" s="14" t="n">
        <x:v>1</x:v>
      </x:c>
      <x:c r="H376" s="14" t="n">
        <x:v>0</x:v>
      </x:c>
      <x:c r="I376" s="14" t="n">
        <x:v>1</x:v>
      </x:c>
      <x:c r="J376" s="14" t="n">
        <x:v>0</x:v>
      </x:c>
      <x:c r="K376" s="14" t="n">
        <x:v>277</x:v>
      </x:c>
      <x:c r="L376" s="14" t="n">
        <x:v>0</x:v>
      </x:c>
      <x:c r="M376" s="13" t="n">
        <x:v>584.91</x:v>
      </x:c>
      <x:c r="N376" s="3" t="n">
        <x:v>22</x:v>
      </x:c>
      <x:c r="O376" s="13" t="n">
        <x:f>IF(G376=0,"n.a.",D376/G376)</x:f>
        <x:v>584.91</x:v>
      </x:c>
      <x:c r="P376" s="15" t="n">
        <x:f>IF(D376=0,"n.a.",E376/D376)</x:f>
        <x:v>0</x:v>
      </x:c>
    </x:row>
    <x:row r="377" ht="22" customHeight="1">
      <x:c r="A377" s="3"/>
      <x:c r="B377" s="3" t="str">
        <x:v>2011-08</x:v>
      </x:c>
      <x:c r="C377" s="3" t="str">
        <x:v>Israel</x:v>
      </x:c>
      <x:c r="D377" s="13" t="n">
        <x:v>4873.81</x:v>
      </x:c>
      <x:c r="E377" s="13" t="n">
        <x:v>0</x:v>
      </x:c>
      <x:c r="F377" s="13" t="n">
        <x:f>D377-E377</x:f>
        <x:v>4873.81</x:v>
      </x:c>
      <x:c r="G377" s="14" t="n">
        <x:v>1</x:v>
      </x:c>
      <x:c r="H377" s="14" t="n">
        <x:v>0</x:v>
      </x:c>
      <x:c r="I377" s="14" t="n">
        <x:v>1</x:v>
      </x:c>
      <x:c r="J377" s="14" t="n">
        <x:v>0</x:v>
      </x:c>
      <x:c r="K377" s="14" t="n">
        <x:v>3028</x:v>
      </x:c>
      <x:c r="L377" s="14" t="n">
        <x:v>0</x:v>
      </x:c>
      <x:c r="M377" s="13" t="n">
        <x:v>4873.81</x:v>
      </x:c>
      <x:c r="N377" s="3" t="n">
        <x:v>171</x:v>
      </x:c>
      <x:c r="O377" s="13" t="n">
        <x:f>IF(G377=0,"n.a.",D377/G377)</x:f>
        <x:v>4873.81</x:v>
      </x:c>
      <x:c r="P377" s="15" t="n">
        <x:f>IF(D377=0,"n.a.",E377/D377)</x:f>
        <x:v>0</x:v>
      </x:c>
    </x:row>
    <x:row r="378" ht="22" customHeight="1">
      <x:c r="A378" s="3"/>
      <x:c r="B378" s="3" t="str">
        <x:v>2011-08</x:v>
      </x:c>
      <x:c r="C378" s="3" t="str">
        <x:v>Italy</x:v>
      </x:c>
      <x:c r="D378" s="13" t="n">
        <x:v>1838.95</x:v>
      </x:c>
      <x:c r="E378" s="13" t="n">
        <x:v>56.15</x:v>
      </x:c>
      <x:c r="F378" s="13" t="n">
        <x:f>D378-E378</x:f>
        <x:v>1782.8</x:v>
      </x:c>
      <x:c r="G378" s="14" t="n">
        <x:v>4</x:v>
      </x:c>
      <x:c r="H378" s="14" t="n">
        <x:v>3</x:v>
      </x:c>
      <x:c r="I378" s="14" t="n">
        <x:v>3</x:v>
      </x:c>
      <x:c r="J378" s="14" t="n">
        <x:v>1</x:v>
      </x:c>
      <x:c r="K378" s="14" t="n">
        <x:v>1142</x:v>
      </x:c>
      <x:c r="L378" s="14" t="n">
        <x:v>19</x:v>
      </x:c>
      <x:c r="M378" s="13" t="n">
        <x:v>1838.95</x:v>
      </x:c>
      <x:c r="N378" s="3" t="n">
        <x:v>99</x:v>
      </x:c>
      <x:c r="O378" s="13" t="n">
        <x:f>IF(G378=0,"n.a.",D378/G378)</x:f>
        <x:v>459.7375</x:v>
      </x:c>
      <x:c r="P378" s="15" t="n">
        <x:f>IF(D378=0,"n.a.",E378/D378)</x:f>
        <x:v>0.0305337284863645</x:v>
      </x:c>
    </x:row>
    <x:row r="379" ht="22" customHeight="1">
      <x:c r="A379" s="3"/>
      <x:c r="B379" s="3" t="str">
        <x:v>2011-08</x:v>
      </x:c>
      <x:c r="C379" s="3" t="str">
        <x:v>Japan</x:v>
      </x:c>
      <x:c r="D379" s="13" t="n">
        <x:v>0</x:v>
      </x:c>
      <x:c r="E379" s="13" t="n">
        <x:v>49.79</x:v>
      </x:c>
      <x:c r="F379" s="13" t="n">
        <x:f>D379-E379</x:f>
        <x:v>-49.79</x:v>
      </x:c>
      <x:c r="G379" s="14" t="n">
        <x:v>0</x:v>
      </x:c>
      <x:c r="H379" s="14" t="n">
        <x:v>1</x:v>
      </x:c>
      <x:c r="I379" s="14" t="n">
        <x:v>0</x:v>
      </x:c>
      <x:c r="J379" s="14" t="n">
        <x:v>0</x:v>
      </x:c>
      <x:c r="K379" s="14" t="n">
        <x:v>0</x:v>
      </x:c>
      <x:c r="L379" s="14" t="n">
        <x:v>27</x:v>
      </x:c>
      <x:c r="M379" s="13" t="n">
        <x:v>0</x:v>
      </x:c>
      <x:c r="N379" s="3" t="n">
        <x:v>8</x:v>
      </x:c>
      <x:c r="O379" s="13" t="str">
        <x:f>IF(G379=0,"n.a.",D379/G379)</x:f>
        <x:v>n.a.</x:v>
      </x:c>
      <x:c r="P379" s="15" t="str">
        <x:f>IF(D379=0,"n.a.",E379/D379)</x:f>
        <x:v>n.a.</x:v>
      </x:c>
    </x:row>
    <x:row r="380" ht="22" customHeight="1">
      <x:c r="A380" s="3"/>
      <x:c r="B380" s="3" t="str">
        <x:v>2011-08</x:v>
      </x:c>
      <x:c r="C380" s="3" t="str">
        <x:v>Lebanon</x:v>
      </x:c>
      <x:c r="D380" s="13" t="n">
        <x:v>0</x:v>
      </x:c>
      <x:c r="E380" s="13" t="n">
        <x:v>0</x:v>
      </x:c>
      <x:c r="F380" s="13" t="n">
        <x:f>D380-E380</x:f>
        <x:v>0</x:v>
      </x:c>
      <x:c r="G380" s="14" t="n">
        <x:v>0</x:v>
      </x:c>
      <x:c r="H380" s="14" t="n">
        <x:v>0</x:v>
      </x:c>
      <x:c r="I380" s="14" t="n">
        <x:v>0</x:v>
      </x:c>
      <x:c r="J380" s="14" t="n">
        <x:v>0</x:v>
      </x:c>
      <x:c r="K380" s="14" t="n">
        <x:v>0</x:v>
      </x:c>
      <x:c r="L380" s="14" t="n">
        <x:v>0</x:v>
      </x:c>
      <x:c r="M380" s="13" t="n">
        <x:v>0</x:v>
      </x:c>
      <x:c r="N380" s="3" t="n">
        <x:v>0</x:v>
      </x:c>
      <x:c r="O380" s="13" t="str">
        <x:f>IF(G380=0,"n.a.",D380/G380)</x:f>
        <x:v>n.a.</x:v>
      </x:c>
      <x:c r="P380" s="15" t="str">
        <x:f>IF(D380=0,"n.a.",E380/D380)</x:f>
        <x:v>n.a.</x:v>
      </x:c>
    </x:row>
    <x:row r="381" ht="22" customHeight="1">
      <x:c r="A381" s="3"/>
      <x:c r="B381" s="3" t="str">
        <x:v>2011-08</x:v>
      </x:c>
      <x:c r="C381" s="3" t="str">
        <x:v>Lithuania</x:v>
      </x:c>
      <x:c r="D381" s="13" t="n">
        <x:v>0</x:v>
      </x:c>
      <x:c r="E381" s="13" t="n">
        <x:v>0</x:v>
      </x:c>
      <x:c r="F381" s="13" t="n">
        <x:f>D381-E381</x:f>
        <x:v>0</x:v>
      </x:c>
      <x:c r="G381" s="14" t="n">
        <x:v>0</x:v>
      </x:c>
      <x:c r="H381" s="14" t="n">
        <x:v>0</x:v>
      </x:c>
      <x:c r="I381" s="14" t="n">
        <x:v>0</x:v>
      </x:c>
      <x:c r="J381" s="14" t="n">
        <x:v>0</x:v>
      </x:c>
      <x:c r="K381" s="14" t="n">
        <x:v>0</x:v>
      </x:c>
      <x:c r="L381" s="14" t="n">
        <x:v>0</x:v>
      </x:c>
      <x:c r="M381" s="13" t="n">
        <x:v>0</x:v>
      </x:c>
      <x:c r="N381" s="3" t="n">
        <x:v>0</x:v>
      </x:c>
      <x:c r="O381" s="13" t="str">
        <x:f>IF(G381=0,"n.a.",D381/G381)</x:f>
        <x:v>n.a.</x:v>
      </x:c>
      <x:c r="P381" s="15" t="str">
        <x:f>IF(D381=0,"n.a.",E381/D381)</x:f>
        <x:v>n.a.</x:v>
      </x:c>
    </x:row>
    <x:row r="382" ht="22" customHeight="1">
      <x:c r="A382" s="3"/>
      <x:c r="B382" s="3" t="str">
        <x:v>2011-08</x:v>
      </x:c>
      <x:c r="C382" s="3" t="str">
        <x:v>Malta</x:v>
      </x:c>
      <x:c r="D382" s="13" t="n">
        <x:v>1079</x:v>
      </x:c>
      <x:c r="E382" s="13" t="n">
        <x:v>15.75</x:v>
      </x:c>
      <x:c r="F382" s="13" t="n">
        <x:f>D382-E382</x:f>
        <x:v>1063.25</x:v>
      </x:c>
      <x:c r="G382" s="14" t="n">
        <x:v>2</x:v>
      </x:c>
      <x:c r="H382" s="14" t="n">
        <x:v>1</x:v>
      </x:c>
      <x:c r="I382" s="14" t="n">
        <x:v>2</x:v>
      </x:c>
      <x:c r="J382" s="14" t="n">
        <x:v>0</x:v>
      </x:c>
      <x:c r="K382" s="14" t="n">
        <x:v>381</x:v>
      </x:c>
      <x:c r="L382" s="14" t="n">
        <x:v>5</x:v>
      </x:c>
      <x:c r="M382" s="13" t="n">
        <x:v>1079</x:v>
      </x:c>
      <x:c r="N382" s="3" t="n">
        <x:v>56</x:v>
      </x:c>
      <x:c r="O382" s="13" t="n">
        <x:f>IF(G382=0,"n.a.",D382/G382)</x:f>
        <x:v>539.5</x:v>
      </x:c>
      <x:c r="P382" s="15" t="n">
        <x:f>IF(D382=0,"n.a.",E382/D382)</x:f>
        <x:v>0.014596848934198332</x:v>
      </x:c>
    </x:row>
    <x:row r="383" ht="22" customHeight="1">
      <x:c r="A383" s="3"/>
      <x:c r="B383" s="3" t="str">
        <x:v>2011-08</x:v>
      </x:c>
      <x:c r="C383" s="3" t="str">
        <x:v>Netherlands</x:v>
      </x:c>
      <x:c r="D383" s="13" t="n">
        <x:v>40327.81</x:v>
      </x:c>
      <x:c r="E383" s="13" t="n">
        <x:v>360</x:v>
      </x:c>
      <x:c r="F383" s="13" t="n">
        <x:f>D383-E383</x:f>
        <x:v>39967.81</x:v>
      </x:c>
      <x:c r="G383" s="14" t="n">
        <x:v>7</x:v>
      </x:c>
      <x:c r="H383" s="14" t="n">
        <x:v>1</x:v>
      </x:c>
      <x:c r="I383" s="14" t="n">
        <x:v>1</x:v>
      </x:c>
      <x:c r="J383" s="14" t="n">
        <x:v>1</x:v>
      </x:c>
      <x:c r="K383" s="14" t="n">
        <x:v>29300</x:v>
      </x:c>
      <x:c r="L383" s="14" t="n">
        <x:v>288</x:v>
      </x:c>
      <x:c r="M383" s="13" t="n">
        <x:v>40327.81</x:v>
      </x:c>
      <x:c r="N383" s="3" t="n">
        <x:v>278</x:v>
      </x:c>
      <x:c r="O383" s="13" t="n">
        <x:f>IF(G383=0,"n.a.",D383/G383)</x:f>
        <x:v>5761.115714285714</x:v>
      </x:c>
      <x:c r="P383" s="15" t="n">
        <x:f>IF(D383=0,"n.a.",E383/D383)</x:f>
        <x:v>0.00892684229567636</x:v>
      </x:c>
    </x:row>
    <x:row r="384" ht="22" customHeight="1">
      <x:c r="A384" s="3"/>
      <x:c r="B384" s="3" t="str">
        <x:v>2011-08</x:v>
      </x:c>
      <x:c r="C384" s="3" t="str">
        <x:v>Norway</x:v>
      </x:c>
      <x:c r="D384" s="13" t="n">
        <x:v>1505.81</x:v>
      </x:c>
      <x:c r="E384" s="13" t="n">
        <x:v>41.35</x:v>
      </x:c>
      <x:c r="F384" s="13" t="n">
        <x:f>D384-E384</x:f>
        <x:v>1464.46</x:v>
      </x:c>
      <x:c r="G384" s="14" t="n">
        <x:v>2</x:v>
      </x:c>
      <x:c r="H384" s="14" t="n">
        <x:v>1</x:v>
      </x:c>
      <x:c r="I384" s="14" t="n">
        <x:v>2</x:v>
      </x:c>
      <x:c r="J384" s="14" t="n">
        <x:v>0</x:v>
      </x:c>
      <x:c r="K384" s="14" t="n">
        <x:v>623</x:v>
      </x:c>
      <x:c r="L384" s="14" t="n">
        <x:v>25</x:v>
      </x:c>
      <x:c r="M384" s="13" t="n">
        <x:v>1505.81</x:v>
      </x:c>
      <x:c r="N384" s="3" t="n">
        <x:v>79</x:v>
      </x:c>
      <x:c r="O384" s="13" t="n">
        <x:f>IF(G384=0,"n.a.",D384/G384)</x:f>
        <x:v>752.905</x:v>
      </x:c>
      <x:c r="P384" s="15" t="n">
        <x:f>IF(D384=0,"n.a.",E384/D384)</x:f>
        <x:v>0.027460303756782066</x:v>
      </x:c>
    </x:row>
    <x:row r="385" ht="22" customHeight="1">
      <x:c r="A385" s="3"/>
      <x:c r="B385" s="3" t="str">
        <x:v>2011-08</x:v>
      </x:c>
      <x:c r="C385" s="3" t="str">
        <x:v>Poland</x:v>
      </x:c>
      <x:c r="D385" s="13" t="n">
        <x:v>361.8</x:v>
      </x:c>
      <x:c r="E385" s="13" t="n">
        <x:v>0</x:v>
      </x:c>
      <x:c r="F385" s="13" t="n">
        <x:f>D385-E385</x:f>
        <x:v>361.8</x:v>
      </x:c>
      <x:c r="G385" s="14" t="n">
        <x:v>2</x:v>
      </x:c>
      <x:c r="H385" s="14" t="n">
        <x:v>0</x:v>
      </x:c>
      <x:c r="I385" s="14" t="n">
        <x:v>2</x:v>
      </x:c>
      <x:c r="J385" s="14" t="n">
        <x:v>0</x:v>
      </x:c>
      <x:c r="K385" s="14" t="n">
        <x:v>185</x:v>
      </x:c>
      <x:c r="L385" s="14" t="n">
        <x:v>0</x:v>
      </x:c>
      <x:c r="M385" s="13" t="n">
        <x:v>361.8</x:v>
      </x:c>
      <x:c r="N385" s="3" t="n">
        <x:v>16</x:v>
      </x:c>
      <x:c r="O385" s="13" t="n">
        <x:f>IF(G385=0,"n.a.",D385/G385)</x:f>
        <x:v>180.9</x:v>
      </x:c>
      <x:c r="P385" s="15" t="n">
        <x:f>IF(D385=0,"n.a.",E385/D385)</x:f>
        <x:v>0</x:v>
      </x:c>
    </x:row>
    <x:row r="386" ht="22" customHeight="1">
      <x:c r="A386" s="3"/>
      <x:c r="B386" s="3" t="str">
        <x:v>2011-08</x:v>
      </x:c>
      <x:c r="C386" s="3" t="str">
        <x:v>Portugal</x:v>
      </x:c>
      <x:c r="D386" s="13" t="n">
        <x:v>1221.4</x:v>
      </x:c>
      <x:c r="E386" s="13" t="n">
        <x:v>15</x:v>
      </x:c>
      <x:c r="F386" s="13" t="n">
        <x:f>D386-E386</x:f>
        <x:v>1206.4</x:v>
      </x:c>
      <x:c r="G386" s="14" t="n">
        <x:v>1</x:v>
      </x:c>
      <x:c r="H386" s="14" t="n">
        <x:v>1</x:v>
      </x:c>
      <x:c r="I386" s="14" t="n">
        <x:v>1</x:v>
      </x:c>
      <x:c r="J386" s="14" t="n">
        <x:v>0</x:v>
      </x:c>
      <x:c r="K386" s="14" t="n">
        <x:v>1026</x:v>
      </x:c>
      <x:c r="L386" s="14" t="n">
        <x:v>12</x:v>
      </x:c>
      <x:c r="M386" s="13" t="n">
        <x:v>1221.4</x:v>
      </x:c>
      <x:c r="N386" s="3" t="n">
        <x:v>42</x:v>
      </x:c>
      <x:c r="O386" s="13" t="n">
        <x:f>IF(G386=0,"n.a.",D386/G386)</x:f>
        <x:v>1221.4</x:v>
      </x:c>
      <x:c r="P386" s="15" t="n">
        <x:f>IF(D386=0,"n.a.",E386/D386)</x:f>
        <x:v>0.012280989028983133</x:v>
      </x:c>
    </x:row>
    <x:row r="387" ht="22" customHeight="1">
      <x:c r="A387" s="3"/>
      <x:c r="B387" s="3" t="str">
        <x:v>2011-08</x:v>
      </x:c>
      <x:c r="C387" s="3" t="str">
        <x:v>RSA</x:v>
      </x:c>
      <x:c r="D387" s="13" t="n">
        <x:v>0</x:v>
      </x:c>
      <x:c r="E387" s="13" t="n">
        <x:v>0</x:v>
      </x:c>
      <x:c r="F387" s="13" t="n">
        <x:f>D387-E387</x:f>
        <x:v>0</x:v>
      </x:c>
      <x:c r="G387" s="14" t="n">
        <x:v>0</x:v>
      </x:c>
      <x:c r="H387" s="14" t="n">
        <x:v>0</x:v>
      </x:c>
      <x:c r="I387" s="14" t="n">
        <x:v>0</x:v>
      </x:c>
      <x:c r="J387" s="14" t="n">
        <x:v>0</x:v>
      </x:c>
      <x:c r="K387" s="14" t="n">
        <x:v>0</x:v>
      </x:c>
      <x:c r="L387" s="14" t="n">
        <x:v>0</x:v>
      </x:c>
      <x:c r="M387" s="13" t="n">
        <x:v>0</x:v>
      </x:c>
      <x:c r="N387" s="3" t="n">
        <x:v>0</x:v>
      </x:c>
      <x:c r="O387" s="13" t="str">
        <x:f>IF(G387=0,"n.a.",D387/G387)</x:f>
        <x:v>n.a.</x:v>
      </x:c>
      <x:c r="P387" s="15" t="str">
        <x:f>IF(D387=0,"n.a.",E387/D387)</x:f>
        <x:v>n.a.</x:v>
      </x:c>
    </x:row>
    <x:row r="388" ht="22" customHeight="1">
      <x:c r="A388" s="3"/>
      <x:c r="B388" s="3" t="str">
        <x:v>2011-08</x:v>
      </x:c>
      <x:c r="C388" s="3" t="str">
        <x:v>Saudi Arabia</x:v>
      </x:c>
      <x:c r="D388" s="13" t="n">
        <x:v>0</x:v>
      </x:c>
      <x:c r="E388" s="13" t="n">
        <x:v>0</x:v>
      </x:c>
      <x:c r="F388" s="13" t="n">
        <x:f>D388-E388</x:f>
        <x:v>0</x:v>
      </x:c>
      <x:c r="G388" s="14" t="n">
        <x:v>0</x:v>
      </x:c>
      <x:c r="H388" s="14" t="n">
        <x:v>0</x:v>
      </x:c>
      <x:c r="I388" s="14" t="n">
        <x:v>0</x:v>
      </x:c>
      <x:c r="J388" s="14" t="n">
        <x:v>0</x:v>
      </x:c>
      <x:c r="K388" s="14" t="n">
        <x:v>0</x:v>
      </x:c>
      <x:c r="L388" s="14" t="n">
        <x:v>0</x:v>
      </x:c>
      <x:c r="M388" s="13" t="n">
        <x:v>0</x:v>
      </x:c>
      <x:c r="N388" s="3" t="n">
        <x:v>0</x:v>
      </x:c>
      <x:c r="O388" s="13" t="str">
        <x:f>IF(G388=0,"n.a.",D388/G388)</x:f>
        <x:v>n.a.</x:v>
      </x:c>
      <x:c r="P388" s="15" t="str">
        <x:f>IF(D388=0,"n.a.",E388/D388)</x:f>
        <x:v>n.a.</x:v>
      </x:c>
    </x:row>
    <x:row r="389" ht="22" customHeight="1">
      <x:c r="A389" s="3"/>
      <x:c r="B389" s="3" t="str">
        <x:v>2011-08</x:v>
      </x:c>
      <x:c r="C389" s="3" t="str">
        <x:v>Singapore</x:v>
      </x:c>
      <x:c r="D389" s="13" t="n">
        <x:v>0</x:v>
      </x:c>
      <x:c r="E389" s="13" t="n">
        <x:v>0</x:v>
      </x:c>
      <x:c r="F389" s="13" t="n">
        <x:f>D389-E389</x:f>
        <x:v>0</x:v>
      </x:c>
      <x:c r="G389" s="14" t="n">
        <x:v>0</x:v>
      </x:c>
      <x:c r="H389" s="14" t="n">
        <x:v>0</x:v>
      </x:c>
      <x:c r="I389" s="14" t="n">
        <x:v>0</x:v>
      </x:c>
      <x:c r="J389" s="14" t="n">
        <x:v>0</x:v>
      </x:c>
      <x:c r="K389" s="14" t="n">
        <x:v>0</x:v>
      </x:c>
      <x:c r="L389" s="14" t="n">
        <x:v>0</x:v>
      </x:c>
      <x:c r="M389" s="13" t="n">
        <x:v>0</x:v>
      </x:c>
      <x:c r="N389" s="3" t="n">
        <x:v>0</x:v>
      </x:c>
      <x:c r="O389" s="13" t="str">
        <x:f>IF(G389=0,"n.a.",D389/G389)</x:f>
        <x:v>n.a.</x:v>
      </x:c>
      <x:c r="P389" s="15" t="str">
        <x:f>IF(D389=0,"n.a.",E389/D389)</x:f>
        <x:v>n.a.</x:v>
      </x:c>
    </x:row>
    <x:row r="390" ht="22" customHeight="1">
      <x:c r="A390" s="3"/>
      <x:c r="B390" s="3" t="str">
        <x:v>2011-08</x:v>
      </x:c>
      <x:c r="C390" s="3" t="str">
        <x:v>Spain</x:v>
      </x:c>
      <x:c r="D390" s="13" t="n">
        <x:v>2898.91</x:v>
      </x:c>
      <x:c r="E390" s="13" t="n">
        <x:v>16.5</x:v>
      </x:c>
      <x:c r="F390" s="13" t="n">
        <x:f>D390-E390</x:f>
        <x:v>2882.41</x:v>
      </x:c>
      <x:c r="G390" s="14" t="n">
        <x:v>9</x:v>
      </x:c>
      <x:c r="H390" s="14" t="n">
        <x:v>1</x:v>
      </x:c>
      <x:c r="I390" s="14" t="n">
        <x:v>6</x:v>
      </x:c>
      <x:c r="J390" s="14" t="n">
        <x:v>1</x:v>
      </x:c>
      <x:c r="K390" s="14" t="n">
        <x:v>1584</x:v>
      </x:c>
      <x:c r="L390" s="14" t="n">
        <x:v>2</x:v>
      </x:c>
      <x:c r="M390" s="13" t="n">
        <x:v>2898.91</x:v>
      </x:c>
      <x:c r="N390" s="3" t="n">
        <x:v>249</x:v>
      </x:c>
      <x:c r="O390" s="13" t="n">
        <x:f>IF(G390=0,"n.a.",D390/G390)</x:f>
        <x:v>322.1011111111111</x:v>
      </x:c>
      <x:c r="P390" s="15" t="n">
        <x:f>IF(D390=0,"n.a.",E390/D390)</x:f>
        <x:v>0.005691794502071469</x:v>
      </x:c>
    </x:row>
    <x:row r="391" ht="22" customHeight="1">
      <x:c r="A391" s="3"/>
      <x:c r="B391" s="3" t="str">
        <x:v>2011-08</x:v>
      </x:c>
      <x:c r="C391" s="3" t="str">
        <x:v>Sweden</x:v>
      </x:c>
      <x:c r="D391" s="13" t="n">
        <x:v>1160.86</x:v>
      </x:c>
      <x:c r="E391" s="13" t="n">
        <x:v>9.9</x:v>
      </x:c>
      <x:c r="F391" s="13" t="n">
        <x:f>D391-E391</x:f>
        <x:v>1150.9599999999998</x:v>
      </x:c>
      <x:c r="G391" s="14" t="n">
        <x:v>4</x:v>
      </x:c>
      <x:c r="H391" s="14" t="n">
        <x:v>1</x:v>
      </x:c>
      <x:c r="I391" s="14" t="n">
        <x:v>4</x:v>
      </x:c>
      <x:c r="J391" s="14" t="n">
        <x:v>0</x:v>
      </x:c>
      <x:c r="K391" s="14" t="n">
        <x:v>1308</x:v>
      </x:c>
      <x:c r="L391" s="14" t="n">
        <x:v>6</x:v>
      </x:c>
      <x:c r="M391" s="13" t="n">
        <x:v>1160.86</x:v>
      </x:c>
      <x:c r="N391" s="3" t="n">
        <x:v>37</x:v>
      </x:c>
      <x:c r="O391" s="13" t="n">
        <x:f>IF(G391=0,"n.a.",D391/G391)</x:f>
        <x:v>290.215</x:v>
      </x:c>
      <x:c r="P391" s="15" t="n">
        <x:f>IF(D391=0,"n.a.",E391/D391)</x:f>
        <x:v>0.008528160157124891</x:v>
      </x:c>
    </x:row>
    <x:row r="392" ht="22" customHeight="1">
      <x:c r="A392" s="3"/>
      <x:c r="B392" s="3" t="str">
        <x:v>2011-08</x:v>
      </x:c>
      <x:c r="C392" s="3" t="str">
        <x:v>Switzerland</x:v>
      </x:c>
      <x:c r="D392" s="13" t="n">
        <x:v>4889.89</x:v>
      </x:c>
      <x:c r="E392" s="13" t="n">
        <x:v>87.7</x:v>
      </x:c>
      <x:c r="F392" s="13" t="n">
        <x:f>D392-E392</x:f>
        <x:v>4802.1900000000005</x:v>
      </x:c>
      <x:c r="G392" s="14" t="n">
        <x:v>3</x:v>
      </x:c>
      <x:c r="H392" s="14" t="n">
        <x:v>5</x:v>
      </x:c>
      <x:c r="I392" s="14" t="n">
        <x:v>3</x:v>
      </x:c>
      <x:c r="J392" s="14" t="n">
        <x:v>0</x:v>
      </x:c>
      <x:c r="K392" s="14" t="n">
        <x:v>2996</x:v>
      </x:c>
      <x:c r="L392" s="14" t="n">
        <x:v>38</x:v>
      </x:c>
      <x:c r="M392" s="13" t="n">
        <x:v>4889.89</x:v>
      </x:c>
      <x:c r="N392" s="3" t="n">
        <x:v>276</x:v>
      </x:c>
      <x:c r="O392" s="13" t="n">
        <x:f>IF(G392=0,"n.a.",D392/G392)</x:f>
        <x:v>1629.9633333333334</x:v>
      </x:c>
      <x:c r="P392" s="15" t="n">
        <x:f>IF(D392=0,"n.a.",E392/D392)</x:f>
        <x:v>0.017934963772191195</x:v>
      </x:c>
    </x:row>
    <x:row r="393" ht="22" customHeight="1">
      <x:c r="A393" s="3"/>
      <x:c r="B393" s="3" t="str">
        <x:v>2011-08</x:v>
      </x:c>
      <x:c r="C393" s="3" t="str">
        <x:v>USA</x:v>
      </x:c>
      <x:c r="D393" s="13" t="n">
        <x:v>0</x:v>
      </x:c>
      <x:c r="E393" s="13" t="n">
        <x:v>0</x:v>
      </x:c>
      <x:c r="F393" s="13" t="n">
        <x:f>D393-E393</x:f>
        <x:v>0</x:v>
      </x:c>
      <x:c r="G393" s="14" t="n">
        <x:v>0</x:v>
      </x:c>
      <x:c r="H393" s="14" t="n">
        <x:v>0</x:v>
      </x:c>
      <x:c r="I393" s="14" t="n">
        <x:v>0</x:v>
      </x:c>
      <x:c r="J393" s="14" t="n">
        <x:v>0</x:v>
      </x:c>
      <x:c r="K393" s="14" t="n">
        <x:v>0</x:v>
      </x:c>
      <x:c r="L393" s="14" t="n">
        <x:v>0</x:v>
      </x:c>
      <x:c r="M393" s="13" t="n">
        <x:v>0</x:v>
      </x:c>
      <x:c r="N393" s="3" t="n">
        <x:v>0</x:v>
      </x:c>
      <x:c r="O393" s="13" t="str">
        <x:f>IF(G393=0,"n.a.",D393/G393)</x:f>
        <x:v>n.a.</x:v>
      </x:c>
      <x:c r="P393" s="15" t="str">
        <x:f>IF(D393=0,"n.a.",E393/D393)</x:f>
        <x:v>n.a.</x:v>
      </x:c>
    </x:row>
    <x:row r="394" ht="22" customHeight="1">
      <x:c r="A394" s="3"/>
      <x:c r="B394" s="3" t="str">
        <x:v>2011-08</x:v>
      </x:c>
      <x:c r="C394" s="3" t="str">
        <x:v>United Arab Emirates</x:v>
      </x:c>
      <x:c r="D394" s="13" t="n">
        <x:v>0</x:v>
      </x:c>
      <x:c r="E394" s="13" t="n">
        <x:v>0</x:v>
      </x:c>
      <x:c r="F394" s="13" t="n">
        <x:f>D394-E394</x:f>
        <x:v>0</x:v>
      </x:c>
      <x:c r="G394" s="14" t="n">
        <x:v>0</x:v>
      </x:c>
      <x:c r="H394" s="14" t="n">
        <x:v>0</x:v>
      </x:c>
      <x:c r="I394" s="14" t="n">
        <x:v>0</x:v>
      </x:c>
      <x:c r="J394" s="14" t="n">
        <x:v>0</x:v>
      </x:c>
      <x:c r="K394" s="14" t="n">
        <x:v>0</x:v>
      </x:c>
      <x:c r="L394" s="14" t="n">
        <x:v>0</x:v>
      </x:c>
      <x:c r="M394" s="13" t="n">
        <x:v>0</x:v>
      </x:c>
      <x:c r="N394" s="3" t="n">
        <x:v>0</x:v>
      </x:c>
      <x:c r="O394" s="13" t="str">
        <x:f>IF(G394=0,"n.a.",D394/G394)</x:f>
        <x:v>n.a.</x:v>
      </x:c>
      <x:c r="P394" s="15" t="str">
        <x:f>IF(D394=0,"n.a.",E394/D394)</x:f>
        <x:v>n.a.</x:v>
      </x:c>
    </x:row>
    <x:row r="395" ht="22" customHeight="1">
      <x:c r="A395" s="3"/>
      <x:c r="B395" s="3" t="str">
        <x:v>2011-08</x:v>
      </x:c>
      <x:c r="C395" s="3" t="str">
        <x:v>United Kingdom</x:v>
      </x:c>
      <x:c r="D395" s="13" t="n">
        <x:v>579958.6</x:v>
      </x:c>
      <x:c r="E395" s="13" t="n">
        <x:v>17274.32</x:v>
      </x:c>
      <x:c r="F395" s="13" t="n">
        <x:f>D395-E395</x:f>
        <x:v>562684.28</x:v>
      </x:c>
      <x:c r="G395" s="14" t="n">
        <x:v>1195</x:v>
      </x:c>
      <x:c r="H395" s="14" t="n">
        <x:v>205</x:v>
      </x:c>
      <x:c r="I395" s="14" t="n">
        <x:v>833</x:v>
      </x:c>
      <x:c r="J395" s="14" t="n">
        <x:v>171</x:v>
      </x:c>
      <x:c r="K395" s="14" t="n">
        <x:v>332669</x:v>
      </x:c>
      <x:c r="L395" s="14" t="n">
        <x:v>8713</x:v>
      </x:c>
      <x:c r="M395" s="13" t="n">
        <x:v>495242.66</x:v>
      </x:c>
      <x:c r="N395" s="3" t="n">
        <x:v>30894</x:v>
      </x:c>
      <x:c r="O395" s="13" t="n">
        <x:f>IF(G395=0,"n.a.",D395/G395)</x:f>
        <x:v>485.3210041841004</x:v>
      </x:c>
      <x:c r="P395" s="15" t="n">
        <x:f>IF(D395=0,"n.a.",E395/D395)</x:f>
        <x:v>0.02978543640873676</x:v>
      </x:c>
    </x:row>
    <x:row r="396" ht="22" customHeight="1">
      <x:c r="A396" s="3"/>
      <x:c r="B396" s="3" t="str">
        <x:v>2011-08</x:v>
      </x:c>
      <x:c r="C396" s="3" t="str">
        <x:v>Unspecified</x:v>
      </x:c>
      <x:c r="D396" s="13" t="n">
        <x:v>531.03</x:v>
      </x:c>
      <x:c r="E396" s="13" t="n">
        <x:v>0</x:v>
      </x:c>
      <x:c r="F396" s="13" t="n">
        <x:f>D396-E396</x:f>
        <x:v>531.03</x:v>
      </x:c>
      <x:c r="G396" s="14" t="n">
        <x:v>2</x:v>
      </x:c>
      <x:c r="H396" s="14" t="n">
        <x:v>0</x:v>
      </x:c>
      <x:c r="I396" s="14" t="n">
        <x:v>2</x:v>
      </x:c>
      <x:c r="J396" s="14" t="n">
        <x:v>0</x:v>
      </x:c>
      <x:c r="K396" s="14" t="n">
        <x:v>185</x:v>
      </x:c>
      <x:c r="L396" s="14" t="n">
        <x:v>0</x:v>
      </x:c>
      <x:c r="M396" s="13" t="n">
        <x:v>531.03</x:v>
      </x:c>
      <x:c r="N396" s="3" t="n">
        <x:v>23</x:v>
      </x:c>
      <x:c r="O396" s="13" t="n">
        <x:f>IF(G396=0,"n.a.",D396/G396)</x:f>
        <x:v>265.515</x:v>
      </x:c>
      <x:c r="P396" s="15" t="n">
        <x:f>IF(D396=0,"n.a.",E396/D396)</x:f>
        <x:v>0</x:v>
      </x:c>
    </x:row>
    <x:row r="397" ht="22" customHeight="1">
      <x:c r="A397" s="3"/>
      <x:c r="B397" s="3" t="str">
        <x:v>2011-09</x:v>
      </x:c>
      <x:c r="C397" s="3" t="str">
        <x:v>Todos</x:v>
      </x:c>
      <x:c r="D397" s="13" t="n">
        <x:v>1030475.361</x:v>
      </x:c>
      <x:c r="E397" s="13" t="n">
        <x:v>17044.68</x:v>
      </x:c>
      <x:c r="F397" s="13" t="n">
        <x:f>D397-E397</x:f>
        <x:v>1013430.681</x:v>
      </x:c>
      <x:c r="G397" s="14" t="n">
        <x:v>1818</x:v>
      </x:c>
      <x:c r="H397" s="14" t="n">
        <x:v>299</x:v>
      </x:c>
      <x:c r="I397" s="14" t="n">
        <x:v>1259</x:v>
      </x:c>
      <x:c r="J397" s="14" t="n">
        <x:v>267</x:v>
      </x:c>
      <x:c r="K397" s="14" t="n">
        <x:v>569948</x:v>
      </x:c>
      <x:c r="L397" s="14" t="n">
        <x:v>7084</x:v>
      </x:c>
      <x:c r="M397" s="13" t="n">
        <x:v>940900.811</x:v>
      </x:c>
      <x:c r="N397" s="3" t="n">
        <x:v>49817</x:v>
      </x:c>
      <x:c r="O397" s="13" t="n">
        <x:f>IF(G397=0,"n.a.",D397/G397)</x:f>
        <x:v>566.8181303630363</x:v>
      </x:c>
      <x:c r="P397" s="15" t="n">
        <x:f>IF(D397=0,"n.a.",E397/D397)</x:f>
        <x:v>0.016540599266206036</x:v>
      </x:c>
    </x:row>
    <x:row r="398" ht="22" customHeight="1">
      <x:c r="A398" s="3"/>
      <x:c r="B398" s="3" t="str">
        <x:v>2011-09</x:v>
      </x:c>
      <x:c r="C398" s="3" t="str">
        <x:v>Australia</x:v>
      </x:c>
      <x:c r="D398" s="13" t="n">
        <x:v>5106.73</x:v>
      </x:c>
      <x:c r="E398" s="13" t="n">
        <x:v>75</x:v>
      </x:c>
      <x:c r="F398" s="13" t="n">
        <x:f>D398-E398</x:f>
        <x:v>5031.73</x:v>
      </x:c>
      <x:c r="G398" s="14" t="n">
        <x:v>8</x:v>
      </x:c>
      <x:c r="H398" s="14" t="n">
        <x:v>1</x:v>
      </x:c>
      <x:c r="I398" s="14" t="n">
        <x:v>6</x:v>
      </x:c>
      <x:c r="J398" s="14" t="n">
        <x:v>2</x:v>
      </x:c>
      <x:c r="K398" s="14" t="n">
        <x:v>4079</x:v>
      </x:c>
      <x:c r="L398" s="14" t="n">
        <x:v>36</x:v>
      </x:c>
      <x:c r="M398" s="13" t="n">
        <x:v>5106.73</x:v>
      </x:c>
      <x:c r="N398" s="3" t="n">
        <x:v>104</x:v>
      </x:c>
      <x:c r="O398" s="13" t="n">
        <x:f>IF(G398=0,"n.a.",D398/G398)</x:f>
        <x:v>638.34125</x:v>
      </x:c>
      <x:c r="P398" s="15" t="n">
        <x:f>IF(D398=0,"n.a.",E398/D398)</x:f>
        <x:v>0.014686501929806355</x:v>
      </x:c>
    </x:row>
    <x:row r="399" ht="22" customHeight="1">
      <x:c r="A399" s="3"/>
      <x:c r="B399" s="3" t="str">
        <x:v>2011-09</x:v>
      </x:c>
      <x:c r="C399" s="3" t="str">
        <x:v>Austria</x:v>
      </x:c>
      <x:c r="D399" s="13" t="n">
        <x:v>0</x:v>
      </x:c>
      <x:c r="E399" s="13" t="n">
        <x:v>0</x:v>
      </x:c>
      <x:c r="F399" s="13" t="n">
        <x:f>D399-E399</x:f>
        <x:v>0</x:v>
      </x:c>
      <x:c r="G399" s="14" t="n">
        <x:v>0</x:v>
      </x:c>
      <x:c r="H399" s="14" t="n">
        <x:v>0</x:v>
      </x:c>
      <x:c r="I399" s="14" t="n">
        <x:v>0</x:v>
      </x:c>
      <x:c r="J399" s="14" t="n">
        <x:v>0</x:v>
      </x:c>
      <x:c r="K399" s="14" t="n">
        <x:v>0</x:v>
      </x:c>
      <x:c r="L399" s="14" t="n">
        <x:v>0</x:v>
      </x:c>
      <x:c r="M399" s="13" t="n">
        <x:v>0</x:v>
      </x:c>
      <x:c r="N399" s="3" t="n">
        <x:v>0</x:v>
      </x:c>
      <x:c r="O399" s="13" t="str">
        <x:f>IF(G399=0,"n.a.",D399/G399)</x:f>
        <x:v>n.a.</x:v>
      </x:c>
      <x:c r="P399" s="15" t="str">
        <x:f>IF(D399=0,"n.a.",E399/D399)</x:f>
        <x:v>n.a.</x:v>
      </x:c>
    </x:row>
    <x:row r="400" ht="22" customHeight="1">
      <x:c r="A400" s="3"/>
      <x:c r="B400" s="3" t="str">
        <x:v>2011-09</x:v>
      </x:c>
      <x:c r="C400" s="3" t="str">
        <x:v>Bahrain</x:v>
      </x:c>
      <x:c r="D400" s="13" t="n">
        <x:v>0</x:v>
      </x:c>
      <x:c r="E400" s="13" t="n">
        <x:v>0</x:v>
      </x:c>
      <x:c r="F400" s="13" t="n">
        <x:f>D400-E400</x:f>
        <x:v>0</x:v>
      </x:c>
      <x:c r="G400" s="14" t="n">
        <x:v>0</x:v>
      </x:c>
      <x:c r="H400" s="14" t="n">
        <x:v>0</x:v>
      </x:c>
      <x:c r="I400" s="14" t="n">
        <x:v>0</x:v>
      </x:c>
      <x:c r="J400" s="14" t="n">
        <x:v>0</x:v>
      </x:c>
      <x:c r="K400" s="14" t="n">
        <x:v>0</x:v>
      </x:c>
      <x:c r="L400" s="14" t="n">
        <x:v>0</x:v>
      </x:c>
      <x:c r="M400" s="13" t="n">
        <x:v>0</x:v>
      </x:c>
      <x:c r="N400" s="3" t="n">
        <x:v>0</x:v>
      </x:c>
      <x:c r="O400" s="13" t="str">
        <x:f>IF(G400=0,"n.a.",D400/G400)</x:f>
        <x:v>n.a.</x:v>
      </x:c>
      <x:c r="P400" s="15" t="str">
        <x:f>IF(D400=0,"n.a.",E400/D400)</x:f>
        <x:v>n.a.</x:v>
      </x:c>
    </x:row>
    <x:row r="401" ht="22" customHeight="1">
      <x:c r="A401" s="3"/>
      <x:c r="B401" s="3" t="str">
        <x:v>2011-09</x:v>
      </x:c>
      <x:c r="C401" s="3" t="str">
        <x:v>Belgium</x:v>
      </x:c>
      <x:c r="D401" s="13" t="n">
        <x:v>3779.02</x:v>
      </x:c>
      <x:c r="E401" s="13" t="n">
        <x:v>10.2</x:v>
      </x:c>
      <x:c r="F401" s="13" t="n">
        <x:f>D401-E401</x:f>
        <x:v>3768.82</x:v>
      </x:c>
      <x:c r="G401" s="14" t="n">
        <x:v>7</x:v>
      </x:c>
      <x:c r="H401" s="14" t="n">
        <x:v>1</x:v>
      </x:c>
      <x:c r="I401" s="14" t="n">
        <x:v>7</x:v>
      </x:c>
      <x:c r="J401" s="14" t="n">
        <x:v>0</x:v>
      </x:c>
      <x:c r="K401" s="14" t="n">
        <x:v>1941</x:v>
      </x:c>
      <x:c r="L401" s="14" t="n">
        <x:v>12</x:v>
      </x:c>
      <x:c r="M401" s="13" t="n">
        <x:v>3779.02</x:v>
      </x:c>
      <x:c r="N401" s="3" t="n">
        <x:v>178</x:v>
      </x:c>
      <x:c r="O401" s="13" t="n">
        <x:f>IF(G401=0,"n.a.",D401/G401)</x:f>
        <x:v>539.86</x:v>
      </x:c>
      <x:c r="P401" s="15" t="n">
        <x:f>IF(D401=0,"n.a.",E401/D401)</x:f>
        <x:v>0.00269911246831189</x:v>
      </x:c>
    </x:row>
    <x:row r="402" ht="22" customHeight="1">
      <x:c r="A402" s="3"/>
      <x:c r="B402" s="3" t="str">
        <x:v>2011-09</x:v>
      </x:c>
      <x:c r="C402" s="3" t="str">
        <x:v>Brazil</x:v>
      </x:c>
      <x:c r="D402" s="13" t="n">
        <x:v>0</x:v>
      </x:c>
      <x:c r="E402" s="13" t="n">
        <x:v>0</x:v>
      </x:c>
      <x:c r="F402" s="13" t="n">
        <x:f>D402-E402</x:f>
        <x:v>0</x:v>
      </x:c>
      <x:c r="G402" s="14" t="n">
        <x:v>0</x:v>
      </x:c>
      <x:c r="H402" s="14" t="n">
        <x:v>0</x:v>
      </x:c>
      <x:c r="I402" s="14" t="n">
        <x:v>0</x:v>
      </x:c>
      <x:c r="J402" s="14" t="n">
        <x:v>0</x:v>
      </x:c>
      <x:c r="K402" s="14" t="n">
        <x:v>0</x:v>
      </x:c>
      <x:c r="L402" s="14" t="n">
        <x:v>0</x:v>
      </x:c>
      <x:c r="M402" s="13" t="n">
        <x:v>0</x:v>
      </x:c>
      <x:c r="N402" s="3" t="n">
        <x:v>0</x:v>
      </x:c>
      <x:c r="O402" s="13" t="str">
        <x:f>IF(G402=0,"n.a.",D402/G402)</x:f>
        <x:v>n.a.</x:v>
      </x:c>
      <x:c r="P402" s="15" t="str">
        <x:f>IF(D402=0,"n.a.",E402/D402)</x:f>
        <x:v>n.a.</x:v>
      </x:c>
    </x:row>
    <x:row r="403" ht="22" customHeight="1">
      <x:c r="A403" s="3"/>
      <x:c r="B403" s="3" t="str">
        <x:v>2011-09</x:v>
      </x:c>
      <x:c r="C403" s="3" t="str">
        <x:v>Canada</x:v>
      </x:c>
      <x:c r="D403" s="13" t="n">
        <x:v>0</x:v>
      </x:c>
      <x:c r="E403" s="13" t="n">
        <x:v>0</x:v>
      </x:c>
      <x:c r="F403" s="13" t="n">
        <x:f>D403-E403</x:f>
        <x:v>0</x:v>
      </x:c>
      <x:c r="G403" s="14" t="n">
        <x:v>0</x:v>
      </x:c>
      <x:c r="H403" s="14" t="n">
        <x:v>0</x:v>
      </x:c>
      <x:c r="I403" s="14" t="n">
        <x:v>0</x:v>
      </x:c>
      <x:c r="J403" s="14" t="n">
        <x:v>0</x:v>
      </x:c>
      <x:c r="K403" s="14" t="n">
        <x:v>0</x:v>
      </x:c>
      <x:c r="L403" s="14" t="n">
        <x:v>0</x:v>
      </x:c>
      <x:c r="M403" s="13" t="n">
        <x:v>0</x:v>
      </x:c>
      <x:c r="N403" s="3" t="n">
        <x:v>0</x:v>
      </x:c>
      <x:c r="O403" s="13" t="str">
        <x:f>IF(G403=0,"n.a.",D403/G403)</x:f>
        <x:v>n.a.</x:v>
      </x:c>
      <x:c r="P403" s="15" t="str">
        <x:f>IF(D403=0,"n.a.",E403/D403)</x:f>
        <x:v>n.a.</x:v>
      </x:c>
    </x:row>
    <x:row r="404" ht="22" customHeight="1">
      <x:c r="A404" s="3"/>
      <x:c r="B404" s="3" t="str">
        <x:v>2011-09</x:v>
      </x:c>
      <x:c r="C404" s="3" t="str">
        <x:v>Channel Islands</x:v>
      </x:c>
      <x:c r="D404" s="13" t="n">
        <x:v>1323.75</x:v>
      </x:c>
      <x:c r="E404" s="13" t="n">
        <x:v>2.1</x:v>
      </x:c>
      <x:c r="F404" s="13" t="n">
        <x:f>D404-E404</x:f>
        <x:v>1321.65</x:v>
      </x:c>
      <x:c r="G404" s="14" t="n">
        <x:v>2</x:v>
      </x:c>
      <x:c r="H404" s="14" t="n">
        <x:v>1</x:v>
      </x:c>
      <x:c r="I404" s="14" t="n">
        <x:v>2</x:v>
      </x:c>
      <x:c r="J404" s="14" t="n">
        <x:v>0</x:v>
      </x:c>
      <x:c r="K404" s="14" t="n">
        <x:v>764</x:v>
      </x:c>
      <x:c r="L404" s="14" t="n">
        <x:v>1</x:v>
      </x:c>
      <x:c r="M404" s="13" t="n">
        <x:v>1323.75</x:v>
      </x:c>
      <x:c r="N404" s="3" t="n">
        <x:v>66</x:v>
      </x:c>
      <x:c r="O404" s="13" t="n">
        <x:f>IF(G404=0,"n.a.",D404/G404)</x:f>
        <x:v>661.875</x:v>
      </x:c>
      <x:c r="P404" s="15" t="n">
        <x:f>IF(D404=0,"n.a.",E404/D404)</x:f>
        <x:v>0.0015864022662889518</x:v>
      </x:c>
    </x:row>
    <x:row r="405" ht="22" customHeight="1">
      <x:c r="A405" s="3"/>
      <x:c r="B405" s="3" t="str">
        <x:v>2011-09</x:v>
      </x:c>
      <x:c r="C405" s="3" t="str">
        <x:v>Cyprus</x:v>
      </x:c>
      <x:c r="D405" s="13" t="n">
        <x:v>196.35</x:v>
      </x:c>
      <x:c r="E405" s="13" t="n">
        <x:v>0</x:v>
      </x:c>
      <x:c r="F405" s="13" t="n">
        <x:f>D405-E405</x:f>
        <x:v>196.35</x:v>
      </x:c>
      <x:c r="G405" s="14" t="n">
        <x:v>1</x:v>
      </x:c>
      <x:c r="H405" s="14" t="n">
        <x:v>0</x:v>
      </x:c>
      <x:c r="I405" s="14" t="n">
        <x:v>1</x:v>
      </x:c>
      <x:c r="J405" s="14" t="n">
        <x:v>0</x:v>
      </x:c>
      <x:c r="K405" s="14" t="n">
        <x:v>33</x:v>
      </x:c>
      <x:c r="L405" s="14" t="n">
        <x:v>0</x:v>
      </x:c>
      <x:c r="M405" s="13" t="n">
        <x:v>196.35</x:v>
      </x:c>
      <x:c r="N405" s="3" t="n">
        <x:v>1</x:v>
      </x:c>
      <x:c r="O405" s="13" t="n">
        <x:f>IF(G405=0,"n.a.",D405/G405)</x:f>
        <x:v>196.35</x:v>
      </x:c>
      <x:c r="P405" s="15" t="n">
        <x:f>IF(D405=0,"n.a.",E405/D405)</x:f>
        <x:v>0</x:v>
      </x:c>
    </x:row>
    <x:row r="406" ht="22" customHeight="1">
      <x:c r="A406" s="3"/>
      <x:c r="B406" s="3" t="str">
        <x:v>2011-09</x:v>
      </x:c>
      <x:c r="C406" s="3" t="str">
        <x:v>Czech Republic</x:v>
      </x:c>
      <x:c r="D406" s="13" t="n">
        <x:v>0</x:v>
      </x:c>
      <x:c r="E406" s="13" t="n">
        <x:v>0</x:v>
      </x:c>
      <x:c r="F406" s="13" t="n">
        <x:f>D406-E406</x:f>
        <x:v>0</x:v>
      </x:c>
      <x:c r="G406" s="14" t="n">
        <x:v>0</x:v>
      </x:c>
      <x:c r="H406" s="14" t="n">
        <x:v>0</x:v>
      </x:c>
      <x:c r="I406" s="14" t="n">
        <x:v>0</x:v>
      </x:c>
      <x:c r="J406" s="14" t="n">
        <x:v>0</x:v>
      </x:c>
      <x:c r="K406" s="14" t="n">
        <x:v>0</x:v>
      </x:c>
      <x:c r="L406" s="14" t="n">
        <x:v>0</x:v>
      </x:c>
      <x:c r="M406" s="13" t="n">
        <x:v>0</x:v>
      </x:c>
      <x:c r="N406" s="3" t="n">
        <x:v>0</x:v>
      </x:c>
      <x:c r="O406" s="13" t="str">
        <x:f>IF(G406=0,"n.a.",D406/G406)</x:f>
        <x:v>n.a.</x:v>
      </x:c>
      <x:c r="P406" s="15" t="str">
        <x:f>IF(D406=0,"n.a.",E406/D406)</x:f>
        <x:v>n.a.</x:v>
      </x:c>
    </x:row>
    <x:row r="407" ht="22" customHeight="1">
      <x:c r="A407" s="3"/>
      <x:c r="B407" s="3" t="str">
        <x:v>2011-09</x:v>
      </x:c>
      <x:c r="C407" s="3" t="str">
        <x:v>Denmark</x:v>
      </x:c>
      <x:c r="D407" s="13" t="n">
        <x:v>4510.16</x:v>
      </x:c>
      <x:c r="E407" s="13" t="n">
        <x:v>0</x:v>
      </x:c>
      <x:c r="F407" s="13" t="n">
        <x:f>D407-E407</x:f>
        <x:v>4510.16</x:v>
      </x:c>
      <x:c r="G407" s="14" t="n">
        <x:v>3</x:v>
      </x:c>
      <x:c r="H407" s="14" t="n">
        <x:v>0</x:v>
      </x:c>
      <x:c r="I407" s="14" t="n">
        <x:v>3</x:v>
      </x:c>
      <x:c r="J407" s="14" t="n">
        <x:v>0</x:v>
      </x:c>
      <x:c r="K407" s="14" t="n">
        <x:v>1604</x:v>
      </x:c>
      <x:c r="L407" s="14" t="n">
        <x:v>0</x:v>
      </x:c>
      <x:c r="M407" s="13" t="n">
        <x:v>4510.16</x:v>
      </x:c>
      <x:c r="N407" s="3" t="n">
        <x:v>44</x:v>
      </x:c>
      <x:c r="O407" s="13" t="n">
        <x:f>IF(G407=0,"n.a.",D407/G407)</x:f>
        <x:v>1503.3866666666665</x:v>
      </x:c>
      <x:c r="P407" s="15" t="n">
        <x:f>IF(D407=0,"n.a.",E407/D407)</x:f>
        <x:v>0</x:v>
      </x:c>
    </x:row>
    <x:row r="408" ht="22" customHeight="1">
      <x:c r="A408" s="3"/>
      <x:c r="B408" s="3" t="str">
        <x:v>2011-09</x:v>
      </x:c>
      <x:c r="C408" s="3" t="str">
        <x:v>EIRE</x:v>
      </x:c>
      <x:c r="D408" s="13" t="n">
        <x:v>42486.55</x:v>
      </x:c>
      <x:c r="E408" s="13" t="n">
        <x:v>441.55</x:v>
      </x:c>
      <x:c r="F408" s="13" t="n">
        <x:f>D408-E408</x:f>
        <x:v>42045</x:v>
      </x:c>
      <x:c r="G408" s="14" t="n">
        <x:v>37</x:v>
      </x:c>
      <x:c r="H408" s="14" t="n">
        <x:v>13</x:v>
      </x:c>
      <x:c r="I408" s="14" t="n">
        <x:v>2</x:v>
      </x:c>
      <x:c r="J408" s="14" t="n">
        <x:v>2</x:v>
      </x:c>
      <x:c r="K408" s="14" t="n">
        <x:v>23074</x:v>
      </x:c>
      <x:c r="L408" s="14" t="n">
        <x:v>170</x:v>
      </x:c>
      <x:c r="M408" s="13" t="n">
        <x:v>40395.49</x:v>
      </x:c>
      <x:c r="N408" s="3" t="n">
        <x:v>1202</x:v>
      </x:c>
      <x:c r="O408" s="13" t="n">
        <x:f>IF(G408=0,"n.a.",D408/G408)</x:f>
        <x:v>1148.2851351351353</x:v>
      </x:c>
      <x:c r="P408" s="15" t="n">
        <x:f>IF(D408=0,"n.a.",E408/D408)</x:f>
        <x:v>0.010392700748825217</x:v>
      </x:c>
    </x:row>
    <x:row r="409" ht="22" customHeight="1">
      <x:c r="A409" s="3"/>
      <x:c r="B409" s="3" t="str">
        <x:v>2011-09</x:v>
      </x:c>
      <x:c r="C409" s="3" t="str">
        <x:v>European Community</x:v>
      </x:c>
      <x:c r="D409" s="13" t="n">
        <x:v>0</x:v>
      </x:c>
      <x:c r="E409" s="13" t="n">
        <x:v>0</x:v>
      </x:c>
      <x:c r="F409" s="13" t="n">
        <x:f>D409-E409</x:f>
        <x:v>0</x:v>
      </x:c>
      <x:c r="G409" s="14" t="n">
        <x:v>0</x:v>
      </x:c>
      <x:c r="H409" s="14" t="n">
        <x:v>0</x:v>
      </x:c>
      <x:c r="I409" s="14" t="n">
        <x:v>0</x:v>
      </x:c>
      <x:c r="J409" s="14" t="n">
        <x:v>0</x:v>
      </x:c>
      <x:c r="K409" s="14" t="n">
        <x:v>0</x:v>
      </x:c>
      <x:c r="L409" s="14" t="n">
        <x:v>0</x:v>
      </x:c>
      <x:c r="M409" s="13" t="n">
        <x:v>0</x:v>
      </x:c>
      <x:c r="N409" s="3" t="n">
        <x:v>0</x:v>
      </x:c>
      <x:c r="O409" s="13" t="str">
        <x:f>IF(G409=0,"n.a.",D409/G409)</x:f>
        <x:v>n.a.</x:v>
      </x:c>
      <x:c r="P409" s="15" t="str">
        <x:f>IF(D409=0,"n.a.",E409/D409)</x:f>
        <x:v>n.a.</x:v>
      </x:c>
    </x:row>
    <x:row r="410" ht="22" customHeight="1">
      <x:c r="A410" s="3"/>
      <x:c r="B410" s="3" t="str">
        <x:v>2011-09</x:v>
      </x:c>
      <x:c r="C410" s="3" t="str">
        <x:v>Finland</x:v>
      </x:c>
      <x:c r="D410" s="13" t="n">
        <x:v>905.45</x:v>
      </x:c>
      <x:c r="E410" s="13" t="n">
        <x:v>0</x:v>
      </x:c>
      <x:c r="F410" s="13" t="n">
        <x:f>D410-E410</x:f>
        <x:v>905.45</x:v>
      </x:c>
      <x:c r="G410" s="14" t="n">
        <x:v>4</x:v>
      </x:c>
      <x:c r="H410" s="14" t="n">
        <x:v>0</x:v>
      </x:c>
      <x:c r="I410" s="14" t="n">
        <x:v>4</x:v>
      </x:c>
      <x:c r="J410" s="14" t="n">
        <x:v>0</x:v>
      </x:c>
      <x:c r="K410" s="14" t="n">
        <x:v>510</x:v>
      </x:c>
      <x:c r="L410" s="14" t="n">
        <x:v>0</x:v>
      </x:c>
      <x:c r="M410" s="13" t="n">
        <x:v>905.45</x:v>
      </x:c>
      <x:c r="N410" s="3" t="n">
        <x:v>29</x:v>
      </x:c>
      <x:c r="O410" s="13" t="n">
        <x:f>IF(G410=0,"n.a.",D410/G410)</x:f>
        <x:v>226.3625</x:v>
      </x:c>
      <x:c r="P410" s="15" t="n">
        <x:f>IF(D410=0,"n.a.",E410/D410)</x:f>
        <x:v>0</x:v>
      </x:c>
    </x:row>
    <x:row r="411" ht="22" customHeight="1">
      <x:c r="A411" s="3"/>
      <x:c r="B411" s="3" t="str">
        <x:v>2011-09</x:v>
      </x:c>
      <x:c r="C411" s="3" t="str">
        <x:v>France</x:v>
      </x:c>
      <x:c r="D411" s="13" t="n">
        <x:v>21898.04</x:v>
      </x:c>
      <x:c r="E411" s="13" t="n">
        <x:v>211.17</x:v>
      </x:c>
      <x:c r="F411" s="13" t="n">
        <x:f>D411-E411</x:f>
        <x:v>21686.870000000003</x:v>
      </x:c>
      <x:c r="G411" s="14" t="n">
        <x:v>45</x:v>
      </x:c>
      <x:c r="H411" s="14" t="n">
        <x:v>6</x:v>
      </x:c>
      <x:c r="I411" s="14" t="n">
        <x:v>36</x:v>
      </x:c>
      <x:c r="J411" s="14" t="n">
        <x:v>7</x:v>
      </x:c>
      <x:c r="K411" s="14" t="n">
        <x:v>12917</x:v>
      </x:c>
      <x:c r="L411" s="14" t="n">
        <x:v>89</x:v>
      </x:c>
      <x:c r="M411" s="13" t="n">
        <x:v>21898.04</x:v>
      </x:c>
      <x:c r="N411" s="3" t="n">
        <x:v>1020</x:v>
      </x:c>
      <x:c r="O411" s="13" t="n">
        <x:f>IF(G411=0,"n.a.",D411/G411)</x:f>
        <x:v>486.62311111111114</x:v>
      </x:c>
      <x:c r="P411" s="15" t="n">
        <x:f>IF(D411=0,"n.a.",E411/D411)</x:f>
        <x:v>0.00964332880933636</x:v>
      </x:c>
    </x:row>
    <x:row r="412" ht="22" customHeight="1">
      <x:c r="A412" s="3"/>
      <x:c r="B412" s="3" t="str">
        <x:v>2011-09</x:v>
      </x:c>
      <x:c r="C412" s="3" t="str">
        <x:v>Germany</x:v>
      </x:c>
      <x:c r="D412" s="13" t="n">
        <x:v>16561.22</x:v>
      </x:c>
      <x:c r="E412" s="13" t="n">
        <x:v>352.91</x:v>
      </x:c>
      <x:c r="F412" s="13" t="n">
        <x:f>D412-E412</x:f>
        <x:v>16208.310000000001</x:v>
      </x:c>
      <x:c r="G412" s="14" t="n">
        <x:v>41</x:v>
      </x:c>
      <x:c r="H412" s="14" t="n">
        <x:v>15</x:v>
      </x:c>
      <x:c r="I412" s="14" t="n">
        <x:v>31</x:v>
      </x:c>
      <x:c r="J412" s="14" t="n">
        <x:v>8</x:v>
      </x:c>
      <x:c r="K412" s="14" t="n">
        <x:v>11071</x:v>
      </x:c>
      <x:c r="L412" s="14" t="n">
        <x:v>127</x:v>
      </x:c>
      <x:c r="M412" s="13" t="n">
        <x:v>16561.22</x:v>
      </x:c>
      <x:c r="N412" s="3" t="n">
        <x:v>772</x:v>
      </x:c>
      <x:c r="O412" s="13" t="n">
        <x:f>IF(G412=0,"n.a.",D412/G412)</x:f>
        <x:v>403.9321951219512</x:v>
      </x:c>
      <x:c r="P412" s="15" t="n">
        <x:f>IF(D412=0,"n.a.",E412/D412)</x:f>
        <x:v>0.021309420441247687</x:v>
      </x:c>
    </x:row>
    <x:row r="413" ht="22" customHeight="1">
      <x:c r="A413" s="3"/>
      <x:c r="B413" s="3" t="str">
        <x:v>2011-09</x:v>
      </x:c>
      <x:c r="C413" s="3" t="str">
        <x:v>Greece</x:v>
      </x:c>
      <x:c r="D413" s="13" t="n">
        <x:v>0</x:v>
      </x:c>
      <x:c r="E413" s="13" t="n">
        <x:v>0</x:v>
      </x:c>
      <x:c r="F413" s="13" t="n">
        <x:f>D413-E413</x:f>
        <x:v>0</x:v>
      </x:c>
      <x:c r="G413" s="14" t="n">
        <x:v>0</x:v>
      </x:c>
      <x:c r="H413" s="14" t="n">
        <x:v>0</x:v>
      </x:c>
      <x:c r="I413" s="14" t="n">
        <x:v>0</x:v>
      </x:c>
      <x:c r="J413" s="14" t="n">
        <x:v>0</x:v>
      </x:c>
      <x:c r="K413" s="14" t="n">
        <x:v>0</x:v>
      </x:c>
      <x:c r="L413" s="14" t="n">
        <x:v>0</x:v>
      </x:c>
      <x:c r="M413" s="13" t="n">
        <x:v>0</x:v>
      </x:c>
      <x:c r="N413" s="3" t="n">
        <x:v>0</x:v>
      </x:c>
      <x:c r="O413" s="13" t="str">
        <x:f>IF(G413=0,"n.a.",D413/G413)</x:f>
        <x:v>n.a.</x:v>
      </x:c>
      <x:c r="P413" s="15" t="str">
        <x:f>IF(D413=0,"n.a.",E413/D413)</x:f>
        <x:v>n.a.</x:v>
      </x:c>
    </x:row>
    <x:row r="414" ht="22" customHeight="1">
      <x:c r="A414" s="3"/>
      <x:c r="B414" s="3" t="str">
        <x:v>2011-09</x:v>
      </x:c>
      <x:c r="C414" s="3" t="str">
        <x:v>Hong Kong</x:v>
      </x:c>
      <x:c r="D414" s="13" t="n">
        <x:v>0</x:v>
      </x:c>
      <x:c r="E414" s="13" t="n">
        <x:v>0</x:v>
      </x:c>
      <x:c r="F414" s="13" t="n">
        <x:f>D414-E414</x:f>
        <x:v>0</x:v>
      </x:c>
      <x:c r="G414" s="14" t="n">
        <x:v>0</x:v>
      </x:c>
      <x:c r="H414" s="14" t="n">
        <x:v>0</x:v>
      </x:c>
      <x:c r="I414" s="14" t="n">
        <x:v>0</x:v>
      </x:c>
      <x:c r="J414" s="14" t="n">
        <x:v>0</x:v>
      </x:c>
      <x:c r="K414" s="14" t="n">
        <x:v>0</x:v>
      </x:c>
      <x:c r="L414" s="14" t="n">
        <x:v>0</x:v>
      </x:c>
      <x:c r="M414" s="13" t="n">
        <x:v>0</x:v>
      </x:c>
      <x:c r="N414" s="3" t="n">
        <x:v>0</x:v>
      </x:c>
      <x:c r="O414" s="13" t="str">
        <x:f>IF(G414=0,"n.a.",D414/G414)</x:f>
        <x:v>n.a.</x:v>
      </x:c>
      <x:c r="P414" s="15" t="str">
        <x:f>IF(D414=0,"n.a.",E414/D414)</x:f>
        <x:v>n.a.</x:v>
      </x:c>
    </x:row>
    <x:row r="415" ht="22" customHeight="1">
      <x:c r="A415" s="3"/>
      <x:c r="B415" s="3" t="str">
        <x:v>2011-09</x:v>
      </x:c>
      <x:c r="C415" s="3" t="str">
        <x:v>Iceland</x:v>
      </x:c>
      <x:c r="D415" s="13" t="n">
        <x:v>0</x:v>
      </x:c>
      <x:c r="E415" s="13" t="n">
        <x:v>0</x:v>
      </x:c>
      <x:c r="F415" s="13" t="n">
        <x:f>D415-E415</x:f>
        <x:v>0</x:v>
      </x:c>
      <x:c r="G415" s="14" t="n">
        <x:v>0</x:v>
      </x:c>
      <x:c r="H415" s="14" t="n">
        <x:v>0</x:v>
      </x:c>
      <x:c r="I415" s="14" t="n">
        <x:v>0</x:v>
      </x:c>
      <x:c r="J415" s="14" t="n">
        <x:v>0</x:v>
      </x:c>
      <x:c r="K415" s="14" t="n">
        <x:v>0</x:v>
      </x:c>
      <x:c r="L415" s="14" t="n">
        <x:v>0</x:v>
      </x:c>
      <x:c r="M415" s="13" t="n">
        <x:v>0</x:v>
      </x:c>
      <x:c r="N415" s="3" t="n">
        <x:v>0</x:v>
      </x:c>
      <x:c r="O415" s="13" t="str">
        <x:f>IF(G415=0,"n.a.",D415/G415)</x:f>
        <x:v>n.a.</x:v>
      </x:c>
      <x:c r="P415" s="15" t="str">
        <x:f>IF(D415=0,"n.a.",E415/D415)</x:f>
        <x:v>n.a.</x:v>
      </x:c>
    </x:row>
    <x:row r="416" ht="22" customHeight="1">
      <x:c r="A416" s="3"/>
      <x:c r="B416" s="3" t="str">
        <x:v>2011-09</x:v>
      </x:c>
      <x:c r="C416" s="3" t="str">
        <x:v>Israel</x:v>
      </x:c>
      <x:c r="D416" s="13" t="n">
        <x:v>423.73</x:v>
      </x:c>
      <x:c r="E416" s="13" t="n">
        <x:v>0</x:v>
      </x:c>
      <x:c r="F416" s="13" t="n">
        <x:f>D416-E416</x:f>
        <x:v>423.73</x:v>
      </x:c>
      <x:c r="G416" s="14" t="n">
        <x:v>1</x:v>
      </x:c>
      <x:c r="H416" s="14" t="n">
        <x:v>0</x:v>
      </x:c>
      <x:c r="I416" s="14" t="n">
        <x:v>0</x:v>
      </x:c>
      <x:c r="J416" s="14" t="n">
        <x:v>0</x:v>
      </x:c>
      <x:c r="K416" s="14" t="n">
        <x:v>233</x:v>
      </x:c>
      <x:c r="L416" s="14" t="n">
        <x:v>0</x:v>
      </x:c>
      <x:c r="M416" s="13" t="n">
        <x:v>0</x:v>
      </x:c>
      <x:c r="N416" s="3" t="n">
        <x:v>27</x:v>
      </x:c>
      <x:c r="O416" s="13" t="n">
        <x:f>IF(G416=0,"n.a.",D416/G416)</x:f>
        <x:v>423.73</x:v>
      </x:c>
      <x:c r="P416" s="15" t="n">
        <x:f>IF(D416=0,"n.a.",E416/D416)</x:f>
        <x:v>0</x:v>
      </x:c>
    </x:row>
    <x:row r="417" ht="22" customHeight="1">
      <x:c r="A417" s="3"/>
      <x:c r="B417" s="3" t="str">
        <x:v>2011-09</x:v>
      </x:c>
      <x:c r="C417" s="3" t="str">
        <x:v>Italy</x:v>
      </x:c>
      <x:c r="D417" s="13" t="n">
        <x:v>279.8</x:v>
      </x:c>
      <x:c r="E417" s="13" t="n">
        <x:v>0</x:v>
      </x:c>
      <x:c r="F417" s="13" t="n">
        <x:f>D417-E417</x:f>
        <x:v>279.8</x:v>
      </x:c>
      <x:c r="G417" s="14" t="n">
        <x:v>1</x:v>
      </x:c>
      <x:c r="H417" s="14" t="n">
        <x:v>0</x:v>
      </x:c>
      <x:c r="I417" s="14" t="n">
        <x:v>1</x:v>
      </x:c>
      <x:c r="J417" s="14" t="n">
        <x:v>0</x:v>
      </x:c>
      <x:c r="K417" s="14" t="n">
        <x:v>48</x:v>
      </x:c>
      <x:c r="L417" s="14" t="n">
        <x:v>0</x:v>
      </x:c>
      <x:c r="M417" s="13" t="n">
        <x:v>279.8</x:v>
      </x:c>
      <x:c r="N417" s="3" t="n">
        <x:v>15</x:v>
      </x:c>
      <x:c r="O417" s="13" t="n">
        <x:f>IF(G417=0,"n.a.",D417/G417)</x:f>
        <x:v>279.8</x:v>
      </x:c>
      <x:c r="P417" s="15" t="n">
        <x:f>IF(D417=0,"n.a.",E417/D417)</x:f>
        <x:v>0</x:v>
      </x:c>
    </x:row>
    <x:row r="418" ht="22" customHeight="1">
      <x:c r="A418" s="3"/>
      <x:c r="B418" s="3" t="str">
        <x:v>2011-09</x:v>
      </x:c>
      <x:c r="C418" s="3" t="str">
        <x:v>Japan</x:v>
      </x:c>
      <x:c r="D418" s="13" t="n">
        <x:v>112.08</x:v>
      </x:c>
      <x:c r="E418" s="13" t="n">
        <x:v>0</x:v>
      </x:c>
      <x:c r="F418" s="13" t="n">
        <x:f>D418-E418</x:f>
        <x:v>112.08</x:v>
      </x:c>
      <x:c r="G418" s="14" t="n">
        <x:v>1</x:v>
      </x:c>
      <x:c r="H418" s="14" t="n">
        <x:v>0</x:v>
      </x:c>
      <x:c r="I418" s="14" t="n">
        <x:v>1</x:v>
      </x:c>
      <x:c r="J418" s="14" t="n">
        <x:v>0</x:v>
      </x:c>
      <x:c r="K418" s="14" t="n">
        <x:v>144</x:v>
      </x:c>
      <x:c r="L418" s="14" t="n">
        <x:v>0</x:v>
      </x:c>
      <x:c r="M418" s="13" t="n">
        <x:v>112.08</x:v>
      </x:c>
      <x:c r="N418" s="3" t="n">
        <x:v>4</x:v>
      </x:c>
      <x:c r="O418" s="13" t="n">
        <x:f>IF(G418=0,"n.a.",D418/G418)</x:f>
        <x:v>112.08</x:v>
      </x:c>
      <x:c r="P418" s="15" t="n">
        <x:f>IF(D418=0,"n.a.",E418/D418)</x:f>
        <x:v>0</x:v>
      </x:c>
    </x:row>
    <x:row r="419" ht="22" customHeight="1">
      <x:c r="A419" s="3"/>
      <x:c r="B419" s="3" t="str">
        <x:v>2011-09</x:v>
      </x:c>
      <x:c r="C419" s="3" t="str">
        <x:v>Lebanon</x:v>
      </x:c>
      <x:c r="D419" s="13" t="n">
        <x:v>0</x:v>
      </x:c>
      <x:c r="E419" s="13" t="n">
        <x:v>0</x:v>
      </x:c>
      <x:c r="F419" s="13" t="n">
        <x:f>D419-E419</x:f>
        <x:v>0</x:v>
      </x:c>
      <x:c r="G419" s="14" t="n">
        <x:v>0</x:v>
      </x:c>
      <x:c r="H419" s="14" t="n">
        <x:v>0</x:v>
      </x:c>
      <x:c r="I419" s="14" t="n">
        <x:v>0</x:v>
      </x:c>
      <x:c r="J419" s="14" t="n">
        <x:v>0</x:v>
      </x:c>
      <x:c r="K419" s="14" t="n">
        <x:v>0</x:v>
      </x:c>
      <x:c r="L419" s="14" t="n">
        <x:v>0</x:v>
      </x:c>
      <x:c r="M419" s="13" t="n">
        <x:v>0</x:v>
      </x:c>
      <x:c r="N419" s="3" t="n">
        <x:v>0</x:v>
      </x:c>
      <x:c r="O419" s="13" t="str">
        <x:f>IF(G419=0,"n.a.",D419/G419)</x:f>
        <x:v>n.a.</x:v>
      </x:c>
      <x:c r="P419" s="15" t="str">
        <x:f>IF(D419=0,"n.a.",E419/D419)</x:f>
        <x:v>n.a.</x:v>
      </x:c>
    </x:row>
    <x:row r="420" ht="22" customHeight="1">
      <x:c r="A420" s="3"/>
      <x:c r="B420" s="3" t="str">
        <x:v>2011-09</x:v>
      </x:c>
      <x:c r="C420" s="3" t="str">
        <x:v>Lithuania</x:v>
      </x:c>
      <x:c r="D420" s="13" t="n">
        <x:v>0</x:v>
      </x:c>
      <x:c r="E420" s="13" t="n">
        <x:v>0</x:v>
      </x:c>
      <x:c r="F420" s="13" t="n">
        <x:f>D420-E420</x:f>
        <x:v>0</x:v>
      </x:c>
      <x:c r="G420" s="14" t="n">
        <x:v>0</x:v>
      </x:c>
      <x:c r="H420" s="14" t="n">
        <x:v>0</x:v>
      </x:c>
      <x:c r="I420" s="14" t="n">
        <x:v>0</x:v>
      </x:c>
      <x:c r="J420" s="14" t="n">
        <x:v>0</x:v>
      </x:c>
      <x:c r="K420" s="14" t="n">
        <x:v>0</x:v>
      </x:c>
      <x:c r="L420" s="14" t="n">
        <x:v>0</x:v>
      </x:c>
      <x:c r="M420" s="13" t="n">
        <x:v>0</x:v>
      </x:c>
      <x:c r="N420" s="3" t="n">
        <x:v>0</x:v>
      </x:c>
      <x:c r="O420" s="13" t="str">
        <x:f>IF(G420=0,"n.a.",D420/G420)</x:f>
        <x:v>n.a.</x:v>
      </x:c>
      <x:c r="P420" s="15" t="str">
        <x:f>IF(D420=0,"n.a.",E420/D420)</x:f>
        <x:v>n.a.</x:v>
      </x:c>
    </x:row>
    <x:row r="421" ht="22" customHeight="1">
      <x:c r="A421" s="3"/>
      <x:c r="B421" s="3" t="str">
        <x:v>2011-09</x:v>
      </x:c>
      <x:c r="C421" s="3" t="str">
        <x:v>Malta</x:v>
      </x:c>
      <x:c r="D421" s="13" t="n">
        <x:v>0</x:v>
      </x:c>
      <x:c r="E421" s="13" t="n">
        <x:v>0</x:v>
      </x:c>
      <x:c r="F421" s="13" t="n">
        <x:f>D421-E421</x:f>
        <x:v>0</x:v>
      </x:c>
      <x:c r="G421" s="14" t="n">
        <x:v>0</x:v>
      </x:c>
      <x:c r="H421" s="14" t="n">
        <x:v>0</x:v>
      </x:c>
      <x:c r="I421" s="14" t="n">
        <x:v>0</x:v>
      </x:c>
      <x:c r="J421" s="14" t="n">
        <x:v>0</x:v>
      </x:c>
      <x:c r="K421" s="14" t="n">
        <x:v>0</x:v>
      </x:c>
      <x:c r="L421" s="14" t="n">
        <x:v>0</x:v>
      </x:c>
      <x:c r="M421" s="13" t="n">
        <x:v>0</x:v>
      </x:c>
      <x:c r="N421" s="3" t="n">
        <x:v>0</x:v>
      </x:c>
      <x:c r="O421" s="13" t="str">
        <x:f>IF(G421=0,"n.a.",D421/G421)</x:f>
        <x:v>n.a.</x:v>
      </x:c>
      <x:c r="P421" s="15" t="str">
        <x:f>IF(D421=0,"n.a.",E421/D421)</x:f>
        <x:v>n.a.</x:v>
      </x:c>
    </x:row>
    <x:row r="422" ht="22" customHeight="1">
      <x:c r="A422" s="3"/>
      <x:c r="B422" s="3" t="str">
        <x:v>2011-09</x:v>
      </x:c>
      <x:c r="C422" s="3" t="str">
        <x:v>Netherlands</x:v>
      </x:c>
      <x:c r="D422" s="13" t="n">
        <x:v>26832.26</x:v>
      </x:c>
      <x:c r="E422" s="13" t="n">
        <x:v>0</x:v>
      </x:c>
      <x:c r="F422" s="13" t="n">
        <x:f>D422-E422</x:f>
        <x:v>26832.26</x:v>
      </x:c>
      <x:c r="G422" s="14" t="n">
        <x:v>7</x:v>
      </x:c>
      <x:c r="H422" s="14" t="n">
        <x:v>0</x:v>
      </x:c>
      <x:c r="I422" s="14" t="n">
        <x:v>2</x:v>
      </x:c>
      <x:c r="J422" s="14" t="n">
        <x:v>1</x:v>
      </x:c>
      <x:c r="K422" s="14" t="n">
        <x:v>17302</x:v>
      </x:c>
      <x:c r="L422" s="14" t="n">
        <x:v>0</x:v>
      </x:c>
      <x:c r="M422" s="13" t="n">
        <x:v>26832.26</x:v>
      </x:c>
      <x:c r="N422" s="3" t="n">
        <x:v>240</x:v>
      </x:c>
      <x:c r="O422" s="13" t="n">
        <x:f>IF(G422=0,"n.a.",D422/G422)</x:f>
        <x:v>3833.18</x:v>
      </x:c>
      <x:c r="P422" s="15" t="n">
        <x:f>IF(D422=0,"n.a.",E422/D422)</x:f>
        <x:v>0</x:v>
      </x:c>
    </x:row>
    <x:row r="423" ht="22" customHeight="1">
      <x:c r="A423" s="3"/>
      <x:c r="B423" s="3" t="str">
        <x:v>2011-09</x:v>
      </x:c>
      <x:c r="C423" s="3" t="str">
        <x:v>Norway</x:v>
      </x:c>
      <x:c r="D423" s="13" t="n">
        <x:v>8398.94</x:v>
      </x:c>
      <x:c r="E423" s="13" t="n">
        <x:v>0</x:v>
      </x:c>
      <x:c r="F423" s="13" t="n">
        <x:f>D423-E423</x:f>
        <x:v>8398.94</x:v>
      </x:c>
      <x:c r="G423" s="14" t="n">
        <x:v>6</x:v>
      </x:c>
      <x:c r="H423" s="14" t="n">
        <x:v>0</x:v>
      </x:c>
      <x:c r="I423" s="14" t="n">
        <x:v>5</x:v>
      </x:c>
      <x:c r="J423" s="14" t="n">
        <x:v>1</x:v>
      </x:c>
      <x:c r="K423" s="14" t="n">
        <x:v>4648</x:v>
      </x:c>
      <x:c r="L423" s="14" t="n">
        <x:v>0</x:v>
      </x:c>
      <x:c r="M423" s="13" t="n">
        <x:v>8398.94</x:v>
      </x:c>
      <x:c r="N423" s="3" t="n">
        <x:v>198</x:v>
      </x:c>
      <x:c r="O423" s="13" t="n">
        <x:f>IF(G423=0,"n.a.",D423/G423)</x:f>
        <x:v>1399.8233333333335</x:v>
      </x:c>
      <x:c r="P423" s="15" t="n">
        <x:f>IF(D423=0,"n.a.",E423/D423)</x:f>
        <x:v>0</x:v>
      </x:c>
    </x:row>
    <x:row r="424" ht="22" customHeight="1">
      <x:c r="A424" s="3"/>
      <x:c r="B424" s="3" t="str">
        <x:v>2011-09</x:v>
      </x:c>
      <x:c r="C424" s="3" t="str">
        <x:v>Poland</x:v>
      </x:c>
      <x:c r="D424" s="13" t="n">
        <x:v>489.25</x:v>
      </x:c>
      <x:c r="E424" s="13" t="n">
        <x:v>0</x:v>
      </x:c>
      <x:c r="F424" s="13" t="n">
        <x:f>D424-E424</x:f>
        <x:v>489.25</x:v>
      </x:c>
      <x:c r="G424" s="14" t="n">
        <x:v>2</x:v>
      </x:c>
      <x:c r="H424" s="14" t="n">
        <x:v>0</x:v>
      </x:c>
      <x:c r="I424" s="14" t="n">
        <x:v>2</x:v>
      </x:c>
      <x:c r="J424" s="14" t="n">
        <x:v>0</x:v>
      </x:c>
      <x:c r="K424" s="14" t="n">
        <x:v>252</x:v>
      </x:c>
      <x:c r="L424" s="14" t="n">
        <x:v>0</x:v>
      </x:c>
      <x:c r="M424" s="13" t="n">
        <x:v>489.25</x:v>
      </x:c>
      <x:c r="N424" s="3" t="n">
        <x:v>29</x:v>
      </x:c>
      <x:c r="O424" s="13" t="n">
        <x:f>IF(G424=0,"n.a.",D424/G424)</x:f>
        <x:v>244.625</x:v>
      </x:c>
      <x:c r="P424" s="15" t="n">
        <x:f>IF(D424=0,"n.a.",E424/D424)</x:f>
        <x:v>0</x:v>
      </x:c>
    </x:row>
    <x:row r="425" ht="22" customHeight="1">
      <x:c r="A425" s="3"/>
      <x:c r="B425" s="3" t="str">
        <x:v>2011-09</x:v>
      </x:c>
      <x:c r="C425" s="3" t="str">
        <x:v>Portugal</x:v>
      </x:c>
      <x:c r="D425" s="13" t="n">
        <x:v>1377.22</x:v>
      </x:c>
      <x:c r="E425" s="13" t="n">
        <x:v>0</x:v>
      </x:c>
      <x:c r="F425" s="13" t="n">
        <x:f>D425-E425</x:f>
        <x:v>1377.22</x:v>
      </x:c>
      <x:c r="G425" s="14" t="n">
        <x:v>3</x:v>
      </x:c>
      <x:c r="H425" s="14" t="n">
        <x:v>0</x:v>
      </x:c>
      <x:c r="I425" s="14" t="n">
        <x:v>3</x:v>
      </x:c>
      <x:c r="J425" s="14" t="n">
        <x:v>0</x:v>
      </x:c>
      <x:c r="K425" s="14" t="n">
        <x:v>897</x:v>
      </x:c>
      <x:c r="L425" s="14" t="n">
        <x:v>0</x:v>
      </x:c>
      <x:c r="M425" s="13" t="n">
        <x:v>1377.22</x:v>
      </x:c>
      <x:c r="N425" s="3" t="n">
        <x:v>73</x:v>
      </x:c>
      <x:c r="O425" s="13" t="n">
        <x:f>IF(G425=0,"n.a.",D425/G425)</x:f>
        <x:v>459.0733333333333</x:v>
      </x:c>
      <x:c r="P425" s="15" t="n">
        <x:f>IF(D425=0,"n.a.",E425/D425)</x:f>
        <x:v>0</x:v>
      </x:c>
    </x:row>
    <x:row r="426" ht="22" customHeight="1">
      <x:c r="A426" s="3"/>
      <x:c r="B426" s="3" t="str">
        <x:v>2011-09</x:v>
      </x:c>
      <x:c r="C426" s="3" t="str">
        <x:v>RSA</x:v>
      </x:c>
      <x:c r="D426" s="13" t="n">
        <x:v>0</x:v>
      </x:c>
      <x:c r="E426" s="13" t="n">
        <x:v>0</x:v>
      </x:c>
      <x:c r="F426" s="13" t="n">
        <x:f>D426-E426</x:f>
        <x:v>0</x:v>
      </x:c>
      <x:c r="G426" s="14" t="n">
        <x:v>0</x:v>
      </x:c>
      <x:c r="H426" s="14" t="n">
        <x:v>0</x:v>
      </x:c>
      <x:c r="I426" s="14" t="n">
        <x:v>0</x:v>
      </x:c>
      <x:c r="J426" s="14" t="n">
        <x:v>0</x:v>
      </x:c>
      <x:c r="K426" s="14" t="n">
        <x:v>0</x:v>
      </x:c>
      <x:c r="L426" s="14" t="n">
        <x:v>0</x:v>
      </x:c>
      <x:c r="M426" s="13" t="n">
        <x:v>0</x:v>
      </x:c>
      <x:c r="N426" s="3" t="n">
        <x:v>0</x:v>
      </x:c>
      <x:c r="O426" s="13" t="str">
        <x:f>IF(G426=0,"n.a.",D426/G426)</x:f>
        <x:v>n.a.</x:v>
      </x:c>
      <x:c r="P426" s="15" t="str">
        <x:f>IF(D426=0,"n.a.",E426/D426)</x:f>
        <x:v>n.a.</x:v>
      </x:c>
    </x:row>
    <x:row r="427" ht="22" customHeight="1">
      <x:c r="A427" s="3"/>
      <x:c r="B427" s="3" t="str">
        <x:v>2011-09</x:v>
      </x:c>
      <x:c r="C427" s="3" t="str">
        <x:v>Saudi Arabia</x:v>
      </x:c>
      <x:c r="D427" s="13" t="n">
        <x:v>0</x:v>
      </x:c>
      <x:c r="E427" s="13" t="n">
        <x:v>0</x:v>
      </x:c>
      <x:c r="F427" s="13" t="n">
        <x:f>D427-E427</x:f>
        <x:v>0</x:v>
      </x:c>
      <x:c r="G427" s="14" t="n">
        <x:v>0</x:v>
      </x:c>
      <x:c r="H427" s="14" t="n">
        <x:v>0</x:v>
      </x:c>
      <x:c r="I427" s="14" t="n">
        <x:v>0</x:v>
      </x:c>
      <x:c r="J427" s="14" t="n">
        <x:v>0</x:v>
      </x:c>
      <x:c r="K427" s="14" t="n">
        <x:v>0</x:v>
      </x:c>
      <x:c r="L427" s="14" t="n">
        <x:v>0</x:v>
      </x:c>
      <x:c r="M427" s="13" t="n">
        <x:v>0</x:v>
      </x:c>
      <x:c r="N427" s="3" t="n">
        <x:v>0</x:v>
      </x:c>
      <x:c r="O427" s="13" t="str">
        <x:f>IF(G427=0,"n.a.",D427/G427)</x:f>
        <x:v>n.a.</x:v>
      </x:c>
      <x:c r="P427" s="15" t="str">
        <x:f>IF(D427=0,"n.a.",E427/D427)</x:f>
        <x:v>n.a.</x:v>
      </x:c>
    </x:row>
    <x:row r="428" ht="22" customHeight="1">
      <x:c r="A428" s="3"/>
      <x:c r="B428" s="3" t="str">
        <x:v>2011-09</x:v>
      </x:c>
      <x:c r="C428" s="3" t="str">
        <x:v>Singapore</x:v>
      </x:c>
      <x:c r="D428" s="13" t="n">
        <x:v>0</x:v>
      </x:c>
      <x:c r="E428" s="13" t="n">
        <x:v>0</x:v>
      </x:c>
      <x:c r="F428" s="13" t="n">
        <x:f>D428-E428</x:f>
        <x:v>0</x:v>
      </x:c>
      <x:c r="G428" s="14" t="n">
        <x:v>0</x:v>
      </x:c>
      <x:c r="H428" s="14" t="n">
        <x:v>0</x:v>
      </x:c>
      <x:c r="I428" s="14" t="n">
        <x:v>0</x:v>
      </x:c>
      <x:c r="J428" s="14" t="n">
        <x:v>0</x:v>
      </x:c>
      <x:c r="K428" s="14" t="n">
        <x:v>0</x:v>
      </x:c>
      <x:c r="L428" s="14" t="n">
        <x:v>0</x:v>
      </x:c>
      <x:c r="M428" s="13" t="n">
        <x:v>0</x:v>
      </x:c>
      <x:c r="N428" s="3" t="n">
        <x:v>0</x:v>
      </x:c>
      <x:c r="O428" s="13" t="str">
        <x:f>IF(G428=0,"n.a.",D428/G428)</x:f>
        <x:v>n.a.</x:v>
      </x:c>
      <x:c r="P428" s="15" t="str">
        <x:f>IF(D428=0,"n.a.",E428/D428)</x:f>
        <x:v>n.a.</x:v>
      </x:c>
    </x:row>
    <x:row r="429" ht="22" customHeight="1">
      <x:c r="A429" s="3"/>
      <x:c r="B429" s="3" t="str">
        <x:v>2011-09</x:v>
      </x:c>
      <x:c r="C429" s="3" t="str">
        <x:v>Spain</x:v>
      </x:c>
      <x:c r="D429" s="13" t="n">
        <x:v>4461.24</x:v>
      </x:c>
      <x:c r="E429" s="13" t="n">
        <x:v>25.5</x:v>
      </x:c>
      <x:c r="F429" s="13" t="n">
        <x:f>D429-E429</x:f>
        <x:v>4435.74</x:v>
      </x:c>
      <x:c r="G429" s="14" t="n">
        <x:v>8</x:v>
      </x:c>
      <x:c r="H429" s="14" t="n">
        <x:v>1</x:v>
      </x:c>
      <x:c r="I429" s="14" t="n">
        <x:v>6</x:v>
      </x:c>
      <x:c r="J429" s="14" t="n">
        <x:v>1</x:v>
      </x:c>
      <x:c r="K429" s="14" t="n">
        <x:v>2657</x:v>
      </x:c>
      <x:c r="L429" s="14" t="n">
        <x:v>2</x:v>
      </x:c>
      <x:c r="M429" s="13" t="n">
        <x:v>4461.24</x:v>
      </x:c>
      <x:c r="N429" s="3" t="n">
        <x:v>236</x:v>
      </x:c>
      <x:c r="O429" s="13" t="n">
        <x:f>IF(G429=0,"n.a.",D429/G429)</x:f>
        <x:v>557.655</x:v>
      </x:c>
      <x:c r="P429" s="15" t="n">
        <x:f>IF(D429=0,"n.a.",E429/D429)</x:f>
        <x:v>0.005715899615353579</x:v>
      </x:c>
    </x:row>
    <x:row r="430" ht="22" customHeight="1">
      <x:c r="A430" s="3"/>
      <x:c r="B430" s="3" t="str">
        <x:v>2011-09</x:v>
      </x:c>
      <x:c r="C430" s="3" t="str">
        <x:v>Sweden</x:v>
      </x:c>
      <x:c r="D430" s="13" t="n">
        <x:v>4517.21</x:v>
      </x:c>
      <x:c r="E430" s="13" t="n">
        <x:v>0</x:v>
      </x:c>
      <x:c r="F430" s="13" t="n">
        <x:f>D430-E430</x:f>
        <x:v>4517.21</x:v>
      </x:c>
      <x:c r="G430" s="14" t="n">
        <x:v>3</x:v>
      </x:c>
      <x:c r="H430" s="14" t="n">
        <x:v>0</x:v>
      </x:c>
      <x:c r="I430" s="14" t="n">
        <x:v>3</x:v>
      </x:c>
      <x:c r="J430" s="14" t="n">
        <x:v>0</x:v>
      </x:c>
      <x:c r="K430" s="14" t="n">
        <x:v>4342</x:v>
      </x:c>
      <x:c r="L430" s="14" t="n">
        <x:v>0</x:v>
      </x:c>
      <x:c r="M430" s="13" t="n">
        <x:v>4517.21</x:v>
      </x:c>
      <x:c r="N430" s="3" t="n">
        <x:v>36</x:v>
      </x:c>
      <x:c r="O430" s="13" t="n">
        <x:f>IF(G430=0,"n.a.",D430/G430)</x:f>
        <x:v>1505.7366666666667</x:v>
      </x:c>
      <x:c r="P430" s="15" t="n">
        <x:f>IF(D430=0,"n.a.",E430/D430)</x:f>
        <x:v>0</x:v>
      </x:c>
    </x:row>
    <x:row r="431" ht="22" customHeight="1">
      <x:c r="A431" s="3"/>
      <x:c r="B431" s="3" t="str">
        <x:v>2011-09</x:v>
      </x:c>
      <x:c r="C431" s="3" t="str">
        <x:v>Switzerland</x:v>
      </x:c>
      <x:c r="D431" s="13" t="n">
        <x:v>7524.86</x:v>
      </x:c>
      <x:c r="E431" s="13" t="n">
        <x:v>29.9</x:v>
      </x:c>
      <x:c r="F431" s="13" t="n">
        <x:f>D431-E431</x:f>
        <x:v>7494.96</x:v>
      </x:c>
      <x:c r="G431" s="14" t="n">
        <x:v>5</x:v>
      </x:c>
      <x:c r="H431" s="14" t="n">
        <x:v>4</x:v>
      </x:c>
      <x:c r="I431" s="14" t="n">
        <x:v>4</x:v>
      </x:c>
      <x:c r="J431" s="14" t="n">
        <x:v>1</x:v>
      </x:c>
      <x:c r="K431" s="14" t="n">
        <x:v>4236</x:v>
      </x:c>
      <x:c r="L431" s="14" t="n">
        <x:v>12</x:v>
      </x:c>
      <x:c r="M431" s="13" t="n">
        <x:v>7524.86</x:v>
      </x:c>
      <x:c r="N431" s="3" t="n">
        <x:v>195</x:v>
      </x:c>
      <x:c r="O431" s="13" t="n">
        <x:f>IF(G431=0,"n.a.",D431/G431)</x:f>
        <x:v>1504.972</x:v>
      </x:c>
      <x:c r="P431" s="15" t="n">
        <x:f>IF(D431=0,"n.a.",E431/D431)</x:f>
        <x:v>0.00397349585241453</x:v>
      </x:c>
    </x:row>
    <x:row r="432" ht="22" customHeight="1">
      <x:c r="A432" s="3"/>
      <x:c r="B432" s="3" t="str">
        <x:v>2011-09</x:v>
      </x:c>
      <x:c r="C432" s="3" t="str">
        <x:v>USA</x:v>
      </x:c>
      <x:c r="D432" s="13" t="n">
        <x:v>0</x:v>
      </x:c>
      <x:c r="E432" s="13" t="n">
        <x:v>0</x:v>
      </x:c>
      <x:c r="F432" s="13" t="n">
        <x:f>D432-E432</x:f>
        <x:v>0</x:v>
      </x:c>
      <x:c r="G432" s="14" t="n">
        <x:v>0</x:v>
      </x:c>
      <x:c r="H432" s="14" t="n">
        <x:v>0</x:v>
      </x:c>
      <x:c r="I432" s="14" t="n">
        <x:v>0</x:v>
      </x:c>
      <x:c r="J432" s="14" t="n">
        <x:v>0</x:v>
      </x:c>
      <x:c r="K432" s="14" t="n">
        <x:v>0</x:v>
      </x:c>
      <x:c r="L432" s="14" t="n">
        <x:v>0</x:v>
      </x:c>
      <x:c r="M432" s="13" t="n">
        <x:v>0</x:v>
      </x:c>
      <x:c r="N432" s="3" t="n">
        <x:v>0</x:v>
      </x:c>
      <x:c r="O432" s="13" t="str">
        <x:f>IF(G432=0,"n.a.",D432/G432)</x:f>
        <x:v>n.a.</x:v>
      </x:c>
      <x:c r="P432" s="15" t="str">
        <x:f>IF(D432=0,"n.a.",E432/D432)</x:f>
        <x:v>n.a.</x:v>
      </x:c>
    </x:row>
    <x:row r="433" ht="22" customHeight="1">
      <x:c r="A433" s="3"/>
      <x:c r="B433" s="3" t="str">
        <x:v>2011-09</x:v>
      </x:c>
      <x:c r="C433" s="3" t="str">
        <x:v>United Arab Emirates</x:v>
      </x:c>
      <x:c r="D433" s="13" t="n">
        <x:v>975.54</x:v>
      </x:c>
      <x:c r="E433" s="13" t="n">
        <x:v>0</x:v>
      </x:c>
      <x:c r="F433" s="13" t="n">
        <x:f>D433-E433</x:f>
        <x:v>975.54</x:v>
      </x:c>
      <x:c r="G433" s="14" t="n">
        <x:v>1</x:v>
      </x:c>
      <x:c r="H433" s="14" t="n">
        <x:v>0</x:v>
      </x:c>
      <x:c r="I433" s="14" t="n">
        <x:v>1</x:v>
      </x:c>
      <x:c r="J433" s="14" t="n">
        <x:v>0</x:v>
      </x:c>
      <x:c r="K433" s="14" t="n">
        <x:v>485</x:v>
      </x:c>
      <x:c r="L433" s="14" t="n">
        <x:v>0</x:v>
      </x:c>
      <x:c r="M433" s="13" t="n">
        <x:v>975.54</x:v>
      </x:c>
      <x:c r="N433" s="3" t="n">
        <x:v>37</x:v>
      </x:c>
      <x:c r="O433" s="13" t="n">
        <x:f>IF(G433=0,"n.a.",D433/G433)</x:f>
        <x:v>975.54</x:v>
      </x:c>
      <x:c r="P433" s="15" t="n">
        <x:f>IF(D433=0,"n.a.",E433/D433)</x:f>
        <x:v>0</x:v>
      </x:c>
    </x:row>
    <x:row r="434" ht="22" customHeight="1">
      <x:c r="A434" s="3"/>
      <x:c r="B434" s="3" t="str">
        <x:v>2011-09</x:v>
      </x:c>
      <x:c r="C434" s="3" t="str">
        <x:v>United Kingdom</x:v>
      </x:c>
      <x:c r="D434" s="13" t="n">
        <x:v>878029.111</x:v>
      </x:c>
      <x:c r="E434" s="13" t="n">
        <x:v>15896.35</x:v>
      </x:c>
      <x:c r="F434" s="13" t="n">
        <x:f>D434-E434</x:f>
        <x:v>862132.761</x:v>
      </x:c>
      <x:c r="G434" s="14" t="n">
        <x:v>1631</x:v>
      </x:c>
      <x:c r="H434" s="14" t="n">
        <x:v>257</x:v>
      </x:c>
      <x:c r="I434" s="14" t="n">
        <x:v>1140</x:v>
      </x:c>
      <x:c r="J434" s="14" t="n">
        <x:v>243</x:v>
      </x:c>
      <x:c r="K434" s="14" t="n">
        <x:v>478453</x:v>
      </x:c>
      <x:c r="L434" s="14" t="n">
        <x:v>6635</x:v>
      </x:c>
      <x:c r="M434" s="13" t="n">
        <x:v>791256.201</x:v>
      </x:c>
      <x:c r="N434" s="3" t="n">
        <x:v>45245</x:v>
      </x:c>
      <x:c r="O434" s="13" t="n">
        <x:f>IF(G434=0,"n.a.",D434/G434)</x:f>
        <x:v>538.3378976088289</x:v>
      </x:c>
      <x:c r="P434" s="15" t="n">
        <x:f>IF(D434=0,"n.a.",E434/D434)</x:f>
        <x:v>0.018104581956167053</x:v>
      </x:c>
    </x:row>
    <x:row r="435" ht="22" customHeight="1">
      <x:c r="A435" s="3"/>
      <x:c r="B435" s="3" t="str">
        <x:v>2011-09</x:v>
      </x:c>
      <x:c r="C435" s="3" t="str">
        <x:v>Unspecified</x:v>
      </x:c>
      <x:c r="D435" s="13" t="n">
        <x:v>286.85</x:v>
      </x:c>
      <x:c r="E435" s="13" t="n">
        <x:v>0</x:v>
      </x:c>
      <x:c r="F435" s="13" t="n">
        <x:f>D435-E435</x:f>
        <x:v>286.85</x:v>
      </x:c>
      <x:c r="G435" s="14" t="n">
        <x:v>1</x:v>
      </x:c>
      <x:c r="H435" s="14" t="n">
        <x:v>0</x:v>
      </x:c>
      <x:c r="I435" s="14" t="n">
        <x:v>0</x:v>
      </x:c>
      <x:c r="J435" s="14" t="n">
        <x:v>0</x:v>
      </x:c>
      <x:c r="K435" s="14" t="n">
        <x:v>258</x:v>
      </x:c>
      <x:c r="L435" s="14" t="n">
        <x:v>0</x:v>
      </x:c>
      <x:c r="M435" s="13" t="n">
        <x:v>0</x:v>
      </x:c>
      <x:c r="N435" s="3" t="n">
        <x:v>66</x:v>
      </x:c>
      <x:c r="O435" s="13" t="n">
        <x:f>IF(G435=0,"n.a.",D435/G435)</x:f>
        <x:v>286.85</x:v>
      </x:c>
      <x:c r="P435" s="15" t="n">
        <x:f>IF(D435=0,"n.a.",E435/D435)</x:f>
        <x:v>0</x:v>
      </x:c>
    </x:row>
    <x:row r="436" ht="22" customHeight="1">
      <x:c r="A436" s="3"/>
      <x:c r="B436" s="3" t="str">
        <x:v>2011-10</x:v>
      </x:c>
      <x:c r="C436" s="3" t="str">
        <x:v>Todos</x:v>
      </x:c>
      <x:c r="D436" s="13" t="n">
        <x:v>1106669.82</x:v>
      </x:c>
      <x:c r="E436" s="13" t="n">
        <x:v>43992.16</x:v>
      </x:c>
      <x:c r="F436" s="13" t="n">
        <x:f>D436-E436</x:f>
        <x:v>1062677.6600000001</x:v>
      </x:c>
      <x:c r="G436" s="14" t="n">
        <x:v>2005</x:v>
      </x:c>
      <x:c r="H436" s="14" t="n">
        <x:v>308</x:v>
      </x:c>
      <x:c r="I436" s="14" t="n">
        <x:v>1361</x:v>
      </x:c>
      <x:c r="J436" s="14" t="n">
        <x:v>310</x:v>
      </x:c>
      <x:c r="K436" s="14" t="n">
        <x:v>621729</x:v>
      </x:c>
      <x:c r="L436" s="14" t="n">
        <x:v>23847</x:v>
      </x:c>
      <x:c r="M436" s="13" t="n">
        <x:v>1005642.9</x:v>
      </x:c>
      <x:c r="N436" s="3" t="n">
        <x:v>60194</x:v>
      </x:c>
      <x:c r="O436" s="13" t="n">
        <x:f>IF(G436=0,"n.a.",D436/G436)</x:f>
        <x:v>551.9550224438904</x:v>
      </x:c>
      <x:c r="P436" s="15" t="n">
        <x:f>IF(D436=0,"n.a.",E436/D436)</x:f>
        <x:v>0.039751838538435974</x:v>
      </x:c>
    </x:row>
    <x:row r="437" ht="22" customHeight="1">
      <x:c r="A437" s="3"/>
      <x:c r="B437" s="3" t="str">
        <x:v>2011-10</x:v>
      </x:c>
      <x:c r="C437" s="3" t="str">
        <x:v>Australia</x:v>
      </x:c>
      <x:c r="D437" s="13" t="n">
        <x:v>17150.53</x:v>
      </x:c>
      <x:c r="E437" s="13" t="n">
        <x:v>0</x:v>
      </x:c>
      <x:c r="F437" s="13" t="n">
        <x:f>D437-E437</x:f>
        <x:v>17150.53</x:v>
      </x:c>
      <x:c r="G437" s="14" t="n">
        <x:v>4</x:v>
      </x:c>
      <x:c r="H437" s="14" t="n">
        <x:v>0</x:v>
      </x:c>
      <x:c r="I437" s="14" t="n">
        <x:v>2</x:v>
      </x:c>
      <x:c r="J437" s="14" t="n">
        <x:v>2</x:v>
      </x:c>
      <x:c r="K437" s="14" t="n">
        <x:v>7401</x:v>
      </x:c>
      <x:c r="L437" s="14" t="n">
        <x:v>0</x:v>
      </x:c>
      <x:c r="M437" s="13" t="n">
        <x:v>17150.53</x:v>
      </x:c>
      <x:c r="N437" s="3" t="n">
        <x:v>114</x:v>
      </x:c>
      <x:c r="O437" s="13" t="n">
        <x:f>IF(G437=0,"n.a.",D437/G437)</x:f>
        <x:v>4287.6325</x:v>
      </x:c>
      <x:c r="P437" s="15" t="n">
        <x:f>IF(D437=0,"n.a.",E437/D437)</x:f>
        <x:v>0</x:v>
      </x:c>
    </x:row>
    <x:row r="438" ht="22" customHeight="1">
      <x:c r="A438" s="3"/>
      <x:c r="B438" s="3" t="str">
        <x:v>2011-10</x:v>
      </x:c>
      <x:c r="C438" s="3" t="str">
        <x:v>Austria</x:v>
      </x:c>
      <x:c r="D438" s="13" t="n">
        <x:v>923.78</x:v>
      </x:c>
      <x:c r="E438" s="13" t="n">
        <x:v>0</x:v>
      </x:c>
      <x:c r="F438" s="13" t="n">
        <x:f>D438-E438</x:f>
        <x:v>923.78</x:v>
      </x:c>
      <x:c r="G438" s="14" t="n">
        <x:v>1</x:v>
      </x:c>
      <x:c r="H438" s="14" t="n">
        <x:v>0</x:v>
      </x:c>
      <x:c r="I438" s="14" t="n">
        <x:v>1</x:v>
      </x:c>
      <x:c r="J438" s="14" t="n">
        <x:v>0</x:v>
      </x:c>
      <x:c r="K438" s="14" t="n">
        <x:v>488</x:v>
      </x:c>
      <x:c r="L438" s="14" t="n">
        <x:v>0</x:v>
      </x:c>
      <x:c r="M438" s="13" t="n">
        <x:v>923.78</x:v>
      </x:c>
      <x:c r="N438" s="3" t="n">
        <x:v>53</x:v>
      </x:c>
      <x:c r="O438" s="13" t="n">
        <x:f>IF(G438=0,"n.a.",D438/G438)</x:f>
        <x:v>923.78</x:v>
      </x:c>
      <x:c r="P438" s="15" t="n">
        <x:f>IF(D438=0,"n.a.",E438/D438)</x:f>
        <x:v>0</x:v>
      </x:c>
    </x:row>
    <x:row r="439" ht="22" customHeight="1">
      <x:c r="A439" s="3"/>
      <x:c r="B439" s="3" t="str">
        <x:v>2011-10</x:v>
      </x:c>
      <x:c r="C439" s="3" t="str">
        <x:v>Bahrain</x:v>
      </x:c>
      <x:c r="D439" s="13" t="n">
        <x:v>0</x:v>
      </x:c>
      <x:c r="E439" s="13" t="n">
        <x:v>0</x:v>
      </x:c>
      <x:c r="F439" s="13" t="n">
        <x:f>D439-E439</x:f>
        <x:v>0</x:v>
      </x:c>
      <x:c r="G439" s="14" t="n">
        <x:v>0</x:v>
      </x:c>
      <x:c r="H439" s="14" t="n">
        <x:v>0</x:v>
      </x:c>
      <x:c r="I439" s="14" t="n">
        <x:v>0</x:v>
      </x:c>
      <x:c r="J439" s="14" t="n">
        <x:v>0</x:v>
      </x:c>
      <x:c r="K439" s="14" t="n">
        <x:v>0</x:v>
      </x:c>
      <x:c r="L439" s="14" t="n">
        <x:v>0</x:v>
      </x:c>
      <x:c r="M439" s="13" t="n">
        <x:v>0</x:v>
      </x:c>
      <x:c r="N439" s="3" t="n">
        <x:v>0</x:v>
      </x:c>
      <x:c r="O439" s="13" t="str">
        <x:f>IF(G439=0,"n.a.",D439/G439)</x:f>
        <x:v>n.a.</x:v>
      </x:c>
      <x:c r="P439" s="15" t="str">
        <x:f>IF(D439=0,"n.a.",E439/D439)</x:f>
        <x:v>n.a.</x:v>
      </x:c>
    </x:row>
    <x:row r="440" ht="22" customHeight="1">
      <x:c r="A440" s="3"/>
      <x:c r="B440" s="3" t="str">
        <x:v>2011-10</x:v>
      </x:c>
      <x:c r="C440" s="3" t="str">
        <x:v>Belgium</x:v>
      </x:c>
      <x:c r="D440" s="13" t="n">
        <x:v>5169.38</x:v>
      </x:c>
      <x:c r="E440" s="13" t="n">
        <x:v>34</x:v>
      </x:c>
      <x:c r="F440" s="13" t="n">
        <x:f>D440-E440</x:f>
        <x:v>5135.38</x:v>
      </x:c>
      <x:c r="G440" s="14" t="n">
        <x:v>11</x:v>
      </x:c>
      <x:c r="H440" s="14" t="n">
        <x:v>2</x:v>
      </x:c>
      <x:c r="I440" s="14" t="n">
        <x:v>9</x:v>
      </x:c>
      <x:c r="J440" s="14" t="n">
        <x:v>1</x:v>
      </x:c>
      <x:c r="K440" s="14" t="n">
        <x:v>3137</x:v>
      </x:c>
      <x:c r="L440" s="14" t="n">
        <x:v>14</x:v>
      </x:c>
      <x:c r="M440" s="13" t="n">
        <x:v>5169.38</x:v>
      </x:c>
      <x:c r="N440" s="3" t="n">
        <x:v>256</x:v>
      </x:c>
      <x:c r="O440" s="13" t="n">
        <x:f>IF(G440=0,"n.a.",D440/G440)</x:f>
        <x:v>469.94363636363636</x:v>
      </x:c>
      <x:c r="P440" s="15" t="n">
        <x:f>IF(D440=0,"n.a.",E440/D440)</x:f>
        <x:v>0.006577191075138604</x:v>
      </x:c>
    </x:row>
    <x:row r="441" ht="22" customHeight="1">
      <x:c r="A441" s="3"/>
      <x:c r="B441" s="3" t="str">
        <x:v>2011-10</x:v>
      </x:c>
      <x:c r="C441" s="3" t="str">
        <x:v>Brazil</x:v>
      </x:c>
      <x:c r="D441" s="13" t="n">
        <x:v>0</x:v>
      </x:c>
      <x:c r="E441" s="13" t="n">
        <x:v>0</x:v>
      </x:c>
      <x:c r="F441" s="13" t="n">
        <x:f>D441-E441</x:f>
        <x:v>0</x:v>
      </x:c>
      <x:c r="G441" s="14" t="n">
        <x:v>0</x:v>
      </x:c>
      <x:c r="H441" s="14" t="n">
        <x:v>0</x:v>
      </x:c>
      <x:c r="I441" s="14" t="n">
        <x:v>0</x:v>
      </x:c>
      <x:c r="J441" s="14" t="n">
        <x:v>0</x:v>
      </x:c>
      <x:c r="K441" s="14" t="n">
        <x:v>0</x:v>
      </x:c>
      <x:c r="L441" s="14" t="n">
        <x:v>0</x:v>
      </x:c>
      <x:c r="M441" s="13" t="n">
        <x:v>0</x:v>
      </x:c>
      <x:c r="N441" s="3" t="n">
        <x:v>0</x:v>
      </x:c>
      <x:c r="O441" s="13" t="str">
        <x:f>IF(G441=0,"n.a.",D441/G441)</x:f>
        <x:v>n.a.</x:v>
      </x:c>
      <x:c r="P441" s="15" t="str">
        <x:f>IF(D441=0,"n.a.",E441/D441)</x:f>
        <x:v>n.a.</x:v>
      </x:c>
    </x:row>
    <x:row r="442" ht="22" customHeight="1">
      <x:c r="A442" s="3"/>
      <x:c r="B442" s="3" t="str">
        <x:v>2011-10</x:v>
      </x:c>
      <x:c r="C442" s="3" t="str">
        <x:v>Canada</x:v>
      </x:c>
      <x:c r="D442" s="13" t="n">
        <x:v>0</x:v>
      </x:c>
      <x:c r="E442" s="13" t="n">
        <x:v>0</x:v>
      </x:c>
      <x:c r="F442" s="13" t="n">
        <x:f>D442-E442</x:f>
        <x:v>0</x:v>
      </x:c>
      <x:c r="G442" s="14" t="n">
        <x:v>0</x:v>
      </x:c>
      <x:c r="H442" s="14" t="n">
        <x:v>0</x:v>
      </x:c>
      <x:c r="I442" s="14" t="n">
        <x:v>0</x:v>
      </x:c>
      <x:c r="J442" s="14" t="n">
        <x:v>0</x:v>
      </x:c>
      <x:c r="K442" s="14" t="n">
        <x:v>0</x:v>
      </x:c>
      <x:c r="L442" s="14" t="n">
        <x:v>0</x:v>
      </x:c>
      <x:c r="M442" s="13" t="n">
        <x:v>0</x:v>
      </x:c>
      <x:c r="N442" s="3" t="n">
        <x:v>0</x:v>
      </x:c>
      <x:c r="O442" s="13" t="str">
        <x:f>IF(G442=0,"n.a.",D442/G442)</x:f>
        <x:v>n.a.</x:v>
      </x:c>
      <x:c r="P442" s="15" t="str">
        <x:f>IF(D442=0,"n.a.",E442/D442)</x:f>
        <x:v>n.a.</x:v>
      </x:c>
    </x:row>
    <x:row r="443" ht="22" customHeight="1">
      <x:c r="A443" s="3"/>
      <x:c r="B443" s="3" t="str">
        <x:v>2011-10</x:v>
      </x:c>
      <x:c r="C443" s="3" t="str">
        <x:v>Channel Islands</x:v>
      </x:c>
      <x:c r="D443" s="13" t="n">
        <x:v>2623.32</x:v>
      </x:c>
      <x:c r="E443" s="13" t="n">
        <x:v>0</x:v>
      </x:c>
      <x:c r="F443" s="13" t="n">
        <x:f>D443-E443</x:f>
        <x:v>2623.32</x:v>
      </x:c>
      <x:c r="G443" s="14" t="n">
        <x:v>5</x:v>
      </x:c>
      <x:c r="H443" s="14" t="n">
        <x:v>0</x:v>
      </x:c>
      <x:c r="I443" s="14" t="n">
        <x:v>2</x:v>
      </x:c>
      <x:c r="J443" s="14" t="n">
        <x:v>2</x:v>
      </x:c>
      <x:c r="K443" s="14" t="n">
        <x:v>1407</x:v>
      </x:c>
      <x:c r="L443" s="14" t="n">
        <x:v>0</x:v>
      </x:c>
      <x:c r="M443" s="13" t="n">
        <x:v>2623.32</x:v>
      </x:c>
      <x:c r="N443" s="3" t="n">
        <x:v>102</x:v>
      </x:c>
      <x:c r="O443" s="13" t="n">
        <x:f>IF(G443=0,"n.a.",D443/G443)</x:f>
        <x:v>524.664</x:v>
      </x:c>
      <x:c r="P443" s="15" t="n">
        <x:f>IF(D443=0,"n.a.",E443/D443)</x:f>
        <x:v>0</x:v>
      </x:c>
    </x:row>
    <x:row r="444" ht="22" customHeight="1">
      <x:c r="A444" s="3"/>
      <x:c r="B444" s="3" t="str">
        <x:v>2011-10</x:v>
      </x:c>
      <x:c r="C444" s="3" t="str">
        <x:v>Cyprus</x:v>
      </x:c>
      <x:c r="D444" s="13" t="n">
        <x:v>4412.87</x:v>
      </x:c>
      <x:c r="E444" s="13" t="n">
        <x:v>196.35</x:v>
      </x:c>
      <x:c r="F444" s="13" t="n">
        <x:f>D444-E444</x:f>
        <x:v>4216.5199999999995</x:v>
      </x:c>
      <x:c r="G444" s="14" t="n">
        <x:v>4</x:v>
      </x:c>
      <x:c r="H444" s="14" t="n">
        <x:v>1</x:v>
      </x:c>
      <x:c r="I444" s="14" t="n">
        <x:v>4</x:v>
      </x:c>
      <x:c r="J444" s="14" t="n">
        <x:v>0</x:v>
      </x:c>
      <x:c r="K444" s="14" t="n">
        <x:v>1415</x:v>
      </x:c>
      <x:c r="L444" s="14" t="n">
        <x:v>33</x:v>
      </x:c>
      <x:c r="M444" s="13" t="n">
        <x:v>4412.87</x:v>
      </x:c>
      <x:c r="N444" s="3" t="n">
        <x:v>164</x:v>
      </x:c>
      <x:c r="O444" s="13" t="n">
        <x:f>IF(G444=0,"n.a.",D444/G444)</x:f>
        <x:v>1103.2175</x:v>
      </x:c>
      <x:c r="P444" s="15" t="n">
        <x:f>IF(D444=0,"n.a.",E444/D444)</x:f>
        <x:v>0.044494852556272904</x:v>
      </x:c>
    </x:row>
    <x:row r="445" ht="22" customHeight="1">
      <x:c r="A445" s="3"/>
      <x:c r="B445" s="3" t="str">
        <x:v>2011-10</x:v>
      </x:c>
      <x:c r="C445" s="3" t="str">
        <x:v>Czech Republic</x:v>
      </x:c>
      <x:c r="D445" s="13" t="n">
        <x:v>237.48</x:v>
      </x:c>
      <x:c r="E445" s="13" t="n">
        <x:v>0</x:v>
      </x:c>
      <x:c r="F445" s="13" t="n">
        <x:f>D445-E445</x:f>
        <x:v>237.48</x:v>
      </x:c>
      <x:c r="G445" s="14" t="n">
        <x:v>1</x:v>
      </x:c>
      <x:c r="H445" s="14" t="n">
        <x:v>0</x:v>
      </x:c>
      <x:c r="I445" s="14" t="n">
        <x:v>1</x:v>
      </x:c>
      <x:c r="J445" s="14" t="n">
        <x:v>0</x:v>
      </x:c>
      <x:c r="K445" s="14" t="n">
        <x:v>324</x:v>
      </x:c>
      <x:c r="L445" s="14" t="n">
        <x:v>0</x:v>
      </x:c>
      <x:c r="M445" s="13" t="n">
        <x:v>237.48</x:v>
      </x:c>
      <x:c r="N445" s="3" t="n">
        <x:v>9</x:v>
      </x:c>
      <x:c r="O445" s="13" t="n">
        <x:f>IF(G445=0,"n.a.",D445/G445)</x:f>
        <x:v>237.48</x:v>
      </x:c>
      <x:c r="P445" s="15" t="n">
        <x:f>IF(D445=0,"n.a.",E445/D445)</x:f>
        <x:v>0</x:v>
      </x:c>
    </x:row>
    <x:row r="446" ht="22" customHeight="1">
      <x:c r="A446" s="3"/>
      <x:c r="B446" s="3" t="str">
        <x:v>2011-10</x:v>
      </x:c>
      <x:c r="C446" s="3" t="str">
        <x:v>Denmark</x:v>
      </x:c>
      <x:c r="D446" s="13" t="n">
        <x:v>1274.76</x:v>
      </x:c>
      <x:c r="E446" s="13" t="n">
        <x:v>34.65</x:v>
      </x:c>
      <x:c r="F446" s="13" t="n">
        <x:f>D446-E446</x:f>
        <x:v>1240.11</x:v>
      </x:c>
      <x:c r="G446" s="14" t="n">
        <x:v>3</x:v>
      </x:c>
      <x:c r="H446" s="14" t="n">
        <x:v>1</x:v>
      </x:c>
      <x:c r="I446" s="14" t="n">
        <x:v>3</x:v>
      </x:c>
      <x:c r="J446" s="14" t="n">
        <x:v>0</x:v>
      </x:c>
      <x:c r="K446" s="14" t="n">
        <x:v>857</x:v>
      </x:c>
      <x:c r="L446" s="14" t="n">
        <x:v>37</x:v>
      </x:c>
      <x:c r="M446" s="13" t="n">
        <x:v>1274.76</x:v>
      </x:c>
      <x:c r="N446" s="3" t="n">
        <x:v>25</x:v>
      </x:c>
      <x:c r="O446" s="13" t="n">
        <x:f>IF(G446=0,"n.a.",D446/G446)</x:f>
        <x:v>424.92</x:v>
      </x:c>
      <x:c r="P446" s="15" t="n">
        <x:f>IF(D446=0,"n.a.",E446/D446)</x:f>
        <x:v>0.02718158712228184</x:v>
      </x:c>
    </x:row>
    <x:row r="447" ht="22" customHeight="1">
      <x:c r="A447" s="3"/>
      <x:c r="B447" s="3" t="str">
        <x:v>2011-10</x:v>
      </x:c>
      <x:c r="C447" s="3" t="str">
        <x:v>EIRE</x:v>
      </x:c>
      <x:c r="D447" s="13" t="n">
        <x:v>23817.92</x:v>
      </x:c>
      <x:c r="E447" s="13" t="n">
        <x:v>1010.3</x:v>
      </x:c>
      <x:c r="F447" s="13" t="n">
        <x:f>D447-E447</x:f>
        <x:v>22807.62</x:v>
      </x:c>
      <x:c r="G447" s="14" t="n">
        <x:v>31</x:v>
      </x:c>
      <x:c r="H447" s="14" t="n">
        <x:v>6</x:v>
      </x:c>
      <x:c r="I447" s="14" t="n">
        <x:v>2</x:v>
      </x:c>
      <x:c r="J447" s="14" t="n">
        <x:v>2</x:v>
      </x:c>
      <x:c r="K447" s="14" t="n">
        <x:v>15894</x:v>
      </x:c>
      <x:c r="L447" s="14" t="n">
        <x:v>308</x:v>
      </x:c>
      <x:c r="M447" s="13" t="n">
        <x:v>23817.92</x:v>
      </x:c>
      <x:c r="N447" s="3" t="n">
        <x:v>919</x:v>
      </x:c>
      <x:c r="O447" s="13" t="n">
        <x:f>IF(G447=0,"n.a.",D447/G447)</x:f>
        <x:v>768.3199999999999</x:v>
      </x:c>
      <x:c r="P447" s="15" t="n">
        <x:f>IF(D447=0,"n.a.",E447/D447)</x:f>
        <x:v>0.04241764184278056</x:v>
      </x:c>
    </x:row>
    <x:row r="448" ht="22" customHeight="1">
      <x:c r="A448" s="3"/>
      <x:c r="B448" s="3" t="str">
        <x:v>2011-10</x:v>
      </x:c>
      <x:c r="C448" s="3" t="str">
        <x:v>European Community</x:v>
      </x:c>
      <x:c r="D448" s="13" t="n">
        <x:v>0</x:v>
      </x:c>
      <x:c r="E448" s="13" t="n">
        <x:v>0</x:v>
      </x:c>
      <x:c r="F448" s="13" t="n">
        <x:f>D448-E448</x:f>
        <x:v>0</x:v>
      </x:c>
      <x:c r="G448" s="14" t="n">
        <x:v>0</x:v>
      </x:c>
      <x:c r="H448" s="14" t="n">
        <x:v>0</x:v>
      </x:c>
      <x:c r="I448" s="14" t="n">
        <x:v>0</x:v>
      </x:c>
      <x:c r="J448" s="14" t="n">
        <x:v>0</x:v>
      </x:c>
      <x:c r="K448" s="14" t="n">
        <x:v>0</x:v>
      </x:c>
      <x:c r="L448" s="14" t="n">
        <x:v>0</x:v>
      </x:c>
      <x:c r="M448" s="13" t="n">
        <x:v>0</x:v>
      </x:c>
      <x:c r="N448" s="3" t="n">
        <x:v>0</x:v>
      </x:c>
      <x:c r="O448" s="13" t="str">
        <x:f>IF(G448=0,"n.a.",D448/G448)</x:f>
        <x:v>n.a.</x:v>
      </x:c>
      <x:c r="P448" s="15" t="str">
        <x:f>IF(D448=0,"n.a.",E448/D448)</x:f>
        <x:v>n.a.</x:v>
      </x:c>
    </x:row>
    <x:row r="449" ht="22" customHeight="1">
      <x:c r="A449" s="3"/>
      <x:c r="B449" s="3" t="str">
        <x:v>2011-10</x:v>
      </x:c>
      <x:c r="C449" s="3" t="str">
        <x:v>Finland</x:v>
      </x:c>
      <x:c r="D449" s="13" t="n">
        <x:v>2266.12</x:v>
      </x:c>
      <x:c r="E449" s="13" t="n">
        <x:v>0</x:v>
      </x:c>
      <x:c r="F449" s="13" t="n">
        <x:f>D449-E449</x:f>
        <x:v>2266.12</x:v>
      </x:c>
      <x:c r="G449" s="14" t="n">
        <x:v>6</x:v>
      </x:c>
      <x:c r="H449" s="14" t="n">
        <x:v>0</x:v>
      </x:c>
      <x:c r="I449" s="14" t="n">
        <x:v>5</x:v>
      </x:c>
      <x:c r="J449" s="14" t="n">
        <x:v>1</x:v>
      </x:c>
      <x:c r="K449" s="14" t="n">
        <x:v>1100</x:v>
      </x:c>
      <x:c r="L449" s="14" t="n">
        <x:v>0</x:v>
      </x:c>
      <x:c r="M449" s="13" t="n">
        <x:v>2266.12</x:v>
      </x:c>
      <x:c r="N449" s="3" t="n">
        <x:v>108</x:v>
      </x:c>
      <x:c r="O449" s="13" t="n">
        <x:f>IF(G449=0,"n.a.",D449/G449)</x:f>
        <x:v>377.68666666666667</x:v>
      </x:c>
      <x:c r="P449" s="15" t="n">
        <x:f>IF(D449=0,"n.a.",E449/D449)</x:f>
        <x:v>0</x:v>
      </x:c>
    </x:row>
    <x:row r="450" ht="22" customHeight="1">
      <x:c r="A450" s="3"/>
      <x:c r="B450" s="3" t="str">
        <x:v>2011-10</x:v>
      </x:c>
      <x:c r="C450" s="3" t="str">
        <x:v>France</x:v>
      </x:c>
      <x:c r="D450" s="13" t="n">
        <x:v>24008.33</x:v>
      </x:c>
      <x:c r="E450" s="13" t="n">
        <x:v>131.29</x:v>
      </x:c>
      <x:c r="F450" s="13" t="n">
        <x:f>D450-E450</x:f>
        <x:v>23877.04</x:v>
      </x:c>
      <x:c r="G450" s="14" t="n">
        <x:v>33</x:v>
      </x:c>
      <x:c r="H450" s="14" t="n">
        <x:v>7</x:v>
      </x:c>
      <x:c r="I450" s="14" t="n">
        <x:v>27</x:v>
      </x:c>
      <x:c r="J450" s="14" t="n">
        <x:v>6</x:v>
      </x:c>
      <x:c r="K450" s="14" t="n">
        <x:v>13762</x:v>
      </x:c>
      <x:c r="L450" s="14" t="n">
        <x:v>68</x:v>
      </x:c>
      <x:c r="M450" s="13" t="n">
        <x:v>24008.33</x:v>
      </x:c>
      <x:c r="N450" s="3" t="n">
        <x:v>875</x:v>
      </x:c>
      <x:c r="O450" s="13" t="n">
        <x:f>IF(G450=0,"n.a.",D450/G450)</x:f>
        <x:v>727.5251515151516</x:v>
      </x:c>
      <x:c r="P450" s="15" t="n">
        <x:f>IF(D450=0,"n.a.",E450/D450)</x:f>
        <x:v>0.005468518634990438</x:v>
      </x:c>
    </x:row>
    <x:row r="451" ht="22" customHeight="1">
      <x:c r="A451" s="3"/>
      <x:c r="B451" s="3" t="str">
        <x:v>2011-10</x:v>
      </x:c>
      <x:c r="C451" s="3" t="str">
        <x:v>Germany</x:v>
      </x:c>
      <x:c r="D451" s="13" t="n">
        <x:v>28422.92</x:v>
      </x:c>
      <x:c r="E451" s="13" t="n">
        <x:v>406.65</x:v>
      </x:c>
      <x:c r="F451" s="13" t="n">
        <x:f>D451-E451</x:f>
        <x:v>28016.269999999997</x:v>
      </x:c>
      <x:c r="G451" s="14" t="n">
        <x:v>56</x:v>
      </x:c>
      <x:c r="H451" s="14" t="n">
        <x:v>14</x:v>
      </x:c>
      <x:c r="I451" s="14" t="n">
        <x:v>38</x:v>
      </x:c>
      <x:c r="J451" s="14" t="n">
        <x:v>10</x:v>
      </x:c>
      <x:c r="K451" s="14" t="n">
        <x:v>17606</x:v>
      </x:c>
      <x:c r="L451" s="14" t="n">
        <x:v>102</x:v>
      </x:c>
      <x:c r="M451" s="13" t="n">
        <x:v>28422.92</x:v>
      </x:c>
      <x:c r="N451" s="3" t="n">
        <x:v>1271</x:v>
      </x:c>
      <x:c r="O451" s="13" t="n">
        <x:f>IF(G451=0,"n.a.",D451/G451)</x:f>
        <x:v>507.5521428571428</x:v>
      </x:c>
      <x:c r="P451" s="15" t="n">
        <x:f>IF(D451=0,"n.a.",E451/D451)</x:f>
        <x:v>0.014307115525076242</x:v>
      </x:c>
    </x:row>
    <x:row r="452" ht="22" customHeight="1">
      <x:c r="A452" s="3"/>
      <x:c r="B452" s="3" t="str">
        <x:v>2011-10</x:v>
      </x:c>
      <x:c r="C452" s="3" t="str">
        <x:v>Greece</x:v>
      </x:c>
      <x:c r="D452" s="13" t="n">
        <x:v>0</x:v>
      </x:c>
      <x:c r="E452" s="13" t="n">
        <x:v>0</x:v>
      </x:c>
      <x:c r="F452" s="13" t="n">
        <x:f>D452-E452</x:f>
        <x:v>0</x:v>
      </x:c>
      <x:c r="G452" s="14" t="n">
        <x:v>0</x:v>
      </x:c>
      <x:c r="H452" s="14" t="n">
        <x:v>0</x:v>
      </x:c>
      <x:c r="I452" s="14" t="n">
        <x:v>0</x:v>
      </x:c>
      <x:c r="J452" s="14" t="n">
        <x:v>0</x:v>
      </x:c>
      <x:c r="K452" s="14" t="n">
        <x:v>0</x:v>
      </x:c>
      <x:c r="L452" s="14" t="n">
        <x:v>0</x:v>
      </x:c>
      <x:c r="M452" s="13" t="n">
        <x:v>0</x:v>
      </x:c>
      <x:c r="N452" s="3" t="n">
        <x:v>0</x:v>
      </x:c>
      <x:c r="O452" s="13" t="str">
        <x:f>IF(G452=0,"n.a.",D452/G452)</x:f>
        <x:v>n.a.</x:v>
      </x:c>
      <x:c r="P452" s="15" t="str">
        <x:f>IF(D452=0,"n.a.",E452/D452)</x:f>
        <x:v>n.a.</x:v>
      </x:c>
    </x:row>
    <x:row r="453" ht="22" customHeight="1">
      <x:c r="A453" s="3"/>
      <x:c r="B453" s="3" t="str">
        <x:v>2011-10</x:v>
      </x:c>
      <x:c r="C453" s="3" t="str">
        <x:v>Hong Kong</x:v>
      </x:c>
      <x:c r="D453" s="13" t="n">
        <x:v>734.52</x:v>
      </x:c>
      <x:c r="E453" s="13" t="n">
        <x:v>10.95</x:v>
      </x:c>
      <x:c r="F453" s="13" t="n">
        <x:f>D453-E453</x:f>
        <x:v>723.5699999999999</x:v>
      </x:c>
      <x:c r="G453" s="14" t="n">
        <x:v>2</x:v>
      </x:c>
      <x:c r="H453" s="14" t="n">
        <x:v>1</x:v>
      </x:c>
      <x:c r="I453" s="14" t="n">
        <x:v>0</x:v>
      </x:c>
      <x:c r="J453" s="14" t="n">
        <x:v>0</x:v>
      </x:c>
      <x:c r="K453" s="14" t="n">
        <x:v>382</x:v>
      </x:c>
      <x:c r="L453" s="14" t="n">
        <x:v>1</x:v>
      </x:c>
      <x:c r="M453" s="13" t="n">
        <x:v>0</x:v>
      </x:c>
      <x:c r="N453" s="3" t="n">
        <x:v>35</x:v>
      </x:c>
      <x:c r="O453" s="13" t="n">
        <x:f>IF(G453=0,"n.a.",D453/G453)</x:f>
        <x:v>367.26</x:v>
      </x:c>
      <x:c r="P453" s="15" t="n">
        <x:f>IF(D453=0,"n.a.",E453/D453)</x:f>
        <x:v>0.014907694821107662</x:v>
      </x:c>
    </x:row>
    <x:row r="454" ht="22" customHeight="1">
      <x:c r="A454" s="3"/>
      <x:c r="B454" s="3" t="str">
        <x:v>2011-10</x:v>
      </x:c>
      <x:c r="C454" s="3" t="str">
        <x:v>Iceland</x:v>
      </x:c>
      <x:c r="D454" s="13" t="n">
        <x:v>1294.32</x:v>
      </x:c>
      <x:c r="E454" s="13" t="n">
        <x:v>0</x:v>
      </x:c>
      <x:c r="F454" s="13" t="n">
        <x:f>D454-E454</x:f>
        <x:v>1294.32</x:v>
      </x:c>
      <x:c r="G454" s="14" t="n">
        <x:v>1</x:v>
      </x:c>
      <x:c r="H454" s="14" t="n">
        <x:v>0</x:v>
      </x:c>
      <x:c r="I454" s="14" t="n">
        <x:v>1</x:v>
      </x:c>
      <x:c r="J454" s="14" t="n">
        <x:v>0</x:v>
      </x:c>
      <x:c r="K454" s="14" t="n">
        <x:v>676</x:v>
      </x:c>
      <x:c r="L454" s="14" t="n">
        <x:v>0</x:v>
      </x:c>
      <x:c r="M454" s="13" t="n">
        <x:v>1294.32</x:v>
      </x:c>
      <x:c r="N454" s="3" t="n">
        <x:v>47</x:v>
      </x:c>
      <x:c r="O454" s="13" t="n">
        <x:f>IF(G454=0,"n.a.",D454/G454)</x:f>
        <x:v>1294.32</x:v>
      </x:c>
      <x:c r="P454" s="15" t="n">
        <x:f>IF(D454=0,"n.a.",E454/D454)</x:f>
        <x:v>0</x:v>
      </x:c>
    </x:row>
    <x:row r="455" ht="22" customHeight="1">
      <x:c r="A455" s="3"/>
      <x:c r="B455" s="3" t="str">
        <x:v>2011-10</x:v>
      </x:c>
      <x:c r="C455" s="3" t="str">
        <x:v>Israel</x:v>
      </x:c>
      <x:c r="D455" s="13" t="n">
        <x:v>138.03</x:v>
      </x:c>
      <x:c r="E455" s="13" t="n">
        <x:v>0</x:v>
      </x:c>
      <x:c r="F455" s="13" t="n">
        <x:f>D455-E455</x:f>
        <x:v>138.03</x:v>
      </x:c>
      <x:c r="G455" s="14" t="n">
        <x:v>2</x:v>
      </x:c>
      <x:c r="H455" s="14" t="n">
        <x:v>0</x:v>
      </x:c>
      <x:c r="I455" s="14" t="n">
        <x:v>1</x:v>
      </x:c>
      <x:c r="J455" s="14" t="n">
        <x:v>1</x:v>
      </x:c>
      <x:c r="K455" s="14" t="n">
        <x:v>99</x:v>
      </x:c>
      <x:c r="L455" s="14" t="n">
        <x:v>0</x:v>
      </x:c>
      <x:c r="M455" s="13" t="n">
        <x:v>138.03</x:v>
      </x:c>
      <x:c r="N455" s="3" t="n">
        <x:v>34</x:v>
      </x:c>
      <x:c r="O455" s="13" t="n">
        <x:f>IF(G455=0,"n.a.",D455/G455)</x:f>
        <x:v>69.015</x:v>
      </x:c>
      <x:c r="P455" s="15" t="n">
        <x:f>IF(D455=0,"n.a.",E455/D455)</x:f>
        <x:v>0</x:v>
      </x:c>
    </x:row>
    <x:row r="456" ht="22" customHeight="1">
      <x:c r="A456" s="3"/>
      <x:c r="B456" s="3" t="str">
        <x:v>2011-10</x:v>
      </x:c>
      <x:c r="C456" s="3" t="str">
        <x:v>Italy</x:v>
      </x:c>
      <x:c r="D456" s="13" t="n">
        <x:v>3329.69</x:v>
      </x:c>
      <x:c r="E456" s="13" t="n">
        <x:v>78.9</x:v>
      </x:c>
      <x:c r="F456" s="13" t="n">
        <x:f>D456-E456</x:f>
        <x:v>3250.79</x:v>
      </x:c>
      <x:c r="G456" s="14" t="n">
        <x:v>6</x:v>
      </x:c>
      <x:c r="H456" s="14" t="n">
        <x:v>2</x:v>
      </x:c>
      <x:c r="I456" s="14" t="n">
        <x:v>5</x:v>
      </x:c>
      <x:c r="J456" s="14" t="n">
        <x:v>1</x:v>
      </x:c>
      <x:c r="K456" s="14" t="n">
        <x:v>1593</x:v>
      </x:c>
      <x:c r="L456" s="14" t="n">
        <x:v>15</x:v>
      </x:c>
      <x:c r="M456" s="13" t="n">
        <x:v>3329.69</x:v>
      </x:c>
      <x:c r="N456" s="3" t="n">
        <x:v>168</x:v>
      </x:c>
      <x:c r="O456" s="13" t="n">
        <x:f>IF(G456=0,"n.a.",D456/G456)</x:f>
        <x:v>554.9483333333334</x:v>
      </x:c>
      <x:c r="P456" s="15" t="n">
        <x:f>IF(D456=0,"n.a.",E456/D456)</x:f>
        <x:v>0.023695899618282786</x:v>
      </x:c>
    </x:row>
    <x:row r="457" ht="22" customHeight="1">
      <x:c r="A457" s="3"/>
      <x:c r="B457" s="3" t="str">
        <x:v>2011-10</x:v>
      </x:c>
      <x:c r="C457" s="3" t="str">
        <x:v>Japan</x:v>
      </x:c>
      <x:c r="D457" s="13" t="n">
        <x:v>1948.04</x:v>
      </x:c>
      <x:c r="E457" s="13" t="n">
        <x:v>0</x:v>
      </x:c>
      <x:c r="F457" s="13" t="n">
        <x:f>D457-E457</x:f>
        <x:v>1948.04</x:v>
      </x:c>
      <x:c r="G457" s="14" t="n">
        <x:v>2</x:v>
      </x:c>
      <x:c r="H457" s="14" t="n">
        <x:v>0</x:v>
      </x:c>
      <x:c r="I457" s="14" t="n">
        <x:v>2</x:v>
      </x:c>
      <x:c r="J457" s="14" t="n">
        <x:v>0</x:v>
      </x:c>
      <x:c r="K457" s="14" t="n">
        <x:v>1124</x:v>
      </x:c>
      <x:c r="L457" s="14" t="n">
        <x:v>0</x:v>
      </x:c>
      <x:c r="M457" s="13" t="n">
        <x:v>1948.04</x:v>
      </x:c>
      <x:c r="N457" s="3" t="n">
        <x:v>16</x:v>
      </x:c>
      <x:c r="O457" s="13" t="n">
        <x:f>IF(G457=0,"n.a.",D457/G457)</x:f>
        <x:v>974.02</x:v>
      </x:c>
      <x:c r="P457" s="15" t="n">
        <x:f>IF(D457=0,"n.a.",E457/D457)</x:f>
        <x:v>0</x:v>
      </x:c>
    </x:row>
    <x:row r="458" ht="22" customHeight="1">
      <x:c r="A458" s="3"/>
      <x:c r="B458" s="3" t="str">
        <x:v>2011-10</x:v>
      </x:c>
      <x:c r="C458" s="3" t="str">
        <x:v>Lebanon</x:v>
      </x:c>
      <x:c r="D458" s="13" t="n">
        <x:v>0</x:v>
      </x:c>
      <x:c r="E458" s="13" t="n">
        <x:v>0</x:v>
      </x:c>
      <x:c r="F458" s="13" t="n">
        <x:f>D458-E458</x:f>
        <x:v>0</x:v>
      </x:c>
      <x:c r="G458" s="14" t="n">
        <x:v>0</x:v>
      </x:c>
      <x:c r="H458" s="14" t="n">
        <x:v>0</x:v>
      </x:c>
      <x:c r="I458" s="14" t="n">
        <x:v>0</x:v>
      </x:c>
      <x:c r="J458" s="14" t="n">
        <x:v>0</x:v>
      </x:c>
      <x:c r="K458" s="14" t="n">
        <x:v>0</x:v>
      </x:c>
      <x:c r="L458" s="14" t="n">
        <x:v>0</x:v>
      </x:c>
      <x:c r="M458" s="13" t="n">
        <x:v>0</x:v>
      </x:c>
      <x:c r="N458" s="3" t="n">
        <x:v>0</x:v>
      </x:c>
      <x:c r="O458" s="13" t="str">
        <x:f>IF(G458=0,"n.a.",D458/G458)</x:f>
        <x:v>n.a.</x:v>
      </x:c>
      <x:c r="P458" s="15" t="str">
        <x:f>IF(D458=0,"n.a.",E458/D458)</x:f>
        <x:v>n.a.</x:v>
      </x:c>
    </x:row>
    <x:row r="459" ht="22" customHeight="1">
      <x:c r="A459" s="3"/>
      <x:c r="B459" s="3" t="str">
        <x:v>2011-10</x:v>
      </x:c>
      <x:c r="C459" s="3" t="str">
        <x:v>Lithuania</x:v>
      </x:c>
      <x:c r="D459" s="13" t="n">
        <x:v>0</x:v>
      </x:c>
      <x:c r="E459" s="13" t="n">
        <x:v>0</x:v>
      </x:c>
      <x:c r="F459" s="13" t="n">
        <x:f>D459-E459</x:f>
        <x:v>0</x:v>
      </x:c>
      <x:c r="G459" s="14" t="n">
        <x:v>0</x:v>
      </x:c>
      <x:c r="H459" s="14" t="n">
        <x:v>0</x:v>
      </x:c>
      <x:c r="I459" s="14" t="n">
        <x:v>0</x:v>
      </x:c>
      <x:c r="J459" s="14" t="n">
        <x:v>0</x:v>
      </x:c>
      <x:c r="K459" s="14" t="n">
        <x:v>0</x:v>
      </x:c>
      <x:c r="L459" s="14" t="n">
        <x:v>0</x:v>
      </x:c>
      <x:c r="M459" s="13" t="n">
        <x:v>0</x:v>
      </x:c>
      <x:c r="N459" s="3" t="n">
        <x:v>0</x:v>
      </x:c>
      <x:c r="O459" s="13" t="str">
        <x:f>IF(G459=0,"n.a.",D459/G459)</x:f>
        <x:v>n.a.</x:v>
      </x:c>
      <x:c r="P459" s="15" t="str">
        <x:f>IF(D459=0,"n.a.",E459/D459)</x:f>
        <x:v>n.a.</x:v>
      </x:c>
    </x:row>
    <x:row r="460" ht="22" customHeight="1">
      <x:c r="A460" s="3"/>
      <x:c r="B460" s="3" t="str">
        <x:v>2011-10</x:v>
      </x:c>
      <x:c r="C460" s="3" t="str">
        <x:v>Malta</x:v>
      </x:c>
      <x:c r="D460" s="13" t="n">
        <x:v>0</x:v>
      </x:c>
      <x:c r="E460" s="13" t="n">
        <x:v>0</x:v>
      </x:c>
      <x:c r="F460" s="13" t="n">
        <x:f>D460-E460</x:f>
        <x:v>0</x:v>
      </x:c>
      <x:c r="G460" s="14" t="n">
        <x:v>0</x:v>
      </x:c>
      <x:c r="H460" s="14" t="n">
        <x:v>0</x:v>
      </x:c>
      <x:c r="I460" s="14" t="n">
        <x:v>0</x:v>
      </x:c>
      <x:c r="J460" s="14" t="n">
        <x:v>0</x:v>
      </x:c>
      <x:c r="K460" s="14" t="n">
        <x:v>0</x:v>
      </x:c>
      <x:c r="L460" s="14" t="n">
        <x:v>0</x:v>
      </x:c>
      <x:c r="M460" s="13" t="n">
        <x:v>0</x:v>
      </x:c>
      <x:c r="N460" s="3" t="n">
        <x:v>0</x:v>
      </x:c>
      <x:c r="O460" s="13" t="str">
        <x:f>IF(G460=0,"n.a.",D460/G460)</x:f>
        <x:v>n.a.</x:v>
      </x:c>
      <x:c r="P460" s="15" t="str">
        <x:f>IF(D460=0,"n.a.",E460/D460)</x:f>
        <x:v>n.a.</x:v>
      </x:c>
    </x:row>
    <x:row r="461" ht="22" customHeight="1">
      <x:c r="A461" s="3"/>
      <x:c r="B461" s="3" t="str">
        <x:v>2011-10</x:v>
      </x:c>
      <x:c r="C461" s="3" t="str">
        <x:v>Netherlands</x:v>
      </x:c>
      <x:c r="D461" s="13" t="n">
        <x:v>40378.65</x:v>
      </x:c>
      <x:c r="E461" s="13" t="n">
        <x:v>0</x:v>
      </x:c>
      <x:c r="F461" s="13" t="n">
        <x:f>D461-E461</x:f>
        <x:v>40378.65</x:v>
      </x:c>
      <x:c r="G461" s="14" t="n">
        <x:v>14</x:v>
      </x:c>
      <x:c r="H461" s="14" t="n">
        <x:v>0</x:v>
      </x:c>
      <x:c r="I461" s="14" t="n">
        <x:v>4</x:v>
      </x:c>
      <x:c r="J461" s="14" t="n">
        <x:v>1</x:v>
      </x:c>
      <x:c r="K461" s="14" t="n">
        <x:v>27208</x:v>
      </x:c>
      <x:c r="L461" s="14" t="n">
        <x:v>0</x:v>
      </x:c>
      <x:c r="M461" s="13" t="n">
        <x:v>40378.65</x:v>
      </x:c>
      <x:c r="N461" s="3" t="n">
        <x:v>272</x:v>
      </x:c>
      <x:c r="O461" s="13" t="n">
        <x:f>IF(G461=0,"n.a.",D461/G461)</x:f>
        <x:v>2884.1892857142857</x:v>
      </x:c>
      <x:c r="P461" s="15" t="n">
        <x:f>IF(D461=0,"n.a.",E461/D461)</x:f>
        <x:v>0</x:v>
      </x:c>
    </x:row>
    <x:row r="462" ht="22" customHeight="1">
      <x:c r="A462" s="3"/>
      <x:c r="B462" s="3" t="str">
        <x:v>2011-10</x:v>
      </x:c>
      <x:c r="C462" s="3" t="str">
        <x:v>Norway</x:v>
      </x:c>
      <x:c r="D462" s="13" t="n">
        <x:v>3316.73</x:v>
      </x:c>
      <x:c r="E462" s="13" t="n">
        <x:v>0</x:v>
      </x:c>
      <x:c r="F462" s="13" t="n">
        <x:f>D462-E462</x:f>
        <x:v>3316.73</x:v>
      </x:c>
      <x:c r="G462" s="14" t="n">
        <x:v>5</x:v>
      </x:c>
      <x:c r="H462" s="14" t="n">
        <x:v>0</x:v>
      </x:c>
      <x:c r="I462" s="14" t="n">
        <x:v>4</x:v>
      </x:c>
      <x:c r="J462" s="14" t="n">
        <x:v>1</x:v>
      </x:c>
      <x:c r="K462" s="14" t="n">
        <x:v>1681</x:v>
      </x:c>
      <x:c r="L462" s="14" t="n">
        <x:v>0</x:v>
      </x:c>
      <x:c r="M462" s="13" t="n">
        <x:v>3316.73</x:v>
      </x:c>
      <x:c r="N462" s="3" t="n">
        <x:v>116</x:v>
      </x:c>
      <x:c r="O462" s="13" t="n">
        <x:f>IF(G462=0,"n.a.",D462/G462)</x:f>
        <x:v>663.346</x:v>
      </x:c>
      <x:c r="P462" s="15" t="n">
        <x:f>IF(D462=0,"n.a.",E462/D462)</x:f>
        <x:v>0</x:v>
      </x:c>
    </x:row>
    <x:row r="463" ht="22" customHeight="1">
      <x:c r="A463" s="3"/>
      <x:c r="B463" s="3" t="str">
        <x:v>2011-10</x:v>
      </x:c>
      <x:c r="C463" s="3" t="str">
        <x:v>Poland</x:v>
      </x:c>
      <x:c r="D463" s="13" t="n">
        <x:v>0</x:v>
      </x:c>
      <x:c r="E463" s="13" t="n">
        <x:v>0</x:v>
      </x:c>
      <x:c r="F463" s="13" t="n">
        <x:f>D463-E463</x:f>
        <x:v>0</x:v>
      </x:c>
      <x:c r="G463" s="14" t="n">
        <x:v>0</x:v>
      </x:c>
      <x:c r="H463" s="14" t="n">
        <x:v>0</x:v>
      </x:c>
      <x:c r="I463" s="14" t="n">
        <x:v>0</x:v>
      </x:c>
      <x:c r="J463" s="14" t="n">
        <x:v>0</x:v>
      </x:c>
      <x:c r="K463" s="14" t="n">
        <x:v>0</x:v>
      </x:c>
      <x:c r="L463" s="14" t="n">
        <x:v>0</x:v>
      </x:c>
      <x:c r="M463" s="13" t="n">
        <x:v>0</x:v>
      </x:c>
      <x:c r="N463" s="3" t="n">
        <x:v>0</x:v>
      </x:c>
      <x:c r="O463" s="13" t="str">
        <x:f>IF(G463=0,"n.a.",D463/G463)</x:f>
        <x:v>n.a.</x:v>
      </x:c>
      <x:c r="P463" s="15" t="str">
        <x:f>IF(D463=0,"n.a.",E463/D463)</x:f>
        <x:v>n.a.</x:v>
      </x:c>
    </x:row>
    <x:row r="464" ht="22" customHeight="1">
      <x:c r="A464" s="3"/>
      <x:c r="B464" s="3" t="str">
        <x:v>2011-10</x:v>
      </x:c>
      <x:c r="C464" s="3" t="str">
        <x:v>Portugal</x:v>
      </x:c>
      <x:c r="D464" s="13" t="n">
        <x:v>5330.13</x:v>
      </x:c>
      <x:c r="E464" s="13" t="n">
        <x:v>0</x:v>
      </x:c>
      <x:c r="F464" s="13" t="n">
        <x:f>D464-E464</x:f>
        <x:v>5330.13</x:v>
      </x:c>
      <x:c r="G464" s="14" t="n">
        <x:v>8</x:v>
      </x:c>
      <x:c r="H464" s="14" t="n">
        <x:v>0</x:v>
      </x:c>
      <x:c r="I464" s="14" t="n">
        <x:v>5</x:v>
      </x:c>
      <x:c r="J464" s="14" t="n">
        <x:v>1</x:v>
      </x:c>
      <x:c r="K464" s="14" t="n">
        <x:v>3273</x:v>
      </x:c>
      <x:c r="L464" s="14" t="n">
        <x:v>0</x:v>
      </x:c>
      <x:c r="M464" s="13" t="n">
        <x:v>5022.92</x:v>
      </x:c>
      <x:c r="N464" s="3" t="n">
        <x:v>436</x:v>
      </x:c>
      <x:c r="O464" s="13" t="n">
        <x:f>IF(G464=0,"n.a.",D464/G464)</x:f>
        <x:v>666.26625</x:v>
      </x:c>
      <x:c r="P464" s="15" t="n">
        <x:f>IF(D464=0,"n.a.",E464/D464)</x:f>
        <x:v>0</x:v>
      </x:c>
    </x:row>
    <x:row r="465" ht="22" customHeight="1">
      <x:c r="A465" s="3"/>
      <x:c r="B465" s="3" t="str">
        <x:v>2011-10</x:v>
      </x:c>
      <x:c r="C465" s="3" t="str">
        <x:v>RSA</x:v>
      </x:c>
      <x:c r="D465" s="13" t="n">
        <x:v>1002.31</x:v>
      </x:c>
      <x:c r="E465" s="13" t="n">
        <x:v>0</x:v>
      </x:c>
      <x:c r="F465" s="13" t="n">
        <x:f>D465-E465</x:f>
        <x:v>1002.31</x:v>
      </x:c>
      <x:c r="G465" s="14" t="n">
        <x:v>1</x:v>
      </x:c>
      <x:c r="H465" s="14" t="n">
        <x:v>0</x:v>
      </x:c>
      <x:c r="I465" s="14" t="n">
        <x:v>1</x:v>
      </x:c>
      <x:c r="J465" s="14" t="n">
        <x:v>0</x:v>
      </x:c>
      <x:c r="K465" s="14" t="n">
        <x:v>351</x:v>
      </x:c>
      <x:c r="L465" s="14" t="n">
        <x:v>0</x:v>
      </x:c>
      <x:c r="M465" s="13" t="n">
        <x:v>1002.31</x:v>
      </x:c>
      <x:c r="N465" s="3" t="n">
        <x:v>57</x:v>
      </x:c>
      <x:c r="O465" s="13" t="n">
        <x:f>IF(G465=0,"n.a.",D465/G465)</x:f>
        <x:v>1002.31</x:v>
      </x:c>
      <x:c r="P465" s="15" t="n">
        <x:f>IF(D465=0,"n.a.",E465/D465)</x:f>
        <x:v>0</x:v>
      </x:c>
    </x:row>
    <x:row r="466" ht="22" customHeight="1">
      <x:c r="A466" s="3"/>
      <x:c r="B466" s="3" t="str">
        <x:v>2011-10</x:v>
      </x:c>
      <x:c r="C466" s="3" t="str">
        <x:v>Saudi Arabia</x:v>
      </x:c>
      <x:c r="D466" s="13" t="n">
        <x:v>0</x:v>
      </x:c>
      <x:c r="E466" s="13" t="n">
        <x:v>0</x:v>
      </x:c>
      <x:c r="F466" s="13" t="n">
        <x:f>D466-E466</x:f>
        <x:v>0</x:v>
      </x:c>
      <x:c r="G466" s="14" t="n">
        <x:v>0</x:v>
      </x:c>
      <x:c r="H466" s="14" t="n">
        <x:v>0</x:v>
      </x:c>
      <x:c r="I466" s="14" t="n">
        <x:v>0</x:v>
      </x:c>
      <x:c r="J466" s="14" t="n">
        <x:v>0</x:v>
      </x:c>
      <x:c r="K466" s="14" t="n">
        <x:v>0</x:v>
      </x:c>
      <x:c r="L466" s="14" t="n">
        <x:v>0</x:v>
      </x:c>
      <x:c r="M466" s="13" t="n">
        <x:v>0</x:v>
      </x:c>
      <x:c r="N466" s="3" t="n">
        <x:v>0</x:v>
      </x:c>
      <x:c r="O466" s="13" t="str">
        <x:f>IF(G466=0,"n.a.",D466/G466)</x:f>
        <x:v>n.a.</x:v>
      </x:c>
      <x:c r="P466" s="15" t="str">
        <x:f>IF(D466=0,"n.a.",E466/D466)</x:f>
        <x:v>n.a.</x:v>
      </x:c>
    </x:row>
    <x:row r="467" ht="22" customHeight="1">
      <x:c r="A467" s="3"/>
      <x:c r="B467" s="3" t="str">
        <x:v>2011-10</x:v>
      </x:c>
      <x:c r="C467" s="3" t="str">
        <x:v>Singapore</x:v>
      </x:c>
      <x:c r="D467" s="13" t="n">
        <x:v>999.26</x:v>
      </x:c>
      <x:c r="E467" s="13" t="n">
        <x:v>0</x:v>
      </x:c>
      <x:c r="F467" s="13" t="n">
        <x:f>D467-E467</x:f>
        <x:v>999.26</x:v>
      </x:c>
      <x:c r="G467" s="14" t="n">
        <x:v>1</x:v>
      </x:c>
      <x:c r="H467" s="14" t="n">
        <x:v>0</x:v>
      </x:c>
      <x:c r="I467" s="14" t="n">
        <x:v>1</x:v>
      </x:c>
      <x:c r="J467" s="14" t="n">
        <x:v>0</x:v>
      </x:c>
      <x:c r="K467" s="14" t="n">
        <x:v>599</x:v>
      </x:c>
      <x:c r="L467" s="14" t="n">
        <x:v>0</x:v>
      </x:c>
      <x:c r="M467" s="13" t="n">
        <x:v>999.26</x:v>
      </x:c>
      <x:c r="N467" s="3" t="n">
        <x:v>32</x:v>
      </x:c>
      <x:c r="O467" s="13" t="n">
        <x:f>IF(G467=0,"n.a.",D467/G467)</x:f>
        <x:v>999.26</x:v>
      </x:c>
      <x:c r="P467" s="15" t="n">
        <x:f>IF(D467=0,"n.a.",E467/D467)</x:f>
        <x:v>0</x:v>
      </x:c>
    </x:row>
    <x:row r="468" ht="22" customHeight="1">
      <x:c r="A468" s="3"/>
      <x:c r="B468" s="3" t="str">
        <x:v>2011-10</x:v>
      </x:c>
      <x:c r="C468" s="3" t="str">
        <x:v>Spain</x:v>
      </x:c>
      <x:c r="D468" s="13" t="n">
        <x:v>7964.94</x:v>
      </x:c>
      <x:c r="E468" s="13" t="n">
        <x:v>3558.29</x:v>
      </x:c>
      <x:c r="F468" s="13" t="n">
        <x:f>D468-E468</x:f>
        <x:v>4406.65</x:v>
      </x:c>
      <x:c r="G468" s="14" t="n">
        <x:v>8</x:v>
      </x:c>
      <x:c r="H468" s="14" t="n">
        <x:v>3</x:v>
      </x:c>
      <x:c r="I468" s="14" t="n">
        <x:v>7</x:v>
      </x:c>
      <x:c r="J468" s="14" t="n">
        <x:v>1</x:v>
      </x:c>
      <x:c r="K468" s="14" t="n">
        <x:v>4328</x:v>
      </x:c>
      <x:c r="L468" s="14" t="n">
        <x:v>1023</x:v>
      </x:c>
      <x:c r="M468" s="13" t="n">
        <x:v>7964.94</x:v>
      </x:c>
      <x:c r="N468" s="3" t="n">
        <x:v>317</x:v>
      </x:c>
      <x:c r="O468" s="13" t="n">
        <x:f>IF(G468=0,"n.a.",D468/G468)</x:f>
        <x:v>995.6175</x:v>
      </x:c>
      <x:c r="P468" s="15" t="n">
        <x:f>IF(D468=0,"n.a.",E468/D468)</x:f>
        <x:v>0.4467441060447411</x:v>
      </x:c>
    </x:row>
    <x:row r="469" ht="22" customHeight="1">
      <x:c r="A469" s="3"/>
      <x:c r="B469" s="3" t="str">
        <x:v>2011-10</x:v>
      </x:c>
      <x:c r="C469" s="3" t="str">
        <x:v>Sweden</x:v>
      </x:c>
      <x:c r="D469" s="13" t="n">
        <x:v>5671.16</x:v>
      </x:c>
      <x:c r="E469" s="13" t="n">
        <x:v>0</x:v>
      </x:c>
      <x:c r="F469" s="13" t="n">
        <x:f>D469-E469</x:f>
        <x:v>5671.16</x:v>
      </x:c>
      <x:c r="G469" s="14" t="n">
        <x:v>2</x:v>
      </x:c>
      <x:c r="H469" s="14" t="n">
        <x:v>0</x:v>
      </x:c>
      <x:c r="I469" s="14" t="n">
        <x:v>2</x:v>
      </x:c>
      <x:c r="J469" s="14" t="n">
        <x:v>0</x:v>
      </x:c>
      <x:c r="K469" s="14" t="n">
        <x:v>6148</x:v>
      </x:c>
      <x:c r="L469" s="14" t="n">
        <x:v>0</x:v>
      </x:c>
      <x:c r="M469" s="13" t="n">
        <x:v>5671.16</x:v>
      </x:c>
      <x:c r="N469" s="3" t="n">
        <x:v>45</x:v>
      </x:c>
      <x:c r="O469" s="13" t="n">
        <x:f>IF(G469=0,"n.a.",D469/G469)</x:f>
        <x:v>2835.58</x:v>
      </x:c>
      <x:c r="P469" s="15" t="n">
        <x:f>IF(D469=0,"n.a.",E469/D469)</x:f>
        <x:v>0</x:v>
      </x:c>
    </x:row>
    <x:row r="470" ht="22" customHeight="1">
      <x:c r="A470" s="3"/>
      <x:c r="B470" s="3" t="str">
        <x:v>2011-10</x:v>
      </x:c>
      <x:c r="C470" s="3" t="str">
        <x:v>Switzerland</x:v>
      </x:c>
      <x:c r="D470" s="13" t="n">
        <x:v>7265.18</x:v>
      </x:c>
      <x:c r="E470" s="13" t="n">
        <x:v>31.2</x:v>
      </x:c>
      <x:c r="F470" s="13" t="n">
        <x:f>D470-E470</x:f>
        <x:v>7233.9800000000005</x:v>
      </x:c>
      <x:c r="G470" s="14" t="n">
        <x:v>7</x:v>
      </x:c>
      <x:c r="H470" s="14" t="n">
        <x:v>2</x:v>
      </x:c>
      <x:c r="I470" s="14" t="n">
        <x:v>5</x:v>
      </x:c>
      <x:c r="J470" s="14" t="n">
        <x:v>0</x:v>
      </x:c>
      <x:c r="K470" s="14" t="n">
        <x:v>4846</x:v>
      </x:c>
      <x:c r="L470" s="14" t="n">
        <x:v>10</x:v>
      </x:c>
      <x:c r="M470" s="13" t="n">
        <x:v>6855.19</x:v>
      </x:c>
      <x:c r="N470" s="3" t="n">
        <x:v>381</x:v>
      </x:c>
      <x:c r="O470" s="13" t="n">
        <x:f>IF(G470=0,"n.a.",D470/G470)</x:f>
        <x:v>1037.8828571428571</x:v>
      </x:c>
      <x:c r="P470" s="15" t="n">
        <x:f>IF(D470=0,"n.a.",E470/D470)</x:f>
        <x:v>0.004294456572307912</x:v>
      </x:c>
    </x:row>
    <x:row r="471" ht="22" customHeight="1">
      <x:c r="A471" s="3"/>
      <x:c r="B471" s="3" t="str">
        <x:v>2011-10</x:v>
      </x:c>
      <x:c r="C471" s="3" t="str">
        <x:v>USA</x:v>
      </x:c>
      <x:c r="D471" s="13" t="n">
        <x:v>2311.2</x:v>
      </x:c>
      <x:c r="E471" s="13" t="n">
        <x:v>1579.51</x:v>
      </x:c>
      <x:c r="F471" s="13" t="n">
        <x:f>D471-E471</x:f>
        <x:v>731.6899999999998</x:v>
      </x:c>
      <x:c r="G471" s="14" t="n">
        <x:v>2</x:v>
      </x:c>
      <x:c r="H471" s="14" t="n">
        <x:v>1</x:v>
      </x:c>
      <x:c r="I471" s="14" t="n">
        <x:v>2</x:v>
      </x:c>
      <x:c r="J471" s="14" t="n">
        <x:v>0</x:v>
      </x:c>
      <x:c r="K471" s="14" t="n">
        <x:v>1717</x:v>
      </x:c>
      <x:c r="L471" s="14" t="n">
        <x:v>1228</x:v>
      </x:c>
      <x:c r="M471" s="13" t="n">
        <x:v>2311.2</x:v>
      </x:c>
      <x:c r="N471" s="3" t="n">
        <x:v>226</x:v>
      </x:c>
      <x:c r="O471" s="13" t="n">
        <x:f>IF(G471=0,"n.a.",D471/G471)</x:f>
        <x:v>1155.6</x:v>
      </x:c>
      <x:c r="P471" s="15" t="n">
        <x:f>IF(D471=0,"n.a.",E471/D471)</x:f>
        <x:v>0.6834155417099342</x:v>
      </x:c>
    </x:row>
    <x:row r="472" ht="22" customHeight="1">
      <x:c r="A472" s="3"/>
      <x:c r="B472" s="3" t="str">
        <x:v>2011-10</x:v>
      </x:c>
      <x:c r="C472" s="3" t="str">
        <x:v>United Arab Emirates</x:v>
      </x:c>
      <x:c r="D472" s="13" t="n">
        <x:v>0</x:v>
      </x:c>
      <x:c r="E472" s="13" t="n">
        <x:v>0</x:v>
      </x:c>
      <x:c r="F472" s="13" t="n">
        <x:f>D472-E472</x:f>
        <x:v>0</x:v>
      </x:c>
      <x:c r="G472" s="14" t="n">
        <x:v>0</x:v>
      </x:c>
      <x:c r="H472" s="14" t="n">
        <x:v>0</x:v>
      </x:c>
      <x:c r="I472" s="14" t="n">
        <x:v>0</x:v>
      </x:c>
      <x:c r="J472" s="14" t="n">
        <x:v>0</x:v>
      </x:c>
      <x:c r="K472" s="14" t="n">
        <x:v>0</x:v>
      </x:c>
      <x:c r="L472" s="14" t="n">
        <x:v>0</x:v>
      </x:c>
      <x:c r="M472" s="13" t="n">
        <x:v>0</x:v>
      </x:c>
      <x:c r="N472" s="3" t="n">
        <x:v>0</x:v>
      </x:c>
      <x:c r="O472" s="13" t="str">
        <x:f>IF(G472=0,"n.a.",D472/G472)</x:f>
        <x:v>n.a.</x:v>
      </x:c>
      <x:c r="P472" s="15" t="str">
        <x:f>IF(D472=0,"n.a.",E472/D472)</x:f>
        <x:v>n.a.</x:v>
      </x:c>
    </x:row>
    <x:row r="473" ht="22" customHeight="1">
      <x:c r="A473" s="3"/>
      <x:c r="B473" s="3" t="str">
        <x:v>2011-10</x:v>
      </x:c>
      <x:c r="C473" s="3" t="str">
        <x:v>United Kingdom</x:v>
      </x:c>
      <x:c r="D473" s="13" t="n">
        <x:v>914678.25</x:v>
      </x:c>
      <x:c r="E473" s="13" t="n">
        <x:v>36920.07</x:v>
      </x:c>
      <x:c r="F473" s="13" t="n">
        <x:f>D473-E473</x:f>
        <x:v>877758.18</x:v>
      </x:c>
      <x:c r="G473" s="14" t="n">
        <x:v>1789</x:v>
      </x:c>
      <x:c r="H473" s="14" t="n">
        <x:v>268</x:v>
      </x:c>
      <x:c r="I473" s="14" t="n">
        <x:v>1228</x:v>
      </x:c>
      <x:c r="J473" s="14" t="n">
        <x:v>280</x:v>
      </x:c>
      <x:c r="K473" s="14" t="n">
        <x:v>504313</x:v>
      </x:c>
      <x:c r="L473" s="14" t="n">
        <x:v>21008</x:v>
      </x:c>
      <x:c r="M473" s="13" t="n">
        <x:v>815103.05</x:v>
      </x:c>
      <x:c r="N473" s="3" t="n">
        <x:v>54116</x:v>
      </x:c>
      <x:c r="O473" s="13" t="n">
        <x:f>IF(G473=0,"n.a.",D473/G473)</x:f>
        <x:v>511.2790665176076</x:v>
      </x:c>
      <x:c r="P473" s="15" t="n">
        <x:f>IF(D473=0,"n.a.",E473/D473)</x:f>
        <x:v>0.04036399684807199</x:v>
      </x:c>
    </x:row>
    <x:row r="474" ht="22" customHeight="1">
      <x:c r="A474" s="3"/>
      <x:c r="B474" s="3" t="str">
        <x:v>2011-10</x:v>
      </x:c>
      <x:c r="C474" s="3" t="str">
        <x:v>Unspecified</x:v>
      </x:c>
      <x:c r="D474" s="13" t="n">
        <x:v>0</x:v>
      </x:c>
      <x:c r="E474" s="13" t="n">
        <x:v>0</x:v>
      </x:c>
      <x:c r="F474" s="13" t="n">
        <x:f>D474-E474</x:f>
        <x:v>0</x:v>
      </x:c>
      <x:c r="G474" s="14" t="n">
        <x:v>0</x:v>
      </x:c>
      <x:c r="H474" s="14" t="n">
        <x:v>0</x:v>
      </x:c>
      <x:c r="I474" s="14" t="n">
        <x:v>0</x:v>
      </x:c>
      <x:c r="J474" s="14" t="n">
        <x:v>0</x:v>
      </x:c>
      <x:c r="K474" s="14" t="n">
        <x:v>0</x:v>
      </x:c>
      <x:c r="L474" s="14" t="n">
        <x:v>0</x:v>
      </x:c>
      <x:c r="M474" s="13" t="n">
        <x:v>0</x:v>
      </x:c>
      <x:c r="N474" s="3" t="n">
        <x:v>0</x:v>
      </x:c>
      <x:c r="O474" s="13" t="str">
        <x:f>IF(G474=0,"n.a.",D474/G474)</x:f>
        <x:v>n.a.</x:v>
      </x:c>
      <x:c r="P474" s="15" t="str">
        <x:f>IF(D474=0,"n.a.",E474/D474)</x:f>
        <x:v>n.a.</x:v>
      </x:c>
    </x:row>
    <x:row r="475" ht="22" customHeight="1">
      <x:c r="A475" s="3"/>
      <x:c r="B475" s="3" t="str">
        <x:v>2011-11</x:v>
      </x:c>
      <x:c r="C475" s="3" t="str">
        <x:v>Todos</x:v>
      </x:c>
      <x:c r="D475" s="13" t="n">
        <x:v>1457745.53</x:v>
      </x:c>
      <x:c r="E475" s="13" t="n">
        <x:v>25010.54</x:v>
      </x:c>
      <x:c r="F475" s="13" t="n">
        <x:f>D475-E475</x:f>
        <x:v>1432734.99</x:v>
      </x:c>
      <x:c r="G475" s="14" t="n">
        <x:v>2751</x:v>
      </x:c>
      <x:c r="H475" s="14" t="n">
        <x:v>396</x:v>
      </x:c>
      <x:c r="I475" s="14" t="n">
        <x:v>1660</x:v>
      </x:c>
      <x:c r="J475" s="14" t="n">
        <x:v>534</x:v>
      </x:c>
      <x:c r="K475" s="14" t="n">
        <x:v>750082</x:v>
      </x:c>
      <x:c r="L475" s="14" t="n">
        <x:v>12332</x:v>
      </x:c>
      <x:c r="M475" s="13" t="n">
        <x:v>1142145.77</x:v>
      </x:c>
      <x:c r="N475" s="3" t="n">
        <x:v>84108</x:v>
      </x:c>
      <x:c r="O475" s="13" t="n">
        <x:f>IF(G475=0,"n.a.",D475/G475)</x:f>
        <x:v>529.8965939658306</x:v>
      </x:c>
      <x:c r="P475" s="15" t="n">
        <x:f>IF(D475=0,"n.a.",E475/D475)</x:f>
        <x:v>0.017156999960068475</x:v>
      </x:c>
    </x:row>
    <x:row r="476" ht="22" customHeight="1">
      <x:c r="A476" s="3"/>
      <x:c r="B476" s="3" t="str">
        <x:v>2011-11</x:v>
      </x:c>
      <x:c r="C476" s="3" t="str">
        <x:v>Australia</x:v>
      </x:c>
      <x:c r="D476" s="13" t="n">
        <x:v>7242.72</x:v>
      </x:c>
      <x:c r="E476" s="13" t="n">
        <x:v>174</x:v>
      </x:c>
      <x:c r="F476" s="13" t="n">
        <x:f>D476-E476</x:f>
        <x:v>7068.72</x:v>
      </x:c>
      <x:c r="G476" s="14" t="n">
        <x:v>6</x:v>
      </x:c>
      <x:c r="H476" s="14" t="n">
        <x:v>1</x:v>
      </x:c>
      <x:c r="I476" s="14" t="n">
        <x:v>3</x:v>
      </x:c>
      <x:c r="J476" s="14" t="n">
        <x:v>1</x:v>
      </x:c>
      <x:c r="K476" s="14" t="n">
        <x:v>4098</x:v>
      </x:c>
      <x:c r="L476" s="14" t="n">
        <x:v>120</x:v>
      </x:c>
      <x:c r="M476" s="13" t="n">
        <x:v>7242.72</x:v>
      </x:c>
      <x:c r="N476" s="3" t="n">
        <x:v>42</x:v>
      </x:c>
      <x:c r="O476" s="13" t="n">
        <x:f>IF(G476=0,"n.a.",D476/G476)</x:f>
        <x:v>1207.1200000000001</x:v>
      </x:c>
      <x:c r="P476" s="15" t="n">
        <x:f>IF(D476=0,"n.a.",E476/D476)</x:f>
        <x:v>0.024024123533700044</x:v>
      </x:c>
    </x:row>
    <x:row r="477" ht="22" customHeight="1">
      <x:c r="A477" s="3"/>
      <x:c r="B477" s="3" t="str">
        <x:v>2011-11</x:v>
      </x:c>
      <x:c r="C477" s="3" t="str">
        <x:v>Austria</x:v>
      </x:c>
      <x:c r="D477" s="13" t="n">
        <x:v>1209.78</x:v>
      </x:c>
      <x:c r="E477" s="13" t="n">
        <x:v>0</x:v>
      </x:c>
      <x:c r="F477" s="13" t="n">
        <x:f>D477-E477</x:f>
        <x:v>1209.78</x:v>
      </x:c>
      <x:c r="G477" s="14" t="n">
        <x:v>2</x:v>
      </x:c>
      <x:c r="H477" s="14" t="n">
        <x:v>0</x:v>
      </x:c>
      <x:c r="I477" s="14" t="n">
        <x:v>2</x:v>
      </x:c>
      <x:c r="J477" s="14" t="n">
        <x:v>0</x:v>
      </x:c>
      <x:c r="K477" s="14" t="n">
        <x:v>714</x:v>
      </x:c>
      <x:c r="L477" s="14" t="n">
        <x:v>0</x:v>
      </x:c>
      <x:c r="M477" s="13" t="n">
        <x:v>1209.78</x:v>
      </x:c>
      <x:c r="N477" s="3" t="n">
        <x:v>69</x:v>
      </x:c>
      <x:c r="O477" s="13" t="n">
        <x:f>IF(G477=0,"n.a.",D477/G477)</x:f>
        <x:v>604.89</x:v>
      </x:c>
      <x:c r="P477" s="15" t="n">
        <x:f>IF(D477=0,"n.a.",E477/D477)</x:f>
        <x:v>0</x:v>
      </x:c>
    </x:row>
    <x:row r="478" ht="22" customHeight="1">
      <x:c r="A478" s="3"/>
      <x:c r="B478" s="3" t="str">
        <x:v>2011-11</x:v>
      </x:c>
      <x:c r="C478" s="3" t="str">
        <x:v>Bahrain</x:v>
      </x:c>
      <x:c r="D478" s="13" t="n">
        <x:v>0</x:v>
      </x:c>
      <x:c r="E478" s="13" t="n">
        <x:v>0</x:v>
      </x:c>
      <x:c r="F478" s="13" t="n">
        <x:f>D478-E478</x:f>
        <x:v>0</x:v>
      </x:c>
      <x:c r="G478" s="14" t="n">
        <x:v>0</x:v>
      </x:c>
      <x:c r="H478" s="14" t="n">
        <x:v>0</x:v>
      </x:c>
      <x:c r="I478" s="14" t="n">
        <x:v>0</x:v>
      </x:c>
      <x:c r="J478" s="14" t="n">
        <x:v>0</x:v>
      </x:c>
      <x:c r="K478" s="14" t="n">
        <x:v>0</x:v>
      </x:c>
      <x:c r="L478" s="14" t="n">
        <x:v>0</x:v>
      </x:c>
      <x:c r="M478" s="13" t="n">
        <x:v>0</x:v>
      </x:c>
      <x:c r="N478" s="3" t="n">
        <x:v>0</x:v>
      </x:c>
      <x:c r="O478" s="13" t="str">
        <x:f>IF(G478=0,"n.a.",D478/G478)</x:f>
        <x:v>n.a.</x:v>
      </x:c>
      <x:c r="P478" s="15" t="str">
        <x:f>IF(D478=0,"n.a.",E478/D478)</x:f>
        <x:v>n.a.</x:v>
      </x:c>
    </x:row>
    <x:row r="479" ht="22" customHeight="1">
      <x:c r="A479" s="3"/>
      <x:c r="B479" s="3" t="str">
        <x:v>2011-11</x:v>
      </x:c>
      <x:c r="C479" s="3" t="str">
        <x:v>Belgium</x:v>
      </x:c>
      <x:c r="D479" s="13" t="n">
        <x:v>5619.76</x:v>
      </x:c>
      <x:c r="E479" s="13" t="n">
        <x:v>71.35</x:v>
      </x:c>
      <x:c r="F479" s="13" t="n">
        <x:f>D479-E479</x:f>
        <x:v>5548.41</x:v>
      </x:c>
      <x:c r="G479" s="14" t="n">
        <x:v>11</x:v>
      </x:c>
      <x:c r="H479" s="14" t="n">
        <x:v>3</x:v>
      </x:c>
      <x:c r="I479" s="14" t="n">
        <x:v>8</x:v>
      </x:c>
      <x:c r="J479" s="14" t="n">
        <x:v>2</x:v>
      </x:c>
      <x:c r="K479" s="14" t="n">
        <x:v>2517</x:v>
      </x:c>
      <x:c r="L479" s="14" t="n">
        <x:v>9</x:v>
      </x:c>
      <x:c r="M479" s="13" t="n">
        <x:v>5619.76</x:v>
      </x:c>
      <x:c r="N479" s="3" t="n">
        <x:v>237</x:v>
      </x:c>
      <x:c r="O479" s="13" t="n">
        <x:f>IF(G479=0,"n.a.",D479/G479)</x:f>
        <x:v>510.8872727272728</x:v>
      </x:c>
      <x:c r="P479" s="15" t="n">
        <x:f>IF(D479=0,"n.a.",E479/D479)</x:f>
        <x:v>0.012696271726906485</x:v>
      </x:c>
    </x:row>
    <x:row r="480" ht="22" customHeight="1">
      <x:c r="A480" s="3"/>
      <x:c r="B480" s="3" t="str">
        <x:v>2011-11</x:v>
      </x:c>
      <x:c r="C480" s="3" t="str">
        <x:v>Brazil</x:v>
      </x:c>
      <x:c r="D480" s="13" t="n">
        <x:v>0</x:v>
      </x:c>
      <x:c r="E480" s="13" t="n">
        <x:v>0</x:v>
      </x:c>
      <x:c r="F480" s="13" t="n">
        <x:f>D480-E480</x:f>
        <x:v>0</x:v>
      </x:c>
      <x:c r="G480" s="14" t="n">
        <x:v>0</x:v>
      </x:c>
      <x:c r="H480" s="14" t="n">
        <x:v>0</x:v>
      </x:c>
      <x:c r="I480" s="14" t="n">
        <x:v>0</x:v>
      </x:c>
      <x:c r="J480" s="14" t="n">
        <x:v>0</x:v>
      </x:c>
      <x:c r="K480" s="14" t="n">
        <x:v>0</x:v>
      </x:c>
      <x:c r="L480" s="14" t="n">
        <x:v>0</x:v>
      </x:c>
      <x:c r="M480" s="13" t="n">
        <x:v>0</x:v>
      </x:c>
      <x:c r="N480" s="3" t="n">
        <x:v>0</x:v>
      </x:c>
      <x:c r="O480" s="13" t="str">
        <x:f>IF(G480=0,"n.a.",D480/G480)</x:f>
        <x:v>n.a.</x:v>
      </x:c>
      <x:c r="P480" s="15" t="str">
        <x:f>IF(D480=0,"n.a.",E480/D480)</x:f>
        <x:v>n.a.</x:v>
      </x:c>
    </x:row>
    <x:row r="481" ht="22" customHeight="1">
      <x:c r="A481" s="3"/>
      <x:c r="B481" s="3" t="str">
        <x:v>2011-11</x:v>
      </x:c>
      <x:c r="C481" s="3" t="str">
        <x:v>Canada</x:v>
      </x:c>
      <x:c r="D481" s="13" t="n">
        <x:v>0</x:v>
      </x:c>
      <x:c r="E481" s="13" t="n">
        <x:v>0</x:v>
      </x:c>
      <x:c r="F481" s="13" t="n">
        <x:f>D481-E481</x:f>
        <x:v>0</x:v>
      </x:c>
      <x:c r="G481" s="14" t="n">
        <x:v>0</x:v>
      </x:c>
      <x:c r="H481" s="14" t="n">
        <x:v>0</x:v>
      </x:c>
      <x:c r="I481" s="14" t="n">
        <x:v>0</x:v>
      </x:c>
      <x:c r="J481" s="14" t="n">
        <x:v>0</x:v>
      </x:c>
      <x:c r="K481" s="14" t="n">
        <x:v>0</x:v>
      </x:c>
      <x:c r="L481" s="14" t="n">
        <x:v>0</x:v>
      </x:c>
      <x:c r="M481" s="13" t="n">
        <x:v>0</x:v>
      </x:c>
      <x:c r="N481" s="3" t="n">
        <x:v>0</x:v>
      </x:c>
      <x:c r="O481" s="13" t="str">
        <x:f>IF(G481=0,"n.a.",D481/G481)</x:f>
        <x:v>n.a.</x:v>
      </x:c>
      <x:c r="P481" s="15" t="str">
        <x:f>IF(D481=0,"n.a.",E481/D481)</x:f>
        <x:v>n.a.</x:v>
      </x:c>
    </x:row>
    <x:row r="482" ht="22" customHeight="1">
      <x:c r="A482" s="3"/>
      <x:c r="B482" s="3" t="str">
        <x:v>2011-11</x:v>
      </x:c>
      <x:c r="C482" s="3" t="str">
        <x:v>Channel Islands</x:v>
      </x:c>
      <x:c r="D482" s="13" t="n">
        <x:v>1464.77</x:v>
      </x:c>
      <x:c r="E482" s="13" t="n">
        <x:v>19.6</x:v>
      </x:c>
      <x:c r="F482" s="13" t="n">
        <x:f>D482-E482</x:f>
        <x:v>1445.17</x:v>
      </x:c>
      <x:c r="G482" s="14" t="n">
        <x:v>3</x:v>
      </x:c>
      <x:c r="H482" s="14" t="n">
        <x:v>1</x:v>
      </x:c>
      <x:c r="I482" s="14" t="n">
        <x:v>2</x:v>
      </x:c>
      <x:c r="J482" s="14" t="n">
        <x:v>1</x:v>
      </x:c>
      <x:c r="K482" s="14" t="n">
        <x:v>715</x:v>
      </x:c>
      <x:c r="L482" s="14" t="n">
        <x:v>2</x:v>
      </x:c>
      <x:c r="M482" s="13" t="n">
        <x:v>1464.77</x:v>
      </x:c>
      <x:c r="N482" s="3" t="n">
        <x:v>74</x:v>
      </x:c>
      <x:c r="O482" s="13" t="n">
        <x:f>IF(G482=0,"n.a.",D482/G482)</x:f>
        <x:v>488.25666666666666</x:v>
      </x:c>
      <x:c r="P482" s="15" t="n">
        <x:f>IF(D482=0,"n.a.",E482/D482)</x:f>
        <x:v>0.013380940352410277</x:v>
      </x:c>
    </x:row>
    <x:row r="483" ht="22" customHeight="1">
      <x:c r="A483" s="3"/>
      <x:c r="B483" s="3" t="str">
        <x:v>2011-11</x:v>
      </x:c>
      <x:c r="C483" s="3" t="str">
        <x:v>Cyprus</x:v>
      </x:c>
      <x:c r="D483" s="13" t="n">
        <x:v>460.89</x:v>
      </x:c>
      <x:c r="E483" s="13" t="n">
        <x:v>0</x:v>
      </x:c>
      <x:c r="F483" s="13" t="n">
        <x:f>D483-E483</x:f>
        <x:v>460.89</x:v>
      </x:c>
      <x:c r="G483" s="14" t="n">
        <x:v>1</x:v>
      </x:c>
      <x:c r="H483" s="14" t="n">
        <x:v>0</x:v>
      </x:c>
      <x:c r="I483" s="14" t="n">
        <x:v>1</x:v>
      </x:c>
      <x:c r="J483" s="14" t="n">
        <x:v>0</x:v>
      </x:c>
      <x:c r="K483" s="14" t="n">
        <x:v>300</x:v>
      </x:c>
      <x:c r="L483" s="14" t="n">
        <x:v>0</x:v>
      </x:c>
      <x:c r="M483" s="13" t="n">
        <x:v>460.89</x:v>
      </x:c>
      <x:c r="N483" s="3" t="n">
        <x:v>100</x:v>
      </x:c>
      <x:c r="O483" s="13" t="n">
        <x:f>IF(G483=0,"n.a.",D483/G483)</x:f>
        <x:v>460.89</x:v>
      </x:c>
      <x:c r="P483" s="15" t="n">
        <x:f>IF(D483=0,"n.a.",E483/D483)</x:f>
        <x:v>0</x:v>
      </x:c>
    </x:row>
    <x:row r="484" ht="22" customHeight="1">
      <x:c r="A484" s="3"/>
      <x:c r="B484" s="3" t="str">
        <x:v>2011-11</x:v>
      </x:c>
      <x:c r="C484" s="3" t="str">
        <x:v>Czech Republic</x:v>
      </x:c>
      <x:c r="D484" s="13" t="n">
        <x:v>0</x:v>
      </x:c>
      <x:c r="E484" s="13" t="n">
        <x:v>57.51</x:v>
      </x:c>
      <x:c r="F484" s="13" t="n">
        <x:f>D484-E484</x:f>
        <x:v>-57.51</x:v>
      </x:c>
      <x:c r="G484" s="14" t="n">
        <x:v>0</x:v>
      </x:c>
      <x:c r="H484" s="14" t="n">
        <x:v>1</x:v>
      </x:c>
      <x:c r="I484" s="14" t="n">
        <x:v>0</x:v>
      </x:c>
      <x:c r="J484" s="14" t="n">
        <x:v>0</x:v>
      </x:c>
      <x:c r="K484" s="14" t="n">
        <x:v>0</x:v>
      </x:c>
      <x:c r="L484" s="14" t="n">
        <x:v>39</x:v>
      </x:c>
      <x:c r="M484" s="13" t="n">
        <x:v>0</x:v>
      </x:c>
      <x:c r="N484" s="3" t="n">
        <x:v>2</x:v>
      </x:c>
      <x:c r="O484" s="13" t="str">
        <x:f>IF(G484=0,"n.a.",D484/G484)</x:f>
        <x:v>n.a.</x:v>
      </x:c>
      <x:c r="P484" s="15" t="str">
        <x:f>IF(D484=0,"n.a.",E484/D484)</x:f>
        <x:v>n.a.</x:v>
      </x:c>
    </x:row>
    <x:row r="485" ht="22" customHeight="1">
      <x:c r="A485" s="3"/>
      <x:c r="B485" s="3" t="str">
        <x:v>2011-11</x:v>
      </x:c>
      <x:c r="C485" s="3" t="str">
        <x:v>Denmark</x:v>
      </x:c>
      <x:c r="D485" s="13" t="n">
        <x:v>2699.57</x:v>
      </x:c>
      <x:c r="E485" s="13" t="n">
        <x:v>0</x:v>
      </x:c>
      <x:c r="F485" s="13" t="n">
        <x:f>D485-E485</x:f>
        <x:v>2699.57</x:v>
      </x:c>
      <x:c r="G485" s="14" t="n">
        <x:v>2</x:v>
      </x:c>
      <x:c r="H485" s="14" t="n">
        <x:v>0</x:v>
      </x:c>
      <x:c r="I485" s="14" t="n">
        <x:v>2</x:v>
      </x:c>
      <x:c r="J485" s="14" t="n">
        <x:v>0</x:v>
      </x:c>
      <x:c r="K485" s="14" t="n">
        <x:v>1537</x:v>
      </x:c>
      <x:c r="L485" s="14" t="n">
        <x:v>0</x:v>
      </x:c>
      <x:c r="M485" s="13" t="n">
        <x:v>2699.57</x:v>
      </x:c>
      <x:c r="N485" s="3" t="n">
        <x:v>83</x:v>
      </x:c>
      <x:c r="O485" s="13" t="n">
        <x:f>IF(G485=0,"n.a.",D485/G485)</x:f>
        <x:v>1349.785</x:v>
      </x:c>
      <x:c r="P485" s="15" t="n">
        <x:f>IF(D485=0,"n.a.",E485/D485)</x:f>
        <x:v>0</x:v>
      </x:c>
    </x:row>
    <x:row r="486" ht="22" customHeight="1">
      <x:c r="A486" s="3"/>
      <x:c r="B486" s="3" t="str">
        <x:v>2011-11</x:v>
      </x:c>
      <x:c r="C486" s="3" t="str">
        <x:v>EIRE</x:v>
      </x:c>
      <x:c r="D486" s="13" t="n">
        <x:v>29838.43</x:v>
      </x:c>
      <x:c r="E486" s="13" t="n">
        <x:v>325.38</x:v>
      </x:c>
      <x:c r="F486" s="13" t="n">
        <x:f>D486-E486</x:f>
        <x:v>29513.05</x:v>
      </x:c>
      <x:c r="G486" s="14" t="n">
        <x:v>42</x:v>
      </x:c>
      <x:c r="H486" s="14" t="n">
        <x:v>11</x:v>
      </x:c>
      <x:c r="I486" s="14" t="n">
        <x:v>2</x:v>
      </x:c>
      <x:c r="J486" s="14" t="n">
        <x:v>2</x:v>
      </x:c>
      <x:c r="K486" s="14" t="n">
        <x:v>16639</x:v>
      </x:c>
      <x:c r="L486" s="14" t="n">
        <x:v>100</x:v>
      </x:c>
      <x:c r="M486" s="13" t="n">
        <x:v>28623.41</x:v>
      </x:c>
      <x:c r="N486" s="3" t="n">
        <x:v>1080</x:v>
      </x:c>
      <x:c r="O486" s="13" t="n">
        <x:f>IF(G486=0,"n.a.",D486/G486)</x:f>
        <x:v>710.4388095238095</x:v>
      </x:c>
      <x:c r="P486" s="15" t="n">
        <x:f>IF(D486=0,"n.a.",E486/D486)</x:f>
        <x:v>0.01090472923675944</x:v>
      </x:c>
    </x:row>
    <x:row r="487" ht="22" customHeight="1">
      <x:c r="A487" s="3"/>
      <x:c r="B487" s="3" t="str">
        <x:v>2011-11</x:v>
      </x:c>
      <x:c r="C487" s="3" t="str">
        <x:v>European Community</x:v>
      </x:c>
      <x:c r="D487" s="13" t="n">
        <x:v>0</x:v>
      </x:c>
      <x:c r="E487" s="13" t="n">
        <x:v>0</x:v>
      </x:c>
      <x:c r="F487" s="13" t="n">
        <x:f>D487-E487</x:f>
        <x:v>0</x:v>
      </x:c>
      <x:c r="G487" s="14" t="n">
        <x:v>0</x:v>
      </x:c>
      <x:c r="H487" s="14" t="n">
        <x:v>0</x:v>
      </x:c>
      <x:c r="I487" s="14" t="n">
        <x:v>0</x:v>
      </x:c>
      <x:c r="J487" s="14" t="n">
        <x:v>0</x:v>
      </x:c>
      <x:c r="K487" s="14" t="n">
        <x:v>0</x:v>
      </x:c>
      <x:c r="L487" s="14" t="n">
        <x:v>0</x:v>
      </x:c>
      <x:c r="M487" s="13" t="n">
        <x:v>0</x:v>
      </x:c>
      <x:c r="N487" s="3" t="n">
        <x:v>0</x:v>
      </x:c>
      <x:c r="O487" s="13" t="str">
        <x:f>IF(G487=0,"n.a.",D487/G487)</x:f>
        <x:v>n.a.</x:v>
      </x:c>
      <x:c r="P487" s="15" t="str">
        <x:f>IF(D487=0,"n.a.",E487/D487)</x:f>
        <x:v>n.a.</x:v>
      </x:c>
    </x:row>
    <x:row r="488" ht="22" customHeight="1">
      <x:c r="A488" s="3"/>
      <x:c r="B488" s="3" t="str">
        <x:v>2011-11</x:v>
      </x:c>
      <x:c r="C488" s="3" t="str">
        <x:v>Finland</x:v>
      </x:c>
      <x:c r="D488" s="13" t="n">
        <x:v>2456.24</x:v>
      </x:c>
      <x:c r="E488" s="13" t="n">
        <x:v>0</x:v>
      </x:c>
      <x:c r="F488" s="13" t="n">
        <x:f>D488-E488</x:f>
        <x:v>2456.24</x:v>
      </x:c>
      <x:c r="G488" s="14" t="n">
        <x:v>8</x:v>
      </x:c>
      <x:c r="H488" s="14" t="n">
        <x:v>0</x:v>
      </x:c>
      <x:c r="I488" s="14" t="n">
        <x:v>5</x:v>
      </x:c>
      <x:c r="J488" s="14" t="n">
        <x:v>2</x:v>
      </x:c>
      <x:c r="K488" s="14" t="n">
        <x:v>1070</x:v>
      </x:c>
      <x:c r="L488" s="14" t="n">
        <x:v>0</x:v>
      </x:c>
      <x:c r="M488" s="13" t="n">
        <x:v>2456.24</x:v>
      </x:c>
      <x:c r="N488" s="3" t="n">
        <x:v>67</x:v>
      </x:c>
      <x:c r="O488" s="13" t="n">
        <x:f>IF(G488=0,"n.a.",D488/G488)</x:f>
        <x:v>307.03</x:v>
      </x:c>
      <x:c r="P488" s="15" t="n">
        <x:f>IF(D488=0,"n.a.",E488/D488)</x:f>
        <x:v>0</x:v>
      </x:c>
    </x:row>
    <x:row r="489" ht="22" customHeight="1">
      <x:c r="A489" s="3"/>
      <x:c r="B489" s="3" t="str">
        <x:v>2011-11</x:v>
      </x:c>
      <x:c r="C489" s="3" t="str">
        <x:v>France</x:v>
      </x:c>
      <x:c r="D489" s="13" t="n">
        <x:v>29216.76</x:v>
      </x:c>
      <x:c r="E489" s="13" t="n">
        <x:v>917.2</x:v>
      </x:c>
      <x:c r="F489" s="13" t="n">
        <x:f>D489-E489</x:f>
        <x:v>28299.559999999998</x:v>
      </x:c>
      <x:c r="G489" s="14" t="n">
        <x:v>64</x:v>
      </x:c>
      <x:c r="H489" s="14" t="n">
        <x:v>11</x:v>
      </x:c>
      <x:c r="I489" s="14" t="n">
        <x:v>39</x:v>
      </x:c>
      <x:c r="J489" s="14" t="n">
        <x:v>13</x:v>
      </x:c>
      <x:c r="K489" s="14" t="n">
        <x:v>17747</x:v>
      </x:c>
      <x:c r="L489" s="14" t="n">
        <x:v>796</x:v>
      </x:c>
      <x:c r="M489" s="13" t="n">
        <x:v>28795.14</x:v>
      </x:c>
      <x:c r="N489" s="3" t="n">
        <x:v>1526</x:v>
      </x:c>
      <x:c r="O489" s="13" t="n">
        <x:f>IF(G489=0,"n.a.",D489/G489)</x:f>
        <x:v>456.511875</x:v>
      </x:c>
      <x:c r="P489" s="15" t="n">
        <x:f>IF(D489=0,"n.a.",E489/D489)</x:f>
        <x:v>0.03139294021650587</x:v>
      </x:c>
    </x:row>
    <x:row r="490" ht="22" customHeight="1">
      <x:c r="A490" s="3"/>
      <x:c r="B490" s="3" t="str">
        <x:v>2011-11</x:v>
      </x:c>
      <x:c r="C490" s="3" t="str">
        <x:v>Germany</x:v>
      </x:c>
      <x:c r="D490" s="13" t="n">
        <x:v>24252.7</x:v>
      </x:c>
      <x:c r="E490" s="13" t="n">
        <x:v>948.81</x:v>
      </x:c>
      <x:c r="F490" s="13" t="n">
        <x:f>D490-E490</x:f>
        <x:v>23303.89</x:v>
      </x:c>
      <x:c r="G490" s="14" t="n">
        <x:v>64</x:v>
      </x:c>
      <x:c r="H490" s="14" t="n">
        <x:v>17</x:v>
      </x:c>
      <x:c r="I490" s="14" t="n">
        <x:v>43</x:v>
      </x:c>
      <x:c r="J490" s="14" t="n">
        <x:v>13</x:v>
      </x:c>
      <x:c r="K490" s="14" t="n">
        <x:v>13298</x:v>
      </x:c>
      <x:c r="L490" s="14" t="n">
        <x:v>528</x:v>
      </x:c>
      <x:c r="M490" s="13" t="n">
        <x:v>24252.7</x:v>
      </x:c>
      <x:c r="N490" s="3" t="n">
        <x:v>1085</x:v>
      </x:c>
      <x:c r="O490" s="13" t="n">
        <x:f>IF(G490=0,"n.a.",D490/G490)</x:f>
        <x:v>378.9484375</x:v>
      </x:c>
      <x:c r="P490" s="15" t="n">
        <x:f>IF(D490=0,"n.a.",E490/D490)</x:f>
        <x:v>0.03912182973442132</x:v>
      </x:c>
    </x:row>
    <x:row r="491" ht="22" customHeight="1">
      <x:c r="A491" s="3"/>
      <x:c r="B491" s="3" t="str">
        <x:v>2011-11</x:v>
      </x:c>
      <x:c r="C491" s="3" t="str">
        <x:v>Greece</x:v>
      </x:c>
      <x:c r="D491" s="13" t="n">
        <x:v>0</x:v>
      </x:c>
      <x:c r="E491" s="13" t="n">
        <x:v>0</x:v>
      </x:c>
      <x:c r="F491" s="13" t="n">
        <x:f>D491-E491</x:f>
        <x:v>0</x:v>
      </x:c>
      <x:c r="G491" s="14" t="n">
        <x:v>0</x:v>
      </x:c>
      <x:c r="H491" s="14" t="n">
        <x:v>0</x:v>
      </x:c>
      <x:c r="I491" s="14" t="n">
        <x:v>0</x:v>
      </x:c>
      <x:c r="J491" s="14" t="n">
        <x:v>0</x:v>
      </x:c>
      <x:c r="K491" s="14" t="n">
        <x:v>0</x:v>
      </x:c>
      <x:c r="L491" s="14" t="n">
        <x:v>0</x:v>
      </x:c>
      <x:c r="M491" s="13" t="n">
        <x:v>0</x:v>
      </x:c>
      <x:c r="N491" s="3" t="n">
        <x:v>0</x:v>
      </x:c>
      <x:c r="O491" s="13" t="str">
        <x:f>IF(G491=0,"n.a.",D491/G491)</x:f>
        <x:v>n.a.</x:v>
      </x:c>
      <x:c r="P491" s="15" t="str">
        <x:f>IF(D491=0,"n.a.",E491/D491)</x:f>
        <x:v>n.a.</x:v>
      </x:c>
    </x:row>
    <x:row r="492" ht="22" customHeight="1">
      <x:c r="A492" s="3"/>
      <x:c r="B492" s="3" t="str">
        <x:v>2011-11</x:v>
      </x:c>
      <x:c r="C492" s="3" t="str">
        <x:v>Hong Kong</x:v>
      </x:c>
      <x:c r="D492" s="13" t="n">
        <x:v>0</x:v>
      </x:c>
      <x:c r="E492" s="13" t="n">
        <x:v>0</x:v>
      </x:c>
      <x:c r="F492" s="13" t="n">
        <x:f>D492-E492</x:f>
        <x:v>0</x:v>
      </x:c>
      <x:c r="G492" s="14" t="n">
        <x:v>0</x:v>
      </x:c>
      <x:c r="H492" s="14" t="n">
        <x:v>0</x:v>
      </x:c>
      <x:c r="I492" s="14" t="n">
        <x:v>0</x:v>
      </x:c>
      <x:c r="J492" s="14" t="n">
        <x:v>0</x:v>
      </x:c>
      <x:c r="K492" s="14" t="n">
        <x:v>0</x:v>
      </x:c>
      <x:c r="L492" s="14" t="n">
        <x:v>0</x:v>
      </x:c>
      <x:c r="M492" s="13" t="n">
        <x:v>0</x:v>
      </x:c>
      <x:c r="N492" s="3" t="n">
        <x:v>0</x:v>
      </x:c>
      <x:c r="O492" s="13" t="str">
        <x:f>IF(G492=0,"n.a.",D492/G492)</x:f>
        <x:v>n.a.</x:v>
      </x:c>
      <x:c r="P492" s="15" t="str">
        <x:f>IF(D492=0,"n.a.",E492/D492)</x:f>
        <x:v>n.a.</x:v>
      </x:c>
    </x:row>
    <x:row r="493" ht="22" customHeight="1">
      <x:c r="A493" s="3"/>
      <x:c r="B493" s="3" t="str">
        <x:v>2011-11</x:v>
      </x:c>
      <x:c r="C493" s="3" t="str">
        <x:v>Iceland</x:v>
      </x:c>
      <x:c r="D493" s="13" t="n">
        <x:v>0</x:v>
      </x:c>
      <x:c r="E493" s="13" t="n">
        <x:v>0</x:v>
      </x:c>
      <x:c r="F493" s="13" t="n">
        <x:f>D493-E493</x:f>
        <x:v>0</x:v>
      </x:c>
      <x:c r="G493" s="14" t="n">
        <x:v>0</x:v>
      </x:c>
      <x:c r="H493" s="14" t="n">
        <x:v>0</x:v>
      </x:c>
      <x:c r="I493" s="14" t="n">
        <x:v>0</x:v>
      </x:c>
      <x:c r="J493" s="14" t="n">
        <x:v>0</x:v>
      </x:c>
      <x:c r="K493" s="14" t="n">
        <x:v>0</x:v>
      </x:c>
      <x:c r="L493" s="14" t="n">
        <x:v>0</x:v>
      </x:c>
      <x:c r="M493" s="13" t="n">
        <x:v>0</x:v>
      </x:c>
      <x:c r="N493" s="3" t="n">
        <x:v>0</x:v>
      </x:c>
      <x:c r="O493" s="13" t="str">
        <x:f>IF(G493=0,"n.a.",D493/G493)</x:f>
        <x:v>n.a.</x:v>
      </x:c>
      <x:c r="P493" s="15" t="str">
        <x:f>IF(D493=0,"n.a.",E493/D493)</x:f>
        <x:v>n.a.</x:v>
      </x:c>
    </x:row>
    <x:row r="494" ht="22" customHeight="1">
      <x:c r="A494" s="3"/>
      <x:c r="B494" s="3" t="str">
        <x:v>2011-11</x:v>
      </x:c>
      <x:c r="C494" s="3" t="str">
        <x:v>Israel</x:v>
      </x:c>
      <x:c r="D494" s="13" t="n">
        <x:v>0</x:v>
      </x:c>
      <x:c r="E494" s="13" t="n">
        <x:v>0</x:v>
      </x:c>
      <x:c r="F494" s="13" t="n">
        <x:f>D494-E494</x:f>
        <x:v>0</x:v>
      </x:c>
      <x:c r="G494" s="14" t="n">
        <x:v>0</x:v>
      </x:c>
      <x:c r="H494" s="14" t="n">
        <x:v>0</x:v>
      </x:c>
      <x:c r="I494" s="14" t="n">
        <x:v>0</x:v>
      </x:c>
      <x:c r="J494" s="14" t="n">
        <x:v>0</x:v>
      </x:c>
      <x:c r="K494" s="14" t="n">
        <x:v>0</x:v>
      </x:c>
      <x:c r="L494" s="14" t="n">
        <x:v>0</x:v>
      </x:c>
      <x:c r="M494" s="13" t="n">
        <x:v>0</x:v>
      </x:c>
      <x:c r="N494" s="3" t="n">
        <x:v>0</x:v>
      </x:c>
      <x:c r="O494" s="13" t="str">
        <x:f>IF(G494=0,"n.a.",D494/G494)</x:f>
        <x:v>n.a.</x:v>
      </x:c>
      <x:c r="P494" s="15" t="str">
        <x:f>IF(D494=0,"n.a.",E494/D494)</x:f>
        <x:v>n.a.</x:v>
      </x:c>
    </x:row>
    <x:row r="495" ht="22" customHeight="1">
      <x:c r="A495" s="3"/>
      <x:c r="B495" s="3" t="str">
        <x:v>2011-11</x:v>
      </x:c>
      <x:c r="C495" s="3" t="str">
        <x:v>Italy</x:v>
      </x:c>
      <x:c r="D495" s="13" t="n">
        <x:v>3875.08</x:v>
      </x:c>
      <x:c r="E495" s="13" t="n">
        <x:v>301</x:v>
      </x:c>
      <x:c r="F495" s="13" t="n">
        <x:f>D495-E495</x:f>
        <x:v>3574.08</x:v>
      </x:c>
      <x:c r="G495" s="14" t="n">
        <x:v>8</x:v>
      </x:c>
      <x:c r="H495" s="14" t="n">
        <x:v>4</x:v>
      </x:c>
      <x:c r="I495" s="14" t="n">
        <x:v>8</x:v>
      </x:c>
      <x:c r="J495" s="14" t="n">
        <x:v>0</x:v>
      </x:c>
      <x:c r="K495" s="14" t="n">
        <x:v>2050</x:v>
      </x:c>
      <x:c r="L495" s="14" t="n">
        <x:v>43</x:v>
      </x:c>
      <x:c r="M495" s="13" t="n">
        <x:v>3875.08</x:v>
      </x:c>
      <x:c r="N495" s="3" t="n">
        <x:v>186</x:v>
      </x:c>
      <x:c r="O495" s="13" t="n">
        <x:f>IF(G495=0,"n.a.",D495/G495)</x:f>
        <x:v>484.385</x:v>
      </x:c>
      <x:c r="P495" s="15" t="n">
        <x:f>IF(D495=0,"n.a.",E495/D495)</x:f>
        <x:v>0.07767581572509472</x:v>
      </x:c>
    </x:row>
    <x:row r="496" ht="22" customHeight="1">
      <x:c r="A496" s="3"/>
      <x:c r="B496" s="3" t="str">
        <x:v>2011-11</x:v>
      </x:c>
      <x:c r="C496" s="3" t="str">
        <x:v>Japan</x:v>
      </x:c>
      <x:c r="D496" s="13" t="n">
        <x:v>8460.08</x:v>
      </x:c>
      <x:c r="E496" s="13" t="n">
        <x:v>0</x:v>
      </x:c>
      <x:c r="F496" s="13" t="n">
        <x:f>D496-E496</x:f>
        <x:v>8460.08</x:v>
      </x:c>
      <x:c r="G496" s="14" t="n">
        <x:v>2</x:v>
      </x:c>
      <x:c r="H496" s="14" t="n">
        <x:v>0</x:v>
      </x:c>
      <x:c r="I496" s="14" t="n">
        <x:v>2</x:v>
      </x:c>
      <x:c r="J496" s="14" t="n">
        <x:v>0</x:v>
      </x:c>
      <x:c r="K496" s="14" t="n">
        <x:v>4250</x:v>
      </x:c>
      <x:c r="L496" s="14" t="n">
        <x:v>0</x:v>
      </x:c>
      <x:c r="M496" s="13" t="n">
        <x:v>8460.08</x:v>
      </x:c>
      <x:c r="N496" s="3" t="n">
        <x:v>32</x:v>
      </x:c>
      <x:c r="O496" s="13" t="n">
        <x:f>IF(G496=0,"n.a.",D496/G496)</x:f>
        <x:v>4230.04</x:v>
      </x:c>
      <x:c r="P496" s="15" t="n">
        <x:f>IF(D496=0,"n.a.",E496/D496)</x:f>
        <x:v>0</x:v>
      </x:c>
    </x:row>
    <x:row r="497" ht="22" customHeight="1">
      <x:c r="A497" s="3"/>
      <x:c r="B497" s="3" t="str">
        <x:v>2011-11</x:v>
      </x:c>
      <x:c r="C497" s="3" t="str">
        <x:v>Lebanon</x:v>
      </x:c>
      <x:c r="D497" s="13" t="n">
        <x:v>0</x:v>
      </x:c>
      <x:c r="E497" s="13" t="n">
        <x:v>0</x:v>
      </x:c>
      <x:c r="F497" s="13" t="n">
        <x:f>D497-E497</x:f>
        <x:v>0</x:v>
      </x:c>
      <x:c r="G497" s="14" t="n">
        <x:v>0</x:v>
      </x:c>
      <x:c r="H497" s="14" t="n">
        <x:v>0</x:v>
      </x:c>
      <x:c r="I497" s="14" t="n">
        <x:v>0</x:v>
      </x:c>
      <x:c r="J497" s="14" t="n">
        <x:v>0</x:v>
      </x:c>
      <x:c r="K497" s="14" t="n">
        <x:v>0</x:v>
      </x:c>
      <x:c r="L497" s="14" t="n">
        <x:v>0</x:v>
      </x:c>
      <x:c r="M497" s="13" t="n">
        <x:v>0</x:v>
      </x:c>
      <x:c r="N497" s="3" t="n">
        <x:v>0</x:v>
      </x:c>
      <x:c r="O497" s="13" t="str">
        <x:f>IF(G497=0,"n.a.",D497/G497)</x:f>
        <x:v>n.a.</x:v>
      </x:c>
      <x:c r="P497" s="15" t="str">
        <x:f>IF(D497=0,"n.a.",E497/D497)</x:f>
        <x:v>n.a.</x:v>
      </x:c>
    </x:row>
    <x:row r="498" ht="22" customHeight="1">
      <x:c r="A498" s="3"/>
      <x:c r="B498" s="3" t="str">
        <x:v>2011-11</x:v>
      </x:c>
      <x:c r="C498" s="3" t="str">
        <x:v>Lithuania</x:v>
      </x:c>
      <x:c r="D498" s="13" t="n">
        <x:v>0</x:v>
      </x:c>
      <x:c r="E498" s="13" t="n">
        <x:v>0</x:v>
      </x:c>
      <x:c r="F498" s="13" t="n">
        <x:f>D498-E498</x:f>
        <x:v>0</x:v>
      </x:c>
      <x:c r="G498" s="14" t="n">
        <x:v>0</x:v>
      </x:c>
      <x:c r="H498" s="14" t="n">
        <x:v>0</x:v>
      </x:c>
      <x:c r="I498" s="14" t="n">
        <x:v>0</x:v>
      </x:c>
      <x:c r="J498" s="14" t="n">
        <x:v>0</x:v>
      </x:c>
      <x:c r="K498" s="14" t="n">
        <x:v>0</x:v>
      </x:c>
      <x:c r="L498" s="14" t="n">
        <x:v>0</x:v>
      </x:c>
      <x:c r="M498" s="13" t="n">
        <x:v>0</x:v>
      </x:c>
      <x:c r="N498" s="3" t="n">
        <x:v>0</x:v>
      </x:c>
      <x:c r="O498" s="13" t="str">
        <x:f>IF(G498=0,"n.a.",D498/G498)</x:f>
        <x:v>n.a.</x:v>
      </x:c>
      <x:c r="P498" s="15" t="str">
        <x:f>IF(D498=0,"n.a.",E498/D498)</x:f>
        <x:v>n.a.</x:v>
      </x:c>
    </x:row>
    <x:row r="499" ht="22" customHeight="1">
      <x:c r="A499" s="3"/>
      <x:c r="B499" s="3" t="str">
        <x:v>2011-11</x:v>
      </x:c>
      <x:c r="C499" s="3" t="str">
        <x:v>Malta</x:v>
      </x:c>
      <x:c r="D499" s="13" t="n">
        <x:v>288.43</x:v>
      </x:c>
      <x:c r="E499" s="13" t="n">
        <x:v>30.81</x:v>
      </x:c>
      <x:c r="F499" s="13" t="n">
        <x:f>D499-E499</x:f>
        <x:v>257.62</x:v>
      </x:c>
      <x:c r="G499" s="14" t="n">
        <x:v>1</x:v>
      </x:c>
      <x:c r="H499" s="14" t="n">
        <x:v>1</x:v>
      </x:c>
      <x:c r="I499" s="14" t="n">
        <x:v>1</x:v>
      </x:c>
      <x:c r="J499" s="14" t="n">
        <x:v>0</x:v>
      </x:c>
      <x:c r="K499" s="14" t="n">
        <x:v>179</x:v>
      </x:c>
      <x:c r="L499" s="14" t="n">
        <x:v>8</x:v>
      </x:c>
      <x:c r="M499" s="13" t="n">
        <x:v>288.43</x:v>
      </x:c>
      <x:c r="N499" s="3" t="n">
        <x:v>16</x:v>
      </x:c>
      <x:c r="O499" s="13" t="n">
        <x:f>IF(G499=0,"n.a.",D499/G499)</x:f>
        <x:v>288.43</x:v>
      </x:c>
      <x:c r="P499" s="15" t="n">
        <x:f>IF(D499=0,"n.a.",E499/D499)</x:f>
        <x:v>0.10681967895156537</x:v>
      </x:c>
    </x:row>
    <x:row r="500" ht="22" customHeight="1">
      <x:c r="A500" s="3"/>
      <x:c r="B500" s="3" t="str">
        <x:v>2011-11</x:v>
      </x:c>
      <x:c r="C500" s="3" t="str">
        <x:v>Netherlands</x:v>
      </x:c>
      <x:c r="D500" s="13" t="n">
        <x:v>25640.01</x:v>
      </x:c>
      <x:c r="E500" s="13" t="n">
        <x:v>0</x:v>
      </x:c>
      <x:c r="F500" s="13" t="n">
        <x:f>D500-E500</x:f>
        <x:v>25640.01</x:v>
      </x:c>
      <x:c r="G500" s="14" t="n">
        <x:v>15</x:v>
      </x:c>
      <x:c r="H500" s="14" t="n">
        <x:v>0</x:v>
      </x:c>
      <x:c r="I500" s="14" t="n">
        <x:v>4</x:v>
      </x:c>
      <x:c r="J500" s="14" t="n">
        <x:v>1</x:v>
      </x:c>
      <x:c r="K500" s="14" t="n">
        <x:v>18648</x:v>
      </x:c>
      <x:c r="L500" s="14" t="n">
        <x:v>0</x:v>
      </x:c>
      <x:c r="M500" s="13" t="n">
        <x:v>25640.01</x:v>
      </x:c>
      <x:c r="N500" s="3" t="n">
        <x:v>218</x:v>
      </x:c>
      <x:c r="O500" s="13" t="n">
        <x:f>IF(G500=0,"n.a.",D500/G500)</x:f>
        <x:v>1709.3339999999998</x:v>
      </x:c>
      <x:c r="P500" s="15" t="n">
        <x:f>IF(D500=0,"n.a.",E500/D500)</x:f>
        <x:v>0</x:v>
      </x:c>
    </x:row>
    <x:row r="501" ht="22" customHeight="1">
      <x:c r="A501" s="3"/>
      <x:c r="B501" s="3" t="str">
        <x:v>2011-11</x:v>
      </x:c>
      <x:c r="C501" s="3" t="str">
        <x:v>Norway</x:v>
      </x:c>
      <x:c r="D501" s="13" t="n">
        <x:v>5807.5</x:v>
      </x:c>
      <x:c r="E501" s="13" t="n">
        <x:v>0</x:v>
      </x:c>
      <x:c r="F501" s="13" t="n">
        <x:f>D501-E501</x:f>
        <x:v>5807.5</x:v>
      </x:c>
      <x:c r="G501" s="14" t="n">
        <x:v>5</x:v>
      </x:c>
      <x:c r="H501" s="14" t="n">
        <x:v>0</x:v>
      </x:c>
      <x:c r="I501" s="14" t="n">
        <x:v>5</x:v>
      </x:c>
      <x:c r="J501" s="14" t="n">
        <x:v>0</x:v>
      </x:c>
      <x:c r="K501" s="14" t="n">
        <x:v>3388</x:v>
      </x:c>
      <x:c r="L501" s="14" t="n">
        <x:v>0</x:v>
      </x:c>
      <x:c r="M501" s="13" t="n">
        <x:v>5807.5</x:v>
      </x:c>
      <x:c r="N501" s="3" t="n">
        <x:v>178</x:v>
      </x:c>
      <x:c r="O501" s="13" t="n">
        <x:f>IF(G501=0,"n.a.",D501/G501)</x:f>
        <x:v>1161.5</x:v>
      </x:c>
      <x:c r="P501" s="15" t="n">
        <x:f>IF(D501=0,"n.a.",E501/D501)</x:f>
        <x:v>0</x:v>
      </x:c>
    </x:row>
    <x:row r="502" ht="22" customHeight="1">
      <x:c r="A502" s="3"/>
      <x:c r="B502" s="3" t="str">
        <x:v>2011-11</x:v>
      </x:c>
      <x:c r="C502" s="3" t="str">
        <x:v>Poland</x:v>
      </x:c>
      <x:c r="D502" s="13" t="n">
        <x:v>1361.23</x:v>
      </x:c>
      <x:c r="E502" s="13" t="n">
        <x:v>19.36</x:v>
      </x:c>
      <x:c r="F502" s="13" t="n">
        <x:f>D502-E502</x:f>
        <x:v>1341.8700000000001</x:v>
      </x:c>
      <x:c r="G502" s="14" t="n">
        <x:v>2</x:v>
      </x:c>
      <x:c r="H502" s="14" t="n">
        <x:v>1</x:v>
      </x:c>
      <x:c r="I502" s="14" t="n">
        <x:v>2</x:v>
      </x:c>
      <x:c r="J502" s="14" t="n">
        <x:v>0</x:v>
      </x:c>
      <x:c r="K502" s="14" t="n">
        <x:v>941</x:v>
      </x:c>
      <x:c r="L502" s="14" t="n">
        <x:v>8</x:v>
      </x:c>
      <x:c r="M502" s="13" t="n">
        <x:v>1361.23</x:v>
      </x:c>
      <x:c r="N502" s="3" t="n">
        <x:v>74</x:v>
      </x:c>
      <x:c r="O502" s="13" t="n">
        <x:f>IF(G502=0,"n.a.",D502/G502)</x:f>
        <x:v>680.615</x:v>
      </x:c>
      <x:c r="P502" s="15" t="n">
        <x:f>IF(D502=0,"n.a.",E502/D502)</x:f>
        <x:v>0.014222431183561925</x:v>
      </x:c>
    </x:row>
    <x:row r="503" ht="22" customHeight="1">
      <x:c r="A503" s="3"/>
      <x:c r="B503" s="3" t="str">
        <x:v>2011-11</x:v>
      </x:c>
      <x:c r="C503" s="3" t="str">
        <x:v>Portugal</x:v>
      </x:c>
      <x:c r="D503" s="13" t="n">
        <x:v>2336.9</x:v>
      </x:c>
      <x:c r="E503" s="13" t="n">
        <x:v>0</x:v>
      </x:c>
      <x:c r="F503" s="13" t="n">
        <x:f>D503-E503</x:f>
        <x:v>2336.9</x:v>
      </x:c>
      <x:c r="G503" s="14" t="n">
        <x:v>9</x:v>
      </x:c>
      <x:c r="H503" s="14" t="n">
        <x:v>0</x:v>
      </x:c>
      <x:c r="I503" s="14" t="n">
        <x:v>7</x:v>
      </x:c>
      <x:c r="J503" s="14" t="n">
        <x:v>1</x:v>
      </x:c>
      <x:c r="K503" s="14" t="n">
        <x:v>1082</x:v>
      </x:c>
      <x:c r="L503" s="14" t="n">
        <x:v>0</x:v>
      </x:c>
      <x:c r="M503" s="13" t="n">
        <x:v>2336.9</x:v>
      </x:c>
      <x:c r="N503" s="3" t="n">
        <x:v>140</x:v>
      </x:c>
      <x:c r="O503" s="13" t="n">
        <x:f>IF(G503=0,"n.a.",D503/G503)</x:f>
        <x:v>259.65555555555557</x:v>
      </x:c>
      <x:c r="P503" s="15" t="n">
        <x:f>IF(D503=0,"n.a.",E503/D503)</x:f>
        <x:v>0</x:v>
      </x:c>
    </x:row>
    <x:row r="504" ht="22" customHeight="1">
      <x:c r="A504" s="3"/>
      <x:c r="B504" s="3" t="str">
        <x:v>2011-11</x:v>
      </x:c>
      <x:c r="C504" s="3" t="str">
        <x:v>RSA</x:v>
      </x:c>
      <x:c r="D504" s="13" t="n">
        <x:v>0</x:v>
      </x:c>
      <x:c r="E504" s="13" t="n">
        <x:v>0</x:v>
      </x:c>
      <x:c r="F504" s="13" t="n">
        <x:f>D504-E504</x:f>
        <x:v>0</x:v>
      </x:c>
      <x:c r="G504" s="14" t="n">
        <x:v>0</x:v>
      </x:c>
      <x:c r="H504" s="14" t="n">
        <x:v>0</x:v>
      </x:c>
      <x:c r="I504" s="14" t="n">
        <x:v>0</x:v>
      </x:c>
      <x:c r="J504" s="14" t="n">
        <x:v>0</x:v>
      </x:c>
      <x:c r="K504" s="14" t="n">
        <x:v>0</x:v>
      </x:c>
      <x:c r="L504" s="14" t="n">
        <x:v>0</x:v>
      </x:c>
      <x:c r="M504" s="13" t="n">
        <x:v>0</x:v>
      </x:c>
      <x:c r="N504" s="3" t="n">
        <x:v>0</x:v>
      </x:c>
      <x:c r="O504" s="13" t="str">
        <x:f>IF(G504=0,"n.a.",D504/G504)</x:f>
        <x:v>n.a.</x:v>
      </x:c>
      <x:c r="P504" s="15" t="str">
        <x:f>IF(D504=0,"n.a.",E504/D504)</x:f>
        <x:v>n.a.</x:v>
      </x:c>
    </x:row>
    <x:row r="505" ht="22" customHeight="1">
      <x:c r="A505" s="3"/>
      <x:c r="B505" s="3" t="str">
        <x:v>2011-11</x:v>
      </x:c>
      <x:c r="C505" s="3" t="str">
        <x:v>Saudi Arabia</x:v>
      </x:c>
      <x:c r="D505" s="13" t="n">
        <x:v>0</x:v>
      </x:c>
      <x:c r="E505" s="13" t="n">
        <x:v>0</x:v>
      </x:c>
      <x:c r="F505" s="13" t="n">
        <x:f>D505-E505</x:f>
        <x:v>0</x:v>
      </x:c>
      <x:c r="G505" s="14" t="n">
        <x:v>0</x:v>
      </x:c>
      <x:c r="H505" s="14" t="n">
        <x:v>0</x:v>
      </x:c>
      <x:c r="I505" s="14" t="n">
        <x:v>0</x:v>
      </x:c>
      <x:c r="J505" s="14" t="n">
        <x:v>0</x:v>
      </x:c>
      <x:c r="K505" s="14" t="n">
        <x:v>0</x:v>
      </x:c>
      <x:c r="L505" s="14" t="n">
        <x:v>0</x:v>
      </x:c>
      <x:c r="M505" s="13" t="n">
        <x:v>0</x:v>
      </x:c>
      <x:c r="N505" s="3" t="n">
        <x:v>0</x:v>
      </x:c>
      <x:c r="O505" s="13" t="str">
        <x:f>IF(G505=0,"n.a.",D505/G505)</x:f>
        <x:v>n.a.</x:v>
      </x:c>
      <x:c r="P505" s="15" t="str">
        <x:f>IF(D505=0,"n.a.",E505/D505)</x:f>
        <x:v>n.a.</x:v>
      </x:c>
    </x:row>
    <x:row r="506" ht="22" customHeight="1">
      <x:c r="A506" s="3"/>
      <x:c r="B506" s="3" t="str">
        <x:v>2011-11</x:v>
      </x:c>
      <x:c r="C506" s="3" t="str">
        <x:v>Singapore</x:v>
      </x:c>
      <x:c r="D506" s="13" t="n">
        <x:v>0</x:v>
      </x:c>
      <x:c r="E506" s="13" t="n">
        <x:v>0</x:v>
      </x:c>
      <x:c r="F506" s="13" t="n">
        <x:f>D506-E506</x:f>
        <x:v>0</x:v>
      </x:c>
      <x:c r="G506" s="14" t="n">
        <x:v>0</x:v>
      </x:c>
      <x:c r="H506" s="14" t="n">
        <x:v>0</x:v>
      </x:c>
      <x:c r="I506" s="14" t="n">
        <x:v>0</x:v>
      </x:c>
      <x:c r="J506" s="14" t="n">
        <x:v>0</x:v>
      </x:c>
      <x:c r="K506" s="14" t="n">
        <x:v>0</x:v>
      </x:c>
      <x:c r="L506" s="14" t="n">
        <x:v>0</x:v>
      </x:c>
      <x:c r="M506" s="13" t="n">
        <x:v>0</x:v>
      </x:c>
      <x:c r="N506" s="3" t="n">
        <x:v>0</x:v>
      </x:c>
      <x:c r="O506" s="13" t="str">
        <x:f>IF(G506=0,"n.a.",D506/G506)</x:f>
        <x:v>n.a.</x:v>
      </x:c>
      <x:c r="P506" s="15" t="str">
        <x:f>IF(D506=0,"n.a.",E506/D506)</x:f>
        <x:v>n.a.</x:v>
      </x:c>
    </x:row>
    <x:row r="507" ht="22" customHeight="1">
      <x:c r="A507" s="3"/>
      <x:c r="B507" s="3" t="str">
        <x:v>2011-11</x:v>
      </x:c>
      <x:c r="C507" s="3" t="str">
        <x:v>Spain</x:v>
      </x:c>
      <x:c r="D507" s="13" t="n">
        <x:v>8034.96</x:v>
      </x:c>
      <x:c r="E507" s="13" t="n">
        <x:v>145.09</x:v>
      </x:c>
      <x:c r="F507" s="13" t="n">
        <x:f>D507-E507</x:f>
        <x:v>7889.87</x:v>
      </x:c>
      <x:c r="G507" s="14" t="n">
        <x:v>13</x:v>
      </x:c>
      <x:c r="H507" s="14" t="n">
        <x:v>2</x:v>
      </x:c>
      <x:c r="I507" s="14" t="n">
        <x:v>12</x:v>
      </x:c>
      <x:c r="J507" s="14" t="n">
        <x:v>1</x:v>
      </x:c>
      <x:c r="K507" s="14" t="n">
        <x:v>3484</x:v>
      </x:c>
      <x:c r="L507" s="14" t="n">
        <x:v>53</x:v>
      </x:c>
      <x:c r="M507" s="13" t="n">
        <x:v>8034.96</x:v>
      </x:c>
      <x:c r="N507" s="3" t="n">
        <x:v>304</x:v>
      </x:c>
      <x:c r="O507" s="13" t="n">
        <x:f>IF(G507=0,"n.a.",D507/G507)</x:f>
        <x:v>618.0738461538461</x:v>
      </x:c>
      <x:c r="P507" s="15" t="n">
        <x:f>IF(D507=0,"n.a.",E507/D507)</x:f>
        <x:v>0.018057339426705298</x:v>
      </x:c>
    </x:row>
    <x:row r="508" ht="22" customHeight="1">
      <x:c r="A508" s="3"/>
      <x:c r="B508" s="3" t="str">
        <x:v>2011-11</x:v>
      </x:c>
      <x:c r="C508" s="3" t="str">
        <x:v>Sweden</x:v>
      </x:c>
      <x:c r="D508" s="13" t="n">
        <x:v>2322.23</x:v>
      </x:c>
      <x:c r="E508" s="13" t="n">
        <x:v>29.52</x:v>
      </x:c>
      <x:c r="F508" s="13" t="n">
        <x:f>D508-E508</x:f>
        <x:v>2292.71</x:v>
      </x:c>
      <x:c r="G508" s="14" t="n">
        <x:v>5</x:v>
      </x:c>
      <x:c r="H508" s="14" t="n">
        <x:v>2</x:v>
      </x:c>
      <x:c r="I508" s="14" t="n">
        <x:v>5</x:v>
      </x:c>
      <x:c r="J508" s="14" t="n">
        <x:v>0</x:v>
      </x:c>
      <x:c r="K508" s="14" t="n">
        <x:v>1963</x:v>
      </x:c>
      <x:c r="L508" s="14" t="n">
        <x:v>9</x:v>
      </x:c>
      <x:c r="M508" s="13" t="n">
        <x:v>2322.23</x:v>
      </x:c>
      <x:c r="N508" s="3" t="n">
        <x:v>75</x:v>
      </x:c>
      <x:c r="O508" s="13" t="n">
        <x:f>IF(G508=0,"n.a.",D508/G508)</x:f>
        <x:v>464.446</x:v>
      </x:c>
      <x:c r="P508" s="15" t="n">
        <x:f>IF(D508=0,"n.a.",E508/D508)</x:f>
        <x:v>0.012711919146682283</x:v>
      </x:c>
    </x:row>
    <x:row r="509" ht="22" customHeight="1">
      <x:c r="A509" s="3"/>
      <x:c r="B509" s="3" t="str">
        <x:v>2011-11</x:v>
      </x:c>
      <x:c r="C509" s="3" t="str">
        <x:v>Switzerland</x:v>
      </x:c>
      <x:c r="D509" s="13" t="n">
        <x:v>7916.96</x:v>
      </x:c>
      <x:c r="E509" s="13" t="n">
        <x:v>0</x:v>
      </x:c>
      <x:c r="F509" s="13" t="n">
        <x:f>D509-E509</x:f>
        <x:v>7916.96</x:v>
      </x:c>
      <x:c r="G509" s="14" t="n">
        <x:v>5</x:v>
      </x:c>
      <x:c r="H509" s="14" t="n">
        <x:v>0</x:v>
      </x:c>
      <x:c r="I509" s="14" t="n">
        <x:v>4</x:v>
      </x:c>
      <x:c r="J509" s="14" t="n">
        <x:v>1</x:v>
      </x:c>
      <x:c r="K509" s="14" t="n">
        <x:v>3770</x:v>
      </x:c>
      <x:c r="L509" s="14" t="n">
        <x:v>0</x:v>
      </x:c>
      <x:c r="M509" s="13" t="n">
        <x:v>7916.96</x:v>
      </x:c>
      <x:c r="N509" s="3" t="n">
        <x:v>221</x:v>
      </x:c>
      <x:c r="O509" s="13" t="n">
        <x:f>IF(G509=0,"n.a.",D509/G509)</x:f>
        <x:v>1583.392</x:v>
      </x:c>
      <x:c r="P509" s="15" t="n">
        <x:f>IF(D509=0,"n.a.",E509/D509)</x:f>
        <x:v>0</x:v>
      </x:c>
    </x:row>
    <x:row r="510" ht="22" customHeight="1">
      <x:c r="A510" s="3"/>
      <x:c r="B510" s="3" t="str">
        <x:v>2011-11</x:v>
      </x:c>
      <x:c r="C510" s="3" t="str">
        <x:v>USA</x:v>
      </x:c>
      <x:c r="D510" s="13" t="n">
        <x:v>0</x:v>
      </x:c>
      <x:c r="E510" s="13" t="n">
        <x:v>0</x:v>
      </x:c>
      <x:c r="F510" s="13" t="n">
        <x:f>D510-E510</x:f>
        <x:v>0</x:v>
      </x:c>
      <x:c r="G510" s="14" t="n">
        <x:v>0</x:v>
      </x:c>
      <x:c r="H510" s="14" t="n">
        <x:v>0</x:v>
      </x:c>
      <x:c r="I510" s="14" t="n">
        <x:v>0</x:v>
      </x:c>
      <x:c r="J510" s="14" t="n">
        <x:v>0</x:v>
      </x:c>
      <x:c r="K510" s="14" t="n">
        <x:v>0</x:v>
      </x:c>
      <x:c r="L510" s="14" t="n">
        <x:v>0</x:v>
      </x:c>
      <x:c r="M510" s="13" t="n">
        <x:v>0</x:v>
      </x:c>
      <x:c r="N510" s="3" t="n">
        <x:v>0</x:v>
      </x:c>
      <x:c r="O510" s="13" t="str">
        <x:f>IF(G510=0,"n.a.",D510/G510)</x:f>
        <x:v>n.a.</x:v>
      </x:c>
      <x:c r="P510" s="15" t="str">
        <x:f>IF(D510=0,"n.a.",E510/D510)</x:f>
        <x:v>n.a.</x:v>
      </x:c>
    </x:row>
    <x:row r="511" ht="22" customHeight="1">
      <x:c r="A511" s="3"/>
      <x:c r="B511" s="3" t="str">
        <x:v>2011-11</x:v>
      </x:c>
      <x:c r="C511" s="3" t="str">
        <x:v>United Arab Emirates</x:v>
      </x:c>
      <x:c r="D511" s="13" t="n">
        <x:v>0</x:v>
      </x:c>
      <x:c r="E511" s="13" t="n">
        <x:v>0</x:v>
      </x:c>
      <x:c r="F511" s="13" t="n">
        <x:f>D511-E511</x:f>
        <x:v>0</x:v>
      </x:c>
      <x:c r="G511" s="14" t="n">
        <x:v>0</x:v>
      </x:c>
      <x:c r="H511" s="14" t="n">
        <x:v>0</x:v>
      </x:c>
      <x:c r="I511" s="14" t="n">
        <x:v>0</x:v>
      </x:c>
      <x:c r="J511" s="14" t="n">
        <x:v>0</x:v>
      </x:c>
      <x:c r="K511" s="14" t="n">
        <x:v>0</x:v>
      </x:c>
      <x:c r="L511" s="14" t="n">
        <x:v>0</x:v>
      </x:c>
      <x:c r="M511" s="13" t="n">
        <x:v>0</x:v>
      </x:c>
      <x:c r="N511" s="3" t="n">
        <x:v>0</x:v>
      </x:c>
      <x:c r="O511" s="13" t="str">
        <x:f>IF(G511=0,"n.a.",D511/G511)</x:f>
        <x:v>n.a.</x:v>
      </x:c>
      <x:c r="P511" s="15" t="str">
        <x:f>IF(D511=0,"n.a.",E511/D511)</x:f>
        <x:v>n.a.</x:v>
      </x:c>
    </x:row>
    <x:row r="512" ht="22" customHeight="1">
      <x:c r="A512" s="3"/>
      <x:c r="B512" s="3" t="str">
        <x:v>2011-11</x:v>
      </x:c>
      <x:c r="C512" s="3" t="str">
        <x:v>United Kingdom</x:v>
      </x:c>
      <x:c r="D512" s="13" t="n">
        <x:v>1286274.78</x:v>
      </x:c>
      <x:c r="E512" s="13" t="n">
        <x:v>21970.91</x:v>
      </x:c>
      <x:c r="F512" s="13" t="n">
        <x:f>D512-E512</x:f>
        <x:v>1264303.87</x:v>
      </x:c>
      <x:c r="G512" s="14" t="n">
        <x:v>2481</x:v>
      </x:c>
      <x:c r="H512" s="14" t="n">
        <x:v>341</x:v>
      </x:c>
      <x:c r="I512" s="14" t="n">
        <x:v>1503</x:v>
      </x:c>
      <x:c r="J512" s="14" t="n">
        <x:v>496</x:v>
      </x:c>
      <x:c r="K512" s="14" t="n">
        <x:v>651051</x:v>
      </x:c>
      <x:c r="L512" s="14" t="n">
        <x:v>10617</x:v>
      </x:c>
      <x:c r="M512" s="13" t="n">
        <x:v>973277.41</x:v>
      </x:c>
      <x:c r="N512" s="3" t="n">
        <x:v>78246</x:v>
      </x:c>
      <x:c r="O512" s="13" t="n">
        <x:f>IF(G512=0,"n.a.",D512/G512)</x:f>
        <x:v>518.4501330108827</x:v>
      </x:c>
      <x:c r="P512" s="15" t="n">
        <x:f>IF(D512=0,"n.a.",E512/D512)</x:f>
        <x:v>0.017081039247306085</x:v>
      </x:c>
    </x:row>
    <x:row r="513" ht="22" customHeight="1">
      <x:c r="A513" s="3"/>
      <x:c r="B513" s="3" t="str">
        <x:v>2011-11</x:v>
      </x:c>
      <x:c r="C513" s="3" t="str">
        <x:v>Unspecified</x:v>
      </x:c>
      <x:c r="D513" s="13" t="n">
        <x:v>965.75</x:v>
      </x:c>
      <x:c r="E513" s="13" t="n">
        <x:v>0</x:v>
      </x:c>
      <x:c r="F513" s="13" t="n">
        <x:f>D513-E513</x:f>
        <x:v>965.75</x:v>
      </x:c>
      <x:c r="G513" s="14" t="n">
        <x:v>2</x:v>
      </x:c>
      <x:c r="H513" s="14" t="n">
        <x:v>0</x:v>
      </x:c>
      <x:c r="I513" s="14" t="n">
        <x:v>0</x:v>
      </x:c>
      <x:c r="J513" s="14" t="n">
        <x:v>0</x:v>
      </x:c>
      <x:c r="K513" s="14" t="n">
        <x:v>641</x:v>
      </x:c>
      <x:c r="L513" s="14" t="n">
        <x:v>0</x:v>
      </x:c>
      <x:c r="M513" s="13" t="n">
        <x:v>0</x:v>
      </x:c>
      <x:c r="N513" s="3" t="n">
        <x:v>53</x:v>
      </x:c>
      <x:c r="O513" s="13" t="n">
        <x:f>IF(G513=0,"n.a.",D513/G513)</x:f>
        <x:v>482.875</x:v>
      </x:c>
      <x:c r="P513" s="15" t="n">
        <x:f>IF(D513=0,"n.a.",E513/D513)</x:f>
        <x:v>0</x:v>
      </x:c>
    </x:row>
    <x:row r="514" ht="22" customHeight="1">
      <x:c r="A514" s="3"/>
      <x:c r="B514" s="3" t="str">
        <x:v>2011-12</x:v>
      </x:c>
      <x:c r="C514" s="3" t="str">
        <x:v>Todos</x:v>
      </x:c>
      <x:c r="D514" s="13" t="n">
        <x:v>615493.27</x:v>
      </x:c>
      <x:c r="E514" s="13" t="n">
        <x:v>174126.76</x:v>
      </x:c>
      <x:c r="F514" s="13" t="n">
        <x:f>D514-E514</x:f>
        <x:v>441366.51</x:v>
      </x:c>
      <x:c r="G514" s="14" t="n">
        <x:v>816</x:v>
      </x:c>
      <x:c r="H514" s="14" t="n">
        <x:v>137</x:v>
      </x:c>
      <x:c r="I514" s="14" t="n">
        <x:v>614</x:v>
      </x:c>
      <x:c r="J514" s="14" t="n">
        <x:v>105</x:v>
      </x:c>
      <x:c r="K514" s="14" t="n">
        <x:v>313283</x:v>
      </x:c>
      <x:c r="L514" s="14" t="n">
        <x:v>83550</x:v>
      </x:c>
      <x:c r="M514" s="13" t="n">
        <x:v>513230.43</x:v>
      </x:c>
      <x:c r="N514" s="3" t="n">
        <x:v>25379</x:v>
      </x:c>
      <x:c r="O514" s="13" t="n">
        <x:f>IF(G514=0,"n.a.",D514/G514)</x:f>
        <x:v>754.280968137255</x:v>
      </x:c>
      <x:c r="P514" s="15" t="n">
        <x:f>IF(D514=0,"n.a.",E514/D514)</x:f>
        <x:v>0.2829060340497306</x:v>
      </x:c>
    </x:row>
    <x:row r="515" ht="22" customHeight="1">
      <x:c r="A515" s="3"/>
      <x:c r="B515" s="3" t="str">
        <x:v>2011-12</x:v>
      </x:c>
      <x:c r="C515" s="3" t="str">
        <x:v>Australia</x:v>
      </x:c>
      <x:c r="D515" s="13" t="n">
        <x:v>0</x:v>
      </x:c>
      <x:c r="E515" s="13" t="n">
        <x:v>0</x:v>
      </x:c>
      <x:c r="F515" s="13" t="n">
        <x:f>D515-E515</x:f>
        <x:v>0</x:v>
      </x:c>
      <x:c r="G515" s="14" t="n">
        <x:v>0</x:v>
      </x:c>
      <x:c r="H515" s="14" t="n">
        <x:v>0</x:v>
      </x:c>
      <x:c r="I515" s="14" t="n">
        <x:v>0</x:v>
      </x:c>
      <x:c r="J515" s="14" t="n">
        <x:v>0</x:v>
      </x:c>
      <x:c r="K515" s="14" t="n">
        <x:v>0</x:v>
      </x:c>
      <x:c r="L515" s="14" t="n">
        <x:v>0</x:v>
      </x:c>
      <x:c r="M515" s="13" t="n">
        <x:v>0</x:v>
      </x:c>
      <x:c r="N515" s="3" t="n">
        <x:v>0</x:v>
      </x:c>
      <x:c r="O515" s="13" t="str">
        <x:f>IF(G515=0,"n.a.",D515/G515)</x:f>
        <x:v>n.a.</x:v>
      </x:c>
      <x:c r="P515" s="15" t="str">
        <x:f>IF(D515=0,"n.a.",E515/D515)</x:f>
        <x:v>n.a.</x:v>
      </x:c>
    </x:row>
    <x:row r="516" ht="22" customHeight="1">
      <x:c r="A516" s="3"/>
      <x:c r="B516" s="3" t="str">
        <x:v>2011-12</x:v>
      </x:c>
      <x:c r="C516" s="3" t="str">
        <x:v>Austria</x:v>
      </x:c>
      <x:c r="D516" s="13" t="n">
        <x:v>523.2</x:v>
      </x:c>
      <x:c r="E516" s="13" t="n">
        <x:v>0</x:v>
      </x:c>
      <x:c r="F516" s="13" t="n">
        <x:f>D516-E516</x:f>
        <x:v>523.2</x:v>
      </x:c>
      <x:c r="G516" s="14" t="n">
        <x:v>1</x:v>
      </x:c>
      <x:c r="H516" s="14" t="n">
        <x:v>0</x:v>
      </x:c>
      <x:c r="I516" s="14" t="n">
        <x:v>1</x:v>
      </x:c>
      <x:c r="J516" s="14" t="n">
        <x:v>0</x:v>
      </x:c>
      <x:c r="K516" s="14" t="n">
        <x:v>144</x:v>
      </x:c>
      <x:c r="L516" s="14" t="n">
        <x:v>0</x:v>
      </x:c>
      <x:c r="M516" s="13" t="n">
        <x:v>523.2</x:v>
      </x:c>
      <x:c r="N516" s="3" t="n">
        <x:v>6</x:v>
      </x:c>
      <x:c r="O516" s="13" t="n">
        <x:f>IF(G516=0,"n.a.",D516/G516)</x:f>
        <x:v>523.2</x:v>
      </x:c>
      <x:c r="P516" s="15" t="n">
        <x:f>IF(D516=0,"n.a.",E516/D516)</x:f>
        <x:v>0</x:v>
      </x:c>
    </x:row>
    <x:row r="517" ht="22" customHeight="1">
      <x:c r="A517" s="3"/>
      <x:c r="B517" s="3" t="str">
        <x:v>2011-12</x:v>
      </x:c>
      <x:c r="C517" s="3" t="str">
        <x:v>Bahrain</x:v>
      </x:c>
      <x:c r="D517" s="13" t="n">
        <x:v>0</x:v>
      </x:c>
      <x:c r="E517" s="13" t="n">
        <x:v>0</x:v>
      </x:c>
      <x:c r="F517" s="13" t="n">
        <x:f>D517-E517</x:f>
        <x:v>0</x:v>
      </x:c>
      <x:c r="G517" s="14" t="n">
        <x:v>0</x:v>
      </x:c>
      <x:c r="H517" s="14" t="n">
        <x:v>0</x:v>
      </x:c>
      <x:c r="I517" s="14" t="n">
        <x:v>0</x:v>
      </x:c>
      <x:c r="J517" s="14" t="n">
        <x:v>0</x:v>
      </x:c>
      <x:c r="K517" s="14" t="n">
        <x:v>0</x:v>
      </x:c>
      <x:c r="L517" s="14" t="n">
        <x:v>0</x:v>
      </x:c>
      <x:c r="M517" s="13" t="n">
        <x:v>0</x:v>
      </x:c>
      <x:c r="N517" s="3" t="n">
        <x:v>0</x:v>
      </x:c>
      <x:c r="O517" s="13" t="str">
        <x:f>IF(G517=0,"n.a.",D517/G517)</x:f>
        <x:v>n.a.</x:v>
      </x:c>
      <x:c r="P517" s="15" t="str">
        <x:f>IF(D517=0,"n.a.",E517/D517)</x:f>
        <x:v>n.a.</x:v>
      </x:c>
    </x:row>
    <x:row r="518" ht="22" customHeight="1">
      <x:c r="A518" s="3"/>
      <x:c r="B518" s="3" t="str">
        <x:v>2011-12</x:v>
      </x:c>
      <x:c r="C518" s="3" t="str">
        <x:v>Belgium</x:v>
      </x:c>
      <x:c r="D518" s="13" t="n">
        <x:v>1288.73</x:v>
      </x:c>
      <x:c r="E518" s="13" t="n">
        <x:v>8.3</x:v>
      </x:c>
      <x:c r="F518" s="13" t="n">
        <x:f>D518-E518</x:f>
        <x:v>1280.43</x:v>
      </x:c>
      <x:c r="G518" s="14" t="n">
        <x:v>4</x:v>
      </x:c>
      <x:c r="H518" s="14" t="n">
        <x:v>1</x:v>
      </x:c>
      <x:c r="I518" s="14" t="n">
        <x:v>4</x:v>
      </x:c>
      <x:c r="J518" s="14" t="n">
        <x:v>0</x:v>
      </x:c>
      <x:c r="K518" s="14" t="n">
        <x:v>1093</x:v>
      </x:c>
      <x:c r="L518" s="14" t="n">
        <x:v>4</x:v>
      </x:c>
      <x:c r="M518" s="13" t="n">
        <x:v>1288.73</x:v>
      </x:c>
      <x:c r="N518" s="3" t="n">
        <x:v>94</x:v>
      </x:c>
      <x:c r="O518" s="13" t="n">
        <x:f>IF(G518=0,"n.a.",D518/G518)</x:f>
        <x:v>322.1825</x:v>
      </x:c>
      <x:c r="P518" s="15" t="n">
        <x:f>IF(D518=0,"n.a.",E518/D518)</x:f>
        <x:v>0.006440449124331707</x:v>
      </x:c>
    </x:row>
    <x:row r="519" ht="22" customHeight="1">
      <x:c r="A519" s="3"/>
      <x:c r="B519" s="3" t="str">
        <x:v>2011-12</x:v>
      </x:c>
      <x:c r="C519" s="3" t="str">
        <x:v>Brazil</x:v>
      </x:c>
      <x:c r="D519" s="13" t="n">
        <x:v>0</x:v>
      </x:c>
      <x:c r="E519" s="13" t="n">
        <x:v>0</x:v>
      </x:c>
      <x:c r="F519" s="13" t="n">
        <x:f>D519-E519</x:f>
        <x:v>0</x:v>
      </x:c>
      <x:c r="G519" s="14" t="n">
        <x:v>0</x:v>
      </x:c>
      <x:c r="H519" s="14" t="n">
        <x:v>0</x:v>
      </x:c>
      <x:c r="I519" s="14" t="n">
        <x:v>0</x:v>
      </x:c>
      <x:c r="J519" s="14" t="n">
        <x:v>0</x:v>
      </x:c>
      <x:c r="K519" s="14" t="n">
        <x:v>0</x:v>
      </x:c>
      <x:c r="L519" s="14" t="n">
        <x:v>0</x:v>
      </x:c>
      <x:c r="M519" s="13" t="n">
        <x:v>0</x:v>
      </x:c>
      <x:c r="N519" s="3" t="n">
        <x:v>0</x:v>
      </x:c>
      <x:c r="O519" s="13" t="str">
        <x:f>IF(G519=0,"n.a.",D519/G519)</x:f>
        <x:v>n.a.</x:v>
      </x:c>
      <x:c r="P519" s="15" t="str">
        <x:f>IF(D519=0,"n.a.",E519/D519)</x:f>
        <x:v>n.a.</x:v>
      </x:c>
    </x:row>
    <x:row r="520" ht="22" customHeight="1">
      <x:c r="A520" s="3"/>
      <x:c r="B520" s="3" t="str">
        <x:v>2011-12</x:v>
      </x:c>
      <x:c r="C520" s="3" t="str">
        <x:v>Canada</x:v>
      </x:c>
      <x:c r="D520" s="13" t="n">
        <x:v>0</x:v>
      </x:c>
      <x:c r="E520" s="13" t="n">
        <x:v>0</x:v>
      </x:c>
      <x:c r="F520" s="13" t="n">
        <x:f>D520-E520</x:f>
        <x:v>0</x:v>
      </x:c>
      <x:c r="G520" s="14" t="n">
        <x:v>0</x:v>
      </x:c>
      <x:c r="H520" s="14" t="n">
        <x:v>0</x:v>
      </x:c>
      <x:c r="I520" s="14" t="n">
        <x:v>0</x:v>
      </x:c>
      <x:c r="J520" s="14" t="n">
        <x:v>0</x:v>
      </x:c>
      <x:c r="K520" s="14" t="n">
        <x:v>0</x:v>
      </x:c>
      <x:c r="L520" s="14" t="n">
        <x:v>0</x:v>
      </x:c>
      <x:c r="M520" s="13" t="n">
        <x:v>0</x:v>
      </x:c>
      <x:c r="N520" s="3" t="n">
        <x:v>0</x:v>
      </x:c>
      <x:c r="O520" s="13" t="str">
        <x:f>IF(G520=0,"n.a.",D520/G520)</x:f>
        <x:v>n.a.</x:v>
      </x:c>
      <x:c r="P520" s="15" t="str">
        <x:f>IF(D520=0,"n.a.",E520/D520)</x:f>
        <x:v>n.a.</x:v>
      </x:c>
    </x:row>
    <x:row r="521" ht="22" customHeight="1">
      <x:c r="A521" s="3"/>
      <x:c r="B521" s="3" t="str">
        <x:v>2011-12</x:v>
      </x:c>
      <x:c r="C521" s="3" t="str">
        <x:v>Channel Islands</x:v>
      </x:c>
      <x:c r="D521" s="13" t="n">
        <x:v>198.4</x:v>
      </x:c>
      <x:c r="E521" s="13" t="n">
        <x:v>4.25</x:v>
      </x:c>
      <x:c r="F521" s="13" t="n">
        <x:f>D521-E521</x:f>
        <x:v>194.15</x:v>
      </x:c>
      <x:c r="G521" s="14" t="n">
        <x:v>1</x:v>
      </x:c>
      <x:c r="H521" s="14" t="n">
        <x:v>1</x:v>
      </x:c>
      <x:c r="I521" s="14" t="n">
        <x:v>1</x:v>
      </x:c>
      <x:c r="J521" s="14" t="n">
        <x:v>0</x:v>
      </x:c>
      <x:c r="K521" s="14" t="n">
        <x:v>60</x:v>
      </x:c>
      <x:c r="L521" s="14" t="n">
        <x:v>1</x:v>
      </x:c>
      <x:c r="M521" s="13" t="n">
        <x:v>198.4</x:v>
      </x:c>
      <x:c r="N521" s="3" t="n">
        <x:v>6</x:v>
      </x:c>
      <x:c r="O521" s="13" t="n">
        <x:f>IF(G521=0,"n.a.",D521/G521)</x:f>
        <x:v>198.4</x:v>
      </x:c>
      <x:c r="P521" s="15" t="n">
        <x:f>IF(D521=0,"n.a.",E521/D521)</x:f>
        <x:v>0.021421370967741934</x:v>
      </x:c>
    </x:row>
    <x:row r="522" ht="22" customHeight="1">
      <x:c r="A522" s="3"/>
      <x:c r="B522" s="3" t="str">
        <x:v>2011-12</x:v>
      </x:c>
      <x:c r="C522" s="3" t="str">
        <x:v>Cyprus</x:v>
      </x:c>
      <x:c r="D522" s="13" t="n">
        <x:v>0</x:v>
      </x:c>
      <x:c r="E522" s="13" t="n">
        <x:v>91.25</x:v>
      </x:c>
      <x:c r="F522" s="13" t="n">
        <x:f>D522-E522</x:f>
        <x:v>-91.25</x:v>
      </x:c>
      <x:c r="G522" s="14" t="n">
        <x:v>0</x:v>
      </x:c>
      <x:c r="H522" s="14" t="n">
        <x:v>1</x:v>
      </x:c>
      <x:c r="I522" s="14" t="n">
        <x:v>0</x:v>
      </x:c>
      <x:c r="J522" s="14" t="n">
        <x:v>0</x:v>
      </x:c>
      <x:c r="K522" s="14" t="n">
        <x:v>0</x:v>
      </x:c>
      <x:c r="L522" s="14" t="n">
        <x:v>6</x:v>
      </x:c>
      <x:c r="M522" s="13" t="n">
        <x:v>0</x:v>
      </x:c>
      <x:c r="N522" s="3" t="n">
        <x:v>4</x:v>
      </x:c>
      <x:c r="O522" s="13" t="str">
        <x:f>IF(G522=0,"n.a.",D522/G522)</x:f>
        <x:v>n.a.</x:v>
      </x:c>
      <x:c r="P522" s="15" t="str">
        <x:f>IF(D522=0,"n.a.",E522/D522)</x:f>
        <x:v>n.a.</x:v>
      </x:c>
    </x:row>
    <x:row r="523" ht="22" customHeight="1">
      <x:c r="A523" s="3"/>
      <x:c r="B523" s="3" t="str">
        <x:v>2011-12</x:v>
      </x:c>
      <x:c r="C523" s="3" t="str">
        <x:v>Czech Republic</x:v>
      </x:c>
      <x:c r="D523" s="13" t="n">
        <x:v>0</x:v>
      </x:c>
      <x:c r="E523" s="13" t="n">
        <x:v>0</x:v>
      </x:c>
      <x:c r="F523" s="13" t="n">
        <x:f>D523-E523</x:f>
        <x:v>0</x:v>
      </x:c>
      <x:c r="G523" s="14" t="n">
        <x:v>0</x:v>
      </x:c>
      <x:c r="H523" s="14" t="n">
        <x:v>0</x:v>
      </x:c>
      <x:c r="I523" s="14" t="n">
        <x:v>0</x:v>
      </x:c>
      <x:c r="J523" s="14" t="n">
        <x:v>0</x:v>
      </x:c>
      <x:c r="K523" s="14" t="n">
        <x:v>0</x:v>
      </x:c>
      <x:c r="L523" s="14" t="n">
        <x:v>0</x:v>
      </x:c>
      <x:c r="M523" s="13" t="n">
        <x:v>0</x:v>
      </x:c>
      <x:c r="N523" s="3" t="n">
        <x:v>0</x:v>
      </x:c>
      <x:c r="O523" s="13" t="str">
        <x:f>IF(G523=0,"n.a.",D523/G523)</x:f>
        <x:v>n.a.</x:v>
      </x:c>
      <x:c r="P523" s="15" t="str">
        <x:f>IF(D523=0,"n.a.",E523/D523)</x:f>
        <x:v>n.a.</x:v>
      </x:c>
    </x:row>
    <x:row r="524" ht="22" customHeight="1">
      <x:c r="A524" s="3"/>
      <x:c r="B524" s="3" t="str">
        <x:v>2011-12</x:v>
      </x:c>
      <x:c r="C524" s="3" t="str">
        <x:v>Denmark</x:v>
      </x:c>
      <x:c r="D524" s="13" t="n">
        <x:v>150.9</x:v>
      </x:c>
      <x:c r="E524" s="13" t="n">
        <x:v>0</x:v>
      </x:c>
      <x:c r="F524" s="13" t="n">
        <x:f>D524-E524</x:f>
        <x:v>150.9</x:v>
      </x:c>
      <x:c r="G524" s="14" t="n">
        <x:v>1</x:v>
      </x:c>
      <x:c r="H524" s="14" t="n">
        <x:v>0</x:v>
      </x:c>
      <x:c r="I524" s="14" t="n">
        <x:v>1</x:v>
      </x:c>
      <x:c r="J524" s="14" t="n">
        <x:v>0</x:v>
      </x:c>
      <x:c r="K524" s="14" t="n">
        <x:v>172</x:v>
      </x:c>
      <x:c r="L524" s="14" t="n">
        <x:v>0</x:v>
      </x:c>
      <x:c r="M524" s="13" t="n">
        <x:v>150.9</x:v>
      </x:c>
      <x:c r="N524" s="3" t="n">
        <x:v>10</x:v>
      </x:c>
      <x:c r="O524" s="13" t="n">
        <x:f>IF(G524=0,"n.a.",D524/G524)</x:f>
        <x:v>150.9</x:v>
      </x:c>
      <x:c r="P524" s="15" t="n">
        <x:f>IF(D524=0,"n.a.",E524/D524)</x:f>
        <x:v>0</x:v>
      </x:c>
    </x:row>
    <x:row r="525" ht="22" customHeight="1">
      <x:c r="A525" s="3"/>
      <x:c r="B525" s="3" t="str">
        <x:v>2011-12</x:v>
      </x:c>
      <x:c r="C525" s="3" t="str">
        <x:v>EIRE</x:v>
      </x:c>
      <x:c r="D525" s="13" t="n">
        <x:v>7140.89</x:v>
      </x:c>
      <x:c r="E525" s="13" t="n">
        <x:v>17.85</x:v>
      </x:c>
      <x:c r="F525" s="13" t="n">
        <x:f>D525-E525</x:f>
        <x:v>7123.04</x:v>
      </x:c>
      <x:c r="G525" s="14" t="n">
        <x:v>10</x:v>
      </x:c>
      <x:c r="H525" s="14" t="n">
        <x:v>2</x:v>
      </x:c>
      <x:c r="I525" s="14" t="n">
        <x:v>1</x:v>
      </x:c>
      <x:c r="J525" s="14" t="n">
        <x:v>1</x:v>
      </x:c>
      <x:c r="K525" s="14" t="n">
        <x:v>4118</x:v>
      </x:c>
      <x:c r="L525" s="14" t="n">
        <x:v>3</x:v>
      </x:c>
      <x:c r="M525" s="13" t="n">
        <x:v>6828.92</x:v>
      </x:c>
      <x:c r="N525" s="3" t="n">
        <x:v>331</x:v>
      </x:c>
      <x:c r="O525" s="13" t="n">
        <x:f>IF(G525=0,"n.a.",D525/G525)</x:f>
        <x:v>714.089</x:v>
      </x:c>
      <x:c r="P525" s="15" t="n">
        <x:f>IF(D525=0,"n.a.",E525/D525)</x:f>
        <x:v>0.002499688414189268</x:v>
      </x:c>
    </x:row>
    <x:row r="526" ht="22" customHeight="1">
      <x:c r="A526" s="3"/>
      <x:c r="B526" s="3" t="str">
        <x:v>2011-12</x:v>
      </x:c>
      <x:c r="C526" s="3" t="str">
        <x:v>European Community</x:v>
      </x:c>
      <x:c r="D526" s="13" t="n">
        <x:v>0</x:v>
      </x:c>
      <x:c r="E526" s="13" t="n">
        <x:v>0</x:v>
      </x:c>
      <x:c r="F526" s="13" t="n">
        <x:f>D526-E526</x:f>
        <x:v>0</x:v>
      </x:c>
      <x:c r="G526" s="14" t="n">
        <x:v>0</x:v>
      </x:c>
      <x:c r="H526" s="14" t="n">
        <x:v>0</x:v>
      </x:c>
      <x:c r="I526" s="14" t="n">
        <x:v>0</x:v>
      </x:c>
      <x:c r="J526" s="14" t="n">
        <x:v>0</x:v>
      </x:c>
      <x:c r="K526" s="14" t="n">
        <x:v>0</x:v>
      </x:c>
      <x:c r="L526" s="14" t="n">
        <x:v>0</x:v>
      </x:c>
      <x:c r="M526" s="13" t="n">
        <x:v>0</x:v>
      </x:c>
      <x:c r="N526" s="3" t="n">
        <x:v>0</x:v>
      </x:c>
      <x:c r="O526" s="13" t="str">
        <x:f>IF(G526=0,"n.a.",D526/G526)</x:f>
        <x:v>n.a.</x:v>
      </x:c>
      <x:c r="P526" s="15" t="str">
        <x:f>IF(D526=0,"n.a.",E526/D526)</x:f>
        <x:v>n.a.</x:v>
      </x:c>
    </x:row>
    <x:row r="527" ht="22" customHeight="1">
      <x:c r="A527" s="3"/>
      <x:c r="B527" s="3" t="str">
        <x:v>2011-12</x:v>
      </x:c>
      <x:c r="C527" s="3" t="str">
        <x:v>Finland</x:v>
      </x:c>
      <x:c r="D527" s="13" t="n">
        <x:v>1072.76</x:v>
      </x:c>
      <x:c r="E527" s="13" t="n">
        <x:v>2.08</x:v>
      </x:c>
      <x:c r="F527" s="13" t="n">
        <x:f>D527-E527</x:f>
        <x:v>1070.68</x:v>
      </x:c>
      <x:c r="G527" s="14" t="n">
        <x:v>3</x:v>
      </x:c>
      <x:c r="H527" s="14" t="n">
        <x:v>1</x:v>
      </x:c>
      <x:c r="I527" s="14" t="n">
        <x:v>3</x:v>
      </x:c>
      <x:c r="J527" s="14" t="n">
        <x:v>0</x:v>
      </x:c>
      <x:c r="K527" s="14" t="n">
        <x:v>346</x:v>
      </x:c>
      <x:c r="L527" s="14" t="n">
        <x:v>1</x:v>
      </x:c>
      <x:c r="M527" s="13" t="n">
        <x:v>1072.76</x:v>
      </x:c>
      <x:c r="N527" s="3" t="n">
        <x:v>11</x:v>
      </x:c>
      <x:c r="O527" s="13" t="n">
        <x:f>IF(G527=0,"n.a.",D527/G527)</x:f>
        <x:v>357.58666666666664</x:v>
      </x:c>
      <x:c r="P527" s="15" t="n">
        <x:f>IF(D527=0,"n.a.",E527/D527)</x:f>
        <x:v>0.0019389238972370335</x:v>
      </x:c>
    </x:row>
    <x:row r="528" ht="22" customHeight="1">
      <x:c r="A528" s="3"/>
      <x:c r="B528" s="3" t="str">
        <x:v>2011-12</x:v>
      </x:c>
      <x:c r="C528" s="3" t="str">
        <x:v>France</x:v>
      </x:c>
      <x:c r="D528" s="13" t="n">
        <x:v>6538.92</x:v>
      </x:c>
      <x:c r="E528" s="13" t="n">
        <x:v>147.65</x:v>
      </x:c>
      <x:c r="F528" s="13" t="n">
        <x:f>D528-E528</x:f>
        <x:v>6391.27</x:v>
      </x:c>
      <x:c r="G528" s="14" t="n">
        <x:v>17</x:v>
      </x:c>
      <x:c r="H528" s="14" t="n">
        <x:v>2</x:v>
      </x:c>
      <x:c r="I528" s="14" t="n">
        <x:v>17</x:v>
      </x:c>
      <x:c r="J528" s="14" t="n">
        <x:v>0</x:v>
      </x:c>
      <x:c r="K528" s="14" t="n">
        <x:v>3739</x:v>
      </x:c>
      <x:c r="L528" s="14" t="n">
        <x:v>132</x:v>
      </x:c>
      <x:c r="M528" s="13" t="n">
        <x:v>6538.92</x:v>
      </x:c>
      <x:c r="N528" s="3" t="n">
        <x:v>320</x:v>
      </x:c>
      <x:c r="O528" s="13" t="n">
        <x:f>IF(G528=0,"n.a.",D528/G528)</x:f>
        <x:v>384.64235294117645</x:v>
      </x:c>
      <x:c r="P528" s="15" t="n">
        <x:f>IF(D528=0,"n.a.",E528/D528)</x:f>
        <x:v>0.022580181436689852</x:v>
      </x:c>
    </x:row>
    <x:row r="529" ht="22" customHeight="1">
      <x:c r="A529" s="3"/>
      <x:c r="B529" s="3" t="str">
        <x:v>2011-12</x:v>
      </x:c>
      <x:c r="C529" s="3" t="str">
        <x:v>Germany</x:v>
      </x:c>
      <x:c r="D529" s="13" t="n">
        <x:v>7024.17</x:v>
      </x:c>
      <x:c r="E529" s="13" t="n">
        <x:v>179.47</x:v>
      </x:c>
      <x:c r="F529" s="13" t="n">
        <x:f>D529-E529</x:f>
        <x:v>6844.7</x:v>
      </x:c>
      <x:c r="G529" s="14" t="n">
        <x:v>17</x:v>
      </x:c>
      <x:c r="H529" s="14" t="n">
        <x:v>5</x:v>
      </x:c>
      <x:c r="I529" s="14" t="n">
        <x:v>12</x:v>
      </x:c>
      <x:c r="J529" s="14" t="n">
        <x:v>1</x:v>
      </x:c>
      <x:c r="K529" s="14" t="n">
        <x:v>3965</x:v>
      </x:c>
      <x:c r="L529" s="14" t="n">
        <x:v>73</x:v>
      </x:c>
      <x:c r="M529" s="13" t="n">
        <x:v>7024.17</x:v>
      </x:c>
      <x:c r="N529" s="3" t="n">
        <x:v>323</x:v>
      </x:c>
      <x:c r="O529" s="13" t="n">
        <x:f>IF(G529=0,"n.a.",D529/G529)</x:f>
        <x:v>413.1864705882353</x:v>
      </x:c>
      <x:c r="P529" s="15" t="n">
        <x:f>IF(D529=0,"n.a.",E529/D529)</x:f>
        <x:v>0.025550349721034656</x:v>
      </x:c>
    </x:row>
    <x:row r="530" ht="22" customHeight="1">
      <x:c r="A530" s="3"/>
      <x:c r="B530" s="3" t="str">
        <x:v>2011-12</x:v>
      </x:c>
      <x:c r="C530" s="3" t="str">
        <x:v>Greece</x:v>
      </x:c>
      <x:c r="D530" s="13" t="n">
        <x:v>545.99</x:v>
      </x:c>
      <x:c r="E530" s="13" t="n">
        <x:v>0</x:v>
      </x:c>
      <x:c r="F530" s="13" t="n">
        <x:f>D530-E530</x:f>
        <x:v>545.99</x:v>
      </x:c>
      <x:c r="G530" s="14" t="n">
        <x:v>1</x:v>
      </x:c>
      <x:c r="H530" s="14" t="n">
        <x:v>0</x:v>
      </x:c>
      <x:c r="I530" s="14" t="n">
        <x:v>1</x:v>
      </x:c>
      <x:c r="J530" s="14" t="n">
        <x:v>0</x:v>
      </x:c>
      <x:c r="K530" s="14" t="n">
        <x:v>233</x:v>
      </x:c>
      <x:c r="L530" s="14" t="n">
        <x:v>0</x:v>
      </x:c>
      <x:c r="M530" s="13" t="n">
        <x:v>545.99</x:v>
      </x:c>
      <x:c r="N530" s="3" t="n">
        <x:v>35</x:v>
      </x:c>
      <x:c r="O530" s="13" t="n">
        <x:f>IF(G530=0,"n.a.",D530/G530)</x:f>
        <x:v>545.99</x:v>
      </x:c>
      <x:c r="P530" s="15" t="n">
        <x:f>IF(D530=0,"n.a.",E530/D530)</x:f>
        <x:v>0</x:v>
      </x:c>
    </x:row>
    <x:row r="531" ht="22" customHeight="1">
      <x:c r="A531" s="3"/>
      <x:c r="B531" s="3" t="str">
        <x:v>2011-12</x:v>
      </x:c>
      <x:c r="C531" s="3" t="str">
        <x:v>Hong Kong</x:v>
      </x:c>
      <x:c r="D531" s="13" t="n">
        <x:v>0</x:v>
      </x:c>
      <x:c r="E531" s="13" t="n">
        <x:v>0</x:v>
      </x:c>
      <x:c r="F531" s="13" t="n">
        <x:f>D531-E531</x:f>
        <x:v>0</x:v>
      </x:c>
      <x:c r="G531" s="14" t="n">
        <x:v>0</x:v>
      </x:c>
      <x:c r="H531" s="14" t="n">
        <x:v>0</x:v>
      </x:c>
      <x:c r="I531" s="14" t="n">
        <x:v>0</x:v>
      </x:c>
      <x:c r="J531" s="14" t="n">
        <x:v>0</x:v>
      </x:c>
      <x:c r="K531" s="14" t="n">
        <x:v>0</x:v>
      </x:c>
      <x:c r="L531" s="14" t="n">
        <x:v>0</x:v>
      </x:c>
      <x:c r="M531" s="13" t="n">
        <x:v>0</x:v>
      </x:c>
      <x:c r="N531" s="3" t="n">
        <x:v>0</x:v>
      </x:c>
      <x:c r="O531" s="13" t="str">
        <x:f>IF(G531=0,"n.a.",D531/G531)</x:f>
        <x:v>n.a.</x:v>
      </x:c>
      <x:c r="P531" s="15" t="str">
        <x:f>IF(D531=0,"n.a.",E531/D531)</x:f>
        <x:v>n.a.</x:v>
      </x:c>
    </x:row>
    <x:row r="532" ht="22" customHeight="1">
      <x:c r="A532" s="3"/>
      <x:c r="B532" s="3" t="str">
        <x:v>2011-12</x:v>
      </x:c>
      <x:c r="C532" s="3" t="str">
        <x:v>Iceland</x:v>
      </x:c>
      <x:c r="D532" s="13" t="n">
        <x:v>224.82</x:v>
      </x:c>
      <x:c r="E532" s="13" t="n">
        <x:v>0</x:v>
      </x:c>
      <x:c r="F532" s="13" t="n">
        <x:f>D532-E532</x:f>
        <x:v>224.82</x:v>
      </x:c>
      <x:c r="G532" s="14" t="n">
        <x:v>1</x:v>
      </x:c>
      <x:c r="H532" s="14" t="n">
        <x:v>0</x:v>
      </x:c>
      <x:c r="I532" s="14" t="n">
        <x:v>1</x:v>
      </x:c>
      <x:c r="J532" s="14" t="n">
        <x:v>0</x:v>
      </x:c>
      <x:c r="K532" s="14" t="n">
        <x:v>192</x:v>
      </x:c>
      <x:c r="L532" s="14" t="n">
        <x:v>0</x:v>
      </x:c>
      <x:c r="M532" s="13" t="n">
        <x:v>224.82</x:v>
      </x:c>
      <x:c r="N532" s="3" t="n">
        <x:v>11</x:v>
      </x:c>
      <x:c r="O532" s="13" t="n">
        <x:f>IF(G532=0,"n.a.",D532/G532)</x:f>
        <x:v>224.82</x:v>
      </x:c>
      <x:c r="P532" s="15" t="n">
        <x:f>IF(D532=0,"n.a.",E532/D532)</x:f>
        <x:v>0</x:v>
      </x:c>
    </x:row>
    <x:row r="533" ht="22" customHeight="1">
      <x:c r="A533" s="3"/>
      <x:c r="B533" s="3" t="str">
        <x:v>2011-12</x:v>
      </x:c>
      <x:c r="C533" s="3" t="str">
        <x:v>Israel</x:v>
      </x:c>
      <x:c r="D533" s="13" t="n">
        <x:v>0</x:v>
      </x:c>
      <x:c r="E533" s="13" t="n">
        <x:v>0</x:v>
      </x:c>
      <x:c r="F533" s="13" t="n">
        <x:f>D533-E533</x:f>
        <x:v>0</x:v>
      </x:c>
      <x:c r="G533" s="14" t="n">
        <x:v>0</x:v>
      </x:c>
      <x:c r="H533" s="14" t="n">
        <x:v>0</x:v>
      </x:c>
      <x:c r="I533" s="14" t="n">
        <x:v>0</x:v>
      </x:c>
      <x:c r="J533" s="14" t="n">
        <x:v>0</x:v>
      </x:c>
      <x:c r="K533" s="14" t="n">
        <x:v>0</x:v>
      </x:c>
      <x:c r="L533" s="14" t="n">
        <x:v>0</x:v>
      </x:c>
      <x:c r="M533" s="13" t="n">
        <x:v>0</x:v>
      </x:c>
      <x:c r="N533" s="3" t="n">
        <x:v>0</x:v>
      </x:c>
      <x:c r="O533" s="13" t="str">
        <x:f>IF(G533=0,"n.a.",D533/G533)</x:f>
        <x:v>n.a.</x:v>
      </x:c>
      <x:c r="P533" s="15" t="str">
        <x:f>IF(D533=0,"n.a.",E533/D533)</x:f>
        <x:v>n.a.</x:v>
      </x:c>
    </x:row>
    <x:row r="534" ht="22" customHeight="1">
      <x:c r="A534" s="3"/>
      <x:c r="B534" s="3" t="str">
        <x:v>2011-12</x:v>
      </x:c>
      <x:c r="C534" s="3" t="str">
        <x:v>Italy</x:v>
      </x:c>
      <x:c r="D534" s="13" t="n">
        <x:v>200.45</x:v>
      </x:c>
      <x:c r="E534" s="13" t="n">
        <x:v>0</x:v>
      </x:c>
      <x:c r="F534" s="13" t="n">
        <x:f>D534-E534</x:f>
        <x:v>200.45</x:v>
      </x:c>
      <x:c r="G534" s="14" t="n">
        <x:v>1</x:v>
      </x:c>
      <x:c r="H534" s="14" t="n">
        <x:v>0</x:v>
      </x:c>
      <x:c r="I534" s="14" t="n">
        <x:v>1</x:v>
      </x:c>
      <x:c r="J534" s="14" t="n">
        <x:v>0</x:v>
      </x:c>
      <x:c r="K534" s="14" t="n">
        <x:v>45</x:v>
      </x:c>
      <x:c r="L534" s="14" t="n">
        <x:v>0</x:v>
      </x:c>
      <x:c r="M534" s="13" t="n">
        <x:v>200.45</x:v>
      </x:c>
      <x:c r="N534" s="3" t="n">
        <x:v>8</x:v>
      </x:c>
      <x:c r="O534" s="13" t="n">
        <x:f>IF(G534=0,"n.a.",D534/G534)</x:f>
        <x:v>200.45</x:v>
      </x:c>
      <x:c r="P534" s="15" t="n">
        <x:f>IF(D534=0,"n.a.",E534/D534)</x:f>
        <x:v>0</x:v>
      </x:c>
    </x:row>
    <x:row r="535" ht="22" customHeight="1">
      <x:c r="A535" s="3"/>
      <x:c r="B535" s="3" t="str">
        <x:v>2011-12</x:v>
      </x:c>
      <x:c r="C535" s="3" t="str">
        <x:v>Japan</x:v>
      </x:c>
      <x:c r="D535" s="13" t="n">
        <x:v>0</x:v>
      </x:c>
      <x:c r="E535" s="13" t="n">
        <x:v>116.93</x:v>
      </x:c>
      <x:c r="F535" s="13" t="n">
        <x:f>D535-E535</x:f>
        <x:v>-116.93</x:v>
      </x:c>
      <x:c r="G535" s="14" t="n">
        <x:v>0</x:v>
      </x:c>
      <x:c r="H535" s="14" t="n">
        <x:v>1</x:v>
      </x:c>
      <x:c r="I535" s="14" t="n">
        <x:v>0</x:v>
      </x:c>
      <x:c r="J535" s="14" t="n">
        <x:v>0</x:v>
      </x:c>
      <x:c r="K535" s="14" t="n">
        <x:v>0</x:v>
      </x:c>
      <x:c r="L535" s="14" t="n">
        <x:v>49</x:v>
      </x:c>
      <x:c r="M535" s="13" t="n">
        <x:v>0</x:v>
      </x:c>
      <x:c r="N535" s="3" t="n">
        <x:v>8</x:v>
      </x:c>
      <x:c r="O535" s="13" t="str">
        <x:f>IF(G535=0,"n.a.",D535/G535)</x:f>
        <x:v>n.a.</x:v>
      </x:c>
      <x:c r="P535" s="15" t="str">
        <x:f>IF(D535=0,"n.a.",E535/D535)</x:f>
        <x:v>n.a.</x:v>
      </x:c>
    </x:row>
    <x:row r="536" ht="22" customHeight="1">
      <x:c r="A536" s="3"/>
      <x:c r="B536" s="3" t="str">
        <x:v>2011-12</x:v>
      </x:c>
      <x:c r="C536" s="3" t="str">
        <x:v>Lebanon</x:v>
      </x:c>
      <x:c r="D536" s="13" t="n">
        <x:v>0</x:v>
      </x:c>
      <x:c r="E536" s="13" t="n">
        <x:v>0</x:v>
      </x:c>
      <x:c r="F536" s="13" t="n">
        <x:f>D536-E536</x:f>
        <x:v>0</x:v>
      </x:c>
      <x:c r="G536" s="14" t="n">
        <x:v>0</x:v>
      </x:c>
      <x:c r="H536" s="14" t="n">
        <x:v>0</x:v>
      </x:c>
      <x:c r="I536" s="14" t="n">
        <x:v>0</x:v>
      </x:c>
      <x:c r="J536" s="14" t="n">
        <x:v>0</x:v>
      </x:c>
      <x:c r="K536" s="14" t="n">
        <x:v>0</x:v>
      </x:c>
      <x:c r="L536" s="14" t="n">
        <x:v>0</x:v>
      </x:c>
      <x:c r="M536" s="13" t="n">
        <x:v>0</x:v>
      </x:c>
      <x:c r="N536" s="3" t="n">
        <x:v>0</x:v>
      </x:c>
      <x:c r="O536" s="13" t="str">
        <x:f>IF(G536=0,"n.a.",D536/G536)</x:f>
        <x:v>n.a.</x:v>
      </x:c>
      <x:c r="P536" s="15" t="str">
        <x:f>IF(D536=0,"n.a.",E536/D536)</x:f>
        <x:v>n.a.</x:v>
      </x:c>
    </x:row>
    <x:row r="537" ht="22" customHeight="1">
      <x:c r="A537" s="3"/>
      <x:c r="B537" s="3" t="str">
        <x:v>2011-12</x:v>
      </x:c>
      <x:c r="C537" s="3" t="str">
        <x:v>Lithuania</x:v>
      </x:c>
      <x:c r="D537" s="13" t="n">
        <x:v>0</x:v>
      </x:c>
      <x:c r="E537" s="13" t="n">
        <x:v>0</x:v>
      </x:c>
      <x:c r="F537" s="13" t="n">
        <x:f>D537-E537</x:f>
        <x:v>0</x:v>
      </x:c>
      <x:c r="G537" s="14" t="n">
        <x:v>0</x:v>
      </x:c>
      <x:c r="H537" s="14" t="n">
        <x:v>0</x:v>
      </x:c>
      <x:c r="I537" s="14" t="n">
        <x:v>0</x:v>
      </x:c>
      <x:c r="J537" s="14" t="n">
        <x:v>0</x:v>
      </x:c>
      <x:c r="K537" s="14" t="n">
        <x:v>0</x:v>
      </x:c>
      <x:c r="L537" s="14" t="n">
        <x:v>0</x:v>
      </x:c>
      <x:c r="M537" s="13" t="n">
        <x:v>0</x:v>
      </x:c>
      <x:c r="N537" s="3" t="n">
        <x:v>0</x:v>
      </x:c>
      <x:c r="O537" s="13" t="str">
        <x:f>IF(G537=0,"n.a.",D537/G537)</x:f>
        <x:v>n.a.</x:v>
      </x:c>
      <x:c r="P537" s="15" t="str">
        <x:f>IF(D537=0,"n.a.",E537/D537)</x:f>
        <x:v>n.a.</x:v>
      </x:c>
    </x:row>
    <x:row r="538" ht="22" customHeight="1">
      <x:c r="A538" s="3"/>
      <x:c r="B538" s="3" t="str">
        <x:v>2011-12</x:v>
      </x:c>
      <x:c r="C538" s="3" t="str">
        <x:v>Malta</x:v>
      </x:c>
      <x:c r="D538" s="13" t="n">
        <x:v>0</x:v>
      </x:c>
      <x:c r="E538" s="13" t="n">
        <x:v>30.81</x:v>
      </x:c>
      <x:c r="F538" s="13" t="n">
        <x:f>D538-E538</x:f>
        <x:v>-30.81</x:v>
      </x:c>
      <x:c r="G538" s="14" t="n">
        <x:v>0</x:v>
      </x:c>
      <x:c r="H538" s="14" t="n">
        <x:v>1</x:v>
      </x:c>
      <x:c r="I538" s="14" t="n">
        <x:v>0</x:v>
      </x:c>
      <x:c r="J538" s="14" t="n">
        <x:v>0</x:v>
      </x:c>
      <x:c r="K538" s="14" t="n">
        <x:v>0</x:v>
      </x:c>
      <x:c r="L538" s="14" t="n">
        <x:v>8</x:v>
      </x:c>
      <x:c r="M538" s="13" t="n">
        <x:v>0</x:v>
      </x:c>
      <x:c r="N538" s="3" t="n">
        <x:v>5</x:v>
      </x:c>
      <x:c r="O538" s="13" t="str">
        <x:f>IF(G538=0,"n.a.",D538/G538)</x:f>
        <x:v>n.a.</x:v>
      </x:c>
      <x:c r="P538" s="15" t="str">
        <x:f>IF(D538=0,"n.a.",E538/D538)</x:f>
        <x:v>n.a.</x:v>
      </x:c>
    </x:row>
    <x:row r="539" ht="22" customHeight="1">
      <x:c r="A539" s="3"/>
      <x:c r="B539" s="3" t="str">
        <x:v>2011-12</x:v>
      </x:c>
      <x:c r="C539" s="3" t="str">
        <x:v>Netherlands</x:v>
      </x:c>
      <x:c r="D539" s="13" t="n">
        <x:v>11728.02</x:v>
      </x:c>
      <x:c r="E539" s="13" t="n">
        <x:v>0</x:v>
      </x:c>
      <x:c r="F539" s="13" t="n">
        <x:f>D539-E539</x:f>
        <x:v>11728.02</x:v>
      </x:c>
      <x:c r="G539" s="14" t="n">
        <x:v>3</x:v>
      </x:c>
      <x:c r="H539" s="14" t="n">
        <x:v>0</x:v>
      </x:c>
      <x:c r="I539" s="14" t="n">
        <x:v>1</x:v>
      </x:c>
      <x:c r="J539" s="14" t="n">
        <x:v>1</x:v>
      </x:c>
      <x:c r="K539" s="14" t="n">
        <x:v>7958</x:v>
      </x:c>
      <x:c r="L539" s="14" t="n">
        <x:v>0</x:v>
      </x:c>
      <x:c r="M539" s="13" t="n">
        <x:v>11728.02</x:v>
      </x:c>
      <x:c r="N539" s="3" t="n">
        <x:v>86</x:v>
      </x:c>
      <x:c r="O539" s="13" t="n">
        <x:f>IF(G539=0,"n.a.",D539/G539)</x:f>
        <x:v>3909.34</x:v>
      </x:c>
      <x:c r="P539" s="15" t="n">
        <x:f>IF(D539=0,"n.a.",E539/D539)</x:f>
        <x:v>0</x:v>
      </x:c>
    </x:row>
    <x:row r="540" ht="22" customHeight="1">
      <x:c r="A540" s="3"/>
      <x:c r="B540" s="3" t="str">
        <x:v>2011-12</x:v>
      </x:c>
      <x:c r="C540" s="3" t="str">
        <x:v>Norway</x:v>
      </x:c>
      <x:c r="D540" s="13" t="n">
        <x:v>2745.7</x:v>
      </x:c>
      <x:c r="E540" s="13" t="n">
        <x:v>0</x:v>
      </x:c>
      <x:c r="F540" s="13" t="n">
        <x:f>D540-E540</x:f>
        <x:v>2745.7</x:v>
      </x:c>
      <x:c r="G540" s="14" t="n">
        <x:v>3</x:v>
      </x:c>
      <x:c r="H540" s="14" t="n">
        <x:v>0</x:v>
      </x:c>
      <x:c r="I540" s="14" t="n">
        <x:v>2</x:v>
      </x:c>
      <x:c r="J540" s="14" t="n">
        <x:v>1</x:v>
      </x:c>
      <x:c r="K540" s="14" t="n">
        <x:v>2318</x:v>
      </x:c>
      <x:c r="L540" s="14" t="n">
        <x:v>0</x:v>
      </x:c>
      <x:c r="M540" s="13" t="n">
        <x:v>2745.7</x:v>
      </x:c>
      <x:c r="N540" s="3" t="n">
        <x:v>72</x:v>
      </x:c>
      <x:c r="O540" s="13" t="n">
        <x:f>IF(G540=0,"n.a.",D540/G540)</x:f>
        <x:v>915.2333333333332</x:v>
      </x:c>
      <x:c r="P540" s="15" t="n">
        <x:f>IF(D540=0,"n.a.",E540/D540)</x:f>
        <x:v>0</x:v>
      </x:c>
    </x:row>
    <x:row r="541" ht="22" customHeight="1">
      <x:c r="A541" s="3"/>
      <x:c r="B541" s="3" t="str">
        <x:v>2011-12</x:v>
      </x:c>
      <x:c r="C541" s="3" t="str">
        <x:v>Poland</x:v>
      </x:c>
      <x:c r="D541" s="13" t="n">
        <x:v>0</x:v>
      </x:c>
      <x:c r="E541" s="13" t="n">
        <x:v>0</x:v>
      </x:c>
      <x:c r="F541" s="13" t="n">
        <x:f>D541-E541</x:f>
        <x:v>0</x:v>
      </x:c>
      <x:c r="G541" s="14" t="n">
        <x:v>0</x:v>
      </x:c>
      <x:c r="H541" s="14" t="n">
        <x:v>0</x:v>
      </x:c>
      <x:c r="I541" s="14" t="n">
        <x:v>0</x:v>
      </x:c>
      <x:c r="J541" s="14" t="n">
        <x:v>0</x:v>
      </x:c>
      <x:c r="K541" s="14" t="n">
        <x:v>0</x:v>
      </x:c>
      <x:c r="L541" s="14" t="n">
        <x:v>0</x:v>
      </x:c>
      <x:c r="M541" s="13" t="n">
        <x:v>0</x:v>
      </x:c>
      <x:c r="N541" s="3" t="n">
        <x:v>0</x:v>
      </x:c>
      <x:c r="O541" s="13" t="str">
        <x:f>IF(G541=0,"n.a.",D541/G541)</x:f>
        <x:v>n.a.</x:v>
      </x:c>
      <x:c r="P541" s="15" t="str">
        <x:f>IF(D541=0,"n.a.",E541/D541)</x:f>
        <x:v>n.a.</x:v>
      </x:c>
    </x:row>
    <x:row r="542" ht="22" customHeight="1">
      <x:c r="A542" s="3"/>
      <x:c r="B542" s="3" t="str">
        <x:v>2011-12</x:v>
      </x:c>
      <x:c r="C542" s="3" t="str">
        <x:v>Portugal</x:v>
      </x:c>
      <x:c r="D542" s="13" t="n">
        <x:v>2416.19</x:v>
      </x:c>
      <x:c r="E542" s="13" t="n">
        <x:v>6.24</x:v>
      </x:c>
      <x:c r="F542" s="13" t="n">
        <x:f>D542-E542</x:f>
        <x:v>2409.9500000000003</x:v>
      </x:c>
      <x:c r="G542" s="14" t="n">
        <x:v>4</x:v>
      </x:c>
      <x:c r="H542" s="14" t="n">
        <x:v>1</x:v>
      </x:c>
      <x:c r="I542" s="14" t="n">
        <x:v>4</x:v>
      </x:c>
      <x:c r="J542" s="14" t="n">
        <x:v>0</x:v>
      </x:c>
      <x:c r="K542" s="14" t="n">
        <x:v>1555</x:v>
      </x:c>
      <x:c r="L542" s="14" t="n">
        <x:v>3</x:v>
      </x:c>
      <x:c r="M542" s="13" t="n">
        <x:v>2416.19</x:v>
      </x:c>
      <x:c r="N542" s="3" t="n">
        <x:v>98</x:v>
      </x:c>
      <x:c r="O542" s="13" t="n">
        <x:f>IF(G542=0,"n.a.",D542/G542)</x:f>
        <x:v>604.0475</x:v>
      </x:c>
      <x:c r="P542" s="15" t="n">
        <x:f>IF(D542=0,"n.a.",E542/D542)</x:f>
        <x:v>0.0025825783568345206</x:v>
      </x:c>
    </x:row>
    <x:row r="543" ht="22" customHeight="1">
      <x:c r="A543" s="3"/>
      <x:c r="B543" s="3" t="str">
        <x:v>2011-12</x:v>
      </x:c>
      <x:c r="C543" s="3" t="str">
        <x:v>RSA</x:v>
      </x:c>
      <x:c r="D543" s="13" t="n">
        <x:v>0</x:v>
      </x:c>
      <x:c r="E543" s="13" t="n">
        <x:v>0</x:v>
      </x:c>
      <x:c r="F543" s="13" t="n">
        <x:f>D543-E543</x:f>
        <x:v>0</x:v>
      </x:c>
      <x:c r="G543" s="14" t="n">
        <x:v>0</x:v>
      </x:c>
      <x:c r="H543" s="14" t="n">
        <x:v>0</x:v>
      </x:c>
      <x:c r="I543" s="14" t="n">
        <x:v>0</x:v>
      </x:c>
      <x:c r="J543" s="14" t="n">
        <x:v>0</x:v>
      </x:c>
      <x:c r="K543" s="14" t="n">
        <x:v>0</x:v>
      </x:c>
      <x:c r="L543" s="14" t="n">
        <x:v>0</x:v>
      </x:c>
      <x:c r="M543" s="13" t="n">
        <x:v>0</x:v>
      </x:c>
      <x:c r="N543" s="3" t="n">
        <x:v>0</x:v>
      </x:c>
      <x:c r="O543" s="13" t="str">
        <x:f>IF(G543=0,"n.a.",D543/G543)</x:f>
        <x:v>n.a.</x:v>
      </x:c>
      <x:c r="P543" s="15" t="str">
        <x:f>IF(D543=0,"n.a.",E543/D543)</x:f>
        <x:v>n.a.</x:v>
      </x:c>
    </x:row>
    <x:row r="544" ht="22" customHeight="1">
      <x:c r="A544" s="3"/>
      <x:c r="B544" s="3" t="str">
        <x:v>2011-12</x:v>
      </x:c>
      <x:c r="C544" s="3" t="str">
        <x:v>Saudi Arabia</x:v>
      </x:c>
      <x:c r="D544" s="13" t="n">
        <x:v>0</x:v>
      </x:c>
      <x:c r="E544" s="13" t="n">
        <x:v>0</x:v>
      </x:c>
      <x:c r="F544" s="13" t="n">
        <x:f>D544-E544</x:f>
        <x:v>0</x:v>
      </x:c>
      <x:c r="G544" s="14" t="n">
        <x:v>0</x:v>
      </x:c>
      <x:c r="H544" s="14" t="n">
        <x:v>0</x:v>
      </x:c>
      <x:c r="I544" s="14" t="n">
        <x:v>0</x:v>
      </x:c>
      <x:c r="J544" s="14" t="n">
        <x:v>0</x:v>
      </x:c>
      <x:c r="K544" s="14" t="n">
        <x:v>0</x:v>
      </x:c>
      <x:c r="L544" s="14" t="n">
        <x:v>0</x:v>
      </x:c>
      <x:c r="M544" s="13" t="n">
        <x:v>0</x:v>
      </x:c>
      <x:c r="N544" s="3" t="n">
        <x:v>0</x:v>
      </x:c>
      <x:c r="O544" s="13" t="str">
        <x:f>IF(G544=0,"n.a.",D544/G544)</x:f>
        <x:v>n.a.</x:v>
      </x:c>
      <x:c r="P544" s="15" t="str">
        <x:f>IF(D544=0,"n.a.",E544/D544)</x:f>
        <x:v>n.a.</x:v>
      </x:c>
    </x:row>
    <x:row r="545" ht="22" customHeight="1">
      <x:c r="A545" s="3"/>
      <x:c r="B545" s="3" t="str">
        <x:v>2011-12</x:v>
      </x:c>
      <x:c r="C545" s="3" t="str">
        <x:v>Singapore</x:v>
      </x:c>
      <x:c r="D545" s="13" t="n">
        <x:v>0</x:v>
      </x:c>
      <x:c r="E545" s="13" t="n">
        <x:v>0</x:v>
      </x:c>
      <x:c r="F545" s="13" t="n">
        <x:f>D545-E545</x:f>
        <x:v>0</x:v>
      </x:c>
      <x:c r="G545" s="14" t="n">
        <x:v>0</x:v>
      </x:c>
      <x:c r="H545" s="14" t="n">
        <x:v>0</x:v>
      </x:c>
      <x:c r="I545" s="14" t="n">
        <x:v>0</x:v>
      </x:c>
      <x:c r="J545" s="14" t="n">
        <x:v>0</x:v>
      </x:c>
      <x:c r="K545" s="14" t="n">
        <x:v>0</x:v>
      </x:c>
      <x:c r="L545" s="14" t="n">
        <x:v>0</x:v>
      </x:c>
      <x:c r="M545" s="13" t="n">
        <x:v>0</x:v>
      </x:c>
      <x:c r="N545" s="3" t="n">
        <x:v>0</x:v>
      </x:c>
      <x:c r="O545" s="13" t="str">
        <x:f>IF(G545=0,"n.a.",D545/G545)</x:f>
        <x:v>n.a.</x:v>
      </x:c>
      <x:c r="P545" s="15" t="str">
        <x:f>IF(D545=0,"n.a.",E545/D545)</x:f>
        <x:v>n.a.</x:v>
      </x:c>
    </x:row>
    <x:row r="546" ht="22" customHeight="1">
      <x:c r="A546" s="3"/>
      <x:c r="B546" s="3" t="str">
        <x:v>2011-12</x:v>
      </x:c>
      <x:c r="C546" s="3" t="str">
        <x:v>Spain</x:v>
      </x:c>
      <x:c r="D546" s="13" t="n">
        <x:v>288.21</x:v>
      </x:c>
      <x:c r="E546" s="13" t="n">
        <x:v>44.78</x:v>
      </x:c>
      <x:c r="F546" s="13" t="n">
        <x:f>D546-E546</x:f>
        <x:v>243.42999999999998</x:v>
      </x:c>
      <x:c r="G546" s="14" t="n">
        <x:v>2</x:v>
      </x:c>
      <x:c r="H546" s="14" t="n">
        <x:v>1</x:v>
      </x:c>
      <x:c r="I546" s="14" t="n">
        <x:v>2</x:v>
      </x:c>
      <x:c r="J546" s="14" t="n">
        <x:v>0</x:v>
      </x:c>
      <x:c r="K546" s="14" t="n">
        <x:v>273</x:v>
      </x:c>
      <x:c r="L546" s="14" t="n">
        <x:v>18</x:v>
      </x:c>
      <x:c r="M546" s="13" t="n">
        <x:v>288.21</x:v>
      </x:c>
      <x:c r="N546" s="3" t="n">
        <x:v>70</x:v>
      </x:c>
      <x:c r="O546" s="13" t="n">
        <x:f>IF(G546=0,"n.a.",D546/G546)</x:f>
        <x:v>144.105</x:v>
      </x:c>
      <x:c r="P546" s="15" t="n">
        <x:f>IF(D546=0,"n.a.",E546/D546)</x:f>
        <x:v>0.15537281843100517</x:v>
      </x:c>
    </x:row>
    <x:row r="547" ht="22" customHeight="1">
      <x:c r="A547" s="3"/>
      <x:c r="B547" s="3" t="str">
        <x:v>2011-12</x:v>
      </x:c>
      <x:c r="C547" s="3" t="str">
        <x:v>Sweden</x:v>
      </x:c>
      <x:c r="D547" s="13" t="n">
        <x:v>238</x:v>
      </x:c>
      <x:c r="E547" s="13" t="n">
        <x:v>238</x:v>
      </x:c>
      <x:c r="F547" s="13" t="n">
        <x:f>D547-E547</x:f>
        <x:v>0</x:v>
      </x:c>
      <x:c r="G547" s="14" t="n">
        <x:v>1</x:v>
      </x:c>
      <x:c r="H547" s="14" t="n">
        <x:v>1</x:v>
      </x:c>
      <x:c r="I547" s="14" t="n">
        <x:v>1</x:v>
      </x:c>
      <x:c r="J547" s="14" t="n">
        <x:v>0</x:v>
      </x:c>
      <x:c r="K547" s="14" t="n">
        <x:v>40</x:v>
      </x:c>
      <x:c r="L547" s="14" t="n">
        <x:v>40</x:v>
      </x:c>
      <x:c r="M547" s="13" t="n">
        <x:v>238</x:v>
      </x:c>
      <x:c r="N547" s="3" t="n">
        <x:v>2</x:v>
      </x:c>
      <x:c r="O547" s="13" t="n">
        <x:f>IF(G547=0,"n.a.",D547/G547)</x:f>
        <x:v>238</x:v>
      </x:c>
      <x:c r="P547" s="15" t="n">
        <x:f>IF(D547=0,"n.a.",E547/D547)</x:f>
        <x:v>1</x:v>
      </x:c>
    </x:row>
    <x:row r="548" ht="22" customHeight="1">
      <x:c r="A548" s="3"/>
      <x:c r="B548" s="3" t="str">
        <x:v>2011-12</x:v>
      </x:c>
      <x:c r="C548" s="3" t="str">
        <x:v>Switzerland</x:v>
      </x:c>
      <x:c r="D548" s="13" t="n">
        <x:v>0</x:v>
      </x:c>
      <x:c r="E548" s="13" t="n">
        <x:v>0</x:v>
      </x:c>
      <x:c r="F548" s="13" t="n">
        <x:f>D548-E548</x:f>
        <x:v>0</x:v>
      </x:c>
      <x:c r="G548" s="14" t="n">
        <x:v>0</x:v>
      </x:c>
      <x:c r="H548" s="14" t="n">
        <x:v>0</x:v>
      </x:c>
      <x:c r="I548" s="14" t="n">
        <x:v>0</x:v>
      </x:c>
      <x:c r="J548" s="14" t="n">
        <x:v>0</x:v>
      </x:c>
      <x:c r="K548" s="14" t="n">
        <x:v>0</x:v>
      </x:c>
      <x:c r="L548" s="14" t="n">
        <x:v>0</x:v>
      </x:c>
      <x:c r="M548" s="13" t="n">
        <x:v>0</x:v>
      </x:c>
      <x:c r="N548" s="3" t="n">
        <x:v>0</x:v>
      </x:c>
      <x:c r="O548" s="13" t="str">
        <x:f>IF(G548=0,"n.a.",D548/G548)</x:f>
        <x:v>n.a.</x:v>
      </x:c>
      <x:c r="P548" s="15" t="str">
        <x:f>IF(D548=0,"n.a.",E548/D548)</x:f>
        <x:v>n.a.</x:v>
      </x:c>
    </x:row>
    <x:row r="549" ht="22" customHeight="1">
      <x:c r="A549" s="3"/>
      <x:c r="B549" s="3" t="str">
        <x:v>2011-12</x:v>
      </x:c>
      <x:c r="C549" s="3" t="str">
        <x:v>USA</x:v>
      </x:c>
      <x:c r="D549" s="13" t="n">
        <x:v>885.24</x:v>
      </x:c>
      <x:c r="E549" s="13" t="n">
        <x:v>269.96</x:v>
      </x:c>
      <x:c r="F549" s="13" t="n">
        <x:f>D549-E549</x:f>
        <x:v>615.28</x:v>
      </x:c>
      <x:c r="G549" s="14" t="n">
        <x:v>2</x:v>
      </x:c>
      <x:c r="H549" s="14" t="n">
        <x:v>1</x:v>
      </x:c>
      <x:c r="I549" s="14" t="n">
        <x:v>2</x:v>
      </x:c>
      <x:c r="J549" s="14" t="n">
        <x:v>0</x:v>
      </x:c>
      <x:c r="K549" s="14" t="n">
        <x:v>604</x:v>
      </x:c>
      <x:c r="L549" s="14" t="n">
        <x:v>196</x:v>
      </x:c>
      <x:c r="M549" s="13" t="n">
        <x:v>885.24</x:v>
      </x:c>
      <x:c r="N549" s="3" t="n">
        <x:v>43</x:v>
      </x:c>
      <x:c r="O549" s="13" t="n">
        <x:f>IF(G549=0,"n.a.",D549/G549)</x:f>
        <x:v>442.62</x:v>
      </x:c>
      <x:c r="P549" s="15" t="n">
        <x:f>IF(D549=0,"n.a.",E549/D549)</x:f>
        <x:v>0.3049568478604672</x:v>
      </x:c>
    </x:row>
    <x:row r="550" ht="22" customHeight="1">
      <x:c r="A550" s="3"/>
      <x:c r="B550" s="3" t="str">
        <x:v>2011-12</x:v>
      </x:c>
      <x:c r="C550" s="3" t="str">
        <x:v>United Arab Emirates</x:v>
      </x:c>
      <x:c r="D550" s="13" t="n">
        <x:v>0</x:v>
      </x:c>
      <x:c r="E550" s="13" t="n">
        <x:v>0</x:v>
      </x:c>
      <x:c r="F550" s="13" t="n">
        <x:f>D550-E550</x:f>
        <x:v>0</x:v>
      </x:c>
      <x:c r="G550" s="14" t="n">
        <x:v>0</x:v>
      </x:c>
      <x:c r="H550" s="14" t="n">
        <x:v>0</x:v>
      </x:c>
      <x:c r="I550" s="14" t="n">
        <x:v>0</x:v>
      </x:c>
      <x:c r="J550" s="14" t="n">
        <x:v>0</x:v>
      </x:c>
      <x:c r="K550" s="14" t="n">
        <x:v>0</x:v>
      </x:c>
      <x:c r="L550" s="14" t="n">
        <x:v>0</x:v>
      </x:c>
      <x:c r="M550" s="13" t="n">
        <x:v>0</x:v>
      </x:c>
      <x:c r="N550" s="3" t="n">
        <x:v>0</x:v>
      </x:c>
      <x:c r="O550" s="13" t="str">
        <x:f>IF(G550=0,"n.a.",D550/G550)</x:f>
        <x:v>n.a.</x:v>
      </x:c>
      <x:c r="P550" s="15" t="str">
        <x:f>IF(D550=0,"n.a.",E550/D550)</x:f>
        <x:v>n.a.</x:v>
      </x:c>
    </x:row>
    <x:row r="551" ht="22" customHeight="1">
      <x:c r="A551" s="3"/>
      <x:c r="B551" s="3" t="str">
        <x:v>2011-12</x:v>
      </x:c>
      <x:c r="C551" s="3" t="str">
        <x:v>United Kingdom</x:v>
      </x:c>
      <x:c r="D551" s="13" t="n">
        <x:v>572282.68</x:v>
      </x:c>
      <x:c r="E551" s="13" t="n">
        <x:v>172969.19</x:v>
      </x:c>
      <x:c r="F551" s="13" t="n">
        <x:f>D551-E551</x:f>
        <x:v>399313.49000000005</x:v>
      </x:c>
      <x:c r="G551" s="14" t="n">
        <x:v>744</x:v>
      </x:c>
      <x:c r="H551" s="14" t="n">
        <x:v>118</x:v>
      </x:c>
      <x:c r="I551" s="14" t="n">
        <x:v>559</x:v>
      </x:c>
      <x:c r="J551" s="14" t="n">
        <x:v>101</x:v>
      </x:c>
      <x:c r="K551" s="14" t="n">
        <x:v>286428</x:v>
      </x:c>
      <x:c r="L551" s="14" t="n">
        <x:v>83016</x:v>
      </x:c>
      <x:c r="M551" s="13" t="n">
        <x:v>470331.81</x:v>
      </x:c>
      <x:c r="N551" s="3" t="n">
        <x:v>23836</x:v>
      </x:c>
      <x:c r="O551" s="13" t="n">
        <x:f>IF(G551=0,"n.a.",D551/G551)</x:f>
        <x:v>769.1971505376345</x:v>
      </x:c>
      <x:c r="P551" s="15" t="n">
        <x:f>IF(D551=0,"n.a.",E551/D551)</x:f>
        <x:v>0.3022443209359402</x:v>
      </x:c>
    </x:row>
    <x:row r="552" ht="22" customHeight="1">
      <x:c r="A552" s="3"/>
      <x:c r="B552" s="3" t="str">
        <x:v>2011-12</x:v>
      </x:c>
      <x:c r="C552" s="3" t="str">
        <x:v>Unspecified</x:v>
      </x:c>
      <x:c r="D552" s="13" t="n">
        <x:v>0</x:v>
      </x:c>
      <x:c r="E552" s="13" t="n">
        <x:v>0</x:v>
      </x:c>
      <x:c r="F552" s="13" t="n">
        <x:f>D552-E552</x:f>
        <x:v>0</x:v>
      </x:c>
      <x:c r="G552" s="14" t="n">
        <x:v>0</x:v>
      </x:c>
      <x:c r="H552" s="14" t="n">
        <x:v>0</x:v>
      </x:c>
      <x:c r="I552" s="14" t="n">
        <x:v>0</x:v>
      </x:c>
      <x:c r="J552" s="14" t="n">
        <x:v>0</x:v>
      </x:c>
      <x:c r="K552" s="14" t="n">
        <x:v>0</x:v>
      </x:c>
      <x:c r="L552" s="14" t="n">
        <x:v>0</x:v>
      </x:c>
      <x:c r="M552" s="13" t="n">
        <x:v>0</x:v>
      </x:c>
      <x:c r="N552" s="3" t="n">
        <x:v>0</x:v>
      </x:c>
      <x:c r="O552" s="13" t="str">
        <x:f>IF(G552=0,"n.a.",D552/G552)</x:f>
        <x:v>n.a.</x:v>
      </x:c>
      <x:c r="P552" s="15" t="str">
        <x:f>IF(D552=0,"n.a.",E552/D552)</x:f>
        <x:v>n.a.</x:v>
      </x:c>
    </x:row>
    <x:row r="553" ht="22" customHeight="1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  <x:c r="N553" s="3"/>
      <x:c r="O553" s="3"/>
      <x:c r="P553" s="3"/>
    </x:row>
  </x:sheetData>
  <x:pageMargins left="0.7" right="0.7" top="0.75" bottom="0.75" header="0.3" footer="0.3"/>
  <x:tableParts count="1">
    <x:tablePart xmlns:r="http://schemas.openxmlformats.org/officeDocument/2006/relationships" r:id="R4c49ff4bcf8944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2" customHeight="1">
      <x:c r="A2" s="3"/>
      <x:c r="B2" s="4" t="str">
        <x:v>RETAIL / SIGNAL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34" customHeight="1">
      <x:c r="A3" s="3"/>
      <x:c r="B3" s="5" t="str">
        <x:v>Los números, bajo la lupa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 ht="22" customHeight="1">
      <x:c r="A4" s="3"/>
      <x:c r="B4" s="7" t="str">
        <x:v>Alcance fijo: todas las filas del archivo. Los indicadores pueden solaparse.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</x:row>
    <x:row r="5" ht="2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ht="30" customHeight="1">
      <x:c r="A6" s="3"/>
      <x:c r="B6" s="12" t="str">
        <x:v>Control</x:v>
      </x:c>
      <x:c r="C6" s="12" t="str">
        <x:v>Cantidad</x:v>
      </x:c>
      <x:c r="D6" s="12" t="str">
        <x:v>Referencia</x:v>
      </x:c>
      <x:c r="E6" s="12" t="str">
        <x:v>Diferencia</x:v>
      </x:c>
      <x:c r="F6" s="12" t="str">
        <x:v>Resultado</x:v>
      </x:c>
      <x:c r="G6" s="3"/>
      <x:c r="H6" s="3"/>
      <x:c r="I6" s="3"/>
      <x:c r="J6" s="3"/>
      <x:c r="K6" s="3"/>
      <x:c r="L6" s="3"/>
      <x:c r="M6" s="3"/>
      <x:c r="N6" s="3"/>
      <x:c r="O6" s="3"/>
    </x:row>
    <x:row r="7" ht="22" customHeight="1">
      <x:c r="A7" s="3"/>
      <x:c r="B7" s="3" t="str">
        <x:v>Filas incluidas + excluidas = fuente</x:v>
      </x:c>
      <x:c r="C7" s="14" t="n">
        <x:v>541909</x:v>
      </x:c>
      <x:c r="D7" s="14" t="n">
        <x:v>541909</x:v>
      </x:c>
      <x:c r="E7" s="14" t="n">
        <x:f>C7-D7</x:f>
        <x:v>0</x:v>
      </x:c>
      <x:c r="F7" s="3" t="str">
        <x:f>IF(E7=0,"OK","REVISAR")</x:f>
        <x:v>OK</x:v>
      </x:c>
      <x:c r="G7" s="3"/>
      <x:c r="H7" s="3"/>
      <x:c r="I7" s="3"/>
      <x:c r="J7" s="3"/>
      <x:c r="K7" s="3"/>
      <x:c r="L7" s="3"/>
      <x:c r="M7" s="3"/>
      <x:c r="N7" s="3"/>
      <x:c r="O7" s="3"/>
    </x:row>
    <x:row r="8" ht="22" customHeight="1">
      <x:c r="A8" s="3"/>
      <x:c r="B8" s="3" t="str">
        <x:v>Conciliación importe firmado exacto</x:v>
      </x:c>
      <x:c r="C8" s="14" t="n">
        <x:v>9747747934</x:v>
      </x:c>
      <x:c r="D8" s="14" t="n">
        <x:v>9747747934</x:v>
      </x:c>
      <x:c r="E8" s="14" t="n">
        <x:f>C8-D8</x:f>
        <x:v>0</x:v>
      </x:c>
      <x:c r="F8" s="3" t="str">
        <x:f>IF(E8=0,"OK","REVISAR")</x:f>
        <x:v>OK</x:v>
      </x:c>
      <x:c r="G8" s="3"/>
      <x:c r="H8" s="3"/>
      <x:c r="I8" s="3"/>
      <x:c r="J8" s="3"/>
      <x:c r="K8" s="3"/>
      <x:c r="L8" s="3"/>
      <x:c r="M8" s="3"/>
      <x:c r="N8" s="3"/>
      <x:c r="O8" s="3"/>
    </x:row>
    <x:row r="9" ht="22" customHeight="1">
      <x:c r="A9" s="3"/>
      <x:c r="B9" s="3" t="str">
        <x:v>SQL vs pandas: filas</x:v>
      </x:c>
      <x:c r="C9" s="14" t="n">
        <x:v>536465</x:v>
      </x:c>
      <x:c r="D9" s="14" t="n">
        <x:v>536465</x:v>
      </x:c>
      <x:c r="E9" s="14" t="n">
        <x:f>C9-D9</x:f>
        <x:v>0</x:v>
      </x:c>
      <x:c r="F9" s="3" t="str">
        <x:f>IF(E9=0,"OK","REVISAR")</x:f>
        <x:v>OK</x:v>
      </x:c>
      <x:c r="G9" s="3"/>
      <x:c r="H9" s="3"/>
      <x:c r="I9" s="3"/>
      <x:c r="J9" s="3"/>
      <x:c r="K9" s="3"/>
      <x:c r="L9" s="3"/>
      <x:c r="M9" s="3"/>
      <x:c r="N9" s="3"/>
      <x:c r="O9" s="3"/>
    </x:row>
    <x:row r="10" ht="22" customHeight="1">
      <x:c r="A10" s="3"/>
      <x:c r="B10" s="3" t="str">
        <x:v>SQL vs pandas: milésimas GBP</x:v>
      </x:c>
      <x:c r="C10" s="14" t="n">
        <x:v>9792708883</x:v>
      </x:c>
      <x:c r="D10" s="14" t="n">
        <x:v>9792708883</x:v>
      </x:c>
      <x:c r="E10" s="14" t="n">
        <x:f>C10-D10</x:f>
        <x:v>0</x:v>
      </x:c>
      <x:c r="F10" s="3" t="str">
        <x:f>IF(E10=0,"OK","REVISAR")</x:f>
        <x:v>OK</x:v>
      </x:c>
      <x:c r="G10" s="3"/>
      <x:c r="H10" s="3"/>
      <x:c r="I10" s="3"/>
      <x:c r="J10" s="3"/>
      <x:c r="K10" s="3"/>
      <x:c r="L10" s="3"/>
      <x:c r="M10" s="3"/>
      <x:c r="N10" s="3"/>
      <x:c r="O10" s="3"/>
    </x:row>
    <x:row r="11" ht="22" customHeight="1">
      <x:c r="A11" s="3"/>
      <x:c r="B11" s="3" t="str">
        <x:v>SQL vs pandas: pedidos</x:v>
      </x:c>
      <x:c r="C11" s="14" t="n">
        <x:v>19773</x:v>
      </x:c>
      <x:c r="D11" s="14" t="n">
        <x:v>19773</x:v>
      </x:c>
      <x:c r="E11" s="14" t="n">
        <x:f>C11-D11</x:f>
        <x:v>0</x:v>
      </x:c>
      <x:c r="F11" s="3" t="str">
        <x:f>IF(E11=0,"OK","REVISAR")</x:f>
        <x:v>OK</x:v>
      </x:c>
      <x:c r="G11" s="3"/>
      <x:c r="H11" s="3"/>
      <x:c r="I11" s="3"/>
      <x:c r="J11" s="3"/>
      <x:c r="K11" s="3"/>
      <x:c r="L11" s="3"/>
      <x:c r="M11" s="3"/>
      <x:c r="N11" s="3"/>
      <x:c r="O11" s="3"/>
    </x:row>
    <x:row r="12" ht="22" customHeight="1">
      <x:c r="A12" s="3"/>
      <x:c r="B12" s="3" t="str">
        <x:v>Claves de fila únicas</x:v>
      </x:c>
      <x:c r="C12" s="14" t="n">
        <x:v>536465</x:v>
      </x:c>
      <x:c r="D12" s="14" t="n">
        <x:v>536465</x:v>
      </x:c>
      <x:c r="E12" s="14" t="n">
        <x:f>C12-D12</x:f>
        <x:v>0</x:v>
      </x:c>
      <x:c r="F12" s="3" t="str">
        <x:f>IF(E12=0,"OK","REVISAR")</x:f>
        <x:v>OK</x:v>
      </x:c>
      <x:c r="G12" s="3"/>
      <x:c r="H12" s="3"/>
      <x:c r="I12" s="3"/>
      <x:c r="J12" s="3"/>
      <x:c r="K12" s="3"/>
      <x:c r="L12" s="3"/>
      <x:c r="M12" s="3"/>
      <x:c r="N12" s="3"/>
      <x:c r="O12" s="3"/>
    </x:row>
    <x:row r="13" ht="22" customHeight="1">
      <x:c r="A13" s="3"/>
      <x:c r="B13" s="3" t="str">
        <x:v>Cada factura pertenece a un país</x:v>
      </x:c>
      <x:c r="C13" s="14" t="n">
        <x:v>1</x:v>
      </x:c>
      <x:c r="D13" s="14" t="n">
        <x:v>1</x:v>
      </x:c>
      <x:c r="E13" s="14" t="n">
        <x:f>C13-D13</x:f>
        <x:v>0</x:v>
      </x:c>
      <x:c r="F13" s="3" t="str">
        <x:f>IF(E13=0,"OK","REVISAR")</x:f>
        <x:v>OK</x:v>
      </x:c>
      <x:c r="G13" s="3"/>
      <x:c r="H13" s="3"/>
      <x:c r="I13" s="3"/>
      <x:c r="J13" s="3"/>
      <x:c r="K13" s="3"/>
      <x:c r="L13" s="3"/>
      <x:c r="M13" s="3"/>
      <x:c r="N13" s="3"/>
      <x:c r="O13" s="3"/>
    </x:row>
    <x:row r="14" ht="22" customHeight="1">
      <x:c r="A14" s="3"/>
      <x:c r="B14" s="3" t="str">
        <x:v>Cada factura pertenece a un mes</x:v>
      </x:c>
      <x:c r="C14" s="14" t="n">
        <x:v>1</x:v>
      </x:c>
      <x:c r="D14" s="14" t="n">
        <x:v>1</x:v>
      </x:c>
      <x:c r="E14" s="14" t="n">
        <x:f>C14-D14</x:f>
        <x:v>0</x:v>
      </x:c>
      <x:c r="F14" s="3" t="str">
        <x:f>IF(E14=0,"OK","REVISAR")</x:f>
        <x:v>OK</x:v>
      </x:c>
      <x:c r="G14" s="3"/>
      <x:c r="H14" s="3"/>
      <x:c r="I14" s="3"/>
      <x:c r="J14" s="3"/>
      <x:c r="K14" s="3"/>
      <x:c r="L14" s="3"/>
      <x:c r="M14" s="3"/>
      <x:c r="N14" s="3"/>
      <x:c r="O14" s="3"/>
    </x:row>
    <x:row r="15" ht="22" customHeight="1">
      <x:c r="A15" s="3"/>
      <x:c r="B15" s="3" t="str">
        <x:v>Producto único sin distinguir mayúsculas</x:v>
      </x:c>
      <x:c r="C15" s="14" t="n">
        <x:v>3813</x:v>
      </x:c>
      <x:c r="D15" s="14" t="n">
        <x:v>3813</x:v>
      </x:c>
      <x:c r="E15" s="14" t="n">
        <x:f>C15-D15</x:f>
        <x:v>0</x:v>
      </x:c>
      <x:c r="F15" s="3" t="str">
        <x:f>IF(E15=0,"OK","REVISAR")</x:f>
        <x:v>OK</x:v>
      </x:c>
      <x:c r="G15" s="3"/>
      <x:c r="H15" s="3"/>
      <x:c r="I15" s="3"/>
      <x:c r="J15" s="3"/>
      <x:c r="K15" s="3"/>
      <x:c r="L15" s="3"/>
      <x:c r="M15" s="3"/>
      <x:c r="N15" s="3"/>
      <x:c r="O15" s="3"/>
    </x:row>
    <x:row r="16" ht="22" customHeight="1">
      <x:c r="A16" s="3"/>
      <x:c r="B16" s="3" t="str">
        <x:v>Calendario sin huecos</x:v>
      </x:c>
      <x:c r="C16" s="14" t="n">
        <x:v>374</x:v>
      </x:c>
      <x:c r="D16" s="14" t="n">
        <x:v>374</x:v>
      </x:c>
      <x:c r="E16" s="14" t="n">
        <x:f>C16-D16</x:f>
        <x:v>0</x:v>
      </x:c>
      <x:c r="F16" s="3" t="str">
        <x:f>IF(E16=0,"OK","REVISAR")</x:f>
        <x:v>OK</x:v>
      </x:c>
      <x:c r="G16" s="3"/>
      <x:c r="H16" s="3"/>
      <x:c r="I16" s="3"/>
      <x:c r="J16" s="3"/>
      <x:c r="K16" s="3"/>
      <x:c r="L16" s="3"/>
      <x:c r="M16" s="3"/>
      <x:c r="N16" s="3"/>
      <x:c r="O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</x:row>
    <x:row r="20" ht="30" customHeight="1">
      <x:c r="A20" s="3"/>
      <x:c r="B20" s="12" t="str">
        <x:v>Incidencia</x:v>
      </x:c>
      <x:c r="C20" s="12" t="str">
        <x:v>Filas</x:v>
      </x:c>
      <x:c r="D20" s="12" t="str">
        <x:v>% fuente</x:v>
      </x:c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</x:row>
    <x:row r="21" ht="22" customHeight="1">
      <x:c r="A21" s="3"/>
      <x:c r="B21" s="3" t="str">
        <x:v>Filas fuente</x:v>
      </x:c>
      <x:c r="C21" s="14" t="n">
        <x:v>541909</x:v>
      </x:c>
      <x:c r="D21" s="15" t="n">
        <x:f>C21/$C$21</x:f>
        <x:v>1</x:v>
      </x:c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</x:row>
    <x:row r="22" ht="22" customHeight="1">
      <x:c r="A22" s="3"/>
      <x:c r="B22" s="3" t="str">
        <x:v>Filas incluidas: producto con precio positivo y signo válido</x:v>
      </x:c>
      <x:c r="C22" s="14" t="n">
        <x:v>536465</x:v>
      </x:c>
      <x:c r="D22" s="15" t="n">
        <x:f>C22/$C$21</x:f>
        <x:v>0.9899540328726779</x:v>
      </x:c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</x:row>
    <x:row r="23" ht="22" customHeight="1">
      <x:c r="A23" s="3"/>
      <x:c r="B23" s="3" t="str">
        <x:v>Filas fuera del alcance</x:v>
      </x:c>
      <x:c r="C23" s="14" t="n">
        <x:v>5444</x:v>
      </x:c>
      <x:c r="D23" s="15" t="n">
        <x:f>C23/$C$21</x:f>
        <x:v>0.010045967127322116</x:v>
      </x:c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</x:row>
    <x:row r="24" ht="22" customHeight="1">
      <x:c r="A24" s="3"/>
      <x:c r="B24" s="3" t="str">
        <x:v>Filas idénticas posteriores conservadas</x:v>
      </x:c>
      <x:c r="C24" s="14" t="n">
        <x:v>5268</x:v>
      </x:c>
      <x:c r="D24" s="15" t="n">
        <x:f>C24/$C$21</x:f>
        <x:v>0.009721189350979592</x:v>
      </x:c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</x:row>
    <x:row r="25" ht="22" customHeight="1">
      <x:c r="A25" s="3"/>
      <x:c r="B25" s="3" t="str">
        <x:v>Cliente desconocido (fuente)</x:v>
      </x:c>
      <x:c r="C25" s="14" t="n">
        <x:v>135080</x:v>
      </x:c>
      <x:c r="D25" s="15" t="n">
        <x:f>C25/$C$21</x:f>
        <x:v>0.249266943342886</x:v>
      </x:c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</x:row>
    <x:row r="26" ht="22" customHeight="1">
      <x:c r="A26" s="3"/>
      <x:c r="B26" s="3" t="str">
        <x:v>Descripción vacía original</x:v>
      </x:c>
      <x:c r="C26" s="14" t="n">
        <x:v>1454</x:v>
      </x:c>
      <x:c r="D26" s="15" t="n">
        <x:f>C26/$C$21</x:f>
        <x:v>0.002683107311375157</x:v>
      </x:c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</x:row>
    <x:row r="27" ht="22" customHeight="1">
      <x:c r="A27" s="3"/>
      <x:c r="B27" s="3" t="str">
        <x:v>Precio cero</x:v>
      </x:c>
      <x:c r="C27" s="14" t="n">
        <x:v>2515</x:v>
      </x:c>
      <x:c r="D27" s="15" t="n">
        <x:f>C27/$C$21</x:f>
        <x:v>0.004641000610803659</x:v>
      </x:c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</x:row>
    <x:row r="28" ht="22" customHeight="1">
      <x:c r="A28" s="3"/>
      <x:c r="B28" s="3" t="str">
        <x:v>Precio negativo</x:v>
      </x:c>
      <x:c r="C28" s="14" t="n">
        <x:v>2</x:v>
      </x:c>
      <x:c r="D28" s="15" t="n">
        <x:f>C28/$C$21</x:f>
        <x:v>0.000003690656549346846</x:v>
      </x:c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</x:row>
    <x:row r="32" ht="30" customHeight="1">
      <x:c r="A32" s="3"/>
      <x:c r="B32" s="12" t="str">
        <x:v>Conciliación de importes</x:v>
      </x:c>
      <x:c r="C32" s="12" t="str">
        <x:v>GBP</x:v>
      </x:c>
      <x:c r="D32" s="12" t="str">
        <x:v>Observación</x:v>
      </x:c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</x:row>
    <x:row r="33" ht="22" customHeight="1">
      <x:c r="A33" s="3"/>
      <x:c r="B33" s="3" t="str">
        <x:v>Importe firmado fuente</x:v>
      </x:c>
      <x:c r="C33" s="53" t="n">
        <x:v>9747747.934</x:v>
      </x:c>
      <x:c r="D33" s="3" t="str">
        <x:v>Productos + portes + ajustes + incidencias</x:v>
      </x:c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</x:row>
    <x:row r="34" ht="22" customHeight="1">
      <x:c r="A34" s="3"/>
      <x:c r="B34" s="3" t="str">
        <x:v>Ventas netas de productos</x:v>
      </x:c>
      <x:c r="C34" s="53" t="n">
        <x:v>9792708.883</x:v>
      </x:c>
      <x:c r="D34" s="3" t="str">
        <x:v>Indicador comercial principal</x:v>
      </x:c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</x:row>
    <x:row r="35" ht="22" customHeight="1">
      <x:c r="A35" s="3"/>
      <x:c r="B35" s="3" t="str">
        <x:v>Fuera del alcance</x:v>
      </x:c>
      <x:c r="C35" s="53" t="n">
        <x:v>-44960.949</x:v>
      </x:c>
      <x:c r="D35" s="3" t="str">
        <x:v>Detalle en reconciliation.csv</x:v>
      </x:c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</x:row>
    <x:row r="36" ht="22" customHeight="1">
      <x:c r="A36" s="3"/>
      <x:c r="B36" s="3" t="str">
        <x:v>Diferencia</x:v>
      </x:c>
      <x:c r="C36" s="53" t="n">
        <x:f>ROUND(C33-C34-C35,6)</x:f>
        <x:v>0</x:v>
      </x:c>
      <x:c r="D36" s="3" t="str">
        <x:v>Debe ser cero</x:v>
      </x:c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</x:row>
    <x:row r="40" ht="30" customHeight="1">
      <x:c r="A40" s="3"/>
      <x:c r="B40" s="12" t="str">
        <x:v>Sensibilidad a posibles duplicados</x:v>
      </x:c>
      <x:c r="C40" s="12" t="str">
        <x:v>GBP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</x:row>
    <x:row r="41" ht="22" customHeight="1">
      <x:c r="A41" s="3"/>
      <x:c r="B41" s="3" t="str">
        <x:v>Neto conservando filas idénticas</x:v>
      </x:c>
      <x:c r="C41" s="13" t="n">
        <x:v>9792708.883</x:v>
      </x:c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</x:row>
    <x:row r="42" ht="22" customHeight="1">
      <x:c r="A42" s="3"/>
      <x:c r="B42" s="3" t="str">
        <x:v>Neto eliminando repeticiones exactas</x:v>
      </x:c>
      <x:c r="C42" s="13" t="n">
        <x:v>9771318.163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</x:row>
    <x:row r="43" ht="22" customHeight="1">
      <x:c r="A43" s="3"/>
      <x:c r="B43" s="3" t="str">
        <x:v>Diferencia</x:v>
      </x:c>
      <x:c r="C43" s="13" t="n">
        <x:f>C41-C42</x:f>
        <x:v>21390.719999998808</x:v>
      </x:c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</x:row>
    <x:row r="47" ht="22" customHeight="1">
      <x:c r="A47" s="3"/>
      <x:c r="B47" s="3" t="str">
        <x:v>Dos pares extremos, venta y abono del mismo día, suman £245.653,20 en cada sentido.</x:v>
      </x:c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</x:row>
    <x:row r="48" ht="22" customHeight="1">
      <x:c r="A48" s="3"/>
      <x:c r="B48" s="3" t="str">
        <x:v>Se conservan. Influyen en ventas brutas y tasa de abonos, pero se compensan en el neto.</x:v>
      </x:c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</x:row>
    <x:row r="49" ht="22" customHeight="1">
      <x:c r="A49" s="3"/>
      <x:c r="B49" s="3" t="str">
        <x:v>No hay enlace al documento original: abonos/bruto no es una tasa de devoluciones de pedidos.</x:v>
      </x:c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</x:row>
    <x:row r="50" ht="22" customHeight="1">
      <x:c r="A50" s="3"/>
      <x:c r="B50" s="3" t="str">
        <x:v>No se calculan margen, beneficio ni rentabilidad porque no hay datos de costos.</x:v>
      </x:c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</x:row>
  </x:sheetData>
  <x:conditionalFormatting sqref="E7:E16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4" topLeftCell="A25" activePane="bottomLeft" state="frozen"/>
    </x:sheetView>
  </x:sheetViews>
  <x:sheetFormatPr defaultRowHeight="15"/>
  <x:cols>
    <x:col min="1" max="1" width="3" hidden="0" customWidth="1"/>
    <x:col min="2" max="2" width="14" hidden="0" customWidth="1"/>
    <x:col min="3" max="3" width="4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3"/>
      <x:c r="B2" s="4" t="str">
        <x:v>RETAIL / SIGNAL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7"/>
      <x:c r="N2" s="47"/>
      <x:c r="O2" s="47"/>
    </x:row>
    <x:row r="3" ht="34" customHeight="1">
      <x:c r="A3" s="3"/>
      <x:c r="B3" s="5" t="str">
        <x:v>Qué productos mueven el negocio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48"/>
      <x:c r="N3" s="48"/>
      <x:c r="O3" s="48"/>
    </x:row>
    <x:row r="4" ht="22" customHeight="1">
      <x:c r="A4" s="3"/>
      <x:c r="B4" s="7" t="str">
        <x:v>Periodo completo. Filtros propios en la tabla. Los códigos identifican productos.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50"/>
      <x:c r="N4" s="50"/>
      <x:c r="O4" s="50"/>
    </x:row>
    <x:row r="5" ht="2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30" customHeight="1">
      <x:c r="A6" s="3"/>
      <x:c r="B6" s="3"/>
      <x:c r="C6" s="3"/>
      <x:c r="D6" s="3"/>
      <x:c r="E6" s="3"/>
      <x:c r="F6" s="3"/>
      <x:c r="G6" s="3"/>
      <x:c r="H6" s="12" t="str">
        <x:v>Código</x:v>
      </x:c>
      <x:c r="I6" s="12" t="str">
        <x:v>Abonos GBP</x:v>
      </x:c>
      <x:c r="J6" s="12" t="str">
        <x:v>Bruto GBP</x:v>
      </x:c>
      <x:c r="K6" s="12" t="str">
        <x:v>Abonos / bruto</x:v>
      </x:c>
      <x:c r="L6" s="3"/>
    </x:row>
    <x:row r="7" ht="22" customHeight="1">
      <x:c r="A7" s="3"/>
      <x:c r="B7" s="3"/>
      <x:c r="C7" s="3"/>
      <x:c r="D7" s="3"/>
      <x:c r="E7" s="3"/>
      <x:c r="F7" s="3"/>
      <x:c r="G7" s="3"/>
      <x:c r="H7" s="3" t="str">
        <x:v>23843</x:v>
      </x:c>
      <x:c r="I7" s="13" t="n">
        <x:v>168469.6</x:v>
      </x:c>
      <x:c r="J7" s="13" t="n">
        <x:v>168469.6</x:v>
      </x:c>
      <x:c r="K7" s="15" t="n">
        <x:f>IF(J7=0,"n.a.",I7/J7)</x:f>
        <x:v>1</x:v>
      </x:c>
      <x:c r="L7" s="3"/>
    </x:row>
    <x:row r="8" ht="22" customHeight="1">
      <x:c r="A8" s="3"/>
      <x:c r="B8" s="3"/>
      <x:c r="C8" s="3"/>
      <x:c r="D8" s="3"/>
      <x:c r="E8" s="3"/>
      <x:c r="F8" s="3"/>
      <x:c r="G8" s="3"/>
      <x:c r="H8" s="3" t="str">
        <x:v>23166</x:v>
      </x:c>
      <x:c r="I8" s="13" t="n">
        <x:v>77479.64</x:v>
      </x:c>
      <x:c r="J8" s="13" t="n">
        <x:v>81700.92</x:v>
      </x:c>
      <x:c r="K8" s="15" t="n">
        <x:f>IF(J8=0,"n.a.",I8/J8)</x:f>
        <x:v>0.9483325279568455</x:v>
      </x:c>
      <x:c r="L8" s="3"/>
    </x:row>
    <x:row r="9" ht="22" customHeight="1">
      <x:c r="A9" s="3"/>
      <x:c r="B9" s="3"/>
      <x:c r="C9" s="3"/>
      <x:c r="D9" s="3"/>
      <x:c r="E9" s="3"/>
      <x:c r="F9" s="3"/>
      <x:c r="G9" s="3"/>
      <x:c r="H9" s="3" t="str">
        <x:v>22423</x:v>
      </x:c>
      <x:c r="I9" s="13" t="n">
        <x:v>9722.55</x:v>
      </x:c>
      <x:c r="J9" s="13" t="n">
        <x:v>174484.74</x:v>
      </x:c>
      <x:c r="K9" s="15" t="n">
        <x:f>IF(J9=0,"n.a.",I9/J9)</x:f>
        <x:v>0.0557214917476451</x:v>
      </x:c>
      <x:c r="L9" s="3"/>
    </x:row>
    <x:row r="10" ht="22" customHeight="1">
      <x:c r="A10" s="3"/>
      <x:c r="B10" s="3"/>
      <x:c r="C10" s="3"/>
      <x:c r="D10" s="3"/>
      <x:c r="E10" s="3"/>
      <x:c r="F10" s="3"/>
      <x:c r="G10" s="3"/>
      <x:c r="H10" s="3" t="str">
        <x:v>85123A</x:v>
      </x:c>
      <x:c r="I10" s="13" t="n">
        <x:v>6624.3</x:v>
      </x:c>
      <x:c r="J10" s="13" t="n">
        <x:v>106471.28</x:v>
      </x:c>
      <x:c r="K10" s="15" t="n">
        <x:f>IF(J10=0,"n.a.",I10/J10)</x:f>
        <x:v>0.062216778083254</x:v>
      </x:c>
      <x:c r="L10" s="3"/>
    </x:row>
    <x:row r="11" ht="22" customHeight="1">
      <x:c r="A11" s="3"/>
      <x:c r="B11" s="3"/>
      <x:c r="C11" s="3"/>
      <x:c r="D11" s="3"/>
      <x:c r="E11" s="3"/>
      <x:c r="F11" s="3"/>
      <x:c r="G11" s="3"/>
      <x:c r="H11" s="3" t="str">
        <x:v>21108</x:v>
      </x:c>
      <x:c r="I11" s="13" t="n">
        <x:v>6591.42</x:v>
      </x:c>
      <x:c r="J11" s="13" t="n">
        <x:v>18069.28</x:v>
      </x:c>
      <x:c r="K11" s="15" t="n">
        <x:f>IF(J11=0,"n.a.",I11/J11)</x:f>
        <x:v>0.3647859792974596</x:v>
      </x:c>
      <x:c r="L11" s="3"/>
    </x:row>
    <x:row r="12" ht="22" customHeight="1">
      <x:c r="A12" s="3"/>
      <x:c r="B12" s="3"/>
      <x:c r="C12" s="3"/>
      <x:c r="D12" s="3"/>
      <x:c r="E12" s="3"/>
      <x:c r="F12" s="3"/>
      <x:c r="G12" s="3"/>
      <x:c r="H12" s="3" t="str">
        <x:v>23113</x:v>
      </x:c>
      <x:c r="I12" s="13" t="n">
        <x:v>4803.06</x:v>
      </x:c>
      <x:c r="J12" s="13" t="n">
        <x:v>5868.5</x:v>
      </x:c>
      <x:c r="K12" s="15" t="n">
        <x:f>IF(J12=0,"n.a.",I12/J12)</x:f>
        <x:v>0.818447644202096</x:v>
      </x:c>
      <x:c r="L12" s="3"/>
    </x:row>
    <x:row r="13" ht="22" customHeight="1">
      <x:c r="A13" s="3"/>
      <x:c r="B13" s="3"/>
      <x:c r="C13" s="3"/>
      <x:c r="D13" s="3"/>
      <x:c r="E13" s="3"/>
      <x:c r="F13" s="3"/>
      <x:c r="G13" s="3"/>
      <x:c r="H13" s="3" t="str">
        <x:v>48185</x:v>
      </x:c>
      <x:c r="I13" s="13" t="n">
        <x:v>4554.9</x:v>
      </x:c>
      <x:c r="J13" s="13" t="n">
        <x:v>23888.81</x:v>
      </x:c>
      <x:c r="K13" s="15" t="n">
        <x:f>IF(J13=0,"n.a.",I13/J13)</x:f>
        <x:v>0.19067086221540544</x:v>
      </x:c>
      <x:c r="L13" s="3"/>
    </x:row>
    <x:row r="14" ht="22" customHeight="1">
      <x:c r="A14" s="3"/>
      <x:c r="B14" s="3"/>
      <x:c r="C14" s="3"/>
      <x:c r="D14" s="3"/>
      <x:c r="E14" s="3"/>
      <x:c r="F14" s="3"/>
      <x:c r="G14" s="3"/>
      <x:c r="H14" s="3" t="str">
        <x:v>21175</x:v>
      </x:c>
      <x:c r="I14" s="13" t="n">
        <x:v>3775.33</x:v>
      </x:c>
      <x:c r="J14" s="13" t="n">
        <x:v>27074.07</x:v>
      </x:c>
      <x:c r="K14" s="15" t="n">
        <x:f>IF(J14=0,"n.a.",I14/J14)</x:f>
        <x:v>0.13944449430765304</x:v>
      </x:c>
      <x:c r="L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 t="str">
        <x:v>47566B</x:v>
      </x:c>
      <x:c r="I15" s="13" t="n">
        <x:v>3692.95</x:v>
      </x:c>
      <x:c r="J15" s="13" t="n">
        <x:v>12941.27</x:v>
      </x:c>
      <x:c r="K15" s="15" t="n">
        <x:f>IF(J15=0,"n.a.",I15/J15)</x:f>
        <x:v>0.28536225579096947</x:v>
      </x:c>
      <x:c r="L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 t="str">
        <x:v>22273</x:v>
      </x:c>
      <x:c r="I16" s="13" t="n">
        <x:v>3512.65</x:v>
      </x:c>
      <x:c r="J16" s="13" t="n">
        <x:v>12016.34</x:v>
      </x:c>
      <x:c r="K16" s="15" t="n">
        <x:f>IF(J16=0,"n.a.",I16/J16)</x:f>
        <x:v>0.29232278713818016</x:v>
      </x:c>
      <x:c r="L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 t="str">
        <x:v>23843 y 23166: grandes ventas y abonos del mismo día.</x:v>
      </x:c>
      <x:c r="I19" s="3"/>
      <x:c r="J19" s="3"/>
      <x:c r="K19" s="3"/>
      <x:c r="L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30" customHeight="1">
      <x:c r="A24" s="3"/>
      <x:c r="B24" s="12" t="str">
        <x:v>Código</x:v>
      </x:c>
      <x:c r="C24" s="12" t="str">
        <x:v>Descripción</x:v>
      </x:c>
      <x:c r="D24" s="12" t="str">
        <x:v>Bruto GBP</x:v>
      </x:c>
      <x:c r="E24" s="12" t="str">
        <x:v>Abonos GBP</x:v>
      </x:c>
      <x:c r="F24" s="12" t="str">
        <x:v>Neto GBP</x:v>
      </x:c>
      <x:c r="G24" s="12" t="str">
        <x:v>Unidades</x:v>
      </x:c>
      <x:c r="H24" s="12" t="str">
        <x:v>Unid. abono</x:v>
      </x:c>
      <x:c r="I24" s="12" t="str">
        <x:v>Pedidos</x:v>
      </x:c>
      <x:c r="J24" s="12" t="str">
        <x:v>Abonos / bruto</x:v>
      </x:c>
      <x:c r="K24" s="12" t="str">
        <x:v>% neto total</x:v>
      </x:c>
      <x:c r="L24" s="3"/>
    </x:row>
    <x:row r="25" ht="22" customHeight="1">
      <x:c r="A25" s="3"/>
      <x:c r="B25" s="3" t="str">
        <x:v>22423</x:v>
      </x:c>
      <x:c r="C25" s="3" t="str">
        <x:v>REGENCY CAKESTAND 3 TIER</x:v>
      </x:c>
      <x:c r="D25" s="13" t="n">
        <x:v>174484.74</x:v>
      </x:c>
      <x:c r="E25" s="13" t="n">
        <x:v>9722.55</x:v>
      </x:c>
      <x:c r="F25" s="13" t="n">
        <x:f>D25-E25</x:f>
        <x:v>164762.19</x:v>
      </x:c>
      <x:c r="G25" s="3" t="n">
        <x:v>13879</x:v>
      </x:c>
      <x:c r="H25" s="3" t="n">
        <x:v>857</x:v>
      </x:c>
      <x:c r="I25" s="3" t="n">
        <x:v>1988</x:v>
      </x:c>
      <x:c r="J25" s="15" t="n">
        <x:f>IF(D25=0,"n.a.",E25/D25)</x:f>
        <x:v>0.0557214917476451</x:v>
      </x:c>
      <x:c r="K25" s="15" t="n">
        <x:f>F25/'Datos'!$F$7</x:f>
        <x:v>0.016824986014444356</x:v>
      </x:c>
      <x:c r="L25" s="3"/>
    </x:row>
    <x:row r="26" ht="22" customHeight="1">
      <x:c r="A26" s="3"/>
      <x:c r="B26" s="3" t="str">
        <x:v>85123A</x:v>
      </x:c>
      <x:c r="C26" s="3" t="str">
        <x:v>WHITE HANGING HEART T-LIGHT HOLDER</x:v>
      </x:c>
      <x:c r="D26" s="13" t="n">
        <x:v>106471.28</x:v>
      </x:c>
      <x:c r="E26" s="13" t="n">
        <x:v>6624.3</x:v>
      </x:c>
      <x:c r="F26" s="13" t="n">
        <x:f>D26-E26</x:f>
        <x:v>99846.98</x:v>
      </x:c>
      <x:c r="G26" s="3" t="n">
        <x:v>37952</x:v>
      </x:c>
      <x:c r="H26" s="3" t="n">
        <x:v>2578</x:v>
      </x:c>
      <x:c r="I26" s="3" t="n">
        <x:v>2265</x:v>
      </x:c>
      <x:c r="J26" s="15" t="n">
        <x:f>IF(D26=0,"n.a.",E26/D26)</x:f>
        <x:v>0.062216778083254</x:v>
      </x:c>
      <x:c r="K26" s="15" t="n">
        <x:f>F26/'Datos'!$F$7</x:f>
        <x:v>0.010196053124108786</x:v>
      </x:c>
      <x:c r="L26" s="3"/>
    </x:row>
    <x:row r="27" ht="22" customHeight="1">
      <x:c r="A27" s="3"/>
      <x:c r="B27" s="3" t="str">
        <x:v>47566</x:v>
      </x:c>
      <x:c r="C27" s="3" t="str">
        <x:v>PARTY BUNTING</x:v>
      </x:c>
      <x:c r="D27" s="13" t="n">
        <x:v>99504.33</x:v>
      </x:c>
      <x:c r="E27" s="13" t="n">
        <x:v>1201.35</x:v>
      </x:c>
      <x:c r="F27" s="13" t="n">
        <x:f>D27-E27</x:f>
        <x:v>98302.98</x:v>
      </x:c>
      <x:c r="G27" s="3" t="n">
        <x:v>18295</x:v>
      </x:c>
      <x:c r="H27" s="3" t="n">
        <x:v>277</x:v>
      </x:c>
      <x:c r="I27" s="3" t="n">
        <x:v>1685</x:v>
      </x:c>
      <x:c r="J27" s="15" t="n">
        <x:f>IF(D27=0,"n.a.",E27/D27)</x:f>
        <x:v>0.01207334394392686</x:v>
      </x:c>
      <x:c r="K27" s="15" t="n">
        <x:f>F27/'Datos'!$F$7</x:f>
        <x:v>0.010038384799802692</x:v>
      </x:c>
      <x:c r="L27" s="3"/>
    </x:row>
    <x:row r="28" ht="22" customHeight="1">
      <x:c r="A28" s="3"/>
      <x:c r="B28" s="3" t="str">
        <x:v>85099B</x:v>
      </x:c>
      <x:c r="C28" s="3" t="str">
        <x:v>JUMBO BAG RED RETROSPOT</x:v>
      </x:c>
      <x:c r="D28" s="13" t="n">
        <x:v>94340.05</x:v>
      </x:c>
      <x:c r="E28" s="13" t="n">
        <x:v>1984.02</x:v>
      </x:c>
      <x:c r="F28" s="13" t="n">
        <x:f>D28-E28</x:f>
        <x:v>92356.03</x:v>
      </x:c>
      <x:c r="G28" s="3" t="n">
        <x:v>48474</x:v>
      </x:c>
      <x:c r="H28" s="3" t="n">
        <x:v>1115</x:v>
      </x:c>
      <x:c r="I28" s="3" t="n">
        <x:v>2089</x:v>
      </x:c>
      <x:c r="J28" s="15" t="n">
        <x:f>IF(D28=0,"n.a.",E28/D28)</x:f>
        <x:v>0.021030516731759204</x:v>
      </x:c>
      <x:c r="K28" s="15" t="n">
        <x:f>F28/'Datos'!$F$7</x:f>
        <x:v>0.009431101353408832</x:v>
      </x:c>
      <x:c r="L28" s="3"/>
    </x:row>
    <x:row r="29" ht="22" customHeight="1">
      <x:c r="A29" s="3"/>
      <x:c r="B29" s="3" t="str">
        <x:v>23084</x:v>
      </x:c>
      <x:c r="C29" s="3" t="str">
        <x:v>RABBIT NIGHT LIGHT</x:v>
      </x:c>
      <x:c r="D29" s="13" t="n">
        <x:v>66964.99</x:v>
      </x:c>
      <x:c r="E29" s="13" t="n">
        <x:v>208.4</x:v>
      </x:c>
      <x:c r="F29" s="13" t="n">
        <x:f>D29-E29</x:f>
        <x:v>66756.59000000001</x:v>
      </x:c>
      <x:c r="G29" s="3" t="n">
        <x:v>30788</x:v>
      </x:c>
      <x:c r="H29" s="3" t="n">
        <x:v>108</x:v>
      </x:c>
      <x:c r="I29" s="3" t="n">
        <x:v>994</x:v>
      </x:c>
      <x:c r="J29" s="15" t="n">
        <x:f>IF(D29=0,"n.a.",E29/D29)</x:f>
        <x:v>0.003112073935947724</x:v>
      </x:c>
      <x:c r="K29" s="15" t="n">
        <x:f>F29/'Datos'!$F$7</x:f>
        <x:v>0.006816968705757044</x:v>
      </x:c>
      <x:c r="L29" s="3"/>
    </x:row>
    <x:row r="30" ht="22" customHeight="1">
      <x:c r="A30" s="3"/>
      <x:c r="B30" s="3" t="str">
        <x:v>22086</x:v>
      </x:c>
      <x:c r="C30" s="3" t="str">
        <x:v>PAPER CHAIN KIT 50'S CHRISTMAS</x:v>
      </x:c>
      <x:c r="D30" s="13" t="n">
        <x:v>64952.29</x:v>
      </x:c>
      <x:c r="E30" s="13" t="n">
        <x:v>1160.35</x:v>
      </x:c>
      <x:c r="F30" s="13" t="n">
        <x:f>D30-E30</x:f>
        <x:v>63791.94</x:v>
      </x:c>
      <x:c r="G30" s="3" t="n">
        <x:v>19355</x:v>
      </x:c>
      <x:c r="H30" s="3" t="n">
        <x:v>453</x:v>
      </x:c>
      <x:c r="I30" s="3" t="n">
        <x:v>1160</x:v>
      </x:c>
      <x:c r="J30" s="15" t="n">
        <x:f>IF(D30=0,"n.a.",E30/D30)</x:f>
        <x:v>0.017864651115457205</x:v>
      </x:c>
      <x:c r="K30" s="15" t="n">
        <x:f>F30/'Datos'!$F$7</x:f>
        <x:v>0.006514228163234984</x:v>
      </x:c>
      <x:c r="L30" s="3"/>
    </x:row>
    <x:row r="31" ht="22" customHeight="1">
      <x:c r="A31" s="3"/>
      <x:c r="B31" s="3" t="str">
        <x:v>84879</x:v>
      </x:c>
      <x:c r="C31" s="3" t="str">
        <x:v>ASSORTED COLOUR BIRD ORNAMENT</x:v>
      </x:c>
      <x:c r="D31" s="13" t="n">
        <x:v>59094.93</x:v>
      </x:c>
      <x:c r="E31" s="13" t="n">
        <x:v>135.2</x:v>
      </x:c>
      <x:c r="F31" s="13" t="n">
        <x:f>D31-E31</x:f>
        <x:v>58959.73</x:v>
      </x:c>
      <x:c r="G31" s="3" t="n">
        <x:v>36461</x:v>
      </x:c>
      <x:c r="H31" s="3" t="n">
        <x:v>80</x:v>
      </x:c>
      <x:c r="I31" s="3" t="n">
        <x:v>1455</x:v>
      </x:c>
      <x:c r="J31" s="15" t="n">
        <x:f>IF(D31=0,"n.a.",E31/D31)</x:f>
        <x:v>0.0022878443209933576</x:v>
      </x:c>
      <x:c r="K31" s="15" t="n">
        <x:f>F31/'Datos'!$F$7</x:f>
        <x:v>0.006020778387719994</x:v>
      </x:c>
      <x:c r="L31" s="3"/>
    </x:row>
    <x:row r="32" ht="22" customHeight="1">
      <x:c r="A32" s="3"/>
      <x:c r="B32" s="3" t="str">
        <x:v>79321</x:v>
      </x:c>
      <x:c r="C32" s="3" t="str">
        <x:v>CHILLI LIGHTS</x:v>
      </x:c>
      <x:c r="D32" s="13" t="n">
        <x:v>54117.76</x:v>
      </x:c>
      <x:c r="E32" s="13" t="n">
        <x:v>349.7</x:v>
      </x:c>
      <x:c r="F32" s="13" t="n">
        <x:f>D32-E32</x:f>
        <x:v>53768.060000000005</x:v>
      </x:c>
      <x:c r="G32" s="3" t="n">
        <x:v>10306</x:v>
      </x:c>
      <x:c r="H32" s="3" t="n">
        <x:v>80</x:v>
      </x:c>
      <x:c r="I32" s="3" t="n">
        <x:v>661</x:v>
      </x:c>
      <x:c r="J32" s="15" t="n">
        <x:f>IF(D32=0,"n.a.",E32/D32)</x:f>
        <x:v>0.006461834340519636</x:v>
      </x:c>
      <x:c r="K32" s="15" t="n">
        <x:f>F32/'Datos'!$F$7</x:f>
        <x:v>0.005490621710744468</x:v>
      </x:c>
      <x:c r="L32" s="3"/>
    </x:row>
    <x:row r="33" ht="22" customHeight="1">
      <x:c r="A33" s="3"/>
      <x:c r="B33" s="3" t="str">
        <x:v>22502</x:v>
      </x:c>
      <x:c r="C33" s="3" t="str">
        <x:v>PICNIC BASKET WICKER SMALL</x:v>
      </x:c>
      <x:c r="D33" s="13" t="n">
        <x:v>51426.62</x:v>
      </x:c>
      <x:c r="E33" s="13" t="n">
        <x:v>385.25</x:v>
      </x:c>
      <x:c r="F33" s="13" t="n">
        <x:f>D33-E33</x:f>
        <x:v>51041.37</x:v>
      </x:c>
      <x:c r="G33" s="3" t="n">
        <x:v>1940</x:v>
      </x:c>
      <x:c r="H33" s="3" t="n">
        <x:v>75</x:v>
      </x:c>
      <x:c r="I33" s="3" t="n">
        <x:v>463</x:v>
      </x:c>
      <x:c r="J33" s="15" t="n">
        <x:f>IF(D33=0,"n.a.",E33/D33)</x:f>
        <x:v>0.0074912564737873106</x:v>
      </x:c>
      <x:c r="K33" s="15" t="n">
        <x:f>F33/'Datos'!$F$7</x:f>
        <x:v>0.005212180879654972</x:v>
      </x:c>
      <x:c r="L33" s="3"/>
    </x:row>
    <x:row r="34" ht="22" customHeight="1">
      <x:c r="A34" s="3"/>
      <x:c r="B34" s="3" t="str">
        <x:v>22197</x:v>
      </x:c>
      <x:c r="C34" s="3" t="str">
        <x:v>POPCORN HOLDER</x:v>
      </x:c>
      <x:c r="D34" s="13" t="n">
        <x:v>51354.02</x:v>
      </x:c>
      <x:c r="E34" s="13" t="n">
        <x:v>366.55</x:v>
      </x:c>
      <x:c r="F34" s="13" t="n">
        <x:f>D34-E34</x:f>
        <x:v>50987.469999999994</x:v>
      </x:c>
      <x:c r="G34" s="3" t="n">
        <x:v>56921</x:v>
      </x:c>
      <x:c r="H34" s="3" t="n">
        <x:v>471</x:v>
      </x:c>
      <x:c r="I34" s="3" t="n">
        <x:v>1392</x:v>
      </x:c>
      <x:c r="J34" s="15" t="n">
        <x:f>IF(D34=0,"n.a.",E34/D34)</x:f>
        <x:v>0.007137708011953106</x:v>
      </x:c>
      <x:c r="K34" s="15" t="n">
        <x:f>F34/'Datos'!$F$7</x:f>
        <x:v>0.005206676784654908</x:v>
      </x:c>
      <x:c r="L34" s="3"/>
    </x:row>
    <x:row r="35" ht="22" customHeight="1">
      <x:c r="A35" s="3"/>
      <x:c r="B35" s="3" t="str">
        <x:v>23298</x:v>
      </x:c>
      <x:c r="C35" s="3" t="str">
        <x:v>SPOTTY BUNTING</x:v>
      </x:c>
      <x:c r="D35" s="13" t="n">
        <x:v>43182.83</x:v>
      </x:c>
      <x:c r="E35" s="13" t="n">
        <x:v>482.81</x:v>
      </x:c>
      <x:c r="F35" s="13" t="n">
        <x:f>D35-E35</x:f>
        <x:v>42700.020000000004</x:v>
      </x:c>
      <x:c r="G35" s="3" t="n">
        <x:v>8473</x:v>
      </x:c>
      <x:c r="H35" s="3" t="n">
        <x:v>110</x:v>
      </x:c>
      <x:c r="I35" s="3" t="n">
        <x:v>1146</x:v>
      </x:c>
      <x:c r="J35" s="15" t="n">
        <x:f>IF(D35=0,"n.a.",E35/D35)</x:f>
        <x:v>0.011180601178755538</x:v>
      </x:c>
      <x:c r="K35" s="15" t="n">
        <x:f>F35/'Datos'!$F$7</x:f>
        <x:v>0.004360388990438245</x:v>
      </x:c>
      <x:c r="L35" s="3"/>
    </x:row>
    <x:row r="36" ht="22" customHeight="1">
      <x:c r="A36" s="3"/>
      <x:c r="B36" s="3" t="str">
        <x:v>22386</x:v>
      </x:c>
      <x:c r="C36" s="3" t="str">
        <x:v>JUMBO BAG PINK POLKADOT</x:v>
      </x:c>
      <x:c r="D36" s="13" t="n">
        <x:v>42436.24</x:v>
      </x:c>
      <x:c r="E36" s="13" t="n">
        <x:v>816.58</x:v>
      </x:c>
      <x:c r="F36" s="13" t="n">
        <x:f>D36-E36</x:f>
        <x:v>41619.659999999996</x:v>
      </x:c>
      <x:c r="G36" s="3" t="n">
        <x:v>21465</x:v>
      </x:c>
      <x:c r="H36" s="3" t="n">
        <x:v>456</x:v>
      </x:c>
      <x:c r="I36" s="3" t="n">
        <x:v>1218</x:v>
      </x:c>
      <x:c r="J36" s="15" t="n">
        <x:f>IF(D36=0,"n.a.",E36/D36)</x:f>
        <x:v>0.019242515359513473</x:v>
      </x:c>
      <x:c r="K36" s="15" t="n">
        <x:f>F36/'Datos'!$F$7</x:f>
        <x:v>0.004250066094811735</x:v>
      </x:c>
      <x:c r="L36" s="3"/>
    </x:row>
    <x:row r="37" ht="22" customHeight="1">
      <x:c r="A37" s="3"/>
      <x:c r="B37" s="3" t="str">
        <x:v>23203</x:v>
      </x:c>
      <x:c r="C37" s="3" t="str">
        <x:v>JUMBO BAG VINTAGE DOILY</x:v>
      </x:c>
      <x:c r="D37" s="13" t="n">
        <x:v>42067.78</x:v>
      </x:c>
      <x:c r="E37" s="13" t="n">
        <x:v>1076.4</x:v>
      </x:c>
      <x:c r="F37" s="13" t="n">
        <x:f>D37-E37</x:f>
        <x:v>40991.38</x:v>
      </x:c>
      <x:c r="G37" s="3" t="n">
        <x:v>20503</x:v>
      </x:c>
      <x:c r="H37" s="3" t="n">
        <x:v>590</x:v>
      </x:c>
      <x:c r="I37" s="3" t="n">
        <x:v>1231</x:v>
      </x:c>
      <x:c r="J37" s="15" t="n">
        <x:f>IF(D37=0,"n.a.",E37/D37)</x:f>
        <x:v>0.025587278434944752</x:v>
      </x:c>
      <x:c r="K37" s="15" t="n">
        <x:f>F37/'Datos'!$F$7</x:f>
        <x:v>0.0041859081577683204</x:v>
      </x:c>
      <x:c r="L37" s="3"/>
    </x:row>
    <x:row r="38" ht="22" customHeight="1">
      <x:c r="A38" s="3"/>
      <x:c r="B38" s="3" t="str">
        <x:v>21137</x:v>
      </x:c>
      <x:c r="C38" s="3" t="str">
        <x:v>BLACK RECORD COVER FRAME</x:v>
      </x:c>
      <x:c r="D38" s="13" t="n">
        <x:v>40652.13</x:v>
      </x:c>
      <x:c r="E38" s="13" t="n">
        <x:v>55.17</x:v>
      </x:c>
      <x:c r="F38" s="13" t="n">
        <x:f>D38-E38</x:f>
        <x:v>40596.96</x:v>
      </x:c>
      <x:c r="G38" s="3" t="n">
        <x:v>11656</x:v>
      </x:c>
      <x:c r="H38" s="3" t="n">
        <x:v>15</x:v>
      </x:c>
      <x:c r="I38" s="3" t="n">
        <x:v>375</x:v>
      </x:c>
      <x:c r="J38" s="15" t="n">
        <x:f>IF(D38=0,"n.a.",E38/D38)</x:f>
        <x:v>0.001357124460637118</x:v>
      </x:c>
      <x:c r="K38" s="15" t="n">
        <x:f>F38/'Datos'!$F$7</x:f>
        <x:v>0.00414563125331702</x:v>
      </x:c>
      <x:c r="L38" s="3"/>
    </x:row>
    <x:row r="39" ht="22" customHeight="1">
      <x:c r="A39" s="3"/>
      <x:c r="B39" s="3" t="str">
        <x:v>22720</x:v>
      </x:c>
      <x:c r="C39" s="3" t="str">
        <x:v>SET OF 3 CAKE TINS PANTRY DESIGN</x:v>
      </x:c>
      <x:c r="D39" s="13" t="n">
        <x:v>38158.39</x:v>
      </x:c>
      <x:c r="E39" s="13" t="n">
        <x:v>744.95</x:v>
      </x:c>
      <x:c r="F39" s="13" t="n">
        <x:f>D39-E39</x:f>
        <x:v>37413.44</x:v>
      </x:c>
      <x:c r="G39" s="3" t="n">
        <x:v>7493</x:v>
      </x:c>
      <x:c r="H39" s="3" t="n">
        <x:v>157</x:v>
      </x:c>
      <x:c r="I39" s="3" t="n">
        <x:v>1385</x:v>
      </x:c>
      <x:c r="J39" s="15" t="n">
        <x:f>IF(D39=0,"n.a.",E39/D39)</x:f>
        <x:v>0.01952257419665767</x:v>
      </x:c>
      <x:c r="K39" s="15" t="n">
        <x:f>F39/'Datos'!$F$7</x:f>
        <x:v>0.00382054040889025</x:v>
      </x:c>
      <x:c r="L39" s="3"/>
    </x:row>
    <x:row r="40" ht="22" customHeight="1">
      <x:c r="A40" s="3"/>
      <x:c r="B40" s="3" t="str">
        <x:v>23284</x:v>
      </x:c>
      <x:c r="C40" s="3" t="str">
        <x:v>DOORMAT KEEP CALM AND COME IN</x:v>
      </x:c>
      <x:c r="D40" s="13" t="n">
        <x:v>38166.64</x:v>
      </x:c>
      <x:c r="E40" s="13" t="n">
        <x:v>1601.25</x:v>
      </x:c>
      <x:c r="F40" s="13" t="n">
        <x:f>D40-E40</x:f>
        <x:v>36565.39</x:v>
      </x:c>
      <x:c r="G40" s="3" t="n">
        <x:v>5491</x:v>
      </x:c>
      <x:c r="H40" s="3" t="n">
        <x:v>225</x:v>
      </x:c>
      <x:c r="I40" s="3" t="n">
        <x:v>728</x:v>
      </x:c>
      <x:c r="J40" s="15" t="n">
        <x:f>IF(D40=0,"n.a.",E40/D40)</x:f>
        <x:v>0.04195417778457836</x:v>
      </x:c>
      <x:c r="K40" s="15" t="n">
        <x:f>F40/'Datos'!$F$7</x:f>
        <x:v>0.0037339402648308056</x:v>
      </x:c>
      <x:c r="L40" s="3"/>
    </x:row>
    <x:row r="41" ht="22" customHeight="1">
      <x:c r="A41" s="3"/>
      <x:c r="B41" s="3" t="str">
        <x:v>22960</x:v>
      </x:c>
      <x:c r="C41" s="3" t="str">
        <x:v>JAM MAKING SET WITH JARS</x:v>
      </x:c>
      <x:c r="D41" s="13" t="n">
        <x:v>37128.88</x:v>
      </x:c>
      <x:c r="E41" s="13" t="n">
        <x:v>1012.79</x:v>
      </x:c>
      <x:c r="F41" s="13" t="n">
        <x:f>D41-E41</x:f>
        <x:v>36116.09</x:v>
      </x:c>
      <x:c r="G41" s="3" t="n">
        <x:v>8706</x:v>
      </x:c>
      <x:c r="H41" s="3" t="n">
        <x:v>247</x:v>
      </x:c>
      <x:c r="I41" s="3" t="n">
        <x:v>1132</x:v>
      </x:c>
      <x:c r="J41" s="15" t="n">
        <x:f>IF(D41=0,"n.a.",E41/D41)</x:f>
        <x:v>0.027277687880700955</x:v>
      </x:c>
      <x:c r="K41" s="15" t="n">
        <x:f>F41/'Datos'!$F$7</x:f>
        <x:v>0.0036880591909248936</x:v>
      </x:c>
      <x:c r="L41" s="3"/>
    </x:row>
    <x:row r="42" ht="22" customHeight="1">
      <x:c r="A42" s="3"/>
      <x:c r="B42" s="3" t="str">
        <x:v>82484</x:v>
      </x:c>
      <x:c r="C42" s="3" t="str">
        <x:v>WOOD BLACK BOARD ANT WHITE FINISH</x:v>
      </x:c>
      <x:c r="D42" s="13" t="n">
        <x:v>36030.22</x:v>
      </x:c>
      <x:c r="E42" s="13" t="n">
        <x:v>170.95</x:v>
      </x:c>
      <x:c r="F42" s="13" t="n">
        <x:f>D42-E42</x:f>
        <x:v>35859.270000000004</x:v>
      </x:c>
      <x:c r="G42" s="3" t="n">
        <x:v>6020</x:v>
      </x:c>
      <x:c r="H42" s="3" t="n">
        <x:v>24</x:v>
      </x:c>
      <x:c r="I42" s="3" t="n">
        <x:v>685</x:v>
      </x:c>
      <x:c r="J42" s="15" t="n">
        <x:f>IF(D42=0,"n.a.",E42/D42)</x:f>
        <x:v>0.0047446282592779054</x:v>
      </x:c>
      <x:c r="K42" s="15" t="n">
        <x:f>F42/'Datos'!$F$7</x:f>
        <x:v>0.0036618335568262606</x:v>
      </x:c>
      <x:c r="L42" s="3"/>
    </x:row>
    <x:row r="43" ht="22" customHeight="1">
      <x:c r="A43" s="3"/>
      <x:c r="B43" s="3" t="str">
        <x:v>20725</x:v>
      </x:c>
      <x:c r="C43" s="3" t="str">
        <x:v>LUNCH BAG RED RETROSPOT</x:v>
      </x:c>
      <x:c r="D43" s="13" t="n">
        <x:v>36042.01</x:v>
      </x:c>
      <x:c r="E43" s="13" t="n">
        <x:v>854.7</x:v>
      </x:c>
      <x:c r="F43" s="13" t="n">
        <x:f>D43-E43</x:f>
        <x:v>35187.310000000005</x:v>
      </x:c>
      <x:c r="G43" s="3" t="n">
        <x:v>19553</x:v>
      </x:c>
      <x:c r="H43" s="3" t="n">
        <x:v>574</x:v>
      </x:c>
      <x:c r="I43" s="3" t="n">
        <x:v>1565</x:v>
      </x:c>
      <x:c r="J43" s="15" t="n">
        <x:f>IF(D43=0,"n.a.",E43/D43)</x:f>
        <x:v>0.023713993753400546</x:v>
      </x:c>
      <x:c r="K43" s="15" t="n">
        <x:f>F43/'Datos'!$F$7</x:f>
        <x:v>0.003593215158380197</x:v>
      </x:c>
      <x:c r="L43" s="3"/>
    </x:row>
    <x:row r="44" ht="22" customHeight="1">
      <x:c r="A44" s="3"/>
      <x:c r="B44" s="3" t="str">
        <x:v>22114</x:v>
      </x:c>
      <x:c r="C44" s="3" t="str">
        <x:v>HOT WATER BOTTLE TEA AND SYMPATHY</x:v>
      </x:c>
      <x:c r="D44" s="13" t="n">
        <x:v>33002.59</x:v>
      </x:c>
      <x:c r="E44" s="13" t="n">
        <x:v>310.1</x:v>
      </x:c>
      <x:c r="F44" s="13" t="n">
        <x:f>D44-E44</x:f>
        <x:v>32692.489999999998</x:v>
      </x:c>
      <x:c r="G44" s="3" t="n">
        <x:v>5747</x:v>
      </x:c>
      <x:c r="H44" s="3" t="n">
        <x:v>82</x:v>
      </x:c>
      <x:c r="I44" s="3" t="n">
        <x:v>643</x:v>
      </x:c>
      <x:c r="J44" s="15" t="n">
        <x:f>IF(D44=0,"n.a.",E44/D44)</x:f>
        <x:v>0.009396232235106397</x:v>
      </x:c>
      <x:c r="K44" s="15" t="n">
        <x:f>F44/'Datos'!$F$7</x:f>
        <x:v>0.0033384521474700106</x:v>
      </x:c>
      <x:c r="L44" s="3"/>
    </x:row>
    <x:row r="45" ht="22" customHeight="1">
      <x:c r="A45" s="3"/>
      <x:c r="B45" s="3" t="str">
        <x:v>22178</x:v>
      </x:c>
      <x:c r="C45" s="3" t="str">
        <x:v>VICTORIAN GLASS HANGING T-LIGHT</x:v>
      </x:c>
      <x:c r="D45" s="13" t="n">
        <x:v>33187.97</x:v>
      </x:c>
      <x:c r="E45" s="13" t="n">
        <x:v>638.4</x:v>
      </x:c>
      <x:c r="F45" s="13" t="n">
        <x:f>D45-E45</x:f>
        <x:v>32549.57</x:v>
      </x:c>
      <x:c r="G45" s="3" t="n">
        <x:v>24304</x:v>
      </x:c>
      <x:c r="H45" s="3" t="n">
        <x:v>450</x:v>
      </x:c>
      <x:c r="I45" s="3" t="n">
        <x:v>1037</x:v>
      </x:c>
      <x:c r="J45" s="15" t="n">
        <x:f>IF(D45=0,"n.a.",E45/D45)</x:f>
        <x:v>0.019235885774273025</x:v>
      </x:c>
      <x:c r="K45" s="15" t="n">
        <x:f>F45/'Datos'!$F$7</x:f>
        <x:v>0.003323857615792662</x:v>
      </x:c>
      <x:c r="L45" s="3"/>
    </x:row>
    <x:row r="46" ht="22" customHeight="1">
      <x:c r="A46" s="3"/>
      <x:c r="B46" s="3" t="str">
        <x:v>85099F</x:v>
      </x:c>
      <x:c r="C46" s="3" t="str">
        <x:v>JUMBO BAG STRAWBERRY</x:v>
      </x:c>
      <x:c r="D46" s="13" t="n">
        <x:v>32802.53</x:v>
      </x:c>
      <x:c r="E46" s="13" t="n">
        <x:v>448.49</x:v>
      </x:c>
      <x:c r="F46" s="13" t="n">
        <x:f>D46-E46</x:f>
        <x:v>32354.039999999997</x:v>
      </x:c>
      <x:c r="G46" s="3" t="n">
        <x:v>17319</x:v>
      </x:c>
      <x:c r="H46" s="3" t="n">
        <x:v>250</x:v>
      </x:c>
      <x:c r="I46" s="3" t="n">
        <x:v>822</x:v>
      </x:c>
      <x:c r="J46" s="15" t="n">
        <x:f>IF(D46=0,"n.a.",E46/D46)</x:f>
        <x:v>0.013672420999233902</x:v>
      </x:c>
      <x:c r="K46" s="15" t="n">
        <x:f>F46/'Datos'!$F$7</x:f>
        <x:v>0.003303890719774805</x:v>
      </x:c>
      <x:c r="L46" s="3"/>
    </x:row>
    <x:row r="47" ht="22" customHeight="1">
      <x:c r="A47" s="3"/>
      <x:c r="B47" s="3" t="str">
        <x:v>22112</x:v>
      </x:c>
      <x:c r="C47" s="3" t="str">
        <x:v>CHOCOLATE HOT WATER BOTTLE</x:v>
      </x:c>
      <x:c r="D47" s="13" t="n">
        <x:v>32866.18</x:v>
      </x:c>
      <x:c r="E47" s="13" t="n">
        <x:v>548.88</x:v>
      </x:c>
      <x:c r="F47" s="13" t="n">
        <x:f>D47-E47</x:f>
        <x:v>32317.3</x:v>
      </x:c>
      <x:c r="G47" s="3" t="n">
        <x:v>6025</x:v>
      </x:c>
      <x:c r="H47" s="3" t="n">
        <x:v>128</x:v>
      </x:c>
      <x:c r="I47" s="3" t="n">
        <x:v>858</x:v>
      </x:c>
      <x:c r="J47" s="15" t="n">
        <x:f>IF(D47=0,"n.a.",E47/D47)</x:f>
        <x:v>0.01670045012836904</x:v>
      </x:c>
      <x:c r="K47" s="15" t="n">
        <x:f>F47/'Datos'!$F$7</x:f>
        <x:v>0.003300138948897211</x:v>
      </x:c>
      <x:c r="L47" s="3"/>
    </x:row>
    <x:row r="48" ht="22" customHeight="1">
      <x:c r="A48" s="3"/>
      <x:c r="B48" s="3" t="str">
        <x:v>22910</x:v>
      </x:c>
      <x:c r="C48" s="3" t="str">
        <x:v>PAPER CHAIN KIT VINTAGE CHRISTMAS</x:v>
      </x:c>
      <x:c r="D48" s="13" t="n">
        <x:v>32873.34</x:v>
      </x:c>
      <x:c r="E48" s="13" t="n">
        <x:v>931.45</x:v>
      </x:c>
      <x:c r="F48" s="13" t="n">
        <x:f>D48-E48</x:f>
        <x:v>31941.889999999996</x:v>
      </x:c>
      <x:c r="G48" s="3" t="n">
        <x:v>10604</x:v>
      </x:c>
      <x:c r="H48" s="3" t="n">
        <x:v>351</x:v>
      </x:c>
      <x:c r="I48" s="3" t="n">
        <x:v>820</x:v>
      </x:c>
      <x:c r="J48" s="15" t="n">
        <x:f>IF(D48=0,"n.a.",E48/D48)</x:f>
        <x:v>0.028334510579089322</x:v>
      </x:c>
      <x:c r="K48" s="15" t="n">
        <x:f>F48/'Datos'!$F$7</x:f>
        <x:v>0.003261803284630533</x:v>
      </x:c>
      <x:c r="L48" s="3"/>
    </x:row>
    <x:row r="49" ht="22" customHeight="1">
      <x:c r="A49" s="3"/>
      <x:c r="B49" s="3" t="str">
        <x:v>22469</x:v>
      </x:c>
      <x:c r="C49" s="3" t="str">
        <x:v>HEART OF WICKER SMALL</x:v>
      </x:c>
      <x:c r="D49" s="13" t="n">
        <x:v>32107.8</x:v>
      </x:c>
      <x:c r="E49" s="13" t="n">
        <x:v>207.95</x:v>
      </x:c>
      <x:c r="F49" s="13" t="n">
        <x:f>D49-E49</x:f>
        <x:v>31899.85</x:v>
      </x:c>
      <x:c r="G49" s="3" t="n">
        <x:v>17971</x:v>
      </x:c>
      <x:c r="H49" s="3" t="n">
        <x:v>135</x:v>
      </x:c>
      <x:c r="I49" s="3" t="n">
        <x:v>1201</x:v>
      </x:c>
      <x:c r="J49" s="15" t="n">
        <x:f>IF(D49=0,"n.a.",E49/D49)</x:f>
        <x:v>0.006476619388435209</x:v>
      </x:c>
      <x:c r="K49" s="15" t="n">
        <x:f>F49/'Datos'!$F$7</x:f>
        <x:v>0.003257510294764064</x:v>
      </x:c>
      <x:c r="L49" s="3"/>
    </x:row>
    <x:row r="50" ht="22" customHeight="1">
      <x:c r="A50" s="3"/>
      <x:c r="B50" s="3" t="str">
        <x:v>23245</x:v>
      </x:c>
      <x:c r="C50" s="3" t="str">
        <x:v>SET OF 3 REGENCY CAKE TINS</x:v>
      </x:c>
      <x:c r="D50" s="13" t="n">
        <x:v>31177.95</x:v>
      </x:c>
      <x:c r="E50" s="13" t="n">
        <x:v>421.5</x:v>
      </x:c>
      <x:c r="F50" s="13" t="n">
        <x:f>D50-E50</x:f>
        <x:v>30756.45</x:v>
      </x:c>
      <x:c r="G50" s="3" t="n">
        <x:v>6357</x:v>
      </x:c>
      <x:c r="H50" s="3" t="n">
        <x:v>90</x:v>
      </x:c>
      <x:c r="I50" s="3" t="n">
        <x:v>873</x:v>
      </x:c>
      <x:c r="J50" s="15" t="n">
        <x:f>IF(D50=0,"n.a.",E50/D50)</x:f>
        <x:v>0.013519169797886005</x:v>
      </x:c>
      <x:c r="K50" s="15" t="n">
        <x:f>F50/'Datos'!$F$7</x:f>
        <x:v>0.0031407499566736587</x:v>
      </x:c>
      <x:c r="L50" s="3"/>
    </x:row>
    <x:row r="51" ht="22" customHeight="1">
      <x:c r="A51" s="3"/>
      <x:c r="B51" s="3" t="str">
        <x:v>22727</x:v>
      </x:c>
      <x:c r="C51" s="3" t="str">
        <x:v>ALARM CLOCK BAKELIKE RED</x:v>
      </x:c>
      <x:c r="D51" s="13" t="n">
        <x:v>30701.12</x:v>
      </x:c>
      <x:c r="E51" s="13" t="n">
        <x:v>277.5</x:v>
      </x:c>
      <x:c r="F51" s="13" t="n">
        <x:f>D51-E51</x:f>
        <x:v>30423.62</x:v>
      </x:c>
      <x:c r="G51" s="3" t="n">
        <x:v>7815</x:v>
      </x:c>
      <x:c r="H51" s="3" t="n">
        <x:v>74</x:v>
      </x:c>
      <x:c r="I51" s="3" t="n">
        <x:v>1051</x:v>
      </x:c>
      <x:c r="J51" s="15" t="n">
        <x:f>IF(D51=0,"n.a.",E51/D51)</x:f>
        <x:v>0.009038758195140764</x:v>
      </x:c>
      <x:c r="K51" s="15" t="n">
        <x:f>F51/'Datos'!$F$7</x:f>
        <x:v>0.003106762425340241</x:v>
      </x:c>
      <x:c r="L51" s="3"/>
    </x:row>
    <x:row r="52" ht="22" customHeight="1">
      <x:c r="A52" s="3"/>
      <x:c r="B52" s="3" t="str">
        <x:v>21931</x:v>
      </x:c>
      <x:c r="C52" s="3" t="str">
        <x:v>JUMBO STORAGE BAG SUKI</x:v>
      </x:c>
      <x:c r="D52" s="13" t="n">
        <x:v>30770.12</x:v>
      </x:c>
      <x:c r="E52" s="13" t="n">
        <x:v>602.33</x:v>
      </x:c>
      <x:c r="F52" s="13" t="n">
        <x:f>D52-E52</x:f>
        <x:v>30167.789999999997</x:v>
      </x:c>
      <x:c r="G52" s="3" t="n">
        <x:v>13654</x:v>
      </x:c>
      <x:c r="H52" s="3" t="n">
        <x:v>334</x:v>
      </x:c>
      <x:c r="I52" s="3" t="n">
        <x:v>1184</x:v>
      </x:c>
      <x:c r="J52" s="15" t="n">
        <x:f>IF(D52=0,"n.a.",E52/D52)</x:f>
        <x:v>0.01957515927789687</x:v>
      </x:c>
      <x:c r="K52" s="15" t="n">
        <x:f>F52/'Datos'!$F$7</x:f>
        <x:v>0.003080637886864057</x:v>
      </x:c>
      <x:c r="L52" s="3"/>
    </x:row>
    <x:row r="53" ht="22" customHeight="1">
      <x:c r="A53" s="3"/>
      <x:c r="B53" s="3" t="str">
        <x:v>22470</x:v>
      </x:c>
      <x:c r="C53" s="3" t="str">
        <x:v>HEART OF WICKER LARGE</x:v>
      </x:c>
      <x:c r="D53" s="13" t="n">
        <x:v>30139.41</x:v>
      </x:c>
      <x:c r="E53" s="13" t="n">
        <x:v>189.5</x:v>
      </x:c>
      <x:c r="F53" s="13" t="n">
        <x:f>D53-E53</x:f>
        <x:v>29949.91</x:v>
      </x:c>
      <x:c r="G53" s="3" t="n">
        <x:v>9901</x:v>
      </x:c>
      <x:c r="H53" s="3" t="n">
        <x:v>68</x:v>
      </x:c>
      <x:c r="I53" s="3" t="n">
        <x:v>925</x:v>
      </x:c>
      <x:c r="J53" s="15" t="n">
        <x:f>IF(D53=0,"n.a.",E53/D53)</x:f>
        <x:v>0.00628744889166709</x:v>
      </x:c>
      <x:c r="K53" s="15" t="n">
        <x:f>F53/'Datos'!$F$7</x:f>
        <x:v>0.0030583886805817958</x:v>
      </x:c>
      <x:c r="L53" s="3"/>
    </x:row>
    <x:row r="54" ht="22" customHeight="1">
      <x:c r="A54" s="3"/>
      <x:c r="B54" s="3" t="str">
        <x:v>23199</x:v>
      </x:c>
      <x:c r="C54" s="3" t="str">
        <x:v>JUMBO BAG APPLES</x:v>
      </x:c>
      <x:c r="D54" s="13" t="n">
        <x:v>30475.65</x:v>
      </x:c>
      <x:c r="E54" s="13" t="n">
        <x:v>1309.25</x:v>
      </x:c>
      <x:c r="F54" s="13" t="n">
        <x:f>D54-E54</x:f>
        <x:v>29166.4</x:v>
      </x:c>
      <x:c r="G54" s="3" t="n">
        <x:v>14920</x:v>
      </x:c>
      <x:c r="H54" s="3" t="n">
        <x:v>723</x:v>
      </x:c>
      <x:c r="I54" s="3" t="n">
        <x:v>978</x:v>
      </x:c>
      <x:c r="J54" s="15" t="n">
        <x:f>IF(D54=0,"n.a.",E54/D54)</x:f>
        <x:v>0.04296052750310494</x:v>
      </x:c>
      <x:c r="K54" s="15" t="n">
        <x:f>F54/'Datos'!$F$7</x:f>
        <x:v>0.002978379154171779</x:v>
      </x:c>
      <x:c r="L54" s="3"/>
    </x:row>
    <x:row r="55" ht="22" customHeight="1">
      <x:c r="A55" s="3"/>
      <x:c r="B55" s="3" t="str">
        <x:v>22355</x:v>
      </x:c>
      <x:c r="C55" s="3" t="str">
        <x:v>CHARLOTTE BAG SUKI DESIGN</x:v>
      </x:c>
      <x:c r="D55" s="13" t="n">
        <x:v>29277.95</x:v>
      </x:c>
      <x:c r="E55" s="13" t="n">
        <x:v>113.59</x:v>
      </x:c>
      <x:c r="F55" s="13" t="n">
        <x:f>D55-E55</x:f>
        <x:v>29164.36</x:v>
      </x:c>
      <x:c r="G55" s="3" t="n">
        <x:v>18152</x:v>
      </x:c>
      <x:c r="H55" s="3" t="n">
        <x:v>150</x:v>
      </x:c>
      <x:c r="I55" s="3" t="n">
        <x:v>882</x:v>
      </x:c>
      <x:c r="J55" s="15" t="n">
        <x:f>IF(D55=0,"n.a.",E55/D55)</x:f>
        <x:v>0.0038797115235185524</x:v>
      </x:c>
      <x:c r="K55" s="15" t="n">
        <x:f>F55/'Datos'!$F$7</x:f>
        <x:v>0.002978170835919457</x:v>
      </x:c>
      <x:c r="L55" s="3"/>
    </x:row>
    <x:row r="56" ht="22" customHeight="1">
      <x:c r="A56" s="3"/>
      <x:c r="B56" s="3" t="str">
        <x:v>23355</x:v>
      </x:c>
      <x:c r="C56" s="3" t="str">
        <x:v>HOT WATER BOTTLE KEEP CALM</x:v>
      </x:c>
      <x:c r="D56" s="13" t="n">
        <x:v>28842.55</x:v>
      </x:c>
      <x:c r="E56" s="13" t="n">
        <x:v>417.6</x:v>
      </x:c>
      <x:c r="F56" s="13" t="n">
        <x:f>D56-E56</x:f>
        <x:v>28424.95</x:v>
      </x:c>
      <x:c r="G56" s="3" t="n">
        <x:v>5841</x:v>
      </x:c>
      <x:c r="H56" s="3" t="n">
        <x:v>96</x:v>
      </x:c>
      <x:c r="I56" s="3" t="n">
        <x:v>782</x:v>
      </x:c>
      <x:c r="J56" s="15" t="n">
        <x:f>IF(D56=0,"n.a.",E56/D56)</x:f>
        <x:v>0.014478608860867019</x:v>
      </x:c>
      <x:c r="K56" s="15" t="n">
        <x:f>F56/'Datos'!$F$7</x:f>
        <x:v>0.002902664659964037</x:v>
      </x:c>
      <x:c r="L56" s="3"/>
    </x:row>
    <x:row r="57" ht="22" customHeight="1">
      <x:c r="A57" s="3"/>
      <x:c r="B57" s="3" t="str">
        <x:v>22411</x:v>
      </x:c>
      <x:c r="C57" s="3" t="str">
        <x:v>JUMBO SHOPPER VINTAGE RED PAISLEY</x:v>
      </x:c>
      <x:c r="D57" s="13" t="n">
        <x:v>28634.95</x:v>
      </x:c>
      <x:c r="E57" s="13" t="n">
        <x:v>622.47</x:v>
      </x:c>
      <x:c r="F57" s="13" t="n">
        <x:f>D57-E57</x:f>
        <x:v>28012.48</x:v>
      </x:c>
      <x:c r="G57" s="3" t="n">
        <x:v>12602</x:v>
      </x:c>
      <x:c r="H57" s="3" t="n">
        <x:v>354</x:v>
      </x:c>
      <x:c r="I57" s="3" t="n">
        <x:v>1175</x:v>
      </x:c>
      <x:c r="J57" s="15" t="n">
        <x:f>IF(D57=0,"n.a.",E57/D57)</x:f>
        <x:v>0.021738120723102362</x:v>
      </x:c>
      <x:c r="K57" s="15" t="n">
        <x:f>F57/'Datos'!$F$7</x:f>
        <x:v>0.0028605445474468518</x:v>
      </x:c>
      <x:c r="L57" s="3"/>
    </x:row>
    <x:row r="58" ht="22" customHeight="1">
      <x:c r="A58" s="3"/>
      <x:c r="B58" s="3" t="str">
        <x:v>22457</x:v>
      </x:c>
      <x:c r="C58" s="3" t="str">
        <x:v>NATURAL SLATE HEART CHALKBOARD</x:v>
      </x:c>
      <x:c r="D58" s="13" t="n">
        <x:v>28147.96</x:v>
      </x:c>
      <x:c r="E58" s="13" t="n">
        <x:v>152.6</x:v>
      </x:c>
      <x:c r="F58" s="13" t="n">
        <x:f>D58-E58</x:f>
        <x:v>27995.36</x:v>
      </x:c>
      <x:c r="G58" s="3" t="n">
        <x:v>9172</x:v>
      </x:c>
      <x:c r="H58" s="3" t="n">
        <x:v>52</x:v>
      </x:c>
      <x:c r="I58" s="3" t="n">
        <x:v>1249</x:v>
      </x:c>
      <x:c r="J58" s="15" t="n">
        <x:f>IF(D58=0,"n.a.",E58/D58)</x:f>
        <x:v>0.00542135202693197</x:v>
      </x:c>
      <x:c r="K58" s="15" t="n">
        <x:f>F58/'Datos'!$F$7</x:f>
        <x:v>0.002858796307995997</x:v>
      </x:c>
      <x:c r="L58" s="3"/>
    </x:row>
    <x:row r="59" ht="22" customHeight="1">
      <x:c r="A59" s="3"/>
      <x:c r="B59" s="3" t="str">
        <x:v>22699</x:v>
      </x:c>
      <x:c r="C59" s="3" t="str">
        <x:v>ROSES REGENCY TEACUP AND SAUCER</x:v>
      </x:c>
      <x:c r="D59" s="13" t="n">
        <x:v>29095.27</x:v>
      </x:c>
      <x:c r="E59" s="13" t="n">
        <x:v>1150.35</x:v>
      </x:c>
      <x:c r="F59" s="13" t="n">
        <x:f>D59-E59</x:f>
        <x:v>27944.920000000002</x:v>
      </x:c>
      <x:c r="G59" s="3" t="n">
        <x:v>9877</x:v>
      </x:c>
      <x:c r="H59" s="3" t="n">
        <x:v>437</x:v>
      </x:c>
      <x:c r="I59" s="3" t="n">
        <x:v>1065</x:v>
      </x:c>
      <x:c r="J59" s="15" t="n">
        <x:f>IF(D59=0,"n.a.",E59/D59)</x:f>
        <x:v>0.03953735435347395</x:v>
      </x:c>
      <x:c r="K59" s="15" t="n">
        <x:f>F59/'Datos'!$F$7</x:f>
        <x:v>0.002853645537090557</x:v>
      </x:c>
      <x:c r="L59" s="3"/>
    </x:row>
    <x:row r="60" ht="22" customHeight="1">
      <x:c r="A60" s="3"/>
      <x:c r="B60" s="3" t="str">
        <x:v>20685</x:v>
      </x:c>
      <x:c r="C60" s="3" t="str">
        <x:v>DOORMAT RED RETROSPOT</x:v>
      </x:c>
      <x:c r="D60" s="13" t="n">
        <x:v>28082.54</x:v>
      </x:c>
      <x:c r="E60" s="13" t="n">
        <x:v>461.22</x:v>
      </x:c>
      <x:c r="F60" s="13" t="n">
        <x:f>D60-E60</x:f>
        <x:v>27621.32</x:v>
      </x:c>
      <x:c r="G60" s="3" t="n">
        <x:v>4092</x:v>
      </x:c>
      <x:c r="H60" s="3" t="n">
        <x:v>66</x:v>
      </x:c>
      <x:c r="I60" s="3" t="n">
        <x:v>696</x:v>
      </x:c>
      <x:c r="J60" s="15" t="n">
        <x:f>IF(D60=0,"n.a.",E60/D60)</x:f>
        <x:v>0.016423728053089216</x:v>
      </x:c>
      <x:c r="K60" s="15" t="n">
        <x:f>F60/'Datos'!$F$7</x:f>
        <x:v>0.0028206005437321035</x:v>
      </x:c>
      <x:c r="L60" s="3"/>
    </x:row>
    <x:row r="61" ht="22" customHeight="1">
      <x:c r="A61" s="3"/>
      <x:c r="B61" s="3" t="str">
        <x:v>85099C</x:v>
      </x:c>
      <x:c r="C61" s="3" t="str">
        <x:v>JUMBO BAG BAROQUE BLACK WHITE</x:v>
      </x:c>
      <x:c r="D61" s="13" t="n">
        <x:v>28092.2</x:v>
      </x:c>
      <x:c r="E61" s="13" t="n">
        <x:v>510.88</x:v>
      </x:c>
      <x:c r="F61" s="13" t="n">
        <x:f>D61-E61</x:f>
        <x:v>27581.32</x:v>
      </x:c>
      <x:c r="G61" s="3" t="n">
        <x:v>13922</x:v>
      </x:c>
      <x:c r="H61" s="3" t="n">
        <x:v>281</x:v>
      </x:c>
      <x:c r="I61" s="3" t="n">
        <x:v>933</x:v>
      </x:c>
      <x:c r="J61" s="15" t="n">
        <x:f>IF(D61=0,"n.a.",E61/D61)</x:f>
        <x:v>0.01818583094239682</x:v>
      </x:c>
      <x:c r="K61" s="15" t="n">
        <x:f>F61/'Datos'!$F$7</x:f>
        <x:v>0.0028165158721179563</x:v>
      </x:c>
      <x:c r="L61" s="3"/>
    </x:row>
    <x:row r="62" ht="22" customHeight="1">
      <x:c r="A62" s="3"/>
      <x:c r="B62" s="3" t="str">
        <x:v>22726</x:v>
      </x:c>
      <x:c r="C62" s="3" t="str">
        <x:v>ALARM CLOCK BAKELIKE GREEN</x:v>
      </x:c>
      <x:c r="D62" s="13" t="n">
        <x:v>27196.53</x:v>
      </x:c>
      <x:c r="E62" s="13" t="n">
        <x:v>157.5</x:v>
      </x:c>
      <x:c r="F62" s="13" t="n">
        <x:f>D62-E62</x:f>
        <x:v>27039.03</x:v>
      </x:c>
      <x:c r="G62" s="3" t="n">
        <x:v>6430</x:v>
      </x:c>
      <x:c r="H62" s="3" t="n">
        <x:v>42</x:v>
      </x:c>
      <x:c r="I62" s="3" t="n">
        <x:v>980</x:v>
      </x:c>
      <x:c r="J62" s="15" t="n">
        <x:f>IF(D62=0,"n.a.",E62/D62)</x:f>
        <x:v>0.005791179977739807</x:v>
      </x:c>
      <x:c r="K62" s="15" t="n">
        <x:f>F62/'Datos'!$F$7</x:f>
        <x:v>0.0027611389578770552</x:v>
      </x:c>
      <x:c r="L62" s="3"/>
    </x:row>
    <x:row r="63" ht="22" customHeight="1">
      <x:c r="A63" s="3"/>
      <x:c r="B63" s="3" t="str">
        <x:v>23201</x:v>
      </x:c>
      <x:c r="C63" s="3" t="str">
        <x:v>JUMBO BAG ALPHABET</x:v>
      </x:c>
      <x:c r="D63" s="13" t="n">
        <x:v>27890.17</x:v>
      </x:c>
      <x:c r="E63" s="13" t="n">
        <x:v>1076.02</x:v>
      </x:c>
      <x:c r="F63" s="13" t="n">
        <x:f>D63-E63</x:f>
        <x:v>26814.149999999998</x:v>
      </x:c>
      <x:c r="G63" s="3" t="n">
        <x:v>13379</x:v>
      </x:c>
      <x:c r="H63" s="3" t="n">
        <x:v>594</x:v>
      </x:c>
      <x:c r="I63" s="3" t="n">
        <x:v>906</x:v>
      </x:c>
      <x:c r="J63" s="15" t="n">
        <x:f>IF(D63=0,"n.a.",E63/D63)</x:f>
        <x:v>0.03858061818913259</x:v>
      </x:c>
      <x:c r="K63" s="15" t="n">
        <x:f>F63/'Datos'!$F$7</x:f>
        <x:v>0.002738174934062318</x:v>
      </x:c>
      <x:c r="L63" s="3"/>
    </x:row>
    <x:row r="64" ht="22" customHeight="1">
      <x:c r="A64" s="3"/>
      <x:c r="B64" s="3" t="str">
        <x:v>21915</x:v>
      </x:c>
      <x:c r="C64" s="3" t="str">
        <x:v>RED HARMONICA IN BOX</x:v>
      </x:c>
      <x:c r="D64" s="13" t="n">
        <x:v>26331.58</x:v>
      </x:c>
      <x:c r="E64" s="13" t="n">
        <x:v>83.75</x:v>
      </x:c>
      <x:c r="F64" s="13" t="n">
        <x:f>D64-E64</x:f>
        <x:v>26247.83</x:v>
      </x:c>
      <x:c r="G64" s="3" t="n">
        <x:v>21933</x:v>
      </x:c>
      <x:c r="H64" s="3" t="n">
        <x:v>67</x:v>
      </x:c>
      <x:c r="I64" s="3" t="n">
        <x:v>661</x:v>
      </x:c>
      <x:c r="J64" s="15" t="n">
        <x:f>IF(D64=0,"n.a.",E64/D64)</x:f>
        <x:v>0.0031805915178656197</x:v>
      </x:c>
      <x:c r="K64" s="15" t="n">
        <x:f>F64/'Datos'!$F$7</x:f>
        <x:v>0.002680344153349218</x:v>
      </x:c>
      <x:c r="L64" s="3"/>
    </x:row>
    <x:row r="65" ht="22" customHeight="1">
      <x:c r="A65" s="3"/>
      <x:c r="B65" s="3" t="str">
        <x:v>84347</x:v>
      </x:c>
      <x:c r="C65" s="3" t="str">
        <x:v>ROTATING SILVER ANGELS T-LIGHT HLDR</x:v>
      </x:c>
      <x:c r="D65" s="13" t="n">
        <x:v>26463.83</x:v>
      </x:c>
      <x:c r="E65" s="13" t="n">
        <x:v>321.6</x:v>
      </x:c>
      <x:c r="F65" s="13" t="n">
        <x:f>D65-E65</x:f>
        <x:v>26142.230000000003</x:v>
      </x:c>
      <x:c r="G65" s="3" t="n">
        <x:v>9476</x:v>
      </x:c>
      <x:c r="H65" s="3" t="n">
        <x:v>9376</x:v>
      </x:c>
      <x:c r="I65" s="3" t="n">
        <x:v>449</x:v>
      </x:c>
      <x:c r="J65" s="15" t="n">
        <x:f>IF(D65=0,"n.a.",E65/D65)</x:f>
        <x:v>0.012152435985267438</x:v>
      </x:c>
      <x:c r="K65" s="15" t="n">
        <x:f>F65/'Datos'!$F$7</x:f>
        <x:v>0.002669560620287869</x:v>
      </x:c>
      <x:c r="L65" s="3"/>
    </x:row>
    <x:row r="66" ht="22" customHeight="1">
      <x:c r="A66" s="3"/>
      <x:c r="B66" s="3" t="str">
        <x:v>22666</x:v>
      </x:c>
      <x:c r="C66" s="3" t="str">
        <x:v>RECIPE BOX PANTRY YELLOW DESIGN</x:v>
      </x:c>
      <x:c r="D66" s="13" t="n">
        <x:v>26240.6</x:v>
      </x:c>
      <x:c r="E66" s="13" t="n">
        <x:v>421.05</x:v>
      </x:c>
      <x:c r="F66" s="13" t="n">
        <x:f>D66-E66</x:f>
        <x:v>25819.55</x:v>
      </x:c>
      <x:c r="G66" s="3" t="n">
        <x:v>8276</x:v>
      </x:c>
      <x:c r="H66" s="3" t="n">
        <x:v>151</x:v>
      </x:c>
      <x:c r="I66" s="3" t="n">
        <x:v>1111</x:v>
      </x:c>
      <x:c r="J66" s="15" t="n">
        <x:f>IF(D66=0,"n.a.",E66/D66)</x:f>
        <x:v>0.01604574590520034</x:v>
      </x:c>
      <x:c r="K66" s="15" t="n">
        <x:f>F66/'Datos'!$F$7</x:f>
        <x:v>0.002636609574376541</x:v>
      </x:c>
      <x:c r="L66" s="3"/>
    </x:row>
    <x:row r="67" ht="22" customHeight="1">
      <x:c r="A67" s="3"/>
      <x:c r="B67" s="3" t="str">
        <x:v>22629</x:v>
      </x:c>
      <x:c r="C67" s="3" t="str">
        <x:v>SPACEBOY LUNCH BOX</x:v>
      </x:c>
      <x:c r="D67" s="13" t="n">
        <x:v>25740.47</x:v>
      </x:c>
      <x:c r="E67" s="13" t="n">
        <x:v>92.7</x:v>
      </x:c>
      <x:c r="F67" s="13" t="n">
        <x:f>D67-E67</x:f>
        <x:v>25647.77</x:v>
      </x:c>
      <x:c r="G67" s="3" t="n">
        <x:v>14260</x:v>
      </x:c>
      <x:c r="H67" s="3" t="n">
        <x:v>54</x:v>
      </x:c>
      <x:c r="I67" s="3" t="n">
        <x:v>900</x:v>
      </x:c>
      <x:c r="J67" s="15" t="n">
        <x:f>IF(D67=0,"n.a.",E67/D67)</x:f>
        <x:v>0.0036013328427958</x:v>
      </x:c>
      <x:c r="K67" s="15" t="n">
        <x:f>F67/'Datos'!$F$7</x:f>
        <x:v>0.0026190679521295845</x:v>
      </x:c>
      <x:c r="L67" s="3"/>
    </x:row>
    <x:row r="68" ht="22" customHeight="1">
      <x:c r="A68" s="3"/>
      <x:c r="B68" s="3" t="str">
        <x:v>84946</x:v>
      </x:c>
      <x:c r="C68" s="3" t="str">
        <x:v>ANTIQUE SILVER T-LIGHT GLASS</x:v>
      </x:c>
      <x:c r="D68" s="13" t="n">
        <x:v>25889.63</x:v>
      </x:c>
      <x:c r="E68" s="13" t="n">
        <x:v>372.96</x:v>
      </x:c>
      <x:c r="F68" s="13" t="n">
        <x:f>D68-E68</x:f>
        <x:v>25516.670000000002</x:v>
      </x:c>
      <x:c r="G68" s="3" t="n">
        <x:v>19246</x:v>
      </x:c>
      <x:c r="H68" s="3" t="n">
        <x:v>335</x:v>
      </x:c>
      <x:c r="I68" s="3" t="n">
        <x:v>905</x:v>
      </x:c>
      <x:c r="J68" s="15" t="n">
        <x:f>IF(D68=0,"n.a.",E68/D68)</x:f>
        <x:v>0.014405767869220223</x:v>
      </x:c>
      <x:c r="K68" s="15" t="n">
        <x:f>F68/'Datos'!$F$7</x:f>
        <x:v>0.0026056804409142166</x:v>
      </x:c>
      <x:c r="L68" s="3"/>
    </x:row>
    <x:row r="69" ht="22" customHeight="1">
      <x:c r="A69" s="3"/>
      <x:c r="B69" s="3" t="str">
        <x:v>48138</x:v>
      </x:c>
      <x:c r="C69" s="3" t="str">
        <x:v>DOORMAT UNION FLAG</x:v>
      </x:c>
      <x:c r="D69" s="13" t="n">
        <x:v>25609.6</x:v>
      </x:c>
      <x:c r="E69" s="13" t="n">
        <x:v>97.5</x:v>
      </x:c>
      <x:c r="F69" s="13" t="n">
        <x:f>D69-E69</x:f>
        <x:v>25512.1</x:v>
      </x:c>
      <x:c r="G69" s="3" t="n">
        <x:v>3762</x:v>
      </x:c>
      <x:c r="H69" s="3" t="n">
        <x:v>12</x:v>
      </x:c>
      <x:c r="I69" s="3" t="n">
        <x:v>616</x:v>
      </x:c>
      <x:c r="J69" s="15" t="n">
        <x:f>IF(D69=0,"n.a.",E69/D69)</x:f>
        <x:v>0.003807166062726478</x:v>
      </x:c>
      <x:c r="K69" s="15" t="n">
        <x:f>F69/'Datos'!$F$7</x:f>
        <x:v>0.0026052137671822998</x:v>
      </x:c>
      <x:c r="L69" s="3"/>
    </x:row>
    <x:row r="70" ht="22" customHeight="1">
      <x:c r="A70" s="3"/>
      <x:c r="B70" s="3" t="str">
        <x:v>22961</x:v>
      </x:c>
      <x:c r="C70" s="3" t="str">
        <x:v>JAM MAKING SET PRINTED</x:v>
      </x:c>
      <x:c r="D70" s="13" t="n">
        <x:v>25660.98</x:v>
      </x:c>
      <x:c r="E70" s="13" t="n">
        <x:v>425.75</x:v>
      </x:c>
      <x:c r="F70" s="13" t="n">
        <x:f>D70-E70</x:f>
        <x:v>25235.23</x:v>
      </x:c>
      <x:c r="G70" s="3" t="n">
        <x:v>16412</x:v>
      </x:c>
      <x:c r="H70" s="3" t="n">
        <x:v>331</x:v>
      </x:c>
      <x:c r="I70" s="3" t="n">
        <x:v>1162</x:v>
      </x:c>
      <x:c r="J70" s="15" t="n">
        <x:f>IF(D70=0,"n.a.",E70/D70)</x:f>
        <x:v>0.016591338288716954</x:v>
      </x:c>
      <x:c r="K70" s="15" t="n">
        <x:f>F70/'Datos'!$F$7</x:f>
        <x:v>0.0025769406914370745</x:v>
      </x:c>
      <x:c r="L70" s="3"/>
    </x:row>
    <x:row r="71" ht="22" customHeight="1">
      <x:c r="A71" s="3"/>
      <x:c r="B71" s="3" t="str">
        <x:v>21181</x:v>
      </x:c>
      <x:c r="C71" s="3" t="str">
        <x:v>PLEASE ONE PERSON METAL SIGN</x:v>
      </x:c>
      <x:c r="D71" s="13" t="n">
        <x:v>25290.58</x:v>
      </x:c>
      <x:c r="E71" s="13" t="n">
        <x:v>169.7</x:v>
      </x:c>
      <x:c r="F71" s="13" t="n">
        <x:f>D71-E71</x:f>
        <x:v>25120.88</x:v>
      </x:c>
      <x:c r="G71" s="3" t="n">
        <x:v>12305</x:v>
      </x:c>
      <x:c r="H71" s="3" t="n">
        <x:v>87</x:v>
      </x:c>
      <x:c r="I71" s="3" t="n">
        <x:v>845</x:v>
      </x:c>
      <x:c r="J71" s="15" t="n">
        <x:f>IF(D71=0,"n.a.",E71/D71)</x:f>
        <x:v>0.006710008232314165</x:v>
      </x:c>
      <x:c r="K71" s="15" t="n">
        <x:f>F71/'Datos'!$F$7</x:f>
        <x:v>0.0025652636364601306</x:v>
      </x:c>
      <x:c r="L71" s="3"/>
    </x:row>
    <x:row r="72" ht="22" customHeight="1">
      <x:c r="A72" s="3"/>
      <x:c r="B72" s="3" t="str">
        <x:v>23173</x:v>
      </x:c>
      <x:c r="C72" s="3" t="str">
        <x:v>REGENCY TEAPOT ROSES</x:v>
      </x:c>
      <x:c r="D72" s="13" t="n">
        <x:v>24918.93</x:v>
      </x:c>
      <x:c r="E72" s="13" t="n">
        <x:v>436.4</x:v>
      </x:c>
      <x:c r="F72" s="13" t="n">
        <x:f>D72-E72</x:f>
        <x:v>24482.53</x:v>
      </x:c>
      <x:c r="G72" s="3" t="n">
        <x:v>2770</x:v>
      </x:c>
      <x:c r="H72" s="3" t="n">
        <x:v>52</x:v>
      </x:c>
      <x:c r="I72" s="3" t="n">
        <x:v>416</x:v>
      </x:c>
      <x:c r="J72" s="15" t="n">
        <x:f>IF(D72=0,"n.a.",E72/D72)</x:f>
        <x:v>0.01751279047695868</x:v>
      </x:c>
      <x:c r="K72" s="15" t="n">
        <x:f>F72/'Datos'!$F$7</x:f>
        <x:v>0.002500077383337854</x:v>
      </x:c>
      <x:c r="L72" s="3"/>
    </x:row>
    <x:row r="73" ht="22" customHeight="1">
      <x:c r="A73" s="3"/>
      <x:c r="B73" s="3" t="str">
        <x:v>22722</x:v>
      </x:c>
      <x:c r="C73" s="3" t="str">
        <x:v>SET OF 6 SPICE TINS PANTRY DESIGN</x:v>
      </x:c>
      <x:c r="D73" s="13" t="n">
        <x:v>24483.66</x:v>
      </x:c>
      <x:c r="E73" s="13" t="n">
        <x:v>118</x:v>
      </x:c>
      <x:c r="F73" s="13" t="n">
        <x:f>D73-E73</x:f>
        <x:v>24365.66</x:v>
      </x:c>
      <x:c r="G73" s="3" t="n">
        <x:v>5978</x:v>
      </x:c>
      <x:c r="H73" s="3" t="n">
        <x:v>30</x:v>
      </x:c>
      <x:c r="I73" s="3" t="n">
        <x:v>834</x:v>
      </x:c>
      <x:c r="J73" s="15" t="n">
        <x:f>IF(D73=0,"n.a.",E73/D73)</x:f>
        <x:v>0.004819540869298136</x:v>
      </x:c>
      <x:c r="K73" s="15" t="n">
        <x:f>F73/'Datos'!$F$7</x:f>
        <x:v>0.002488142994049219</x:v>
      </x:c>
      <x:c r="L73" s="3"/>
    </x:row>
    <x:row r="74" ht="22" customHeight="1">
      <x:c r="A74" s="3"/>
      <x:c r="B74" s="3" t="str">
        <x:v>22326</x:v>
      </x:c>
      <x:c r="C74" s="3" t="str">
        <x:v>ROUND SNACK BOXES SET OF4 WOODLAND</x:v>
      </x:c>
      <x:c r="D74" s="13" t="n">
        <x:v>24438.62</x:v>
      </x:c>
      <x:c r="E74" s="13" t="n">
        <x:v>120.95</x:v>
      </x:c>
      <x:c r="F74" s="13" t="n">
        <x:f>D74-E74</x:f>
        <x:v>24317.67</x:v>
      </x:c>
      <x:c r="G74" s="3" t="n">
        <x:v>8560</x:v>
      </x:c>
      <x:c r="H74" s="3" t="n">
        <x:v>41</x:v>
      </x:c>
      <x:c r="I74" s="3" t="n">
        <x:v>732</x:v>
      </x:c>
      <x:c r="J74" s="15" t="n">
        <x:f>IF(D74=0,"n.a.",E74/D74)</x:f>
        <x:v>0.0049491337890601025</x:v>
      </x:c>
      <x:c r="K74" s="15" t="n">
        <x:f>F74/'Datos'!$F$7</x:f>
        <x:v>0.002483242409280145</x:v>
      </x:c>
      <x:c r="L74" s="3"/>
    </x:row>
    <x:row r="75" ht="22" customHeight="1">
      <x:c r="A75" s="3"/>
      <x:c r="B75" s="3" t="str">
        <x:v>21621</x:v>
      </x:c>
      <x:c r="C75" s="3" t="str">
        <x:v>VINTAGE UNION JACK BUNTING</x:v>
      </x:c>
      <x:c r="D75" s="13" t="n">
        <x:v>24542.83</x:v>
      </x:c>
      <x:c r="E75" s="13" t="n">
        <x:v>238</x:v>
      </x:c>
      <x:c r="F75" s="13" t="n">
        <x:f>D75-E75</x:f>
        <x:v>24304.83</x:v>
      </x:c>
      <x:c r="G75" s="3" t="n">
        <x:v>2789</x:v>
      </x:c>
      <x:c r="H75" s="3" t="n">
        <x:v>28</x:v>
      </x:c>
      <x:c r="I75" s="3" t="n">
        <x:v>475</x:v>
      </x:c>
      <x:c r="J75" s="15" t="n">
        <x:f>IF(D75=0,"n.a.",E75/D75)</x:f>
        <x:v>0.009697333192626929</x:v>
      </x:c>
      <x:c r="K75" s="15" t="n">
        <x:f>F75/'Datos'!$F$7</x:f>
        <x:v>0.0024819312296920043</x:v>
      </x:c>
      <x:c r="L75" s="3"/>
    </x:row>
    <x:row r="76" ht="22" customHeight="1">
      <x:c r="A76" s="3"/>
      <x:c r="B76" s="3" t="str">
        <x:v>48187</x:v>
      </x:c>
      <x:c r="C76" s="3" t="str">
        <x:v>DOORMAT NEW ENGLAND</x:v>
      </x:c>
      <x:c r="D76" s="13" t="n">
        <x:v>24292.84</x:v>
      </x:c>
      <x:c r="E76" s="13" t="n">
        <x:v>31.8</x:v>
      </x:c>
      <x:c r="F76" s="13" t="n">
        <x:f>D76-E76</x:f>
        <x:v>24261.04</x:v>
      </x:c>
      <x:c r="G76" s="3" t="n">
        <x:v>3830</x:v>
      </x:c>
      <x:c r="H76" s="3" t="n">
        <x:v>4</x:v>
      </x:c>
      <x:c r="I76" s="3" t="n">
        <x:v>600</x:v>
      </x:c>
      <x:c r="J76" s="15" t="n">
        <x:f>IF(D76=0,"n.a.",E76/D76)</x:f>
        <x:v>0.0013090276805840734</x:v>
      </x:c>
      <x:c r="K76" s="15" t="n">
        <x:f>F76/'Datos'!$F$7</x:f>
        <x:v>0.002477459535442416</x:v>
      </x:c>
      <x:c r="L76" s="3"/>
    </x:row>
    <x:row r="77" ht="22" customHeight="1">
      <x:c r="A77" s="3"/>
      <x:c r="B77" s="3" t="str">
        <x:v>22111</x:v>
      </x:c>
      <x:c r="C77" s="3" t="str">
        <x:v>SCOTTIE DOG HOT WATER BOTTLE</x:v>
      </x:c>
      <x:c r="D77" s="13" t="n">
        <x:v>24509.84</x:v>
      </x:c>
      <x:c r="E77" s="13" t="n">
        <x:v>544.45</x:v>
      </x:c>
      <x:c r="F77" s="13" t="n">
        <x:f>D77-E77</x:f>
        <x:v>23965.39</x:v>
      </x:c>
      <x:c r="G77" s="3" t="n">
        <x:v>4666</x:v>
      </x:c>
      <x:c r="H77" s="3" t="n">
        <x:v>129</x:v>
      </x:c>
      <x:c r="I77" s="3" t="n">
        <x:v>771</x:v>
      </x:c>
      <x:c r="J77" s="15" t="n">
        <x:f>IF(D77=0,"n.a.",E77/D77)</x:f>
        <x:v>0.022213527301687814</x:v>
      </x:c>
      <x:c r="K77" s="15" t="n">
        <x:f>F77/'Datos'!$F$7</x:f>
        <x:v>0.0024472687063743486</x:v>
      </x:c>
      <x:c r="L77" s="3"/>
    </x:row>
    <x:row r="78" ht="22" customHeight="1">
      <x:c r="A78" s="3"/>
      <x:c r="B78" s="3" t="str">
        <x:v>22138</x:v>
      </x:c>
      <x:c r="C78" s="3" t="str">
        <x:v>BAKING SET 9 PIECE RETROSPOT</x:v>
      </x:c>
      <x:c r="D78" s="13" t="n">
        <x:v>24239.72</x:v>
      </x:c>
      <x:c r="E78" s="13" t="n">
        <x:v>311.1</x:v>
      </x:c>
      <x:c r="F78" s="13" t="n">
        <x:f>D78-E78</x:f>
        <x:v>23928.620000000003</x:v>
      </x:c>
      <x:c r="G78" s="3" t="n">
        <x:v>4948</x:v>
      </x:c>
      <x:c r="H78" s="3" t="n">
        <x:v>68</x:v>
      </x:c>
      <x:c r="I78" s="3" t="n">
        <x:v>934</x:v>
      </x:c>
      <x:c r="J78" s="15" t="n">
        <x:f>IF(D78=0,"n.a.",E78/D78)</x:f>
        <x:v>0.012834306666908693</x:v>
      </x:c>
      <x:c r="K78" s="15" t="n">
        <x:f>F78/'Datos'!$F$7</x:f>
        <x:v>0.0024435138719930438</x:v>
      </x:c>
      <x:c r="L78" s="3"/>
    </x:row>
    <x:row r="79" ht="22" customHeight="1">
      <x:c r="A79" s="3"/>
      <x:c r="B79" s="3" t="str">
        <x:v>21731</x:v>
      </x:c>
      <x:c r="C79" s="3" t="str">
        <x:v>RED TOADSTOOL LED NIGHT LIGHT</x:v>
      </x:c>
      <x:c r="D79" s="13" t="n">
        <x:v>23932.98</x:v>
      </x:c>
      <x:c r="E79" s="13" t="n">
        <x:v>281.3</x:v>
      </x:c>
      <x:c r="F79" s="13" t="n">
        <x:f>D79-E79</x:f>
        <x:v>23651.68</x:v>
      </x:c>
      <x:c r="G79" s="3" t="n">
        <x:v>14009</x:v>
      </x:c>
      <x:c r="H79" s="3" t="n">
        <x:v>186</x:v>
      </x:c>
      <x:c r="I79" s="3" t="n">
        <x:v>849</x:v>
      </x:c>
      <x:c r="J79" s="15" t="n">
        <x:f>IF(D79=0,"n.a.",E79/D79)</x:f>
        <x:v>0.011753655416082745</x:v>
      </x:c>
      <x:c r="K79" s="15" t="n">
        <x:f>F79/'Datos'!$F$7</x:f>
        <x:v>0.0024152336480724934</x:v>
      </x:c>
      <x:c r="L79" s="3"/>
    </x:row>
    <x:row r="80" ht="22" customHeight="1">
      <x:c r="A80" s="3"/>
      <x:c r="B80" s="3" t="str">
        <x:v>22189</x:v>
      </x:c>
      <x:c r="C80" s="3" t="str">
        <x:v>CREAM HEART CARD HOLDER</x:v>
      </x:c>
      <x:c r="D80" s="13" t="n">
        <x:v>23463.47</x:v>
      </x:c>
      <x:c r="E80" s="13" t="n">
        <x:v>31.6</x:v>
      </x:c>
      <x:c r="F80" s="13" t="n">
        <x:f>D80-E80</x:f>
        <x:v>23431.870000000003</x:v>
      </x:c>
      <x:c r="G80" s="3" t="n">
        <x:v>8291</x:v>
      </x:c>
      <x:c r="H80" s="3" t="n">
        <x:v>8</x:v>
      </x:c>
      <x:c r="I80" s="3" t="n">
        <x:v>524</x:v>
      </x:c>
      <x:c r="J80" s="15" t="n">
        <x:f>IF(D80=0,"n.a.",E80/D80)</x:f>
        <x:v>0.0013467743688380278</x:v>
      </x:c>
      <x:c r="K80" s="15" t="n">
        <x:f>F80/'Datos'!$F$7</x:f>
        <x:v>0.0023927873563848495</x:v>
      </x:c>
      <x:c r="L80" s="3"/>
    </x:row>
    <x:row r="81" ht="22" customHeight="1">
      <x:c r="A81" s="3"/>
      <x:c r="B81" s="3" t="str">
        <x:v>15056N</x:v>
      </x:c>
      <x:c r="C81" s="3" t="str">
        <x:v>EDWARDIAN PARASOL NATURAL</x:v>
      </x:c>
      <x:c r="D81" s="13" t="n">
        <x:v>23761.77</x:v>
      </x:c>
      <x:c r="E81" s="13" t="n">
        <x:v>337.45</x:v>
      </x:c>
      <x:c r="F81" s="13" t="n">
        <x:f>D81-E81</x:f>
        <x:v>23424.32</x:v>
      </x:c>
      <x:c r="G81" s="3" t="n">
        <x:v>4081</x:v>
      </x:c>
      <x:c r="H81" s="3" t="n">
        <x:v>57</x:v>
      </x:c>
      <x:c r="I81" s="3" t="n">
        <x:v>540</x:v>
      </x:c>
      <x:c r="J81" s="15" t="n">
        <x:f>IF(D81=0,"n.a.",E81/D81)</x:f>
        <x:v>0.014201383146120848</x:v>
      </x:c>
      <x:c r="K81" s="15" t="n">
        <x:f>F81/'Datos'!$F$7</x:f>
        <x:v>0.002392016374617679</x:v>
      </x:c>
      <x:c r="L81" s="3"/>
    </x:row>
    <x:row r="82" ht="22" customHeight="1">
      <x:c r="A82" s="3"/>
      <x:c r="B82" s="3" t="str">
        <x:v>23344</x:v>
      </x:c>
      <x:c r="C82" s="3" t="str">
        <x:v>JUMBO BAG 50'S CHRISTMAS</x:v>
      </x:c>
      <x:c r="D82" s="13" t="n">
        <x:v>23815.75</x:v>
      </x:c>
      <x:c r="E82" s="13" t="n">
        <x:v>486.96</x:v>
      </x:c>
      <x:c r="F82" s="13" t="n">
        <x:f>D82-E82</x:f>
        <x:v>23328.79</x:v>
      </x:c>
      <x:c r="G82" s="3" t="n">
        <x:v>10306</x:v>
      </x:c>
      <x:c r="H82" s="3" t="n">
        <x:v>262</x:v>
      </x:c>
      <x:c r="I82" s="3" t="n">
        <x:v>716</x:v>
      </x:c>
      <x:c r="J82" s="15" t="n">
        <x:f>IF(D82=0,"n.a.",E82/D82)</x:f>
        <x:v>0.020446973116530025</x:v>
      </x:c>
      <x:c r="K82" s="15" t="n">
        <x:f>F82/'Datos'!$F$7</x:f>
        <x:v>0.0023822611576351915</x:v>
      </x:c>
      <x:c r="L82" s="3"/>
    </x:row>
    <x:row r="83" ht="22" customHeight="1">
      <x:c r="A83" s="3"/>
      <x:c r="B83" s="3" t="str">
        <x:v>21175</x:v>
      </x:c>
      <x:c r="C83" s="3" t="str">
        <x:v>GIN + TONIC DIET METAL SIGN</x:v>
      </x:c>
      <x:c r="D83" s="13" t="n">
        <x:v>27074.07</x:v>
      </x:c>
      <x:c r="E83" s="13" t="n">
        <x:v>3775.33</x:v>
      </x:c>
      <x:c r="F83" s="13" t="n">
        <x:f>D83-E83</x:f>
        <x:v>23298.739999999998</x:v>
      </x:c>
      <x:c r="G83" s="3" t="n">
        <x:v>12225</x:v>
      </x:c>
      <x:c r="H83" s="3" t="n">
        <x:v>2030</x:v>
      </x:c>
      <x:c r="I83" s="3" t="n">
        <x:v>809</x:v>
      </x:c>
      <x:c r="J83" s="15" t="n">
        <x:f>IF(D83=0,"n.a.",E83/D83)</x:f>
        <x:v>0.13944449430765304</x:v>
      </x:c>
      <x:c r="K83" s="15" t="n">
        <x:f>F83/'Datos'!$F$7</x:f>
        <x:v>0.0023791925480850626</x:v>
      </x:c>
      <x:c r="L83" s="3"/>
    </x:row>
    <x:row r="84" ht="22" customHeight="1">
      <x:c r="A84" s="3"/>
      <x:c r="B84" s="3" t="str">
        <x:v>21733</x:v>
      </x:c>
      <x:c r="C84" s="3" t="str">
        <x:v>RED HANGING HEART T-LIGHT HOLDER</x:v>
      </x:c>
      <x:c r="D84" s="13" t="n">
        <x:v>23228.74</x:v>
      </x:c>
      <x:c r="E84" s="13" t="n">
        <x:v>152.95</x:v>
      </x:c>
      <x:c r="F84" s="13" t="n">
        <x:f>D84-E84</x:f>
        <x:v>23075.79</x:v>
      </x:c>
      <x:c r="G84" s="3" t="n">
        <x:v>7882</x:v>
      </x:c>
      <x:c r="H84" s="3" t="n">
        <x:v>57</x:v>
      </x:c>
      <x:c r="I84" s="3" t="n">
        <x:v>741</x:v>
      </x:c>
      <x:c r="J84" s="15" t="n">
        <x:f>IF(D84=0,"n.a.",E84/D84)</x:f>
        <x:v>0.0065845155613261834</x:v>
      </x:c>
      <x:c r="K84" s="15" t="n">
        <x:f>F84/'Datos'!$F$7</x:f>
        <x:v>0.0023564256096757085</x:v>
      </x:c>
      <x:c r="L84" s="3"/>
    </x:row>
    <x:row r="85" ht="22" customHeight="1">
      <x:c r="A85" s="3"/>
      <x:c r="B85" s="3" t="str">
        <x:v>21623</x:v>
      </x:c>
      <x:c r="C85" s="3" t="str">
        <x:v>VINTAGE UNION JACK MEMOBOARD</x:v>
      </x:c>
      <x:c r="D85" s="13" t="n">
        <x:v>23010.09</x:v>
      </x:c>
      <x:c r="E85" s="13" t="n">
        <x:v>39.8</x:v>
      </x:c>
      <x:c r="F85" s="13" t="n">
        <x:f>D85-E85</x:f>
        <x:v>22970.29</x:v>
      </x:c>
      <x:c r="G85" s="3" t="n">
        <x:v>3272</x:v>
      </x:c>
      <x:c r="H85" s="3" t="n">
        <x:v>4</x:v>
      </x:c>
      <x:c r="I85" s="3" t="n">
        <x:v>221</x:v>
      </x:c>
      <x:c r="J85" s="15" t="n">
        <x:f>IF(D85=0,"n.a.",E85/D85)</x:f>
        <x:v>0.00172967598127604</x:v>
      </x:c>
      <x:c r="K85" s="15" t="n">
        <x:f>F85/'Datos'!$F$7</x:f>
        <x:v>0.0023456522882933945</x:v>
      </x:c>
      <x:c r="L85" s="3"/>
    </x:row>
    <x:row r="86" ht="22" customHeight="1">
      <x:c r="A86" s="3"/>
      <x:c r="B86" s="3" t="str">
        <x:v>23243</x:v>
      </x:c>
      <x:c r="C86" s="3" t="str">
        <x:v>SET OF TEA COFFEE SUGAR TINS PANTRY</x:v>
      </x:c>
      <x:c r="D86" s="13" t="n">
        <x:v>23514.17</x:v>
      </x:c>
      <x:c r="E86" s="13" t="n">
        <x:v>545.55</x:v>
      </x:c>
      <x:c r="F86" s="13" t="n">
        <x:f>D86-E86</x:f>
        <x:v>22968.62</x:v>
      </x:c>
      <x:c r="G86" s="3" t="n">
        <x:v>4805</x:v>
      </x:c>
      <x:c r="H86" s="3" t="n">
        <x:v>117</x:v>
      </x:c>
      <x:c r="I86" s="3" t="n">
        <x:v>470</x:v>
      </x:c>
      <x:c r="J86" s="15" t="n">
        <x:f>IF(D86=0,"n.a.",E86/D86)</x:f>
        <x:v>0.023200903965566295</x:v>
      </x:c>
      <x:c r="K86" s="15" t="n">
        <x:f>F86/'Datos'!$F$7</x:f>
        <x:v>0.002345481753253504</x:v>
      </x:c>
      <x:c r="L86" s="3"/>
    </x:row>
    <x:row r="87" ht="22" customHeight="1">
      <x:c r="A87" s="3"/>
      <x:c r="B87" s="3" t="str">
        <x:v>21929</x:v>
      </x:c>
      <x:c r="C87" s="3" t="str">
        <x:v>JUMBO BAG PINK VINTAGE PAISLEY</x:v>
      </x:c>
      <x:c r="D87" s="13" t="n">
        <x:v>23181.14</x:v>
      </x:c>
      <x:c r="E87" s="13" t="n">
        <x:v>387.07</x:v>
      </x:c>
      <x:c r="F87" s="13" t="n">
        <x:f>D87-E87</x:f>
        <x:v>22794.07</x:v>
      </x:c>
      <x:c r="G87" s="3" t="n">
        <x:v>11007</x:v>
      </x:c>
      <x:c r="H87" s="3" t="n">
        <x:v>222</x:v>
      </x:c>
      <x:c r="I87" s="3" t="n">
        <x:v>865</x:v>
      </x:c>
      <x:c r="J87" s="15" t="n">
        <x:f>IF(D87=0,"n.a.",E87/D87)</x:f>
        <x:v>0.01669762574230603</x:v>
      </x:c>
      <x:c r="K87" s="15" t="n">
        <x:f>F87/'Datos'!$F$7</x:f>
        <x:v>0.0023276572674972677</x:v>
      </x:c>
      <x:c r="L87" s="3"/>
    </x:row>
    <x:row r="88" ht="22" customHeight="1">
      <x:c r="A88" s="3"/>
      <x:c r="B88" s="3" t="str">
        <x:v>22139</x:v>
      </x:c>
      <x:c r="C88" s="3" t="str">
        <x:v>RETROSPOT TEA SET CERAMIC 11 PC</x:v>
      </x:c>
      <x:c r="D88" s="13" t="n">
        <x:v>22912.81</x:v>
      </x:c>
      <x:c r="E88" s="13" t="n">
        <x:v>195.3</x:v>
      </x:c>
      <x:c r="F88" s="13" t="n">
        <x:f>D88-E88</x:f>
        <x:v>22717.510000000002</x:v>
      </x:c>
      <x:c r="G88" s="3" t="n">
        <x:v>4527</x:v>
      </x:c>
      <x:c r="H88" s="3" t="n">
        <x:v>42</x:v>
      </x:c>
      <x:c r="I88" s="3" t="n">
        <x:v>962</x:v>
      </x:c>
      <x:c r="J88" s="15" t="n">
        <x:f>IF(D88=0,"n.a.",E88/D88)</x:f>
        <x:v>0.00852361626531185</x:v>
      </x:c>
      <x:c r="K88" s="15" t="n">
        <x:f>F88/'Datos'!$F$7</x:f>
        <x:v>0.0023198392060277896</x:v>
      </x:c>
      <x:c r="L88" s="3"/>
    </x:row>
    <x:row r="89" ht="22" customHeight="1">
      <x:c r="A89" s="3"/>
      <x:c r="B89" s="3" t="str">
        <x:v>20713</x:v>
      </x:c>
      <x:c r="C89" s="3" t="str">
        <x:v>JUMBO BAG OWLS</x:v>
      </x:c>
      <x:c r="D89" s="13" t="n">
        <x:v>23030.96</x:v>
      </x:c>
      <x:c r="E89" s="13" t="n">
        <x:v>431.43</x:v>
      </x:c>
      <x:c r="F89" s="13" t="n">
        <x:f>D89-E89</x:f>
        <x:v>22599.53</x:v>
      </x:c>
      <x:c r="G89" s="3" t="n">
        <x:v>11444</x:v>
      </x:c>
      <x:c r="H89" s="3" t="n">
        <x:v>243</x:v>
      </x:c>
      <x:c r="I89" s="3" t="n">
        <x:v>657</x:v>
      </x:c>
      <x:c r="J89" s="15" t="n">
        <x:f>IF(D89=0,"n.a.",E89/D89)</x:f>
        <x:v>0.018732610364483288</x:v>
      </x:c>
      <x:c r="K89" s="15" t="n">
        <x:f>F89/'Datos'!$F$7</x:f>
        <x:v>0.0023077914671018615</x:v>
      </x:c>
      <x:c r="L89" s="3"/>
    </x:row>
    <x:row r="90" ht="22" customHeight="1">
      <x:c r="A90" s="3"/>
      <x:c r="B90" s="3" t="str">
        <x:v>22090</x:v>
      </x:c>
      <x:c r="C90" s="3" t="str">
        <x:v>PAPER BUNTING RETROSPOT</x:v>
      </x:c>
      <x:c r="D90" s="13" t="n">
        <x:v>22790.96</x:v>
      </x:c>
      <x:c r="E90" s="13" t="n">
        <x:v>196.4</x:v>
      </x:c>
      <x:c r="F90" s="13" t="n">
        <x:f>D90-E90</x:f>
        <x:v>22594.559999999998</x:v>
      </x:c>
      <x:c r="G90" s="3" t="n">
        <x:v>7564</x:v>
      </x:c>
      <x:c r="H90" s="3" t="n">
        <x:v>72</x:v>
      </x:c>
      <x:c r="I90" s="3" t="n">
        <x:v>798</x:v>
      </x:c>
      <x:c r="J90" s="15" t="n">
        <x:f>IF(D90=0,"n.a.",E90/D90)</x:f>
        <x:v>0.008617451831778917</x:v>
      </x:c>
      <x:c r="K90" s="15" t="n">
        <x:f>F90/'Datos'!$F$7</x:f>
        <x:v>0.0023072839466538033</x:v>
      </x:c>
      <x:c r="L90" s="3"/>
    </x:row>
    <x:row r="91" ht="22" customHeight="1">
      <x:c r="A91" s="3"/>
      <x:c r="B91" s="3" t="str">
        <x:v>82482</x:v>
      </x:c>
      <x:c r="C91" s="3" t="str">
        <x:v>WOODEN PICTURE FRAME WHITE FINISH</x:v>
      </x:c>
      <x:c r="D91" s="13" t="n">
        <x:v>23113.26</x:v>
      </x:c>
      <x:c r="E91" s="13" t="n">
        <x:v>581.55</x:v>
      </x:c>
      <x:c r="F91" s="13" t="n">
        <x:f>D91-E91</x:f>
        <x:v>22531.71</x:v>
      </x:c>
      <x:c r="G91" s="3" t="n">
        <x:v>9006</x:v>
      </x:c>
      <x:c r="H91" s="3" t="n">
        <x:v>233</x:v>
      </x:c>
      <x:c r="I91" s="3" t="n">
        <x:v>1100</x:v>
      </x:c>
      <x:c r="J91" s="15" t="n">
        <x:f>IF(D91=0,"n.a.",E91/D91)</x:f>
        <x:v>0.025160881675713422</x:v>
      </x:c>
      <x:c r="K91" s="15" t="n">
        <x:f>F91/'Datos'!$F$7</x:f>
        <x:v>0.0023008659063800743</x:v>
      </x:c>
      <x:c r="L91" s="3"/>
    </x:row>
    <x:row r="92" ht="22" customHeight="1">
      <x:c r="A92" s="3"/>
      <x:c r="B92" s="3" t="str">
        <x:v>22697</x:v>
      </x:c>
      <x:c r="C92" s="3" t="str">
        <x:v>GREEN REGENCY TEACUP AND SAUCER</x:v>
      </x:c>
      <x:c r="D92" s="13" t="n">
        <x:v>22826.3</x:v>
      </x:c>
      <x:c r="E92" s="13" t="n">
        <x:v>393.05</x:v>
      </x:c>
      <x:c r="F92" s="13" t="n">
        <x:f>D92-E92</x:f>
        <x:v>22433.25</x:v>
      </x:c>
      <x:c r="G92" s="3" t="n">
        <x:v>7302</x:v>
      </x:c>
      <x:c r="H92" s="3" t="n">
        <x:v>143</x:v>
      </x:c>
      <x:c r="I92" s="3" t="n">
        <x:v>1013</x:v>
      </x:c>
      <x:c r="J92" s="15" t="n">
        <x:f>IF(D92=0,"n.a.",E92/D92)</x:f>
        <x:v>0.017219172621055538</x:v>
      </x:c>
      <x:c r="K92" s="15" t="n">
        <x:f>F92/'Datos'!$F$7</x:f>
        <x:v>0.0022908114872018503</x:v>
      </x:c>
      <x:c r="L92" s="3"/>
    </x:row>
    <x:row r="93" ht="22" customHeight="1">
      <x:c r="A93" s="3"/>
      <x:c r="B93" s="3" t="str">
        <x:v>22383</x:v>
      </x:c>
      <x:c r="C93" s="3" t="str">
        <x:v>LUNCH BAG SUKI DESIGN</x:v>
      </x:c>
      <x:c r="D93" s="13" t="n">
        <x:v>22542.44</x:v>
      </x:c>
      <x:c r="E93" s="13" t="n">
        <x:v>223.8</x:v>
      </x:c>
      <x:c r="F93" s="13" t="n">
        <x:f>D93-E93</x:f>
        <x:v>22318.64</x:v>
      </x:c>
      <x:c r="G93" s="3" t="n">
        <x:v>12552</x:v>
      </x:c>
      <x:c r="H93" s="3" t="n">
        <x:v>148</x:v>
      </x:c>
      <x:c r="I93" s="3" t="n">
        <x:v>1284</x:v>
      </x:c>
      <x:c r="J93" s="15" t="n">
        <x:f>IF(D93=0,"n.a.",E93/D93)</x:f>
        <x:v>0.00992794036492944</x:v>
      </x:c>
      <x:c r="K93" s="15" t="n">
        <x:f>F93/'Datos'!$F$7</x:f>
        <x:v>0.0022791078818594143</x:v>
      </x:c>
      <x:c r="L93" s="3"/>
    </x:row>
    <x:row r="94" ht="22" customHeight="1">
      <x:c r="A94" s="3"/>
      <x:c r="B94" s="3" t="str">
        <x:v>84997D</x:v>
      </x:c>
      <x:c r="C94" s="3" t="str">
        <x:v>CHILDRENS CUTLERY POLKADOT PINK</x:v>
      </x:c>
      <x:c r="D94" s="13" t="n">
        <x:v>22394.29</x:v>
      </x:c>
      <x:c r="E94" s="13" t="n">
        <x:v>108.75</x:v>
      </x:c>
      <x:c r="F94" s="13" t="n">
        <x:f>D94-E94</x:f>
        <x:v>22285.54</x:v>
      </x:c>
      <x:c r="G94" s="3" t="n">
        <x:v>5424</x:v>
      </x:c>
      <x:c r="H94" s="3" t="n">
        <x:v>29</x:v>
      </x:c>
      <x:c r="I94" s="3" t="n">
        <x:v>546</x:v>
      </x:c>
      <x:c r="J94" s="15" t="n">
        <x:f>IF(D94=0,"n.a.",E94/D94)</x:f>
        <x:v>0.004856148598593659</x:v>
      </x:c>
      <x:c r="K94" s="15" t="n">
        <x:f>F94/'Datos'!$F$7</x:f>
        <x:v>0.0022757278160987072</x:v>
      </x:c>
      <x:c r="L94" s="3"/>
    </x:row>
    <x:row r="95" ht="22" customHeight="1">
      <x:c r="A95" s="3"/>
      <x:c r="B95" s="3" t="str">
        <x:v>85066</x:v>
      </x:c>
      <x:c r="C95" s="3" t="str">
        <x:v>CREAM SWEETHEART MINI CHEST</x:v>
      </x:c>
      <x:c r="D95" s="13" t="n">
        <x:v>22708.95</x:v>
      </x:c>
      <x:c r="E95" s="13" t="n">
        <x:v>460.8</x:v>
      </x:c>
      <x:c r="F95" s="13" t="n">
        <x:f>D95-E95</x:f>
        <x:v>22248.15</x:v>
      </x:c>
      <x:c r="G95" s="3" t="n">
        <x:v>1793</x:v>
      </x:c>
      <x:c r="H95" s="3" t="n">
        <x:v>42</x:v>
      </x:c>
      <x:c r="I95" s="3" t="n">
        <x:v>519</x:v>
      </x:c>
      <x:c r="J95" s="15" t="n">
        <x:f>IF(D95=0,"n.a.",E95/D95)</x:f>
        <x:v>0.020291559054910067</x:v>
      </x:c>
      <x:c r="K95" s="15" t="n">
        <x:f>F95/'Datos'!$F$7</x:f>
        <x:v>0.002271909669307383</x:v>
      </x:c>
      <x:c r="L95" s="3"/>
    </x:row>
    <x:row r="96" ht="22" customHeight="1">
      <x:c r="A96" s="3"/>
      <x:c r="B96" s="3" t="str">
        <x:v>20727</x:v>
      </x:c>
      <x:c r="C96" s="3" t="str">
        <x:v>LUNCH BAG BLACK SKULL.</x:v>
      </x:c>
      <x:c r="D96" s="13" t="n">
        <x:v>22421.21</x:v>
      </x:c>
      <x:c r="E96" s="13" t="n">
        <x:v>202.2</x:v>
      </x:c>
      <x:c r="F96" s="13" t="n">
        <x:f>D96-E96</x:f>
        <x:v>22219.01</x:v>
      </x:c>
      <x:c r="G96" s="3" t="n">
        <x:v>12240</x:v>
      </x:c>
      <x:c r="H96" s="3" t="n">
        <x:v>128</x:v>
      </x:c>
      <x:c r="I96" s="3" t="n">
        <x:v>1273</x:v>
      </x:c>
      <x:c r="J96" s="15" t="n">
        <x:f>IF(D96=0,"n.a.",E96/D96)</x:f>
        <x:v>0.009018246562072252</x:v>
      </x:c>
      <x:c r="K96" s="15" t="n">
        <x:f>F96/'Datos'!$F$7</x:f>
        <x:v>0.0022689339860364763</x:v>
      </x:c>
      <x:c r="L96" s="3"/>
    </x:row>
    <x:row r="97" ht="22" customHeight="1">
      <x:c r="A97" s="3"/>
      <x:c r="B97" s="3" t="str">
        <x:v>48194</x:v>
      </x:c>
      <x:c r="C97" s="3" t="str">
        <x:v>DOORMAT HEARTS</x:v>
      </x:c>
      <x:c r="D97" s="13" t="n">
        <x:v>22138.57</x:v>
      </x:c>
      <x:c r="E97" s="13" t="n">
        <x:v>23.85</x:v>
      </x:c>
      <x:c r="F97" s="13" t="n">
        <x:f>D97-E97</x:f>
        <x:v>22114.72</x:v>
      </x:c>
      <x:c r="G97" s="3" t="n">
        <x:v>3419</x:v>
      </x:c>
      <x:c r="H97" s="3" t="n">
        <x:v>3</x:v>
      </x:c>
      <x:c r="I97" s="3" t="n">
        <x:v>592</x:v>
      </x:c>
      <x:c r="J97" s="15" t="n">
        <x:f>IF(D97=0,"n.a.",E97/D97)</x:f>
        <x:v>0.0010773053544108767</x:v>
      </x:c>
      <x:c r="K97" s="15" t="n">
        <x:f>F97/'Datos'!$F$7</x:f>
        <x:v>0.0022582842259704907</x:v>
      </x:c>
      <x:c r="L97" s="3"/>
    </x:row>
    <x:row r="98" ht="22" customHeight="1">
      <x:c r="A98" s="3"/>
      <x:c r="B98" s="3" t="str">
        <x:v>84029E</x:v>
      </x:c>
      <x:c r="C98" s="3" t="str">
        <x:v>RED WOOLLY HOTTIE WHITE HEART.</x:v>
      </x:c>
      <x:c r="D98" s="13" t="n">
        <x:v>22144.98</x:v>
      </x:c>
      <x:c r="E98" s="13" t="n">
        <x:v>256.45</x:v>
      </x:c>
      <x:c r="F98" s="13" t="n">
        <x:f>D98-E98</x:f>
        <x:v>21888.53</x:v>
      </x:c>
      <x:c r="G98" s="3" t="n">
        <x:v>4765</x:v>
      </x:c>
      <x:c r="H98" s="3" t="n">
        <x:v>67</x:v>
      </x:c>
      <x:c r="I98" s="3" t="n">
        <x:v>429</x:v>
      </x:c>
      <x:c r="J98" s="15" t="n">
        <x:f>IF(D98=0,"n.a.",E98/D98)</x:f>
        <x:v>0.01158050266922797</x:v>
      </x:c>
      <x:c r="K98" s="15" t="n">
        <x:f>F98/'Datos'!$F$7</x:f>
        <x:v>0.00223518642916039</x:v>
      </x:c>
      <x:c r="L98" s="3"/>
    </x:row>
    <x:row r="99" ht="22" customHeight="1">
      <x:c r="A99" s="3"/>
      <x:c r="B99" s="3" t="str">
        <x:v>20712</x:v>
      </x:c>
      <x:c r="C99" s="3" t="str">
        <x:v>JUMBO BAG WOODLAND ANIMALS</x:v>
      </x:c>
      <x:c r="D99" s="13" t="n">
        <x:v>22092.42</x:v>
      </x:c>
      <x:c r="E99" s="13" t="n">
        <x:v>426.46</x:v>
      </x:c>
      <x:c r="F99" s="13" t="n">
        <x:f>D99-E99</x:f>
        <x:v>21665.96</x:v>
      </x:c>
      <x:c r="G99" s="3" t="n">
        <x:v>9773</x:v>
      </x:c>
      <x:c r="H99" s="3" t="n">
        <x:v>240</x:v>
      </x:c>
      <x:c r="I99" s="3" t="n">
        <x:v>863</x:v>
      </x:c>
      <x:c r="J99" s="15" t="n">
        <x:f>IF(D99=0,"n.a.",E99/D99)</x:f>
        <x:v>0.019303453401664464</x:v>
      </x:c>
      <x:c r="K99" s="15" t="n">
        <x:f>F99/'Datos'!$F$7</x:f>
        <x:v>0.00221245829513137</x:v>
      </x:c>
      <x:c r="L99" s="3"/>
    </x:row>
    <x:row r="100" ht="22" customHeight="1">
      <x:c r="A100" s="3"/>
      <x:c r="B100" s="3" t="str">
        <x:v>20724</x:v>
      </x:c>
      <x:c r="C100" s="3" t="str">
        <x:v>RED RETROSPOT CHARLOTTE BAG</x:v>
      </x:c>
      <x:c r="D100" s="13" t="n">
        <x:v>21776.79</x:v>
      </x:c>
      <x:c r="E100" s="13" t="n">
        <x:v>170.31</x:v>
      </x:c>
      <x:c r="F100" s="13" t="n">
        <x:f>D100-E100</x:f>
        <x:v>21606.48</x:v>
      </x:c>
      <x:c r="G100" s="3" t="n">
        <x:v>17765</x:v>
      </x:c>
      <x:c r="H100" s="3" t="n">
        <x:v>223</x:v>
      </x:c>
      <x:c r="I100" s="3" t="n">
        <x:v>1032</x:v>
      </x:c>
      <x:c r="J100" s="15" t="n">
        <x:f>IF(D100=0,"n.a.",E100/D100)</x:f>
        <x:v>0.007820711868002584</x:v>
      </x:c>
      <x:c r="K100" s="15" t="n">
        <x:f>F100/'Datos'!$F$7</x:f>
        <x:v>0.0022063843884411326</x:v>
      </x:c>
      <x:c r="L100" s="3"/>
    </x:row>
    <x:row r="101" ht="22" customHeight="1">
      <x:c r="A101" s="3"/>
      <x:c r="B101" s="3" t="str">
        <x:v>21523</x:v>
      </x:c>
      <x:c r="C101" s="3" t="str">
        <x:v>DOORMAT FANCY FONT HOME SWEET HOME</x:v>
      </x:c>
      <x:c r="D101" s="13" t="n">
        <x:v>21601.69</x:v>
      </x:c>
      <x:c r="E101" s="13" t="n">
        <x:v>40.05</x:v>
      </x:c>
      <x:c r="F101" s="13" t="n">
        <x:f>D101-E101</x:f>
        <x:v>21561.64</x:v>
      </x:c>
      <x:c r="G101" s="3" t="n">
        <x:v>3246</x:v>
      </x:c>
      <x:c r="H101" s="3" t="n">
        <x:v>5</x:v>
      </x:c>
      <x:c r="I101" s="3" t="n">
        <x:v>502</x:v>
      </x:c>
      <x:c r="J101" s="15" t="n">
        <x:f>IF(D101=0,"n.a.",E101/D101)</x:f>
        <x:v>0.0018540216066428136</x:v>
      </x:c>
      <x:c r="K101" s="15" t="n">
        <x:f>F101/'Datos'!$F$7</x:f>
        <x:v>0.002201805471561673</x:v>
      </x:c>
      <x:c r="L101" s="3"/>
    </x:row>
    <x:row r="102" ht="22" customHeight="1">
      <x:c r="A102" s="3"/>
      <x:c r="B102" s="3" t="str">
        <x:v>20728</x:v>
      </x:c>
      <x:c r="C102" s="3" t="str">
        <x:v>LUNCH BAG CARS BLUE</x:v>
      </x:c>
      <x:c r="D102" s="13" t="n">
        <x:v>21750.63</x:v>
      </x:c>
      <x:c r="E102" s="13" t="n">
        <x:v>327.5</x:v>
      </x:c>
      <x:c r="F102" s="13" t="n">
        <x:f>D102-E102</x:f>
        <x:v>21423.13</x:v>
      </x:c>
      <x:c r="G102" s="3" t="n">
        <x:v>11817</x:v>
      </x:c>
      <x:c r="H102" s="3" t="n">
        <x:v>214</x:v>
      </x:c>
      <x:c r="I102" s="3" t="n">
        <x:v>1150</x:v>
      </x:c>
      <x:c r="J102" s="15" t="n">
        <x:f>IF(D102=0,"n.a.",E102/D102)</x:f>
        <x:v>0.015057035129557167</x:v>
      </x:c>
      <x:c r="K102" s="15" t="n">
        <x:f>F102/'Datos'!$F$7</x:f>
        <x:v>0.0021876612749297843</x:v>
      </x:c>
      <x:c r="L102" s="3"/>
    </x:row>
    <x:row r="103" ht="22" customHeight="1">
      <x:c r="A103" s="3"/>
      <x:c r="B103" s="3" t="str">
        <x:v>23202</x:v>
      </x:c>
      <x:c r="C103" s="3" t="str">
        <x:v>JUMBO BAG VINTAGE LEAF</x:v>
      </x:c>
      <x:c r="D103" s="13" t="n">
        <x:v>21852.81</x:v>
      </x:c>
      <x:c r="E103" s="13" t="n">
        <x:v>442.46</x:v>
      </x:c>
      <x:c r="F103" s="13" t="n">
        <x:f>D103-E103</x:f>
        <x:v>21410.350000000002</x:v>
      </x:c>
      <x:c r="G103" s="3" t="n">
        <x:v>10962</x:v>
      </x:c>
      <x:c r="H103" s="3" t="n">
        <x:v>242</x:v>
      </x:c>
      <x:c r="I103" s="3" t="n">
        <x:v>879</x:v>
      </x:c>
      <x:c r="J103" s="15" t="n">
        <x:f>IF(D103=0,"n.a.",E103/D103)</x:f>
        <x:v>0.02024728169969903</x:v>
      </x:c>
      <x:c r="K103" s="15" t="n">
        <x:f>F103/'Datos'!$F$7</x:f>
        <x:v>0.002186356222349064</x:v>
      </x:c>
      <x:c r="L103" s="3"/>
    </x:row>
    <x:row r="104" ht="22" customHeight="1">
      <x:c r="A104" s="3"/>
      <x:c r="B104" s="3" t="str">
        <x:v>23209</x:v>
      </x:c>
      <x:c r="C104" s="3" t="str">
        <x:v>LUNCH BAG VINTAGE DOILY</x:v>
      </x:c>
      <x:c r="D104" s="13" t="n">
        <x:v>21450.17</x:v>
      </x:c>
      <x:c r="E104" s="13" t="n">
        <x:v>65.8</x:v>
      </x:c>
      <x:c r="F104" s="13" t="n">
        <x:f>D104-E104</x:f>
        <x:v>21384.37</x:v>
      </x:c>
      <x:c r="G104" s="3" t="n">
        <x:v>13189</x:v>
      </x:c>
      <x:c r="H104" s="3" t="n">
        <x:v>40</x:v>
      </x:c>
      <x:c r="I104" s="3" t="n">
        <x:v>1098</x:v>
      </x:c>
      <x:c r="J104" s="15" t="n">
        <x:f>IF(D104=0,"n.a.",E104/D104)</x:f>
        <x:v>0.0030675747558177864</x:v>
      </x:c>
      <x:c r="K104" s="15" t="n">
        <x:f>F104/'Datos'!$F$7</x:f>
        <x:v>0.002183703228135675</x:v>
      </x:c>
      <x:c r="L104" s="3"/>
    </x:row>
    <x:row r="105" ht="22" customHeight="1">
      <x:c r="A105" s="3"/>
      <x:c r="B105" s="3" t="str">
        <x:v>22630</x:v>
      </x:c>
      <x:c r="C105" s="3" t="str">
        <x:v>DOLLY GIRL LUNCH BOX</x:v>
      </x:c>
      <x:c r="D105" s="13" t="n">
        <x:v>21635.14</x:v>
      </x:c>
      <x:c r="E105" s="13" t="n">
        <x:v>478.65</x:v>
      </x:c>
      <x:c r="F105" s="13" t="n">
        <x:f>D105-E105</x:f>
        <x:v>21156.489999999998</x:v>
      </x:c>
      <x:c r="G105" s="3" t="n">
        <x:v>11793</x:v>
      </x:c>
      <x:c r="H105" s="3" t="n">
        <x:v>275</x:v>
      </x:c>
      <x:c r="I105" s="3" t="n">
        <x:v>850</x:v>
      </x:c>
      <x:c r="J105" s="15" t="n">
        <x:f>IF(D105=0,"n.a.",E105/D105)</x:f>
        <x:v>0.022123730190791464</x:v>
      </x:c>
      <x:c r="K105" s="15" t="n">
        <x:f>F105/'Datos'!$F$7</x:f>
        <x:v>0.002160432853949877</x:v>
      </x:c>
      <x:c r="L105" s="3"/>
    </x:row>
    <x:row r="106" ht="22" customHeight="1">
      <x:c r="A106" s="3"/>
      <x:c r="B106" s="3" t="str">
        <x:v>21212</x:v>
      </x:c>
      <x:c r="C106" s="3" t="str">
        <x:v>PACK OF 72 RETROSPOT CAKE CASES</x:v>
      </x:c>
      <x:c r="D106" s="13" t="n">
        <x:v>21259.1</x:v>
      </x:c>
      <x:c r="E106" s="13" t="n">
        <x:v>199.38</x:v>
      </x:c>
      <x:c r="F106" s="13" t="n">
        <x:f>D106-E106</x:f>
        <x:v>21059.719999999998</x:v>
      </x:c>
      <x:c r="G106" s="3" t="n">
        <x:v>36419</x:v>
      </x:c>
      <x:c r="H106" s="3" t="n">
        <x:v>380</x:v>
      </x:c>
      <x:c r="I106" s="3" t="n">
        <x:v>1320</x:v>
      </x:c>
      <x:c r="J106" s="15" t="n">
        <x:f>IF(D106=0,"n.a.",E106/D106)</x:f>
        <x:v>0.009378571999755399</x:v>
      </x:c>
      <x:c r="K106" s="15" t="n">
        <x:f>F106/'Datos'!$F$7</x:f>
        <x:v>0.0021505510121473505</x:v>
      </x:c>
      <x:c r="L106" s="3"/>
    </x:row>
    <x:row r="107" ht="22" customHeight="1">
      <x:c r="A107" s="3"/>
      <x:c r="B107" s="3" t="str">
        <x:v>82494L</x:v>
      </x:c>
      <x:c r="C107" s="3" t="str">
        <x:v>WOODEN FRAME ANTIQUE WHITE</x:v>
      </x:c>
      <x:c r="D107" s="13" t="n">
        <x:v>21852.39</x:v>
      </x:c>
      <x:c r="E107" s="13" t="n">
        <x:v>910.95</x:v>
      </x:c>
      <x:c r="F107" s="13" t="n">
        <x:f>D107-E107</x:f>
        <x:v>20941.44</x:v>
      </x:c>
      <x:c r="G107" s="3" t="n">
        <x:v>7013</x:v>
      </x:c>
      <x:c r="H107" s="3" t="n">
        <x:v>353</x:v>
      </x:c>
      <x:c r="I107" s="3" t="n">
        <x:v>971</x:v>
      </x:c>
      <x:c r="J107" s="15" t="n">
        <x:f>IF(D107=0,"n.a.",E107/D107)</x:f>
        <x:v>0.04168651575411202</x:v>
      </x:c>
      <x:c r="K107" s="15" t="n">
        <x:f>F107/'Datos'!$F$7</x:f>
        <x:v>0.0021384726381843164</x:v>
      </x:c>
      <x:c r="L107" s="3"/>
    </x:row>
    <x:row r="108" ht="22" customHeight="1">
      <x:c r="A108" s="3"/>
      <x:c r="B108" s="3" t="str">
        <x:v>23206</x:v>
      </x:c>
      <x:c r="C108" s="3" t="str">
        <x:v>LUNCH BAG APPLE DESIGN</x:v>
      </x:c>
      <x:c r="D108" s="13" t="n">
        <x:v>20911.98</x:v>
      </x:c>
      <x:c r="E108" s="13" t="n">
        <x:v>97.15</x:v>
      </x:c>
      <x:c r="F108" s="13" t="n">
        <x:f>D108-E108</x:f>
        <x:v>20814.829999999998</x:v>
      </x:c>
      <x:c r="G108" s="3" t="n">
        <x:v>12183</x:v>
      </x:c>
      <x:c r="H108" s="3" t="n">
        <x:v>59</x:v>
      </x:c>
      <x:c r="I108" s="3" t="n">
        <x:v>1036</x:v>
      </x:c>
      <x:c r="J108" s="15" t="n">
        <x:f>IF(D108=0,"n.a.",E108/D108)</x:f>
        <x:v>0.004645662438468285</x:v>
      </x:c>
      <x:c r="K108" s="15" t="n">
        <x:f>F108/'Datos'!$F$7</x:f>
        <x:v>0.002125543631357636</x:v>
      </x:c>
      <x:c r="L108" s="3"/>
    </x:row>
    <x:row r="109" ht="22" customHeight="1">
      <x:c r="A109" s="3"/>
      <x:c r="B109" s="3" t="str">
        <x:v>21166</x:v>
      </x:c>
      <x:c r="C109" s="3" t="str">
        <x:v>COOK WITH WINE METAL SIGN</x:v>
      </x:c>
      <x:c r="D109" s="13" t="n">
        <x:v>20957.64</x:v>
      </x:c>
      <x:c r="E109" s="13" t="n">
        <x:v>161.1</x:v>
      </x:c>
      <x:c r="F109" s="13" t="n">
        <x:f>D109-E109</x:f>
        <x:v>20796.54</x:v>
      </x:c>
      <x:c r="G109" s="3" t="n">
        <x:v>10364</x:v>
      </x:c>
      <x:c r="H109" s="3" t="n">
        <x:v>87</x:v>
      </x:c>
      <x:c r="I109" s="3" t="n">
        <x:v>723</x:v>
      </x:c>
      <x:c r="J109" s="15" t="n">
        <x:f>IF(D109=0,"n.a.",E109/D109)</x:f>
        <x:v>0.0076869342158754515</x:v>
      </x:c>
      <x:c r="K109" s="15" t="n">
        <x:f>F109/'Datos'!$F$7</x:f>
        <x:v>0.0021236759152620673</x:v>
      </x:c>
      <x:c r="L109" s="3"/>
    </x:row>
    <x:row r="110" ht="22" customHeight="1">
      <x:c r="A110" s="3"/>
      <x:c r="B110" s="3" t="str">
        <x:v>21928</x:v>
      </x:c>
      <x:c r="C110" s="3" t="str">
        <x:v>JUMBO BAG SCANDINAVIAN BLUE PAISLEY</x:v>
      </x:c>
      <x:c r="D110" s="13" t="n">
        <x:v>21154.55</x:v>
      </x:c>
      <x:c r="E110" s="13" t="n">
        <x:v>484.53</x:v>
      </x:c>
      <x:c r="F110" s="13" t="n">
        <x:f>D110-E110</x:f>
        <x:v>20670.02</x:v>
      </x:c>
      <x:c r="G110" s="3" t="n">
        <x:v>10473</x:v>
      </x:c>
      <x:c r="H110" s="3" t="n">
        <x:v>268</x:v>
      </x:c>
      <x:c r="I110" s="3" t="n">
        <x:v>806</x:v>
      </x:c>
      <x:c r="J110" s="15" t="n">
        <x:f>IF(D110=0,"n.a.",E110/D110)</x:f>
        <x:v>0.022904292457178243</x:v>
      </x:c>
      <x:c r="K110" s="15" t="n">
        <x:f>F110/'Datos'!$F$7</x:f>
        <x:v>0.0021107560989465186</x:v>
      </x:c>
      <x:c r="L110" s="3"/>
    </x:row>
    <x:row r="111" ht="22" customHeight="1">
      <x:c r="A111" s="3"/>
      <x:c r="B111" s="3" t="str">
        <x:v>22728</x:v>
      </x:c>
      <x:c r="C111" s="3" t="str">
        <x:v>ALARM CLOCK BAKELIKE PINK</x:v>
      </x:c>
      <x:c r="D111" s="13" t="n">
        <x:v>20702.15</x:v>
      </x:c>
      <x:c r="E111" s="13" t="n">
        <x:v>153.75</x:v>
      </x:c>
      <x:c r="F111" s="13" t="n">
        <x:f>D111-E111</x:f>
        <x:v>20548.4</x:v>
      </x:c>
      <x:c r="G111" s="3" t="n">
        <x:v>5364</x:v>
      </x:c>
      <x:c r="H111" s="3" t="n">
        <x:v>41</x:v>
      </x:c>
      <x:c r="I111" s="3" t="n">
        <x:v>783</x:v>
      </x:c>
      <x:c r="J111" s="15" t="n">
        <x:f>IF(D111=0,"n.a.",E111/D111)</x:f>
        <x:v>0.007426764852925903</x:v>
      </x:c>
      <x:c r="K111" s="15" t="n">
        <x:f>F111/'Datos'!$F$7</x:f>
        <x:v>0.0020983366549037034</x:v>
      </x:c>
      <x:c r="L111" s="3"/>
    </x:row>
    <x:row r="112" ht="22" customHeight="1">
      <x:c r="A112" s="3"/>
      <x:c r="B112" s="3" t="str">
        <x:v>22659</x:v>
      </x:c>
      <x:c r="C112" s="3" t="str">
        <x:v>LUNCH BOX I LOVE LONDON</x:v>
      </x:c>
      <x:c r="D112" s="13" t="n">
        <x:v>20818.7</x:v>
      </x:c>
      <x:c r="E112" s="13" t="n">
        <x:v>546</x:v>
      </x:c>
      <x:c r="F112" s="13" t="n">
        <x:f>D112-E112</x:f>
        <x:v>20272.7</x:v>
      </x:c>
      <x:c r="G112" s="3" t="n">
        <x:v>11523</x:v>
      </x:c>
      <x:c r="H112" s="3" t="n">
        <x:v>322</x:v>
      </x:c>
      <x:c r="I112" s="3" t="n">
        <x:v>707</x:v>
      </x:c>
      <x:c r="J112" s="15" t="n">
        <x:f>IF(D112=0,"n.a.",E112/D112)</x:f>
        <x:v>0.026226421438418343</x:v>
      </x:c>
      <x:c r="K112" s="15" t="n">
        <x:f>F112/'Datos'!$F$7</x:f>
        <x:v>0.0020701830558031917</x:v>
      </x:c>
      <x:c r="L112" s="3"/>
    </x:row>
    <x:row r="113" ht="22" customHeight="1">
      <x:c r="A113" s="3"/>
      <x:c r="B113" s="3" t="str">
        <x:v>21479</x:v>
      </x:c>
      <x:c r="C113" s="3" t="str">
        <x:v>WHITE SKULL HOT WATER BOTTLE</x:v>
      </x:c>
      <x:c r="D113" s="13" t="n">
        <x:v>20594.45</x:v>
      </x:c>
      <x:c r="E113" s="13" t="n">
        <x:v>635.93</x:v>
      </x:c>
      <x:c r="F113" s="13" t="n">
        <x:f>D113-E113</x:f>
        <x:v>19958.52</x:v>
      </x:c>
      <x:c r="G113" s="3" t="n">
        <x:v>3918</x:v>
      </x:c>
      <x:c r="H113" s="3" t="n">
        <x:v>185</x:v>
      </x:c>
      <x:c r="I113" s="3" t="n">
        <x:v>499</x:v>
      </x:c>
      <x:c r="J113" s="15" t="n">
        <x:f>IF(D113=0,"n.a.",E113/D113)</x:f>
        <x:v>0.030878707612973396</x:v>
      </x:c>
      <x:c r="K113" s="15" t="n">
        <x:f>F113/'Datos'!$F$7</x:f>
        <x:v>0.0020381000026098704</x:v>
      </x:c>
      <x:c r="L113" s="3"/>
    </x:row>
    <x:row r="114" ht="22" customHeight="1">
      <x:c r="A114" s="3"/>
      <x:c r="B114" s="3" t="str">
        <x:v>48185</x:v>
      </x:c>
      <x:c r="C114" s="3" t="str">
        <x:v>DOORMAT FAIRY CAKE</x:v>
      </x:c>
      <x:c r="D114" s="13" t="n">
        <x:v>23888.81</x:v>
      </x:c>
      <x:c r="E114" s="13" t="n">
        <x:v>4554.9</x:v>
      </x:c>
      <x:c r="F114" s="13" t="n">
        <x:f>D114-E114</x:f>
        <x:v>19333.910000000003</x:v>
      </x:c>
      <x:c r="G114" s="3" t="n">
        <x:v>3617</x:v>
      </x:c>
      <x:c r="H114" s="3" t="n">
        <x:v>674</x:v>
      </x:c>
      <x:c r="I114" s="3" t="n">
        <x:v>365</x:v>
      </x:c>
      <x:c r="J114" s="15" t="n">
        <x:f>IF(D114=0,"n.a.",E114/D114)</x:f>
        <x:v>0.19067086221540544</x:v>
      </x:c>
      <x:c r="K114" s="15" t="n">
        <x:f>F114/'Datos'!$F$7</x:f>
        <x:v>0.0019743168341870543</x:v>
      </x:c>
      <x:c r="L114" s="3"/>
    </x:row>
    <x:row r="115" ht="22" customHeight="1">
      <x:c r="A115" s="3"/>
      <x:c r="B115" s="3" t="str">
        <x:v>84997B</x:v>
      </x:c>
      <x:c r="C115" s="3" t="str">
        <x:v>CHILDRENS CUTLERY RETROSPOT RED</x:v>
      </x:c>
      <x:c r="D115" s="13" t="n">
        <x:v>19098.89</x:v>
      </x:c>
      <x:c r="E115" s="13" t="n">
        <x:v>127.5</x:v>
      </x:c>
      <x:c r="F115" s="13" t="n">
        <x:f>D115-E115</x:f>
        <x:v>18971.39</x:v>
      </x:c>
      <x:c r="G115" s="3" t="n">
        <x:v>4578</x:v>
      </x:c>
      <x:c r="H115" s="3" t="n">
        <x:v>34</x:v>
      </x:c>
      <x:c r="I115" s="3" t="n">
        <x:v>437</x:v>
      </x:c>
      <x:c r="J115" s="15" t="n">
        <x:f>IF(D115=0,"n.a.",E115/D115)</x:f>
        <x:v>0.006675780634371946</x:v>
      </x:c>
      <x:c r="K115" s="15" t="n">
        <x:f>F115/'Datos'!$F$7</x:f>
        <x:v>0.0019372974553480353</x:v>
      </x:c>
      <x:c r="L115" s="3"/>
    </x:row>
    <x:row r="116" ht="22" customHeight="1">
      <x:c r="A116" s="3"/>
      <x:c r="B116" s="3" t="str">
        <x:v>21843</x:v>
      </x:c>
      <x:c r="C116" s="3" t="str">
        <x:v>RED RETROSPOT CAKE STAND</x:v>
      </x:c>
      <x:c r="D116" s="13" t="n">
        <x:v>21365.25</x:v>
      </x:c>
      <x:c r="E116" s="13" t="n">
        <x:v>2480.5</x:v>
      </x:c>
      <x:c r="F116" s="13" t="n">
        <x:f>D116-E116</x:f>
        <x:v>18884.75</x:v>
      </x:c>
      <x:c r="G116" s="3" t="n">
        <x:v>2013</x:v>
      </x:c>
      <x:c r="H116" s="3" t="n">
        <x:v>322</x:v>
      </x:c>
      <x:c r="I116" s="3" t="n">
        <x:v>539</x:v>
      </x:c>
      <x:c r="J116" s="15" t="n">
        <x:f>IF(D116=0,"n.a.",E116/D116)</x:f>
        <x:v>0.11609974140251109</x:v>
      </x:c>
      <x:c r="K116" s="15" t="n">
        <x:f>F116/'Datos'!$F$7</x:f>
        <x:v>0.0019284500566317919</x:v>
      </x:c>
      <x:c r="L116" s="3"/>
    </x:row>
    <x:row r="117" ht="22" customHeight="1">
      <x:c r="A117" s="3"/>
      <x:c r="B117" s="3" t="str">
        <x:v>22969</x:v>
      </x:c>
      <x:c r="C117" s="3" t="str">
        <x:v>HOMEMADE JAM SCENTED CANDLES</x:v>
      </x:c>
      <x:c r="D117" s="13" t="n">
        <x:v>18788.55</x:v>
      </x:c>
      <x:c r="E117" s="13" t="n">
        <x:v>185.8</x:v>
      </x:c>
      <x:c r="F117" s="13" t="n">
        <x:f>D117-E117</x:f>
        <x:v>18602.75</x:v>
      </x:c>
      <x:c r="G117" s="3" t="n">
        <x:v>12532</x:v>
      </x:c>
      <x:c r="H117" s="3" t="n">
        <x:v>140</x:v>
      </x:c>
      <x:c r="I117" s="3" t="n">
        <x:v>646</x:v>
      </x:c>
      <x:c r="J117" s="15" t="n">
        <x:f>IF(D117=0,"n.a.",E117/D117)</x:f>
        <x:v>0.00988900154615444</x:v>
      </x:c>
      <x:c r="K117" s="15" t="n">
        <x:f>F117/'Datos'!$F$7</x:f>
        <x:v>0.001899653121752052</x:v>
      </x:c>
      <x:c r="L117" s="3"/>
    </x:row>
    <x:row r="118" ht="22" customHeight="1">
      <x:c r="A118" s="3"/>
      <x:c r="B118" s="3" t="str">
        <x:v>22467</x:v>
      </x:c>
      <x:c r="C118" s="3" t="str">
        <x:v>GUMBALL COAT RACK</x:v>
      </x:c>
      <x:c r="D118" s="13" t="n">
        <x:v>18890.47</x:v>
      </x:c>
      <x:c r="E118" s="13" t="n">
        <x:v>337.5</x:v>
      </x:c>
      <x:c r="F118" s="13" t="n">
        <x:f>D118-E118</x:f>
        <x:v>18552.97</x:v>
      </x:c>
      <x:c r="G118" s="3" t="n">
        <x:v>7962</x:v>
      </x:c>
      <x:c r="H118" s="3" t="n">
        <x:v>147</x:v>
      </x:c>
      <x:c r="I118" s="3" t="n">
        <x:v>681</x:v>
      </x:c>
      <x:c r="J118" s="15" t="n">
        <x:f>IF(D118=0,"n.a.",E118/D118)</x:f>
        <x:v>0.01786615155684321</x:v>
      </x:c>
      <x:c r="K118" s="15" t="n">
        <x:f>F118/'Datos'!$F$7</x:f>
        <x:v>0.0018945697479282456</x:v>
      </x:c>
      <x:c r="L118" s="3"/>
    </x:row>
    <x:row r="119" ht="22" customHeight="1">
      <x:c r="A119" s="3"/>
      <x:c r="B119" s="3" t="str">
        <x:v>22501</x:v>
      </x:c>
      <x:c r="C119" s="3" t="str">
        <x:v>PICNIC BASKET WICKER LARGE</x:v>
      </x:c>
      <x:c r="D119" s="13" t="n">
        <x:v>19322.16</x:v>
      </x:c>
      <x:c r="E119" s="13" t="n">
        <x:v>873.2</x:v>
      </x:c>
      <x:c r="F119" s="13" t="n">
        <x:f>D119-E119</x:f>
        <x:v>18448.96</x:v>
      </x:c>
      <x:c r="G119" s="3" t="n">
        <x:v>1604</x:v>
      </x:c>
      <x:c r="H119" s="3" t="n">
        <x:v>100</x:v>
      </x:c>
      <x:c r="I119" s="3" t="n">
        <x:v>445</x:v>
      </x:c>
      <x:c r="J119" s="15" t="n">
        <x:f>IF(D119=0,"n.a.",E119/D119)</x:f>
        <x:v>0.04519163488968107</x:v>
      </x:c>
      <x:c r="K119" s="15" t="n">
        <x:f>F119/'Datos'!$F$7</x:f>
        <x:v>0.0018839485805635585</x:v>
      </x:c>
      <x:c r="L119" s="3"/>
    </x:row>
    <x:row r="120" ht="22" customHeight="1">
      <x:c r="A120" s="3"/>
      <x:c r="B120" s="3" t="str">
        <x:v>20726</x:v>
      </x:c>
      <x:c r="C120" s="3" t="str">
        <x:v>LUNCH BAG WOODLAND</x:v>
      </x:c>
      <x:c r="D120" s="13" t="n">
        <x:v>18323.38</x:v>
      </x:c>
      <x:c r="E120" s="13" t="n">
        <x:v>134.9</x:v>
      </x:c>
      <x:c r="F120" s="13" t="n">
        <x:f>D120-E120</x:f>
        <x:v>18188.48</x:v>
      </x:c>
      <x:c r="G120" s="3" t="n">
        <x:v>9933</x:v>
      </x:c>
      <x:c r="H120" s="3" t="n">
        <x:v>82</x:v>
      </x:c>
      <x:c r="I120" s="3" t="n">
        <x:v>1017</x:v>
      </x:c>
      <x:c r="J120" s="15" t="n">
        <x:f>IF(D120=0,"n.a.",E120/D120)</x:f>
        <x:v>0.007362178811987745</x:v>
      </x:c>
      <x:c r="K120" s="15" t="n">
        <x:f>F120/'Datos'!$F$7</x:f>
        <x:v>0.0018573491990122302</x:v>
      </x:c>
      <x:c r="L120" s="3"/>
    </x:row>
    <x:row r="121" ht="22" customHeight="1">
      <x:c r="A121" s="3"/>
      <x:c r="B121" s="3" t="str">
        <x:v>20914</x:v>
      </x:c>
      <x:c r="C121" s="3" t="str">
        <x:v>SET/5 RED RETROSPOT LID GLASS BOWLS</x:v>
      </x:c>
      <x:c r="D121" s="13" t="n">
        <x:v>18390.2</x:v>
      </x:c>
      <x:c r="E121" s="13" t="n">
        <x:v>300.85</x:v>
      </x:c>
      <x:c r="F121" s="13" t="n">
        <x:f>D121-E121</x:f>
        <x:v>18089.350000000002</x:v>
      </x:c>
      <x:c r="G121" s="3" t="n">
        <x:v>6372</x:v>
      </x:c>
      <x:c r="H121" s="3" t="n">
        <x:v>107</x:v>
      </x:c>
      <x:c r="I121" s="3" t="n">
        <x:v>880</x:v>
      </x:c>
      <x:c r="J121" s="15" t="n">
        <x:f>IF(D121=0,"n.a.",E121/D121)</x:f>
        <x:v>0.016359256560559428</x:v>
      </x:c>
      <x:c r="K121" s="15" t="n">
        <x:f>F121/'Datos'!$F$7</x:f>
        <x:v>0.0018472263615844694</x:v>
      </x:c>
      <x:c r="L121" s="3"/>
    </x:row>
    <x:row r="122" ht="22" customHeight="1">
      <x:c r="A122" s="3"/>
      <x:c r="B122" s="3" t="str">
        <x:v>15036</x:v>
      </x:c>
      <x:c r="C122" s="3" t="str">
        <x:v>ASSORTED COLOURS SILK FAN</x:v>
      </x:c>
      <x:c r="D122" s="13" t="n">
        <x:v>18569.84</x:v>
      </x:c>
      <x:c r="E122" s="13" t="n">
        <x:v>505.68</x:v>
      </x:c>
      <x:c r="F122" s="13" t="n">
        <x:f>D122-E122</x:f>
        <x:v>18064.16</x:v>
      </x:c>
      <x:c r="G122" s="3" t="n">
        <x:v>23826</x:v>
      </x:c>
      <x:c r="H122" s="3" t="n">
        <x:v>744</x:v>
      </x:c>
      <x:c r="I122" s="3" t="n">
        <x:v>518</x:v>
      </x:c>
      <x:c r="J122" s="15" t="n">
        <x:f>IF(D122=0,"n.a.",E122/D122)</x:f>
        <x:v>0.02723125239635883</x:v>
      </x:c>
      <x:c r="K122" s="15" t="n">
        <x:f>F122/'Datos'!$F$7</x:f>
        <x:v>0.0018446540396354597</x:v>
      </x:c>
      <x:c r="L122" s="3"/>
    </x:row>
    <x:row r="123" ht="22" customHeight="1">
      <x:c r="A123" s="3"/>
      <x:c r="B123" s="3" t="str">
        <x:v>82486</x:v>
      </x:c>
      <x:c r="C123" s="3" t="str">
        <x:v>WOOD S/3 CABINET ANT WHITE FINISH</x:v>
      </x:c>
      <x:c r="D123" s="13" t="n">
        <x:v>18467.22</x:v>
      </x:c>
      <x:c r="E123" s="13" t="n">
        <x:v>585.9</x:v>
      </x:c>
      <x:c r="F123" s="13" t="n">
        <x:f>D123-E123</x:f>
        <x:v>17881.32</x:v>
      </x:c>
      <x:c r="G123" s="3" t="n">
        <x:v>2150</x:v>
      </x:c>
      <x:c r="H123" s="3" t="n">
        <x:v>70</x:v>
      </x:c>
      <x:c r="I123" s="3" t="n">
        <x:v>605</x:v>
      </x:c>
      <x:c r="J123" s="15" t="n">
        <x:f>IF(D123=0,"n.a.",E123/D123)</x:f>
        <x:v>0.031726486173879985</x:v>
      </x:c>
      <x:c r="K123" s="15" t="n">
        <x:f>F123/'Datos'!$F$7</x:f>
        <x:v>0.0018259830056871916</x:v>
      </x:c>
      <x:c r="L123" s="3"/>
    </x:row>
    <x:row r="124" ht="22" customHeight="1">
      <x:c r="A124" s="3"/>
      <x:c r="B124" s="3" t="str">
        <x:v>22382</x:v>
      </x:c>
      <x:c r="C124" s="3" t="str">
        <x:v>LUNCH BAG SPACEBOY DESIGN</x:v>
      </x:c>
      <x:c r="D124" s="13" t="n">
        <x:v>18092.36</x:v>
      </x:c>
      <x:c r="E124" s="13" t="n">
        <x:v>242.35</x:v>
      </x:c>
      <x:c r="F124" s="13" t="n">
        <x:f>D124-E124</x:f>
        <x:v>17850.010000000002</x:v>
      </x:c>
      <x:c r="G124" s="3" t="n">
        <x:v>10464</x:v>
      </x:c>
      <x:c r="H124" s="3" t="n">
        <x:v>159</x:v>
      </x:c>
      <x:c r="I124" s="3" t="n">
        <x:v>1157</x:v>
      </x:c>
      <x:c r="J124" s="15" t="n">
        <x:f>IF(D124=0,"n.a.",E124/D124)</x:f>
        <x:v>0.013395156850736995</x:v>
      </x:c>
      <x:c r="K124" s="15" t="n">
        <x:f>F124/'Datos'!$F$7</x:f>
        <x:v>0.001822785728981218</x:v>
      </x:c>
      <x:c r="L124" s="3"/>
    </x:row>
    <x:row r="125" ht="22" customHeight="1">
      <x:c r="A125" s="3"/>
      <x:c r="B125" s="3" t="str">
        <x:v>22693</x:v>
      </x:c>
      <x:c r="C125" s="3" t="str">
        <x:v>GROW A FLYTRAP OR SUNFLOWER IN TIN</x:v>
      </x:c>
      <x:c r="D125" s="13" t="n">
        <x:v>17927.45</x:v>
      </x:c>
      <x:c r="E125" s="13" t="n">
        <x:v>90</x:v>
      </x:c>
      <x:c r="F125" s="13" t="n">
        <x:f>D125-E125</x:f>
        <x:v>17837.45</x:v>
      </x:c>
      <x:c r="G125" s="3" t="n">
        <x:v>16244</x:v>
      </x:c>
      <x:c r="H125" s="3" t="n">
        <x:v>72</x:v>
      </x:c>
      <x:c r="I125" s="3" t="n">
        <x:v>305</x:v>
      </x:c>
      <x:c r="J125" s="15" t="n">
        <x:f>IF(D125=0,"n.a.",E125/D125)</x:f>
        <x:v>0.0050202343333826055</x:v>
      </x:c>
      <x:c r="K125" s="15" t="n">
        <x:f>F125/'Datos'!$F$7</x:f>
        <x:v>0.0018215031420943755</x:v>
      </x:c>
      <x:c r="L125" s="3"/>
    </x:row>
    <x:row r="126" ht="22" customHeight="1">
      <x:c r="A126" s="3"/>
      <x:c r="B126" s="3" t="str">
        <x:v>22865</x:v>
      </x:c>
      <x:c r="C126" s="3" t="str">
        <x:v>HAND WARMER OWL DESIGN</x:v>
      </x:c>
      <x:c r="D126" s="13" t="n">
        <x:v>17910.03</x:v>
      </x:c>
      <x:c r="E126" s="13" t="n">
        <x:v>258.05</x:v>
      </x:c>
      <x:c r="F126" s="13" t="n">
        <x:f>D126-E126</x:f>
        <x:v>17651.98</x:v>
      </x:c>
      <x:c r="G126" s="3" t="n">
        <x:v>8498</x:v>
      </x:c>
      <x:c r="H126" s="3" t="n">
        <x:v>123</x:v>
      </x:c>
      <x:c r="I126" s="3" t="n">
        <x:v>654</x:v>
      </x:c>
      <x:c r="J126" s="15" t="n">
        <x:f>IF(D126=0,"n.a.",E126/D126)</x:f>
        <x:v>0.014408127736246116</x:v>
      </x:c>
      <x:c r="K126" s="15" t="n">
        <x:f>F126/'Datos'!$F$7</x:f>
        <x:v>0.001802563540987477</x:v>
      </x:c>
      <x:c r="L126" s="3"/>
    </x:row>
    <x:row r="127" ht="22" customHeight="1">
      <x:c r="A127" s="3"/>
      <x:c r="B127" s="3" t="str">
        <x:v>21485</x:v>
      </x:c>
      <x:c r="C127" s="3" t="str">
        <x:v>RETROSPOT HEART HOT WATER BOTTLE</x:v>
      </x:c>
      <x:c r="D127" s="13" t="n">
        <x:v>17708.53</x:v>
      </x:c>
      <x:c r="E127" s="13" t="n">
        <x:v>99</x:v>
      </x:c>
      <x:c r="F127" s="13" t="n">
        <x:f>D127-E127</x:f>
        <x:v>17609.53</x:v>
      </x:c>
      <x:c r="G127" s="3" t="n">
        <x:v>3533</x:v>
      </x:c>
      <x:c r="H127" s="3" t="n">
        <x:v>20</x:v>
      </x:c>
      <x:c r="I127" s="3" t="n">
        <x:v>623</x:v>
      </x:c>
      <x:c r="J127" s="15" t="n">
        <x:f>IF(D127=0,"n.a.",E127/D127)</x:f>
        <x:v>0.0055905261475684325</x:v>
      </x:c>
      <x:c r="K127" s="15" t="n">
        <x:f>F127/'Datos'!$F$7</x:f>
        <x:v>0.001798228683236963</x:v>
      </x:c>
      <x:c r="L127" s="3"/>
    </x:row>
    <x:row r="128" ht="22" customHeight="1">
      <x:c r="A128" s="3"/>
      <x:c r="B128" s="3" t="str">
        <x:v>22328</x:v>
      </x:c>
      <x:c r="C128" s="3" t="str">
        <x:v>ROUND SNACK BOXES SET OF 4 FRUITS</x:v>
      </x:c>
      <x:c r="D128" s="13" t="n">
        <x:v>19130.37</x:v>
      </x:c>
      <x:c r="E128" s="13" t="n">
        <x:v>1691.5</x:v>
      </x:c>
      <x:c r="F128" s="13" t="n">
        <x:f>D128-E128</x:f>
        <x:v>17438.87</x:v>
      </x:c>
      <x:c r="G128" s="3" t="n">
        <x:v>6847</x:v>
      </x:c>
      <x:c r="H128" s="3" t="n">
        <x:v>658</x:v>
      </x:c>
      <x:c r="I128" s="3" t="n">
        <x:v>581</x:v>
      </x:c>
      <x:c r="J128" s="15" t="n">
        <x:f>IF(D128=0,"n.a.",E128/D128)</x:f>
        <x:v>0.08841961760279597</x:v>
      </x:c>
      <x:c r="K128" s="15" t="n">
        <x:f>F128/'Datos'!$F$7</x:f>
        <x:v>0.0017808014317952027</x:v>
      </x:c>
      <x:c r="L128" s="3"/>
    </x:row>
    <x:row r="129" ht="22" customHeight="1">
      <x:c r="A129" s="3"/>
      <x:c r="B129" s="3" t="str">
        <x:v>71477</x:v>
      </x:c>
      <x:c r="C129" s="3" t="str">
        <x:v>COLOUR GLASS. STAR T-LIGHT HOLDER</x:v>
      </x:c>
      <x:c r="D129" s="13" t="n">
        <x:v>20658.56</x:v>
      </x:c>
      <x:c r="E129" s="13" t="n">
        <x:v>3443.62</x:v>
      </x:c>
      <x:c r="F129" s="13" t="n">
        <x:f>D129-E129</x:f>
        <x:v>17214.940000000002</x:v>
      </x:c>
      <x:c r="G129" s="3" t="n">
        <x:v>6750</x:v>
      </x:c>
      <x:c r="H129" s="3" t="n">
        <x:v>1228</x:v>
      </x:c>
      <x:c r="I129" s="3" t="n">
        <x:v>316</x:v>
      </x:c>
      <x:c r="J129" s="15" t="n">
        <x:f>IF(D129=0,"n.a.",E129/D129)</x:f>
        <x:v>0.16669216053781094</x:v>
      </x:c>
      <x:c r="K129" s="15" t="n">
        <x:f>F129/'Datos'!$F$7</x:f>
        <x:v>0.0017579344189313018</x:v>
      </x:c>
      <x:c r="L129" s="3"/>
    </x:row>
    <x:row r="130" ht="22" customHeight="1">
      <x:c r="A130" s="3"/>
      <x:c r="B130" s="3" t="str">
        <x:v>22384</x:v>
      </x:c>
      <x:c r="C130" s="3" t="str">
        <x:v>LUNCH BAG PINK POLKADOT</x:v>
      </x:c>
      <x:c r="D130" s="13" t="n">
        <x:v>17435.19</x:v>
      </x:c>
      <x:c r="E130" s="13" t="n">
        <x:v>236.2</x:v>
      </x:c>
      <x:c r="F130" s="13" t="n">
        <x:f>D130-E130</x:f>
        <x:v>17198.989999999998</x:v>
      </x:c>
      <x:c r="G130" s="3" t="n">
        <x:v>10515</x:v>
      </x:c>
      <x:c r="H130" s="3" t="n">
        <x:v>152</x:v>
      </x:c>
      <x:c r="I130" s="3" t="n">
        <x:v>1090</x:v>
      </x:c>
      <x:c r="J130" s="15" t="n">
        <x:f>IF(D130=0,"n.a.",E130/D130)</x:f>
        <x:v>0.013547314368240323</x:v>
      </x:c>
      <x:c r="K130" s="15" t="n">
        <x:f>F130/'Datos'!$F$7</x:f>
        <x:v>0.0017563056561251602</x:v>
      </x:c>
      <x:c r="L130" s="3"/>
    </x:row>
    <x:row r="131" ht="22" customHeight="1">
      <x:c r="A131" s="3"/>
      <x:c r="B131" s="3" t="str">
        <x:v>22698</x:v>
      </x:c>
      <x:c r="C131" s="3" t="str">
        <x:v>PINK REGENCY TEACUP AND SAUCER</x:v>
      </x:c>
      <x:c r="D131" s="13" t="n">
        <x:v>17551.76</x:v>
      </x:c>
      <x:c r="E131" s="13" t="n">
        <x:v>387.5</x:v>
      </x:c>
      <x:c r="F131" s="13" t="n">
        <x:f>D131-E131</x:f>
        <x:v>17164.26</x:v>
      </x:c>
      <x:c r="G131" s="3" t="n">
        <x:v>5824</x:v>
      </x:c>
      <x:c r="H131" s="3" t="n">
        <x:v>138</x:v>
      </x:c>
      <x:c r="I131" s="3" t="n">
        <x:v>765</x:v>
      </x:c>
      <x:c r="J131" s="15" t="n">
        <x:f>IF(D131=0,"n.a.",E131/D131)</x:f>
        <x:v>0.0220775580340661</x:v>
      </x:c>
      <x:c r="K131" s="15" t="n">
        <x:f>F131/'Datos'!$F$7</x:f>
        <x:v>0.0017527591399961765</x:v>
      </x:c>
      <x:c r="L131" s="3"/>
    </x:row>
    <x:row r="132" ht="22" customHeight="1">
      <x:c r="A132" s="3"/>
      <x:c r="B132" s="3" t="str">
        <x:v>22077</x:v>
      </x:c>
      <x:c r="C132" s="3" t="str">
        <x:v>6 RIBBONS RUSTIC CHARM</x:v>
      </x:c>
      <x:c r="D132" s="13" t="n">
        <x:v>17205.37</x:v>
      </x:c>
      <x:c r="E132" s="13" t="n">
        <x:v>56.1</x:v>
      </x:c>
      <x:c r="F132" s="13" t="n">
        <x:f>D132-E132</x:f>
        <x:v>17149.27</x:v>
      </x:c>
      <x:c r="G132" s="3" t="n">
        <x:v>9183</x:v>
      </x:c>
      <x:c r="H132" s="3" t="n">
        <x:v>34</x:v>
      </x:c>
      <x:c r="I132" s="3" t="n">
        <x:v>955</x:v>
      </x:c>
      <x:c r="J132" s="15" t="n">
        <x:f>IF(D132=0,"n.a.",E132/D132)</x:f>
        <x:v>0.003260609914230267</x:v>
      </x:c>
      <x:c r="K132" s="15" t="n">
        <x:f>F132/'Datos'!$F$7</x:f>
        <x:v>0.001751228409308775</x:v>
      </x:c>
      <x:c r="L132" s="3"/>
    </x:row>
    <x:row r="133" ht="22" customHeight="1">
      <x:c r="A133" s="3"/>
      <x:c r="B133" s="3" t="str">
        <x:v>21754</x:v>
      </x:c>
      <x:c r="C133" s="3" t="str">
        <x:v>HOME BUILDING BLOCK WORD</x:v>
      </x:c>
      <x:c r="D133" s="13" t="n">
        <x:v>17049.92</x:v>
      </x:c>
      <x:c r="E133" s="13" t="n">
        <x:v>118.6</x:v>
      </x:c>
      <x:c r="F133" s="13" t="n">
        <x:f>D133-E133</x:f>
        <x:v>16931.32</x:v>
      </x:c>
      <x:c r="G133" s="3" t="n">
        <x:v>2780</x:v>
      </x:c>
      <x:c r="H133" s="3" t="n">
        <x:v>20</x:v>
      </x:c>
      <x:c r="I133" s="3" t="n">
        <x:v>777</x:v>
      </x:c>
      <x:c r="J133" s="15" t="n">
        <x:f>IF(D133=0,"n.a.",E133/D133)</x:f>
        <x:v>0.006956044368536627</x:v>
      </x:c>
      <x:c r="K133" s="15" t="n">
        <x:f>F133/'Datos'!$F$7</x:f>
        <x:v>0.001728972054851189</x:v>
      </x:c>
      <x:c r="L133" s="3"/>
    </x:row>
    <x:row r="134" ht="22" customHeight="1">
      <x:c r="A134" s="3"/>
      <x:c r="B134" s="3" t="str">
        <x:v>82583</x:v>
      </x:c>
      <x:c r="C134" s="3" t="str">
        <x:v>HOT BATHS METAL SIGN</x:v>
      </x:c>
      <x:c r="D134" s="13" t="n">
        <x:v>17047.06</x:v>
      </x:c>
      <x:c r="E134" s="13" t="n">
        <x:v>133.46</x:v>
      </x:c>
      <x:c r="F134" s="13" t="n">
        <x:f>D134-E134</x:f>
        <x:v>16913.600000000002</x:v>
      </x:c>
      <x:c r="G134" s="3" t="n">
        <x:v>7306</x:v>
      </x:c>
      <x:c r="H134" s="3" t="n">
        <x:v>72</x:v>
      </x:c>
      <x:c r="I134" s="3" t="n">
        <x:v>609</x:v>
      </x:c>
      <x:c r="J134" s="15" t="n">
        <x:f>IF(D134=0,"n.a.",E134/D134)</x:f>
        <x:v>0.007828915953836028</x:v>
      </x:c>
      <x:c r="K134" s="15" t="n">
        <x:f>F134/'Datos'!$F$7</x:f>
        <x:v>0.001727162545326122</x:v>
      </x:c>
      <x:c r="L134" s="3"/>
    </x:row>
    <x:row r="135" ht="22" customHeight="1">
      <x:c r="A135" s="3"/>
      <x:c r="B135" s="3" t="str">
        <x:v>22385</x:v>
      </x:c>
      <x:c r="C135" s="3" t="str">
        <x:v>JUMBO BAG SPACEBOY DESIGN</x:v>
      </x:c>
      <x:c r="D135" s="13" t="n">
        <x:v>17081.86</x:v>
      </x:c>
      <x:c r="E135" s="13" t="n">
        <x:v>215.14</x:v>
      </x:c>
      <x:c r="F135" s="13" t="n">
        <x:f>D135-E135</x:f>
        <x:v>16866.72</x:v>
      </x:c>
      <x:c r="G135" s="3" t="n">
        <x:v>8671</x:v>
      </x:c>
      <x:c r="H135" s="3" t="n">
        <x:v>118</x:v>
      </x:c>
      <x:c r="I135" s="3" t="n">
        <x:v>686</x:v>
      </x:c>
      <x:c r="J135" s="15" t="n">
        <x:f>IF(D135=0,"n.a.",E135/D135)</x:f>
        <x:v>0.012594647187133016</x:v>
      </x:c>
      <x:c r="K135" s="15" t="n">
        <x:f>F135/'Datos'!$F$7</x:f>
        <x:v>0.0017223753101943409</x:v>
      </x:c>
      <x:c r="L135" s="3"/>
    </x:row>
    <x:row r="136" ht="22" customHeight="1">
      <x:c r="A136" s="3"/>
      <x:c r="B136" s="3" t="str">
        <x:v>84997C</x:v>
      </x:c>
      <x:c r="C136" s="3" t="str">
        <x:v>CHILDRENS CUTLERY POLKADOT BLUE</x:v>
      </x:c>
      <x:c r="D136" s="13" t="n">
        <x:v>16875.62</x:v>
      </x:c>
      <x:c r="E136" s="13" t="n">
        <x:v>22.9</x:v>
      </x:c>
      <x:c r="F136" s="13" t="n">
        <x:f>D136-E136</x:f>
        <x:v>16852.719999999998</x:v>
      </x:c>
      <x:c r="G136" s="3" t="n">
        <x:v>4068</x:v>
      </x:c>
      <x:c r="H136" s="3" t="n">
        <x:v>6</x:v>
      </x:c>
      <x:c r="I136" s="3" t="n">
        <x:v>397</x:v>
      </x:c>
      <x:c r="J136" s="15" t="n">
        <x:f>IF(D136=0,"n.a.",E136/D136)</x:f>
        <x:v>0.0013569871803228563</x:v>
      </x:c>
      <x:c r="K136" s="15" t="n">
        <x:f>F136/'Datos'!$F$7</x:f>
        <x:v>0.0017209456751293888</x:v>
      </x:c>
      <x:c r="L136" s="3"/>
    </x:row>
    <x:row r="137" ht="22" customHeight="1">
      <x:c r="A137" s="3"/>
      <x:c r="B137" s="3" t="str">
        <x:v>23240</x:v>
      </x:c>
      <x:c r="C137" s="3" t="str">
        <x:v>SET OF 4 KNICK KNACK TINS DOILY</x:v>
      </x:c>
      <x:c r="D137" s="13" t="n">
        <x:v>17037.52</x:v>
      </x:c>
      <x:c r="E137" s="13" t="n">
        <x:v>206.7</x:v>
      </x:c>
      <x:c r="F137" s="13" t="n">
        <x:f>D137-E137</x:f>
        <x:v>16830.82</x:v>
      </x:c>
      <x:c r="G137" s="3" t="n">
        <x:v>4186</x:v>
      </x:c>
      <x:c r="H137" s="3" t="n">
        <x:v>50</x:v>
      </x:c>
      <x:c r="I137" s="3" t="n">
        <x:v>536</x:v>
      </x:c>
      <x:c r="J137" s="15" t="n">
        <x:f>IF(D137=0,"n.a.",E137/D137)</x:f>
        <x:v>0.012132047387178414</x:v>
      </x:c>
      <x:c r="K137" s="15" t="n">
        <x:f>F137/'Datos'!$F$7</x:f>
        <x:v>0.0017187093174206433</x:v>
      </x:c>
      <x:c r="L137" s="3"/>
    </x:row>
    <x:row r="138" ht="22" customHeight="1">
      <x:c r="A138" s="3"/>
      <x:c r="B138" s="3" t="str">
        <x:v>22492</x:v>
      </x:c>
      <x:c r="C138" s="3" t="str">
        <x:v>MINI PAINT SET VINTAGE</x:v>
      </x:c>
      <x:c r="D138" s="13" t="n">
        <x:v>16937.82</x:v>
      </x:c>
      <x:c r="E138" s="13" t="n">
        <x:v>127.4</x:v>
      </x:c>
      <x:c r="F138" s="13" t="n">
        <x:f>D138-E138</x:f>
        <x:v>16810.42</x:v>
      </x:c>
      <x:c r="G138" s="3" t="n">
        <x:v>26633</x:v>
      </x:c>
      <x:c r="H138" s="3" t="n">
        <x:v>196</x:v>
      </x:c>
      <x:c r="I138" s="3" t="n">
        <x:v>380</x:v>
      </x:c>
      <x:c r="J138" s="15" t="n">
        <x:f>IF(D138=0,"n.a.",E138/D138)</x:f>
        <x:v>0.007521629111656636</x:v>
      </x:c>
      <x:c r="K138" s="15" t="n">
        <x:f>F138/'Datos'!$F$7</x:f>
        <x:v>0.001716626134897428</x:v>
      </x:c>
      <x:c r="L138" s="3"/>
    </x:row>
    <x:row r="139" ht="22" customHeight="1">
      <x:c r="A139" s="3"/>
      <x:c r="B139" s="3" t="str">
        <x:v>20719</x:v>
      </x:c>
      <x:c r="C139" s="3" t="str">
        <x:v>WOODLAND CHARLOTTE BAG</x:v>
      </x:c>
      <x:c r="D139" s="13" t="n">
        <x:v>16759.75</x:v>
      </x:c>
      <x:c r="E139" s="13" t="n">
        <x:v>87.4</x:v>
      </x:c>
      <x:c r="F139" s="13" t="n">
        <x:f>D139-E139</x:f>
        <x:v>16672.35</x:v>
      </x:c>
      <x:c r="G139" s="3" t="n">
        <x:v>13308</x:v>
      </x:c>
      <x:c r="H139" s="3" t="n">
        <x:v>112</x:v>
      </x:c>
      <x:c r="I139" s="3" t="n">
        <x:v>833</x:v>
      </x:c>
      <x:c r="J139" s="15" t="n">
        <x:f>IF(D139=0,"n.a.",E139/D139)</x:f>
        <x:v>0.005214874923551963</x:v>
      </x:c>
      <x:c r="K139" s="15" t="n">
        <x:f>F139/'Datos'!$F$7</x:f>
        <x:v>0.0017025268696532945</x:v>
      </x:c>
      <x:c r="L139" s="3"/>
    </x:row>
    <x:row r="140" ht="22" customHeight="1">
      <x:c r="A140" s="3"/>
      <x:c r="B140" s="3" t="str">
        <x:v>22993</x:v>
      </x:c>
      <x:c r="C140" s="3" t="str">
        <x:v>SET OF 4 PANTRY JELLY MOULDS</x:v>
      </x:c>
      <x:c r="D140" s="13" t="n">
        <x:v>16507.23</x:v>
      </x:c>
      <x:c r="E140" s="13" t="n">
        <x:v>85</x:v>
      </x:c>
      <x:c r="F140" s="13" t="n">
        <x:f>D140-E140</x:f>
        <x:v>16422.23</x:v>
      </x:c>
      <x:c r="G140" s="3" t="n">
        <x:v>12672</x:v>
      </x:c>
      <x:c r="H140" s="3" t="n">
        <x:v>68</x:v>
      </x:c>
      <x:c r="I140" s="3" t="n">
        <x:v>1073</x:v>
      </x:c>
      <x:c r="J140" s="15" t="n">
        <x:f>IF(D140=0,"n.a.",E140/D140)</x:f>
        <x:v>0.005149258839914389</x:v>
      </x:c>
      <x:c r="K140" s="15" t="n">
        <x:f>F140/'Datos'!$F$7</x:f>
        <x:v>0.0016769854180500303</x:v>
      </x:c>
      <x:c r="L140" s="3"/>
    </x:row>
    <x:row r="141" ht="22" customHeight="1">
      <x:c r="A141" s="3"/>
      <x:c r="B141" s="3" t="str">
        <x:v>22835</x:v>
      </x:c>
      <x:c r="C141" s="3" t="str">
        <x:v>HOT WATER BOTTLE I AM SO POORLY</x:v>
      </x:c>
      <x:c r="D141" s="13" t="n">
        <x:v>18055.11</x:v>
      </x:c>
      <x:c r="E141" s="13" t="n">
        <x:v>1679.7</x:v>
      </x:c>
      <x:c r="F141" s="13" t="n">
        <x:f>D141-E141</x:f>
        <x:v>16375.41</x:v>
      </x:c>
      <x:c r="G141" s="3" t="n">
        <x:v>3474</x:v>
      </x:c>
      <x:c r="H141" s="3" t="n">
        <x:v>394</x:v>
      </x:c>
      <x:c r="I141" s="3" t="n">
        <x:v>657</x:v>
      </x:c>
      <x:c r="J141" s="15" t="n">
        <x:f>IF(D141=0,"n.a.",E141/D141)</x:f>
        <x:v>0.09303183420095475</x:v>
      </x:c>
      <x:c r="K141" s="15" t="n">
        <x:f>F141/'Datos'!$F$7</x:f>
        <x:v>0.0016722043099256707</x:v>
      </x:c>
      <x:c r="L141" s="3"/>
    </x:row>
    <x:row r="142" ht="22" customHeight="1">
      <x:c r="A142" s="3"/>
      <x:c r="B142" s="3" t="str">
        <x:v>22624</x:v>
      </x:c>
      <x:c r="C142" s="3" t="str">
        <x:v>IVORY KITCHEN SCALES</x:v>
      </x:c>
      <x:c r="D142" s="13" t="n">
        <x:v>16528.31</x:v>
      </x:c>
      <x:c r="E142" s="13" t="n">
        <x:v>168.3</x:v>
      </x:c>
      <x:c r="F142" s="13" t="n">
        <x:f>D142-E142</x:f>
        <x:v>16360.010000000002</x:v>
      </x:c>
      <x:c r="G142" s="3" t="n">
        <x:v>1901</x:v>
      </x:c>
      <x:c r="H142" s="3" t="n">
        <x:v>21</x:v>
      </x:c>
      <x:c r="I142" s="3" t="n">
        <x:v>711</x:v>
      </x:c>
      <x:c r="J142" s="15" t="n">
        <x:f>IF(D142=0,"n.a.",E142/D142)</x:f>
        <x:v>0.010182529248301852</x:v>
      </x:c>
      <x:c r="K142" s="15" t="n">
        <x:f>F142/'Datos'!$F$7</x:f>
        <x:v>0.0016706317113542241</x:v>
      </x:c>
      <x:c r="L142" s="3"/>
    </x:row>
    <x:row r="143" ht="22" customHeight="1">
      <x:c r="A143" s="3"/>
      <x:c r="B143" s="3" t="str">
        <x:v>84978</x:v>
      </x:c>
      <x:c r="C143" s="3" t="str">
        <x:v>HANGING HEART JAR T-LIGHT HOLDER</x:v>
      </x:c>
      <x:c r="D143" s="13" t="n">
        <x:v>16477.53</x:v>
      </x:c>
      <x:c r="E143" s="13" t="n">
        <x:v>206.59</x:v>
      </x:c>
      <x:c r="F143" s="13" t="n">
        <x:f>D143-E143</x:f>
        <x:v>16270.939999999999</x:v>
      </x:c>
      <x:c r="G143" s="3" t="n">
        <x:v>12512</x:v>
      </x:c>
      <x:c r="H143" s="3" t="n">
        <x:v>175</x:v>
      </x:c>
      <x:c r="I143" s="3" t="n">
        <x:v>728</x:v>
      </x:c>
      <x:c r="J143" s="15" t="n">
        <x:f>IF(D143=0,"n.a.",E143/D143)</x:f>
        <x:v>0.012537680101325867</x:v>
      </x:c>
      <x:c r="K143" s="15" t="n">
        <x:f>F143/'Datos'!$F$7</x:f>
        <x:v>0.001661536168837421</x:v>
      </x:c>
      <x:c r="L143" s="3"/>
    </x:row>
    <x:row r="144" ht="22" customHeight="1">
      <x:c r="A144" s="3"/>
      <x:c r="B144" s="3" t="str">
        <x:v>15056BL</x:v>
      </x:c>
      <x:c r="C144" s="3" t="str">
        <x:v>EDWARDIAN PARASOL BLACK</x:v>
      </x:c>
      <x:c r="D144" s="13" t="n">
        <x:v>16915.72</x:v>
      </x:c>
      <x:c r="E144" s="13" t="n">
        <x:v>652.5</x:v>
      </x:c>
      <x:c r="F144" s="13" t="n">
        <x:f>D144-E144</x:f>
        <x:v>16263.220000000001</x:v>
      </x:c>
      <x:c r="G144" s="3" t="n">
        <x:v>2931</x:v>
      </x:c>
      <x:c r="H144" s="3" t="n">
        <x:v>130</x:v>
      </x:c>
      <x:c r="I144" s="3" t="n">
        <x:v>383</x:v>
      </x:c>
      <x:c r="J144" s="15" t="n">
        <x:f>IF(D144=0,"n.a.",E144/D144)</x:f>
        <x:v>0.03857358717216884</x:v>
      </x:c>
      <x:c r="K144" s="15" t="n">
        <x:f>F144/'Datos'!$F$7</x:f>
        <x:v>0.0016607478272158908</x:v>
      </x:c>
      <x:c r="L144" s="3"/>
    </x:row>
    <x:row r="145" ht="22" customHeight="1">
      <x:c r="A145" s="3"/>
      <x:c r="B145" s="3" t="str">
        <x:v>23301</x:v>
      </x:c>
      <x:c r="C145" s="3" t="str">
        <x:v>GARDENERS KNEELING PAD KEEP CALM</x:v>
      </x:c>
      <x:c r="D145" s="13" t="n">
        <x:v>16357.05</x:v>
      </x:c>
      <x:c r="E145" s="13" t="n">
        <x:v>168.9</x:v>
      </x:c>
      <x:c r="F145" s="13" t="n">
        <x:f>D145-E145</x:f>
        <x:v>16188.15</x:v>
      </x:c>
      <x:c r="G145" s="3" t="n">
        <x:v>8825</x:v>
      </x:c>
      <x:c r="H145" s="3" t="n">
        <x:v>114</x:v>
      </x:c>
      <x:c r="I145" s="3" t="n">
        <x:v>913</x:v>
      </x:c>
      <x:c r="J145" s="15" t="n">
        <x:f>IF(D145=0,"n.a.",E145/D145)</x:f>
        <x:v>0.010325822810347832</x:v>
      </x:c>
      <x:c r="K145" s="15" t="n">
        <x:f>F145/'Datos'!$F$7</x:f>
        <x:v>0.0016530819197640393</x:v>
      </x:c>
      <x:c r="L145" s="3"/>
    </x:row>
    <x:row r="146" ht="22" customHeight="1">
      <x:c r="A146" s="3"/>
      <x:c r="B146" s="3" t="str">
        <x:v>84029G</x:v>
      </x:c>
      <x:c r="C146" s="3" t="str">
        <x:v>KNITTED UNION FLAG HOT WATER BOTTLE</x:v>
      </x:c>
      <x:c r="D146" s="13" t="n">
        <x:v>16164.04</x:v>
      </x:c>
      <x:c r="E146" s="13" t="n">
        <x:v>58</x:v>
      </x:c>
      <x:c r="F146" s="13" t="n">
        <x:f>D146-E146</x:f>
        <x:v>16106.04</x:v>
      </x:c>
      <x:c r="G146" s="3" t="n">
        <x:v>3323</x:v>
      </x:c>
      <x:c r="H146" s="3" t="n">
        <x:v>14</x:v>
      </x:c>
      <x:c r="I146" s="3" t="n">
        <x:v>459</x:v>
      </x:c>
      <x:c r="J146" s="15" t="n">
        <x:f>IF(D146=0,"n.a.",E146/D146)</x:f>
        <x:v>0.0035882118579266074</x:v>
      </x:c>
      <x:c r="K146" s="15" t="n">
        <x:f>F146/'Datos'!$F$7</x:f>
        <x:v>0.001644697110108098</x:v>
      </x:c>
      <x:c r="L146" s="3"/>
    </x:row>
    <x:row r="147" ht="22" customHeight="1">
      <x:c r="A147" s="3"/>
      <x:c r="B147" s="3" t="str">
        <x:v>85152</x:v>
      </x:c>
      <x:c r="C147" s="3" t="str">
        <x:v>HAND OVER THE CHOCOLATE SIGN</x:v>
      </x:c>
      <x:c r="D147" s="13" t="n">
        <x:v>15983.33</x:v>
      </x:c>
      <x:c r="E147" s="13" t="n">
        <x:v>135.22</x:v>
      </x:c>
      <x:c r="F147" s="13" t="n">
        <x:f>D147-E147</x:f>
        <x:v>15848.11</x:v>
      </x:c>
      <x:c r="G147" s="3" t="n">
        <x:v>8272</x:v>
      </x:c>
      <x:c r="H147" s="3" t="n">
        <x:v>74</x:v>
      </x:c>
      <x:c r="I147" s="3" t="n">
        <x:v>677</x:v>
      </x:c>
      <x:c r="J147" s="15" t="n">
        <x:f>IF(D147=0,"n.a.",E147/D147)</x:f>
        <x:v>0.008460064329523322</x:v>
      </x:c>
      <x:c r="K147" s="15" t="n">
        <x:f>F147/'Datos'!$F$7</x:f>
        <x:v>0.0016183581263721717</x:v>
      </x:c>
      <x:c r="L147" s="3"/>
    </x:row>
    <x:row r="148" ht="22" customHeight="1">
      <x:c r="A148" s="3"/>
      <x:c r="B148" s="3" t="str">
        <x:v>21232</x:v>
      </x:c>
      <x:c r="C148" s="3" t="str">
        <x:v>STRAWBERRY CERAMIC TRINKET BOX</x:v>
      </x:c>
      <x:c r="D148" s="13" t="n">
        <x:v>16263.8</x:v>
      </x:c>
      <x:c r="E148" s="13" t="n">
        <x:v>443.25</x:v>
      </x:c>
      <x:c r="F148" s="13" t="n">
        <x:f>D148-E148</x:f>
        <x:v>15820.55</x:v>
      </x:c>
      <x:c r="G148" s="3" t="n">
        <x:v>11854</x:v>
      </x:c>
      <x:c r="H148" s="3" t="n">
        <x:v>385</x:v>
      </x:c>
      <x:c r="I148" s="3" t="n">
        <x:v>831</x:v>
      </x:c>
      <x:c r="J148" s="15" t="n">
        <x:f>IF(D148=0,"n.a.",E148/D148)</x:f>
        <x:v>0.027253778329787627</x:v>
      </x:c>
      <x:c r="K148" s="15" t="n">
        <x:f>F148/'Datos'!$F$7</x:f>
        <x:v>0.0016155437876300238</x:v>
      </x:c>
      <x:c r="L148" s="3"/>
    </x:row>
    <x:row r="149" ht="22" customHeight="1">
      <x:c r="A149" s="3"/>
      <x:c r="B149" s="3" t="str">
        <x:v>23313</x:v>
      </x:c>
      <x:c r="C149" s="3" t="str">
        <x:v>VINTAGE CHRISTMAS BUNTING</x:v>
      </x:c>
      <x:c r="D149" s="13" t="n">
        <x:v>15833.31</x:v>
      </x:c>
      <x:c r="E149" s="13" t="n">
        <x:v>64.35</x:v>
      </x:c>
      <x:c r="F149" s="13" t="n">
        <x:f>D149-E149</x:f>
        <x:v>15768.96</x:v>
      </x:c>
      <x:c r="G149" s="3" t="n">
        <x:v>2997</x:v>
      </x:c>
      <x:c r="H149" s="3" t="n">
        <x:v>13</x:v>
      </x:c>
      <x:c r="I149" s="3" t="n">
        <x:v>401</x:v>
      </x:c>
      <x:c r="J149" s="15" t="n">
        <x:f>IF(D149=0,"n.a.",E149/D149)</x:f>
        <x:v>0.004064216515687497</x:v>
      </x:c>
      <x:c r="K149" s="15" t="n">
        <x:f>F149/'Datos'!$F$7</x:f>
        <x:v>0.001610275582415677</x:v>
      </x:c>
      <x:c r="L149" s="3"/>
    </x:row>
    <x:row r="150" ht="22" customHeight="1">
      <x:c r="A150" s="3"/>
      <x:c r="B150" s="3" t="str">
        <x:v>22379</x:v>
      </x:c>
      <x:c r="C150" s="3" t="str">
        <x:v>RECYCLING BAG RETROSPOT</x:v>
      </x:c>
      <x:c r="D150" s="13" t="n">
        <x:v>15636.99</x:v>
      </x:c>
      <x:c r="E150" s="13" t="n">
        <x:v>122.65</x:v>
      </x:c>
      <x:c r="F150" s="13" t="n">
        <x:f>D150-E150</x:f>
        <x:v>15514.34</x:v>
      </x:c>
      <x:c r="G150" s="3" t="n">
        <x:v>6910</x:v>
      </x:c>
      <x:c r="H150" s="3" t="n">
        <x:v>64</x:v>
      </x:c>
      <x:c r="I150" s="3" t="n">
        <x:v>748</x:v>
      </x:c>
      <x:c r="J150" s="15" t="n">
        <x:f>IF(D150=0,"n.a.",E150/D150)</x:f>
        <x:v>0.007843581149569068</x:v>
      </x:c>
      <x:c r="K150" s="15" t="n">
        <x:f>F150/'Datos'!$F$7</x:f>
        <x:v>0.0015842746052558215</x:v>
      </x:c>
      <x:c r="L150" s="3"/>
    </x:row>
    <x:row r="151" ht="22" customHeight="1">
      <x:c r="A151" s="3"/>
      <x:c r="B151" s="3" t="str">
        <x:v>84078A</x:v>
      </x:c>
      <x:c r="C151" s="3" t="str">
        <x:v>SET/4 WHITE RETRO STORAGE CUBES</x:v>
      </x:c>
      <x:c r="D151" s="13" t="n">
        <x:v>16363.3</x:v>
      </x:c>
      <x:c r="E151" s="13" t="n">
        <x:v>1248.25</x:v>
      </x:c>
      <x:c r="F151" s="13" t="n">
        <x:f>D151-E151</x:f>
        <x:v>15115.05</x:v>
      </x:c>
      <x:c r="G151" s="3" t="n">
        <x:v>415</x:v>
      </x:c>
      <x:c r="H151" s="3" t="n">
        <x:v>35</x:v>
      </x:c>
      <x:c r="I151" s="3" t="n">
        <x:v>155</x:v>
      </x:c>
      <x:c r="J151" s="15" t="n">
        <x:f>IF(D151=0,"n.a.",E151/D151)</x:f>
        <x:v>0.0762835124944235</x:v>
      </x:c>
      <x:c r="K151" s="15" t="n">
        <x:f>F151/'Datos'!$F$7</x:f>
        <x:v>0.0015435003920354975</x:v>
      </x:c>
      <x:c r="L151" s="3"/>
    </x:row>
    <x:row r="152" ht="22" customHeight="1">
      <x:c r="A152" s="3"/>
      <x:c r="B152" s="3" t="str">
        <x:v>22084</x:v>
      </x:c>
      <x:c r="C152" s="3" t="str">
        <x:v>PAPER CHAIN KIT EMPIRE</x:v>
      </x:c>
      <x:c r="D152" s="13" t="n">
        <x:v>15122.97</x:v>
      </x:c>
      <x:c r="E152" s="13" t="n">
        <x:v>120.95</x:v>
      </x:c>
      <x:c r="F152" s="13" t="n">
        <x:f>D152-E152</x:f>
        <x:v>15002.019999999999</x:v>
      </x:c>
      <x:c r="G152" s="3" t="n">
        <x:v>5189</x:v>
      </x:c>
      <x:c r="H152" s="3" t="n">
        <x:v>41</x:v>
      </x:c>
      <x:c r="I152" s="3" t="n">
        <x:v>436</x:v>
      </x:c>
      <x:c r="J152" s="15" t="n">
        <x:f>IF(D152=0,"n.a.",E152/D152)</x:f>
        <x:v>0.007997767634267608</x:v>
      </x:c>
      <x:c r="K152" s="15" t="n">
        <x:f>F152/'Datos'!$F$7</x:f>
        <x:v>0.0015319581312218202</x:v>
      </x:c>
      <x:c r="L152" s="3"/>
    </x:row>
    <x:row r="153" ht="22" customHeight="1">
      <x:c r="A153" s="3"/>
      <x:c r="B153" s="3" t="str">
        <x:v>22900</x:v>
      </x:c>
      <x:c r="C153" s="3" t="str">
        <x:v>SET 2 TEA TOWELS I LOVE LONDON</x:v>
      </x:c>
      <x:c r="D153" s="13" t="n">
        <x:v>14975.93</x:v>
      </x:c>
      <x:c r="E153" s="13" t="n">
        <x:v>552.6</x:v>
      </x:c>
      <x:c r="F153" s="13" t="n">
        <x:f>D153-E153</x:f>
        <x:v>14423.33</x:v>
      </x:c>
      <x:c r="G153" s="3" t="n">
        <x:v>4919</x:v>
      </x:c>
      <x:c r="H153" s="3" t="n">
        <x:v>216</x:v>
      </x:c>
      <x:c r="I153" s="3" t="n">
        <x:v>533</x:v>
      </x:c>
      <x:c r="J153" s="15" t="n">
        <x:f>IF(D153=0,"n.a.",E153/D153)</x:f>
        <x:v>0.036899210933811794</x:v>
      </x:c>
      <x:c r="K153" s="15" t="n">
        <x:f>F153/'Datos'!$F$7</x:f>
        <x:v>0.0014728641658120452</x:v>
      </x:c>
      <x:c r="L153" s="3"/>
    </x:row>
    <x:row r="154" ht="22" customHeight="1">
      <x:c r="A154" s="3"/>
      <x:c r="B154" s="3" t="str">
        <x:v>48184</x:v>
      </x:c>
      <x:c r="C154" s="3" t="str">
        <x:v>DOORMAT ENGLISH ROSE</x:v>
      </x:c>
      <x:c r="D154" s="13" t="n">
        <x:v>14324</x:v>
      </x:c>
      <x:c r="E154" s="13" t="n">
        <x:v>47.7</x:v>
      </x:c>
      <x:c r="F154" s="13" t="n">
        <x:f>D154-E154</x:f>
        <x:v>14276.3</x:v>
      </x:c>
      <x:c r="G154" s="3" t="n">
        <x:v>2038</x:v>
      </x:c>
      <x:c r="H154" s="3" t="n">
        <x:v>6</x:v>
      </x:c>
      <x:c r="I154" s="3" t="n">
        <x:v>407</x:v>
      </x:c>
      <x:c r="J154" s="15" t="n">
        <x:f>IF(D154=0,"n.a.",E154/D154)</x:f>
        <x:v>0.003330075397933538</x:v>
      </x:c>
      <x:c r="K154" s="15" t="n">
        <x:f>F154/'Datos'!$F$7</x:f>
        <x:v>0.0014578499341263427</x:v>
      </x:c>
      <x:c r="L154" s="3"/>
    </x:row>
    <x:row r="155" ht="22" customHeight="1">
      <x:c r="A155" s="3"/>
      <x:c r="B155" s="3" t="str">
        <x:v>22866</x:v>
      </x:c>
      <x:c r="C155" s="3" t="str">
        <x:v>HAND WARMER SCOTTY DOG DESIGN</x:v>
      </x:c>
      <x:c r="D155" s="13" t="n">
        <x:v>14410.62</x:v>
      </x:c>
      <x:c r="E155" s="13" t="n">
        <x:v>209.1</x:v>
      </x:c>
      <x:c r="F155" s="13" t="n">
        <x:f>D155-E155</x:f>
        <x:v>14201.52</x:v>
      </x:c>
      <x:c r="G155" s="3" t="n">
        <x:v>6632</x:v>
      </x:c>
      <x:c r="H155" s="3" t="n">
        <x:v>111</x:v>
      </x:c>
      <x:c r="I155" s="3" t="n">
        <x:v>548</x:v>
      </x:c>
      <x:c r="J155" s="15" t="n">
        <x:f>IF(D155=0,"n.a.",E155/D155)</x:f>
        <x:v>0.014510132110901542</x:v>
      </x:c>
      <x:c r="K155" s="15" t="n">
        <x:f>F155/'Datos'!$F$7</x:f>
        <x:v>0.001450213640543694</x:v>
      </x:c>
      <x:c r="L155" s="3"/>
    </x:row>
    <x:row r="156" ht="22" customHeight="1">
      <x:c r="A156" s="3"/>
      <x:c r="B156" s="3" t="str">
        <x:v>22507</x:v>
      </x:c>
      <x:c r="C156" s="3" t="str">
        <x:v>MEMO BOARD RETROSPOT DESIGN</x:v>
      </x:c>
      <x:c r="D156" s="13" t="n">
        <x:v>14193.35</x:v>
      </x:c>
      <x:c r="E156" s="13" t="n">
        <x:v>33.95</x:v>
      </x:c>
      <x:c r="F156" s="13" t="n">
        <x:f>D156-E156</x:f>
        <x:v>14159.4</x:v>
      </x:c>
      <x:c r="G156" s="3" t="n">
        <x:v>2960</x:v>
      </x:c>
      <x:c r="H156" s="3" t="n">
        <x:v>7</x:v>
      </x:c>
      <x:c r="I156" s="3" t="n">
        <x:v>459</x:v>
      </x:c>
      <x:c r="J156" s="15" t="n">
        <x:f>IF(D156=0,"n.a.",E156/D156)</x:f>
        <x:v>0.00239196525133249</x:v>
      </x:c>
      <x:c r="K156" s="15" t="n">
        <x:f>F156/'Datos'!$F$7</x:f>
        <x:v>0.0014459124813339967</x:v>
      </x:c>
      <x:c r="L156" s="3"/>
    </x:row>
    <x:row r="157" ht="22" customHeight="1">
      <x:c r="A157" s="3"/>
      <x:c r="B157" s="3" t="str">
        <x:v>21930</x:v>
      </x:c>
      <x:c r="C157" s="3" t="str">
        <x:v>JUMBO STORAGE BAG SKULLS</x:v>
      </x:c>
      <x:c r="D157" s="13" t="n">
        <x:v>14031.16</x:v>
      </x:c>
      <x:c r="E157" s="13" t="n">
        <x:v>6.24</x:v>
      </x:c>
      <x:c r="F157" s="13" t="n">
        <x:f>D157-E157</x:f>
        <x:v>14024.92</x:v>
      </x:c>
      <x:c r="G157" s="3" t="n">
        <x:v>6450</x:v>
      </x:c>
      <x:c r="H157" s="3" t="n">
        <x:v>3</x:v>
      </x:c>
      <x:c r="I157" s="3" t="n">
        <x:v>705</x:v>
      </x:c>
      <x:c r="J157" s="15" t="n">
        <x:f>IF(D157=0,"n.a.",E157/D157)</x:f>
        <x:v>0.00044472445613905054</x:v>
      </x:c>
      <x:c r="K157" s="15" t="n">
        <x:f>F157/'Datos'!$F$7</x:f>
        <x:v>0.001432179815367233</x:v>
      </x:c>
      <x:c r="L157" s="3"/>
    </x:row>
    <x:row r="158" ht="22" customHeight="1">
      <x:c r="A158" s="3"/>
      <x:c r="B158" s="3" t="str">
        <x:v>82483</x:v>
      </x:c>
      <x:c r="C158" s="3" t="str">
        <x:v>WOOD 2 DRAWER CABINET WHITE FINISH</x:v>
      </x:c>
      <x:c r="D158" s="13" t="n">
        <x:v>15240.07</x:v>
      </x:c>
      <x:c r="E158" s="13" t="n">
        <x:v>1240.7</x:v>
      </x:c>
      <x:c r="F158" s="13" t="n">
        <x:f>D158-E158</x:f>
        <x:v>13999.369999999999</x:v>
      </x:c>
      <x:c r="G158" s="3" t="n">
        <x:v>2403</x:v>
      </x:c>
      <x:c r="H158" s="3" t="n">
        <x:v>206</x:v>
      </x:c>
      <x:c r="I158" s="3" t="n">
        <x:v>543</x:v>
      </x:c>
      <x:c r="J158" s="15" t="n">
        <x:f>IF(D158=0,"n.a.",E158/D158)</x:f>
        <x:v>0.08141038722263087</x:v>
      </x:c>
      <x:c r="K158" s="15" t="n">
        <x:f>F158/'Datos'!$F$7</x:f>
        <x:v>0.001429570731373696</x:v>
      </x:c>
      <x:c r="L158" s="3"/>
    </x:row>
    <x:row r="159" ht="22" customHeight="1">
      <x:c r="A159" s="3"/>
      <x:c r="B159" s="3" t="str">
        <x:v>22083</x:v>
      </x:c>
      <x:c r="C159" s="3" t="str">
        <x:v>PAPER CHAIN KIT RETROSPOT</x:v>
      </x:c>
      <x:c r="D159" s="13" t="n">
        <x:v>14159.54</x:v>
      </x:c>
      <x:c r="E159" s="13" t="n">
        <x:v>165.2</x:v>
      </x:c>
      <x:c r="F159" s="13" t="n">
        <x:f>D159-E159</x:f>
        <x:v>13994.34</x:v>
      </x:c>
      <x:c r="G159" s="3" t="n">
        <x:v>4658</x:v>
      </x:c>
      <x:c r="H159" s="3" t="n">
        <x:v>56</x:v>
      </x:c>
      <x:c r="I159" s="3" t="n">
        <x:v>610</x:v>
      </x:c>
      <x:c r="J159" s="15" t="n">
        <x:f>IF(D159=0,"n.a.",E159/D159)</x:f>
        <x:v>0.011667045680862513</x:v>
      </x:c>
      <x:c r="K159" s="15" t="n">
        <x:f>F159/'Datos'!$F$7</x:f>
        <x:v>0.001429057083918217</x:v>
      </x:c>
      <x:c r="L159" s="3"/>
    </x:row>
    <x:row r="160" ht="22" customHeight="1">
      <x:c r="A160" s="3"/>
      <x:c r="B160" s="3" t="str">
        <x:v>22867</x:v>
      </x:c>
      <x:c r="C160" s="3" t="str">
        <x:v>HAND WARMER BIRD DESIGN</x:v>
      </x:c>
      <x:c r="D160" s="13" t="n">
        <x:v>14078.69</x:v>
      </x:c>
      <x:c r="E160" s="13" t="n">
        <x:v>111.3</x:v>
      </x:c>
      <x:c r="F160" s="13" t="n">
        <x:f>D160-E160</x:f>
        <x:v>13967.390000000001</x:v>
      </x:c>
      <x:c r="G160" s="3" t="n">
        <x:v>6441</x:v>
      </x:c>
      <x:c r="H160" s="3" t="n">
        <x:v>53</x:v>
      </x:c>
      <x:c r="I160" s="3" t="n">
        <x:v>554</x:v>
      </x:c>
      <x:c r="J160" s="15" t="n">
        <x:f>IF(D160=0,"n.a.",E160/D160)</x:f>
        <x:v>0.00790556507743263</x:v>
      </x:c>
      <x:c r="K160" s="15" t="n">
        <x:f>F160/'Datos'!$F$7</x:f>
        <x:v>0.0014263050364181854</x:v>
      </x:c>
      <x:c r="L160" s="3"/>
    </x:row>
    <x:row r="161" ht="22" customHeight="1">
      <x:c r="A161" s="3"/>
      <x:c r="B161" s="3" t="str">
        <x:v>23200</x:v>
      </x:c>
      <x:c r="C161" s="3" t="str">
        <x:v>JUMBO BAG PEARS</x:v>
      </x:c>
      <x:c r="D161" s="13" t="n">
        <x:v>14197.28</x:v>
      </x:c>
      <x:c r="E161" s="13" t="n">
        <x:v>243.63</x:v>
      </x:c>
      <x:c r="F161" s="13" t="n">
        <x:f>D161-E161</x:f>
        <x:v>13953.650000000001</x:v>
      </x:c>
      <x:c r="G161" s="3" t="n">
        <x:v>7071</x:v>
      </x:c>
      <x:c r="H161" s="3" t="n">
        <x:v>134</x:v>
      </x:c>
      <x:c r="I161" s="3" t="n">
        <x:v>595</x:v>
      </x:c>
      <x:c r="J161" s="15" t="n">
        <x:f>IF(D161=0,"n.a.",E161/D161)</x:f>
        <x:v>0.017160329302514283</x:v>
      </x:c>
      <x:c r="K161" s="15" t="n">
        <x:f>F161/'Datos'!$F$7</x:f>
        <x:v>0.0014249019517187256</x:v>
      </x:c>
      <x:c r="L161" s="3"/>
    </x:row>
    <x:row r="162" ht="22" customHeight="1">
      <x:c r="A162" s="3"/>
      <x:c r="B162" s="3" t="str">
        <x:v>22625</x:v>
      </x:c>
      <x:c r="C162" s="3" t="str">
        <x:v>RED KITCHEN SCALES</x:v>
      </x:c>
      <x:c r="D162" s="13" t="n">
        <x:v>14141.7</x:v>
      </x:c>
      <x:c r="E162" s="13" t="n">
        <x:v>198.05</x:v>
      </x:c>
      <x:c r="F162" s="13" t="n">
        <x:f>D162-E162</x:f>
        <x:v>13943.650000000001</x:v>
      </x:c>
      <x:c r="G162" s="3" t="n">
        <x:v>1627</x:v>
      </x:c>
      <x:c r="H162" s="3" t="n">
        <x:v>24</x:v>
      </x:c>
      <x:c r="I162" s="3" t="n">
        <x:v>546</x:v>
      </x:c>
      <x:c r="J162" s="15" t="n">
        <x:f>IF(D162=0,"n.a.",E162/D162)</x:f>
        <x:v>0.014004681191087352</x:v>
      </x:c>
      <x:c r="K162" s="15" t="n">
        <x:f>F162/'Datos'!$F$7</x:f>
        <x:v>0.0014238807838151887</x:v>
      </x:c>
      <x:c r="L162" s="3"/>
    </x:row>
    <x:row r="163" ht="22" customHeight="1">
      <x:c r="A163" s="3"/>
      <x:c r="B163" s="3" t="str">
        <x:v>22622</x:v>
      </x:c>
      <x:c r="C163" s="3" t="str">
        <x:v>BOX OF VINTAGE ALPHABET BLOCKS</x:v>
      </x:c>
      <x:c r="D163" s="13" t="n">
        <x:v>13931.31</x:v>
      </x:c>
      <x:c r="E163" s="13" t="n">
        <x:v>151.35</x:v>
      </x:c>
      <x:c r="F163" s="13" t="n">
        <x:f>D163-E163</x:f>
        <x:v>13779.96</x:v>
      </x:c>
      <x:c r="G163" s="3" t="n">
        <x:v>1342</x:v>
      </x:c>
      <x:c r="H163" s="3" t="n">
        <x:v>13</x:v>
      </x:c>
      <x:c r="I163" s="3" t="n">
        <x:v>267</x:v>
      </x:c>
      <x:c r="J163" s="15" t="n">
        <x:f>IF(D163=0,"n.a.",E163/D163)</x:f>
        <x:v>0.010864017813113053</x:v>
      </x:c>
      <x:c r="K163" s="15" t="n">
        <x:f>F163/'Datos'!$F$7</x:f>
        <x:v>0.0014071652864021936</x:v>
      </x:c>
      <x:c r="L163" s="3"/>
    </x:row>
    <x:row r="164" ht="22" customHeight="1">
      <x:c r="A164" s="3"/>
      <x:c r="B164" s="3" t="str">
        <x:v>22847</x:v>
      </x:c>
      <x:c r="C164" s="3" t="str">
        <x:v>BREAD BIN DINER STYLE IVORY</x:v>
      </x:c>
      <x:c r="D164" s="13" t="n">
        <x:v>14389.34</x:v>
      </x:c>
      <x:c r="E164" s="13" t="n">
        <x:v>711.8</x:v>
      </x:c>
      <x:c r="F164" s="13" t="n">
        <x:f>D164-E164</x:f>
        <x:v>13677.54</x:v>
      </x:c>
      <x:c r="G164" s="3" t="n">
        <x:v>905</x:v>
      </x:c>
      <x:c r="H164" s="3" t="n">
        <x:v>44</x:v>
      </x:c>
      <x:c r="I164" s="3" t="n">
        <x:v>376</x:v>
      </x:c>
      <x:c r="J164" s="15" t="n">
        <x:f>IF(D164=0,"n.a.",E164/D164)</x:f>
        <x:v>0.049467175005941895</x:v>
      </x:c>
      <x:c r="K164" s="15" t="n">
        <x:f>F164/'Datos'!$F$7</x:f>
        <x:v>0.0013967064847341692</x:v>
      </x:c>
      <x:c r="L164" s="3"/>
    </x:row>
    <x:row r="165" ht="22" customHeight="1">
      <x:c r="A165" s="3"/>
      <x:c r="B165" s="3" t="str">
        <x:v>23077</x:v>
      </x:c>
      <x:c r="C165" s="3" t="str">
        <x:v>DOUGHNUT LIP GLOSS</x:v>
      </x:c>
      <x:c r="D165" s="13" t="n">
        <x:v>13720.77</x:v>
      </x:c>
      <x:c r="E165" s="13" t="n">
        <x:v>75</x:v>
      </x:c>
      <x:c r="F165" s="13" t="n">
        <x:f>D165-E165</x:f>
        <x:v>13645.77</x:v>
      </x:c>
      <x:c r="G165" s="3" t="n">
        <x:v>10415</x:v>
      </x:c>
      <x:c r="H165" s="3" t="n">
        <x:v>60</x:v>
      </x:c>
      <x:c r="I165" s="3" t="n">
        <x:v>344</x:v>
      </x:c>
      <x:c r="J165" s="15" t="n">
        <x:f>IF(D165=0,"n.a.",E165/D165)</x:f>
        <x:v>0.005466165528611003</x:v>
      </x:c>
      <x:c r="K165" s="15" t="n">
        <x:f>F165/'Datos'!$F$7</x:f>
        <x:v>0.0013934622343046324</x:v>
      </x:c>
      <x:c r="L165" s="3"/>
    </x:row>
    <x:row r="166" ht="22" customHeight="1">
      <x:c r="A166" s="3"/>
      <x:c r="B166" s="3" t="str">
        <x:v>84077</x:v>
      </x:c>
      <x:c r="C166" s="3" t="str">
        <x:v>WORLD WAR 2 GLIDERS ASSTD DESIGNS</x:v>
      </x:c>
      <x:c r="D166" s="13" t="n">
        <x:v>13841.85</x:v>
      </x:c>
      <x:c r="E166" s="13" t="n">
        <x:v>253.92</x:v>
      </x:c>
      <x:c r="F166" s="13" t="n">
        <x:f>D166-E166</x:f>
        <x:v>13587.93</x:v>
      </x:c>
      <x:c r="G166" s="3" t="n">
        <x:v>55047</x:v>
      </x:c>
      <x:c r="H166" s="3" t="n">
        <x:v>1200</x:v>
      </x:c>
      <x:c r="I166" s="3" t="n">
        <x:v>535</x:v>
      </x:c>
      <x:c r="J166" s="15" t="n">
        <x:f>IF(D166=0,"n.a.",E166/D166)</x:f>
        <x:v>0.01834436870794005</x:v>
      </x:c>
      <x:c r="K166" s="15" t="n">
        <x:f>F166/'Datos'!$F$7</x:f>
        <x:v>0.001387555799150575</x:v>
      </x:c>
      <x:c r="L166" s="3"/>
    </x:row>
    <x:row r="167" ht="22" customHeight="1">
      <x:c r="A167" s="3"/>
      <x:c r="B167" s="3" t="str">
        <x:v>22551</x:v>
      </x:c>
      <x:c r="C167" s="3" t="str">
        <x:v>PLASTERS IN TIN SPACEBOY</x:v>
      </x:c>
      <x:c r="D167" s="13" t="n">
        <x:v>13615.31</x:v>
      </x:c>
      <x:c r="E167" s="13" t="n">
        <x:v>47.85</x:v>
      </x:c>
      <x:c r="F167" s="13" t="n">
        <x:f>D167-E167</x:f>
        <x:v>13567.46</x:v>
      </x:c>
      <x:c r="G167" s="3" t="n">
        <x:v>8082</x:v>
      </x:c>
      <x:c r="H167" s="3" t="n">
        <x:v>29</x:v>
      </x:c>
      <x:c r="I167" s="3" t="n">
        <x:v>673</x:v>
      </x:c>
      <x:c r="J167" s="15" t="n">
        <x:f>IF(D167=0,"n.a.",E167/D167)</x:f>
        <x:v>0.003514426039509934</x:v>
      </x:c>
      <x:c r="K167" s="15" t="n">
        <x:f>F167/'Datos'!$F$7</x:f>
        <x:v>0.001385465468452035</x:v>
      </x:c>
      <x:c r="L167" s="3"/>
    </x:row>
    <x:row r="168" ht="22" customHeight="1">
      <x:c r="A168" s="3"/>
      <x:c r="B168" s="3" t="str">
        <x:v>21524</x:v>
      </x:c>
      <x:c r="C168" s="3" t="str">
        <x:v>DOORMAT SPOTTY HOME SWEET HOME</x:v>
      </x:c>
      <x:c r="D168" s="13" t="n">
        <x:v>13612.41</x:v>
      </x:c>
      <x:c r="E168" s="13" t="n">
        <x:v>48.9</x:v>
      </x:c>
      <x:c r="F168" s="13" t="n">
        <x:f>D168-E168</x:f>
        <x:v>13563.51</x:v>
      </x:c>
      <x:c r="G168" s="3" t="n">
        <x:v>1757</x:v>
      </x:c>
      <x:c r="H168" s="3" t="n">
        <x:v>6</x:v>
      </x:c>
      <x:c r="I168" s="3" t="n">
        <x:v>480</x:v>
      </x:c>
      <x:c r="J168" s="15" t="n">
        <x:f>IF(D168=0,"n.a.",E168/D168)</x:f>
        <x:v>0.003592310252188995</x:v>
      </x:c>
      <x:c r="K168" s="15" t="n">
        <x:f>F168/'Datos'!$F$7</x:f>
        <x:v>0.0013850621071301381</x:v>
      </x:c>
      <x:c r="L168" s="3"/>
    </x:row>
    <x:row r="169" ht="22" customHeight="1">
      <x:c r="A169" s="3"/>
      <x:c r="B169" s="3" t="str">
        <x:v>22752</x:v>
      </x:c>
      <x:c r="C169" s="3" t="str">
        <x:v>SET 7 BABUSHKA NESTING BOXES</x:v>
      </x:c>
      <x:c r="D169" s="13" t="n">
        <x:v>14453.47</x:v>
      </x:c>
      <x:c r="E169" s="13" t="n">
        <x:v>952</x:v>
      </x:c>
      <x:c r="F169" s="13" t="n">
        <x:f>D169-E169</x:f>
        <x:v>13501.47</x:v>
      </x:c>
      <x:c r="G169" s="3" t="n">
        <x:v>1790</x:v>
      </x:c>
      <x:c r="H169" s="3" t="n">
        <x:v>124</x:v>
      </x:c>
      <x:c r="I169" s="3" t="n">
        <x:v>380</x:v>
      </x:c>
      <x:c r="J169" s="15" t="n">
        <x:f>IF(D169=0,"n.a.",E169/D169)</x:f>
        <x:v>0.06586653585609546</x:v>
      </x:c>
      <x:c r="K169" s="15" t="n">
        <x:f>F169/'Datos'!$F$7</x:f>
        <x:v>0.0013787267814565952</x:v>
      </x:c>
      <x:c r="L169" s="3"/>
    </x:row>
    <x:row r="170" ht="22" customHeight="1">
      <x:c r="A170" s="3"/>
      <x:c r="B170" s="3" t="str">
        <x:v>23343</x:v>
      </x:c>
      <x:c r="C170" s="3" t="str">
        <x:v>JUMBO BAG VINTAGE CHRISTMAS</x:v>
      </x:c>
      <x:c r="D170" s="13" t="n">
        <x:v>13978.95</x:v>
      </x:c>
      <x:c r="E170" s="13" t="n">
        <x:v>505.68</x:v>
      </x:c>
      <x:c r="F170" s="13" t="n">
        <x:f>D170-E170</x:f>
        <x:v>13473.27</x:v>
      </x:c>
      <x:c r="G170" s="3" t="n">
        <x:v>6081</x:v>
      </x:c>
      <x:c r="H170" s="3" t="n">
        <x:v>271</x:v>
      </x:c>
      <x:c r="I170" s="3" t="n">
        <x:v>476</x:v>
      </x:c>
      <x:c r="J170" s="15" t="n">
        <x:f>IF(D170=0,"n.a.",E170/D170)</x:f>
        <x:v>0.03617439078042342</x:v>
      </x:c>
      <x:c r="K170" s="15" t="n">
        <x:f>F170/'Datos'!$F$7</x:f>
        <x:v>0.0013758470879686215</x:v>
      </x:c>
      <x:c r="L170" s="3"/>
    </x:row>
    <x:row r="171" ht="22" customHeight="1">
      <x:c r="A171" s="3"/>
      <x:c r="B171" s="3" t="str">
        <x:v>23356</x:v>
      </x:c>
      <x:c r="C171" s="3" t="str">
        <x:v>LOVE HOT WATER BOTTLE</x:v>
      </x:c>
      <x:c r="D171" s="13" t="n">
        <x:v>13494.97</x:v>
      </x:c>
      <x:c r="E171" s="13" t="n">
        <x:v>53.55</x:v>
      </x:c>
      <x:c r="F171" s="13" t="n">
        <x:f>D171-E171</x:f>
        <x:v>13441.42</x:v>
      </x:c>
      <x:c r="G171" s="3" t="n">
        <x:v>2386</x:v>
      </x:c>
      <x:c r="H171" s="3" t="n">
        <x:v>9</x:v>
      </x:c>
      <x:c r="I171" s="3" t="n">
        <x:v>476</x:v>
      </x:c>
      <x:c r="J171" s="15" t="n">
        <x:f>IF(D171=0,"n.a.",E171/D171)</x:f>
        <x:v>0.003968145168162656</x:v>
      </x:c>
      <x:c r="K171" s="15" t="n">
        <x:f>F171/'Datos'!$F$7</x:f>
        <x:v>0.0013725946681958565</x:v>
      </x:c>
      <x:c r="L171" s="3"/>
    </x:row>
    <x:row r="172" ht="22" customHeight="1">
      <x:c r="A172" s="3"/>
      <x:c r="B172" s="3" t="str">
        <x:v>22941</x:v>
      </x:c>
      <x:c r="C172" s="3" t="str">
        <x:v>CHRISTMAS LIGHTS 10 REINDEER</x:v>
      </x:c>
      <x:c r="D172" s="13" t="n">
        <x:v>13812.92</x:v>
      </x:c>
      <x:c r="E172" s="13" t="n">
        <x:v>429.25</x:v>
      </x:c>
      <x:c r="F172" s="13" t="n">
        <x:f>D172-E172</x:f>
        <x:v>13383.67</x:v>
      </x:c>
      <x:c r="G172" s="3" t="n">
        <x:v>1672</x:v>
      </x:c>
      <x:c r="H172" s="3" t="n">
        <x:v>51</x:v>
      </x:c>
      <x:c r="I172" s="3" t="n">
        <x:v>311</x:v>
      </x:c>
      <x:c r="J172" s="15" t="n">
        <x:f>IF(D172=0,"n.a.",E172/D172)</x:f>
        <x:v>0.031075978142203097</x:v>
      </x:c>
      <x:c r="K172" s="15" t="n">
        <x:f>F172/'Datos'!$F$7</x:f>
        <x:v>0.001366697423552931</x:v>
      </x:c>
      <x:c r="L172" s="3"/>
    </x:row>
    <x:row r="173" ht="22" customHeight="1">
      <x:c r="A173" s="3"/>
      <x:c r="B173" s="3" t="str">
        <x:v>22554</x:v>
      </x:c>
      <x:c r="C173" s="3" t="str">
        <x:v>PLASTERS IN TIN WOODLAND ANIMALS</x:v>
      </x:c>
      <x:c r="D173" s="13" t="n">
        <x:v>13344.77</x:v>
      </x:c>
      <x:c r="E173" s="13" t="n">
        <x:v>47.85</x:v>
      </x:c>
      <x:c r="F173" s="13" t="n">
        <x:f>D173-E173</x:f>
        <x:v>13296.92</x:v>
      </x:c>
      <x:c r="G173" s="3" t="n">
        <x:v>7813</x:v>
      </x:c>
      <x:c r="H173" s="3" t="n">
        <x:v>29</x:v>
      </x:c>
      <x:c r="I173" s="3" t="n">
        <x:v>704</x:v>
      </x:c>
      <x:c r="J173" s="15" t="n">
        <x:f>IF(D173=0,"n.a.",E173/D173)</x:f>
        <x:v>0.00358567438779387</x:v>
      </x:c>
      <x:c r="K173" s="15" t="n">
        <x:f>F173/'Datos'!$F$7</x:f>
        <x:v>0.0013578387919897486</x:v>
      </x:c>
      <x:c r="L173" s="3"/>
    </x:row>
    <x:row r="174" ht="22" customHeight="1">
      <x:c r="A174" s="3"/>
      <x:c r="B174" s="3" t="str">
        <x:v>22558</x:v>
      </x:c>
      <x:c r="C174" s="3" t="str">
        <x:v>CLOTHES PEGS RETROSPOT PACK 24</x:v>
      </x:c>
      <x:c r="D174" s="13" t="n">
        <x:v>13346.04</x:v>
      </x:c>
      <x:c r="E174" s="13" t="n">
        <x:v>66.58</x:v>
      </x:c>
      <x:c r="F174" s="13" t="n">
        <x:f>D174-E174</x:f>
        <x:v>13279.460000000001</x:v>
      </x:c>
      <x:c r="G174" s="3" t="n">
        <x:v>8689</x:v>
      </x:c>
      <x:c r="H174" s="3" t="n">
        <x:v>42</x:v>
      </x:c>
      <x:c r="I174" s="3" t="n">
        <x:v>772</x:v>
      </x:c>
      <x:c r="J174" s="15" t="n">
        <x:f>IF(D174=0,"n.a.",E174/D174)</x:f>
        <x:v>0.004988745725323766</x:v>
      </x:c>
      <x:c r="K174" s="15" t="n">
        <x:f>F174/'Datos'!$F$7</x:f>
        <x:v>0.0013560558328301734</x:v>
      </x:c>
      <x:c r="L174" s="3"/>
    </x:row>
    <x:row r="175" ht="22" customHeight="1">
      <x:c r="A175" s="3"/>
      <x:c r="B175" s="3" t="str">
        <x:v>23328</x:v>
      </x:c>
      <x:c r="C175" s="3" t="str">
        <x:v>SET 6 SCHOOL MILK BOTTLES IN CRATE</x:v>
      </x:c>
      <x:c r="D175" s="13" t="n">
        <x:v>13284.49</x:v>
      </x:c>
      <x:c r="E175" s="13" t="n">
        <x:v>29.64</x:v>
      </x:c>
      <x:c r="F175" s="13" t="n">
        <x:f>D175-E175</x:f>
        <x:v>13254.85</x:v>
      </x:c>
      <x:c r="G175" s="3" t="n">
        <x:v>2845</x:v>
      </x:c>
      <x:c r="H175" s="3" t="n">
        <x:v>8</x:v>
      </x:c>
      <x:c r="I175" s="3" t="n">
        <x:v>405</x:v>
      </x:c>
      <x:c r="J175" s="15" t="n">
        <x:f>IF(D175=0,"n.a.",E175/D175)</x:f>
        <x:v>0.002231173345758851</x:v>
      </x:c>
      <x:c r="K175" s="15" t="n">
        <x:f>F175/'Datos'!$F$7</x:f>
        <x:v>0.001353542738619569</x:v>
      </x:c>
      <x:c r="L175" s="3"/>
    </x:row>
    <x:row r="176" ht="22" customHeight="1">
      <x:c r="A176" s="3"/>
      <x:c r="B176" s="3" t="str">
        <x:v>23108</x:v>
      </x:c>
      <x:c r="C176" s="3" t="str">
        <x:v>SET OF 10 LED DOLLY LIGHTS</x:v>
      </x:c>
      <x:c r="D176" s="13" t="n">
        <x:v>13303.02</x:v>
      </x:c>
      <x:c r="E176" s="13" t="n">
        <x:v>317.6</x:v>
      </x:c>
      <x:c r="F176" s="13" t="n">
        <x:f>D176-E176</x:f>
        <x:v>12985.42</x:v>
      </x:c>
      <x:c r="G176" s="3" t="n">
        <x:v>2221</x:v>
      </x:c>
      <x:c r="H176" s="3" t="n">
        <x:v>64</x:v>
      </x:c>
      <x:c r="I176" s="3" t="n">
        <x:v>372</x:v>
      </x:c>
      <x:c r="J176" s="15" t="n">
        <x:f>IF(D176=0,"n.a.",E176/D176)</x:f>
        <x:v>0.02387427817142273</x:v>
      </x:c>
      <x:c r="K176" s="15" t="n">
        <x:f>F176/'Datos'!$F$7</x:f>
        <x:v>0.001326029411794575</x:v>
      </x:c>
      <x:c r="L176" s="3"/>
    </x:row>
    <x:row r="177" ht="22" customHeight="1">
      <x:c r="A177" s="3"/>
      <x:c r="B177" s="3" t="str">
        <x:v>22171</x:v>
      </x:c>
      <x:c r="C177" s="3" t="str">
        <x:v>3 HOOK PHOTO SHELF ANTIQUE WHITE</x:v>
      </x:c>
      <x:c r="D177" s="13" t="n">
        <x:v>13746.11</x:v>
      </x:c>
      <x:c r="E177" s="13" t="n">
        <x:v>876.35</x:v>
      </x:c>
      <x:c r="F177" s="13" t="n">
        <x:f>D177-E177</x:f>
        <x:v>12869.76</x:v>
      </x:c>
      <x:c r="G177" s="3" t="n">
        <x:v>1811</x:v>
      </x:c>
      <x:c r="H177" s="3" t="n">
        <x:v>112</x:v>
      </x:c>
      <x:c r="I177" s="3" t="n">
        <x:v>382</x:v>
      </x:c>
      <x:c r="J177" s="15" t="n">
        <x:f>IF(D177=0,"n.a.",E177/D177)</x:f>
        <x:v>0.06375258163946018</x:v>
      </x:c>
      <x:c r="K177" s="15" t="n">
        <x:f>F177/'Datos'!$F$7</x:f>
        <x:v>0.0013142185838222677</x:v>
      </x:c>
      <x:c r="L177" s="3"/>
    </x:row>
    <x:row r="178" ht="22" customHeight="1">
      <x:c r="A178" s="3"/>
      <x:c r="B178" s="3" t="str">
        <x:v>22499</x:v>
      </x:c>
      <x:c r="C178" s="3" t="str">
        <x:v>WOODEN UNION JACK BUNTING</x:v>
      </x:c>
      <x:c r="D178" s="13" t="n">
        <x:v>12792.25</x:v>
      </x:c>
      <x:c r="E178" s="13" t="n">
        <x:v>23.8</x:v>
      </x:c>
      <x:c r="F178" s="13" t="n">
        <x:f>D178-E178</x:f>
        <x:v>12768.45</x:v>
      </x:c>
      <x:c r="G178" s="3" t="n">
        <x:v>2091</x:v>
      </x:c>
      <x:c r="H178" s="3" t="n">
        <x:v>4</x:v>
      </x:c>
      <x:c r="I178" s="3" t="n">
        <x:v>407</x:v>
      </x:c>
      <x:c r="J178" s="15" t="n">
        <x:f>IF(D178=0,"n.a.",E178/D178)</x:f>
        <x:v>0.0018605014755027458</x:v>
      </x:c>
      <x:c r="K178" s="15" t="n">
        <x:f>F178/'Datos'!$F$7</x:f>
        <x:v>0.0013038731317915357</x:v>
      </x:c>
      <x:c r="L178" s="3"/>
    </x:row>
    <x:row r="179" ht="22" customHeight="1">
      <x:c r="A179" s="3"/>
      <x:c r="B179" s="3" t="str">
        <x:v>82600</x:v>
      </x:c>
      <x:c r="C179" s="3" t="str">
        <x:v>NO SINGING METAL SIGN</x:v>
      </x:c>
      <x:c r="D179" s="13" t="n">
        <x:v>12835.28</x:v>
      </x:c>
      <x:c r="E179" s="13" t="n">
        <x:v>73.3</x:v>
      </x:c>
      <x:c r="F179" s="13" t="n">
        <x:f>D179-E179</x:f>
        <x:v>12761.980000000001</x:v>
      </x:c>
      <x:c r="G179" s="3" t="n">
        <x:v>6014</x:v>
      </x:c>
      <x:c r="H179" s="3" t="n">
        <x:v>38</x:v>
      </x:c>
      <x:c r="I179" s="3" t="n">
        <x:v>545</x:v>
      </x:c>
      <x:c r="J179" s="15" t="n">
        <x:f>IF(D179=0,"n.a.",E179/D179)</x:f>
        <x:v>0.00571082204673369</x:v>
      </x:c>
      <x:c r="K179" s="15" t="n">
        <x:f>F179/'Datos'!$F$7</x:f>
        <x:v>0.0013032124361579474</x:v>
      </x:c>
      <x:c r="L179" s="3"/>
    </x:row>
    <x:row r="180" ht="22" customHeight="1">
      <x:c r="A180" s="3"/>
      <x:c r="B180" s="3" t="str">
        <x:v>22113</x:v>
      </x:c>
      <x:c r="C180" s="3" t="str">
        <x:v>GREY HEART HOT WATER BOTTLE</x:v>
      </x:c>
      <x:c r="D180" s="13" t="n">
        <x:v>12805.33</x:v>
      </x:c>
      <x:c r="E180" s="13" t="n">
        <x:v>104.25</x:v>
      </x:c>
      <x:c r="F180" s="13" t="n">
        <x:f>D180-E180</x:f>
        <x:v>12701.08</x:v>
      </x:c>
      <x:c r="G180" s="3" t="n">
        <x:v>3231</x:v>
      </x:c>
      <x:c r="H180" s="3" t="n">
        <x:v>27</x:v>
      </x:c>
      <x:c r="I180" s="3" t="n">
        <x:v>561</x:v>
      </x:c>
      <x:c r="J180" s="15" t="n">
        <x:f>IF(D180=0,"n.a.",E180/D180)</x:f>
        <x:v>0.008141141227910565</x:v>
      </x:c>
      <x:c r="K180" s="15" t="n">
        <x:f>F180/'Datos'!$F$7</x:f>
        <x:v>0.0012969935236254078</x:v>
      </x:c>
      <x:c r="L180" s="3"/>
    </x:row>
    <x:row r="181" ht="22" customHeight="1">
      <x:c r="A181" s="3"/>
      <x:c r="B181" s="3" t="str">
        <x:v>23207</x:v>
      </x:c>
      <x:c r="C181" s="3" t="str">
        <x:v>LUNCH BAG ALPHABET DESIGN</x:v>
      </x:c>
      <x:c r="D181" s="13" t="n">
        <x:v>13360.2</x:v>
      </x:c>
      <x:c r="E181" s="13" t="n">
        <x:v>659.6</x:v>
      </x:c>
      <x:c r="F181" s="13" t="n">
        <x:f>D181-E181</x:f>
        <x:v>12700.6</x:v>
      </x:c>
      <x:c r="G181" s="3" t="n">
        <x:v>7851</x:v>
      </x:c>
      <x:c r="H181" s="3" t="n">
        <x:v>448</x:v>
      </x:c>
      <x:c r="I181" s="3" t="n">
        <x:v>740</x:v>
      </x:c>
      <x:c r="J181" s="15" t="n">
        <x:f>IF(D181=0,"n.a.",E181/D181)</x:f>
        <x:v>0.049370518405413094</x:v>
      </x:c>
      <x:c r="K181" s="15" t="n">
        <x:f>F181/'Datos'!$F$7</x:f>
        <x:v>0.001296944507566038</x:v>
      </x:c>
      <x:c r="L181" s="3"/>
    </x:row>
    <x:row r="182" ht="22" customHeight="1">
      <x:c r="A182" s="3"/>
      <x:c r="B182" s="3" t="str">
        <x:v>20750</x:v>
      </x:c>
      <x:c r="C182" s="3" t="str">
        <x:v>RED RETROSPOT MINI CASES</x:v>
      </x:c>
      <x:c r="D182" s="13" t="n">
        <x:v>12642.93</x:v>
      </x:c>
      <x:c r="E182" s="13" t="n">
        <x:v>47.7</x:v>
      </x:c>
      <x:c r="F182" s="13" t="n">
        <x:f>D182-E182</x:f>
        <x:v>12595.23</x:v>
      </x:c>
      <x:c r="G182" s="3" t="n">
        <x:v>1748</x:v>
      </x:c>
      <x:c r="H182" s="3" t="n">
        <x:v>6</x:v>
      </x:c>
      <x:c r="I182" s="3" t="n">
        <x:v>385</x:v>
      </x:c>
      <x:c r="J182" s="15" t="n">
        <x:f>IF(D182=0,"n.a.",E182/D182)</x:f>
        <x:v>0.003772859614029343</x:v>
      </x:c>
      <x:c r="K182" s="15" t="n">
        <x:f>F182/'Datos'!$F$7</x:f>
        <x:v>0.0012861844613664699</x:v>
      </x:c>
      <x:c r="L182" s="3"/>
    </x:row>
    <x:row r="183" ht="22" customHeight="1">
      <x:c r="A183" s="3"/>
      <x:c r="B183" s="3" t="str">
        <x:v>20749</x:v>
      </x:c>
      <x:c r="C183" s="3" t="str">
        <x:v>ASSORTED COLOUR MINI CASES</x:v>
      </x:c>
      <x:c r="D183" s="13" t="n">
        <x:v>12614.17</x:v>
      </x:c>
      <x:c r="E183" s="13" t="n">
        <x:v>63.6</x:v>
      </x:c>
      <x:c r="F183" s="13" t="n">
        <x:f>D183-E183</x:f>
        <x:v>12550.57</x:v>
      </x:c>
      <x:c r="G183" s="3" t="n">
        <x:v>1770</x:v>
      </x:c>
      <x:c r="H183" s="3" t="n">
        <x:v>8</x:v>
      </x:c>
      <x:c r="I183" s="3" t="n">
        <x:v>383</x:v>
      </x:c>
      <x:c r="J183" s="15" t="n">
        <x:f>IF(D183=0,"n.a.",E183/D183)</x:f>
        <x:v>0.005041948855929483</x:v>
      </x:c>
      <x:c r="K183" s="15" t="n">
        <x:f>F183/'Datos'!$F$7</x:f>
        <x:v>0.0012816239255092742</x:v>
      </x:c>
      <x:c r="L183" s="3"/>
    </x:row>
    <x:row r="184" ht="22" customHeight="1">
      <x:c r="A184" s="3"/>
      <x:c r="B184" s="3" t="str">
        <x:v>21755</x:v>
      </x:c>
      <x:c r="C184" s="3" t="str">
        <x:v>LOVE BUILDING BLOCK WORD</x:v>
      </x:c>
      <x:c r="D184" s="13" t="n">
        <x:v>12572.71</x:v>
      </x:c>
      <x:c r="E184" s="13" t="n">
        <x:v>23.8</x:v>
      </x:c>
      <x:c r="F184" s="13" t="n">
        <x:f>D184-E184</x:f>
        <x:v>12548.91</x:v>
      </x:c>
      <x:c r="G184" s="3" t="n">
        <x:v>2034</x:v>
      </x:c>
      <x:c r="H184" s="3" t="n">
        <x:v>4</x:v>
      </x:c>
      <x:c r="I184" s="3" t="n">
        <x:v>629</x:v>
      </x:c>
      <x:c r="J184" s="15" t="n">
        <x:f>IF(D184=0,"n.a.",E184/D184)</x:f>
        <x:v>0.0018929888623852775</x:v>
      </x:c>
      <x:c r="K184" s="15" t="n">
        <x:f>F184/'Datos'!$F$7</x:f>
        <x:v>0.0012814544116372872</x:v>
      </x:c>
      <x:c r="L184" s="3"/>
    </x:row>
    <x:row r="185" ht="22" customHeight="1">
      <x:c r="A185" s="3"/>
      <x:c r="B185" s="3" t="str">
        <x:v>22607</x:v>
      </x:c>
      <x:c r="C185" s="3" t="str">
        <x:v>WOODEN ROUNDERS GARDEN SET</x:v>
      </x:c>
      <x:c r="D185" s="13" t="n">
        <x:v>12571.37</x:v>
      </x:c>
      <x:c r="E185" s="13" t="n">
        <x:v>36.9</x:v>
      </x:c>
      <x:c r="F185" s="13" t="n">
        <x:f>D185-E185</x:f>
        <x:v>12534.470000000001</x:v>
      </x:c>
      <x:c r="G185" s="3" t="n">
        <x:v>1331</x:v>
      </x:c>
      <x:c r="H185" s="3" t="n">
        <x:v>4</x:v>
      </x:c>
      <x:c r="I185" s="3" t="n">
        <x:v>358</x:v>
      </x:c>
      <x:c r="J185" s="15" t="n">
        <x:f>IF(D185=0,"n.a.",E185/D185)</x:f>
        <x:v>0.0029352409482816906</x:v>
      </x:c>
      <x:c r="K185" s="15" t="n">
        <x:f>F185/'Datos'!$F$7</x:f>
        <x:v>0.00127997984518458</x:v>
      </x:c>
      <x:c r="L185" s="3"/>
    </x:row>
    <x:row r="186" ht="22" customHeight="1">
      <x:c r="A186" s="3"/>
      <x:c r="B186" s="3" t="str">
        <x:v>20723</x:v>
      </x:c>
      <x:c r="C186" s="3" t="str">
        <x:v>STRAWBERRY CHARLOTTE BAG</x:v>
      </x:c>
      <x:c r="D186" s="13" t="n">
        <x:v>12552.4</x:v>
      </x:c>
      <x:c r="E186" s="13" t="n">
        <x:v>62.71</x:v>
      </x:c>
      <x:c r="F186" s="13" t="n">
        <x:f>D186-E186</x:f>
        <x:v>12489.69</x:v>
      </x:c>
      <x:c r="G186" s="3" t="n">
        <x:v>9798</x:v>
      </x:c>
      <x:c r="H186" s="3" t="n">
        <x:v>75</x:v>
      </x:c>
      <x:c r="I186" s="3" t="n">
        <x:v>722</x:v>
      </x:c>
      <x:c r="J186" s="15" t="n">
        <x:f>IF(D186=0,"n.a.",E186/D186)</x:f>
        <x:v>0.004995857365922055</x:v>
      </x:c>
      <x:c r="K186" s="15" t="n">
        <x:f>F186/'Datos'!$F$7</x:f>
        <x:v>0.001275407055312542</x:v>
      </x:c>
      <x:c r="L186" s="3"/>
    </x:row>
    <x:row r="187" ht="22" customHeight="1">
      <x:c r="A187" s="3"/>
      <x:c r="B187" s="3" t="str">
        <x:v>22188</x:v>
      </x:c>
      <x:c r="C187" s="3" t="str">
        <x:v>BLACK HEART CARD HOLDER</x:v>
      </x:c>
      <x:c r="D187" s="13" t="n">
        <x:v>12487.17</x:v>
      </x:c>
      <x:c r="E187" s="13" t="n">
        <x:v>3.95</x:v>
      </x:c>
      <x:c r="F187" s="13" t="n">
        <x:f>D187-E187</x:f>
        <x:v>12483.22</x:v>
      </x:c>
      <x:c r="G187" s="3" t="n">
        <x:v>4871</x:v>
      </x:c>
      <x:c r="H187" s="3" t="n">
        <x:v>1</x:v>
      </x:c>
      <x:c r="I187" s="3" t="n">
        <x:v>189</x:v>
      </x:c>
      <x:c r="J187" s="15" t="n">
        <x:f>IF(D187=0,"n.a.",E187/D187)</x:f>
        <x:v>0.00031632467564708417</x:v>
      </x:c>
      <x:c r="K187" s="15" t="n">
        <x:f>F187/'Datos'!$F$7</x:f>
        <x:v>0.0012747463596789535</x:v>
      </x:c>
      <x:c r="L187" s="3"/>
    </x:row>
    <x:row r="188" ht="22" customHeight="1">
      <x:c r="A188" s="3"/>
      <x:c r="B188" s="3" t="str">
        <x:v>21790</x:v>
      </x:c>
      <x:c r="C188" s="3" t="str">
        <x:v>VINTAGE SNAP CARDS</x:v>
      </x:c>
      <x:c r="D188" s="13" t="n">
        <x:v>12515.96</x:v>
      </x:c>
      <x:c r="E188" s="13" t="n">
        <x:v>72.25</x:v>
      </x:c>
      <x:c r="F188" s="13" t="n">
        <x:f>D188-E188</x:f>
        <x:v>12443.71</x:v>
      </x:c>
      <x:c r="G188" s="3" t="n">
        <x:v>14528</x:v>
      </x:c>
      <x:c r="H188" s="3" t="n">
        <x:v>85</x:v>
      </x:c>
      <x:c r="I188" s="3" t="n">
        <x:v>926</x:v>
      </x:c>
      <x:c r="J188" s="15" t="n">
        <x:f>IF(D188=0,"n.a.",E188/D188)</x:f>
        <x:v>0.005772629506645915</x:v>
      </x:c>
      <x:c r="K188" s="15" t="n">
        <x:f>F188/'Datos'!$F$7</x:f>
        <x:v>0.001270711725292079</x:v>
      </x:c>
      <x:c r="L188" s="3"/>
    </x:row>
    <x:row r="189" ht="22" customHeight="1">
      <x:c r="A189" s="3"/>
      <x:c r="B189" s="3" t="str">
        <x:v>22427</x:v>
      </x:c>
      <x:c r="C189" s="3" t="str">
        <x:v>ENAMEL FLOWER JUG CREAM</x:v>
      </x:c>
      <x:c r="D189" s="13" t="n">
        <x:v>12671.06</x:v>
      </x:c>
      <x:c r="E189" s="13" t="n">
        <x:v>243.9</x:v>
      </x:c>
      <x:c r="F189" s="13" t="n">
        <x:f>D189-E189</x:f>
        <x:v>12427.16</x:v>
      </x:c>
      <x:c r="G189" s="3" t="n">
        <x:v>2110</x:v>
      </x:c>
      <x:c r="H189" s="3" t="n">
        <x:v>42</x:v>
      </x:c>
      <x:c r="I189" s="3" t="n">
        <x:v>506</x:v>
      </x:c>
      <x:c r="J189" s="15" t="n">
        <x:f>IF(D189=0,"n.a.",E189/D189)</x:f>
        <x:v>0.019248586937478003</x:v>
      </x:c>
      <x:c r="K189" s="15" t="n">
        <x:f>F189/'Datos'!$F$7</x:f>
        <x:v>0.0012690216924117258</x:v>
      </x:c>
      <x:c r="L189" s="3"/>
    </x:row>
    <x:row r="190" ht="22" customHeight="1">
      <x:c r="A190" s="3"/>
      <x:c r="B190" s="3" t="str">
        <x:v>22776</x:v>
      </x:c>
      <x:c r="C190" s="3" t="str">
        <x:v>SWEETHEART CAKESTAND 3 TIER</x:v>
      </x:c>
      <x:c r="D190" s="13" t="n">
        <x:v>13088.73</x:v>
      </x:c>
      <x:c r="E190" s="13" t="n">
        <x:v>863</x:v>
      </x:c>
      <x:c r="F190" s="13" t="n">
        <x:f>D190-E190</x:f>
        <x:v>12225.73</x:v>
      </x:c>
      <x:c r="G190" s="3" t="n">
        <x:v>1245</x:v>
      </x:c>
      <x:c r="H190" s="3" t="n">
        <x:v>93</x:v>
      </x:c>
      <x:c r="I190" s="3" t="n">
        <x:v>536</x:v>
      </x:c>
      <x:c r="J190" s="15" t="n">
        <x:f>IF(D190=0,"n.a.",E190/D190)</x:f>
        <x:v>0.06593458647248435</x:v>
      </x:c>
      <x:c r="K190" s="15" t="n">
        <x:f>F190/'Datos'!$F$7</x:f>
        <x:v>0.0012484523073307825</x:v>
      </x:c>
      <x:c r="L190" s="3"/>
    </x:row>
    <x:row r="191" ht="22" customHeight="1">
      <x:c r="A191" s="3"/>
      <x:c r="B191" s="3" t="str">
        <x:v>21977</x:v>
      </x:c>
      <x:c r="C191" s="3" t="str">
        <x:v>PACK OF 60 PINK PAISLEY CAKE CASES</x:v>
      </x:c>
      <x:c r="D191" s="13" t="n">
        <x:v>12245.02</x:v>
      </x:c>
      <x:c r="E191" s="13" t="n">
        <x:v>55.55</x:v>
      </x:c>
      <x:c r="F191" s="13" t="n">
        <x:f>D191-E191</x:f>
        <x:v>12189.470000000001</x:v>
      </x:c>
      <x:c r="G191" s="3" t="n">
        <x:v>24854</x:v>
      </x:c>
      <x:c r="H191" s="3" t="n">
        <x:v>101</x:v>
      </x:c>
      <x:c r="I191" s="3" t="n">
        <x:v>869</x:v>
      </x:c>
      <x:c r="J191" s="15" t="n">
        <x:f>IF(D191=0,"n.a.",E191/D191)</x:f>
        <x:v>0.004536538119170079</x:v>
      </x:c>
      <x:c r="K191" s="15" t="n">
        <x:f>F191/'Datos'!$F$7</x:f>
        <x:v>0.001244749552512558</x:v>
      </x:c>
      <x:c r="L191" s="3"/>
    </x:row>
    <x:row r="192" ht="22" customHeight="1">
      <x:c r="A192" s="3"/>
      <x:c r="B192" s="3" t="str">
        <x:v>47590B</x:v>
      </x:c>
      <x:c r="C192" s="3" t="str">
        <x:v>PINK HAPPY BIRTHDAY BUNTING</x:v>
      </x:c>
      <x:c r="D192" s="13" t="n">
        <x:v>12201.4</x:v>
      </x:c>
      <x:c r="E192" s="13" t="n">
        <x:v>124.1</x:v>
      </x:c>
      <x:c r="F192" s="13" t="n">
        <x:f>D192-E192</x:f>
        <x:v>12077.3</x:v>
      </x:c>
      <x:c r="G192" s="3" t="n">
        <x:v>2339</x:v>
      </x:c>
      <x:c r="H192" s="3" t="n">
        <x:v>26</x:v>
      </x:c>
      <x:c r="I192" s="3" t="n">
        <x:v>402</x:v>
      </x:c>
      <x:c r="J192" s="15" t="n">
        <x:f>IF(D192=0,"n.a.",E192/D192)</x:f>
        <x:v>0.010170963987739113</x:v>
      </x:c>
      <x:c r="K192" s="15" t="n">
        <x:f>F192/'Datos'!$F$7</x:f>
        <x:v>0.0012332951121385848</x:v>
      </x:c>
      <x:c r="L192" s="3"/>
    </x:row>
    <x:row r="193" ht="22" customHeight="1">
      <x:c r="A193" s="3"/>
      <x:c r="B193" s="3" t="str">
        <x:v>48188</x:v>
      </x:c>
      <x:c r="C193" s="3" t="str">
        <x:v>DOORMAT WELCOME PUPPIES</x:v>
      </x:c>
      <x:c r="D193" s="13" t="n">
        <x:v>12114.97</x:v>
      </x:c>
      <x:c r="E193" s="13" t="n">
        <x:v>40.05</x:v>
      </x:c>
      <x:c r="F193" s="13" t="n">
        <x:f>D193-E193</x:f>
        <x:v>12074.92</x:v>
      </x:c>
      <x:c r="G193" s="3" t="n">
        <x:v>2065</x:v>
      </x:c>
      <x:c r="H193" s="3" t="n">
        <x:v>5</x:v>
      </x:c>
      <x:c r="I193" s="3" t="n">
        <x:v>287</x:v>
      </x:c>
      <x:c r="J193" s="15" t="n">
        <x:f>IF(D193=0,"n.a.",E193/D193)</x:f>
        <x:v>0.003305827418474829</x:v>
      </x:c>
      <x:c r="K193" s="15" t="n">
        <x:f>F193/'Datos'!$F$7</x:f>
        <x:v>0.0012330520741775431</x:v>
      </x:c>
      <x:c r="L193" s="3"/>
    </x:row>
    <x:row r="194" ht="22" customHeight="1">
      <x:c r="A194" s="3"/>
      <x:c r="B194" s="3" t="str">
        <x:v>22424</x:v>
      </x:c>
      <x:c r="C194" s="3" t="str">
        <x:v>ENAMEL BREAD BIN CREAM</x:v>
      </x:c>
      <x:c r="D194" s="13" t="n">
        <x:v>12383.83</x:v>
      </x:c>
      <x:c r="E194" s="13" t="n">
        <x:v>342.6</x:v>
      </x:c>
      <x:c r="F194" s="13" t="n">
        <x:f>D194-E194</x:f>
        <x:v>12041.23</x:v>
      </x:c>
      <x:c r="G194" s="3" t="n">
        <x:v>875</x:v>
      </x:c>
      <x:c r="H194" s="3" t="n">
        <x:v>28</x:v>
      </x:c>
      <x:c r="I194" s="3" t="n">
        <x:v>454</x:v>
      </x:c>
      <x:c r="J194" s="15" t="n">
        <x:f>IF(D194=0,"n.a.",E194/D194)</x:f>
        <x:v>0.02766510845190866</x:v>
      </x:c>
      <x:c r="K194" s="15" t="n">
        <x:f>F194/'Datos'!$F$7</x:f>
        <x:v>0.0012296117595105272</x:v>
      </x:c>
      <x:c r="L194" s="3"/>
    </x:row>
    <x:row r="195" ht="22" customHeight="1">
      <x:c r="A195" s="3"/>
      <x:c r="B195" s="3" t="str">
        <x:v>23174</x:v>
      </x:c>
      <x:c r="C195" s="3" t="str">
        <x:v>REGENCY SUGAR BOWL GREEN</x:v>
      </x:c>
      <x:c r="D195" s="13" t="n">
        <x:v>12350.73</x:v>
      </x:c>
      <x:c r="E195" s="13" t="n">
        <x:v>345.2</x:v>
      </x:c>
      <x:c r="F195" s="13" t="n">
        <x:f>D195-E195</x:f>
        <x:v>12005.529999999999</x:v>
      </x:c>
      <x:c r="G195" s="3" t="n">
        <x:v>3057</x:v>
      </x:c>
      <x:c r="H195" s="3" t="n">
        <x:v>88</x:v>
      </x:c>
      <x:c r="I195" s="3" t="n">
        <x:v>322</x:v>
      </x:c>
      <x:c r="J195" s="15" t="n">
        <x:f>IF(D195=0,"n.a.",E195/D195)</x:f>
        <x:v>0.027949764912681276</x:v>
      </x:c>
      <x:c r="K195" s="15" t="n">
        <x:f>F195/'Datos'!$F$7</x:f>
        <x:v>0.0012259661900949005</x:v>
      </x:c>
      <x:c r="L195" s="3"/>
    </x:row>
    <x:row r="196" ht="22" customHeight="1">
      <x:c r="A196" s="3"/>
      <x:c r="B196" s="3" t="str">
        <x:v>22158</x:v>
      </x:c>
      <x:c r="C196" s="3" t="str">
        <x:v>3 HEARTS HANGING DECORATION RUSTIC</x:v>
      </x:c>
      <x:c r="D196" s="13" t="n">
        <x:v>11944.88</x:v>
      </x:c>
      <x:c r="E196" s="13" t="n">
        <x:v>71.75</x:v>
      </x:c>
      <x:c r="F196" s="13" t="n">
        <x:f>D196-E196</x:f>
        <x:v>11873.13</x:v>
      </x:c>
      <x:c r="G196" s="3" t="n">
        <x:v>3463</x:v>
      </x:c>
      <x:c r="H196" s="3" t="n">
        <x:v>25</x:v>
      </x:c>
      <x:c r="I196" s="3" t="n">
        <x:v>303</x:v>
      </x:c>
      <x:c r="J196" s="15" t="n">
        <x:f>IF(D196=0,"n.a.",E196/D196)</x:f>
        <x:v>0.006006757707067798</x:v>
      </x:c>
      <x:c r="K196" s="15" t="n">
        <x:f>F196/'Datos'!$F$7</x:f>
        <x:v>0.0012124459270520724</x:v>
      </x:c>
      <x:c r="L196" s="3"/>
    </x:row>
    <x:row r="197" ht="22" customHeight="1">
      <x:c r="A197" s="3"/>
      <x:c r="B197" s="3" t="str">
        <x:v>21430</x:v>
      </x:c>
      <x:c r="C197" s="3" t="str">
        <x:v>SET/3 RED GINGHAM ROSE STORAGE BOX</x:v>
      </x:c>
      <x:c r="D197" s="13" t="n">
        <x:v>11928.45</x:v>
      </x:c>
      <x:c r="E197" s="13" t="n">
        <x:v>144.03</x:v>
      </x:c>
      <x:c r="F197" s="13" t="n">
        <x:f>D197-E197</x:f>
        <x:v>11784.42</x:v>
      </x:c>
      <x:c r="G197" s="3" t="n">
        <x:v>3040</x:v>
      </x:c>
      <x:c r="H197" s="3" t="n">
        <x:v>41</x:v>
      </x:c>
      <x:c r="I197" s="3" t="n">
        <x:v>477</x:v>
      </x:c>
      <x:c r="J197" s="15" t="n">
        <x:f>IF(D197=0,"n.a.",E197/D197)</x:f>
        <x:v>0.012074494171497554</x:v>
      </x:c>
      <x:c r="K197" s="15" t="n">
        <x:f>F197/'Datos'!$F$7</x:f>
        <x:v>0.001203387146579797</x:v>
      </x:c>
      <x:c r="L197" s="3"/>
    </x:row>
    <x:row r="198" ht="22" customHeight="1">
      <x:c r="A198" s="3"/>
      <x:c r="B198" s="3" t="str">
        <x:v>22193</x:v>
      </x:c>
      <x:c r="C198" s="3" t="str">
        <x:v>RED DINER WALL CLOCK</x:v>
      </x:c>
      <x:c r="D198" s="13" t="n">
        <x:v>11882.57</x:v>
      </x:c>
      <x:c r="E198" s="13" t="n">
        <x:v>192.95</x:v>
      </x:c>
      <x:c r="F198" s="13" t="n">
        <x:f>D198-E198</x:f>
        <x:v>11689.619999999999</x:v>
      </x:c>
      <x:c r="G198" s="3" t="n">
        <x:v>1403</x:v>
      </x:c>
      <x:c r="H198" s="3" t="n">
        <x:v>24</x:v>
      </x:c>
      <x:c r="I198" s="3" t="n">
        <x:v>460</x:v>
      </x:c>
      <x:c r="J198" s="15" t="n">
        <x:f>IF(D198=0,"n.a.",E198/D198)</x:f>
        <x:v>0.016238069710508753</x:v>
      </x:c>
      <x:c r="K198" s="15" t="n">
        <x:f>F198/'Datos'!$F$7</x:f>
        <x:v>0.0011937064748542673</x:v>
      </x:c>
      <x:c r="L198" s="3"/>
    </x:row>
    <x:row r="199" ht="22" customHeight="1">
      <x:c r="A199" s="3"/>
      <x:c r="B199" s="3" t="str">
        <x:v>22087</x:v>
      </x:c>
      <x:c r="C199" s="3" t="str">
        <x:v>PAPER BUNTING WHITE LACE</x:v>
      </x:c>
      <x:c r="D199" s="13" t="n">
        <x:v>11893.23</x:v>
      </x:c>
      <x:c r="E199" s="13" t="n">
        <x:v>223.8</x:v>
      </x:c>
      <x:c r="F199" s="13" t="n">
        <x:f>D199-E199</x:f>
        <x:v>11669.43</x:v>
      </x:c>
      <x:c r="G199" s="3" t="n">
        <x:v>4089</x:v>
      </x:c>
      <x:c r="H199" s="3" t="n">
        <x:v>76</x:v>
      </x:c>
      <x:c r="I199" s="3" t="n">
        <x:v>326</x:v>
      </x:c>
      <x:c r="J199" s="15" t="n">
        <x:f>IF(D199=0,"n.a.",E199/D199)</x:f>
        <x:v>0.018817428066219187</x:v>
      </x:c>
      <x:c r="K199" s="15" t="n">
        <x:f>F199/'Datos'!$F$7</x:f>
        <x:v>0.0011916447368570265</x:v>
      </x:c>
      <x:c r="L199" s="3"/>
    </x:row>
    <x:row r="200" ht="22" customHeight="1">
      <x:c r="A200" s="3"/>
      <x:c r="B200" s="3" t="str">
        <x:v>23300</x:v>
      </x:c>
      <x:c r="C200" s="3" t="str">
        <x:v>GARDENERS KNEELING PAD CUP OF TEA</x:v>
      </x:c>
      <x:c r="D200" s="13" t="n">
        <x:v>11815.69</x:v>
      </x:c>
      <x:c r="E200" s="13" t="n">
        <x:v>231.6</x:v>
      </x:c>
      <x:c r="F200" s="13" t="n">
        <x:f>D200-E200</x:f>
        <x:v>11584.09</x:v>
      </x:c>
      <x:c r="G200" s="3" t="n">
        <x:v>6827</x:v>
      </x:c>
      <x:c r="H200" s="3" t="n">
        <x:v>152</x:v>
      </x:c>
      <x:c r="I200" s="3" t="n">
        <x:v>758</x:v>
      </x:c>
      <x:c r="J200" s="15" t="n">
        <x:f>IF(D200=0,"n.a.",E200/D200)</x:f>
        <x:v>0.019601055884167575</x:v>
      </x:c>
      <x:c r="K200" s="15" t="n">
        <x:f>F200/'Datos'!$F$7</x:f>
        <x:v>0.001182930089968243</x:v>
      </x:c>
      <x:c r="L200" s="3"/>
    </x:row>
    <x:row r="201" ht="22" customHeight="1">
      <x:c r="A201" s="3"/>
      <x:c r="B201" s="3" t="str">
        <x:v>22692</x:v>
      </x:c>
      <x:c r="C201" s="3" t="str">
        <x:v>DOORMAT WELCOME TO OUR HOME</x:v>
      </x:c>
      <x:c r="D201" s="13" t="n">
        <x:v>11555.56</x:v>
      </x:c>
      <x:c r="E201" s="13" t="n">
        <x:v>23.85</x:v>
      </x:c>
      <x:c r="F201" s="13" t="n">
        <x:f>D201-E201</x:f>
        <x:v>11531.71</x:v>
      </x:c>
      <x:c r="G201" s="3" t="n">
        <x:v>1524</x:v>
      </x:c>
      <x:c r="H201" s="3" t="n">
        <x:v>3</x:v>
      </x:c>
      <x:c r="I201" s="3" t="n">
        <x:v>443</x:v>
      </x:c>
      <x:c r="J201" s="15" t="n">
        <x:f>IF(D201=0,"n.a.",E201/D201)</x:f>
        <x:v>0.0020639415138686487</x:v>
      </x:c>
      <x:c r="K201" s="15" t="n">
        <x:f>F201/'Datos'!$F$7</x:f>
        <x:v>0.0011775812124895167</x:v>
      </x:c>
      <x:c r="L201" s="3"/>
    </x:row>
    <x:row r="202" ht="22" customHeight="1">
      <x:c r="A202" s="3"/>
      <x:c r="B202" s="3" t="str">
        <x:v>21936</x:v>
      </x:c>
      <x:c r="C202" s="3" t="str">
        <x:v>RED RETROSPOT PICNIC BAG</x:v>
      </x:c>
      <x:c r="D202" s="13" t="n">
        <x:v>11671.09</x:v>
      </x:c>
      <x:c r="E202" s="13" t="n">
        <x:v>157.1</x:v>
      </x:c>
      <x:c r="F202" s="13" t="n">
        <x:f>D202-E202</x:f>
        <x:v>11513.99</x:v>
      </x:c>
      <x:c r="G202" s="3" t="n">
        <x:v>3987</x:v>
      </x:c>
      <x:c r="H202" s="3" t="n">
        <x:v>56</x:v>
      </x:c>
      <x:c r="I202" s="3" t="n">
        <x:v>531</x:v>
      </x:c>
      <x:c r="J202" s="15" t="n">
        <x:f>IF(D202=0,"n.a.",E202/D202)</x:f>
        <x:v>0.01346061079127999</x:v>
      </x:c>
      <x:c r="K202" s="15" t="n">
        <x:f>F202/'Datos'!$F$7</x:f>
        <x:v>0.0011757717029644494</x:v>
      </x:c>
      <x:c r="L202" s="3"/>
    </x:row>
    <x:row r="203" ht="22" customHeight="1">
      <x:c r="A203" s="3"/>
      <x:c r="B203" s="3" t="str">
        <x:v>21108</x:v>
      </x:c>
      <x:c r="C203" s="3" t="str">
        <x:v>FAIRY CAKE FLANNEL ASSORTED COLOUR</x:v>
      </x:c>
      <x:c r="D203" s="13" t="n">
        <x:v>18069.28</x:v>
      </x:c>
      <x:c r="E203" s="13" t="n">
        <x:v>6591.42</x:v>
      </x:c>
      <x:c r="F203" s="13" t="n">
        <x:f>D203-E203</x:f>
        <x:v>11477.859999999999</x:v>
      </x:c>
      <x:c r="G203" s="3" t="n">
        <x:v>10253</x:v>
      </x:c>
      <x:c r="H203" s="3" t="n">
        <x:v>3150</x:v>
      </x:c>
      <x:c r="I203" s="3" t="n">
        <x:v>262</x:v>
      </x:c>
      <x:c r="J203" s="15" t="n">
        <x:f>IF(D203=0,"n.a.",E203/D203)</x:f>
        <x:v>0.3647859792974596</x:v>
      </x:c>
      <x:c r="K203" s="15" t="n">
        <x:f>F203/'Datos'!$F$7</x:f>
        <x:v>0.0011720822233289706</x:v>
      </x:c>
      <x:c r="L203" s="3"/>
    </x:row>
    <x:row r="204" ht="22" customHeight="1">
      <x:c r="A204" s="3"/>
      <x:c r="B204" s="3" t="str">
        <x:v>21217</x:v>
      </x:c>
      <x:c r="C204" s="3" t="str">
        <x:v>RED RETROSPOT ROUND CAKE TINS</x:v>
      </x:c>
      <x:c r="D204" s="13" t="n">
        <x:v>11532.39</x:v>
      </x:c>
      <x:c r="E204" s="13" t="n">
        <x:v>89.55</x:v>
      </x:c>
      <x:c r="F204" s="13" t="n">
        <x:f>D204-E204</x:f>
        <x:v>11442.84</x:v>
      </x:c>
      <x:c r="G204" s="3" t="n">
        <x:v>1089</x:v>
      </x:c>
      <x:c r="H204" s="3" t="n">
        <x:v>9</x:v>
      </x:c>
      <x:c r="I204" s="3" t="n">
        <x:v>344</x:v>
      </x:c>
      <x:c r="J204" s="15" t="n">
        <x:f>IF(D204=0,"n.a.",E204/D204)</x:f>
        <x:v>0.007765085988247016</x:v>
      </x:c>
      <x:c r="K204" s="15" t="n">
        <x:f>F204/'Datos'!$F$7</x:f>
        <x:v>0.0011685060933307844</x:v>
      </x:c>
      <x:c r="L204" s="3"/>
    </x:row>
    <x:row r="205" ht="22" customHeight="1">
      <x:c r="A205" s="3"/>
      <x:c r="B205" s="3" t="str">
        <x:v>22568</x:v>
      </x:c>
      <x:c r="C205" s="3" t="str">
        <x:v>FELTCRAFT CUSHION OWL</x:v>
      </x:c>
      <x:c r="D205" s="13" t="n">
        <x:v>12440.14</x:v>
      </x:c>
      <x:c r="E205" s="13" t="n">
        <x:v>1028.82</x:v>
      </x:c>
      <x:c r="F205" s="13" t="n">
        <x:f>D205-E205</x:f>
        <x:v>11411.32</x:v>
      </x:c>
      <x:c r="G205" s="3" t="n">
        <x:v>3380</x:v>
      </x:c>
      <x:c r="H205" s="3" t="n">
        <x:v>302</x:v>
      </x:c>
      <x:c r="I205" s="3" t="n">
        <x:v>470</x:v>
      </x:c>
      <x:c r="J205" s="15" t="n">
        <x:f>IF(D205=0,"n.a.",E205/D205)</x:f>
        <x:v>0.08270164162139654</x:v>
      </x:c>
      <x:c r="K205" s="15" t="n">
        <x:f>F205/'Datos'!$F$7</x:f>
        <x:v>0.0011652873720988362</x:v>
      </x:c>
      <x:c r="L205" s="3"/>
    </x:row>
    <x:row r="206" ht="22" customHeight="1">
      <x:c r="A206" s="3"/>
      <x:c r="B206" s="3" t="str">
        <x:v>23581</x:v>
      </x:c>
      <x:c r="C206" s="3" t="str">
        <x:v>JUMBO BAG PAISLEY PARK</x:v>
      </x:c>
      <x:c r="D206" s="13" t="n">
        <x:v>11613.03</x:v>
      </x:c>
      <x:c r="E206" s="13" t="n">
        <x:v>224.76</x:v>
      </x:c>
      <x:c r="F206" s="13" t="n">
        <x:f>D206-E206</x:f>
        <x:v>11388.27</x:v>
      </x:c>
      <x:c r="G206" s="3" t="n">
        <x:v>5035</x:v>
      </x:c>
      <x:c r="H206" s="3" t="n">
        <x:v>122</x:v>
      </x:c>
      <x:c r="I206" s="3" t="n">
        <x:v>338</x:v>
      </x:c>
      <x:c r="J206" s="15" t="n">
        <x:f>IF(D206=0,"n.a.",E206/D206)</x:f>
        <x:v>0.019354122050834276</x:v>
      </x:c>
      <x:c r="K206" s="15" t="n">
        <x:f>F206/'Datos'!$F$7</x:f>
        <x:v>0.001162933580081184</x:v>
      </x:c>
      <x:c r="L206" s="3"/>
    </x:row>
    <x:row r="207" ht="22" customHeight="1">
      <x:c r="A207" s="3"/>
      <x:c r="B207" s="3" t="str">
        <x:v>21216</x:v>
      </x:c>
      <x:c r="C207" s="3" t="str">
        <x:v>SET 3 RETROSPOT TEA,COFFEE,SUGAR</x:v>
      </x:c>
      <x:c r="D207" s="13" t="n">
        <x:v>11407.56</x:v>
      </x:c>
      <x:c r="E207" s="13" t="n">
        <x:v>78.5</x:v>
      </x:c>
      <x:c r="F207" s="13" t="n">
        <x:f>D207-E207</x:f>
        <x:v>11329.06</x:v>
      </x:c>
      <x:c r="G207" s="3" t="n">
        <x:v>2133</x:v>
      </x:c>
      <x:c r="H207" s="3" t="n">
        <x:v>16</x:v>
      </x:c>
      <x:c r="I207" s="3" t="n">
        <x:v>430</x:v>
      </x:c>
      <x:c r="J207" s="15" t="n">
        <x:f>IF(D207=0,"n.a.",E207/D207)</x:f>
        <x:v>0.006881401456577919</x:v>
      </x:c>
      <x:c r="K207" s="15" t="n">
        <x:f>F207/'Datos'!$F$7</x:f>
        <x:v>0.001156887244924342</x:v>
      </x:c>
      <x:c r="L207" s="3"/>
    </x:row>
    <x:row r="208" ht="22" customHeight="1">
      <x:c r="A208" s="3"/>
      <x:c r="B208" s="3" t="str">
        <x:v>21080</x:v>
      </x:c>
      <x:c r="C208" s="3" t="str">
        <x:v>SET/20 RED RETROSPOT PAPER NAPKINS</x:v>
      </x:c>
      <x:c r="D208" s="13" t="n">
        <x:v>11319.36</x:v>
      </x:c>
      <x:c r="E208" s="13" t="n">
        <x:v>14.45</x:v>
      </x:c>
      <x:c r="F208" s="13" t="n">
        <x:f>D208-E208</x:f>
        <x:v>11304.91</x:v>
      </x:c>
      <x:c r="G208" s="3" t="n">
        <x:v>13210</x:v>
      </x:c>
      <x:c r="H208" s="3" t="n">
        <x:v>17</x:v>
      </x:c>
      <x:c r="I208" s="3" t="n">
        <x:v>986</x:v>
      </x:c>
      <x:c r="J208" s="15" t="n">
        <x:f>IF(D208=0,"n.a.",E208/D208)</x:f>
        <x:v>0.0012765739405761454</x:v>
      </x:c>
      <x:c r="K208" s="15" t="n">
        <x:f>F208/'Datos'!$F$7</x:f>
        <x:v>0.0011544211244373004</x:v>
      </x:c>
      <x:c r="L208" s="3"/>
    </x:row>
    <x:row r="209" ht="22" customHeight="1">
      <x:c r="A209" s="3"/>
      <x:c r="B209" s="3" t="str">
        <x:v>22730</x:v>
      </x:c>
      <x:c r="C209" s="3" t="str">
        <x:v>ALARM CLOCK BAKELIKE IVORY</x:v>
      </x:c>
      <x:c r="D209" s="13" t="n">
        <x:v>11479.65</x:v>
      </x:c>
      <x:c r="E209" s="13" t="n">
        <x:v>195</x:v>
      </x:c>
      <x:c r="F209" s="13" t="n">
        <x:f>D209-E209</x:f>
        <x:v>11284.65</x:v>
      </x:c>
      <x:c r="G209" s="3" t="n">
        <x:v>2892</x:v>
      </x:c>
      <x:c r="H209" s="3" t="n">
        <x:v>52</x:v>
      </x:c>
      <x:c r="I209" s="3" t="n">
        <x:v>570</x:v>
      </x:c>
      <x:c r="J209" s="15" t="n">
        <x:f>IF(D209=0,"n.a.",E209/D209)</x:f>
        <x:v>0.016986580601324953</x:v>
      </x:c>
      <x:c r="K209" s="15" t="n">
        <x:f>F209/'Datos'!$F$7</x:f>
        <x:v>0.0011523522382647347</x:v>
      </x:c>
      <x:c r="L209" s="3"/>
    </x:row>
    <x:row r="210" ht="22" customHeight="1">
      <x:c r="A210" s="3"/>
      <x:c r="B210" s="3" t="str">
        <x:v>85014B</x:v>
      </x:c>
      <x:c r="C210" s="3" t="str">
        <x:v>RED RETROSPOT UMBRELLA</x:v>
      </x:c>
      <x:c r="D210" s="13" t="n">
        <x:v>11295.01</x:v>
      </x:c>
      <x:c r="E210" s="13" t="n">
        <x:v>11.9</x:v>
      </x:c>
      <x:c r="F210" s="13" t="n">
        <x:f>D210-E210</x:f>
        <x:v>11283.11</x:v>
      </x:c>
      <x:c r="G210" s="3" t="n">
        <x:v>1940</x:v>
      </x:c>
      <x:c r="H210" s="3" t="n">
        <x:v>2</x:v>
      </x:c>
      <x:c r="I210" s="3" t="n">
        <x:v>373</x:v>
      </x:c>
      <x:c r="J210" s="15" t="n">
        <x:f>IF(D210=0,"n.a.",E210/D210)</x:f>
        <x:v>0.0010535625909140409</x:v>
      </x:c>
      <x:c r="K210" s="15" t="n">
        <x:f>F210/'Datos'!$F$7</x:f>
        <x:v>0.0011521949784075902</x:v>
      </x:c>
      <x:c r="L210" s="3"/>
    </x:row>
    <x:row r="211" ht="22" customHeight="1">
      <x:c r="A211" s="3"/>
      <x:c r="B211" s="3" t="str">
        <x:v>22041</x:v>
      </x:c>
      <x:c r="C211" s="3" t="str">
        <x:v>RECORD FRAME 7" SINGLE SIZE</x:v>
      </x:c>
      <x:c r="D211" s="13" t="n">
        <x:v>11354.56</x:v>
      </x:c>
      <x:c r="E211" s="13" t="n">
        <x:v>93.75</x:v>
      </x:c>
      <x:c r="F211" s="13" t="n">
        <x:f>D211-E211</x:f>
        <x:v>11260.81</x:v>
      </x:c>
      <x:c r="G211" s="3" t="n">
        <x:v>4374</x:v>
      </x:c>
      <x:c r="H211" s="3" t="n">
        <x:v>38</x:v>
      </x:c>
      <x:c r="I211" s="3" t="n">
        <x:v>361</x:v>
      </x:c>
      <x:c r="J211" s="15" t="n">
        <x:f>IF(D211=0,"n.a.",E211/D211)</x:f>
        <x:v>0.008256594707324635</x:v>
      </x:c>
      <x:c r="K211" s="15" t="n">
        <x:f>F211/'Datos'!$F$7</x:f>
        <x:v>0.0011499177739827029</x:v>
      </x:c>
      <x:c r="L211" s="3"/>
    </x:row>
    <x:row r="212" ht="22" customHeight="1">
      <x:c r="A212" s="3"/>
      <x:c r="B212" s="3" t="str">
        <x:v>21481</x:v>
      </x:c>
      <x:c r="C212" s="3" t="str">
        <x:v>FAWN BLUE HOT WATER BOTTLE</x:v>
      </x:c>
      <x:c r="D212" s="13" t="n">
        <x:v>11466.37</x:v>
      </x:c>
      <x:c r="E212" s="13" t="n">
        <x:v>239.6</x:v>
      </x:c>
      <x:c r="F212" s="13" t="n">
        <x:f>D212-E212</x:f>
        <x:v>11226.77</x:v>
      </x:c>
      <x:c r="G212" s="3" t="n">
        <x:v>3313</x:v>
      </x:c>
      <x:c r="H212" s="3" t="n">
        <x:v>88</x:v>
      </x:c>
      <x:c r="I212" s="3" t="n">
        <x:v>490</x:v>
      </x:c>
      <x:c r="J212" s="15" t="n">
        <x:f>IF(D212=0,"n.a.",E212/D212)</x:f>
        <x:v>0.020895889457605153</x:v>
      </x:c>
      <x:c r="K212" s="15" t="n">
        <x:f>F212/'Datos'!$F$7</x:f>
        <x:v>0.0011464417184390634</x:v>
      </x:c>
      <x:c r="L212" s="3"/>
    </x:row>
    <x:row r="213" ht="22" customHeight="1">
      <x:c r="A213" s="3"/>
      <x:c r="B213" s="3" t="str">
        <x:v>22356</x:v>
      </x:c>
      <x:c r="C213" s="3" t="str">
        <x:v>CHARLOTTE BAG PINK POLKADOT</x:v>
      </x:c>
      <x:c r="D213" s="13" t="n">
        <x:v>11420.29</x:v>
      </x:c>
      <x:c r="E213" s="13" t="n">
        <x:v>201.53</x:v>
      </x:c>
      <x:c r="F213" s="13" t="n">
        <x:f>D213-E213</x:f>
        <x:v>11218.76</x:v>
      </x:c>
      <x:c r="G213" s="3" t="n">
        <x:v>9719</x:v>
      </x:c>
      <x:c r="H213" s="3" t="n">
        <x:v>266</x:v>
      </x:c>
      <x:c r="I213" s="3" t="n">
        <x:v>742</x:v>
      </x:c>
      <x:c r="J213" s="15" t="n">
        <x:f>IF(D213=0,"n.a.",E213/D213)</x:f>
        <x:v>0.01764666221260581</x:v>
      </x:c>
      <x:c r="K213" s="15" t="n">
        <x:f>F213/'Datos'!$F$7</x:f>
        <x:v>0.0011456237629483303</x:v>
      </x:c>
      <x:c r="L213" s="3"/>
    </x:row>
    <x:row r="214" ht="22" customHeight="1">
      <x:c r="A214" s="3"/>
      <x:c r="B214" s="3" t="str">
        <x:v>22149</x:v>
      </x:c>
      <x:c r="C214" s="3" t="str">
        <x:v>FELTCRAFT 6 FLOWER FRIENDS</x:v>
      </x:c>
      <x:c r="D214" s="13" t="n">
        <x:v>12373.88</x:v>
      </x:c>
      <x:c r="E214" s="13" t="n">
        <x:v>1158.3</x:v>
      </x:c>
      <x:c r="F214" s="13" t="n">
        <x:f>D214-E214</x:f>
        <x:v>11215.58</x:v>
      </x:c>
      <x:c r="G214" s="3" t="n">
        <x:v>6078</x:v>
      </x:c>
      <x:c r="H214" s="3" t="n">
        <x:v>623</x:v>
      </x:c>
      <x:c r="I214" s="3" t="n">
        <x:v>547</x:v>
      </x:c>
      <x:c r="J214" s="15" t="n">
        <x:f>IF(D214=0,"n.a.",E214/D214)</x:f>
        <x:v>0.09360847203948963</x:v>
      </x:c>
      <x:c r="K214" s="15" t="n">
        <x:f>F214/'Datos'!$F$7</x:f>
        <x:v>0.0011452990315550056</x:v>
      </x:c>
      <x:c r="L214" s="3"/>
    </x:row>
    <x:row r="215" ht="22" customHeight="1">
      <x:c r="A215" s="3"/>
      <x:c r="B215" s="3" t="str">
        <x:v>22605</x:v>
      </x:c>
      <x:c r="C215" s="3" t="str">
        <x:v>WOODEN CROQUET GARDEN SET</x:v>
      </x:c>
      <x:c r="D215" s="13" t="n">
        <x:v>11276.21</x:v>
      </x:c>
      <x:c r="E215" s="13" t="n">
        <x:v>97</x:v>
      </x:c>
      <x:c r="F215" s="13" t="n">
        <x:f>D215-E215</x:f>
        <x:v>11179.21</x:v>
      </x:c>
      <x:c r="G215" s="3" t="n">
        <x:v>782</x:v>
      </x:c>
      <x:c r="H215" s="3" t="n">
        <x:v>8</x:v>
      </x:c>
      <x:c r="I215" s="3" t="n">
        <x:v>299</x:v>
      </x:c>
      <x:c r="J215" s="15" t="n">
        <x:f>IF(D215=0,"n.a.",E215/D215)</x:f>
        <x:v>0.00860218105196693</x:v>
      </x:c>
      <x:c r="K215" s="15" t="n">
        <x:f>F215/'Datos'!$F$7</x:f>
        <x:v>0.001141585043889842</x:v>
      </x:c>
      <x:c r="L215" s="3"/>
    </x:row>
    <x:row r="216" ht="22" customHeight="1">
      <x:c r="A216" s="3"/>
      <x:c r="B216" s="3" t="str">
        <x:v>22662</x:v>
      </x:c>
      <x:c r="C216" s="3" t="str">
        <x:v>LUNCH BAG DOLLY GIRL DESIGN</x:v>
      </x:c>
      <x:c r="D216" s="13" t="n">
        <x:v>11090.58</x:v>
      </x:c>
      <x:c r="E216" s="13" t="n">
        <x:v>28.05</x:v>
      </x:c>
      <x:c r="F216" s="13" t="n">
        <x:f>D216-E216</x:f>
        <x:v>11062.53</x:v>
      </x:c>
      <x:c r="G216" s="3" t="n">
        <x:v>6724</x:v>
      </x:c>
      <x:c r="H216" s="3" t="n">
        <x:v>17</x:v>
      </x:c>
      <x:c r="I216" s="3" t="n">
        <x:v>682</x:v>
      </x:c>
      <x:c r="J216" s="15" t="n">
        <x:f>IF(D216=0,"n.a.",E216/D216)</x:f>
        <x:v>0.002529173406620754</x:v>
      </x:c>
      <x:c r="K216" s="15" t="n">
        <x:f>F216/'Datos'!$F$7</x:f>
        <x:v>0.0011296700567913738</x:v>
      </x:c>
      <x:c r="L216" s="3"/>
    </x:row>
    <x:row r="217" ht="22" customHeight="1">
      <x:c r="A217" s="3"/>
      <x:c r="B217" s="3" t="str">
        <x:v>20971</x:v>
      </x:c>
      <x:c r="C217" s="3" t="str">
        <x:v>PINK BLUE FELT CRAFT TRINKET BOX</x:v>
      </x:c>
      <x:c r="D217" s="13" t="n">
        <x:v>13838.1</x:v>
      </x:c>
      <x:c r="E217" s="13" t="n">
        <x:v>2778.77</x:v>
      </x:c>
      <x:c r="F217" s="13" t="n">
        <x:f>D217-E217</x:f>
        <x:v>11059.33</x:v>
      </x:c>
      <x:c r="G217" s="3" t="n">
        <x:v>11001</x:v>
      </x:c>
      <x:c r="H217" s="3" t="n">
        <x:v>2617</x:v>
      </x:c>
      <x:c r="I217" s="3" t="n">
        <x:v>522</x:v>
      </x:c>
      <x:c r="J217" s="15" t="n">
        <x:f>IF(D217=0,"n.a.",E217/D217)</x:f>
        <x:v>0.20080574645363164</x:v>
      </x:c>
      <x:c r="K217" s="15" t="n">
        <x:f>F217/'Datos'!$F$7</x:f>
        <x:v>0.001129343283062242</x:v>
      </x:c>
      <x:c r="L217" s="3"/>
    </x:row>
    <x:row r="218" ht="22" customHeight="1">
      <x:c r="A218" s="3"/>
      <x:c r="B218" s="3" t="str">
        <x:v>22413</x:v>
      </x:c>
      <x:c r="C218" s="3" t="str">
        <x:v>METAL SIGN TAKE IT OR LEAVE IT</x:v>
      </x:c>
      <x:c r="D218" s="13" t="n">
        <x:v>11104.79</x:v>
      </x:c>
      <x:c r="E218" s="13" t="n">
        <x:v>53.1</x:v>
      </x:c>
      <x:c r="F218" s="13" t="n">
        <x:f>D218-E218</x:f>
        <x:v>11051.69</x:v>
      </x:c>
      <x:c r="G218" s="3" t="n">
        <x:v>3777</x:v>
      </x:c>
      <x:c r="H218" s="3" t="n">
        <x:v>18</x:v>
      </x:c>
      <x:c r="I218" s="3" t="n">
        <x:v>412</x:v>
      </x:c>
      <x:c r="J218" s="15" t="n">
        <x:f>IF(D218=0,"n.a.",E218/D218)</x:f>
        <x:v>0.004781720320690441</x:v>
      </x:c>
      <x:c r="K218" s="15" t="n">
        <x:f>F218/'Datos'!$F$7</x:f>
        <x:v>0.00112856311078394</x:v>
      </x:c>
      <x:c r="L218" s="3"/>
    </x:row>
    <x:row r="219" ht="22" customHeight="1">
      <x:c r="A219" s="3"/>
      <x:c r="B219" s="3" t="str">
        <x:v>21340</x:v>
      </x:c>
      <x:c r="C219" s="3" t="str">
        <x:v>CLASSIC METAL BIRDCAGE PLANT HOLDER</x:v>
      </x:c>
      <x:c r="D219" s="13" t="n">
        <x:v>11338.27</x:v>
      </x:c>
      <x:c r="E219" s="13" t="n">
        <x:v>298.2</x:v>
      </x:c>
      <x:c r="F219" s="13" t="n">
        <x:f>D219-E219</x:f>
        <x:v>11040.07</x:v>
      </x:c>
      <x:c r="G219" s="3" t="n">
        <x:v>978</x:v>
      </x:c>
      <x:c r="H219" s="3" t="n">
        <x:v>28</x:v>
      </x:c>
      <x:c r="I219" s="3" t="n">
        <x:v>290</x:v>
      </x:c>
      <x:c r="J219" s="15" t="n">
        <x:f>IF(D219=0,"n.a.",E219/D219)</x:f>
        <x:v>0.02630030860087121</x:v>
      </x:c>
      <x:c r="K219" s="15" t="n">
        <x:f>F219/'Datos'!$F$7</x:f>
        <x:v>0.00112737651368003</x:v>
      </x:c>
      <x:c r="L219" s="3"/>
    </x:row>
    <x:row r="220" ht="22" customHeight="1">
      <x:c r="A220" s="3"/>
      <x:c r="B220" s="3" t="str">
        <x:v>20711</x:v>
      </x:c>
      <x:c r="C220" s="3" t="str">
        <x:v>JUMBO BAG TOYS</x:v>
      </x:c>
      <x:c r="D220" s="13" t="n">
        <x:v>11014.62</x:v>
      </x:c>
      <x:c r="E220" s="13" t="n">
        <x:v>40.31</x:v>
      </x:c>
      <x:c r="F220" s="13" t="n">
        <x:f>D220-E220</x:f>
        <x:v>10974.310000000001</x:v>
      </x:c>
      <x:c r="G220" s="3" t="n">
        <x:v>5007</x:v>
      </x:c>
      <x:c r="H220" s="3" t="n">
        <x:v>22</x:v>
      </x:c>
      <x:c r="I220" s="3" t="n">
        <x:v>522</x:v>
      </x:c>
      <x:c r="J220" s="15" t="n">
        <x:f>IF(D220=0,"n.a.",E220/D220)</x:f>
        <x:v>0.0036596814052595548</x:v>
      </x:c>
      <x:c r="K220" s="15" t="n">
        <x:f>F220/'Datos'!$F$7</x:f>
        <x:v>0.0011206613135463716</x:v>
      </x:c>
      <x:c r="L220" s="3"/>
    </x:row>
    <x:row r="221" ht="22" customHeight="1">
      <x:c r="A221" s="3"/>
      <x:c r="B221" s="3" t="str">
        <x:v>22988</x:v>
      </x:c>
      <x:c r="C221" s="3" t="str">
        <x:v>SOLDIERS EGG CUP</x:v>
      </x:c>
      <x:c r="D221" s="13" t="n">
        <x:v>10938.31</x:v>
      </x:c>
      <x:c r="E221" s="13" t="n">
        <x:v>132.78</x:v>
      </x:c>
      <x:c r="F221" s="13" t="n">
        <x:f>D221-E221</x:f>
        <x:v>10805.529999999999</x:v>
      </x:c>
      <x:c r="G221" s="3" t="n">
        <x:v>9137</x:v>
      </x:c>
      <x:c r="H221" s="3" t="n">
        <x:v>112</x:v>
      </x:c>
      <x:c r="I221" s="3" t="n">
        <x:v>418</x:v>
      </x:c>
      <x:c r="J221" s="15" t="n">
        <x:f>IF(D221=0,"n.a.",E221/D221)</x:f>
        <x:v>0.012138986735610894</x:v>
      </x:c>
      <x:c r="K221" s="15" t="n">
        <x:f>F221/'Datos'!$F$7</x:f>
        <x:v>0.0011034260416704761</x:v>
      </x:c>
      <x:c r="L221" s="3"/>
    </x:row>
    <x:row r="222" ht="22" customHeight="1">
      <x:c r="A222" s="3"/>
      <x:c r="B222" s="3" t="str">
        <x:v>84997A</x:v>
      </x:c>
      <x:c r="C222" s="3" t="str">
        <x:v>CHILDRENS CUTLERY POLKADOT GREEN</x:v>
      </x:c>
      <x:c r="D222" s="13" t="n">
        <x:v>10812.62</x:v>
      </x:c>
      <x:c r="E222" s="13" t="n">
        <x:v>49.95</x:v>
      </x:c>
      <x:c r="F222" s="13" t="n">
        <x:f>D222-E222</x:f>
        <x:v>10762.67</x:v>
      </x:c>
      <x:c r="G222" s="3" t="n">
        <x:v>2679</x:v>
      </x:c>
      <x:c r="H222" s="3" t="n">
        <x:v>13</x:v>
      </x:c>
      <x:c r="I222" s="3" t="n">
        <x:v>325</x:v>
      </x:c>
      <x:c r="J222" s="15" t="n">
        <x:f>IF(D222=0,"n.a.",E222/D222)</x:f>
        <x:v>0.004619601909620425</x:v>
      </x:c>
      <x:c r="K222" s="15" t="n">
        <x:f>F222/'Datos'!$F$7</x:f>
        <x:v>0.0010990493160359172</x:v>
      </x:c>
      <x:c r="L222" s="3"/>
    </x:row>
    <x:row r="223" ht="22" customHeight="1">
      <x:c r="A223" s="3"/>
      <x:c r="B223" s="3" t="str">
        <x:v>71459</x:v>
      </x:c>
      <x:c r="C223" s="3" t="str">
        <x:v>HANGING JAM JAR T-LIGHT HOLDER</x:v>
      </x:c>
      <x:c r="D223" s="13" t="n">
        <x:v>10858.89</x:v>
      </x:c>
      <x:c r="E223" s="13" t="n">
        <x:v>105.88</x:v>
      </x:c>
      <x:c r="F223" s="13" t="n">
        <x:f>D223-E223</x:f>
        <x:v>10753.01</x:v>
      </x:c>
      <x:c r="G223" s="3" t="n">
        <x:v>13605</x:v>
      </x:c>
      <x:c r="H223" s="3" t="n">
        <x:v>129</x:v>
      </x:c>
      <x:c r="I223" s="3" t="n">
        <x:v>440</x:v>
      </x:c>
      <x:c r="J223" s="15" t="n">
        <x:f>IF(D223=0,"n.a.",E223/D223)</x:f>
        <x:v>0.009750536196609413</x:v>
      </x:c>
      <x:c r="K223" s="15" t="n">
        <x:f>F223/'Datos'!$F$7</x:f>
        <x:v>0.0010980628678411005</x:v>
      </x:c>
      <x:c r="L223" s="3"/>
    </x:row>
    <x:row r="224" ht="22" customHeight="1">
      <x:c r="A224" s="3"/>
      <x:c r="B224" s="3" t="str">
        <x:v>22617</x:v>
      </x:c>
      <x:c r="C224" s="3" t="str">
        <x:v>BAKING SET SPACEBOY DESIGN</x:v>
      </x:c>
      <x:c r="D224" s="13" t="n">
        <x:v>10745.05</x:v>
      </x:c>
      <x:c r="E224" s="13" t="n">
        <x:v>142.15</x:v>
      </x:c>
      <x:c r="F224" s="13" t="n">
        <x:f>D224-E224</x:f>
        <x:v>10602.9</x:v>
      </x:c>
      <x:c r="G224" s="3" t="n">
        <x:v>2209</x:v>
      </x:c>
      <x:c r="H224" s="3" t="n">
        <x:v>29</x:v>
      </x:c>
      <x:c r="I224" s="3" t="n">
        <x:v>464</x:v>
      </x:c>
      <x:c r="J224" s="15" t="n">
        <x:f>IF(D224=0,"n.a.",E224/D224)</x:f>
        <x:v>0.013229347466973166</x:v>
      </x:c>
      <x:c r="K224" s="15" t="n">
        <x:f>F224/'Datos'!$F$7</x:f>
        <x:v>0.0010827341164411086</x:v>
      </x:c>
      <x:c r="L224" s="3"/>
    </x:row>
    <x:row r="225" ht="22" customHeight="1">
      <x:c r="A225" s="3"/>
      <x:c r="B225" s="3" t="str">
        <x:v>85048</x:v>
      </x:c>
      <x:c r="C225" s="3" t="str">
        <x:v>15CM CHRISTMAS GLASS BALL 20 LIGHTS</x:v>
      </x:c>
      <x:c r="D225" s="13" t="n">
        <x:v>10910.61</x:v>
      </x:c>
      <x:c r="E225" s="13" t="n">
        <x:v>307.95</x:v>
      </x:c>
      <x:c r="F225" s="13" t="n">
        <x:f>D225-E225</x:f>
        <x:v>10602.66</x:v>
      </x:c>
      <x:c r="G225" s="3" t="n">
        <x:v>1359</x:v>
      </x:c>
      <x:c r="H225" s="3" t="n">
        <x:v>41</x:v>
      </x:c>
      <x:c r="I225" s="3" t="n">
        <x:v>261</x:v>
      </x:c>
      <x:c r="J225" s="15" t="n">
        <x:f>IF(D225=0,"n.a.",E225/D225)</x:f>
        <x:v>0.02822481969385763</x:v>
      </x:c>
      <x:c r="K225" s="15" t="n">
        <x:f>F225/'Datos'!$F$7</x:f>
        <x:v>0.0010827096084114237</x:v>
      </x:c>
      <x:c r="L225" s="3"/>
    </x:row>
    <x:row r="226" ht="22" customHeight="1">
      <x:c r="A226" s="3"/>
      <x:c r="B226" s="3" t="str">
        <x:v>22734</x:v>
      </x:c>
      <x:c r="C226" s="3" t="str">
        <x:v>SET OF 6 RIBBONS VINTAGE CHRISTMAS</x:v>
      </x:c>
      <x:c r="D226" s="13" t="n">
        <x:v>10621.6</x:v>
      </x:c>
      <x:c r="E226" s="13" t="n">
        <x:v>86.7</x:v>
      </x:c>
      <x:c r="F226" s="13" t="n">
        <x:f>D226-E226</x:f>
        <x:v>10534.9</x:v>
      </x:c>
      <x:c r="G226" s="3" t="n">
        <x:v>3265</x:v>
      </x:c>
      <x:c r="H226" s="3" t="n">
        <x:v>30</x:v>
      </x:c>
      <x:c r="I226" s="3" t="n">
        <x:v>422</x:v>
      </x:c>
      <x:c r="J226" s="15" t="n">
        <x:f>IF(D226=0,"n.a.",E226/D226)</x:f>
        <x:v>0.008162612035851472</x:v>
      </x:c>
      <x:c r="K226" s="15" t="n">
        <x:f>F226/'Datos'!$F$7</x:f>
        <x:v>0.001075790174697058</x:v>
      </x:c>
      <x:c r="L226" s="3"/>
    </x:row>
    <x:row r="227" ht="22" customHeight="1">
      <x:c r="A227" s="3"/>
      <x:c r="B227" s="3" t="str">
        <x:v>21791</x:v>
      </x:c>
      <x:c r="C227" s="3" t="str">
        <x:v>VINTAGE HEADS AND TAILS CARD GAME</x:v>
      </x:c>
      <x:c r="D227" s="13" t="n">
        <x:v>10535.65</x:v>
      </x:c>
      <x:c r="E227" s="13" t="n">
        <x:v>45</x:v>
      </x:c>
      <x:c r="F227" s="13" t="n">
        <x:f>D227-E227</x:f>
        <x:v>10490.65</x:v>
      </x:c>
      <x:c r="G227" s="3" t="n">
        <x:v>7889</x:v>
      </x:c>
      <x:c r="H227" s="3" t="n">
        <x:v>36</x:v>
      </x:c>
      <x:c r="I227" s="3" t="n">
        <x:v>607</x:v>
      </x:c>
      <x:c r="J227" s="15" t="n">
        <x:f>IF(D227=0,"n.a.",E227/D227)</x:f>
        <x:v>0.0042712125023135735</x:v>
      </x:c>
      <x:c r="K227" s="15" t="n">
        <x:f>F227/'Datos'!$F$7</x:f>
        <x:v>0.0010712715067239071</x:v>
      </x:c>
      <x:c r="L227" s="3"/>
    </x:row>
    <x:row r="228" ht="22" customHeight="1">
      <x:c r="A228" s="3"/>
      <x:c r="B228" s="3" t="str">
        <x:v>84755</x:v>
      </x:c>
      <x:c r="C228" s="3" t="str">
        <x:v>COLOUR GLASS T-LIGHT HOLDER HANGING</x:v>
      </x:c>
      <x:c r="D228" s="13" t="n">
        <x:v>10518.25</x:v>
      </x:c>
      <x:c r="E228" s="13" t="n">
        <x:v>44.85</x:v>
      </x:c>
      <x:c r="F228" s="13" t="n">
        <x:f>D228-E228</x:f>
        <x:v>10473.4</x:v>
      </x:c>
      <x:c r="G228" s="3" t="n">
        <x:v>16449</x:v>
      </x:c>
      <x:c r="H228" s="3" t="n">
        <x:v>69</x:v>
      </x:c>
      <x:c r="I228" s="3" t="n">
        <x:v>621</x:v>
      </x:c>
      <x:c r="J228" s="15" t="n">
        <x:f>IF(D228=0,"n.a.",E228/D228)</x:f>
        <x:v>0.004264017303258622</x:v>
      </x:c>
      <x:c r="K228" s="15" t="n">
        <x:f>F228/'Datos'!$F$7</x:f>
        <x:v>0.0010695099920903061</x:v>
      </x:c>
      <x:c r="L228" s="3"/>
    </x:row>
    <x:row r="229" ht="22" customHeight="1">
      <x:c r="A229" s="3"/>
      <x:c r="B229" s="3" t="str">
        <x:v>21891</x:v>
      </x:c>
      <x:c r="C229" s="3" t="str">
        <x:v>TRADITIONAL WOODEN SKIPPING ROPE</x:v>
      </x:c>
      <x:c r="D229" s="13" t="n">
        <x:v>10526</x:v>
      </x:c>
      <x:c r="E229" s="13" t="n">
        <x:v>59.32</x:v>
      </x:c>
      <x:c r="F229" s="13" t="n">
        <x:f>D229-E229</x:f>
        <x:v>10466.68</x:v>
      </x:c>
      <x:c r="G229" s="3" t="n">
        <x:v>8145</x:v>
      </x:c>
      <x:c r="H229" s="3" t="n">
        <x:v>46</x:v>
      </x:c>
      <x:c r="I229" s="3" t="n">
        <x:v>425</x:v>
      </x:c>
      <x:c r="J229" s="15" t="n">
        <x:f>IF(D229=0,"n.a.",E229/D229)</x:f>
        <x:v>0.005635569067072012</x:v>
      </x:c>
      <x:c r="K229" s="15" t="n">
        <x:f>F229/'Datos'!$F$7</x:f>
        <x:v>0.0010688237672591295</x:v>
      </x:c>
      <x:c r="L229" s="3"/>
    </x:row>
    <x:row r="230" ht="22" customHeight="1">
      <x:c r="A230" s="3"/>
      <x:c r="B230" s="3" t="str">
        <x:v>22570</x:v>
      </x:c>
      <x:c r="C230" s="3" t="str">
        <x:v>FELTCRAFT CUSHION RABBIT</x:v>
      </x:c>
      <x:c r="D230" s="13" t="n">
        <x:v>11227.47</x:v>
      </x:c>
      <x:c r="E230" s="13" t="n">
        <x:v>832.35</x:v>
      </x:c>
      <x:c r="F230" s="13" t="n">
        <x:f>D230-E230</x:f>
        <x:v>10395.119999999999</x:v>
      </x:c>
      <x:c r="G230" s="3" t="n">
        <x:v>3092</x:v>
      </x:c>
      <x:c r="H230" s="3" t="n">
        <x:v>245</x:v>
      </x:c>
      <x:c r="I230" s="3" t="n">
        <x:v>386</x:v>
      </x:c>
      <x:c r="J230" s="15" t="n">
        <x:f>IF(D230=0,"n.a.",E230/D230)</x:f>
        <x:v>0.07413513462961825</x:v>
      </x:c>
      <x:c r="K230" s="15" t="n">
        <x:f>F230/'Datos'!$F$7</x:f>
        <x:v>0.0010615162897414194</x:v>
      </x:c>
      <x:c r="L230" s="3"/>
    </x:row>
    <x:row r="231" ht="22" customHeight="1">
      <x:c r="A231" s="3"/>
      <x:c r="B231" s="3" t="str">
        <x:v>23208</x:v>
      </x:c>
      <x:c r="C231" s="3" t="str">
        <x:v>LUNCH BAG VINTAGE LEAF DESIGN</x:v>
      </x:c>
      <x:c r="D231" s="13" t="n">
        <x:v>10498.01</x:v>
      </x:c>
      <x:c r="E231" s="13" t="n">
        <x:v>109.85</x:v>
      </x:c>
      <x:c r="F231" s="13" t="n">
        <x:f>D231-E231</x:f>
        <x:v>10388.16</x:v>
      </x:c>
      <x:c r="G231" s="3" t="n">
        <x:v>6342</x:v>
      </x:c>
      <x:c r="H231" s="3" t="n">
        <x:v>73</x:v>
      </x:c>
      <x:c r="I231" s="3" t="n">
        <x:v>668</x:v>
      </x:c>
      <x:c r="J231" s="15" t="n">
        <x:f>IF(D231=0,"n.a.",E231/D231)</x:f>
        <x:v>0.010463887917805373</x:v>
      </x:c>
      <x:c r="K231" s="15" t="n">
        <x:f>F231/'Datos'!$F$7</x:f>
        <x:v>0.001060805556880558</x:v>
      </x:c>
      <x:c r="L231" s="3"/>
    </x:row>
    <x:row r="232" ht="22" customHeight="1">
      <x:c r="A232" s="3"/>
      <x:c r="B232" s="3" t="str">
        <x:v>47590A</x:v>
      </x:c>
      <x:c r="C232" s="3" t="str">
        <x:v>BLUE HAPPY BIRTHDAY BUNTING</x:v>
      </x:c>
      <x:c r="D232" s="13" t="n">
        <x:v>10502.65</x:v>
      </x:c>
      <x:c r="E232" s="13" t="n">
        <x:v>114.8</x:v>
      </x:c>
      <x:c r="F232" s="13" t="n">
        <x:f>D232-E232</x:f>
        <x:v>10387.85</x:v>
      </x:c>
      <x:c r="G232" s="3" t="n">
        <x:v>1992</x:v>
      </x:c>
      <x:c r="H232" s="3" t="n">
        <x:v>24</x:v>
      </x:c>
      <x:c r="I232" s="3" t="n">
        <x:v>390</x:v>
      </x:c>
      <x:c r="J232" s="15" t="n">
        <x:f>IF(D232=0,"n.a.",E232/D232)</x:f>
        <x:v>0.010930574664489438</x:v>
      </x:c>
      <x:c r="K232" s="15" t="n">
        <x:f>F232/'Datos'!$F$7</x:f>
        <x:v>0.0010607739006755483</x:v>
      </x:c>
      <x:c r="L232" s="3"/>
    </x:row>
    <x:row r="233" ht="22" customHeight="1">
      <x:c r="A233" s="3"/>
      <x:c r="B233" s="3" t="str">
        <x:v>21914</x:v>
      </x:c>
      <x:c r="C233" s="3" t="str">
        <x:v>BLUE HARMONICA IN BOX</x:v>
      </x:c>
      <x:c r="D233" s="13" t="n">
        <x:v>10343.56</x:v>
      </x:c>
      <x:c r="E233" s="13" t="n">
        <x:v>45</x:v>
      </x:c>
      <x:c r="F233" s="13" t="n">
        <x:f>D233-E233</x:f>
        <x:v>10298.56</x:v>
      </x:c>
      <x:c r="G233" s="3" t="n">
        <x:v>7879</x:v>
      </x:c>
      <x:c r="H233" s="3" t="n">
        <x:v>36</x:v>
      </x:c>
      <x:c r="I233" s="3" t="n">
        <x:v>603</x:v>
      </x:c>
      <x:c r="J233" s="15" t="n">
        <x:f>IF(D233=0,"n.a.",E233/D233)</x:f>
        <x:v>0.004350533085320721</x:v>
      </x:c>
      <x:c r="K233" s="15" t="n">
        <x:f>F233/'Datos'!$F$7</x:f>
        <x:v>0.0010516558924648675</x:v>
      </x:c>
      <x:c r="L233" s="3"/>
    </x:row>
    <x:row r="234" ht="22" customHeight="1">
      <x:c r="A234" s="3"/>
      <x:c r="B234" s="3" t="str">
        <x:v>22846</x:v>
      </x:c>
      <x:c r="C234" s="3" t="str">
        <x:v>BREAD BIN DINER STYLE RED</x:v>
      </x:c>
      <x:c r="D234" s="13" t="n">
        <x:v>10676.62</x:v>
      </x:c>
      <x:c r="E234" s="13" t="n">
        <x:v>416.7</x:v>
      </x:c>
      <x:c r="F234" s="13" t="n">
        <x:f>D234-E234</x:f>
        <x:v>10259.92</x:v>
      </x:c>
      <x:c r="G234" s="3" t="n">
        <x:v>665</x:v>
      </x:c>
      <x:c r="H234" s="3" t="n">
        <x:v>26</x:v>
      </x:c>
      <x:c r="I234" s="3" t="n">
        <x:v>278</x:v>
      </x:c>
      <x:c r="J234" s="15" t="n">
        <x:f>IF(D234=0,"n.a.",E234/D234)</x:f>
        <x:v>0.039029205872270434</x:v>
      </x:c>
      <x:c r="K234" s="15" t="n">
        <x:f>F234/'Datos'!$F$7</x:f>
        <x:v>0.001047710099685601</x:v>
      </x:c>
      <x:c r="L234" s="3"/>
    </x:row>
    <x:row r="235" ht="22" customHeight="1">
      <x:c r="A235" s="3"/>
      <x:c r="B235" s="3" t="str">
        <x:v>84947</x:v>
      </x:c>
      <x:c r="C235" s="3" t="str">
        <x:v>ANTIQUE SILVER TEA GLASS ENGRAVED</x:v>
      </x:c>
      <x:c r="D235" s="13" t="n">
        <x:v>10297.27</x:v>
      </x:c>
      <x:c r="E235" s="13" t="n">
        <x:v>38.29</x:v>
      </x:c>
      <x:c r="F235" s="13" t="n">
        <x:f>D235-E235</x:f>
        <x:v>10258.98</x:v>
      </x:c>
      <x:c r="G235" s="3" t="n">
        <x:v>8706</x:v>
      </x:c>
      <x:c r="H235" s="3" t="n">
        <x:v>32</x:v>
      </x:c>
      <x:c r="I235" s="3" t="n">
        <x:v>347</x:v>
      </x:c>
      <x:c r="J235" s="15" t="n">
        <x:f>IF(D235=0,"n.a.",E235/D235)</x:f>
        <x:v>0.0037184613009079103</x:v>
      </x:c>
      <x:c r="K235" s="15" t="n">
        <x:f>F235/'Datos'!$F$7</x:f>
        <x:v>0.0010476141099026684</x:v>
      </x:c>
      <x:c r="L235" s="3"/>
    </x:row>
    <x:row r="236" ht="22" customHeight="1">
      <x:c r="A236" s="3"/>
      <x:c r="B236" s="3" t="str">
        <x:v>48173C</x:v>
      </x:c>
      <x:c r="C236" s="3" t="str">
        <x:v>DOORMAT BLACK FLOCK</x:v>
      </x:c>
      <x:c r="D236" s="13" t="n">
        <x:v>10278.06</x:v>
      </x:c>
      <x:c r="E236" s="13" t="n">
        <x:v>40.95</x:v>
      </x:c>
      <x:c r="F236" s="13" t="n">
        <x:f>D236-E236</x:f>
        <x:v>10237.109999999999</x:v>
      </x:c>
      <x:c r="G236" s="3" t="n">
        <x:v>1817</x:v>
      </x:c>
      <x:c r="H236" s="3" t="n">
        <x:v>5</x:v>
      </x:c>
      <x:c r="I236" s="3" t="n">
        <x:v>195</x:v>
      </x:c>
      <x:c r="J236" s="15" t="n">
        <x:f>IF(D236=0,"n.a.",E236/D236)</x:f>
        <x:v>0.003984214919936253</x:v>
      </x:c>
      <x:c r="K236" s="15" t="n">
        <x:f>F236/'Datos'!$F$7</x:f>
        <x:v>0.0010453808156976332</x:v>
      </x:c>
      <x:c r="L236" s="3"/>
    </x:row>
    <x:row r="237" ht="22" customHeight="1">
      <x:c r="A237" s="3"/>
      <x:c r="B237" s="3" t="str">
        <x:v>22970</x:v>
      </x:c>
      <x:c r="C237" s="3" t="str">
        <x:v>LONDON BUS COFFEE MUG</x:v>
      </x:c>
      <x:c r="D237" s="13" t="n">
        <x:v>10224.75</x:v>
      </x:c>
      <x:c r="E237" s="13" t="n">
        <x:v>33.6</x:v>
      </x:c>
      <x:c r="F237" s="13" t="n">
        <x:f>D237-E237</x:f>
        <x:v>10191.15</x:v>
      </x:c>
      <x:c r="G237" s="3" t="n">
        <x:v>4367</x:v>
      </x:c>
      <x:c r="H237" s="3" t="n">
        <x:v>16</x:v>
      </x:c>
      <x:c r="I237" s="3" t="n">
        <x:v>317</x:v>
      </x:c>
      <x:c r="J237" s="15" t="n">
        <x:f>IF(D237=0,"n.a.",E237/D237)</x:f>
        <x:v>0.0032861439154991566</x:v>
      </x:c>
      <x:c r="K237" s="15" t="n">
        <x:f>F237/'Datos'!$F$7</x:f>
        <x:v>0.001040687528012978</x:v>
      </x:c>
      <x:c r="L237" s="3"/>
    </x:row>
    <x:row r="238" ht="22" customHeight="1">
      <x:c r="A238" s="3"/>
      <x:c r="B238" s="3" t="str">
        <x:v>22169</x:v>
      </x:c>
      <x:c r="C238" s="3" t="str">
        <x:v>FAMILY ALBUM WHITE PICTURE FRAME</x:v>
      </x:c>
      <x:c r="D238" s="13" t="n">
        <x:v>10354.26</x:v>
      </x:c>
      <x:c r="E238" s="13" t="n">
        <x:v>257.55</x:v>
      </x:c>
      <x:c r="F238" s="13" t="n">
        <x:f>D238-E238</x:f>
        <x:v>10096.710000000001</x:v>
      </x:c>
      <x:c r="G238" s="3" t="n">
        <x:v>1198</x:v>
      </x:c>
      <x:c r="H238" s="3" t="n">
        <x:v>32</x:v>
      </x:c>
      <x:c r="I238" s="3" t="n">
        <x:v>372</x:v>
      </x:c>
      <x:c r="J238" s="15" t="n">
        <x:f>IF(D238=0,"n.a.",E238/D238)</x:f>
        <x:v>0.02487382005087761</x:v>
      </x:c>
      <x:c r="K238" s="15" t="n">
        <x:f>F238/'Datos'!$F$7</x:f>
        <x:v>0.0010310436183319758</x:v>
      </x:c>
      <x:c r="L238" s="3"/>
    </x:row>
    <x:row r="239" ht="22" customHeight="1">
      <x:c r="A239" s="3"/>
      <x:c r="B239" s="3" t="str">
        <x:v>23170</x:v>
      </x:c>
      <x:c r="C239" s="3" t="str">
        <x:v>REGENCY TEA PLATE ROSES</x:v>
      </x:c>
      <x:c r="D239" s="13" t="n">
        <x:v>11117.05</x:v>
      </x:c>
      <x:c r="E239" s="13" t="n">
        <x:v>1046.3</x:v>
      </x:c>
      <x:c r="F239" s="13" t="n">
        <x:f>D239-E239</x:f>
        <x:v>10070.75</x:v>
      </x:c>
      <x:c r="G239" s="3" t="n">
        <x:v>6869</x:v>
      </x:c>
      <x:c r="H239" s="3" t="n">
        <x:v>718</x:v>
      </x:c>
      <x:c r="I239" s="3" t="n">
        <x:v>445</x:v>
      </x:c>
      <x:c r="J239" s="15" t="n">
        <x:f>IF(D239=0,"n.a.",E239/D239)</x:f>
        <x:v>0.09411669462672202</x:v>
      </x:c>
      <x:c r="K239" s="15" t="n">
        <x:f>F239/'Datos'!$F$7</x:f>
        <x:v>0.001028392666454394</x:v>
      </x:c>
      <x:c r="L239" s="3"/>
    </x:row>
    <x:row r="240" ht="22" customHeight="1">
      <x:c r="A240" s="3"/>
      <x:c r="B240" s="3" t="str">
        <x:v>23582</x:v>
      </x:c>
      <x:c r="C240" s="3" t="str">
        <x:v>VINTAGE DOILY JUMBO BAG RED</x:v>
      </x:c>
      <x:c r="D240" s="13" t="n">
        <x:v>10233.45</x:v>
      </x:c>
      <x:c r="E240" s="13" t="n">
        <x:v>222.68</x:v>
      </x:c>
      <x:c r="F240" s="13" t="n">
        <x:f>D240-E240</x:f>
        <x:v>10010.77</x:v>
      </x:c>
      <x:c r="G240" s="3" t="n">
        <x:v>4815</x:v>
      </x:c>
      <x:c r="H240" s="3" t="n">
        <x:v>121</x:v>
      </x:c>
      <x:c r="I240" s="3" t="n">
        <x:v>259</x:v>
      </x:c>
      <x:c r="J240" s="15" t="n">
        <x:f>IF(D240=0,"n.a.",E240/D240)</x:f>
        <x:v>0.021760012508000724</x:v>
      </x:c>
      <x:c r="K240" s="15" t="n">
        <x:f>F240/'Datos'!$F$7</x:f>
        <x:v>0.00102226770136898</x:v>
      </x:c>
      <x:c r="L240" s="3"/>
    </x:row>
    <x:row r="241" ht="22" customHeight="1">
      <x:c r="A241" s="3"/>
      <x:c r="B241" s="3" t="str">
        <x:v>22633</x:v>
      </x:c>
      <x:c r="C241" s="3" t="str">
        <x:v>HAND WARMER UNION JACK</x:v>
      </x:c>
      <x:c r="D241" s="13" t="n">
        <x:v>10057.32</x:v>
      </x:c>
      <x:c r="E241" s="13" t="n">
        <x:v>54.6</x:v>
      </x:c>
      <x:c r="F241" s="13" t="n">
        <x:f>D241-E241</x:f>
        <x:v>10002.72</x:v>
      </x:c>
      <x:c r="G241" s="3" t="n">
        <x:v>4867</x:v>
      </x:c>
      <x:c r="H241" s="3" t="n">
        <x:v>26</x:v>
      </x:c>
      <x:c r="I241" s="3" t="n">
        <x:v>479</x:v>
      </x:c>
      <x:c r="J241" s="15" t="n">
        <x:f>IF(D241=0,"n.a.",E241/D241)</x:f>
        <x:v>0.005428881650380022</x:v>
      </x:c>
      <x:c r="K241" s="15" t="n">
        <x:f>F241/'Datos'!$F$7</x:f>
        <x:v>0.0010214456612066326</x:v>
      </x:c>
      <x:c r="L241" s="3"/>
    </x:row>
    <x:row r="242" ht="22" customHeight="1">
      <x:c r="A242" s="3"/>
      <x:c r="B242" s="3" t="str">
        <x:v>22621</x:v>
      </x:c>
      <x:c r="C242" s="3" t="str">
        <x:v>TRADITIONAL KNITTING NANCY</x:v>
      </x:c>
      <x:c r="D242" s="13" t="n">
        <x:v>10056.95</x:v>
      </x:c>
      <x:c r="E242" s="13" t="n">
        <x:v>64.75</x:v>
      </x:c>
      <x:c r="F242" s="13" t="n">
        <x:f>D242-E242</x:f>
        <x:v>9992.2</x:v>
      </x:c>
      <x:c r="G242" s="3" t="n">
        <x:v>6150</x:v>
      </x:c>
      <x:c r="H242" s="3" t="n">
        <x:v>51</x:v>
      </x:c>
      <x:c r="I242" s="3" t="n">
        <x:v>609</x:v>
      </x:c>
      <x:c r="J242" s="15" t="n">
        <x:f>IF(D242=0,"n.a.",E242/D242)</x:f>
        <x:v>0.006438333689637514</x:v>
      </x:c>
      <x:c r="K242" s="15" t="n">
        <x:f>F242/'Datos'!$F$7</x:f>
        <x:v>0.001020371392572112</x:v>
      </x:c>
      <x:c r="L242" s="3"/>
    </x:row>
    <x:row r="243" ht="22" customHeight="1">
      <x:c r="A243" s="3"/>
      <x:c r="B243" s="3" t="str">
        <x:v>20679</x:v>
      </x:c>
      <x:c r="C243" s="3" t="str">
        <x:v>EDWARDIAN PARASOL RED</x:v>
      </x:c>
      <x:c r="D243" s="13" t="n">
        <x:v>10021.42</x:v>
      </x:c>
      <x:c r="E243" s="13" t="n">
        <x:v>53.55</x:v>
      </x:c>
      <x:c r="F243" s="13" t="n">
        <x:f>D243-E243</x:f>
        <x:v>9967.87</x:v>
      </x:c>
      <x:c r="G243" s="3" t="n">
        <x:v>1710</x:v>
      </x:c>
      <x:c r="H243" s="3" t="n">
        <x:v>9</x:v>
      </x:c>
      <x:c r="I243" s="3" t="n">
        <x:v>326</x:v>
      </x:c>
      <x:c r="J243" s="15" t="n">
        <x:f>IF(D243=0,"n.a.",E243/D243)</x:f>
        <x:v>0.005343554107102586</x:v>
      </x:c>
      <x:c r="K243" s="15" t="n">
        <x:f>F243/'Datos'!$F$7</x:f>
        <x:v>0.0010178868910628068</x:v>
      </x:c>
      <x:c r="L243" s="3"/>
    </x:row>
    <x:row r="244" ht="22" customHeight="1">
      <x:c r="A244" s="3"/>
      <x:c r="B244" s="3" t="str">
        <x:v>22556</x:v>
      </x:c>
      <x:c r="C244" s="3" t="str">
        <x:v>PLASTERS IN TIN CIRCUS PARADE</x:v>
      </x:c>
      <x:c r="D244" s="13" t="n">
        <x:v>10070.11</x:v>
      </x:c>
      <x:c r="E244" s="13" t="n">
        <x:v>108.9</x:v>
      </x:c>
      <x:c r="F244" s="13" t="n">
        <x:f>D244-E244</x:f>
        <x:v>9961.210000000001</x:v>
      </x:c>
      <x:c r="G244" s="3" t="n">
        <x:v>6118</x:v>
      </x:c>
      <x:c r="H244" s="3" t="n">
        <x:v>66</x:v>
      </x:c>
      <x:c r="I244" s="3" t="n">
        <x:v>571</x:v>
      </x:c>
      <x:c r="J244" s="15" t="n">
        <x:f>IF(D244=0,"n.a.",E244/D244)</x:f>
        <x:v>0.010814181771599317</x:v>
      </x:c>
      <x:c r="K244" s="15" t="n">
        <x:f>F244/'Datos'!$F$7</x:f>
        <x:v>0.0010172067932390512</x:v>
      </x:c>
      <x:c r="L244" s="3"/>
    </x:row>
    <x:row r="245" ht="22" customHeight="1">
      <x:c r="A245" s="3"/>
      <x:c r="B245" s="3" t="str">
        <x:v>21218</x:v>
      </x:c>
      <x:c r="C245" s="3" t="str">
        <x:v>RED SPOTTY BISCUIT TIN</x:v>
      </x:c>
      <x:c r="D245" s="13" t="n">
        <x:v>10116.49</x:v>
      </x:c>
      <x:c r="E245" s="13" t="n">
        <x:v>165.25</x:v>
      </x:c>
      <x:c r="F245" s="13" t="n">
        <x:f>D245-E245</x:f>
        <x:v>9951.24</x:v>
      </x:c>
      <x:c r="G245" s="3" t="n">
        <x:v>2433</x:v>
      </x:c>
      <x:c r="H245" s="3" t="n">
        <x:v>49</x:v>
      </x:c>
      <x:c r="I245" s="3" t="n">
        <x:v>394</x:v>
      </x:c>
      <x:c r="J245" s="15" t="n">
        <x:f>IF(D245=0,"n.a.",E245/D245)</x:f>
        <x:v>0.01633471688302959</x:v>
      </x:c>
      <x:c r="K245" s="15" t="n">
        <x:f>F245/'Datos'!$F$7</x:f>
        <x:v>0.001016188688839225</x:v>
      </x:c>
      <x:c r="L245" s="3"/>
    </x:row>
    <x:row r="246" ht="22" customHeight="1">
      <x:c r="A246" s="3"/>
      <x:c r="B246" s="3" t="str">
        <x:v>23076</x:v>
      </x:c>
      <x:c r="C246" s="3" t="str">
        <x:v>ICE CREAM SUNDAE LIP GLOSS</x:v>
      </x:c>
      <x:c r="D246" s="13" t="n">
        <x:v>9965.76</x:v>
      </x:c>
      <x:c r="E246" s="13" t="n">
        <x:v>35</x:v>
      </x:c>
      <x:c r="F246" s="13" t="n">
        <x:f>D246-E246</x:f>
        <x:v>9930.76</x:v>
      </x:c>
      <x:c r="G246" s="3" t="n">
        <x:v>8100</x:v>
      </x:c>
      <x:c r="H246" s="3" t="n">
        <x:v>28</x:v>
      </x:c>
      <x:c r="I246" s="3" t="n">
        <x:v>277</x:v>
      </x:c>
      <x:c r="J246" s="15" t="n">
        <x:f>IF(D246=0,"n.a.",E246/D246)</x:f>
        <x:v>0.0035120251741964487</x:v>
      </x:c>
      <x:c r="K246" s="15" t="n">
        <x:f>F246/'Datos'!$F$7</x:f>
        <x:v>0.0010140973369727813</x:v>
      </x:c>
      <x:c r="L246" s="3"/>
    </x:row>
    <x:row r="247" ht="22" customHeight="1">
      <x:c r="A247" s="3"/>
      <x:c r="B247" s="3" t="str">
        <x:v>22690</x:v>
      </x:c>
      <x:c r="C247" s="3" t="str">
        <x:v>DOORMAT HOME SWEET HOME BLUE</x:v>
      </x:c>
      <x:c r="D247" s="13" t="n">
        <x:v>9959.6</x:v>
      </x:c>
      <x:c r="E247" s="13" t="n">
        <x:v>48.3</x:v>
      </x:c>
      <x:c r="F247" s="13" t="n">
        <x:f>D247-E247</x:f>
        <x:v>9911.300000000001</x:v>
      </x:c>
      <x:c r="G247" s="3" t="n">
        <x:v>1621</x:v>
      </x:c>
      <x:c r="H247" s="3" t="n">
        <x:v>6</x:v>
      </x:c>
      <x:c r="I247" s="3" t="n">
        <x:v>285</x:v>
      </x:c>
      <x:c r="J247" s="15" t="n">
        <x:f>IF(D247=0,"n.a.",E247/D247)</x:f>
        <x:v>0.00484959235310655</x:v>
      </x:c>
      <x:c r="K247" s="15" t="n">
        <x:f>F247/'Datos'!$F$7</x:f>
        <x:v>0.0010121101442324987</x:v>
      </x:c>
      <x:c r="L247" s="3"/>
    </x:row>
    <x:row r="248" ht="22" customHeight="1">
      <x:c r="A248" s="3"/>
      <x:c r="B248" s="3" t="str">
        <x:v>22619</x:v>
      </x:c>
      <x:c r="C248" s="3" t="str">
        <x:v>SET OF 6 SOLDIER SKITTLES</x:v>
      </x:c>
      <x:c r="D248" s="13" t="n">
        <x:v>9921.29</x:v>
      </x:c>
      <x:c r="E248" s="13" t="n">
        <x:v>15</x:v>
      </x:c>
      <x:c r="F248" s="13" t="n">
        <x:f>D248-E248</x:f>
        <x:v>9906.29</x:v>
      </x:c>
      <x:c r="G248" s="3" t="n">
        <x:v>2487</x:v>
      </x:c>
      <x:c r="H248" s="3" t="n">
        <x:v>4</x:v>
      </x:c>
      <x:c r="I248" s="3" t="n">
        <x:v>443</x:v>
      </x:c>
      <x:c r="J248" s="15" t="n">
        <x:f>IF(D248=0,"n.a.",E248/D248)</x:f>
        <x:v>0.0015119001662082248</x:v>
      </x:c>
      <x:c r="K248" s="15" t="n">
        <x:f>F248/'Datos'!$F$7</x:f>
        <x:v>0.0010115985391128267</x:v>
      </x:c>
      <x:c r="L248" s="3"/>
    </x:row>
    <x:row r="249" ht="22" customHeight="1">
      <x:c r="A249" s="3"/>
      <x:c r="B249" s="3" t="str">
        <x:v>23171</x:v>
      </x:c>
      <x:c r="C249" s="3" t="str">
        <x:v>REGENCY TEA PLATE GREEN</x:v>
      </x:c>
      <x:c r="D249" s="13" t="n">
        <x:v>10051.99</x:v>
      </x:c>
      <x:c r="E249" s="13" t="n">
        <x:v>146.25</x:v>
      </x:c>
      <x:c r="F249" s="13" t="n">
        <x:f>D249-E249</x:f>
        <x:v>9905.74</x:v>
      </x:c>
      <x:c r="G249" s="3" t="n">
        <x:v>6247</x:v>
      </x:c>
      <x:c r="H249" s="3" t="n">
        <x:v>97</x:v>
      </x:c>
      <x:c r="I249" s="3" t="n">
        <x:v>381</x:v>
      </x:c>
      <x:c r="J249" s="15" t="n">
        <x:f>IF(D249=0,"n.a.",E249/D249)</x:f>
        <x:v>0.014549357888338528</x:v>
      </x:c>
      <x:c r="K249" s="15" t="n">
        <x:f>F249/'Datos'!$F$7</x:f>
        <x:v>0.001011542374878132</x:v>
      </x:c>
      <x:c r="L249" s="3"/>
    </x:row>
    <x:row r="250" ht="22" customHeight="1">
      <x:c r="A250" s="3"/>
      <x:c r="B250" s="3" t="str">
        <x:v>22555</x:v>
      </x:c>
      <x:c r="C250" s="3" t="str">
        <x:v>PLASTERS IN TIN STRONGMAN</x:v>
      </x:c>
      <x:c r="D250" s="13" t="n">
        <x:v>9863.28</x:v>
      </x:c>
      <x:c r="E250" s="13" t="n">
        <x:v>34.65</x:v>
      </x:c>
      <x:c r="F250" s="13" t="n">
        <x:f>D250-E250</x:f>
        <x:v>9828.630000000001</x:v>
      </x:c>
      <x:c r="G250" s="3" t="n">
        <x:v>6023</x:v>
      </x:c>
      <x:c r="H250" s="3" t="n">
        <x:v>21</x:v>
      </x:c>
      <x:c r="I250" s="3" t="n">
        <x:v>515</x:v>
      </x:c>
      <x:c r="J250" s="15" t="n">
        <x:f>IF(D250=0,"n.a.",E250/D250)</x:f>
        <x:v>0.0035130301481859985</x:v>
      </x:c>
      <x:c r="K250" s="15" t="n">
        <x:f>F250/'Datos'!$F$7</x:f>
        <x:v>0.0010036681491739595</x:v>
      </x:c>
      <x:c r="L250" s="3"/>
    </x:row>
    <x:row r="251" ht="22" customHeight="1">
      <x:c r="A251" s="3"/>
      <x:c r="B251" s="3" t="str">
        <x:v>22791</x:v>
      </x:c>
      <x:c r="C251" s="3" t="str">
        <x:v>T-LIGHT GLASS FLUTED ANTIQUE</x:v>
      </x:c>
      <x:c r="D251" s="13" t="n">
        <x:v>9963.88</x:v>
      </x:c>
      <x:c r="E251" s="13" t="n">
        <x:v>192.75</x:v>
      </x:c>
      <x:c r="F251" s="13" t="n">
        <x:f>D251-E251</x:f>
        <x:v>9771.13</x:v>
      </x:c>
      <x:c r="G251" s="3" t="n">
        <x:v>8027</x:v>
      </x:c>
      <x:c r="H251" s="3" t="n">
        <x:v>177</x:v>
      </x:c>
      <x:c r="I251" s="3" t="n">
        <x:v>345</x:v>
      </x:c>
      <x:c r="J251" s="15" t="n">
        <x:f>IF(D251=0,"n.a.",E251/D251)</x:f>
        <x:v>0.01934487368374569</x:v>
      </x:c>
      <x:c r="K251" s="15" t="n">
        <x:f>F251/'Datos'!$F$7</x:f>
        <x:v>0.0009977964337286223</x:v>
      </x:c>
      <x:c r="L251" s="3"/>
    </x:row>
    <x:row r="252" ht="22" customHeight="1">
      <x:c r="A252" s="3"/>
      <x:c r="B252" s="3" t="str">
        <x:v>21559</x:v>
      </x:c>
      <x:c r="C252" s="3" t="str">
        <x:v>STRAWBERRY LUNCH BOX WITH CUTLERY</x:v>
      </x:c>
      <x:c r="D252" s="13" t="n">
        <x:v>9748.13</x:v>
      </x:c>
      <x:c r="E252" s="13" t="n">
        <x:v>35.25</x:v>
      </x:c>
      <x:c r="F252" s="13" t="n">
        <x:f>D252-E252</x:f>
        <x:v>9712.88</x:v>
      </x:c>
      <x:c r="G252" s="3" t="n">
        <x:v>3938</x:v>
      </x:c>
      <x:c r="H252" s="3" t="n">
        <x:v>14</x:v>
      </x:c>
      <x:c r="I252" s="3" t="n">
        <x:v>573</x:v>
      </x:c>
      <x:c r="J252" s="15" t="n">
        <x:f>IF(D252=0,"n.a.",E252/D252)</x:f>
        <x:v>0.0036160781606318342</x:v>
      </x:c>
      <x:c r="K252" s="15" t="n">
        <x:f>F252/'Datos'!$F$7</x:f>
        <x:v>0.0009918481306905199</x:v>
      </x:c>
      <x:c r="L252" s="3"/>
    </x:row>
    <x:row r="253" ht="22" customHeight="1">
      <x:c r="A253" s="3"/>
      <x:c r="B253" s="3" t="str">
        <x:v>22654</x:v>
      </x:c>
      <x:c r="C253" s="3" t="str">
        <x:v>DELUXE SEWING KIT</x:v>
      </x:c>
      <x:c r="D253" s="13" t="n">
        <x:v>9898.95</x:v>
      </x:c>
      <x:c r="E253" s="13" t="n">
        <x:v>193.35</x:v>
      </x:c>
      <x:c r="F253" s="13" t="n">
        <x:f>D253-E253</x:f>
        <x:v>9705.6</x:v>
      </x:c>
      <x:c r="G253" s="3" t="n">
        <x:v>1412</x:v>
      </x:c>
      <x:c r="H253" s="3" t="n">
        <x:v>33</x:v>
      </x:c>
      <x:c r="I253" s="3" t="n">
        <x:v>328</x:v>
      </x:c>
      <x:c r="J253" s="15" t="n">
        <x:f>IF(D253=0,"n.a.",E253/D253)</x:f>
        <x:v>0.019532374645795766</x:v>
      </x:c>
      <x:c r="K253" s="15" t="n">
        <x:f>F253/'Datos'!$F$7</x:f>
        <x:v>0.0009911047204567453</x:v>
      </x:c>
      <x:c r="L253" s="3"/>
    </x:row>
    <x:row r="254" ht="22" customHeight="1">
      <x:c r="A254" s="3"/>
      <x:c r="B254" s="3" t="str">
        <x:v>22766</x:v>
      </x:c>
      <x:c r="C254" s="3" t="str">
        <x:v>PHOTO FRAME CORNICE</x:v>
      </x:c>
      <x:c r="D254" s="13" t="n">
        <x:v>9843.59</x:v>
      </x:c>
      <x:c r="E254" s="13" t="n">
        <x:v>156.35</x:v>
      </x:c>
      <x:c r="F254" s="13" t="n">
        <x:f>D254-E254</x:f>
        <x:v>9687.24</x:v>
      </x:c>
      <x:c r="G254" s="3" t="n">
        <x:v>3297</x:v>
      </x:c>
      <x:c r="H254" s="3" t="n">
        <x:v>53</x:v>
      </x:c>
      <x:c r="I254" s="3" t="n">
        <x:v>504</x:v>
      </x:c>
      <x:c r="J254" s="15" t="n">
        <x:f>IF(D254=0,"n.a.",E254/D254)</x:f>
        <x:v>0.01588343277198664</x:v>
      </x:c>
      <x:c r="K254" s="15" t="n">
        <x:f>F254/'Datos'!$F$7</x:f>
        <x:v>0.0009892298561858515</x:v>
      </x:c>
      <x:c r="L254" s="3"/>
    </x:row>
    <x:row r="255" ht="22" customHeight="1">
      <x:c r="A255" s="3"/>
      <x:c r="B255" s="3" t="str">
        <x:v>22560</x:v>
      </x:c>
      <x:c r="C255" s="3" t="str">
        <x:v>TRADITIONAL MODELLING CLAY</x:v>
      </x:c>
      <x:c r="D255" s="13" t="n">
        <x:v>9602.32</x:v>
      </x:c>
      <x:c r="E255" s="13" t="n">
        <x:v>1.06</x:v>
      </x:c>
      <x:c r="F255" s="13" t="n">
        <x:f>D255-E255</x:f>
        <x:v>9601.26</x:v>
      </x:c>
      <x:c r="G255" s="3" t="n">
        <x:v>8168</x:v>
      </x:c>
      <x:c r="H255" s="3" t="n">
        <x:v>1</x:v>
      </x:c>
      <x:c r="I255" s="3" t="n">
        <x:v>389</x:v>
      </x:c>
      <x:c r="J255" s="15" t="n">
        <x:f>IF(D255=0,"n.a.",E255/D255)</x:f>
        <x:v>0.0001103899890859709</x:v>
      </x:c>
      <x:c r="K255" s="15" t="n">
        <x:f>F255/'Datos'!$F$7</x:f>
        <x:v>0.0009804498545512416</x:v>
      </x:c>
      <x:c r="L255" s="3"/>
    </x:row>
    <x:row r="256" ht="22" customHeight="1">
      <x:c r="A256" s="3"/>
      <x:c r="B256" s="3" t="str">
        <x:v>22144</x:v>
      </x:c>
      <x:c r="C256" s="3" t="str">
        <x:v>CHRISTMAS CRAFT LITTLE FRIENDS</x:v>
      </x:c>
      <x:c r="D256" s="13" t="n">
        <x:v>9681.18</x:v>
      </x:c>
      <x:c r="E256" s="13" t="n">
        <x:v>92.4</x:v>
      </x:c>
      <x:c r="F256" s="13" t="n">
        <x:f>D256-E256</x:f>
        <x:v>9588.78</x:v>
      </x:c>
      <x:c r="G256" s="3" t="n">
        <x:v>4082</x:v>
      </x:c>
      <x:c r="H256" s="3" t="n">
        <x:v>44</x:v>
      </x:c>
      <x:c r="I256" s="3" t="n">
        <x:v>544</x:v>
      </x:c>
      <x:c r="J256" s="15" t="n">
        <x:f>IF(D256=0,"n.a.",E256/D256)</x:f>
        <x:v>0.009544291088483016</x:v>
      </x:c>
      <x:c r="K256" s="15" t="n">
        <x:f>F256/'Datos'!$F$7</x:f>
        <x:v>0.0009791754370076274</x:v>
      </x:c>
      <x:c r="L256" s="3"/>
    </x:row>
    <x:row r="257" ht="22" customHeight="1">
      <x:c r="A257" s="3"/>
      <x:c r="B257" s="3" t="str">
        <x:v>21314</x:v>
      </x:c>
      <x:c r="C257" s="3" t="str">
        <x:v>SMALL GLASS HEART TRINKET POT</x:v>
      </x:c>
      <x:c r="D257" s="13" t="n">
        <x:v>9811.58</x:v>
      </x:c>
      <x:c r="E257" s="13" t="n">
        <x:v>270.15</x:v>
      </x:c>
      <x:c r="F257" s="13" t="n">
        <x:f>D257-E257</x:f>
        <x:v>9541.43</x:v>
      </x:c>
      <x:c r="G257" s="3" t="n">
        <x:v>4252</x:v>
      </x:c>
      <x:c r="H257" s="3" t="n">
        <x:v>139</x:v>
      </x:c>
      <x:c r="I257" s="3" t="n">
        <x:v>541</x:v>
      </x:c>
      <x:c r="J257" s="15" t="n">
        <x:f>IF(D257=0,"n.a.",E257/D257)</x:f>
        <x:v>0.02753379170327307</x:v>
      </x:c>
      <x:c r="K257" s="15" t="n">
        <x:f>F257/'Datos'!$F$7</x:f>
        <x:v>0.0009743402069843805</x:v>
      </x:c>
      <x:c r="L257" s="3"/>
    </x:row>
    <x:row r="258" ht="22" customHeight="1">
      <x:c r="A258" s="3"/>
      <x:c r="B258" s="3" t="str">
        <x:v>22569</x:v>
      </x:c>
      <x:c r="C258" s="3" t="str">
        <x:v>FELTCRAFT CUSHION BUTTERFLY</x:v>
      </x:c>
      <x:c r="D258" s="13" t="n">
        <x:v>10133.33</x:v>
      </x:c>
      <x:c r="E258" s="13" t="n">
        <x:v>658.38</x:v>
      </x:c>
      <x:c r="F258" s="13" t="n">
        <x:f>D258-E258</x:f>
        <x:v>9474.95</x:v>
      </x:c>
      <x:c r="G258" s="3" t="n">
        <x:v>2765</x:v>
      </x:c>
      <x:c r="H258" s="3" t="n">
        <x:v>194</x:v>
      </x:c>
      <x:c r="I258" s="3" t="n">
        <x:v>348</x:v>
      </x:c>
      <x:c r="J258" s="15" t="n">
        <x:f>IF(D258=0,"n.a.",E258/D258)</x:f>
        <x:v>0.06497173189859602</x:v>
      </x:c>
      <x:c r="K258" s="15" t="n">
        <x:f>F258/'Datos'!$F$7</x:f>
        <x:v>0.0009675514827616673</x:v>
      </x:c>
      <x:c r="L258" s="3"/>
    </x:row>
    <x:row r="259" ht="22" customHeight="1">
      <x:c r="A259" s="3"/>
      <x:c r="B259" s="3" t="str">
        <x:v>22844</x:v>
      </x:c>
      <x:c r="C259" s="3" t="str">
        <x:v>VINTAGE CREAM DOG FOOD CONTAINER</x:v>
      </x:c>
      <x:c r="D259" s="13" t="n">
        <x:v>9686.82</x:v>
      </x:c>
      <x:c r="E259" s="13" t="n">
        <x:v>227.8</x:v>
      </x:c>
      <x:c r="F259" s="13" t="n">
        <x:f>D259-E259</x:f>
        <x:v>9459.02</x:v>
      </x:c>
      <x:c r="G259" s="3" t="n">
        <x:v>1006</x:v>
      </x:c>
      <x:c r="H259" s="3" t="n">
        <x:v>28</x:v>
      </x:c>
      <x:c r="I259" s="3" t="n">
        <x:v>416</x:v>
      </x:c>
      <x:c r="J259" s="15" t="n">
        <x:f>IF(D259=0,"n.a.",E259/D259)</x:f>
        <x:v>0.023516489415515103</x:v>
      </x:c>
      <x:c r="K259" s="15" t="n">
        <x:f>F259/'Datos'!$F$7</x:f>
        <x:v>0.0009659247622913331</x:v>
      </x:c>
      <x:c r="L259" s="3"/>
    </x:row>
    <x:row r="260" ht="22" customHeight="1">
      <x:c r="A260" s="3"/>
      <x:c r="B260" s="3" t="str">
        <x:v>35970</x:v>
      </x:c>
      <x:c r="C260" s="3" t="str">
        <x:v>ZINC FOLKART SLEIGH BELLS</x:v>
      </x:c>
      <x:c r="D260" s="13" t="n">
        <x:v>9546.53</x:v>
      </x:c>
      <x:c r="E260" s="13" t="n">
        <x:v>121.17</x:v>
      </x:c>
      <x:c r="F260" s="13" t="n">
        <x:f>D260-E260</x:f>
        <x:v>9425.36</x:v>
      </x:c>
      <x:c r="G260" s="3" t="n">
        <x:v>5070</x:v>
      </x:c>
      <x:c r="H260" s="3" t="n">
        <x:v>73</x:v>
      </x:c>
      <x:c r="I260" s="3" t="n">
        <x:v>456</x:v>
      </x:c>
      <x:c r="J260" s="15" t="n">
        <x:f>IF(D260=0,"n.a.",E260/D260)</x:f>
        <x:v>0.012692569970449995</x:v>
      </x:c>
      <x:c r="K260" s="15" t="n">
        <x:f>F260/'Datos'!$F$7</x:f>
        <x:v>0.000962487511128028</x:v>
      </x:c>
      <x:c r="L260" s="3"/>
    </x:row>
    <x:row r="261" ht="22" customHeight="1">
      <x:c r="A261" s="3"/>
      <x:c r="B261" s="3" t="str">
        <x:v>21174</x:v>
      </x:c>
      <x:c r="C261" s="3" t="str">
        <x:v>POTTERING IN THE SHED METAL SIGN</x:v>
      </x:c>
      <x:c r="D261" s="13" t="n">
        <x:v>9413.82</x:v>
      </x:c>
      <x:c r="E261" s="13" t="n">
        <x:v>0</x:v>
      </x:c>
      <x:c r="F261" s="13" t="n">
        <x:f>D261-E261</x:f>
        <x:v>9413.82</x:v>
      </x:c>
      <x:c r="G261" s="3" t="n">
        <x:v>4179</x:v>
      </x:c>
      <x:c r="H261" s="3" t="n">
        <x:v>0</x:v>
      </x:c>
      <x:c r="I261" s="3" t="n">
        <x:v>538</x:v>
      </x:c>
      <x:c r="J261" s="15" t="n">
        <x:f>IF(D261=0,"n.a.",E261/D261)</x:f>
        <x:v>0</x:v>
      </x:c>
      <x:c r="K261" s="15" t="n">
        <x:f>F261/'Datos'!$F$7</x:f>
        <x:v>0.0009613090833673464</x:v>
      </x:c>
      <x:c r="L261" s="3"/>
    </x:row>
    <x:row r="262" ht="22" customHeight="1">
      <x:c r="A262" s="3"/>
      <x:c r="B262" s="3" t="str">
        <x:v>22952</x:v>
      </x:c>
      <x:c r="C262" s="3" t="str">
        <x:v>60 CAKE CASES VINTAGE CHRISTMAS</x:v>
      </x:c>
      <x:c r="D262" s="13" t="n">
        <x:v>9524.72</x:v>
      </x:c>
      <x:c r="E262" s="13" t="n">
        <x:v>140.4</x:v>
      </x:c>
      <x:c r="F262" s="13" t="n">
        <x:f>D262-E262</x:f>
        <x:v>9384.32</x:v>
      </x:c>
      <x:c r="G262" s="3" t="n">
        <x:v>16079</x:v>
      </x:c>
      <x:c r="H262" s="3" t="n">
        <x:v>312</x:v>
      </x:c>
      <x:c r="I262" s="3" t="n">
        <x:v>619</x:v>
      </x:c>
      <x:c r="J262" s="15" t="n">
        <x:f>IF(D262=0,"n.a.",E262/D262)</x:f>
        <x:v>0.014740590799519568</x:v>
      </x:c>
      <x:c r="K262" s="15" t="n">
        <x:f>F262/'Datos'!$F$7</x:f>
        <x:v>0.0009582966380519126</x:v>
      </x:c>
      <x:c r="L262" s="3"/>
    </x:row>
    <x:row r="263" ht="22" customHeight="1">
      <x:c r="A263" s="3"/>
      <x:c r="B263" s="3" t="str">
        <x:v>84375</x:v>
      </x:c>
      <x:c r="C263" s="3" t="str">
        <x:v>SET OF 20 KIDS COOKIE CUTTERS</x:v>
      </x:c>
      <x:c r="D263" s="13" t="n">
        <x:v>9404.15</x:v>
      </x:c>
      <x:c r="E263" s="13" t="n">
        <x:v>27.3</x:v>
      </x:c>
      <x:c r="F263" s="13" t="n">
        <x:f>D263-E263</x:f>
        <x:v>9376.85</x:v>
      </x:c>
      <x:c r="G263" s="3" t="n">
        <x:v>4321</x:v>
      </x:c>
      <x:c r="H263" s="3" t="n">
        <x:v>13</x:v>
      </x:c>
      <x:c r="I263" s="3" t="n">
        <x:v>517</x:v>
      </x:c>
      <x:c r="J263" s="15" t="n">
        <x:f>IF(D263=0,"n.a.",E263/D263)</x:f>
        <x:v>0.002902973687148759</x:v>
      </x:c>
      <x:c r="K263" s="15" t="n">
        <x:f>F263/'Datos'!$F$7</x:f>
        <x:v>0.0009575338256279706</x:v>
      </x:c>
      <x:c r="L263" s="3"/>
    </x:row>
    <x:row r="264" ht="22" customHeight="1">
      <x:c r="A264" s="3"/>
      <x:c r="B264" s="3" t="str">
        <x:v>85150</x:v>
      </x:c>
      <x:c r="C264" s="3" t="str">
        <x:v>LADIES &amp; GENTLEMEN METAL SIGN</x:v>
      </x:c>
      <x:c r="D264" s="13" t="n">
        <x:v>9388.53</x:v>
      </x:c>
      <x:c r="E264" s="13" t="n">
        <x:v>12.3</x:v>
      </x:c>
      <x:c r="F264" s="13" t="n">
        <x:f>D264-E264</x:f>
        <x:v>9376.230000000001</x:v>
      </x:c>
      <x:c r="G264" s="3" t="n">
        <x:v>4039</x:v>
      </x:c>
      <x:c r="H264" s="3" t="n">
        <x:v>5</x:v>
      </x:c>
      <x:c r="I264" s="3" t="n">
        <x:v>478</x:v>
      </x:c>
      <x:c r="J264" s="15" t="n">
        <x:f>IF(D264=0,"n.a.",E264/D264)</x:f>
        <x:v>0.0013101092503299237</x:v>
      </x:c>
      <x:c r="K264" s="15" t="n">
        <x:f>F264/'Datos'!$F$7</x:f>
        <x:v>0.0009574705132179514</x:v>
      </x:c>
      <x:c r="L264" s="3"/>
    </x:row>
    <x:row r="265" ht="22" customHeight="1">
      <x:c r="A265" s="3"/>
      <x:c r="B265" s="3" t="str">
        <x:v>23175</x:v>
      </x:c>
      <x:c r="C265" s="3" t="str">
        <x:v>REGENCY MILK JUG PINK</x:v>
      </x:c>
      <x:c r="D265" s="13" t="n">
        <x:v>9600.15</x:v>
      </x:c>
      <x:c r="E265" s="13" t="n">
        <x:v>225.5</x:v>
      </x:c>
      <x:c r="F265" s="13" t="n">
        <x:f>D265-E265</x:f>
        <x:v>9374.65</x:v>
      </x:c>
      <x:c r="G265" s="3" t="n">
        <x:v>3164</x:v>
      </x:c>
      <x:c r="H265" s="3" t="n">
        <x:v>80</x:v>
      </x:c>
      <x:c r="I265" s="3" t="n">
        <x:v>329</x:v>
      </x:c>
      <x:c r="J265" s="15" t="n">
        <x:f>IF(D265=0,"n.a.",E265/D265)</x:f>
        <x:v>0.02348921631432842</x:v>
      </x:c>
      <x:c r="K265" s="15" t="n">
        <x:f>F265/'Datos'!$F$7</x:f>
        <x:v>0.0009573091686891924</x:v>
      </x:c>
      <x:c r="L265" s="3"/>
    </x:row>
    <x:row r="266" ht="22" customHeight="1">
      <x:c r="A266" s="3"/>
      <x:c r="B266" s="3" t="str">
        <x:v>22561</x:v>
      </x:c>
      <x:c r="C266" s="3" t="str">
        <x:v>WOODEN SCHOOL COLOURING SET</x:v>
      </x:c>
      <x:c r="D266" s="13" t="n">
        <x:v>9749.82</x:v>
      </x:c>
      <x:c r="E266" s="13" t="n">
        <x:v>405</x:v>
      </x:c>
      <x:c r="F266" s="13" t="n">
        <x:f>D266-E266</x:f>
        <x:v>9344.82</x:v>
      </x:c>
      <x:c r="G266" s="3" t="n">
        <x:v>5888</x:v>
      </x:c>
      <x:c r="H266" s="3" t="n">
        <x:v>276</x:v>
      </x:c>
      <x:c r="I266" s="3" t="n">
        <x:v>433</x:v>
      </x:c>
      <x:c r="J266" s="15" t="n">
        <x:f>IF(D266=0,"n.a.",E266/D266)</x:f>
        <x:v>0.04153922841652461</x:v>
      </x:c>
      <x:c r="K266" s="15" t="n">
        <x:f>F266/'Datos'!$F$7</x:f>
        <x:v>0.0009542630248329419</x:v>
      </x:c>
      <x:c r="L266" s="3"/>
    </x:row>
    <x:row r="267" ht="22" customHeight="1">
      <x:c r="A267" s="3"/>
      <x:c r="B267" s="3" t="str">
        <x:v>22191</x:v>
      </x:c>
      <x:c r="C267" s="3" t="str">
        <x:v>IVORY DINER WALL CLOCK</x:v>
      </x:c>
      <x:c r="D267" s="13" t="n">
        <x:v>11971.15</x:v>
      </x:c>
      <x:c r="E267" s="13" t="n">
        <x:v>2653.7</x:v>
      </x:c>
      <x:c r="F267" s="13" t="n">
        <x:f>D267-E267</x:f>
        <x:v>9317.45</x:v>
      </x:c>
      <x:c r="G267" s="3" t="n">
        <x:v>1452</x:v>
      </x:c>
      <x:c r="H267" s="3" t="n">
        <x:v>344</x:v>
      </x:c>
      <x:c r="I267" s="3" t="n">
        <x:v>415</x:v>
      </x:c>
      <x:c r="J267" s="15" t="n">
        <x:f>IF(D267=0,"n.a.",E267/D267)</x:f>
        <x:v>0.22167460937336847</x:v>
      </x:c>
      <x:c r="K267" s="15" t="n">
        <x:f>F267/'Datos'!$F$7</x:f>
        <x:v>0.0009514680882809617</x:v>
      </x:c>
      <x:c r="L267" s="3"/>
    </x:row>
    <x:row r="268" ht="22" customHeight="1">
      <x:c r="A268" s="3"/>
      <x:c r="B268" s="3" t="str">
        <x:v>22978</x:v>
      </x:c>
      <x:c r="C268" s="3" t="str">
        <x:v>PANTRY ROLLING PIN</x:v>
      </x:c>
      <x:c r="D268" s="13" t="n">
        <x:v>9568.73</x:v>
      </x:c>
      <x:c r="E268" s="13" t="n">
        <x:v>272.61</x:v>
      </x:c>
      <x:c r="F268" s="13" t="n">
        <x:f>D268-E268</x:f>
        <x:v>9296.119999999999</x:v>
      </x:c>
      <x:c r="G268" s="3" t="n">
        <x:v>2465</x:v>
      </x:c>
      <x:c r="H268" s="3" t="n">
        <x:v>75</x:v>
      </x:c>
      <x:c r="I268" s="3" t="n">
        <x:v>238</x:v>
      </x:c>
      <x:c r="J268" s="15" t="n">
        <x:f>IF(D268=0,"n.a.",E268/D268)</x:f>
        <x:v>0.028489674178286985</x:v>
      </x:c>
      <x:c r="K268" s="15" t="n">
        <x:f>F268/'Datos'!$F$7</x:f>
        <x:v>0.0009492899371427173</x:v>
      </x:c>
      <x:c r="L268" s="3"/>
    </x:row>
    <x:row r="269" ht="22" customHeight="1">
      <x:c r="A269" s="3"/>
      <x:c r="B269" s="3" t="str">
        <x:v>22749</x:v>
      </x:c>
      <x:c r="C269" s="3" t="str">
        <x:v>FELTCRAFT PRINCESS CHARLOTTE DOLL</x:v>
      </x:c>
      <x:c r="D269" s="13" t="n">
        <x:v>9264.91</x:v>
      </x:c>
      <x:c r="E269" s="13" t="n">
        <x:v>0</x:v>
      </x:c>
      <x:c r="F269" s="13" t="n">
        <x:f>D269-E269</x:f>
        <x:v>9264.91</x:v>
      </x:c>
      <x:c r="G269" s="3" t="n">
        <x:v>2375</x:v>
      </x:c>
      <x:c r="H269" s="3" t="n">
        <x:v>0</x:v>
      </x:c>
      <x:c r="I269" s="3" t="n">
        <x:v>449</x:v>
      </x:c>
      <x:c r="J269" s="15" t="n">
        <x:f>IF(D269=0,"n.a.",E269/D269)</x:f>
        <x:v>0</x:v>
      </x:c>
      <x:c r="K269" s="15" t="n">
        <x:f>F269/'Datos'!$F$7</x:f>
        <x:v>0.0009461028721157788</x:v>
      </x:c>
      <x:c r="L269" s="3"/>
    </x:row>
    <x:row r="270" ht="22" customHeight="1">
      <x:c r="A270" s="3"/>
      <x:c r="B270" s="3" t="str">
        <x:v>47566B</x:v>
      </x:c>
      <x:c r="C270" s="3" t="str">
        <x:v>TEA TIME PARTY BUNTING</x:v>
      </x:c>
      <x:c r="D270" s="13" t="n">
        <x:v>12941.27</x:v>
      </x:c>
      <x:c r="E270" s="13" t="n">
        <x:v>3692.95</x:v>
      </x:c>
      <x:c r="F270" s="13" t="n">
        <x:f>D270-E270</x:f>
        <x:v>9248.32</x:v>
      </x:c>
      <x:c r="G270" s="3" t="n">
        <x:v>2581</x:v>
      </x:c>
      <x:c r="H270" s="3" t="n">
        <x:v>1424</x:v>
      </x:c>
      <x:c r="I270" s="3" t="n">
        <x:v>467</x:v>
      </x:c>
      <x:c r="J270" s="15" t="n">
        <x:f>IF(D270=0,"n.a.",E270/D270)</x:f>
        <x:v>0.28536225579096947</x:v>
      </x:c>
      <x:c r="K270" s="15" t="n">
        <x:f>F270/'Datos'!$F$7</x:f>
        <x:v>0.0009444087545638112</x:v>
      </x:c>
      <x:c r="L270" s="3"/>
    </x:row>
    <x:row r="271" ht="22" customHeight="1">
      <x:c r="A271" s="3"/>
      <x:c r="B271" s="3" t="str">
        <x:v>22456</x:v>
      </x:c>
      <x:c r="C271" s="3" t="str">
        <x:v>NATURAL SLATE CHALKBOARD LARGE</x:v>
      </x:c>
      <x:c r="D271" s="13" t="n">
        <x:v>9554.47</x:v>
      </x:c>
      <x:c r="E271" s="13" t="n">
        <x:v>326.8</x:v>
      </x:c>
      <x:c r="F271" s="13" t="n">
        <x:f>D271-E271</x:f>
        <x:v>9227.67</x:v>
      </x:c>
      <x:c r="G271" s="3" t="n">
        <x:v>1731</x:v>
      </x:c>
      <x:c r="H271" s="3" t="n">
        <x:v>68</x:v>
      </x:c>
      <x:c r="I271" s="3" t="n">
        <x:v>476</x:v>
      </x:c>
      <x:c r="J271" s="15" t="n">
        <x:f>IF(D271=0,"n.a.",E271/D271)</x:f>
        <x:v>0.03420388572050569</x:v>
      </x:c>
      <x:c r="K271" s="15" t="n">
        <x:f>F271/'Datos'!$F$7</x:f>
        <x:v>0.0009423000428430075</x:v>
      </x:c>
      <x:c r="L271" s="3"/>
    </x:row>
    <x:row r="272" ht="22" customHeight="1">
      <x:c r="A272" s="3"/>
      <x:c r="B272" s="3" t="str">
        <x:v>22966</x:v>
      </x:c>
      <x:c r="C272" s="3" t="str">
        <x:v>GINGERBREAD MAN COOKIE CUTTER</x:v>
      </x:c>
      <x:c r="D272" s="13" t="n">
        <x:v>9212.15</x:v>
      </x:c>
      <x:c r="E272" s="13" t="n">
        <x:v>6.25</x:v>
      </x:c>
      <x:c r="F272" s="13" t="n">
        <x:f>D272-E272</x:f>
        <x:v>9205.9</x:v>
      </x:c>
      <x:c r="G272" s="3" t="n">
        <x:v>7448</x:v>
      </x:c>
      <x:c r="H272" s="3" t="n">
        <x:v>5</x:v>
      </x:c>
      <x:c r="I272" s="3" t="n">
        <x:v>670</x:v>
      </x:c>
      <x:c r="J272" s="15" t="n">
        <x:f>IF(D272=0,"n.a.",E272/D272)</x:f>
        <x:v>0.000678451827206461</x:v>
      </x:c>
      <x:c r="K272" s="15" t="n">
        <x:f>F272/'Datos'!$F$7</x:f>
        <x:v>0.0009400769603170077</x:v>
      </x:c>
      <x:c r="L272" s="3"/>
    </x:row>
    <x:row r="273" ht="22" customHeight="1">
      <x:c r="A273" s="3"/>
      <x:c r="B273" s="3" t="str">
        <x:v>22992</x:v>
      </x:c>
      <x:c r="C273" s="3" t="str">
        <x:v>REVOLVER WOODEN RULER</x:v>
      </x:c>
      <x:c r="D273" s="13" t="n">
        <x:v>10379.84</x:v>
      </x:c>
      <x:c r="E273" s="13" t="n">
        <x:v>1193.4</x:v>
      </x:c>
      <x:c r="F273" s="13" t="n">
        <x:f>D273-E273</x:f>
        <x:v>9186.44</x:v>
      </x:c>
      <x:c r="G273" s="3" t="n">
        <x:v>5236</x:v>
      </x:c>
      <x:c r="H273" s="3" t="n">
        <x:v>716</x:v>
      </x:c>
      <x:c r="I273" s="3" t="n">
        <x:v>348</x:v>
      </x:c>
      <x:c r="J273" s="15" t="n">
        <x:f>IF(D273=0,"n.a.",E273/D273)</x:f>
        <x:v>0.11497287048740637</x:v>
      </x:c>
      <x:c r="K273" s="15" t="n">
        <x:f>F273/'Datos'!$F$7</x:f>
        <x:v>0.0009380897675767251</x:v>
      </x:c>
      <x:c r="L273" s="3"/>
    </x:row>
    <x:row r="274" ht="22" customHeight="1">
      <x:c r="A274" s="3"/>
      <x:c r="B274" s="3" t="str">
        <x:v>20972</x:v>
      </x:c>
      <x:c r="C274" s="3" t="str">
        <x:v>PINK CREAM FELT CRAFT TRINKET BOX</x:v>
      </x:c>
      <x:c r="D274" s="13" t="n">
        <x:v>9159.31</x:v>
      </x:c>
      <x:c r="E274" s="13" t="n">
        <x:v>30</x:v>
      </x:c>
      <x:c r="F274" s="13" t="n">
        <x:f>D274-E274</x:f>
        <x:v>9129.31</x:v>
      </x:c>
      <x:c r="G274" s="3" t="n">
        <x:v>7362</x:v>
      </x:c>
      <x:c r="H274" s="3" t="n">
        <x:v>24</x:v>
      </x:c>
      <x:c r="I274" s="3" t="n">
        <x:v>616</x:v>
      </x:c>
      <x:c r="J274" s="15" t="n">
        <x:f>IF(D274=0,"n.a.",E274/D274)</x:f>
        <x:v>0.0032753558947125933</x:v>
      </x:c>
      <x:c r="K274" s="15" t="n">
        <x:f>F274/'Datos'!$F$7</x:f>
        <x:v>0.0009322558353438189</x:v>
      </x:c>
      <x:c r="L274" s="3"/>
    </x:row>
    <x:row r="275" ht="22" customHeight="1">
      <x:c r="A275" s="3"/>
      <x:c r="B275" s="3" t="str">
        <x:v>84991</x:v>
      </x:c>
      <x:c r="C275" s="3" t="str">
        <x:v>60 TEATIME FAIRY CAKE CASES</x:v>
      </x:c>
      <x:c r="D275" s="13" t="n">
        <x:v>9183.72</x:v>
      </x:c>
      <x:c r="E275" s="13" t="n">
        <x:v>95.7</x:v>
      </x:c>
      <x:c r="F275" s="13" t="n">
        <x:f>D275-E275</x:f>
        <x:v>9088.019999999999</x:v>
      </x:c>
      <x:c r="G275" s="3" t="n">
        <x:v>18214</x:v>
      </x:c>
      <x:c r="H275" s="3" t="n">
        <x:v>174</x:v>
      </x:c>
      <x:c r="I275" s="3" t="n">
        <x:v>828</x:v>
      </x:c>
      <x:c r="J275" s="15" t="n">
        <x:f>IF(D275=0,"n.a.",E275/D275)</x:f>
        <x:v>0.010420613868889731</x:v>
      </x:c>
      <x:c r="K275" s="15" t="n">
        <x:f>F275/'Datos'!$F$7</x:f>
        <x:v>0.000928039433070115</x:v>
      </x:c>
      <x:c r="L275" s="3"/>
    </x:row>
    <x:row r="276" ht="22" customHeight="1">
      <x:c r="A276" s="3"/>
      <x:c r="B276" s="3" t="str">
        <x:v>23080</x:v>
      </x:c>
      <x:c r="C276" s="3" t="str">
        <x:v>RED METAL BOX TOP SECRET</x:v>
      </x:c>
      <x:c r="D276" s="13" t="n">
        <x:v>9158.87</x:v>
      </x:c>
      <x:c r="E276" s="13" t="n">
        <x:v>90.75</x:v>
      </x:c>
      <x:c r="F276" s="13" t="n">
        <x:f>D276-E276</x:f>
        <x:v>9068.12</x:v>
      </x:c>
      <x:c r="G276" s="3" t="n">
        <x:v>1079</x:v>
      </x:c>
      <x:c r="H276" s="3" t="n">
        <x:v>11</x:v>
      </x:c>
      <x:c r="I276" s="3" t="n">
        <x:v>257</x:v>
      </x:c>
      <x:c r="J276" s="15" t="n">
        <x:f>IF(D276=0,"n.a.",E276/D276)</x:f>
        <x:v>0.00990842756802968</x:v>
      </x:c>
      <x:c r="K276" s="15" t="n">
        <x:f>F276/'Datos'!$F$7</x:f>
        <x:v>0.0009260073089420768</x:v>
      </x:c>
      <x:c r="L276" s="3"/>
    </x:row>
    <x:row r="277" ht="22" customHeight="1">
      <x:c r="A277" s="3"/>
      <x:c r="B277" s="3" t="str">
        <x:v>48116</x:v>
      </x:c>
      <x:c r="C277" s="3" t="str">
        <x:v>DOORMAT MULTICOLOUR STRIPE</x:v>
      </x:c>
      <x:c r="D277" s="13" t="n">
        <x:v>9088.63</x:v>
      </x:c>
      <x:c r="E277" s="13" t="n">
        <x:v>24.15</x:v>
      </x:c>
      <x:c r="F277" s="13" t="n">
        <x:f>D277-E277</x:f>
        <x:v>9064.48</x:v>
      </x:c>
      <x:c r="G277" s="3" t="n">
        <x:v>1492</x:v>
      </x:c>
      <x:c r="H277" s="3" t="n">
        <x:v>3</x:v>
      </x:c>
      <x:c r="I277" s="3" t="n">
        <x:v>201</x:v>
      </x:c>
      <x:c r="J277" s="15" t="n">
        <x:f>IF(D277=0,"n.a.",E277/D277)</x:f>
        <x:v>0.002657166151554195</x:v>
      </x:c>
      <x:c r="K277" s="15" t="n">
        <x:f>F277/'Datos'!$F$7</x:f>
        <x:v>0.0009256356038251893</x:v>
      </x:c>
      <x:c r="L277" s="3"/>
    </x:row>
    <x:row r="278" ht="22" customHeight="1">
      <x:c r="A278" s="3"/>
      <x:c r="B278" s="3" t="str">
        <x:v>23319</x:v>
      </x:c>
      <x:c r="C278" s="3" t="str">
        <x:v>BOX OF 6 MINI 50'S CRACKERS</x:v>
      </x:c>
      <x:c r="D278" s="13" t="n">
        <x:v>9266.84</x:v>
      </x:c>
      <x:c r="E278" s="13" t="n">
        <x:v>244.97</x:v>
      </x:c>
      <x:c r="F278" s="13" t="n">
        <x:f>D278-E278</x:f>
        <x:v>9021.87</x:v>
      </x:c>
      <x:c r="G278" s="3" t="n">
        <x:v>3739</x:v>
      </x:c>
      <x:c r="H278" s="3" t="n">
        <x:v>116</x:v>
      </x:c>
      <x:c r="I278" s="3" t="n">
        <x:v>403</x:v>
      </x:c>
      <x:c r="J278" s="15" t="n">
        <x:f>IF(D278=0,"n.a.",E278/D278)</x:f>
        <x:v>0.026435117040976213</x:v>
      </x:c>
      <x:c r="K278" s="15" t="n">
        <x:f>F278/'Datos'!$F$7</x:f>
        <x:v>0.0009212844073882188</x:v>
      </x:c>
      <x:c r="L278" s="3"/>
    </x:row>
    <x:row r="279" ht="22" customHeight="1">
      <x:c r="A279" s="3"/>
      <x:c r="B279" s="3" t="str">
        <x:v>22771</x:v>
      </x:c>
      <x:c r="C279" s="3" t="str">
        <x:v>CLEAR DRAWER KNOB ACRYLIC EDWARDIAN</x:v>
      </x:c>
      <x:c r="D279" s="13" t="n">
        <x:v>9050.44</x:v>
      </x:c>
      <x:c r="E279" s="13" t="n">
        <x:v>37.5</x:v>
      </x:c>
      <x:c r="F279" s="13" t="n">
        <x:f>D279-E279</x:f>
        <x:v>9012.94</x:v>
      </x:c>
      <x:c r="G279" s="3" t="n">
        <x:v>6635</x:v>
      </x:c>
      <x:c r="H279" s="3" t="n">
        <x:v>30</x:v>
      </x:c>
      <x:c r="I279" s="3" t="n">
        <x:v>441</x:v>
      </x:c>
      <x:c r="J279" s="15" t="n">
        <x:f>IF(D279=0,"n.a.",E279/D279)</x:f>
        <x:v>0.004143444959582076</x:v>
      </x:c>
      <x:c r="K279" s="15" t="n">
        <x:f>F279/'Datos'!$F$7</x:f>
        <x:v>0.0009203725044503604</x:v>
      </x:c>
      <x:c r="L279" s="3"/>
    </x:row>
    <x:row r="280" ht="22" customHeight="1">
      <x:c r="A280" s="3"/>
      <x:c r="B280" s="3" t="str">
        <x:v>22759</x:v>
      </x:c>
      <x:c r="C280" s="3" t="str">
        <x:v>SET OF 3 NOTEBOOKS IN PARCEL</x:v>
      </x:c>
      <x:c r="D280" s="13" t="n">
        <x:v>9043.94</x:v>
      </x:c>
      <x:c r="E280" s="13" t="n">
        <x:v>39.6</x:v>
      </x:c>
      <x:c r="F280" s="13" t="n">
        <x:f>D280-E280</x:f>
        <x:v>9004.34</x:v>
      </x:c>
      <x:c r="G280" s="3" t="n">
        <x:v>5445</x:v>
      </x:c>
      <x:c r="H280" s="3" t="n">
        <x:v>24</x:v>
      </x:c>
      <x:c r="I280" s="3" t="n">
        <x:v>422</x:v>
      </x:c>
      <x:c r="J280" s="15" t="n">
        <x:f>IF(D280=0,"n.a.",E280/D280)</x:f>
        <x:v>0.004378622591481147</x:v>
      </x:c>
      <x:c r="K280" s="15" t="n">
        <x:f>F280/'Datos'!$F$7</x:f>
        <x:v>0.0009194943000533186</x:v>
      </x:c>
      <x:c r="L280" s="3"/>
    </x:row>
    <x:row r="281" ht="22" customHeight="1">
      <x:c r="A281" s="3"/>
      <x:c r="B281" s="3" t="str">
        <x:v>22729</x:v>
      </x:c>
      <x:c r="C281" s="3" t="str">
        <x:v>ALARM CLOCK BAKELIKE ORANGE</x:v>
      </x:c>
      <x:c r="D281" s="13" t="n">
        <x:v>9080.2</x:v>
      </x:c>
      <x:c r="E281" s="13" t="n">
        <x:v>115.89</x:v>
      </x:c>
      <x:c r="F281" s="13" t="n">
        <x:f>D281-E281</x:f>
        <x:v>8964.310000000001</x:v>
      </x:c>
      <x:c r="G281" s="3" t="n">
        <x:v>2326</x:v>
      </x:c>
      <x:c r="H281" s="3" t="n">
        <x:v>31</x:v>
      </x:c>
      <x:c r="I281" s="3" t="n">
        <x:v>445</x:v>
      </x:c>
      <x:c r="J281" s="15" t="n">
        <x:f>IF(D281=0,"n.a.",E281/D281)</x:f>
        <x:v>0.012762934737120327</x:v>
      </x:c>
      <x:c r="K281" s="15" t="n">
        <x:f>F281/'Datos'!$F$7</x:f>
        <x:v>0.0009154065649354606</x:v>
      </x:c>
      <x:c r="L281" s="3"/>
    </x:row>
    <x:row r="282" ht="22" customHeight="1">
      <x:c r="A282" s="3"/>
      <x:c r="B282" s="3" t="str">
        <x:v>23439</x:v>
      </x:c>
      <x:c r="C282" s="3" t="str">
        <x:v>HAND WARMER RED LOVE HEART</x:v>
      </x:c>
      <x:c r="D282" s="13" t="n">
        <x:v>8941.61</x:v>
      </x:c>
      <x:c r="E282" s="13" t="n">
        <x:v>0</x:v>
      </x:c>
      <x:c r="F282" s="13" t="n">
        <x:f>D282-E282</x:f>
        <x:v>8941.61</x:v>
      </x:c>
      <x:c r="G282" s="3" t="n">
        <x:v>4027</x:v>
      </x:c>
      <x:c r="H282" s="3" t="n">
        <x:v>0</x:v>
      </x:c>
      <x:c r="I282" s="3" t="n">
        <x:v>397</x:v>
      </x:c>
      <x:c r="J282" s="15" t="n">
        <x:f>IF(D282=0,"n.a.",E282/D282)</x:f>
        <x:v>0</x:v>
      </x:c>
      <x:c r="K282" s="15" t="n">
        <x:f>F282/'Datos'!$F$7</x:f>
        <x:v>0.0009130885137944319</x:v>
      </x:c>
      <x:c r="L282" s="3"/>
    </x:row>
    <x:row r="283" ht="22" customHeight="1">
      <x:c r="A283" s="3"/>
      <x:c r="B283" s="3" t="str">
        <x:v>22632</x:v>
      </x:c>
      <x:c r="C283" s="3" t="str">
        <x:v>HAND WARMER RED RETROSPOT</x:v>
      </x:c>
      <x:c r="D283" s="13" t="n">
        <x:v>8995.43</x:v>
      </x:c>
      <x:c r="E283" s="13" t="n">
        <x:v>59.15</x:v>
      </x:c>
      <x:c r="F283" s="13" t="n">
        <x:f>D283-E283</x:f>
        <x:v>8936.28</x:v>
      </x:c>
      <x:c r="G283" s="3" t="n">
        <x:v>4474</x:v>
      </x:c>
      <x:c r="H283" s="3" t="n">
        <x:v>29</x:v>
      </x:c>
      <x:c r="I283" s="3" t="n">
        <x:v>392</x:v>
      </x:c>
      <x:c r="J283" s="15" t="n">
        <x:f>IF(D283=0,"n.a.",E283/D283)</x:f>
        <x:v>0.006575561146048604</x:v>
      </x:c>
      <x:c r="K283" s="15" t="n">
        <x:f>F283/'Datos'!$F$7</x:f>
        <x:v>0.0009125442313018468</x:v>
      </x:c>
      <x:c r="L283" s="3"/>
    </x:row>
    <x:row r="284" ht="22" customHeight="1">
      <x:c r="A284" s="3"/>
      <x:c r="B284" s="3" t="str">
        <x:v>22989</x:v>
      </x:c>
      <x:c r="C284" s="3" t="str">
        <x:v>SET 2 PANTRY DESIGN TEA TOWELS</x:v>
      </x:c>
      <x:c r="D284" s="13" t="n">
        <x:v>9012.27</x:v>
      </x:c>
      <x:c r="E284" s="13" t="n">
        <x:v>78</x:v>
      </x:c>
      <x:c r="F284" s="13" t="n">
        <x:f>D284-E284</x:f>
        <x:v>8934.27</x:v>
      </x:c>
      <x:c r="G284" s="3" t="n">
        <x:v>2815</x:v>
      </x:c>
      <x:c r="H284" s="3" t="n">
        <x:v>24</x:v>
      </x:c>
      <x:c r="I284" s="3" t="n">
        <x:v>372</x:v>
      </x:c>
      <x:c r="J284" s="15" t="n">
        <x:f>IF(D284=0,"n.a.",E284/D284)</x:f>
        <x:v>0.00865486719772044</x:v>
      </x:c>
      <x:c r="K284" s="15" t="n">
        <x:f>F284/'Datos'!$F$7</x:f>
        <x:v>0.0009123389765532358</x:v>
      </x:c>
      <x:c r="L284" s="3"/>
    </x:row>
    <x:row r="285" ht="22" customHeight="1">
      <x:c r="A285" s="3"/>
      <x:c r="B285" s="3" t="str">
        <x:v>21889</x:v>
      </x:c>
      <x:c r="C285" s="3" t="str">
        <x:v>WOODEN BOX OF DOMINOES</x:v>
      </x:c>
      <x:c r="D285" s="13" t="n">
        <x:v>8862.29</x:v>
      </x:c>
      <x:c r="E285" s="13" t="n">
        <x:v>32.5</x:v>
      </x:c>
      <x:c r="F285" s="13" t="n">
        <x:f>D285-E285</x:f>
        <x:v>8829.79</x:v>
      </x:c>
      <x:c r="G285" s="3" t="n">
        <x:v>6402</x:v>
      </x:c>
      <x:c r="H285" s="3" t="n">
        <x:v>26</x:v>
      </x:c>
      <x:c r="I285" s="3" t="n">
        <x:v>587</x:v>
      </x:c>
      <x:c r="J285" s="15" t="n">
        <x:f>IF(D285=0,"n.a.",E285/D285)</x:f>
        <x:v>0.0036672237085448567</x:v>
      </x:c>
      <x:c r="K285" s="15" t="n">
        <x:f>F285/'Datos'!$F$7</x:f>
        <x:v>0.0009016698142970826</x:v>
      </x:c>
      <x:c r="L285" s="3"/>
    </x:row>
    <x:row r="286" ht="22" customHeight="1">
      <x:c r="A286" s="3"/>
      <x:c r="B286" s="3" t="str">
        <x:v>82582</x:v>
      </x:c>
      <x:c r="C286" s="3" t="str">
        <x:v>AREA PATROLLED METAL SIGN</x:v>
      </x:c>
      <x:c r="D286" s="13" t="n">
        <x:v>8862.99</x:v>
      </x:c>
      <x:c r="E286" s="13" t="n">
        <x:v>39.9</x:v>
      </x:c>
      <x:c r="F286" s="13" t="n">
        <x:f>D286-E286</x:f>
        <x:v>8823.09</x:v>
      </x:c>
      <x:c r="G286" s="3" t="n">
        <x:v>4367</x:v>
      </x:c>
      <x:c r="H286" s="3" t="n">
        <x:v>19</x:v>
      </x:c>
      <x:c r="I286" s="3" t="n">
        <x:v>437</x:v>
      </x:c>
      <x:c r="J286" s="15" t="n">
        <x:f>IF(D286=0,"n.a.",E286/D286)</x:f>
        <x:v>0.00450186675151388</x:v>
      </x:c>
      <x:c r="K286" s="15" t="n">
        <x:f>F286/'Datos'!$F$7</x:f>
        <x:v>0.0009009856318017128</x:v>
      </x:c>
      <x:c r="L286" s="3"/>
    </x:row>
    <x:row r="287" ht="22" customHeight="1">
      <x:c r="A287" s="3"/>
      <x:c r="B287" s="3" t="str">
        <x:v>23318</x:v>
      </x:c>
      <x:c r="C287" s="3" t="str">
        <x:v>BOX OF 6 MINI VINTAGE CRACKERS</x:v>
      </x:c>
      <x:c r="D287" s="13" t="n">
        <x:v>9167.39</x:v>
      </x:c>
      <x:c r="E287" s="13" t="n">
        <x:v>368.71</x:v>
      </x:c>
      <x:c r="F287" s="13" t="n">
        <x:f>D287-E287</x:f>
        <x:v>8798.68</x:v>
      </x:c>
      <x:c r="G287" s="3" t="n">
        <x:v>3811</x:v>
      </x:c>
      <x:c r="H287" s="3" t="n">
        <x:v>168</x:v>
      </x:c>
      <x:c r="I287" s="3" t="n">
        <x:v>376</x:v>
      </x:c>
      <x:c r="J287" s="15" t="n">
        <x:f>IF(D287=0,"n.a.",E287/D287)</x:f>
        <x:v>0.04021973538815301</x:v>
      </x:c>
      <x:c r="K287" s="15" t="n">
        <x:f>F287/'Datos'!$F$7</x:f>
        <x:v>0.0008984929609491794</x:v>
      </x:c>
      <x:c r="L287" s="3"/>
    </x:row>
    <x:row r="288" ht="22" customHeight="1">
      <x:c r="A288" s="3"/>
      <x:c r="B288" s="3" t="str">
        <x:v>21155</x:v>
      </x:c>
      <x:c r="C288" s="3" t="str">
        <x:v>RED RETROSPOT PEG BAG</x:v>
      </x:c>
      <x:c r="D288" s="13" t="n">
        <x:v>9301.4</x:v>
      </x:c>
      <x:c r="E288" s="13" t="n">
        <x:v>510.6</x:v>
      </x:c>
      <x:c r="F288" s="13" t="n">
        <x:f>D288-E288</x:f>
        <x:v>8790.8</x:v>
      </x:c>
      <x:c r="G288" s="3" t="n">
        <x:v>3157</x:v>
      </x:c>
      <x:c r="H288" s="3" t="n">
        <x:v>238</x:v>
      </x:c>
      <x:c r="I288" s="3" t="n">
        <x:v>485</x:v>
      </x:c>
      <x:c r="J288" s="15" t="n">
        <x:f>IF(D288=0,"n.a.",E288/D288)</x:f>
        <x:v>0.05489496204872385</x:v>
      </x:c>
      <x:c r="K288" s="15" t="n">
        <x:f>F288/'Datos'!$F$7</x:f>
        <x:v>0.0008976882806411921</x:v>
      </x:c>
      <x:c r="L288" s="3"/>
    </x:row>
    <x:row r="289" ht="22" customHeight="1">
      <x:c r="A289" s="3"/>
      <x:c r="B289" s="3" t="str">
        <x:v>23322</x:v>
      </x:c>
      <x:c r="C289" s="3" t="str">
        <x:v>LARGE WHITE HEART OF WICKER</x:v>
      </x:c>
      <x:c r="D289" s="13" t="n">
        <x:v>8925.41</x:v>
      </x:c>
      <x:c r="E289" s="13" t="n">
        <x:v>169.85</x:v>
      </x:c>
      <x:c r="F289" s="13" t="n">
        <x:f>D289-E289</x:f>
        <x:v>8755.56</x:v>
      </x:c>
      <x:c r="G289" s="3" t="n">
        <x:v>3085</x:v>
      </x:c>
      <x:c r="H289" s="3" t="n">
        <x:v>63</x:v>
      </x:c>
      <x:c r="I289" s="3" t="n">
        <x:v>562</x:v>
      </x:c>
      <x:c r="J289" s="15" t="n">
        <x:f>IF(D289=0,"n.a.",E289/D289)</x:f>
        <x:v>0.0190299381204897</x:v>
      </x:c>
      <x:c r="K289" s="15" t="n">
        <x:f>F289/'Datos'!$F$7</x:f>
        <x:v>0.0008940896849491283</x:v>
      </x:c>
      <x:c r="L289" s="3"/>
    </x:row>
    <x:row r="290" ht="22" customHeight="1">
      <x:c r="A290" s="3"/>
      <x:c r="B290" s="3" t="str">
        <x:v>84945</x:v>
      </x:c>
      <x:c r="C290" s="3" t="str">
        <x:v>MULTI COLOUR SILVER T-LIGHT HOLDER</x:v>
      </x:c>
      <x:c r="D290" s="13" t="n">
        <x:v>8754.63</x:v>
      </x:c>
      <x:c r="E290" s="13" t="n">
        <x:v>97.46</x:v>
      </x:c>
      <x:c r="F290" s="13" t="n">
        <x:f>D290-E290</x:f>
        <x:v>8657.17</x:v>
      </x:c>
      <x:c r="G290" s="3" t="n">
        <x:v>10557</x:v>
      </x:c>
      <x:c r="H290" s="3" t="n">
        <x:v>103</x:v>
      </x:c>
      <x:c r="I290" s="3" t="n">
        <x:v>347</x:v>
      </x:c>
      <x:c r="J290" s="15" t="n">
        <x:f>IF(D290=0,"n.a.",E290/D290)</x:f>
        <x:v>0.011132395086942568</x:v>
      </x:c>
      <x:c r="K290" s="15" t="n">
        <x:f>F290/'Datos'!$F$7</x:f>
        <x:v>0.0008840424139462291</x:v>
      </x:c>
      <x:c r="L290" s="3"/>
    </x:row>
    <x:row r="291" ht="22" customHeight="1">
      <x:c r="A291" s="3"/>
      <x:c r="B291" s="3" t="str">
        <x:v>22947</x:v>
      </x:c>
      <x:c r="C291" s="3" t="str">
        <x:v>WOODEN ADVENT CALENDAR RED</x:v>
      </x:c>
      <x:c r="D291" s="13" t="n">
        <x:v>8714.24</x:v>
      </x:c>
      <x:c r="E291" s="13" t="n">
        <x:v>72.92</x:v>
      </x:c>
      <x:c r="F291" s="13" t="n">
        <x:f>D291-E291</x:f>
        <x:v>8641.32</x:v>
      </x:c>
      <x:c r="G291" s="3" t="n">
        <x:v>746</x:v>
      </x:c>
      <x:c r="H291" s="3" t="n">
        <x:v>6</x:v>
      </x:c>
      <x:c r="I291" s="3" t="n">
        <x:v>137</x:v>
      </x:c>
      <x:c r="J291" s="15" t="n">
        <x:f>IF(D291=0,"n.a.",E291/D291)</x:f>
        <x:v>0.008367912749706228</x:v>
      </x:c>
      <x:c r="K291" s="15" t="n">
        <x:f>F291/'Datos'!$F$7</x:f>
        <x:v>0.0008824238628191231</x:v>
      </x:c>
      <x:c r="L291" s="3"/>
    </x:row>
    <x:row r="292" ht="22" customHeight="1">
      <x:c r="A292" s="3"/>
      <x:c r="B292" s="3" t="str">
        <x:v>22652</x:v>
      </x:c>
      <x:c r="C292" s="3" t="str">
        <x:v>TRAVEL SEWING KIT</x:v>
      </x:c>
      <x:c r="D292" s="13" t="n">
        <x:v>8620.32</x:v>
      </x:c>
      <x:c r="E292" s="13" t="n">
        <x:v>24.75</x:v>
      </x:c>
      <x:c r="F292" s="13" t="n">
        <x:f>D292-E292</x:f>
        <x:v>8595.57</x:v>
      </x:c>
      <x:c r="G292" s="3" t="n">
        <x:v>5096</x:v>
      </x:c>
      <x:c r="H292" s="3" t="n">
        <x:v>15</x:v>
      </x:c>
      <x:c r="I292" s="3" t="n">
        <x:v>467</x:v>
      </x:c>
      <x:c r="J292" s="15" t="n">
        <x:f>IF(D292=0,"n.a.",E292/D292)</x:f>
        <x:v>0.002871123113759118</x:v>
      </x:c>
      <x:c r="K292" s="15" t="n">
        <x:f>F292/'Datos'!$F$7</x:f>
        <x:v>0.0008777520196604419</x:v>
      </x:c>
      <x:c r="L292" s="3"/>
    </x:row>
    <x:row r="293" ht="22" customHeight="1">
      <x:c r="A293" s="3"/>
      <x:c r="B293" s="3" t="str">
        <x:v>23534</x:v>
      </x:c>
      <x:c r="C293" s="3" t="str">
        <x:v>WALL ART STOP FOR TEA</x:v>
      </x:c>
      <x:c r="D293" s="13" t="n">
        <x:v>8614.85</x:v>
      </x:c>
      <x:c r="E293" s="13" t="n">
        <x:v>41.65</x:v>
      </x:c>
      <x:c r="F293" s="13" t="n">
        <x:f>D293-E293</x:f>
        <x:v>8573.2</x:v>
      </x:c>
      <x:c r="G293" s="3" t="n">
        <x:v>1388</x:v>
      </x:c>
      <x:c r="H293" s="3" t="n">
        <x:v>7</x:v>
      </x:c>
      <x:c r="I293" s="3" t="n">
        <x:v>260</x:v>
      </x:c>
      <x:c r="J293" s="15" t="n">
        <x:f>IF(D293=0,"n.a.",E293/D293)</x:f>
        <x:v>0.0048346750088509955</x:v>
      </x:c>
      <x:c r="K293" s="15" t="n">
        <x:f>F293/'Datos'!$F$7</x:f>
        <x:v>0.0008754676670602301</x:v>
      </x:c>
      <x:c r="L293" s="3"/>
    </x:row>
    <x:row r="294" ht="22" customHeight="1">
      <x:c r="A294" s="3"/>
      <x:c r="B294" s="3" t="str">
        <x:v>22273</x:v>
      </x:c>
      <x:c r="C294" s="3" t="str">
        <x:v>FELTCRAFT DOLL MOLLY</x:v>
      </x:c>
      <x:c r="D294" s="13" t="n">
        <x:v>12016.34</x:v>
      </x:c>
      <x:c r="E294" s="13" t="n">
        <x:v>3512.65</x:v>
      </x:c>
      <x:c r="F294" s="13" t="n">
        <x:f>D294-E294</x:f>
        <x:v>8503.69</x:v>
      </x:c>
      <x:c r="G294" s="3" t="n">
        <x:v>4514</x:v>
      </x:c>
      <x:c r="H294" s="3" t="n">
        <x:v>1447</x:v>
      </x:c>
      <x:c r="I294" s="3" t="n">
        <x:v>331</x:v>
      </x:c>
      <x:c r="J294" s="15" t="n">
        <x:f>IF(D294=0,"n.a.",E294/D294)</x:f>
        <x:v>0.29232278713818016</x:v>
      </x:c>
      <x:c r="K294" s="15" t="n">
        <x:f>F294/'Datos'!$F$7</x:f>
        <x:v>0.0008683695289627453</x:v>
      </x:c>
      <x:c r="L294" s="3"/>
    </x:row>
    <x:row r="295" ht="22" customHeight="1">
      <x:c r="A295" s="3"/>
      <x:c r="B295" s="3" t="str">
        <x:v>22795</x:v>
      </x:c>
      <x:c r="C295" s="3" t="str">
        <x:v>SWEETHEART RECIPE BOOK STAND</x:v>
      </x:c>
      <x:c r="D295" s="13" t="n">
        <x:v>8578</x:v>
      </x:c>
      <x:c r="E295" s="13" t="n">
        <x:v>78.45</x:v>
      </x:c>
      <x:c r="F295" s="13" t="n">
        <x:f>D295-E295</x:f>
        <x:v>8499.55</x:v>
      </x:c>
      <x:c r="G295" s="3" t="n">
        <x:v>1212</x:v>
      </x:c>
      <x:c r="H295" s="3" t="n">
        <x:v>17</x:v>
      </x:c>
      <x:c r="I295" s="3" t="n">
        <x:v>368</x:v>
      </x:c>
      <x:c r="J295" s="15" t="n">
        <x:f>IF(D295=0,"n.a.",E295/D295)</x:f>
        <x:v>0.009145488458848217</x:v>
      </x:c>
      <x:c r="K295" s="15" t="n">
        <x:f>F295/'Datos'!$F$7</x:f>
        <x:v>0.0008679467654506808</x:v>
      </x:c>
      <x:c r="L295" s="3"/>
    </x:row>
    <x:row r="296" ht="22" customHeight="1">
      <x:c r="A296" s="3"/>
      <x:c r="B296" s="3" t="str">
        <x:v>23493</x:v>
      </x:c>
      <x:c r="C296" s="3" t="str">
        <x:v>VINTAGE DOILY TRAVEL SEWING KIT</x:v>
      </x:c>
      <x:c r="D296" s="13" t="n">
        <x:v>8509.68</x:v>
      </x:c>
      <x:c r="E296" s="13" t="n">
        <x:v>11.4</x:v>
      </x:c>
      <x:c r="F296" s="13" t="n">
        <x:f>D296-E296</x:f>
        <x:v>8498.28</x:v>
      </x:c>
      <x:c r="G296" s="3" t="n">
        <x:v>3970</x:v>
      </x:c>
      <x:c r="H296" s="3" t="n">
        <x:v>6</x:v>
      </x:c>
      <x:c r="I296" s="3" t="n">
        <x:v>415</x:v>
      </x:c>
      <x:c r="J296" s="15" t="n">
        <x:f>IF(D296=0,"n.a.",E296/D296)</x:f>
        <x:v>0.0013396508446851115</x:v>
      </x:c>
      <x:c r="K296" s="15" t="n">
        <x:f>F296/'Datos'!$F$7</x:f>
        <x:v>0.0008678170771269318</x:v>
      </x:c>
      <x:c r="L296" s="3"/>
    </x:row>
    <x:row r="297" ht="22" customHeight="1">
      <x:c r="A297" s="3"/>
      <x:c r="B297" s="3" t="str">
        <x:v>23078</x:v>
      </x:c>
      <x:c r="C297" s="3" t="str">
        <x:v>ICE CREAM PEN LIP GLOSS</x:v>
      </x:c>
      <x:c r="D297" s="13" t="n">
        <x:v>8553.34</x:v>
      </x:c>
      <x:c r="E297" s="13" t="n">
        <x:v>60</x:v>
      </x:c>
      <x:c r="F297" s="13" t="n">
        <x:f>D297-E297</x:f>
        <x:v>8493.34</x:v>
      </x:c>
      <x:c r="G297" s="3" t="n">
        <x:v>6831</x:v>
      </x:c>
      <x:c r="H297" s="3" t="n">
        <x:v>48</x:v>
      </x:c>
      <x:c r="I297" s="3" t="n">
        <x:v>257</x:v>
      </x:c>
      <x:c r="J297" s="15" t="n">
        <x:f>IF(D297=0,"n.a.",E297/D297)</x:f>
        <x:v>0.0070148035738085935</x:v>
      </x:c>
      <x:c r="K297" s="15" t="n">
        <x:f>F297/'Datos'!$F$7</x:f>
        <x:v>0.0008673126201825845</x:v>
      </x:c>
      <x:c r="L297" s="3"/>
    </x:row>
    <x:row r="298" ht="22" customHeight="1">
      <x:c r="A298" s="3"/>
      <x:c r="B298" s="3" t="str">
        <x:v>23082</x:v>
      </x:c>
      <x:c r="C298" s="3" t="str">
        <x:v>SET 6 PAPER TABLE LANTERN HEARTS</x:v>
      </x:c>
      <x:c r="D298" s="13" t="n">
        <x:v>8577.51</x:v>
      </x:c>
      <x:c r="E298" s="13" t="n">
        <x:v>103.16</x:v>
      </x:c>
      <x:c r="F298" s="13" t="n">
        <x:f>D298-E298</x:f>
        <x:v>8474.35</x:v>
      </x:c>
      <x:c r="G298" s="3" t="n">
        <x:v>2333</x:v>
      </x:c>
      <x:c r="H298" s="3" t="n">
        <x:v>28</x:v>
      </x:c>
      <x:c r="I298" s="3" t="n">
        <x:v>297</x:v>
      </x:c>
      <x:c r="J298" s="15" t="n">
        <x:f>IF(D298=0,"n.a.",E298/D298)</x:f>
        <x:v>0.012026800318507351</x:v>
      </x:c>
      <x:c r="K298" s="15" t="n">
        <x:f>F298/'Datos'!$F$7</x:f>
        <x:v>0.000865373422333768</x:v>
      </x:c>
      <x:c r="L298" s="3"/>
    </x:row>
    <x:row r="299" ht="22" customHeight="1">
      <x:c r="A299" s="3"/>
      <x:c r="B299" s="3" t="str">
        <x:v>23535</x:v>
      </x:c>
      <x:c r="C299" s="3" t="str">
        <x:v>WALL ART BICYCLE SAFETY</x:v>
      </x:c>
      <x:c r="D299" s="13" t="n">
        <x:v>8469.99</x:v>
      </x:c>
      <x:c r="E299" s="13" t="n">
        <x:v>5.95</x:v>
      </x:c>
      <x:c r="F299" s="13" t="n">
        <x:f>D299-E299</x:f>
        <x:v>8464.039999999999</x:v>
      </x:c>
      <x:c r="G299" s="3" t="n">
        <x:v>1329</x:v>
      </x:c>
      <x:c r="H299" s="3" t="n">
        <x:v>1</x:v>
      </x:c>
      <x:c r="I299" s="3" t="n">
        <x:v>215</x:v>
      </x:c>
      <x:c r="J299" s="15" t="n">
        <x:f>IF(D299=0,"n.a.",E299/D299)</x:f>
        <x:v>0.000702480168217436</x:v>
      </x:c>
      <x:c r="K299" s="15" t="n">
        <x:f>F299/'Datos'!$F$7</x:f>
        <x:v>0.0008643205982252214</x:v>
      </x:c>
      <x:c r="L299" s="3"/>
    </x:row>
    <x:row r="300" ht="22" customHeight="1">
      <x:c r="A300" s="3"/>
      <x:c r="B300" s="3" t="str">
        <x:v>84378</x:v>
      </x:c>
      <x:c r="C300" s="3" t="str">
        <x:v>SET OF 3 HEART COOKIE CUTTERS</x:v>
      </x:c>
      <x:c r="D300" s="13" t="n">
        <x:v>8540.9</x:v>
      </x:c>
      <x:c r="E300" s="13" t="n">
        <x:v>90</x:v>
      </x:c>
      <x:c r="F300" s="13" t="n">
        <x:f>D300-E300</x:f>
        <x:v>8450.9</x:v>
      </x:c>
      <x:c r="G300" s="3" t="n">
        <x:v>6350</x:v>
      </x:c>
      <x:c r="H300" s="3" t="n">
        <x:v>72</x:v>
      </x:c>
      <x:c r="I300" s="3" t="n">
        <x:v>685</x:v>
      </x:c>
      <x:c r="J300" s="15" t="n">
        <x:f>IF(D300=0,"n.a.",E300/D300)</x:f>
        <x:v>0.010537531173529723</x:v>
      </x:c>
      <x:c r="K300" s="15" t="n">
        <x:f>F300/'Datos'!$F$7</x:f>
        <x:v>0.000862978783599974</x:v>
      </x:c>
      <x:c r="L300" s="3"/>
    </x:row>
    <x:row r="301" ht="22" customHeight="1">
      <x:c r="A301" s="3"/>
      <x:c r="B301" s="3" t="str">
        <x:v>23321</x:v>
      </x:c>
      <x:c r="C301" s="3" t="str">
        <x:v>SMALL WHITE HEART OF WICKER</x:v>
      </x:c>
      <x:c r="D301" s="13" t="n">
        <x:v>8473.27</x:v>
      </x:c>
      <x:c r="E301" s="13" t="n">
        <x:v>64.35</x:v>
      </x:c>
      <x:c r="F301" s="13" t="n">
        <x:f>D301-E301</x:f>
        <x:v>8408.92</x:v>
      </x:c>
      <x:c r="G301" s="3" t="n">
        <x:v>4737</x:v>
      </x:c>
      <x:c r="H301" s="3" t="n">
        <x:v>39</x:v>
      </x:c>
      <x:c r="I301" s="3" t="n">
        <x:v>629</x:v>
      </x:c>
      <x:c r="J301" s="15" t="n">
        <x:f>IF(D301=0,"n.a.",E301/D301)</x:f>
        <x:v>0.007594470611700086</x:v>
      </x:c>
      <x:c r="K301" s="15" t="n">
        <x:f>F301/'Datos'!$F$7</x:f>
        <x:v>0.0008586919207409263</x:v>
      </x:c>
      <x:c r="L301" s="3"/>
    </x:row>
    <x:row r="302" ht="22" customHeight="1">
      <x:c r="A302" s="3"/>
      <x:c r="B302" s="3" t="str">
        <x:v>21213</x:v>
      </x:c>
      <x:c r="C302" s="3" t="str">
        <x:v>PACK OF 72 SKULL CAKE CASES</x:v>
      </x:c>
      <x:c r="D302" s="13" t="n">
        <x:v>8418.44</x:v>
      </x:c>
      <x:c r="E302" s="13" t="n">
        <x:v>26.4</x:v>
      </x:c>
      <x:c r="F302" s="13" t="n">
        <x:f>D302-E302</x:f>
        <x:v>8392.04</x:v>
      </x:c>
      <x:c r="G302" s="3" t="n">
        <x:v>15176</x:v>
      </x:c>
      <x:c r="H302" s="3" t="n">
        <x:v>48</x:v>
      </x:c>
      <x:c r="I302" s="3" t="n">
        <x:v>663</x:v>
      </x:c>
      <x:c r="J302" s="15" t="n">
        <x:f>IF(D302=0,"n.a.",E302/D302)</x:f>
        <x:v>0.0031359729356032705</x:v>
      </x:c>
      <x:c r="K302" s="15" t="n">
        <x:f>F302/'Datos'!$F$7</x:f>
        <x:v>0.0008569681893197561</x:v>
      </x:c>
      <x:c r="L302" s="3"/>
    </x:row>
    <x:row r="303" ht="22" customHeight="1">
      <x:c r="A303" s="3"/>
      <x:c r="B303" s="3" t="str">
        <x:v>21484</x:v>
      </x:c>
      <x:c r="C303" s="3" t="str">
        <x:v>CHICK GREY HOT WATER BOTTLE</x:v>
      </x:c>
      <x:c r="D303" s="13" t="n">
        <x:v>8535.52</x:v>
      </x:c>
      <x:c r="E303" s="13" t="n">
        <x:v>147.6</x:v>
      </x:c>
      <x:c r="F303" s="13" t="n">
        <x:f>D303-E303</x:f>
        <x:v>8387.92</x:v>
      </x:c>
      <x:c r="G303" s="3" t="n">
        <x:v>1881</x:v>
      </x:c>
      <x:c r="H303" s="3" t="n">
        <x:v>48</x:v>
      </x:c>
      <x:c r="I303" s="3" t="n">
        <x:v>402</x:v>
      </x:c>
      <x:c r="J303" s="15" t="n">
        <x:f>IF(D303=0,"n.a.",E303/D303)</x:f>
        <x:v>0.01729244381127336</x:v>
      </x:c>
      <x:c r="K303" s="15" t="n">
        <x:f>F303/'Datos'!$F$7</x:f>
        <x:v>0.0008565474681434988</x:v>
      </x:c>
      <x:c r="L303" s="3"/>
    </x:row>
    <x:row r="304" ht="22" customHeight="1">
      <x:c r="A304" s="3"/>
      <x:c r="B304" s="3" t="str">
        <x:v>23256</x:v>
      </x:c>
      <x:c r="C304" s="3" t="str">
        <x:v>CHILDRENS CUTLERY SPACEBOY</x:v>
      </x:c>
      <x:c r="D304" s="13" t="n">
        <x:v>8675.37</x:v>
      </x:c>
      <x:c r="E304" s="13" t="n">
        <x:v>338</x:v>
      </x:c>
      <x:c r="F304" s="13" t="n">
        <x:f>D304-E304</x:f>
        <x:v>8337.37</x:v>
      </x:c>
      <x:c r="G304" s="3" t="n">
        <x:v>2115</x:v>
      </x:c>
      <x:c r="H304" s="3" t="n">
        <x:v>88</x:v>
      </x:c>
      <x:c r="I304" s="3" t="n">
        <x:v>368</x:v>
      </x:c>
      <x:c r="J304" s="15" t="n">
        <x:f>IF(D304=0,"n.a.",E304/D304)</x:f>
        <x:v>0.0389608742912406</x:v>
      </x:c>
      <x:c r="K304" s="15" t="n">
        <x:f>F304/'Datos'!$F$7</x:f>
        <x:v>0.00085138546439112</x:v>
      </x:c>
      <x:c r="L304" s="3"/>
    </x:row>
    <x:row r="305" ht="22" customHeight="1">
      <x:c r="A305" s="3"/>
      <x:c r="B305" s="3" t="str">
        <x:v>71053</x:v>
      </x:c>
      <x:c r="C305" s="3" t="str">
        <x:v>WHITE METAL LANTERN</x:v>
      </x:c>
      <x:c r="D305" s="13" t="n">
        <x:v>8441.82</x:v>
      </x:c>
      <x:c r="E305" s="13" t="n">
        <x:v>139.77</x:v>
      </x:c>
      <x:c r="F305" s="13" t="n">
        <x:f>D305-E305</x:f>
        <x:v>8302.05</x:v>
      </x:c>
      <x:c r="G305" s="3" t="n">
        <x:v>1950</x:v>
      </x:c>
      <x:c r="H305" s="3" t="n">
        <x:v>39</x:v>
      </x:c>
      <x:c r="I305" s="3" t="n">
        <x:v>333</x:v>
      </x:c>
      <x:c r="J305" s="15" t="n">
        <x:f>IF(D305=0,"n.a.",E305/D305)</x:f>
        <x:v>0.016556856222947187</x:v>
      </x:c>
      <x:c r="K305" s="15" t="n">
        <x:f>F305/'Datos'!$F$7</x:f>
        <x:v>0.0008477786993558277</x:v>
      </x:c>
      <x:c r="L305" s="3"/>
    </x:row>
    <x:row r="306" ht="22" customHeight="1">
      <x:c r="A306" s="3"/>
      <x:c r="B306" s="3" t="str">
        <x:v>21210</x:v>
      </x:c>
      <x:c r="C306" s="3" t="str">
        <x:v>SET OF 72 RETROSPOT PAPER DOILIES</x:v>
      </x:c>
      <x:c r="D306" s="13" t="n">
        <x:v>8374.19</x:v>
      </x:c>
      <x:c r="E306" s="13" t="n">
        <x:v>173.65</x:v>
      </x:c>
      <x:c r="F306" s="13" t="n">
        <x:f>D306-E306</x:f>
        <x:v>8200.54</x:v>
      </x:c>
      <x:c r="G306" s="3" t="n">
        <x:v>5812</x:v>
      </x:c>
      <x:c r="H306" s="3" t="n">
        <x:v>133</x:v>
      </x:c>
      <x:c r="I306" s="3" t="n">
        <x:v>453</x:v>
      </x:c>
      <x:c r="J306" s="15" t="n">
        <x:f>IF(D306=0,"n.a.",E306/D306)</x:f>
        <x:v>0.020736333902144567</x:v>
      </x:c>
      <x:c r="K306" s="15" t="n">
        <x:f>F306/'Datos'!$F$7</x:f>
        <x:v>0.000837412823967025</x:v>
      </x:c>
      <x:c r="L306" s="3"/>
    </x:row>
    <x:row r="307" ht="22" customHeight="1">
      <x:c r="A307" s="3"/>
      <x:c r="B307" s="3" t="str">
        <x:v>72741</x:v>
      </x:c>
      <x:c r="C307" s="3" t="str">
        <x:v>GRAND CHOCOLATECANDLE</x:v>
      </x:c>
      <x:c r="D307" s="13" t="n">
        <x:v>8225</x:v>
      </x:c>
      <x:c r="E307" s="13" t="n">
        <x:v>36.25</x:v>
      </x:c>
      <x:c r="F307" s="13" t="n">
        <x:f>D307-E307</x:f>
        <x:v>8188.75</x:v>
      </x:c>
      <x:c r="G307" s="3" t="n">
        <x:v>5978</x:v>
      </x:c>
      <x:c r="H307" s="3" t="n">
        <x:v>25</x:v>
      </x:c>
      <x:c r="I307" s="3" t="n">
        <x:v>292</x:v>
      </x:c>
      <x:c r="J307" s="15" t="n">
        <x:f>IF(D307=0,"n.a.",E307/D307)</x:f>
        <x:v>0.004407294832826748</x:v>
      </x:c>
      <x:c r="K307" s="15" t="n">
        <x:f>F307/'Datos'!$F$7</x:f>
        <x:v>0.000836208867008755</x:v>
      </x:c>
      <x:c r="L307" s="3"/>
    </x:row>
    <x:row r="308" ht="22" customHeight="1">
      <x:c r="A308" s="3"/>
      <x:c r="B308" s="3" t="str">
        <x:v>84970S</x:v>
      </x:c>
      <x:c r="C308" s="3" t="str">
        <x:v>HANGING HEART ZINC T-LIGHT HOLDER</x:v>
      </x:c>
      <x:c r="D308" s="13" t="n">
        <x:v>8168.9</x:v>
      </x:c>
      <x:c r="E308" s="13" t="n">
        <x:v>20.2</x:v>
      </x:c>
      <x:c r="F308" s="13" t="n">
        <x:f>D308-E308</x:f>
        <x:v>8148.7</x:v>
      </x:c>
      <x:c r="G308" s="3" t="n">
        <x:v>9143</x:v>
      </x:c>
      <x:c r="H308" s="3" t="n">
        <x:v>25</x:v>
      </x:c>
      <x:c r="I308" s="3" t="n">
        <x:v>603</x:v>
      </x:c>
      <x:c r="J308" s="15" t="n">
        <x:f>IF(D308=0,"n.a.",E308/D308)</x:f>
        <x:v>0.002472793154525089</x:v>
      </x:c>
      <x:c r="K308" s="15" t="n">
        <x:f>F308/'Datos'!$F$7</x:f>
        <x:v>0.0008321190895550898</x:v>
      </x:c>
      <x:c r="L308" s="3"/>
    </x:row>
    <x:row r="309" ht="22" customHeight="1">
      <x:c r="A309" s="3"/>
      <x:c r="B309" s="3" t="str">
        <x:v>22838</x:v>
      </x:c>
      <x:c r="C309" s="3" t="str">
        <x:v>3 TIER CAKE TIN RED AND CREAM</x:v>
      </x:c>
      <x:c r="D309" s="13" t="n">
        <x:v>9765.11</x:v>
      </x:c>
      <x:c r="E309" s="13" t="n">
        <x:v>1671.6</x:v>
      </x:c>
      <x:c r="F309" s="13" t="n">
        <x:f>D309-E309</x:f>
        <x:v>8093.51</x:v>
      </x:c>
      <x:c r="G309" s="3" t="n">
        <x:v>689</x:v>
      </x:c>
      <x:c r="H309" s="3" t="n">
        <x:v>128</x:v>
      </x:c>
      <x:c r="I309" s="3" t="n">
        <x:v>168</x:v>
      </x:c>
      <x:c r="J309" s="15" t="n">
        <x:f>IF(D309=0,"n.a.",E309/D309)</x:f>
        <x:v>0.1711808673942229</x:v>
      </x:c>
      <x:c r="K309" s="15" t="n">
        <x:f>F309/'Datos'!$F$7</x:f>
        <x:v>0.0008264832638954699</x:v>
      </x:c>
      <x:c r="L309" s="3"/>
    </x:row>
    <x:row r="310" ht="22" customHeight="1">
      <x:c r="A310" s="3"/>
      <x:c r="B310" s="3" t="str">
        <x:v>84380</x:v>
      </x:c>
      <x:c r="C310" s="3" t="str">
        <x:v>SET OF 3 BUTTERFLY COOKIE CUTTERS</x:v>
      </x:c>
      <x:c r="D310" s="13" t="n">
        <x:v>8161.46</x:v>
      </x:c>
      <x:c r="E310" s="13" t="n">
        <x:v>98.75</x:v>
      </x:c>
      <x:c r="F310" s="13" t="n">
        <x:f>D310-E310</x:f>
        <x:v>8062.71</x:v>
      </x:c>
      <x:c r="G310" s="3" t="n">
        <x:v>5805</x:v>
      </x:c>
      <x:c r="H310" s="3" t="n">
        <x:v>75</x:v>
      </x:c>
      <x:c r="I310" s="3" t="n">
        <x:v>688</x:v>
      </x:c>
      <x:c r="J310" s="15" t="n">
        <x:f>IF(D310=0,"n.a.",E310/D310)</x:f>
        <x:v>0.012099550815662883</x:v>
      </x:c>
      <x:c r="K310" s="15" t="n">
        <x:f>F310/'Datos'!$F$7</x:f>
        <x:v>0.0008233380667525763</x:v>
      </x:c>
      <x:c r="L310" s="3"/>
    </x:row>
    <x:row r="311" ht="22" customHeight="1">
      <x:c r="A311" s="3"/>
      <x:c r="B311" s="3" t="str">
        <x:v>22192</x:v>
      </x:c>
      <x:c r="C311" s="3" t="str">
        <x:v>BLUE DINER WALL CLOCK</x:v>
      </x:c>
      <x:c r="D311" s="13" t="n">
        <x:v>8189.29</x:v>
      </x:c>
      <x:c r="E311" s="13" t="n">
        <x:v>168.3</x:v>
      </x:c>
      <x:c r="F311" s="13" t="n">
        <x:f>D311-E311</x:f>
        <x:v>8020.99</x:v>
      </x:c>
      <x:c r="G311" s="3" t="n">
        <x:v>954</x:v>
      </x:c>
      <x:c r="H311" s="3" t="n">
        <x:v>21</x:v>
      </x:c>
      <x:c r="I311" s="3" t="n">
        <x:v>365</x:v>
      </x:c>
      <x:c r="J311" s="15" t="n">
        <x:f>IF(D311=0,"n.a.",E311/D311)</x:f>
        <x:v>0.02055123215809918</x:v>
      </x:c>
      <x:c r="K311" s="15" t="n">
        <x:f>F311/'Datos'!$F$7</x:f>
        <x:v>0.0008190777542590205</x:v>
      </x:c>
      <x:c r="L311" s="3"/>
    </x:row>
    <x:row r="312" ht="22" customHeight="1">
      <x:c r="A312" s="3"/>
      <x:c r="B312" s="3" t="str">
        <x:v>21035</x:v>
      </x:c>
      <x:c r="C312" s="3" t="str">
        <x:v>SET/2 RED RETROSPOT TEA TOWELS</x:v>
      </x:c>
      <x:c r="D312" s="13" t="n">
        <x:v>8549.85</x:v>
      </x:c>
      <x:c r="E312" s="13" t="n">
        <x:v>550</x:v>
      </x:c>
      <x:c r="F312" s="13" t="n">
        <x:f>D312-E312</x:f>
        <x:v>7999.85</x:v>
      </x:c>
      <x:c r="G312" s="3" t="n">
        <x:v>2603</x:v>
      </x:c>
      <x:c r="H312" s="3" t="n">
        <x:v>200</x:v>
      </x:c>
      <x:c r="I312" s="3" t="n">
        <x:v>394</x:v>
      </x:c>
      <x:c r="J312" s="15" t="n">
        <x:f>IF(D312=0,"n.a.",E312/D312)</x:f>
        <x:v>0.06432861395229156</x:v>
      </x:c>
      <x:c r="K312" s="15" t="n">
        <x:f>F312/'Datos'!$F$7</x:f>
        <x:v>0.0008169190053109436</x:v>
      </x:c>
      <x:c r="L312" s="3"/>
    </x:row>
    <x:row r="313" ht="22" customHeight="1">
      <x:c r="A313" s="3"/>
      <x:c r="B313" s="3" t="str">
        <x:v>22725</x:v>
      </x:c>
      <x:c r="C313" s="3" t="str">
        <x:v>ALARM CLOCK BAKELIKE CHOCOLATE</x:v>
      </x:c>
      <x:c r="D313" s="13" t="n">
        <x:v>8168.6</x:v>
      </x:c>
      <x:c r="E313" s="13" t="n">
        <x:v>187.5</x:v>
      </x:c>
      <x:c r="F313" s="13" t="n">
        <x:f>D313-E313</x:f>
        <x:v>7981.1</x:v>
      </x:c>
      <x:c r="G313" s="3" t="n">
        <x:v>1984</x:v>
      </x:c>
      <x:c r="H313" s="3" t="n">
        <x:v>50</x:v>
      </x:c>
      <x:c r="I313" s="3" t="n">
        <x:v>428</x:v>
      </x:c>
      <x:c r="J313" s="15" t="n">
        <x:f>IF(D313=0,"n.a.",E313/D313)</x:f>
        <x:v>0.022953749724555002</x:v>
      </x:c>
      <x:c r="K313" s="15" t="n">
        <x:f>F313/'Datos'!$F$7</x:f>
        <x:v>0.0008150043154918119</x:v>
      </x:c>
      <x:c r="L313" s="3"/>
    </x:row>
    <x:row r="314" ht="22" customHeight="1">
      <x:c r="A314" s="3"/>
      <x:c r="B314" s="3" t="str">
        <x:v>22616</x:v>
      </x:c>
      <x:c r="C314" s="3" t="str">
        <x:v>PACK OF 12 LONDON TISSUES</x:v>
      </x:c>
      <x:c r="D314" s="13" t="n">
        <x:v>7980.92</x:v>
      </x:c>
      <x:c r="E314" s="13" t="n">
        <x:v>8.16</x:v>
      </x:c>
      <x:c r="F314" s="13" t="n">
        <x:f>D314-E314</x:f>
        <x:v>7972.76</x:v>
      </x:c>
      <x:c r="G314" s="3" t="n">
        <x:v>26135</x:v>
      </x:c>
      <x:c r="H314" s="3" t="n">
        <x:v>24</x:v>
      </x:c>
      <x:c r="I314" s="3" t="n">
        <x:v>512</x:v>
      </x:c>
      <x:c r="J314" s="15" t="n">
        <x:f>IF(D314=0,"n.a.",E314/D314)</x:f>
        <x:v>0.001022438515860327</x:v>
      </x:c>
      <x:c r="K314" s="15" t="n">
        <x:f>F314/'Datos'!$F$7</x:f>
        <x:v>0.0008141526614602622</x:v>
      </x:c>
      <x:c r="L314" s="3"/>
    </x:row>
    <x:row r="315" ht="22" customHeight="1">
      <x:c r="A315" s="3"/>
      <x:c r="B315" s="3" t="str">
        <x:v>21121</x:v>
      </x:c>
      <x:c r="C315" s="3" t="str">
        <x:v>SET/10 RED POLKADOT PARTY CANDLES</x:v>
      </x:c>
      <x:c r="D315" s="13" t="n">
        <x:v>8033.85</x:v>
      </x:c>
      <x:c r="E315" s="13" t="n">
        <x:v>120</x:v>
      </x:c>
      <x:c r="F315" s="13" t="n">
        <x:f>D315-E315</x:f>
        <x:v>7913.85</x:v>
      </x:c>
      <x:c r="G315" s="3" t="n">
        <x:v>6634</x:v>
      </x:c>
      <x:c r="H315" s="3" t="n">
        <x:v>96</x:v>
      </x:c>
      <x:c r="I315" s="3" t="n">
        <x:v>379</x:v>
      </x:c>
      <x:c r="J315" s="15" t="n">
        <x:f>IF(D315=0,"n.a.",E315/D315)</x:f>
        <x:v>0.014936798670624918</x:v>
      </x:c>
      <x:c r="K315" s="15" t="n">
        <x:f>F315/'Datos'!$F$7</x:f>
        <x:v>0.0008081369613405265</x:v>
      </x:c>
      <x:c r="L315" s="3"/>
    </x:row>
    <x:row r="316" ht="22" customHeight="1">
      <x:c r="A316" s="3"/>
      <x:c r="B316" s="3" t="str">
        <x:v>22768</x:v>
      </x:c>
      <x:c r="C316" s="3" t="str">
        <x:v>FAMILY PHOTO FRAME CORNICE</x:v>
      </x:c>
      <x:c r="D316" s="13" t="n">
        <x:v>8268.54</x:v>
      </x:c>
      <x:c r="E316" s="13" t="n">
        <x:v>355.3</x:v>
      </x:c>
      <x:c r="F316" s="13" t="n">
        <x:f>D316-E316</x:f>
        <x:v>7913.240000000001</x:v>
      </x:c>
      <x:c r="G316" s="3" t="n">
        <x:v>868</x:v>
      </x:c>
      <x:c r="H316" s="3" t="n">
        <x:v>36</x:v>
      </x:c>
      <x:c r="I316" s="3" t="n">
        <x:v>260</x:v>
      </x:c>
      <x:c r="J316" s="15" t="n">
        <x:f>IF(D316=0,"n.a.",E316/D316)</x:f>
        <x:v>0.04297010113030837</x:v>
      </x:c>
      <x:c r="K316" s="15" t="n">
        <x:f>F316/'Datos'!$F$7</x:f>
        <x:v>0.0008080746700984107</x:v>
      </x:c>
      <x:c r="L316" s="3"/>
    </x:row>
    <x:row r="317" ht="22" customHeight="1">
      <x:c r="A317" s="3"/>
      <x:c r="B317" s="3" t="str">
        <x:v>21770</x:v>
      </x:c>
      <x:c r="C317" s="3" t="str">
        <x:v>OPEN CLOSED METAL SIGN</x:v>
      </x:c>
      <x:c r="D317" s="13" t="n">
        <x:v>7938.78</x:v>
      </x:c>
      <x:c r="E317" s="13" t="n">
        <x:v>29.7</x:v>
      </x:c>
      <x:c r="F317" s="13" t="n">
        <x:f>D317-E317</x:f>
        <x:v>7909.08</x:v>
      </x:c>
      <x:c r="G317" s="3" t="n">
        <x:v>1641</x:v>
      </x:c>
      <x:c r="H317" s="3" t="n">
        <x:v>6</x:v>
      </x:c>
      <x:c r="I317" s="3" t="n">
        <x:v>388</x:v>
      </x:c>
      <x:c r="J317" s="15" t="n">
        <x:f>IF(D317=0,"n.a.",E317/D317)</x:f>
        <x:v>0.0037411289895928593</x:v>
      </x:c>
      <x:c r="K317" s="15" t="n">
        <x:f>F317/'Datos'!$F$7</x:f>
        <x:v>0.0008076498642505393</x:v>
      </x:c>
      <x:c r="L317" s="3"/>
    </x:row>
    <x:row r="318" ht="22" customHeight="1">
      <x:c r="A318" s="3"/>
      <x:c r="B318" s="3" t="str">
        <x:v>22909</x:v>
      </x:c>
      <x:c r="C318" s="3" t="str">
        <x:v>SET OF 20 VINTAGE CHRISTMAS NAPKINS</x:v>
      </x:c>
      <x:c r="D318" s="13" t="n">
        <x:v>8050.53</x:v>
      </x:c>
      <x:c r="E318" s="13" t="n">
        <x:v>195.19</x:v>
      </x:c>
      <x:c r="F318" s="13" t="n">
        <x:f>D318-E318</x:f>
        <x:v>7855.34</x:v>
      </x:c>
      <x:c r="G318" s="3" t="n">
        <x:v>8987</x:v>
      </x:c>
      <x:c r="H318" s="3" t="n">
        <x:v>259</x:v>
      </x:c>
      <x:c r="I318" s="3" t="n">
        <x:v>610</x:v>
      </x:c>
      <x:c r="J318" s="15" t="n">
        <x:f>IF(D318=0,"n.a.",E318/D318)</x:f>
        <x:v>0.02424560867421151</x:v>
      </x:c>
      <x:c r="K318" s="15" t="n">
        <x:f>F318/'Datos'!$F$7</x:f>
        <x:v>0.0008021621079369322</x:v>
      </x:c>
      <x:c r="L318" s="3"/>
    </x:row>
    <x:row r="319" ht="22" customHeight="1">
      <x:c r="A319" s="3"/>
      <x:c r="B319" s="3" t="str">
        <x:v>22940</x:v>
      </x:c>
      <x:c r="C319" s="3" t="str">
        <x:v>FELTCRAFT CHRISTMAS FAIRY</x:v>
      </x:c>
      <x:c r="D319" s="13" t="n">
        <x:v>7954</x:v>
      </x:c>
      <x:c r="E319" s="13" t="n">
        <x:v>99.5</x:v>
      </x:c>
      <x:c r="F319" s="13" t="n">
        <x:f>D319-E319</x:f>
        <x:v>7854.5</x:v>
      </x:c>
      <x:c r="G319" s="3" t="n">
        <x:v>1930</x:v>
      </x:c>
      <x:c r="H319" s="3" t="n">
        <x:v>34</x:v>
      </x:c>
      <x:c r="I319" s="3" t="n">
        <x:v>321</x:v>
      </x:c>
      <x:c r="J319" s="15" t="n">
        <x:f>IF(D319=0,"n.a.",E319/D319)</x:f>
        <x:v>0.01250942921800352</x:v>
      </x:c>
      <x:c r="K319" s="15" t="n">
        <x:f>F319/'Datos'!$F$7</x:f>
        <x:v>0.0008020763298330351</x:v>
      </x:c>
      <x:c r="L319" s="3"/>
    </x:row>
    <x:row r="320" ht="22" customHeight="1">
      <x:c r="A320" s="3"/>
      <x:c r="B320" s="3" t="str">
        <x:v>22667</x:v>
      </x:c>
      <x:c r="C320" s="3" t="str">
        <x:v>RECIPE BOX RETROSPOT</x:v>
      </x:c>
      <x:c r="D320" s="13" t="n">
        <x:v>8101.15</x:v>
      </x:c>
      <x:c r="E320" s="13" t="n">
        <x:v>260.75</x:v>
      </x:c>
      <x:c r="F320" s="13" t="n">
        <x:f>D320-E320</x:f>
        <x:v>7840.4</x:v>
      </x:c>
      <x:c r="G320" s="3" t="n">
        <x:v>2901</x:v>
      </x:c>
      <x:c r="H320" s="3" t="n">
        <x:v>93</x:v>
      </x:c>
      <x:c r="I320" s="3" t="n">
        <x:v>464</x:v>
      </x:c>
      <x:c r="J320" s="15" t="n">
        <x:f>IF(D320=0,"n.a.",E320/D320)</x:f>
        <x:v>0.03218678829548891</x:v>
      </x:c>
      <x:c r="K320" s="15" t="n">
        <x:f>F320/'Datos'!$F$7</x:f>
        <x:v>0.000800636483089048</x:v>
      </x:c>
      <x:c r="L320" s="3"/>
    </x:row>
    <x:row r="321" ht="22" customHeight="1">
      <x:c r="A321" s="3"/>
      <x:c r="B321" s="3" t="str">
        <x:v>22352</x:v>
      </x:c>
      <x:c r="C321" s="3" t="str">
        <x:v>LUNCH BOX WITH CUTLERY RETROSPOT</x:v>
      </x:c>
      <x:c r="D321" s="13" t="n">
        <x:v>7873.72</x:v>
      </x:c>
      <x:c r="E321" s="13" t="n">
        <x:v>40.8</x:v>
      </x:c>
      <x:c r="F321" s="13" t="n">
        <x:f>D321-E321</x:f>
        <x:v>7832.92</x:v>
      </x:c>
      <x:c r="G321" s="3" t="n">
        <x:v>3093</x:v>
      </x:c>
      <x:c r="H321" s="3" t="n">
        <x:v>16</x:v>
      </x:c>
      <x:c r="I321" s="3" t="n">
        <x:v>482</x:v>
      </x:c>
      <x:c r="J321" s="15" t="n">
        <x:f>IF(D321=0,"n.a.",E321/D321)</x:f>
        <x:v>0.005181794628206235</x:v>
      </x:c>
      <x:c r="K321" s="15" t="n">
        <x:f>F321/'Datos'!$F$7</x:f>
        <x:v>0.0007998726494972025</x:v>
      </x:c>
      <x:c r="L321" s="3"/>
    </x:row>
    <x:row r="322" ht="22" customHeight="1">
      <x:c r="A322" s="3"/>
      <x:c r="B322" s="3" t="str">
        <x:v>21136</x:v>
      </x:c>
      <x:c r="C322" s="3" t="str">
        <x:v>PAINTED METAL PEARS ASSORTED</x:v>
      </x:c>
      <x:c r="D322" s="13" t="n">
        <x:v>7830.32</x:v>
      </x:c>
      <x:c r="E322" s="13" t="n">
        <x:v>15.21</x:v>
      </x:c>
      <x:c r="F322" s="13" t="n">
        <x:f>D322-E322</x:f>
        <x:v>7815.11</x:v>
      </x:c>
      <x:c r="G322" s="3" t="n">
        <x:v>4709</x:v>
      </x:c>
      <x:c r="H322" s="3" t="n">
        <x:v>9</x:v>
      </x:c>
      <x:c r="I322" s="3" t="n">
        <x:v>370</x:v>
      </x:c>
      <x:c r="J322" s="15" t="n">
        <x:f>IF(D322=0,"n.a.",E322/D322)</x:f>
        <x:v>0.0019424493507289615</x:v>
      </x:c>
      <x:c r="K322" s="15" t="n">
        <x:f>F322/'Datos'!$F$7</x:f>
        <x:v>0.0007980539494610033</x:v>
      </x:c>
      <x:c r="L322" s="3"/>
    </x:row>
    <x:row r="323" ht="22" customHeight="1">
      <x:c r="A323" s="3"/>
      <x:c r="B323" s="3" t="str">
        <x:v>23238</x:v>
      </x:c>
      <x:c r="C323" s="3" t="str">
        <x:v>SET OF 4 KNICK KNACK TINS LONDON</x:v>
      </x:c>
      <x:c r="D323" s="13" t="n">
        <x:v>7825.56</x:v>
      </x:c>
      <x:c r="E323" s="13" t="n">
        <x:v>65.6</x:v>
      </x:c>
      <x:c r="F323" s="13" t="n">
        <x:f>D323-E323</x:f>
        <x:v>7759.96</x:v>
      </x:c>
      <x:c r="G323" s="3" t="n">
        <x:v>1862</x:v>
      </x:c>
      <x:c r="H323" s="3" t="n">
        <x:v>16</x:v>
      </x:c>
      <x:c r="I323" s="3" t="n">
        <x:v>274</x:v>
      </x:c>
      <x:c r="J323" s="15" t="n">
        <x:f>IF(D323=0,"n.a.",E323/D323)</x:f>
        <x:v>0.008382786663190875</x:v>
      </x:c>
      <x:c r="K323" s="15" t="n">
        <x:f>F323/'Datos'!$F$7</x:f>
        <x:v>0.0007924222084729975</x:v>
      </x:c>
      <x:c r="L323" s="3"/>
    </x:row>
    <x:row r="324" ht="22" customHeight="1">
      <x:c r="A324" s="3"/>
      <x:c r="B324" s="3" t="str">
        <x:v>22557</x:v>
      </x:c>
      <x:c r="C324" s="3" t="str">
        <x:v>PLASTERS IN TIN VINTAGE PAISLEY</x:v>
      </x:c>
      <x:c r="D324" s="13" t="n">
        <x:v>7777.09</x:v>
      </x:c>
      <x:c r="E324" s="13" t="n">
        <x:v>44.55</x:v>
      </x:c>
      <x:c r="F324" s="13" t="n">
        <x:f>D324-E324</x:f>
        <x:v>7732.54</x:v>
      </x:c>
      <x:c r="G324" s="3" t="n">
        <x:v>4721</x:v>
      </x:c>
      <x:c r="H324" s="3" t="n">
        <x:v>27</x:v>
      </x:c>
      <x:c r="I324" s="3" t="n">
        <x:v>566</x:v>
      </x:c>
      <x:c r="J324" s="15" t="n">
        <x:f>IF(D324=0,"n.a.",E324/D324)</x:f>
        <x:v>0.005728363693875215</x:v>
      </x:c>
      <x:c r="K324" s="15" t="n">
        <x:f>F324/'Datos'!$F$7</x:f>
        <x:v>0.0007896221660814994</x:v>
      </x:c>
      <x:c r="L324" s="3"/>
    </x:row>
    <x:row r="325" ht="22" customHeight="1">
      <x:c r="A325" s="3"/>
      <x:c r="B325" s="3" t="str">
        <x:v>48111</x:v>
      </x:c>
      <x:c r="C325" s="3" t="str">
        <x:v>DOORMAT 3 SMILEY CATS</x:v>
      </x:c>
      <x:c r="D325" s="13" t="n">
        <x:v>7732.93</x:v>
      </x:c>
      <x:c r="E325" s="13" t="n">
        <x:v>15.9</x:v>
      </x:c>
      <x:c r="F325" s="13" t="n">
        <x:f>D325-E325</x:f>
        <x:v>7717.030000000001</x:v>
      </x:c>
      <x:c r="G325" s="3" t="n">
        <x:v>1175</x:v>
      </x:c>
      <x:c r="H325" s="3" t="n">
        <x:v>2</x:v>
      </x:c>
      <x:c r="I325" s="3" t="n">
        <x:v>233</x:v>
      </x:c>
      <x:c r="J325" s="15" t="n">
        <x:f>IF(D325=0,"n.a.",E325/D325)</x:f>
        <x:v>0.002056141721184596</x:v>
      </x:c>
      <x:c r="K325" s="15" t="n">
        <x:f>F325/'Datos'!$F$7</x:f>
        <x:v>0.0007880383346631138</x:v>
      </x:c>
      <x:c r="L325" s="3"/>
    </x:row>
    <x:row r="326" ht="22" customHeight="1">
      <x:c r="A326" s="3"/>
      <x:c r="B326" s="3" t="str">
        <x:v>21908</x:v>
      </x:c>
      <x:c r="C326" s="3" t="str">
        <x:v>CHOCOLATE THIS WAY METAL SIGN</x:v>
      </x:c>
      <x:c r="D326" s="13" t="n">
        <x:v>7756.42</x:v>
      </x:c>
      <x:c r="E326" s="13" t="n">
        <x:v>54.6</x:v>
      </x:c>
      <x:c r="F326" s="13" t="n">
        <x:f>D326-E326</x:f>
        <x:v>7701.82</x:v>
      </x:c>
      <x:c r="G326" s="3" t="n">
        <x:v>3773</x:v>
      </x:c>
      <x:c r="H326" s="3" t="n">
        <x:v>26</x:v>
      </x:c>
      <x:c r="I326" s="3" t="n">
        <x:v>468</x:v>
      </x:c>
      <x:c r="J326" s="15" t="n">
        <x:f>IF(D326=0,"n.a.",E326/D326)</x:f>
        <x:v>0.007039330000180496</x:v>
      </x:c>
      <x:c r="K326" s="15" t="n">
        <x:f>F326/'Datos'!$F$7</x:f>
        <x:v>0.0007864851382818341</x:v>
      </x:c>
      <x:c r="L326" s="3"/>
    </x:row>
    <x:row r="327" ht="22" customHeight="1">
      <x:c r="A327" s="3"/>
      <x:c r="B327" s="3" t="str">
        <x:v>22487</x:v>
      </x:c>
      <x:c r="C327" s="3" t="str">
        <x:v>WHITE WOOD GARDEN PLANT LADDER</x:v>
      </x:c>
      <x:c r="D327" s="13" t="n">
        <x:v>7919.23</x:v>
      </x:c>
      <x:c r="E327" s="13" t="n">
        <x:v>232.8</x:v>
      </x:c>
      <x:c r="F327" s="13" t="n">
        <x:f>D327-E327</x:f>
        <x:v>7686.429999999999</x:v>
      </x:c>
      <x:c r="G327" s="3" t="n">
        <x:v>785</x:v>
      </x:c>
      <x:c r="H327" s="3" t="n">
        <x:v>25</x:v>
      </x:c>
      <x:c r="I327" s="3" t="n">
        <x:v>429</x:v>
      </x:c>
      <x:c r="J327" s="15" t="n">
        <x:f>IF(D327=0,"n.a.",E327/D327)</x:f>
        <x:v>0.02939679741591039</x:v>
      </x:c>
      <x:c r="K327" s="15" t="n">
        <x:f>F327/'Datos'!$F$7</x:f>
        <x:v>0.0007849135608782908</x:v>
      </x:c>
      <x:c r="L327" s="3"/>
    </x:row>
    <x:row r="328" ht="22" customHeight="1">
      <x:c r="A328" s="3"/>
      <x:c r="B328" s="3" t="str">
        <x:v>22804</x:v>
      </x:c>
      <x:c r="C328" s="3" t="str">
        <x:v>CANDLEHOLDER PINK HANGING HEART</x:v>
      </x:c>
      <x:c r="D328" s="13" t="n">
        <x:v>8135.4</x:v>
      </x:c>
      <x:c r="E328" s="13" t="n">
        <x:v>455.2</x:v>
      </x:c>
      <x:c r="F328" s="13" t="n">
        <x:f>D328-E328</x:f>
        <x:v>7680.2</x:v>
      </x:c>
      <x:c r="G328" s="3" t="n">
        <x:v>3142</x:v>
      </x:c>
      <x:c r="H328" s="3" t="n">
        <x:v>176</x:v>
      </x:c>
      <x:c r="I328" s="3" t="n">
        <x:v>474</x:v>
      </x:c>
      <x:c r="J328" s="15" t="n">
        <x:f>IF(D328=0,"n.a.",E328/D328)</x:f>
        <x:v>0.05595299555031099</x:v>
      </x:c>
      <x:c r="K328" s="15" t="n">
        <x:f>F328/'Datos'!$F$7</x:f>
        <x:v>0.0007842773732743874</x:v>
      </x:c>
      <x:c r="L328" s="3"/>
    </x:row>
    <x:row r="329" ht="22" customHeight="1">
      <x:c r="A329" s="3"/>
      <x:c r="B329" s="3" t="str">
        <x:v>22968</x:v>
      </x:c>
      <x:c r="C329" s="3" t="str">
        <x:v>ROSE COTTAGE KEEPSAKE BOX</x:v>
      </x:c>
      <x:c r="D329" s="13" t="n">
        <x:v>7861.93</x:v>
      </x:c>
      <x:c r="E329" s="13" t="n">
        <x:v>188.85</x:v>
      </x:c>
      <x:c r="F329" s="13" t="n">
        <x:f>D329-E329</x:f>
        <x:v>7673.08</x:v>
      </x:c>
      <x:c r="G329" s="3" t="n">
        <x:v>795</x:v>
      </x:c>
      <x:c r="H329" s="3" t="n">
        <x:v>20</x:v>
      </x:c>
      <x:c r="I329" s="3" t="n">
        <x:v>189</x:v>
      </x:c>
      <x:c r="J329" s="15" t="n">
        <x:f>IF(D329=0,"n.a.",E329/D329)</x:f>
        <x:v>0.02402081931535895</x:v>
      </x:c>
      <x:c r="K329" s="15" t="n">
        <x:f>F329/'Datos'!$F$7</x:f>
        <x:v>0.0007835503017270692</x:v>
      </x:c>
      <x:c r="L329" s="3"/>
    </x:row>
    <x:row r="330" ht="22" customHeight="1">
      <x:c r="A330" s="3"/>
      <x:c r="B330" s="3" t="str">
        <x:v>23007</x:v>
      </x:c>
      <x:c r="C330" s="3" t="str">
        <x:v>SPACEBOY BABY GIFT SET</x:v>
      </x:c>
      <x:c r="D330" s="13" t="n">
        <x:v>7758.7</x:v>
      </x:c>
      <x:c r="E330" s="13" t="n">
        <x:v>101.7</x:v>
      </x:c>
      <x:c r="F330" s="13" t="n">
        <x:f>D330-E330</x:f>
        <x:v>7657</x:v>
      </x:c>
      <x:c r="G330" s="3" t="n">
        <x:v>499</x:v>
      </x:c>
      <x:c r="H330" s="3" t="n">
        <x:v>6</x:v>
      </x:c>
      <x:c r="I330" s="3" t="n">
        <x:v>184</x:v>
      </x:c>
      <x:c r="J330" s="15" t="n">
        <x:f>IF(D330=0,"n.a.",E330/D330)</x:f>
        <x:v>0.013107866008480802</x:v>
      </x:c>
      <x:c r="K330" s="15" t="n">
        <x:f>F330/'Datos'!$F$7</x:f>
        <x:v>0.0007819082637381819</x:v>
      </x:c>
      <x:c r="L330" s="3"/>
    </x:row>
    <x:row r="331" ht="22" customHeight="1">
      <x:c r="A331" s="3"/>
      <x:c r="B331" s="3" t="str">
        <x:v>23204</x:v>
      </x:c>
      <x:c r="C331" s="3" t="str">
        <x:v>CHARLOTTE BAG APPLES DESIGN</x:v>
      </x:c>
      <x:c r="D331" s="13" t="n">
        <x:v>7741.94</x:v>
      </x:c>
      <x:c r="E331" s="13" t="n">
        <x:v>138.34</x:v>
      </x:c>
      <x:c r="F331" s="13" t="n">
        <x:f>D331-E331</x:f>
        <x:v>7603.599999999999</x:v>
      </x:c>
      <x:c r="G331" s="3" t="n">
        <x:v>7976</x:v>
      </x:c>
      <x:c r="H331" s="3" t="n">
        <x:v>186</x:v>
      </x:c>
      <x:c r="I331" s="3" t="n">
        <x:v>583</x:v>
      </x:c>
      <x:c r="J331" s="15" t="n">
        <x:f>IF(D331=0,"n.a.",E331/D331)</x:f>
        <x:v>0.017868906243138027</x:v>
      </x:c>
      <x:c r="K331" s="15" t="n">
        <x:f>F331/'Datos'!$F$7</x:f>
        <x:v>0.0007764552271332949</x:v>
      </x:c>
      <x:c r="L331" s="3"/>
    </x:row>
    <x:row r="332" ht="22" customHeight="1">
      <x:c r="A332" s="3"/>
      <x:c r="B332" s="3" t="str">
        <x:v>21955</x:v>
      </x:c>
      <x:c r="C332" s="3" t="str">
        <x:v>DOORMAT UNION JACK GUNS AND ROSES</x:v>
      </x:c>
      <x:c r="D332" s="13" t="n">
        <x:v>7597.02</x:v>
      </x:c>
      <x:c r="E332" s="13" t="n">
        <x:v>0</x:v>
      </x:c>
      <x:c r="F332" s="13" t="n">
        <x:f>D332-E332</x:f>
        <x:v>7597.02</x:v>
      </x:c>
      <x:c r="G332" s="3" t="n">
        <x:v>1230</x:v>
      </x:c>
      <x:c r="H332" s="3" t="n">
        <x:v>0</x:v>
      </x:c>
      <x:c r="I332" s="3" t="n">
        <x:v>206</x:v>
      </x:c>
      <x:c r="J332" s="15" t="n">
        <x:f>IF(D332=0,"n.a.",E332/D332)</x:f>
        <x:v>0</x:v>
      </x:c>
      <x:c r="K332" s="15" t="n">
        <x:f>F332/'Datos'!$F$7</x:f>
        <x:v>0.0007757832986527678</x:v>
      </x:c>
      <x:c r="L332" s="3"/>
    </x:row>
    <x:row r="333" ht="22" customHeight="1">
      <x:c r="A333" s="3"/>
      <x:c r="B333" s="3" t="str">
        <x:v>22750</x:v>
      </x:c>
      <x:c r="C333" s="3" t="str">
        <x:v>FELTCRAFT PRINCESS LOLA DOLL</x:v>
      </x:c>
      <x:c r="D333" s="13" t="n">
        <x:v>7563.08</x:v>
      </x:c>
      <x:c r="E333" s="13" t="n">
        <x:v>22.5</x:v>
      </x:c>
      <x:c r="F333" s="13" t="n">
        <x:f>D333-E333</x:f>
        <x:v>7540.58</x:v>
      </x:c>
      <x:c r="G333" s="3" t="n">
        <x:v>2020</x:v>
      </x:c>
      <x:c r="H333" s="3" t="n">
        <x:v>6</x:v>
      </x:c>
      <x:c r="I333" s="3" t="n">
        <x:v>413</x:v>
      </x:c>
      <x:c r="J333" s="15" t="n">
        <x:f>IF(D333=0,"n.a.",E333/D333)</x:f>
        <x:v>0.0029749784479339105</x:v>
      </x:c>
      <x:c r="K333" s="15" t="n">
        <x:f>F333/'Datos'!$F$7</x:f>
        <x:v>0.0007700198270052056</x:v>
      </x:c>
      <x:c r="L333" s="3"/>
    </x:row>
    <x:row r="334" ht="22" customHeight="1">
      <x:c r="A334" s="3"/>
      <x:c r="B334" s="3" t="str">
        <x:v>22147</x:v>
      </x:c>
      <x:c r="C334" s="3" t="str">
        <x:v>FELTCRAFT BUTTERFLY HEARTS</x:v>
      </x:c>
      <x:c r="D334" s="13" t="n">
        <x:v>8626.94</x:v>
      </x:c>
      <x:c r="E334" s="13" t="n">
        <x:v>1103.65</x:v>
      </x:c>
      <x:c r="F334" s="13" t="n">
        <x:f>D334-E334</x:f>
        <x:v>7523.290000000001</x:v>
      </x:c>
      <x:c r="G334" s="3" t="n">
        <x:v>6230</x:v>
      </x:c>
      <x:c r="H334" s="3" t="n">
        <x:v>877</x:v>
      </x:c>
      <x:c r="I334" s="3" t="n">
        <x:v>481</x:v>
      </x:c>
      <x:c r="J334" s="15" t="n">
        <x:f>IF(D334=0,"n.a.",E334/D334)</x:f>
        <x:v>0.12793064516502956</x:v>
      </x:c>
      <x:c r="K334" s="15" t="n">
        <x:f>F334/'Datos'!$F$7</x:f>
        <x:v>0.0007682542276999905</x:v>
      </x:c>
      <x:c r="L334" s="3"/>
    </x:row>
    <x:row r="335" ht="22" customHeight="1">
      <x:c r="A335" s="3"/>
      <x:c r="B335" s="3" t="str">
        <x:v>22585</x:v>
      </x:c>
      <x:c r="C335" s="3" t="str">
        <x:v>PACK OF 6 BIRDY GIFT TAGS</x:v>
      </x:c>
      <x:c r="D335" s="13" t="n">
        <x:v>7561.64</x:v>
      </x:c>
      <x:c r="E335" s="13" t="n">
        <x:v>56.25</x:v>
      </x:c>
      <x:c r="F335" s="13" t="n">
        <x:f>D335-E335</x:f>
        <x:v>7505.39</x:v>
      </x:c>
      <x:c r="G335" s="3" t="n">
        <x:v>6232</x:v>
      </x:c>
      <x:c r="H335" s="3" t="n">
        <x:v>45</x:v>
      </x:c>
      <x:c r="I335" s="3" t="n">
        <x:v>395</x:v>
      </x:c>
      <x:c r="J335" s="15" t="n">
        <x:f>IF(D335=0,"n.a.",E335/D335)</x:f>
        <x:v>0.007438862468988209</x:v>
      </x:c>
      <x:c r="K335" s="15" t="n">
        <x:f>F335/'Datos'!$F$7</x:f>
        <x:v>0.0007664263371526594</x:v>
      </x:c>
      <x:c r="L335" s="3"/>
    </x:row>
    <x:row r="336" ht="22" customHeight="1">
      <x:c r="A336" s="3"/>
      <x:c r="B336" s="3" t="str">
        <x:v>84406B</x:v>
      </x:c>
      <x:c r="C336" s="3" t="str">
        <x:v>CREAM CUPID HEARTS COAT HANGER</x:v>
      </x:c>
      <x:c r="D336" s="13" t="n">
        <x:v>7657.32</x:v>
      </x:c>
      <x:c r="E336" s="13" t="n">
        <x:v>162.5</x:v>
      </x:c>
      <x:c r="F336" s="13" t="n">
        <x:f>D336-E336</x:f>
        <x:v>7494.82</x:v>
      </x:c>
      <x:c r="G336" s="3" t="n">
        <x:v>2016</x:v>
      </x:c>
      <x:c r="H336" s="3" t="n">
        <x:v>42</x:v>
      </x:c>
      <x:c r="I336" s="3" t="n">
        <x:v>284</x:v>
      </x:c>
      <x:c r="J336" s="15" t="n">
        <x:f>IF(D336=0,"n.a.",E336/D336)</x:f>
        <x:v>0.021221523979669126</x:v>
      </x:c>
      <x:c r="K336" s="15" t="n">
        <x:f>F336/'Datos'!$F$7</x:f>
        <x:v>0.0007653469626786209</x:v>
      </x:c>
      <x:c r="L336" s="3"/>
    </x:row>
    <x:row r="337" ht="22" customHeight="1">
      <x:c r="A337" s="3"/>
      <x:c r="B337" s="3" t="str">
        <x:v>22173</x:v>
      </x:c>
      <x:c r="C337" s="3" t="str">
        <x:v>METAL 4 HOOK HANGER FRENCH CHATEAU</x:v>
      </x:c>
      <x:c r="D337" s="13" t="n">
        <x:v>7773.7</x:v>
      </x:c>
      <x:c r="E337" s="13" t="n">
        <x:v>279.77</x:v>
      </x:c>
      <x:c r="F337" s="13" t="n">
        <x:f>D337-E337</x:f>
        <x:v>7493.93</x:v>
      </x:c>
      <x:c r="G337" s="3" t="n">
        <x:v>2446</x:v>
      </x:c>
      <x:c r="H337" s="3" t="n">
        <x:v>101</x:v>
      </x:c>
      <x:c r="I337" s="3" t="n">
        <x:v>493</x:v>
      </x:c>
      <x:c r="J337" s="15" t="n">
        <x:f>IF(D337=0,"n.a.",E337/D337)</x:f>
        <x:v>0.035989297245841746</x:v>
      </x:c>
      <x:c r="K337" s="15" t="n">
        <x:f>F337/'Datos'!$F$7</x:f>
        <x:v>0.0007652560787352061</x:v>
      </x:c>
      <x:c r="L337" s="3"/>
    </x:row>
    <x:row r="338" ht="22" customHeight="1">
      <x:c r="A338" s="3"/>
      <x:c r="B338" s="3" t="str">
        <x:v>22367</x:v>
      </x:c>
      <x:c r="C338" s="3" t="str">
        <x:v>CHILDRENS APRON SPACEBOY DESIGN</x:v>
      </x:c>
      <x:c r="D338" s="13" t="n">
        <x:v>7520.28</x:v>
      </x:c>
      <x:c r="E338" s="13" t="n">
        <x:v>70.2</x:v>
      </x:c>
      <x:c r="F338" s="13" t="n">
        <x:f>D338-E338</x:f>
        <x:v>7450.08</x:v>
      </x:c>
      <x:c r="G338" s="3" t="n">
        <x:v>3755</x:v>
      </x:c>
      <x:c r="H338" s="3" t="n">
        <x:v>36</x:v>
      </x:c>
      <x:c r="I338" s="3" t="n">
        <x:v>550</x:v>
      </x:c>
      <x:c r="J338" s="15" t="n">
        <x:f>IF(D338=0,"n.a.",E338/D338)</x:f>
        <x:v>0.009334758812171887</x:v>
      </x:c>
      <x:c r="K338" s="15" t="n">
        <x:f>F338/'Datos'!$F$7</x:f>
        <x:v>0.0007607782574781969</x:v>
      </x:c>
      <x:c r="L338" s="3"/>
    </x:row>
    <x:row r="339" ht="22" customHeight="1">
      <x:c r="A339" s="3"/>
      <x:c r="B339" s="3" t="str">
        <x:v>21231</x:v>
      </x:c>
      <x:c r="C339" s="3" t="str">
        <x:v>SWEETHEART CERAMIC TRINKET BOX</x:v>
      </x:c>
      <x:c r="D339" s="13" t="n">
        <x:v>7628.53</x:v>
      </x:c>
      <x:c r="E339" s="13" t="n">
        <x:v>188.08</x:v>
      </x:c>
      <x:c r="F339" s="13" t="n">
        <x:f>D339-E339</x:f>
        <x:v>7440.45</x:v>
      </x:c>
      <x:c r="G339" s="3" t="n">
        <x:v>6063</x:v>
      </x:c>
      <x:c r="H339" s="3" t="n">
        <x:v>157</x:v>
      </x:c>
      <x:c r="I339" s="3" t="n">
        <x:v>509</x:v>
      </x:c>
      <x:c r="J339" s="15" t="n">
        <x:f>IF(D339=0,"n.a.",E339/D339)</x:f>
        <x:v>0.02465481554113309</x:v>
      </x:c>
      <x:c r="K339" s="15" t="n">
        <x:f>F339/'Datos'!$F$7</x:f>
        <x:v>0.0007597948727870909</x:v>
      </x:c>
      <x:c r="L339" s="3"/>
    </x:row>
    <x:row r="340" ht="22" customHeight="1">
      <x:c r="A340" s="3"/>
      <x:c r="B340" s="3" t="str">
        <x:v>22627</x:v>
      </x:c>
      <x:c r="C340" s="3" t="str">
        <x:v>MINT KITCHEN SCALES</x:v>
      </x:c>
      <x:c r="D340" s="13" t="n">
        <x:v>7547.39</x:v>
      </x:c>
      <x:c r="E340" s="13" t="n">
        <x:v>117.21</x:v>
      </x:c>
      <x:c r="F340" s="13" t="n">
        <x:f>D340-E340</x:f>
        <x:v>7430.18</x:v>
      </x:c>
      <x:c r="G340" s="3" t="n">
        <x:v>855</x:v>
      </x:c>
      <x:c r="H340" s="3" t="n">
        <x:v>15</x:v>
      </x:c>
      <x:c r="I340" s="3" t="n">
        <x:v>357</x:v>
      </x:c>
      <x:c r="J340" s="15" t="n">
        <x:f>IF(D340=0,"n.a.",E340/D340)</x:f>
        <x:v>0.01552987191598685</x:v>
      </x:c>
      <x:c r="K340" s="15" t="n">
        <x:f>F340/'Datos'!$F$7</x:f>
        <x:v>0.0007587461333501586</x:v>
      </x:c>
      <x:c r="L340" s="3"/>
    </x:row>
    <x:row r="341" ht="22" customHeight="1">
      <x:c r="A341" s="3"/>
      <x:c r="B341" s="3" t="str">
        <x:v>21668</x:v>
      </x:c>
      <x:c r="C341" s="3" t="str">
        <x:v>RED STRIPE CERAMIC DRAWER KNOB</x:v>
      </x:c>
      <x:c r="D341" s="13" t="n">
        <x:v>7527.66</x:v>
      </x:c>
      <x:c r="E341" s="13" t="n">
        <x:v>102.67</x:v>
      </x:c>
      <x:c r="F341" s="13" t="n">
        <x:f>D341-E341</x:f>
        <x:v>7424.99</x:v>
      </x:c>
      <x:c r="G341" s="3" t="n">
        <x:v>5528</x:v>
      </x:c>
      <x:c r="H341" s="3" t="n">
        <x:v>84</x:v>
      </x:c>
      <x:c r="I341" s="3" t="n">
        <x:v>437</x:v>
      </x:c>
      <x:c r="J341" s="15" t="n">
        <x:f>IF(D341=0,"n.a.",E341/D341)</x:f>
        <x:v>0.013639032581173964</x:v>
      </x:c>
      <x:c r="K341" s="15" t="n">
        <x:f>F341/'Datos'!$F$7</x:f>
        <x:v>0.000758216147208223</x:v>
      </x:c>
      <x:c r="L341" s="3"/>
    </x:row>
    <x:row r="342" ht="22" customHeight="1">
      <x:c r="A342" s="3"/>
      <x:c r="B342" s="3" t="str">
        <x:v>84836</x:v>
      </x:c>
      <x:c r="C342" s="3" t="str">
        <x:v>ZINC METAL HEART DECORATION</x:v>
      </x:c>
      <x:c r="D342" s="13" t="n">
        <x:v>7426.82</x:v>
      </x:c>
      <x:c r="E342" s="13" t="n">
        <x:v>43.75</x:v>
      </x:c>
      <x:c r="F342" s="13" t="n">
        <x:f>D342-E342</x:f>
        <x:v>7383.07</x:v>
      </x:c>
      <x:c r="G342" s="3" t="n">
        <x:v>5944</x:v>
      </x:c>
      <x:c r="H342" s="3" t="n">
        <x:v>35</x:v>
      </x:c>
      <x:c r="I342" s="3" t="n">
        <x:v>535</x:v>
      </x:c>
      <x:c r="J342" s="15" t="n">
        <x:f>IF(D342=0,"n.a.",E342/D342)</x:f>
        <x:v>0.005890811949124929</x:v>
      </x:c>
      <x:c r="K342" s="15" t="n">
        <x:f>F342/'Datos'!$F$7</x:f>
        <x:v>0.0007539354113565963</x:v>
      </x:c>
      <x:c r="L342" s="3"/>
    </x:row>
    <x:row r="343" ht="22" customHeight="1">
      <x:c r="A343" s="3"/>
      <x:c r="B343" s="3" t="str">
        <x:v>22381</x:v>
      </x:c>
      <x:c r="C343" s="3" t="str">
        <x:v>TOY TIDY PINK POLKADOT</x:v>
      </x:c>
      <x:c r="D343" s="13" t="n">
        <x:v>7437.94</x:v>
      </x:c>
      <x:c r="E343" s="13" t="n">
        <x:v>56.45</x:v>
      </x:c>
      <x:c r="F343" s="13" t="n">
        <x:f>D343-E343</x:f>
        <x:v>7381.49</x:v>
      </x:c>
      <x:c r="G343" s="3" t="n">
        <x:v>3441</x:v>
      </x:c>
      <x:c r="H343" s="3" t="n">
        <x:v>27</x:v>
      </x:c>
      <x:c r="I343" s="3" t="n">
        <x:v>469</x:v>
      </x:c>
      <x:c r="J343" s="15" t="n">
        <x:f>IF(D343=0,"n.a.",E343/D343)</x:f>
        <x:v>0.007589466976071333</x:v>
      </x:c>
      <x:c r="K343" s="15" t="n">
        <x:f>F343/'Datos'!$F$7</x:f>
        <x:v>0.0007537740668278376</x:v>
      </x:c>
      <x:c r="L343" s="3"/>
    </x:row>
    <x:row r="344" ht="22" customHeight="1">
      <x:c r="A344" s="3"/>
      <x:c r="B344" s="3" t="str">
        <x:v>22741</x:v>
      </x:c>
      <x:c r="C344" s="3" t="str">
        <x:v>FUNKY DIVA PEN</x:v>
      </x:c>
      <x:c r="D344" s="13" t="n">
        <x:v>7363.86</x:v>
      </x:c>
      <x:c r="E344" s="13" t="n">
        <x:v>43.35</x:v>
      </x:c>
      <x:c r="F344" s="13" t="n">
        <x:f>D344-E344</x:f>
        <x:v>7320.509999999999</x:v>
      </x:c>
      <x:c r="G344" s="3" t="n">
        <x:v>8547</x:v>
      </x:c>
      <x:c r="H344" s="3" t="n">
        <x:v>51</x:v>
      </x:c>
      <x:c r="I344" s="3" t="n">
        <x:v>233</x:v>
      </x:c>
      <x:c r="J344" s="15" t="n">
        <x:f>IF(D344=0,"n.a.",E344/D344)</x:f>
        <x:v>0.005886858250971638</x:v>
      </x:c>
      <x:c r="K344" s="15" t="n">
        <x:f>F344/'Datos'!$F$7</x:f>
        <x:v>0.0007475469849520696</x:v>
      </x:c>
      <x:c r="L344" s="3"/>
    </x:row>
    <x:row r="345" ht="22" customHeight="1">
      <x:c r="A345" s="3"/>
      <x:c r="B345" s="3" t="str">
        <x:v>84030E</x:v>
      </x:c>
      <x:c r="C345" s="3" t="str">
        <x:v>ENGLISH ROSE HOT WATER BOTTLE</x:v>
      </x:c>
      <x:c r="D345" s="13" t="n">
        <x:v>7330.7</x:v>
      </x:c>
      <x:c r="E345" s="13" t="n">
        <x:v>12.75</x:v>
      </x:c>
      <x:c r="F345" s="13" t="n">
        <x:f>D345-E345</x:f>
        <x:v>7317.95</x:v>
      </x:c>
      <x:c r="G345" s="3" t="n">
        <x:v>1614</x:v>
      </x:c>
      <x:c r="H345" s="3" t="n">
        <x:v>3</x:v>
      </x:c>
      <x:c r="I345" s="3" t="n">
        <x:v>375</x:v>
      </x:c>
      <x:c r="J345" s="15" t="n">
        <x:f>IF(D345=0,"n.a.",E345/D345)</x:f>
        <x:v>0.0017392609164199873</x:v>
      </x:c>
      <x:c r="K345" s="15" t="n">
        <x:f>F345/'Datos'!$F$7</x:f>
        <x:v>0.0007472855659687642</x:v>
      </x:c>
      <x:c r="L345" s="3"/>
    </x:row>
    <x:row r="346" ht="22" customHeight="1">
      <x:c r="A346" s="3"/>
      <x:c r="B346" s="3" t="str">
        <x:v>23382</x:v>
      </x:c>
      <x:c r="C346" s="3" t="str">
        <x:v>BOX OF 6 CHRISTMAS CAKE DECORATIONS</x:v>
      </x:c>
      <x:c r="D346" s="13" t="n">
        <x:v>7356.18</x:v>
      </x:c>
      <x:c r="E346" s="13" t="n">
        <x:v>63.75</x:v>
      </x:c>
      <x:c r="F346" s="13" t="n">
        <x:f>D346-E346</x:f>
        <x:v>7292.43</x:v>
      </x:c>
      <x:c r="G346" s="3" t="n">
        <x:v>1875</x:v>
      </x:c>
      <x:c r="H346" s="3" t="n">
        <x:v>17</x:v>
      </x:c>
      <x:c r="I346" s="3" t="n">
        <x:v>220</x:v>
      </x:c>
      <x:c r="J346" s="15" t="n">
        <x:f>IF(D346=0,"n.a.",E346/D346)</x:f>
        <x:v>0.008666182719835566</x:v>
      </x:c>
      <x:c r="K346" s="15" t="n">
        <x:f>F346/'Datos'!$F$7</x:f>
        <x:v>0.0007446795454789382</x:v>
      </x:c>
      <x:c r="L346" s="3"/>
    </x:row>
    <x:row r="347" ht="22" customHeight="1">
      <x:c r="A347" s="3"/>
      <x:c r="B347" s="3" t="str">
        <x:v>21169</x:v>
      </x:c>
      <x:c r="C347" s="3" t="str">
        <x:v>YOU'RE CONFUSING ME METAL SIGN</x:v>
      </x:c>
      <x:c r="D347" s="13" t="n">
        <x:v>7320.36</x:v>
      </x:c>
      <x:c r="E347" s="13" t="n">
        <x:v>29.22</x:v>
      </x:c>
      <x:c r="F347" s="13" t="n">
        <x:f>D347-E347</x:f>
        <x:v>7291.139999999999</x:v>
      </x:c>
      <x:c r="G347" s="3" t="n">
        <x:v>4424</x:v>
      </x:c>
      <x:c r="H347" s="3" t="n">
        <x:v>18</x:v>
      </x:c>
      <x:c r="I347" s="3" t="n">
        <x:v>450</x:v>
      </x:c>
      <x:c r="J347" s="15" t="n">
        <x:f>IF(D347=0,"n.a.",E347/D347)</x:f>
        <x:v>0.003991606970149009</x:v>
      </x:c>
      <x:c r="K347" s="15" t="n">
        <x:f>F347/'Datos'!$F$7</x:f>
        <x:v>0.0007445478148193819</x:v>
      </x:c>
      <x:c r="L347" s="3"/>
    </x:row>
    <x:row r="348" ht="22" customHeight="1">
      <x:c r="A348" s="3"/>
      <x:c r="B348" s="3" t="str">
        <x:v>84949</x:v>
      </x:c>
      <x:c r="C348" s="3" t="str">
        <x:v>SILVER HANGING T-LIGHT HOLDER</x:v>
      </x:c>
      <x:c r="D348" s="13" t="n">
        <x:v>7642.44</x:v>
      </x:c>
      <x:c r="E348" s="13" t="n">
        <x:v>412.35</x:v>
      </x:c>
      <x:c r="F348" s="13" t="n">
        <x:f>D348-E348</x:f>
        <x:v>7230.089999999999</x:v>
      </x:c>
      <x:c r="G348" s="3" t="n">
        <x:v>4801</x:v>
      </x:c>
      <x:c r="H348" s="3" t="n">
        <x:v>263</x:v>
      </x:c>
      <x:c r="I348" s="3" t="n">
        <x:v>290</x:v>
      </x:c>
      <x:c r="J348" s="15" t="n">
        <x:f>IF(D348=0,"n.a.",E348/D348)</x:f>
        <x:v>0.05395528129759606</x:v>
      </x:c>
      <x:c r="K348" s="15" t="n">
        <x:f>F348/'Datos'!$F$7</x:f>
        <x:v>0.0007383135847682892</x:v>
      </x:c>
      <x:c r="L348" s="3"/>
    </x:row>
    <x:row r="349" ht="22" customHeight="1">
      <x:c r="A349" s="3"/>
      <x:c r="B349" s="3" t="str">
        <x:v>22631</x:v>
      </x:c>
      <x:c r="C349" s="3" t="str">
        <x:v>CIRCUS PARADE LUNCH BOX</x:v>
      </x:c>
      <x:c r="D349" s="13" t="n">
        <x:v>7207.37</x:v>
      </x:c>
      <x:c r="E349" s="13" t="n">
        <x:v>64.35</x:v>
      </x:c>
      <x:c r="F349" s="13" t="n">
        <x:f>D349-E349</x:f>
        <x:v>7143.0199999999995</x:v>
      </x:c>
      <x:c r="G349" s="3" t="n">
        <x:v>3681</x:v>
      </x:c>
      <x:c r="H349" s="3" t="n">
        <x:v>33</x:v>
      </x:c>
      <x:c r="I349" s="3" t="n">
        <x:v>396</x:v>
      </x:c>
      <x:c r="J349" s="15" t="n">
        <x:f>IF(D349=0,"n.a.",E349/D349)</x:f>
        <x:v>0.008928360830649736</x:v>
      </x:c>
      <x:c r="K349" s="15" t="n">
        <x:f>F349/'Datos'!$F$7</x:f>
        <x:v>0.0007294222758321938</x:v>
      </x:c>
      <x:c r="L349" s="3"/>
    </x:row>
    <x:row r="350" ht="22" customHeight="1">
      <x:c r="A350" s="3"/>
      <x:c r="B350" s="3" t="str">
        <x:v>22485</x:v>
      </x:c>
      <x:c r="C350" s="3" t="str">
        <x:v>SET OF 2 WOODEN MARKET CRATES</x:v>
      </x:c>
      <x:c r="D350" s="13" t="n">
        <x:v>7190.35</x:v>
      </x:c>
      <x:c r="E350" s="13" t="n">
        <x:v>76.5</x:v>
      </x:c>
      <x:c r="F350" s="13" t="n">
        <x:f>D350-E350</x:f>
        <x:v>7113.85</x:v>
      </x:c>
      <x:c r="G350" s="3" t="n">
        <x:v>526</x:v>
      </x:c>
      <x:c r="H350" s="3" t="n">
        <x:v>6</x:v>
      </x:c>
      <x:c r="I350" s="3" t="n">
        <x:v>208</x:v>
      </x:c>
      <x:c r="J350" s="15" t="n">
        <x:f>IF(D350=0,"n.a.",E350/D350)</x:f>
        <x:v>0.010639259563164518</x:v>
      </x:c>
      <x:c r="K350" s="15" t="n">
        <x:f>F350/'Datos'!$F$7</x:f>
        <x:v>0.0007264435290575767</x:v>
      </x:c>
      <x:c r="L350" s="3"/>
    </x:row>
    <x:row r="351" ht="22" customHeight="1">
      <x:c r="A351" s="3"/>
      <x:c r="B351" s="3" t="str">
        <x:v>22505</x:v>
      </x:c>
      <x:c r="C351" s="3" t="str">
        <x:v>MEMO BOARD COTTAGE DESIGN</x:v>
      </x:c>
      <x:c r="D351" s="13" t="n">
        <x:v>7104.22</x:v>
      </x:c>
      <x:c r="E351" s="13" t="n">
        <x:v>24.75</x:v>
      </x:c>
      <x:c r="F351" s="13" t="n">
        <x:f>D351-E351</x:f>
        <x:v>7079.47</x:v>
      </x:c>
      <x:c r="G351" s="3" t="n">
        <x:v>1461</x:v>
      </x:c>
      <x:c r="H351" s="3" t="n">
        <x:v>5</x:v>
      </x:c>
      <x:c r="I351" s="3" t="n">
        <x:v>311</x:v>
      </x:c>
      <x:c r="J351" s="15" t="n">
        <x:f>IF(D351=0,"n.a.",E351/D351)</x:f>
        <x:v>0.0034838448133644507</x:v>
      </x:c>
      <x:c r="K351" s="15" t="n">
        <x:f>F351/'Datos'!$F$7</x:f>
        <x:v>0.0007229327538052171</x:v>
      </x:c>
      <x:c r="L351" s="3"/>
    </x:row>
    <x:row r="352" ht="22" customHeight="1">
      <x:c r="A352" s="3"/>
      <x:c r="B352" s="3" t="str">
        <x:v>21912</x:v>
      </x:c>
      <x:c r="C352" s="3" t="str">
        <x:v>VINTAGE SNAKES &amp; LADDERS</x:v>
      </x:c>
      <x:c r="D352" s="13" t="n">
        <x:v>7062.7</x:v>
      </x:c>
      <x:c r="E352" s="13" t="n">
        <x:v>0</x:v>
      </x:c>
      <x:c r="F352" s="13" t="n">
        <x:f>D352-E352</x:f>
        <x:v>7062.7</x:v>
      </x:c>
      <x:c r="G352" s="3" t="n">
        <x:v>1790</x:v>
      </x:c>
      <x:c r="H352" s="3" t="n">
        <x:v>0</x:v>
      </x:c>
      <x:c r="I352" s="3" t="n">
        <x:v>396</x:v>
      </x:c>
      <x:c r="J352" s="15" t="n">
        <x:f>IF(D352=0,"n.a.",E352/D352)</x:f>
        <x:v>0</x:v>
      </x:c>
      <x:c r="K352" s="15" t="n">
        <x:f>F352/'Datos'!$F$7</x:f>
        <x:v>0.0007212202552309856</x:v>
      </x:c>
      <x:c r="L352" s="3"/>
    </x:row>
    <x:row r="353" ht="22" customHeight="1">
      <x:c r="A353" s="3"/>
      <x:c r="B353" s="3" t="str">
        <x:v>22179</x:v>
      </x:c>
      <x:c r="C353" s="3" t="str">
        <x:v>SET 10 NIGHT OWL LIGHTS</x:v>
      </x:c>
      <x:c r="D353" s="13" t="n">
        <x:v>7232.95</x:v>
      </x:c>
      <x:c r="E353" s="13" t="n">
        <x:v>178.95</x:v>
      </x:c>
      <x:c r="F353" s="13" t="n">
        <x:f>D353-E353</x:f>
        <x:v>7054</x:v>
      </x:c>
      <x:c r="G353" s="3" t="n">
        <x:v>967</x:v>
      </x:c>
      <x:c r="H353" s="3" t="n">
        <x:v>29</x:v>
      </x:c>
      <x:c r="I353" s="3" t="n">
        <x:v>289</x:v>
      </x:c>
      <x:c r="J353" s="15" t="n">
        <x:f>IF(D353=0,"n.a.",E353/D353)</x:f>
        <x:v>0.024740942492344063</x:v>
      </x:c>
      <x:c r="K353" s="15" t="n">
        <x:f>F353/'Datos'!$F$7</x:f>
        <x:v>0.0007203318391549086</x:v>
      </x:c>
      <x:c r="L353" s="3"/>
    </x:row>
    <x:row r="354" ht="22" customHeight="1">
      <x:c r="A354" s="3"/>
      <x:c r="B354" s="3" t="str">
        <x:v>23083</x:v>
      </x:c>
      <x:c r="C354" s="3" t="str">
        <x:v>SET 6 PAPER TABLE LANTERN STARS</x:v>
      </x:c>
      <x:c r="D354" s="13" t="n">
        <x:v>7254.65</x:v>
      </x:c>
      <x:c r="E354" s="13" t="n">
        <x:v>214.17</x:v>
      </x:c>
      <x:c r="F354" s="13" t="n">
        <x:f>D354-E354</x:f>
        <x:v>7040.48</x:v>
      </x:c>
      <x:c r="G354" s="3" t="n">
        <x:v>1933</x:v>
      </x:c>
      <x:c r="H354" s="3" t="n">
        <x:v>63</x:v>
      </x:c>
      <x:c r="I354" s="3" t="n">
        <x:v>246</x:v>
      </x:c>
      <x:c r="J354" s="15" t="n">
        <x:f>IF(D354=0,"n.a.",E354/D354)</x:f>
        <x:v>0.029521755012302454</x:v>
      </x:c>
      <x:c r="K354" s="15" t="n">
        <x:f>F354/'Datos'!$F$7</x:f>
        <x:v>0.0007189512201493267</x:v>
      </x:c>
      <x:c r="L354" s="3"/>
    </x:row>
    <x:row r="355" ht="22" customHeight="1">
      <x:c r="A355" s="3"/>
      <x:c r="B355" s="3" t="str">
        <x:v>22553</x:v>
      </x:c>
      <x:c r="C355" s="3" t="str">
        <x:v>PLASTERS IN TIN SKULLS</x:v>
      </x:c>
      <x:c r="D355" s="13" t="n">
        <x:v>7176.67</x:v>
      </x:c>
      <x:c r="E355" s="13" t="n">
        <x:v>138.6</x:v>
      </x:c>
      <x:c r="F355" s="13" t="n">
        <x:f>D355-E355</x:f>
        <x:v>7038.07</x:v>
      </x:c>
      <x:c r="G355" s="3" t="n">
        <x:v>4269</x:v>
      </x:c>
      <x:c r="H355" s="3" t="n">
        <x:v>84</x:v>
      </x:c>
      <x:c r="I355" s="3" t="n">
        <x:v>560</x:v>
      </x:c>
      <x:c r="J355" s="15" t="n">
        <x:f>IF(D355=0,"n.a.",E355/D355)</x:f>
        <x:v>0.0193125781177064</x:v>
      </x:c>
      <x:c r="K355" s="15" t="n">
        <x:f>F355/'Datos'!$F$7</x:f>
        <x:v>0.0007187051186845744</x:v>
      </x:c>
      <x:c r="L355" s="3"/>
    </x:row>
    <x:row r="356" ht="22" customHeight="1">
      <x:c r="A356" s="3"/>
      <x:c r="B356" s="3" t="str">
        <x:v>23320</x:v>
      </x:c>
      <x:c r="C356" s="3" t="str">
        <x:v>GIANT 50'S CHRISTMAS CRACKER</x:v>
      </x:c>
      <x:c r="D356" s="13" t="n">
        <x:v>7072.16</x:v>
      </x:c>
      <x:c r="E356" s="13" t="n">
        <x:v>37.57</x:v>
      </x:c>
      <x:c r="F356" s="13" t="n">
        <x:f>D356-E356</x:f>
        <x:v>7034.59</x:v>
      </x:c>
      <x:c r="G356" s="3" t="n">
        <x:v>2668</x:v>
      </x:c>
      <x:c r="H356" s="3" t="n">
        <x:v>13</x:v>
      </x:c>
      <x:c r="I356" s="3" t="n">
        <x:v>333</x:v>
      </x:c>
      <x:c r="J356" s="15" t="n">
        <x:f>IF(D356=0,"n.a.",E356/D356)</x:f>
        <x:v>0.0053123798104115294</x:v>
      </x:c>
      <x:c r="K356" s="15" t="n">
        <x:f>F356/'Datos'!$F$7</x:f>
        <x:v>0.0007183497522541435</x:v>
      </x:c>
      <x:c r="L356" s="3"/>
    </x:row>
    <x:row r="357" ht="22" customHeight="1">
      <x:c r="A357" s="3"/>
      <x:c r="B357" s="3" t="str">
        <x:v>22663</x:v>
      </x:c>
      <x:c r="C357" s="3" t="str">
        <x:v>JUMBO BAG DOLLY GIRL DESIGN</x:v>
      </x:c>
      <x:c r="D357" s="13" t="n">
        <x:v>7053.28</x:v>
      </x:c>
      <x:c r="E357" s="13" t="n">
        <x:v>21.45</x:v>
      </x:c>
      <x:c r="F357" s="13" t="n">
        <x:f>D357-E357</x:f>
        <x:v>7031.83</x:v>
      </x:c>
      <x:c r="G357" s="3" t="n">
        <x:v>3420</x:v>
      </x:c>
      <x:c r="H357" s="3" t="n">
        <x:v>11</x:v>
      </x:c>
      <x:c r="I357" s="3" t="n">
        <x:v>450</x:v>
      </x:c>
      <x:c r="J357" s="15" t="n">
        <x:f>IF(D357=0,"n.a.",E357/D357)</x:f>
        <x:v>0.003041138307283987</x:v>
      </x:c>
      <x:c r="K357" s="15" t="n">
        <x:f>F357/'Datos'!$F$7</x:f>
        <x:v>0.0007180679099127673</x:v>
      </x:c>
      <x:c r="L357" s="3"/>
    </x:row>
    <x:row r="358" ht="22" customHeight="1">
      <x:c r="A358" s="3"/>
      <x:c r="B358" s="3" t="str">
        <x:v>21669</x:v>
      </x:c>
      <x:c r="C358" s="3" t="str">
        <x:v>BLUE STRIPE CERAMIC DRAWER KNOB</x:v>
      </x:c>
      <x:c r="D358" s="13" t="n">
        <x:v>7136</x:v>
      </x:c>
      <x:c r="E358" s="13" t="n">
        <x:v>115.01</x:v>
      </x:c>
      <x:c r="F358" s="13" t="n">
        <x:f>D358-E358</x:f>
        <x:v>7020.99</x:v>
      </x:c>
      <x:c r="G358" s="3" t="n">
        <x:v>5285</x:v>
      </x:c>
      <x:c r="H358" s="3" t="n">
        <x:v>80</x:v>
      </x:c>
      <x:c r="I358" s="3" t="n">
        <x:v>425</x:v>
      </x:c>
      <x:c r="J358" s="15" t="n">
        <x:f>IF(D358=0,"n.a.",E358/D358)</x:f>
        <x:v>0.016116872197309416</x:v>
      </x:c>
      <x:c r="K358" s="15" t="n">
        <x:f>F358/'Datos'!$F$7</x:f>
        <x:v>0.0007169609639053334</x:v>
      </x:c>
      <x:c r="L358" s="3"/>
    </x:row>
    <x:row r="359" ht="22" customHeight="1">
      <x:c r="A359" s="3"/>
      <x:c r="B359" s="3" t="str">
        <x:v>23543</x:v>
      </x:c>
      <x:c r="C359" s="3" t="str">
        <x:v>WALL ART KEEP CALM</x:v>
      </x:c>
      <x:c r="D359" s="13" t="n">
        <x:v>7019.01</x:v>
      </x:c>
      <x:c r="E359" s="13" t="n">
        <x:v>0</x:v>
      </x:c>
      <x:c r="F359" s="13" t="n">
        <x:f>D359-E359</x:f>
        <x:v>7019.01</x:v>
      </x:c>
      <x:c r="G359" s="3" t="n">
        <x:v>1237</x:v>
      </x:c>
      <x:c r="H359" s="3" t="n">
        <x:v>0</x:v>
      </x:c>
      <x:c r="I359" s="3" t="n">
        <x:v>103</x:v>
      </x:c>
      <x:c r="J359" s="15" t="n">
        <x:f>IF(D359=0,"n.a.",E359/D359)</x:f>
        <x:v>0</x:v>
      </x:c>
      <x:c r="K359" s="15" t="n">
        <x:f>F359/'Datos'!$F$7</x:f>
        <x:v>0.0007167587726604331</x:v>
      </x:c>
      <x:c r="L359" s="3"/>
    </x:row>
    <x:row r="360" ht="22" customHeight="1">
      <x:c r="A360" s="3"/>
      <x:c r="B360" s="3" t="str">
        <x:v>21259</x:v>
      </x:c>
      <x:c r="C360" s="3" t="str">
        <x:v>VICTORIAN SEWING BOX SMALL</x:v>
      </x:c>
      <x:c r="D360" s="13" t="n">
        <x:v>7106.95</x:v>
      </x:c>
      <x:c r="E360" s="13" t="n">
        <x:v>92.2</x:v>
      </x:c>
      <x:c r="F360" s="13" t="n">
        <x:f>D360-E360</x:f>
        <x:v>7014.75</x:v>
      </x:c>
      <x:c r="G360" s="3" t="n">
        <x:v>1184</x:v>
      </x:c>
      <x:c r="H360" s="3" t="n">
        <x:v>16</x:v>
      </x:c>
      <x:c r="I360" s="3" t="n">
        <x:v>285</x:v>
      </x:c>
      <x:c r="J360" s="15" t="n">
        <x:f>IF(D360=0,"n.a.",E360/D360)</x:f>
        <x:v>0.012973216358634859</x:v>
      </x:c>
      <x:c r="K360" s="15" t="n">
        <x:f>F360/'Datos'!$F$7</x:f>
        <x:v>0.0007163237551335264</x:v>
      </x:c>
      <x:c r="L360" s="3"/>
    </x:row>
    <x:row r="361" ht="22" customHeight="1">
      <x:c r="A361" s="3"/>
      <x:c r="B361" s="3" t="str">
        <x:v>23236</x:v>
      </x:c>
      <x:c r="C361" s="3" t="str">
        <x:v>STORAGE TIN VINTAGE DOILY</x:v>
      </x:c>
      <x:c r="D361" s="13" t="n">
        <x:v>7106.21</x:v>
      </x:c>
      <x:c r="E361" s="13" t="n">
        <x:v>95.37</x:v>
      </x:c>
      <x:c r="F361" s="13" t="n">
        <x:f>D361-E361</x:f>
        <x:v>7010.84</x:v>
      </x:c>
      <x:c r="G361" s="3" t="n">
        <x:v>2509</x:v>
      </x:c>
      <x:c r="H361" s="3" t="n">
        <x:v>33</x:v>
      </x:c>
      <x:c r="I361" s="3" t="n">
        <x:v>327</x:v>
      </x:c>
      <x:c r="J361" s="15" t="n">
        <x:f>IF(D361=0,"n.a.",E361/D361)</x:f>
        <x:v>0.013420656017764744</x:v>
      </x:c>
      <x:c r="K361" s="15" t="n">
        <x:f>F361/'Datos'!$F$7</x:f>
        <x:v>0.0007159244784832434</x:v>
      </x:c>
      <x:c r="L361" s="3"/>
    </x:row>
    <x:row r="362" ht="22" customHeight="1">
      <x:c r="A362" s="3"/>
      <x:c r="B362" s="3" t="str">
        <x:v>21258</x:v>
      </x:c>
      <x:c r="C362" s="3" t="str">
        <x:v>VICTORIAN SEWING BOX LARGE</x:v>
      </x:c>
      <x:c r="D362" s="13" t="n">
        <x:v>7674.8</x:v>
      </x:c>
      <x:c r="E362" s="13" t="n">
        <x:v>679.75</x:v>
      </x:c>
      <x:c r="F362" s="13" t="n">
        <x:f>D362-E362</x:f>
        <x:v>6995.05</x:v>
      </x:c>
      <x:c r="G362" s="3" t="n">
        <x:v>532</x:v>
      </x:c>
      <x:c r="H362" s="3" t="n">
        <x:v>61</x:v>
      </x:c>
      <x:c r="I362" s="3" t="n">
        <x:v>163</x:v>
      </x:c>
      <x:c r="J362" s="15" t="n">
        <x:f>IF(D362=0,"n.a.",E362/D362)</x:f>
        <x:v>0.0885690832334393</x:v>
      </x:c>
      <x:c r="K362" s="15" t="n">
        <x:f>F362/'Datos'!$F$7</x:f>
        <x:v>0.0007143120543635587</x:v>
      </x:c>
      <x:c r="L362" s="3"/>
    </x:row>
    <x:row r="363" ht="22" customHeight="1">
      <x:c r="A363" s="3"/>
      <x:c r="B363" s="3" t="str">
        <x:v>22637</x:v>
      </x:c>
      <x:c r="C363" s="3" t="str">
        <x:v>PIGGY BANK RETROSPOT</x:v>
      </x:c>
      <x:c r="D363" s="13" t="n">
        <x:v>7121.38</x:v>
      </x:c>
      <x:c r="E363" s="13" t="n">
        <x:v>136.2</x:v>
      </x:c>
      <x:c r="F363" s="13" t="n">
        <x:f>D363-E363</x:f>
        <x:v>6985.18</x:v>
      </x:c>
      <x:c r="G363" s="3" t="n">
        <x:v>2764</x:v>
      </x:c>
      <x:c r="H363" s="3" t="n">
        <x:v>55</x:v>
      </x:c>
      <x:c r="I363" s="3" t="n">
        <x:v>329</x:v>
      </x:c>
      <x:c r="J363" s="15" t="n">
        <x:f>IF(D363=0,"n.a.",E363/D363)</x:f>
        <x:v>0.019125506573164187</x:v>
      </x:c>
      <x:c r="K363" s="15" t="n">
        <x:f>F363/'Datos'!$F$7</x:f>
        <x:v>0.0007133041616427679</x:v>
      </x:c>
      <x:c r="L363" s="3"/>
    </x:row>
    <x:row r="364" ht="22" customHeight="1">
      <x:c r="A364" s="3"/>
      <x:c r="B364" s="3" t="str">
        <x:v>23293</x:v>
      </x:c>
      <x:c r="C364" s="3" t="str">
        <x:v>SET OF 12 FAIRY CAKE BAKING CASES</x:v>
      </x:c>
      <x:c r="D364" s="13" t="n">
        <x:v>7001.99</x:v>
      </x:c>
      <x:c r="E364" s="13" t="n">
        <x:v>26.56</x:v>
      </x:c>
      <x:c r="F364" s="13" t="n">
        <x:f>D364-E364</x:f>
        <x:v>6975.429999999999</x:v>
      </x:c>
      <x:c r="G364" s="3" t="n">
        <x:v>8486</x:v>
      </x:c>
      <x:c r="H364" s="3" t="n">
        <x:v>32</x:v>
      </x:c>
      <x:c r="I364" s="3" t="n">
        <x:v>552</x:v>
      </x:c>
      <x:c r="J364" s="15" t="n">
        <x:f>IF(D364=0,"n.a.",E364/D364)</x:f>
        <x:v>0.0037932073596220503</x:v>
      </x:c>
      <x:c r="K364" s="15" t="n">
        <x:f>F364/'Datos'!$F$7</x:f>
        <x:v>0.0007123085229368193</x:v>
      </x:c>
      <x:c r="L364" s="3"/>
    </x:row>
    <x:row r="365" ht="22" customHeight="1">
      <x:c r="A365" s="3"/>
      <x:c r="B365" s="3" t="str">
        <x:v>21922</x:v>
      </x:c>
      <x:c r="C365" s="3" t="str">
        <x:v>UNION STRIPE WITH FRINGE HAMMOCK</x:v>
      </x:c>
      <x:c r="D365" s="13" t="n">
        <x:v>6952.31</x:v>
      </x:c>
      <x:c r="E365" s="13" t="n">
        <x:v>0</x:v>
      </x:c>
      <x:c r="F365" s="13" t="n">
        <x:f>D365-E365</x:f>
        <x:v>6952.31</x:v>
      </x:c>
      <x:c r="G365" s="3" t="n">
        <x:v>899</x:v>
      </x:c>
      <x:c r="H365" s="3" t="n">
        <x:v>0</x:v>
      </x:c>
      <x:c r="I365" s="3" t="n">
        <x:v>208</x:v>
      </x:c>
      <x:c r="J365" s="15" t="n">
        <x:f>IF(D365=0,"n.a.",E365/D365)</x:f>
        <x:v>0</x:v>
      </x:c>
      <x:c r="K365" s="15" t="n">
        <x:f>F365/'Datos'!$F$7</x:f>
        <x:v>0.0007099475827438422</x:v>
      </x:c>
      <x:c r="L365" s="3"/>
    </x:row>
    <x:row r="366" ht="22" customHeight="1">
      <x:c r="A366" s="3"/>
      <x:c r="B366" s="3" t="str">
        <x:v>23283</x:v>
      </x:c>
      <x:c r="C366" s="3" t="str">
        <x:v>DOORMAT VINTAGE LEAF</x:v>
      </x:c>
      <x:c r="D366" s="13" t="n">
        <x:v>7003.38</x:v>
      </x:c>
      <x:c r="E366" s="13" t="n">
        <x:v>57.45</x:v>
      </x:c>
      <x:c r="F366" s="13" t="n">
        <x:f>D366-E366</x:f>
        <x:v>6945.93</x:v>
      </x:c>
      <x:c r="G366" s="3" t="n">
        <x:v>994</x:v>
      </x:c>
      <x:c r="H366" s="3" t="n">
        <x:v>7</x:v>
      </x:c>
      <x:c r="I366" s="3" t="n">
        <x:v>233</x:v>
      </x:c>
      <x:c r="J366" s="15" t="n">
        <x:f>IF(D366=0,"n.a.",E366/D366)</x:f>
        <x:v>0.008203181892172066</x:v>
      </x:c>
      <x:c r="K366" s="15" t="n">
        <x:f>F366/'Datos'!$F$7</x:f>
        <x:v>0.0007092960776213857</x:v>
      </x:c>
      <x:c r="L366" s="3"/>
    </x:row>
    <x:row r="367" ht="22" customHeight="1">
      <x:c r="A367" s="3"/>
      <x:c r="B367" s="3" t="str">
        <x:v>21094</x:v>
      </x:c>
      <x:c r="C367" s="3" t="str">
        <x:v>SET/6 RED SPOTTY PAPER PLATES</x:v>
      </x:c>
      <x:c r="D367" s="13" t="n">
        <x:v>6933.26</x:v>
      </x:c>
      <x:c r="E367" s="13" t="n">
        <x:v>0</x:v>
      </x:c>
      <x:c r="F367" s="13" t="n">
        <x:f>D367-E367</x:f>
        <x:v>6933.26</x:v>
      </x:c>
      <x:c r="G367" s="3" t="n">
        <x:v>8758</x:v>
      </x:c>
      <x:c r="H367" s="3" t="n">
        <x:v>0</x:v>
      </x:c>
      <x:c r="I367" s="3" t="n">
        <x:v>527</x:v>
      </x:c>
      <x:c r="J367" s="15" t="n">
        <x:f>IF(D367=0,"n.a.",E367/D367)</x:f>
        <x:v>0</x:v>
      </x:c>
      <x:c r="K367" s="15" t="n">
        <x:f>F367/'Datos'!$F$7</x:f>
        <x:v>0.0007080022578876044</x:v>
      </x:c>
      <x:c r="L367" s="3"/>
    </x:row>
    <x:row r="368" ht="22" customHeight="1">
      <x:c r="A368" s="3"/>
      <x:c r="B368" s="3" t="str">
        <x:v>21165</x:v>
      </x:c>
      <x:c r="C368" s="3" t="str">
        <x:v>BEWARE OF THE CAT METAL SIGN</x:v>
      </x:c>
      <x:c r="D368" s="13" t="n">
        <x:v>6939.08</x:v>
      </x:c>
      <x:c r="E368" s="13" t="n">
        <x:v>20.28</x:v>
      </x:c>
      <x:c r="F368" s="13" t="n">
        <x:f>D368-E368</x:f>
        <x:v>6918.8</x:v>
      </x:c>
      <x:c r="G368" s="3" t="n">
        <x:v>4156</x:v>
      </x:c>
      <x:c r="H368" s="3" t="n">
        <x:v>12</x:v>
      </x:c>
      <x:c r="I368" s="3" t="n">
        <x:v>449</x:v>
      </x:c>
      <x:c r="J368" s="15" t="n">
        <x:f>IF(D368=0,"n.a.",E368/D368)</x:f>
        <x:v>0.0029225776327697624</x:v>
      </x:c>
      <x:c r="K368" s="15" t="n">
        <x:f>F368/'Datos'!$F$7</x:f>
        <x:v>0.0007065256490990901</x:v>
      </x:c>
      <x:c r="L368" s="3"/>
    </x:row>
    <x:row r="369" ht="22" customHeight="1">
      <x:c r="A369" s="3"/>
      <x:c r="B369" s="3" t="str">
        <x:v>22333</x:v>
      </x:c>
      <x:c r="C369" s="3" t="str">
        <x:v>RETROSPOT PARTY BAG + STICKER SET</x:v>
      </x:c>
      <x:c r="D369" s="13" t="n">
        <x:v>7047.24</x:v>
      </x:c>
      <x:c r="E369" s="13" t="n">
        <x:v>135.3</x:v>
      </x:c>
      <x:c r="F369" s="13" t="n">
        <x:f>D369-E369</x:f>
        <x:v>6911.94</x:v>
      </x:c>
      <x:c r="G369" s="3" t="n">
        <x:v>4494</x:v>
      </x:c>
      <x:c r="H369" s="3" t="n">
        <x:v>82</x:v>
      </x:c>
      <x:c r="I369" s="3" t="n">
        <x:v>317</x:v>
      </x:c>
      <x:c r="J369" s="15" t="n">
        <x:f>IF(D369=0,"n.a.",E369/D369)</x:f>
        <x:v>0.019199005568137317</x:v>
      </x:c>
      <x:c r="K369" s="15" t="n">
        <x:f>F369/'Datos'!$F$7</x:f>
        <x:v>0.0007058251279172638</x:v>
      </x:c>
      <x:c r="L369" s="3"/>
    </x:row>
    <x:row r="370" ht="22" customHeight="1">
      <x:c r="A370" s="3"/>
      <x:c r="B370" s="3" t="str">
        <x:v>21326</x:v>
      </x:c>
      <x:c r="C370" s="3" t="str">
        <x:v>AGED GLASS SILVER T-LIGHT HOLDER</x:v>
      </x:c>
      <x:c r="D370" s="13" t="n">
        <x:v>6890.47</x:v>
      </x:c>
      <x:c r="E370" s="13" t="n">
        <x:v>13.65</x:v>
      </x:c>
      <x:c r="F370" s="13" t="n">
        <x:f>D370-E370</x:f>
        <x:v>6876.820000000001</x:v>
      </x:c>
      <x:c r="G370" s="3" t="n">
        <x:v>10583</x:v>
      </x:c>
      <x:c r="H370" s="3" t="n">
        <x:v>21</x:v>
      </x:c>
      <x:c r="I370" s="3" t="n">
        <x:v>340</x:v>
      </x:c>
      <x:c r="J370" s="15" t="n">
        <x:f>IF(D370=0,"n.a.",E370/D370)</x:f>
        <x:v>0.001980996942153438</x:v>
      </x:c>
      <x:c r="K370" s="15" t="n">
        <x:f>F370/'Datos'!$F$7</x:f>
        <x:v>0.0007022387862400424</x:v>
      </x:c>
      <x:c r="L370" s="3"/>
    </x:row>
    <x:row r="371" ht="22" customHeight="1">
      <x:c r="A371" s="3"/>
      <x:c r="B371" s="3" t="str">
        <x:v>85014A</x:v>
      </x:c>
      <x:c r="C371" s="3" t="str">
        <x:v>BLACK/BLUE POLKADOT UMBRELLA</x:v>
      </x:c>
      <x:c r="D371" s="13" t="n">
        <x:v>6909.99</x:v>
      </x:c>
      <x:c r="E371" s="13" t="n">
        <x:v>35.7</x:v>
      </x:c>
      <x:c r="F371" s="13" t="n">
        <x:f>D371-E371</x:f>
        <x:v>6874.29</x:v>
      </x:c>
      <x:c r="G371" s="3" t="n">
        <x:v>1182</x:v>
      </x:c>
      <x:c r="H371" s="3" t="n">
        <x:v>6</x:v>
      </x:c>
      <x:c r="I371" s="3" t="n">
        <x:v>292</x:v>
      </x:c>
      <x:c r="J371" s="15" t="n">
        <x:f>IF(D371=0,"n.a.",E371/D371)</x:f>
        <x:v>0.005166432947080966</x:v>
      </x:c>
      <x:c r="K371" s="15" t="n">
        <x:f>F371/'Datos'!$F$7</x:f>
        <x:v>0.0007019804307604474</x:v>
      </x:c>
      <x:c r="L371" s="3"/>
    </x:row>
    <x:row r="372" ht="22" customHeight="1">
      <x:c r="A372" s="3"/>
      <x:c r="B372" s="3" t="str">
        <x:v>22170</x:v>
      </x:c>
      <x:c r="C372" s="3" t="str">
        <x:v>PICTURE FRAME WOOD TRIPLE PORTRAIT</x:v>
      </x:c>
      <x:c r="D372" s="13" t="n">
        <x:v>6977.6</x:v>
      </x:c>
      <x:c r="E372" s="13" t="n">
        <x:v>118.65</x:v>
      </x:c>
      <x:c r="F372" s="13" t="n">
        <x:f>D372-E372</x:f>
        <x:v>6858.950000000001</x:v>
      </x:c>
      <x:c r="G372" s="3" t="n">
        <x:v>1068</x:v>
      </x:c>
      <x:c r="H372" s="3" t="n">
        <x:v>19</x:v>
      </x:c>
      <x:c r="I372" s="3" t="n">
        <x:v>265</x:v>
      </x:c>
      <x:c r="J372" s="15" t="n">
        <x:f>IF(D372=0,"n.a.",E372/D372)</x:f>
        <x:v>0.01700441412520064</x:v>
      </x:c>
      <x:c r="K372" s="15" t="n">
        <x:f>F372/'Datos'!$F$7</x:f>
        <x:v>0.0007004139591964219</x:v>
      </x:c>
      <x:c r="L372" s="3"/>
    </x:row>
    <x:row r="373" ht="22" customHeight="1">
      <x:c r="A373" s="3"/>
      <x:c r="B373" s="3" t="str">
        <x:v>22294</x:v>
      </x:c>
      <x:c r="C373" s="3" t="str">
        <x:v>HEART FILIGREE DOVE SMALL</x:v>
      </x:c>
      <x:c r="D373" s="13" t="n">
        <x:v>6901.33</x:v>
      </x:c>
      <x:c r="E373" s="13" t="n">
        <x:v>42.5</x:v>
      </x:c>
      <x:c r="F373" s="13" t="n">
        <x:f>D373-E373</x:f>
        <x:v>6858.83</x:v>
      </x:c>
      <x:c r="G373" s="3" t="n">
        <x:v>5534</x:v>
      </x:c>
      <x:c r="H373" s="3" t="n">
        <x:v>34</x:v>
      </x:c>
      <x:c r="I373" s="3" t="n">
        <x:v>299</x:v>
      </x:c>
      <x:c r="J373" s="15" t="n">
        <x:f>IF(D373=0,"n.a.",E373/D373)</x:f>
        <x:v>0.006158233268080211</x:v>
      </x:c>
      <x:c r="K373" s="15" t="n">
        <x:f>F373/'Datos'!$F$7</x:f>
        <x:v>0.0007004017051815795</x:v>
      </x:c>
      <x:c r="L373" s="3"/>
    </x:row>
    <x:row r="374" ht="22" customHeight="1">
      <x:c r="A374" s="3"/>
      <x:c r="B374" s="3" t="str">
        <x:v>23254</x:v>
      </x:c>
      <x:c r="C374" s="3" t="str">
        <x:v>CHILDRENS CUTLERY DOLLY GIRL</x:v>
      </x:c>
      <x:c r="D374" s="13" t="n">
        <x:v>6932.16</x:v>
      </x:c>
      <x:c r="E374" s="13" t="n">
        <x:v>83</x:v>
      </x:c>
      <x:c r="F374" s="13" t="n">
        <x:f>D374-E374</x:f>
        <x:v>6849.16</x:v>
      </x:c>
      <x:c r="G374" s="3" t="n">
        <x:v>1710</x:v>
      </x:c>
      <x:c r="H374" s="3" t="n">
        <x:v>20</x:v>
      </x:c>
      <x:c r="I374" s="3" t="n">
        <x:v>299</x:v>
      </x:c>
      <x:c r="J374" s="15" t="n">
        <x:f>IF(D374=0,"n.a.",E374/D374)</x:f>
        <x:v>0.011973180076628353</x:v>
      </x:c>
      <x:c r="K374" s="15" t="n">
        <x:f>F374/'Datos'!$F$7</x:f>
        <x:v>0.0006994142358188593</x:v>
      </x:c>
      <x:c r="L374" s="3"/>
    </x:row>
    <x:row r="375" ht="22" customHeight="1">
      <x:c r="A375" s="3"/>
      <x:c r="B375" s="3" t="str">
        <x:v>22834</x:v>
      </x:c>
      <x:c r="C375" s="3" t="str">
        <x:v>HAND WARMER BABUSHKA DESIGN</x:v>
      </x:c>
      <x:c r="D375" s="13" t="n">
        <x:v>7136.23</x:v>
      </x:c>
      <x:c r="E375" s="13" t="n">
        <x:v>306.05</x:v>
      </x:c>
      <x:c r="F375" s="13" t="n">
        <x:f>D375-E375</x:f>
        <x:v>6830.179999999999</x:v>
      </x:c>
      <x:c r="G375" s="3" t="n">
        <x:v>4970</x:v>
      </x:c>
      <x:c r="H375" s="3" t="n">
        <x:v>203</x:v>
      </x:c>
      <x:c r="I375" s="3" t="n">
        <x:v>368</x:v>
      </x:c>
      <x:c r="J375" s="15" t="n">
        <x:f>IF(D375=0,"n.a.",E375/D375)</x:f>
        <x:v>0.042886790364099814</x:v>
      </x:c>
      <x:c r="K375" s="15" t="n">
        <x:f>F375/'Datos'!$F$7</x:f>
        <x:v>0.0006974760591379463</x:v>
      </x:c>
      <x:c r="L375" s="3"/>
    </x:row>
    <x:row r="376" ht="22" customHeight="1">
      <x:c r="A376" s="3"/>
      <x:c r="B376" s="3" t="str">
        <x:v>23215</x:v>
      </x:c>
      <x:c r="C376" s="3" t="str">
        <x:v>JINGLE BELL HEART ANTIQUE SILVER</x:v>
      </x:c>
      <x:c r="D376" s="13" t="n">
        <x:v>7044.64</x:v>
      </x:c>
      <x:c r="E376" s="13" t="n">
        <x:v>214.8</x:v>
      </x:c>
      <x:c r="F376" s="13" t="n">
        <x:f>D376-E376</x:f>
        <x:v>6829.84</x:v>
      </x:c>
      <x:c r="G376" s="3" t="n">
        <x:v>3567</x:v>
      </x:c>
      <x:c r="H376" s="3" t="n">
        <x:v>120</x:v>
      </x:c>
      <x:c r="I376" s="3" t="n">
        <x:v>210</x:v>
      </x:c>
      <x:c r="J376" s="15" t="n">
        <x:f>IF(D376=0,"n.a.",E376/D376)</x:f>
        <x:v>0.030491267119398577</x:v>
      </x:c>
      <x:c r="K376" s="15" t="n">
        <x:f>F376/'Datos'!$F$7</x:f>
        <x:v>0.0006974413394292261</x:v>
      </x:c>
      <x:c r="L376" s="3"/>
    </x:row>
    <x:row r="377" ht="22" customHeight="1">
      <x:c r="A377" s="3"/>
      <x:c r="B377" s="3" t="str">
        <x:v>22767</x:v>
      </x:c>
      <x:c r="C377" s="3" t="str">
        <x:v>TRIPLE PHOTO FRAME CORNICE</x:v>
      </x:c>
      <x:c r="D377" s="13" t="n">
        <x:v>7173.55</x:v>
      </x:c>
      <x:c r="E377" s="13" t="n">
        <x:v>348.25</x:v>
      </x:c>
      <x:c r="F377" s="13" t="n">
        <x:f>D377-E377</x:f>
        <x:v>6825.3</x:v>
      </x:c>
      <x:c r="G377" s="3" t="n">
        <x:v>774</x:v>
      </x:c>
      <x:c r="H377" s="3" t="n">
        <x:v>35</x:v>
      </x:c>
      <x:c r="I377" s="3" t="n">
        <x:v>218</x:v>
      </x:c>
      <x:c r="J377" s="15" t="n">
        <x:f>IF(D377=0,"n.a.",E377/D377)</x:f>
        <x:v>0.04854639613580445</x:v>
      </x:c>
      <x:c r="K377" s="15" t="n">
        <x:f>F377/'Datos'!$F$7</x:f>
        <x:v>0.0006969777292010204</x:v>
      </x:c>
      <x:c r="L377" s="3"/>
    </x:row>
    <x:row r="378" ht="22" customHeight="1">
      <x:c r="A378" s="3"/>
      <x:c r="B378" s="3" t="str">
        <x:v>21257</x:v>
      </x:c>
      <x:c r="C378" s="3" t="str">
        <x:v>VICTORIAN SEWING BOX MEDIUM</x:v>
      </x:c>
      <x:c r="D378" s="13" t="n">
        <x:v>6909.37</x:v>
      </x:c>
      <x:c r="E378" s="13" t="n">
        <x:v>88.4</x:v>
      </x:c>
      <x:c r="F378" s="13" t="n">
        <x:f>D378-E378</x:f>
        <x:v>6820.97</x:v>
      </x:c>
      <x:c r="G378" s="3" t="n">
        <x:v>689</x:v>
      </x:c>
      <x:c r="H378" s="3" t="n">
        <x:v>12</x:v>
      </x:c>
      <x:c r="I378" s="3" t="n">
        <x:v>261</x:v>
      </x:c>
      <x:c r="J378" s="15" t="n">
        <x:f>IF(D378=0,"n.a.",E378/D378)</x:f>
        <x:v>0.012794220022954337</x:v>
      </x:c>
      <x:c r="K378" s="15" t="n">
        <x:f>F378/'Datos'!$F$7</x:f>
        <x:v>0.0006965355634987889</x:v>
      </x:c>
      <x:c r="L378" s="3"/>
    </x:row>
    <x:row r="379" ht="22" customHeight="1">
      <x:c r="A379" s="3"/>
      <x:c r="B379" s="3" t="str">
        <x:v>84970L</x:v>
      </x:c>
      <x:c r="C379" s="3" t="str">
        <x:v>SINGLE HEART ZINC T-LIGHT HOLDER</x:v>
      </x:c>
      <x:c r="D379" s="13" t="n">
        <x:v>6831.75</x:v>
      </x:c>
      <x:c r="E379" s="13" t="n">
        <x:v>11.4</x:v>
      </x:c>
      <x:c r="F379" s="13" t="n">
        <x:f>D379-E379</x:f>
        <x:v>6820.35</x:v>
      </x:c>
      <x:c r="G379" s="3" t="n">
        <x:v>6266</x:v>
      </x:c>
      <x:c r="H379" s="3" t="n">
        <x:v>12</x:v>
      </x:c>
      <x:c r="I379" s="3" t="n">
        <x:v>507</x:v>
      </x:c>
      <x:c r="J379" s="15" t="n">
        <x:f>IF(D379=0,"n.a.",E379/D379)</x:f>
        <x:v>0.0016686793281370073</x:v>
      </x:c>
      <x:c r="K379" s="15" t="n">
        <x:f>F379/'Datos'!$F$7</x:f>
        <x:v>0.0006964722510887696</x:v>
      </x:c>
      <x:c r="L379" s="3"/>
    </x:row>
    <x:row r="380" ht="22" customHeight="1">
      <x:c r="A380" s="3"/>
      <x:c r="B380" s="3" t="str">
        <x:v>22109</x:v>
      </x:c>
      <x:c r="C380" s="3" t="str">
        <x:v>FULL ENGLISH BREAKFAST PLATE</x:v>
      </x:c>
      <x:c r="D380" s="13" t="n">
        <x:v>6928.65</x:v>
      </x:c>
      <x:c r="E380" s="13" t="n">
        <x:v>114.39</x:v>
      </x:c>
      <x:c r="F380" s="13" t="n">
        <x:f>D380-E380</x:f>
        <x:v>6814.259999999999</x:v>
      </x:c>
      <x:c r="G380" s="3" t="n">
        <x:v>1642</x:v>
      </x:c>
      <x:c r="H380" s="3" t="n">
        <x:v>33</x:v>
      </x:c>
      <x:c r="I380" s="3" t="n">
        <x:v>296</x:v>
      </x:c>
      <x:c r="J380" s="15" t="n">
        <x:f>IF(D380=0,"n.a.",E380/D380)</x:f>
        <x:v>0.016509709683704618</x:v>
      </x:c>
      <x:c r="K380" s="15" t="n">
        <x:f>F380/'Datos'!$F$7</x:f>
        <x:v>0.0006958503598355156</x:v>
      </x:c>
      <x:c r="L380" s="3"/>
    </x:row>
    <x:row r="381" ht="22" customHeight="1">
      <x:c r="A381" s="3"/>
      <x:c r="B381" s="3" t="str">
        <x:v>23103</x:v>
      </x:c>
      <x:c r="C381" s="3" t="str">
        <x:v>JINGLE BELL HEART DECORATION</x:v>
      </x:c>
      <x:c r="D381" s="13" t="n">
        <x:v>6859.36</x:v>
      </x:c>
      <x:c r="E381" s="13" t="n">
        <x:v>46.2</x:v>
      </x:c>
      <x:c r="F381" s="13" t="n">
        <x:f>D381-E381</x:f>
        <x:v>6813.16</x:v>
      </x:c>
      <x:c r="G381" s="3" t="n">
        <x:v>4080</x:v>
      </x:c>
      <x:c r="H381" s="3" t="n">
        <x:v>28</x:v>
      </x:c>
      <x:c r="I381" s="3" t="n">
        <x:v>365</x:v>
      </x:c>
      <x:c r="J381" s="15" t="n">
        <x:f>IF(D381=0,"n.a.",E381/D381)</x:f>
        <x:v>0.00673532224580719</x:v>
      </x:c>
      <x:c r="K381" s="15" t="n">
        <x:f>F381/'Datos'!$F$7</x:f>
        <x:v>0.0006957380313661266</x:v>
      </x:c>
      <x:c r="L381" s="3"/>
    </x:row>
    <x:row r="382" ht="22" customHeight="1">
      <x:c r="A382" s="3"/>
      <x:c r="B382" s="3" t="str">
        <x:v>22946</x:v>
      </x:c>
      <x:c r="C382" s="3" t="str">
        <x:v>WOODEN ADVENT CALENDAR CREAM</x:v>
      </x:c>
      <x:c r="D382" s="13" t="n">
        <x:v>7047.17</x:v>
      </x:c>
      <x:c r="E382" s="13" t="n">
        <x:v>237.75</x:v>
      </x:c>
      <x:c r="F382" s="13" t="n">
        <x:f>D382-E382</x:f>
        <x:v>6809.42</x:v>
      </x:c>
      <x:c r="G382" s="3" t="n">
        <x:v>454</x:v>
      </x:c>
      <x:c r="H382" s="3" t="n">
        <x:v>17</x:v>
      </x:c>
      <x:c r="I382" s="3" t="n">
        <x:v>137</x:v>
      </x:c>
      <x:c r="J382" s="15" t="n">
        <x:f>IF(D382=0,"n.a.",E382/D382)</x:f>
        <x:v>0.03373694688789968</x:v>
      </x:c>
      <x:c r="K382" s="15" t="n">
        <x:f>F382/'Datos'!$F$7</x:f>
        <x:v>0.0006953561145702037</x:v>
      </x:c>
      <x:c r="L382" s="3"/>
    </x:row>
    <x:row r="383" ht="22" customHeight="1">
      <x:c r="A383" s="3"/>
      <x:c r="B383" s="3" t="str">
        <x:v>22634</x:v>
      </x:c>
      <x:c r="C383" s="3" t="str">
        <x:v>CHILDS BREAKFAST SET SPACEBOY</x:v>
      </x:c>
      <x:c r="D383" s="13" t="n">
        <x:v>7191.15</x:v>
      </x:c>
      <x:c r="E383" s="13" t="n">
        <x:v>381.85</x:v>
      </x:c>
      <x:c r="F383" s="13" t="n">
        <x:f>D383-E383</x:f>
        <x:v>6809.299999999999</x:v>
      </x:c>
      <x:c r="G383" s="3" t="n">
        <x:v>766</x:v>
      </x:c>
      <x:c r="H383" s="3" t="n">
        <x:v>41</x:v>
      </x:c>
      <x:c r="I383" s="3" t="n">
        <x:v>222</x:v>
      </x:c>
      <x:c r="J383" s="15" t="n">
        <x:f>IF(D383=0,"n.a.",E383/D383)</x:f>
        <x:v>0.053099990961111926</x:v>
      </x:c>
      <x:c r="K383" s="15" t="n">
        <x:f>F383/'Datos'!$F$7</x:f>
        <x:v>0.0006953438605553613</x:v>
      </x:c>
      <x:c r="L383" s="3"/>
    </x:row>
    <x:row r="384" ht="22" customHeight="1">
      <x:c r="A384" s="3"/>
      <x:c r="B384" s="3" t="str">
        <x:v>23541</x:v>
      </x:c>
      <x:c r="C384" s="3" t="str">
        <x:v>WALL ART CLASSIC PUDDINGS</x:v>
      </x:c>
      <x:c r="D384" s="13" t="n">
        <x:v>6823.91</x:v>
      </x:c>
      <x:c r="E384" s="13" t="n">
        <x:v>16.5</x:v>
      </x:c>
      <x:c r="F384" s="13" t="n">
        <x:f>D384-E384</x:f>
        <x:v>6807.41</x:v>
      </x:c>
      <x:c r="G384" s="3" t="n">
        <x:v>872</x:v>
      </x:c>
      <x:c r="H384" s="3" t="n">
        <x:v>2</x:v>
      </x:c>
      <x:c r="I384" s="3" t="n">
        <x:v>152</x:v>
      </x:c>
      <x:c r="J384" s="15" t="n">
        <x:f>IF(D384=0,"n.a.",E384/D384)</x:f>
        <x:v>0.002417968583993634</x:v>
      </x:c>
      <x:c r="K384" s="15" t="n">
        <x:f>F384/'Datos'!$F$7</x:f>
        <x:v>0.0006951508598215929</x:v>
      </x:c>
      <x:c r="L384" s="3"/>
    </x:row>
    <x:row r="385" ht="22" customHeight="1">
      <x:c r="A385" s="3"/>
      <x:c r="B385" s="3" t="str">
        <x:v>22839</x:v>
      </x:c>
      <x:c r="C385" s="3" t="str">
        <x:v>3 TIER CAKE TIN GREEN AND CREAM</x:v>
      </x:c>
      <x:c r="D385" s="13" t="n">
        <x:v>7011.57</x:v>
      </x:c>
      <x:c r="E385" s="13" t="n">
        <x:v>209.3</x:v>
      </x:c>
      <x:c r="F385" s="13" t="n">
        <x:f>D385-E385</x:f>
        <x:v>6802.2699999999995</x:v>
      </x:c>
      <x:c r="G385" s="3" t="n">
        <x:v>447</x:v>
      </x:c>
      <x:c r="H385" s="3" t="n">
        <x:v>14</x:v>
      </x:c>
      <x:c r="I385" s="3" t="n">
        <x:v>201</x:v>
      </x:c>
      <x:c r="J385" s="15" t="n">
        <x:f>IF(D385=0,"n.a.",E385/D385)</x:f>
        <x:v>0.029850661121546246</x:v>
      </x:c>
      <x:c r="K385" s="15" t="n">
        <x:f>F385/'Datos'!$F$7</x:f>
        <x:v>0.0006946259795191749</x:v>
      </x:c>
      <x:c r="L385" s="3"/>
    </x:row>
    <x:row r="386" ht="22" customHeight="1">
      <x:c r="A386" s="3"/>
      <x:c r="B386" s="3" t="str">
        <x:v>22620</x:v>
      </x:c>
      <x:c r="C386" s="3" t="str">
        <x:v>4 TRADITIONAL SPINNING TOPS</x:v>
      </x:c>
      <x:c r="D386" s="13" t="n">
        <x:v>6789.46</x:v>
      </x:c>
      <x:c r="E386" s="13" t="n">
        <x:v>12.9</x:v>
      </x:c>
      <x:c r="F386" s="13" t="n">
        <x:f>D386-E386</x:f>
        <x:v>6776.56</x:v>
      </x:c>
      <x:c r="G386" s="3" t="n">
        <x:v>4894</x:v>
      </x:c>
      <x:c r="H386" s="3" t="n">
        <x:v>10</x:v>
      </x:c>
      <x:c r="I386" s="3" t="n">
        <x:v>483</x:v>
      </x:c>
      <x:c r="J386" s="15" t="n">
        <x:f>IF(D386=0,"n.a.",E386/D386)</x:f>
        <x:v>0.0019000038294650827</x:v>
      </x:c>
      <x:c r="K386" s="15" t="n">
        <x:f>F386/'Datos'!$F$7</x:f>
        <x:v>0.0006920005568391817</x:v>
      </x:c>
      <x:c r="L386" s="3"/>
    </x:row>
    <x:row r="387" ht="22" customHeight="1">
      <x:c r="A387" s="3"/>
      <x:c r="B387" s="3" t="str">
        <x:v>22840</x:v>
      </x:c>
      <x:c r="C387" s="3" t="str">
        <x:v>ROUND CAKE TIN VINTAGE RED</x:v>
      </x:c>
      <x:c r="D387" s="13" t="n">
        <x:v>6927.64</x:v>
      </x:c>
      <x:c r="E387" s="13" t="n">
        <x:v>158</x:v>
      </x:c>
      <x:c r="F387" s="13" t="n">
        <x:f>D387-E387</x:f>
        <x:v>6769.64</x:v>
      </x:c>
      <x:c r="G387" s="3" t="n">
        <x:v>916</x:v>
      </x:c>
      <x:c r="H387" s="3" t="n">
        <x:v>20</x:v>
      </x:c>
      <x:c r="I387" s="3" t="n">
        <x:v>271</x:v>
      </x:c>
      <x:c r="J387" s="15" t="n">
        <x:f>IF(D387=0,"n.a.",E387/D387)</x:f>
        <x:v>0.022807189750044747</x:v>
      </x:c>
      <x:c r="K387" s="15" t="n">
        <x:f>F387/'Datos'!$F$7</x:f>
        <x:v>0.0006912939086499341</x:v>
      </x:c>
      <x:c r="L387" s="3"/>
    </x:row>
    <x:row r="388" ht="22" customHeight="1">
      <x:c r="A388" s="3"/>
      <x:c r="B388" s="3" t="str">
        <x:v>23297</x:v>
      </x:c>
      <x:c r="C388" s="3" t="str">
        <x:v>SET 40 HEART SHAPE PETIT FOUR CASES</x:v>
      </x:c>
      <x:c r="D388" s="13" t="n">
        <x:v>6792.23</x:v>
      </x:c>
      <x:c r="E388" s="13" t="n">
        <x:v>42.9</x:v>
      </x:c>
      <x:c r="F388" s="13" t="n">
        <x:f>D388-E388</x:f>
        <x:v>6749.33</x:v>
      </x:c>
      <x:c r="G388" s="3" t="n">
        <x:v>4303</x:v>
      </x:c>
      <x:c r="H388" s="3" t="n">
        <x:v>26</x:v>
      </x:c>
      <x:c r="I388" s="3" t="n">
        <x:v>161</x:v>
      </x:c>
      <x:c r="J388" s="15" t="n">
        <x:f>IF(D388=0,"n.a.",E388/D388)</x:f>
        <x:v>0.006316040534551981</x:v>
      </x:c>
      <x:c r="K388" s="15" t="n">
        <x:f>F388/'Datos'!$F$7</x:f>
        <x:v>0.0006892199166378507</x:v>
      </x:c>
      <x:c r="L388" s="3"/>
    </x:row>
    <x:row r="389" ht="22" customHeight="1">
      <x:c r="A389" s="3"/>
      <x:c r="B389" s="3" t="str">
        <x:v>21787</x:v>
      </x:c>
      <x:c r="C389" s="3" t="str">
        <x:v>RAIN PONCHO RETROSPOT</x:v>
      </x:c>
      <x:c r="D389" s="13" t="n">
        <x:v>7163.65</x:v>
      </x:c>
      <x:c r="E389" s="13" t="n">
        <x:v>420</x:v>
      </x:c>
      <x:c r="F389" s="13" t="n">
        <x:f>D389-E389</x:f>
        <x:v>6743.65</x:v>
      </x:c>
      <x:c r="G389" s="3" t="n">
        <x:v>8878</x:v>
      </x:c>
      <x:c r="H389" s="3" t="n">
        <x:v>528</x:v>
      </x:c>
      <x:c r="I389" s="3" t="n">
        <x:v>243</x:v>
      </x:c>
      <x:c r="J389" s="15" t="n">
        <x:f>IF(D389=0,"n.a.",E389/D389)</x:f>
        <x:v>0.05862933002031088</x:v>
      </x:c>
      <x:c r="K389" s="15" t="n">
        <x:f>F389/'Datos'!$F$7</x:f>
        <x:v>0.0006886398932686418</x:v>
      </x:c>
      <x:c r="L389" s="3"/>
    </x:row>
    <x:row r="390" ht="22" customHeight="1">
      <x:c r="A390" s="3"/>
      <x:c r="B390" s="3" t="str">
        <x:v>21672</x:v>
      </x:c>
      <x:c r="C390" s="3" t="str">
        <x:v>WHITE SPOT RED CERAMIC DRAWER KNOB</x:v>
      </x:c>
      <x:c r="D390" s="13" t="n">
        <x:v>6815.9</x:v>
      </x:c>
      <x:c r="E390" s="13" t="n">
        <x:v>77.55</x:v>
      </x:c>
      <x:c r="F390" s="13" t="n">
        <x:f>D390-E390</x:f>
        <x:v>6738.349999999999</x:v>
      </x:c>
      <x:c r="G390" s="3" t="n">
        <x:v>5022</x:v>
      </x:c>
      <x:c r="H390" s="3" t="n">
        <x:v>59</x:v>
      </x:c>
      <x:c r="I390" s="3" t="n">
        <x:v>409</x:v>
      </x:c>
      <x:c r="J390" s="15" t="n">
        <x:f>IF(D390=0,"n.a.",E390/D390)</x:f>
        <x:v>0.011377807773001365</x:v>
      </x:c>
      <x:c r="K390" s="15" t="n">
        <x:f>F390/'Datos'!$F$7</x:f>
        <x:v>0.0006880986742797672</x:v>
      </x:c>
      <x:c r="L390" s="3"/>
    </x:row>
    <x:row r="391" ht="22" customHeight="1">
      <x:c r="A391" s="3"/>
      <x:c r="B391" s="3" t="str">
        <x:v>47591D</x:v>
      </x:c>
      <x:c r="C391" s="3" t="str">
        <x:v>PINK FAIRY CAKE CHILDRENS APRON</x:v>
      </x:c>
      <x:c r="D391" s="13" t="n">
        <x:v>6732.49</x:v>
      </x:c>
      <x:c r="E391" s="13" t="n">
        <x:v>3.9</x:v>
      </x:c>
      <x:c r="F391" s="13" t="n">
        <x:f>D391-E391</x:f>
        <x:v>6728.59</x:v>
      </x:c>
      <x:c r="G391" s="3" t="n">
        <x:v>3345</x:v>
      </x:c>
      <x:c r="H391" s="3" t="n">
        <x:v>2</x:v>
      </x:c>
      <x:c r="I391" s="3" t="n">
        <x:v>495</x:v>
      </x:c>
      <x:c r="J391" s="15" t="n">
        <x:f>IF(D391=0,"n.a.",E391/D391)</x:f>
        <x:v>0.0005792804742376149</x:v>
      </x:c>
      <x:c r="K391" s="15" t="n">
        <x:f>F391/'Datos'!$F$7</x:f>
        <x:v>0.0006871020144059152</x:v>
      </x:c>
      <x:c r="L391" s="3"/>
    </x:row>
    <x:row r="392" ht="22" customHeight="1">
      <x:c r="A392" s="3"/>
      <x:c r="B392" s="3" t="str">
        <x:v>22950</x:v>
      </x:c>
      <x:c r="C392" s="3" t="str">
        <x:v>36 DOILIES VINTAGE CHRISTMAS</x:v>
      </x:c>
      <x:c r="D392" s="13" t="n">
        <x:v>7133</x:v>
      </x:c>
      <x:c r="E392" s="13" t="n">
        <x:v>413.65</x:v>
      </x:c>
      <x:c r="F392" s="13" t="n">
        <x:f>D392-E392</x:f>
        <x:v>6719.35</x:v>
      </x:c>
      <x:c r="G392" s="3" t="n">
        <x:v>5210</x:v>
      </x:c>
      <x:c r="H392" s="3" t="n">
        <x:v>325</x:v>
      </x:c>
      <x:c r="I392" s="3" t="n">
        <x:v>185</x:v>
      </x:c>
      <x:c r="J392" s="15" t="n">
        <x:f>IF(D392=0,"n.a.",E392/D392)</x:f>
        <x:v>0.05799102761811299</x:v>
      </x:c>
      <x:c r="K392" s="15" t="n">
        <x:f>F392/'Datos'!$F$7</x:f>
        <x:v>0.0006861584552630473</x:v>
      </x:c>
      <x:c r="L392" s="3"/>
    </x:row>
    <x:row r="393" ht="22" customHeight="1">
      <x:c r="A393" s="3"/>
      <x:c r="B393" s="3" t="str">
        <x:v>23229</x:v>
      </x:c>
      <x:c r="C393" s="3" t="str">
        <x:v>VINTAGE DONKEY TAIL GAME</x:v>
      </x:c>
      <x:c r="D393" s="13" t="n">
        <x:v>6739.71</x:v>
      </x:c>
      <x:c r="E393" s="13" t="n">
        <x:v>40.89</x:v>
      </x:c>
      <x:c r="F393" s="13" t="n">
        <x:f>D393-E393</x:f>
        <x:v>6698.82</x:v>
      </x:c>
      <x:c r="G393" s="3" t="n">
        <x:v>1869</x:v>
      </x:c>
      <x:c r="H393" s="3" t="n">
        <x:v>11</x:v>
      </x:c>
      <x:c r="I393" s="3" t="n">
        <x:v>256</x:v>
      </x:c>
      <x:c r="J393" s="15" t="n">
        <x:f>IF(D393=0,"n.a.",E393/D393)</x:f>
        <x:v>0.006067026622807213</x:v>
      </x:c>
      <x:c r="K393" s="15" t="n">
        <x:f>F393/'Datos'!$F$7</x:f>
        <x:v>0.000684061997557086</x:v>
      </x:c>
      <x:c r="L393" s="3"/>
    </x:row>
    <x:row r="394" ht="22" customHeight="1">
      <x:c r="A394" s="3"/>
      <x:c r="B394" s="3" t="str">
        <x:v>23480</x:v>
      </x:c>
      <x:c r="C394" s="3" t="str">
        <x:v>MINI LIGHTS WOODLAND MUSHROOMS</x:v>
      </x:c>
      <x:c r="D394" s="13" t="n">
        <x:v>6726.64</x:v>
      </x:c>
      <x:c r="E394" s="13" t="n">
        <x:v>68.1</x:v>
      </x:c>
      <x:c r="F394" s="13" t="n">
        <x:f>D394-E394</x:f>
        <x:v>6658.54</x:v>
      </x:c>
      <x:c r="G394" s="3" t="n">
        <x:v>1800</x:v>
      </x:c>
      <x:c r="H394" s="3" t="n">
        <x:v>20</x:v>
      </x:c>
      <x:c r="I394" s="3" t="n">
        <x:v>215</x:v>
      </x:c>
      <x:c r="J394" s="15" t="n">
        <x:f>IF(D394=0,"n.a.",E394/D394)</x:f>
        <x:v>0.010123925169178073</x:v>
      </x:c>
      <x:c r="K394" s="15" t="n">
        <x:f>F394/'Datos'!$F$7</x:f>
        <x:v>0.0006799487332416395</x:v>
      </x:c>
      <x:c r="L394" s="3"/>
    </x:row>
    <x:row r="395" ht="22" customHeight="1">
      <x:c r="A395" s="3"/>
      <x:c r="B395" s="3" t="str">
        <x:v>84988</x:v>
      </x:c>
      <x:c r="C395" s="3" t="str">
        <x:v>SET OF 72 PINK HEART PAPER DOILIES</x:v>
      </x:c>
      <x:c r="D395" s="13" t="n">
        <x:v>6672.7</x:v>
      </x:c>
      <x:c r="E395" s="13" t="n">
        <x:v>18.85</x:v>
      </x:c>
      <x:c r="F395" s="13" t="n">
        <x:f>D395-E395</x:f>
        <x:v>6653.849999999999</x:v>
      </x:c>
      <x:c r="G395" s="3" t="n">
        <x:v>4312</x:v>
      </x:c>
      <x:c r="H395" s="3" t="n">
        <x:v>13</x:v>
      </x:c>
      <x:c r="I395" s="3" t="n">
        <x:v>510</x:v>
      </x:c>
      <x:c r="J395" s="15" t="n">
        <x:f>IF(D395=0,"n.a.",E395/D395)</x:f>
        <x:v>0.0028249434261992897</x:v>
      </x:c>
      <x:c r="K395" s="15" t="n">
        <x:f>F395/'Datos'!$F$7</x:f>
        <x:v>0.0006794698054948807</x:v>
      </x:c>
      <x:c r="L395" s="3"/>
    </x:row>
    <x:row r="396" ht="22" customHeight="1">
      <x:c r="A396" s="3"/>
      <x:c r="B396" s="3" t="str">
        <x:v>23109</x:v>
      </x:c>
      <x:c r="C396" s="3" t="str">
        <x:v>PACK OF SIX LED TEA LIGHTS</x:v>
      </x:c>
      <x:c r="D396" s="13" t="n">
        <x:v>6878.37</x:v>
      </x:c>
      <x:c r="E396" s="13" t="n">
        <x:v>239.04</x:v>
      </x:c>
      <x:c r="F396" s="13" t="n">
        <x:f>D396-E396</x:f>
        <x:v>6639.33</x:v>
      </x:c>
      <x:c r="G396" s="3" t="n">
        <x:v>2401</x:v>
      </x:c>
      <x:c r="H396" s="3" t="n">
        <x:v>96</x:v>
      </x:c>
      <x:c r="I396" s="3" t="n">
        <x:v>268</x:v>
      </x:c>
      <x:c r="J396" s="15" t="n">
        <x:f>IF(D396=0,"n.a.",E396/D396)</x:f>
        <x:v>0.034752419541257594</x:v>
      </x:c>
      <x:c r="K396" s="15" t="n">
        <x:f>F396/'Datos'!$F$7</x:f>
        <x:v>0.0006779870696989452</x:v>
      </x:c>
      <x:c r="L396" s="3"/>
    </x:row>
    <x:row r="397" ht="22" customHeight="1">
      <x:c r="A397" s="3"/>
      <x:c r="B397" s="3" t="str">
        <x:v>23008</x:v>
      </x:c>
      <x:c r="C397" s="3" t="str">
        <x:v>DOLLY GIRL BABY GIFT SET</x:v>
      </x:c>
      <x:c r="D397" s="13" t="n">
        <x:v>6753.51</x:v>
      </x:c>
      <x:c r="E397" s="13" t="n">
        <x:v>118.65</x:v>
      </x:c>
      <x:c r="F397" s="13" t="n">
        <x:f>D397-E397</x:f>
        <x:v>6634.860000000001</x:v>
      </x:c>
      <x:c r="G397" s="3" t="n">
        <x:v>435</x:v>
      </x:c>
      <x:c r="H397" s="3" t="n">
        <x:v>7</x:v>
      </x:c>
      <x:c r="I397" s="3" t="n">
        <x:v>133</x:v>
      </x:c>
      <x:c r="J397" s="15" t="n">
        <x:f>IF(D397=0,"n.a.",E397/D397)</x:f>
        <x:v>0.017568642083894154</x:v>
      </x:c>
      <x:c r="K397" s="15" t="n">
        <x:f>F397/'Datos'!$F$7</x:f>
        <x:v>0.0006775306076460642</x:v>
      </x:c>
      <x:c r="L397" s="3"/>
    </x:row>
    <x:row r="398" ht="22" customHeight="1">
      <x:c r="A398" s="3"/>
      <x:c r="B398" s="3" t="str">
        <x:v>82001S</x:v>
      </x:c>
      <x:c r="C398" s="3" t="str">
        <x:v>VINYL RECORD FRAME SILVER</x:v>
      </x:c>
      <x:c r="D398" s="13" t="n">
        <x:v>6660.33</x:v>
      </x:c>
      <x:c r="E398" s="13" t="n">
        <x:v>25.53</x:v>
      </x:c>
      <x:c r="F398" s="13" t="n">
        <x:f>D398-E398</x:f>
        <x:v>6634.8</x:v>
      </x:c>
      <x:c r="G398" s="3" t="n">
        <x:v>1704</x:v>
      </x:c>
      <x:c r="H398" s="3" t="n">
        <x:v>7</x:v>
      </x:c>
      <x:c r="I398" s="3" t="n">
        <x:v>154</x:v>
      </x:c>
      <x:c r="J398" s="15" t="n">
        <x:f>IF(D398=0,"n.a.",E398/D398)</x:f>
        <x:v>0.0038331434028043656</x:v>
      </x:c>
      <x:c r="K398" s="15" t="n">
        <x:f>F398/'Datos'!$F$7</x:f>
        <x:v>0.000677524480638643</x:v>
      </x:c>
      <x:c r="L398" s="3"/>
    </x:row>
    <x:row r="399" ht="22" customHeight="1">
      <x:c r="A399" s="3"/>
      <x:c r="B399" s="3" t="str">
        <x:v>75049L</x:v>
      </x:c>
      <x:c r="C399" s="3" t="str">
        <x:v>LARGE CIRCULAR MIRROR MOBILE</x:v>
      </x:c>
      <x:c r="D399" s="13" t="n">
        <x:v>6827.98</x:v>
      </x:c>
      <x:c r="E399" s="13" t="n">
        <x:v>204.2</x:v>
      </x:c>
      <x:c r="F399" s="13" t="n">
        <x:f>D399-E399</x:f>
        <x:v>6623.78</x:v>
      </x:c>
      <x:c r="G399" s="3" t="n">
        <x:v>7114</x:v>
      </x:c>
      <x:c r="H399" s="3" t="n">
        <x:v>228</x:v>
      </x:c>
      <x:c r="I399" s="3" t="n">
        <x:v>205</x:v>
      </x:c>
      <x:c r="J399" s="15" t="n">
        <x:f>IF(D399=0,"n.a.",E399/D399)</x:f>
        <x:v>0.029906355906139152</x:v>
      </x:c>
      <x:c r="K399" s="15" t="n">
        <x:f>F399/'Datos'!$F$7</x:f>
        <x:v>0.0006763991536089453</x:v>
      </x:c>
      <x:c r="L399" s="3"/>
    </x:row>
    <x:row r="400" ht="22" customHeight="1">
      <x:c r="A400" s="3"/>
      <x:c r="B400" s="3" t="str">
        <x:v>22943</x:v>
      </x:c>
      <x:c r="C400" s="3" t="str">
        <x:v>CHRISTMAS LIGHTS 10 VINTAGE BAUBLES</x:v>
      </x:c>
      <x:c r="D400" s="13" t="n">
        <x:v>6785.17</x:v>
      </x:c>
      <x:c r="E400" s="13" t="n">
        <x:v>165.5</x:v>
      </x:c>
      <x:c r="F400" s="13" t="n">
        <x:f>D400-E400</x:f>
        <x:v>6619.67</x:v>
      </x:c>
      <x:c r="G400" s="3" t="n">
        <x:v>1361</x:v>
      </x:c>
      <x:c r="H400" s="3" t="n">
        <x:v>34</x:v>
      </x:c>
      <x:c r="I400" s="3" t="n">
        <x:v>209</x:v>
      </x:c>
      <x:c r="J400" s="15" t="n">
        <x:f>IF(D400=0,"n.a.",E400/D400)</x:f>
        <x:v>0.02439143013365914</x:v>
      </x:c>
      <x:c r="K400" s="15" t="n">
        <x:f>F400/'Datos'!$F$7</x:f>
        <x:v>0.0006759794536005917</x:v>
      </x:c>
      <x:c r="L400" s="3"/>
    </x:row>
    <x:row r="401" ht="22" customHeight="1">
      <x:c r="A401" s="3"/>
      <x:c r="B401" s="3" t="str">
        <x:v>21888</x:v>
      </x:c>
      <x:c r="C401" s="3" t="str">
        <x:v>BINGO SET</x:v>
      </x:c>
      <x:c r="D401" s="13" t="n">
        <x:v>6667.04</x:v>
      </x:c>
      <x:c r="E401" s="13" t="n">
        <x:v>56.25</x:v>
      </x:c>
      <x:c r="F401" s="13" t="n">
        <x:f>D401-E401</x:f>
        <x:v>6610.79</x:v>
      </x:c>
      <x:c r="G401" s="3" t="n">
        <x:v>1690</x:v>
      </x:c>
      <x:c r="H401" s="3" t="n">
        <x:v>15</x:v>
      </x:c>
      <x:c r="I401" s="3" t="n">
        <x:v>378</x:v>
      </x:c>
      <x:c r="J401" s="15" t="n">
        <x:f>IF(D401=0,"n.a.",E401/D401)</x:f>
        <x:v>0.008437027526458519</x:v>
      </x:c>
      <x:c r="K401" s="15" t="n">
        <x:f>F401/'Datos'!$F$7</x:f>
        <x:v>0.000675072656502251</x:v>
      </x:c>
      <x:c r="L401" s="3"/>
    </x:row>
    <x:row r="402" ht="22" customHeight="1">
      <x:c r="A402" s="3"/>
      <x:c r="B402" s="3" t="str">
        <x:v>23247</x:v>
      </x:c>
      <x:c r="C402" s="3" t="str">
        <x:v>BISCUIT TIN 50'S CHRISTMAS</x:v>
      </x:c>
      <x:c r="D402" s="13" t="n">
        <x:v>6715.93</x:v>
      </x:c>
      <x:c r="E402" s="13" t="n">
        <x:v>118.54</x:v>
      </x:c>
      <x:c r="F402" s="13" t="n">
        <x:f>D402-E402</x:f>
        <x:v>6597.39</x:v>
      </x:c>
      <x:c r="G402" s="3" t="n">
        <x:v>2206</x:v>
      </x:c>
      <x:c r="H402" s="3" t="n">
        <x:v>46</x:v>
      </x:c>
      <x:c r="I402" s="3" t="n">
        <x:v>309</x:v>
      </x:c>
      <x:c r="J402" s="15" t="n">
        <x:f>IF(D402=0,"n.a.",E402/D402)</x:f>
        <x:v>0.017650571104820927</x:v>
      </x:c>
      <x:c r="K402" s="15" t="n">
        <x:f>F402/'Datos'!$F$7</x:f>
        <x:v>0.0006737042915115116</x:v>
      </x:c>
      <x:c r="L402" s="3"/>
    </x:row>
    <x:row r="403" ht="22" customHeight="1">
      <x:c r="A403" s="3"/>
      <x:c r="B403" s="3" t="str">
        <x:v>20718</x:v>
      </x:c>
      <x:c r="C403" s="3" t="str">
        <x:v>RED RETROSPOT SHOPPER BAG</x:v>
      </x:c>
      <x:c r="D403" s="13" t="n">
        <x:v>6613.04</x:v>
      </x:c>
      <x:c r="E403" s="13" t="n">
        <x:v>42.99</x:v>
      </x:c>
      <x:c r="F403" s="13" t="n">
        <x:f>D403-E403</x:f>
        <x:v>6570.05</x:v>
      </x:c>
      <x:c r="G403" s="3" t="n">
        <x:v>4776</x:v>
      </x:c>
      <x:c r="H403" s="3" t="n">
        <x:v>35</x:v>
      </x:c>
      <x:c r="I403" s="3" t="n">
        <x:v>575</x:v>
      </x:c>
      <x:c r="J403" s="15" t="n">
        <x:f>IF(D403=0,"n.a.",E403/D403)</x:f>
        <x:v>0.006500792373855292</x:v>
      </x:c>
      <x:c r="K403" s="15" t="n">
        <x:f>F403/'Datos'!$F$7</x:f>
        <x:v>0.0006709124184632418</x:v>
      </x:c>
      <x:c r="L403" s="3"/>
    </x:row>
    <x:row r="404" ht="22" customHeight="1">
      <x:c r="A404" s="3"/>
      <x:c r="B404" s="3" t="str">
        <x:v>22668</x:v>
      </x:c>
      <x:c r="C404" s="3" t="str">
        <x:v>PINK BABY BUNTING</x:v>
      </x:c>
      <x:c r="D404" s="13" t="n">
        <x:v>6710.42</x:v>
      </x:c>
      <x:c r="E404" s="13" t="n">
        <x:v>157</x:v>
      </x:c>
      <x:c r="F404" s="13" t="n">
        <x:f>D404-E404</x:f>
        <x:v>6553.42</x:v>
      </x:c>
      <x:c r="G404" s="3" t="n">
        <x:v>2190</x:v>
      </x:c>
      <x:c r="H404" s="3" t="n">
        <x:v>60</x:v>
      </x:c>
      <x:c r="I404" s="3" t="n">
        <x:v>345</x:v>
      </x:c>
      <x:c r="J404" s="15" t="n">
        <x:f>IF(D404=0,"n.a.",E404/D404)</x:f>
        <x:v>0.023396449104526987</x:v>
      </x:c>
      <x:c r="K404" s="15" t="n">
        <x:f>F404/'Datos'!$F$7</x:f>
        <x:v>0.0006692142162396599</x:v>
      </x:c>
      <x:c r="L404" s="3"/>
    </x:row>
    <x:row r="405" ht="22" customHeight="1">
      <x:c r="A405" s="3"/>
      <x:c r="B405" s="3" t="str">
        <x:v>21533</x:v>
      </x:c>
      <x:c r="C405" s="3" t="str">
        <x:v>RETROSPOT LARGE MILK JUG</x:v>
      </x:c>
      <x:c r="D405" s="13" t="n">
        <x:v>6701.22</x:v>
      </x:c>
      <x:c r="E405" s="13" t="n">
        <x:v>147.9</x:v>
      </x:c>
      <x:c r="F405" s="13" t="n">
        <x:f>D405-E405</x:f>
        <x:v>6553.320000000001</x:v>
      </x:c>
      <x:c r="G405" s="3" t="n">
        <x:v>1361</x:v>
      </x:c>
      <x:c r="H405" s="3" t="n">
        <x:v>32</x:v>
      </x:c>
      <x:c r="I405" s="3" t="n">
        <x:v>339</x:v>
      </x:c>
      <x:c r="J405" s="15" t="n">
        <x:f>IF(D405=0,"n.a.",E405/D405)</x:f>
        <x:v>0.022070608038536266</x:v>
      </x:c>
      <x:c r="K405" s="15" t="n">
        <x:f>F405/'Datos'!$F$7</x:f>
        <x:v>0.0006692040045606246</x:v>
      </x:c>
      <x:c r="L405" s="3"/>
    </x:row>
    <x:row r="406" ht="22" customHeight="1">
      <x:c r="A406" s="3"/>
      <x:c r="B406" s="3" t="str">
        <x:v>22580</x:v>
      </x:c>
      <x:c r="C406" s="3" t="str">
        <x:v>ADVENT CALENDAR GINGHAM SACK</x:v>
      </x:c>
      <x:c r="D406" s="13" t="n">
        <x:v>6860.09</x:v>
      </x:c>
      <x:c r="E406" s="13" t="n">
        <x:v>314.95</x:v>
      </x:c>
      <x:c r="F406" s="13" t="n">
        <x:f>D406-E406</x:f>
        <x:v>6545.14</x:v>
      </x:c>
      <x:c r="G406" s="3" t="n">
        <x:v>1313</x:v>
      </x:c>
      <x:c r="H406" s="3" t="n">
        <x:v>61</x:v>
      </x:c>
      <x:c r="I406" s="3" t="n">
        <x:v>246</x:v>
      </x:c>
      <x:c r="J406" s="15" t="n">
        <x:f>IF(D406=0,"n.a.",E406/D406)</x:f>
        <x:v>0.04591047639316685</x:v>
      </x:c>
      <x:c r="K406" s="15" t="n">
        <x:f>F406/'Datos'!$F$7</x:f>
        <x:v>0.0006683686892155315</x:v>
      </x:c>
      <x:c r="L406" s="3"/>
    </x:row>
    <x:row r="407" ht="22" customHeight="1">
      <x:c r="A407" s="3"/>
      <x:c r="B407" s="3" t="str">
        <x:v>84992</x:v>
      </x:c>
      <x:c r="C407" s="3" t="str">
        <x:v>72 SWEETHEART FAIRY CAKE CASES</x:v>
      </x:c>
      <x:c r="D407" s="13" t="n">
        <x:v>6555.33</x:v>
      </x:c>
      <x:c r="E407" s="13" t="n">
        <x:v>62.14</x:v>
      </x:c>
      <x:c r="F407" s="13" t="n">
        <x:f>D407-E407</x:f>
        <x:v>6493.19</x:v>
      </x:c>
      <x:c r="G407" s="3" t="n">
        <x:v>13360</x:v>
      </x:c>
      <x:c r="H407" s="3" t="n">
        <x:v>130</x:v>
      </x:c>
      <x:c r="I407" s="3" t="n">
        <x:v>615</x:v>
      </x:c>
      <x:c r="J407" s="15" t="n">
        <x:f>IF(D407=0,"n.a.",E407/D407)</x:f>
        <x:v>0.009479309203350557</x:v>
      </x:c>
      <x:c r="K407" s="15" t="n">
        <x:f>F407/'Datos'!$F$7</x:f>
        <x:v>0.0006630637219566573</x:v>
      </x:c>
      <x:c r="L407" s="3"/>
    </x:row>
    <x:row r="408" ht="22" customHeight="1">
      <x:c r="A408" s="3"/>
      <x:c r="B408" s="3" t="str">
        <x:v>22508</x:v>
      </x:c>
      <x:c r="C408" s="3" t="str">
        <x:v>DOORSTOP RETROSPOT HEART</x:v>
      </x:c>
      <x:c r="D408" s="13" t="n">
        <x:v>6544.63</x:v>
      </x:c>
      <x:c r="E408" s="13" t="n">
        <x:v>82.5</x:v>
      </x:c>
      <x:c r="F408" s="13" t="n">
        <x:f>D408-E408</x:f>
        <x:v>6462.13</x:v>
      </x:c>
      <x:c r="G408" s="3" t="n">
        <x:v>1599</x:v>
      </x:c>
      <x:c r="H408" s="3" t="n">
        <x:v>22</x:v>
      </x:c>
      <x:c r="I408" s="3" t="n">
        <x:v>296</x:v>
      </x:c>
      <x:c r="J408" s="15" t="n">
        <x:f>IF(D408=0,"n.a.",E408/D408)</x:f>
        <x:v>0.012605754641591655</x:v>
      </x:c>
      <x:c r="K408" s="15" t="n">
        <x:f>F408/'Datos'!$F$7</x:f>
        <x:v>0.0006598919744482719</x:v>
      </x:c>
      <x:c r="L408" s="3"/>
    </x:row>
    <x:row r="409" ht="22" customHeight="1">
      <x:c r="A409" s="3"/>
      <x:c r="B409" s="3" t="str">
        <x:v>23553</x:v>
      </x:c>
      <x:c r="C409" s="3" t="str">
        <x:v>LANDMARK FRAME CAMDEN TOWN</x:v>
      </x:c>
      <x:c r="D409" s="13" t="n">
        <x:v>6457.15</x:v>
      </x:c>
      <x:c r="E409" s="13" t="n">
        <x:v>0</x:v>
      </x:c>
      <x:c r="F409" s="13" t="n">
        <x:f>D409-E409</x:f>
        <x:v>6457.15</x:v>
      </x:c>
      <x:c r="G409" s="3" t="n">
        <x:v>569</x:v>
      </x:c>
      <x:c r="H409" s="3" t="n">
        <x:v>0</x:v>
      </x:c>
      <x:c r="I409" s="3" t="n">
        <x:v>68</x:v>
      </x:c>
      <x:c r="J409" s="15" t="n">
        <x:f>IF(D409=0,"n.a.",E409/D409)</x:f>
        <x:v>0</x:v>
      </x:c>
      <x:c r="K409" s="15" t="n">
        <x:f>F409/'Datos'!$F$7</x:f>
        <x:v>0.0006593834328323104</x:v>
      </x:c>
      <x:c r="L409" s="3"/>
    </x:row>
    <x:row r="410" ht="22" customHeight="1">
      <x:c r="A410" s="3"/>
      <x:c r="B410" s="3" t="str">
        <x:v>23311</x:v>
      </x:c>
      <x:c r="C410" s="3" t="str">
        <x:v>VINTAGE CHRISTMAS STOCKING</x:v>
      </x:c>
      <x:c r="D410" s="13" t="n">
        <x:v>6488.2</x:v>
      </x:c>
      <x:c r="E410" s="13" t="n">
        <x:v>38.25</x:v>
      </x:c>
      <x:c r="F410" s="13" t="n">
        <x:f>D410-E410</x:f>
        <x:v>6449.95</x:v>
      </x:c>
      <x:c r="G410" s="3" t="n">
        <x:v>2390</x:v>
      </x:c>
      <x:c r="H410" s="3" t="n">
        <x:v>15</x:v>
      </x:c>
      <x:c r="I410" s="3" t="n">
        <x:v>344</x:v>
      </x:c>
      <x:c r="J410" s="15" t="n">
        <x:f>IF(D410=0,"n.a.",E410/D410)</x:f>
        <x:v>0.005895317653586511</x:v>
      </x:c>
      <x:c r="K410" s="15" t="n">
        <x:f>F410/'Datos'!$F$7</x:f>
        <x:v>0.0006586481919417639</x:v>
      </x:c>
      <x:c r="L410" s="3"/>
    </x:row>
    <x:row r="411" ht="22" customHeight="1">
      <x:c r="A411" s="3"/>
      <x:c r="B411" s="3" t="str">
        <x:v>22141</x:v>
      </x:c>
      <x:c r="C411" s="3" t="str">
        <x:v>CHRISTMAS CRAFT TREE TOP ANGEL</x:v>
      </x:c>
      <x:c r="D411" s="13" t="n">
        <x:v>6474.29</x:v>
      </x:c>
      <x:c r="E411" s="13" t="n">
        <x:v>33.6</x:v>
      </x:c>
      <x:c r="F411" s="13" t="n">
        <x:f>D411-E411</x:f>
        <x:v>6440.69</x:v>
      </x:c>
      <x:c r="G411" s="3" t="n">
        <x:v>2796</x:v>
      </x:c>
      <x:c r="H411" s="3" t="n">
        <x:v>16</x:v>
      </x:c>
      <x:c r="I411" s="3" t="n">
        <x:v>457</x:v>
      </x:c>
      <x:c r="J411" s="15" t="n">
        <x:f>IF(D411=0,"n.a.",E411/D411)</x:f>
        <x:v>0.005189758259206801</x:v>
      </x:c>
      <x:c r="K411" s="15" t="n">
        <x:f>F411/'Datos'!$F$7</x:f>
        <x:v>0.0006577025904630887</x:v>
      </x:c>
      <x:c r="L411" s="3"/>
    </x:row>
    <x:row r="412" ht="22" customHeight="1">
      <x:c r="A412" s="3"/>
      <x:c r="B412" s="3" t="str">
        <x:v>23571</x:v>
      </x:c>
      <x:c r="C412" s="3" t="str">
        <x:v>TRADITIONAL NAUGHTS &amp; CROSSES</x:v>
      </x:c>
      <x:c r="D412" s="13" t="n">
        <x:v>6436.61</x:v>
      </x:c>
      <x:c r="E412" s="13" t="n">
        <x:v>0</x:v>
      </x:c>
      <x:c r="F412" s="13" t="n">
        <x:f>D412-E412</x:f>
        <x:v>6436.61</x:v>
      </x:c>
      <x:c r="G412" s="3" t="n">
        <x:v>2859</x:v>
      </x:c>
      <x:c r="H412" s="3" t="n">
        <x:v>0</x:v>
      </x:c>
      <x:c r="I412" s="3" t="n">
        <x:v>257</x:v>
      </x:c>
      <x:c r="J412" s="15" t="n">
        <x:f>IF(D412=0,"n.a.",E412/D412)</x:f>
        <x:v>0</x:v>
      </x:c>
      <x:c r="K412" s="15" t="n">
        <x:f>F412/'Datos'!$F$7</x:f>
        <x:v>0.0006572859539584457</x:v>
      </x:c>
      <x:c r="L412" s="3"/>
    </x:row>
    <x:row r="413" ht="22" customHeight="1">
      <x:c r="A413" s="3"/>
      <x:c r="B413" s="3" t="str">
        <x:v>21122</x:v>
      </x:c>
      <x:c r="C413" s="3" t="str">
        <x:v>SET/10 PINK POLKADOT PARTY CANDLES</x:v>
      </x:c>
      <x:c r="D413" s="13" t="n">
        <x:v>6496.04</x:v>
      </x:c>
      <x:c r="E413" s="13" t="n">
        <x:v>61.25</x:v>
      </x:c>
      <x:c r="F413" s="13" t="n">
        <x:f>D413-E413</x:f>
        <x:v>6434.79</x:v>
      </x:c>
      <x:c r="G413" s="3" t="n">
        <x:v>5331</x:v>
      </x:c>
      <x:c r="H413" s="3" t="n">
        <x:v>49</x:v>
      </x:c>
      <x:c r="I413" s="3" t="n">
        <x:v>344</x:v>
      </x:c>
      <x:c r="J413" s="15" t="n">
        <x:f>IF(D413=0,"n.a.",E413/D413)</x:f>
        <x:v>0.00942882125110067</x:v>
      </x:c>
      <x:c r="K413" s="15" t="n">
        <x:f>F413/'Datos'!$F$7</x:f>
        <x:v>0.000657100101400002</x:v>
      </x:c>
      <x:c r="L413" s="3"/>
    </x:row>
    <x:row r="414" ht="22" customHeight="1">
      <x:c r="A414" s="3"/>
      <x:c r="B414" s="3" t="str">
        <x:v>23134</x:v>
      </x:c>
      <x:c r="C414" s="3" t="str">
        <x:v>LARGE ZINC HEART WALL ORGANISER</x:v>
      </x:c>
      <x:c r="D414" s="13" t="n">
        <x:v>6431.11</x:v>
      </x:c>
      <x:c r="E414" s="13" t="n">
        <x:v>0</x:v>
      </x:c>
      <x:c r="F414" s="13" t="n">
        <x:f>D414-E414</x:f>
        <x:v>6431.11</x:v>
      </x:c>
      <x:c r="G414" s="3" t="n">
        <x:v>1065</x:v>
      </x:c>
      <x:c r="H414" s="3" t="n">
        <x:v>0</x:v>
      </x:c>
      <x:c r="I414" s="3" t="n">
        <x:v>38</x:v>
      </x:c>
      <x:c r="J414" s="15" t="n">
        <x:f>IF(D414=0,"n.a.",E414/D414)</x:f>
        <x:v>0</x:v>
      </x:c>
      <x:c r="K414" s="15" t="n">
        <x:f>F414/'Datos'!$F$7</x:f>
        <x:v>0.0006567243116115004</x:v>
      </x:c>
      <x:c r="L414" s="3"/>
    </x:row>
    <x:row r="415" ht="22" customHeight="1">
      <x:c r="A415" s="3"/>
      <x:c r="B415" s="3" t="str">
        <x:v>23188</x:v>
      </x:c>
      <x:c r="C415" s="3" t="str">
        <x:v>VINTAGE 2 METER FOLDING RULER</x:v>
      </x:c>
      <x:c r="D415" s="13" t="n">
        <x:v>6451.07</x:v>
      </x:c>
      <x:c r="E415" s="13" t="n">
        <x:v>23.1</x:v>
      </x:c>
      <x:c r="F415" s="13" t="n">
        <x:f>D415-E415</x:f>
        <x:v>6427.969999999999</x:v>
      </x:c>
      <x:c r="G415" s="3" t="n">
        <x:v>3473</x:v>
      </x:c>
      <x:c r="H415" s="3" t="n">
        <x:v>14</x:v>
      </x:c>
      <x:c r="I415" s="3" t="n">
        <x:v>333</x:v>
      </x:c>
      <x:c r="J415" s="15" t="n">
        <x:f>IF(D415=0,"n.a.",E415/D415)</x:f>
        <x:v>0.003580801324431451</x:v>
      </x:c>
      <x:c r="K415" s="15" t="n">
        <x:f>F415/'Datos'!$F$7</x:f>
        <x:v>0.0006564036648897898</x:v>
      </x:c>
      <x:c r="L415" s="3"/>
    </x:row>
    <x:row r="416" ht="22" customHeight="1">
      <x:c r="A416" s="3"/>
      <x:c r="B416" s="3" t="str">
        <x:v>22991</x:v>
      </x:c>
      <x:c r="C416" s="3" t="str">
        <x:v>GIRAFFE WOODEN RULER</x:v>
      </x:c>
      <x:c r="D416" s="13" t="n">
        <x:v>7608.79</x:v>
      </x:c>
      <x:c r="E416" s="13" t="n">
        <x:v>1185.9</x:v>
      </x:c>
      <x:c r="F416" s="13" t="n">
        <x:f>D416-E416</x:f>
        <x:v>6422.889999999999</x:v>
      </x:c>
      <x:c r="G416" s="3" t="n">
        <x:v>3889</x:v>
      </x:c>
      <x:c r="H416" s="3" t="n">
        <x:v>714</x:v>
      </x:c>
      <x:c r="I416" s="3" t="n">
        <x:v>274</x:v>
      </x:c>
      <x:c r="J416" s="15" t="n">
        <x:f>IF(D416=0,"n.a.",E416/D416)</x:f>
        <x:v>0.15585921020293636</x:v>
      </x:c>
      <x:c r="K416" s="15" t="n">
        <x:f>F416/'Datos'!$F$7</x:f>
        <x:v>0.0006558849115947931</x:v>
      </x:c>
      <x:c r="L416" s="3"/>
    </x:row>
    <x:row r="417" ht="22" customHeight="1">
      <x:c r="A417" s="3"/>
      <x:c r="B417" s="3" t="str">
        <x:v>20676</x:v>
      </x:c>
      <x:c r="C417" s="3" t="str">
        <x:v>RED RETROSPOT BOWL</x:v>
      </x:c>
      <x:c r="D417" s="13" t="n">
        <x:v>6441.06</x:v>
      </x:c>
      <x:c r="E417" s="13" t="n">
        <x:v>27.5</x:v>
      </x:c>
      <x:c r="F417" s="13" t="n">
        <x:f>D417-E417</x:f>
        <x:v>6413.56</x:v>
      </x:c>
      <x:c r="G417" s="3" t="n">
        <x:v>5076</x:v>
      </x:c>
      <x:c r="H417" s="3" t="n">
        <x:v>22</x:v>
      </x:c>
      <x:c r="I417" s="3" t="n">
        <x:v>448</x:v>
      </x:c>
      <x:c r="J417" s="15" t="n">
        <x:f>IF(D417=0,"n.a.",E417/D417)</x:f>
        <x:v>0.004269483594315221</x:v>
      </x:c>
      <x:c r="K417" s="15" t="n">
        <x:f>F417/'Datos'!$F$7</x:f>
        <x:v>0.0006549321619407932</x:v>
      </x:c>
      <x:c r="L417" s="3"/>
    </x:row>
    <x:row r="418" ht="22" customHeight="1">
      <x:c r="A418" s="3"/>
      <x:c r="B418" s="3" t="str">
        <x:v>22655</x:v>
      </x:c>
      <x:c r="C418" s="3" t="str">
        <x:v>VINTAGE RED KITCHEN CABINET</x:v>
      </x:c>
      <x:c r="D418" s="13" t="n">
        <x:v>8125</x:v>
      </x:c>
      <x:c r="E418" s="13" t="n">
        <x:v>1730.5</x:v>
      </x:c>
      <x:c r="F418" s="13" t="n">
        <x:f>D418-E418</x:f>
        <x:v>6394.5</x:v>
      </x:c>
      <x:c r="G418" s="3" t="n">
        <x:v>60</x:v>
      </x:c>
      <x:c r="H418" s="3" t="n">
        <x:v>10</x:v>
      </x:c>
      <x:c r="I418" s="3" t="n">
        <x:v>38</x:v>
      </x:c>
      <x:c r="J418" s="15" t="n">
        <x:f>IF(D418=0,"n.a.",E418/D418)</x:f>
        <x:v>0.21298461538461538</x:v>
      </x:c>
      <x:c r="K418" s="15" t="n">
        <x:f>F418/'Datos'!$F$7</x:f>
        <x:v>0.000652985815916652</x:v>
      </x:c>
      <x:c r="L418" s="3"/>
    </x:row>
    <x:row r="419" ht="22" customHeight="1">
      <x:c r="A419" s="3"/>
      <x:c r="B419" s="3" t="str">
        <x:v>22895</x:v>
      </x:c>
      <x:c r="C419" s="3" t="str">
        <x:v>SET OF 2 TEA TOWELS APPLE AND PEARS</x:v>
      </x:c>
      <x:c r="D419" s="13" t="n">
        <x:v>6349.95</x:v>
      </x:c>
      <x:c r="E419" s="13" t="n">
        <x:v>17.7</x:v>
      </x:c>
      <x:c r="F419" s="13" t="n">
        <x:f>D419-E419</x:f>
        <x:v>6332.25</x:v>
      </x:c>
      <x:c r="G419" s="3" t="n">
        <x:v>2063</x:v>
      </x:c>
      <x:c r="H419" s="3" t="n">
        <x:v>6</x:v>
      </x:c>
      <x:c r="I419" s="3" t="n">
        <x:v>284</x:v>
      </x:c>
      <x:c r="J419" s="15" t="n">
        <x:f>IF(D419=0,"n.a.",E419/D419)</x:f>
        <x:v>0.0027874235230198664</x:v>
      </x:c>
      <x:c r="K419" s="15" t="n">
        <x:f>F419/'Datos'!$F$7</x:f>
        <x:v>0.000646629045717135</x:v>
      </x:c>
      <x:c r="L419" s="3"/>
    </x:row>
    <x:row r="420" ht="22" customHeight="1">
      <x:c r="A420" s="3"/>
      <x:c r="B420" s="3" t="str">
        <x:v>23307</x:v>
      </x:c>
      <x:c r="C420" s="3" t="str">
        <x:v>SET OF 60 PANTRY DESIGN CAKE CASES</x:v>
      </x:c>
      <x:c r="D420" s="13" t="n">
        <x:v>6379.59</x:v>
      </x:c>
      <x:c r="E420" s="13" t="n">
        <x:v>48.4</x:v>
      </x:c>
      <x:c r="F420" s="13" t="n">
        <x:f>D420-E420</x:f>
        <x:v>6331.1900000000005</x:v>
      </x:c>
      <x:c r="G420" s="3" t="n">
        <x:v>12063</x:v>
      </x:c>
      <x:c r="H420" s="3" t="n">
        <x:v>88</x:v>
      </x:c>
      <x:c r="I420" s="3" t="n">
        <x:v>629</x:v>
      </x:c>
      <x:c r="J420" s="15" t="n">
        <x:f>IF(D420=0,"n.a.",E420/D420)</x:f>
        <x:v>0.00758669444274632</x:v>
      </x:c>
      <x:c r="K420" s="15" t="n">
        <x:f>F420/'Datos'!$F$7</x:f>
        <x:v>0.0006465208019193601</x:v>
      </x:c>
      <x:c r="L420" s="3"/>
    </x:row>
    <x:row r="421" ht="22" customHeight="1">
      <x:c r="A421" s="3"/>
      <x:c r="B421" s="3" t="str">
        <x:v>21380</x:v>
      </x:c>
      <x:c r="C421" s="3" t="str">
        <x:v>WOODEN HAPPY BIRTHDAY GARLAND</x:v>
      </x:c>
      <x:c r="D421" s="13" t="n">
        <x:v>6316.36</x:v>
      </x:c>
      <x:c r="E421" s="13" t="n">
        <x:v>2.95</x:v>
      </x:c>
      <x:c r="F421" s="13" t="n">
        <x:f>D421-E421</x:f>
        <x:v>6313.41</x:v>
      </x:c>
      <x:c r="G421" s="3" t="n">
        <x:v>2168</x:v>
      </x:c>
      <x:c r="H421" s="3" t="n">
        <x:v>1</x:v>
      </x:c>
      <x:c r="I421" s="3" t="n">
        <x:v>290</x:v>
      </x:c>
      <x:c r="J421" s="15" t="n">
        <x:f>IF(D421=0,"n.a.",E421/D421)</x:f>
        <x:v>0.0004670411439499966</x:v>
      </x:c>
      <x:c r="K421" s="15" t="n">
        <x:f>F421/'Datos'!$F$7</x:f>
        <x:v>0.0006447051653868715</x:v>
      </x:c>
      <x:c r="L421" s="3"/>
    </x:row>
    <x:row r="422" ht="22" customHeight="1">
      <x:c r="A422" s="3"/>
      <x:c r="B422" s="3" t="str">
        <x:v>21935</x:v>
      </x:c>
      <x:c r="C422" s="3" t="str">
        <x:v>SUKI SHOULDER BAG</x:v>
      </x:c>
      <x:c r="D422" s="13" t="n">
        <x:v>6298.61</x:v>
      </x:c>
      <x:c r="E422" s="13" t="n">
        <x:v>1.65</x:v>
      </x:c>
      <x:c r="F422" s="13" t="n">
        <x:f>D422-E422</x:f>
        <x:v>6296.96</x:v>
      </x:c>
      <x:c r="G422" s="3" t="n">
        <x:v>3393</x:v>
      </x:c>
      <x:c r="H422" s="3" t="n">
        <x:v>1</x:v>
      </x:c>
      <x:c r="I422" s="3" t="n">
        <x:v>530</x:v>
      </x:c>
      <x:c r="J422" s="15" t="n">
        <x:f>IF(D422=0,"n.a.",E422/D422)</x:f>
        <x:v>0.0002619625599933954</x:v>
      </x:c>
      <x:c r="K422" s="15" t="n">
        <x:f>F422/'Datos'!$F$7</x:f>
        <x:v>0.0006430253441855533</x:v>
      </x:c>
      <x:c r="L422" s="3"/>
    </x:row>
    <x:row r="423" ht="22" customHeight="1">
      <x:c r="A423" s="3"/>
      <x:c r="B423" s="3" t="str">
        <x:v>23169</x:v>
      </x:c>
      <x:c r="C423" s="3" t="str">
        <x:v>CLASSIC GLASS COOKIE JAR</x:v>
      </x:c>
      <x:c r="D423" s="13" t="n">
        <x:v>6671.14</x:v>
      </x:c>
      <x:c r="E423" s="13" t="n">
        <x:v>379.15</x:v>
      </x:c>
      <x:c r="F423" s="13" t="n">
        <x:f>D423-E423</x:f>
        <x:v>6291.990000000001</x:v>
      </x:c>
      <x:c r="G423" s="3" t="n">
        <x:v>1558</x:v>
      </x:c>
      <x:c r="H423" s="3" t="n">
        <x:v>93</x:v>
      </x:c>
      <x:c r="I423" s="3" t="n">
        <x:v>314</x:v>
      </x:c>
      <x:c r="J423" s="15" t="n">
        <x:f>IF(D423=0,"n.a.",E423/D423)</x:f>
        <x:v>0.05683436414166094</x:v>
      </x:c>
      <x:c r="K423" s="15" t="n">
        <x:f>F423/'Datos'!$F$7</x:f>
        <x:v>0.0006425178237374955</x:v>
      </x:c>
      <x:c r="L423" s="3"/>
    </x:row>
    <x:row r="424" ht="22" customHeight="1">
      <x:c r="A424" s="3"/>
      <x:c r="B424" s="3" t="str">
        <x:v>22979</x:v>
      </x:c>
      <x:c r="C424" s="3" t="str">
        <x:v>PANTRY WASHING UP BRUSH</x:v>
      </x:c>
      <x:c r="D424" s="13" t="n">
        <x:v>6401.97</x:v>
      </x:c>
      <x:c r="E424" s="13" t="n">
        <x:v>117.55</x:v>
      </x:c>
      <x:c r="F424" s="13" t="n">
        <x:f>D424-E424</x:f>
        <x:v>6284.42</x:v>
      </x:c>
      <x:c r="G424" s="3" t="n">
        <x:v>4097</x:v>
      </x:c>
      <x:c r="H424" s="3" t="n">
        <x:v>91</x:v>
      </x:c>
      <x:c r="I424" s="3" t="n">
        <x:v>381</x:v>
      </x:c>
      <x:c r="J424" s="15" t="n">
        <x:f>IF(D424=0,"n.a.",E424/D424)</x:f>
        <x:v>0.018361535589826256</x:v>
      </x:c>
      <x:c r="K424" s="15" t="n">
        <x:f>F424/'Datos'!$F$7</x:f>
        <x:v>0.0006417447996345181</x:v>
      </x:c>
      <x:c r="L424" s="3"/>
    </x:row>
    <x:row r="425" ht="22" customHeight="1">
      <x:c r="A425" s="3"/>
      <x:c r="B425" s="3" t="str">
        <x:v>20969</x:v>
      </x:c>
      <x:c r="C425" s="3" t="str">
        <x:v>RED FLORAL FELTCRAFT SHOULDER BAG</x:v>
      </x:c>
      <x:c r="D425" s="13" t="n">
        <x:v>7236.93</x:v>
      </x:c>
      <x:c r="E425" s="13" t="n">
        <x:v>980.07</x:v>
      </x:c>
      <x:c r="F425" s="13" t="n">
        <x:f>D425-E425</x:f>
        <x:v>6256.860000000001</x:v>
      </x:c>
      <x:c r="G425" s="3" t="n">
        <x:v>1962</x:v>
      </x:c>
      <x:c r="H425" s="3" t="n">
        <x:v>289</x:v>
      </x:c>
      <x:c r="I425" s="3" t="n">
        <x:v>305</x:v>
      </x:c>
      <x:c r="J425" s="15" t="n">
        <x:f>IF(D425=0,"n.a.",E425/D425)</x:f>
        <x:v>0.13542620973258</x:v>
      </x:c>
      <x:c r="K425" s="15" t="n">
        <x:f>F425/'Datos'!$F$7</x:f>
        <x:v>0.0006389304608923705</x:v>
      </x:c>
      <x:c r="L425" s="3"/>
    </x:row>
    <x:row r="426" ht="22" customHeight="1">
      <x:c r="A426" s="3"/>
      <x:c r="B426" s="3" t="str">
        <x:v>23172</x:v>
      </x:c>
      <x:c r="C426" s="3" t="str">
        <x:v>REGENCY TEA PLATE PINK</x:v>
      </x:c>
      <x:c r="D426" s="13" t="n">
        <x:v>6360.91</x:v>
      </x:c>
      <x:c r="E426" s="13" t="n">
        <x:v>154.3</x:v>
      </x:c>
      <x:c r="F426" s="13" t="n">
        <x:f>D426-E426</x:f>
        <x:v>6206.61</x:v>
      </x:c>
      <x:c r="G426" s="3" t="n">
        <x:v>3871</x:v>
      </x:c>
      <x:c r="H426" s="3" t="n">
        <x:v>102</x:v>
      </x:c>
      <x:c r="I426" s="3" t="n">
        <x:v>305</x:v>
      </x:c>
      <x:c r="J426" s="15" t="n">
        <x:f>IF(D426=0,"n.a.",E426/D426)</x:f>
        <x:v>0.024257535478414253</x:v>
      </x:c>
      <x:c r="K426" s="15" t="n">
        <x:f>F426/'Datos'!$F$7</x:f>
        <x:v>0.0006337990921770977</x:v>
      </x:c>
      <x:c r="L426" s="3"/>
    </x:row>
    <x:row r="427" ht="22" customHeight="1">
      <x:c r="A427" s="3"/>
      <x:c r="B427" s="3" t="str">
        <x:v>22784</x:v>
      </x:c>
      <x:c r="C427" s="3" t="str">
        <x:v>LANTERN CREAM GAZEBO</x:v>
      </x:c>
      <x:c r="D427" s="13" t="n">
        <x:v>6405.54</x:v>
      </x:c>
      <x:c r="E427" s="13" t="n">
        <x:v>200.85</x:v>
      </x:c>
      <x:c r="F427" s="13" t="n">
        <x:f>D427-E427</x:f>
        <x:v>6204.69</x:v>
      </x:c>
      <x:c r="G427" s="3" t="n">
        <x:v>1281</x:v>
      </x:c>
      <x:c r="H427" s="3" t="n">
        <x:v>41</x:v>
      </x:c>
      <x:c r="I427" s="3" t="n">
        <x:v>299</x:v>
      </x:c>
      <x:c r="J427" s="15" t="n">
        <x:f>IF(D427=0,"n.a.",E427/D427)</x:f>
        <x:v>0.03135567024794163</x:v>
      </x:c>
      <x:c r="K427" s="15" t="n">
        <x:f>F427/'Datos'!$F$7</x:f>
        <x:v>0.0006336030279396186</x:v>
      </x:c>
      <x:c r="L427" s="3"/>
    </x:row>
    <x:row r="428" ht="22" customHeight="1">
      <x:c r="A428" s="3"/>
      <x:c r="B428" s="3" t="str">
        <x:v>22303</x:v>
      </x:c>
      <x:c r="C428" s="3" t="str">
        <x:v>COFFEE MUG APPLES DESIGN</x:v>
      </x:c>
      <x:c r="D428" s="13" t="n">
        <x:v>6353.55</x:v>
      </x:c>
      <x:c r="E428" s="13" t="n">
        <x:v>171.15</x:v>
      </x:c>
      <x:c r="F428" s="13" t="n">
        <x:f>D428-E428</x:f>
        <x:v>6182.400000000001</x:v>
      </x:c>
      <x:c r="G428" s="3" t="n">
        <x:v>2822</x:v>
      </x:c>
      <x:c r="H428" s="3" t="n">
        <x:v>74</x:v>
      </x:c>
      <x:c r="I428" s="3" t="n">
        <x:v>261</x:v>
      </x:c>
      <x:c r="J428" s="15" t="n">
        <x:f>IF(D428=0,"n.a.",E428/D428)</x:f>
        <x:v>0.02693769624855396</x:v>
      </x:c>
      <x:c r="K428" s="15" t="n">
        <x:f>F428/'Datos'!$F$7</x:f>
        <x:v>0.000631326844682635</x:v>
      </x:c>
      <x:c r="L428" s="3"/>
    </x:row>
    <x:row r="429" ht="22" customHeight="1">
      <x:c r="A429" s="3"/>
      <x:c r="B429" s="3" t="str">
        <x:v>23192</x:v>
      </x:c>
      <x:c r="C429" s="3" t="str">
        <x:v>BUNDLE OF 3 ALPHABET EXERCISE BOOKS</x:v>
      </x:c>
      <x:c r="D429" s="13" t="n">
        <x:v>6142.29</x:v>
      </x:c>
      <x:c r="E429" s="13" t="n">
        <x:v>4.95</x:v>
      </x:c>
      <x:c r="F429" s="13" t="n">
        <x:f>D429-E429</x:f>
        <x:v>6137.34</x:v>
      </x:c>
      <x:c r="G429" s="3" t="n">
        <x:v>3533</x:v>
      </x:c>
      <x:c r="H429" s="3" t="n">
        <x:v>3</x:v>
      </x:c>
      <x:c r="I429" s="3" t="n">
        <x:v>345</x:v>
      </x:c>
      <x:c r="J429" s="15" t="n">
        <x:f>IF(D429=0,"n.a.",E429/D429)</x:f>
        <x:v>0.0008058883575995273</x:v>
      </x:c>
      <x:c r="K429" s="15" t="n">
        <x:f>F429/'Datos'!$F$7</x:f>
        <x:v>0.0006267254621092978</x:v>
      </x:c>
      <x:c r="L429" s="3"/>
    </x:row>
    <x:row r="430" ht="22" customHeight="1">
      <x:c r="A430" s="3"/>
      <x:c r="B430" s="3" t="str">
        <x:v>21154</x:v>
      </x:c>
      <x:c r="C430" s="3" t="str">
        <x:v>RED RETROSPOT OVEN GLOVE</x:v>
      </x:c>
      <x:c r="D430" s="13" t="n">
        <x:v>6321.76</x:v>
      </x:c>
      <x:c r="E430" s="13" t="n">
        <x:v>227</x:v>
      </x:c>
      <x:c r="F430" s="13" t="n">
        <x:f>D430-E430</x:f>
        <x:v>6094.76</x:v>
      </x:c>
      <x:c r="G430" s="3" t="n">
        <x:v>4035</x:v>
      </x:c>
      <x:c r="H430" s="3" t="n">
        <x:v>212</x:v>
      </x:c>
      <x:c r="I430" s="3" t="n">
        <x:v>451</x:v>
      </x:c>
      <x:c r="J430" s="15" t="n">
        <x:f>IF(D430=0,"n.a.",E430/D430)</x:f>
        <x:v>0.03590772190023032</x:v>
      </x:c>
      <x:c r="K430" s="15" t="n">
        <x:f>F430/'Datos'!$F$7</x:f>
        <x:v>0.0006223773291760378</x:v>
      </x:c>
      <x:c r="L430" s="3"/>
    </x:row>
    <x:row r="431" ht="22" customHeight="1">
      <x:c r="A431" s="3"/>
      <x:c r="B431" s="3" t="str">
        <x:v>21975</x:v>
      </x:c>
      <x:c r="C431" s="3" t="str">
        <x:v>PACK OF 60 DINOSAUR CAKE CASES</x:v>
      </x:c>
      <x:c r="D431" s="13" t="n">
        <x:v>6117.91</x:v>
      </x:c>
      <x:c r="E431" s="13" t="n">
        <x:v>36.06</x:v>
      </x:c>
      <x:c r="F431" s="13" t="n">
        <x:f>D431-E431</x:f>
        <x:v>6081.849999999999</x:v>
      </x:c>
      <x:c r="G431" s="3" t="n">
        <x:v>12340</x:v>
      </x:c>
      <x:c r="H431" s="3" t="n">
        <x:v>71</x:v>
      </x:c>
      <x:c r="I431" s="3" t="n">
        <x:v>601</x:v>
      </x:c>
      <x:c r="J431" s="15" t="n">
        <x:f>IF(D431=0,"n.a.",E431/D431)</x:f>
        <x:v>0.0058941697409736335</x:v>
      </x:c>
      <x:c r="K431" s="15" t="n">
        <x:f>F431/'Datos'!$F$7</x:f>
        <x:v>0.0006210590014125716</x:v>
      </x:c>
      <x:c r="L431" s="3"/>
    </x:row>
    <x:row r="432" ht="22" customHeight="1">
      <x:c r="A432" s="3"/>
      <x:c r="B432" s="3" t="str">
        <x:v>21670</x:v>
      </x:c>
      <x:c r="C432" s="3" t="str">
        <x:v>BLUE SPOT CERAMIC DRAWER KNOB</x:v>
      </x:c>
      <x:c r="D432" s="13" t="n">
        <x:v>6141.29</x:v>
      </x:c>
      <x:c r="E432" s="13" t="n">
        <x:v>96.25</x:v>
      </x:c>
      <x:c r="F432" s="13" t="n">
        <x:f>D432-E432</x:f>
        <x:v>6045.04</x:v>
      </x:c>
      <x:c r="G432" s="3" t="n">
        <x:v>4370</x:v>
      </x:c>
      <x:c r="H432" s="3" t="n">
        <x:v>69</x:v>
      </x:c>
      <x:c r="I432" s="3" t="n">
        <x:v>374</x:v>
      </x:c>
      <x:c r="J432" s="15" t="n">
        <x:f>IF(D432=0,"n.a.",E432/D432)</x:f>
        <x:v>0.015672602987320254</x:v>
      </x:c>
      <x:c r="K432" s="15" t="n">
        <x:f>F432/'Datos'!$F$7</x:f>
        <x:v>0.0006173000823596525</x:v>
      </x:c>
      <x:c r="L432" s="3"/>
    </x:row>
    <x:row r="433" ht="22" customHeight="1">
      <x:c r="A433" s="3"/>
      <x:c r="B433" s="3" t="str">
        <x:v>47556B</x:v>
      </x:c>
      <x:c r="C433" s="3" t="str">
        <x:v>TEA TIME TEA TOWELS</x:v>
      </x:c>
      <x:c r="D433" s="13" t="n">
        <x:v>6045</x:v>
      </x:c>
      <x:c r="E433" s="13" t="n">
        <x:v>0</x:v>
      </x:c>
      <x:c r="F433" s="13" t="n">
        <x:f>D433-E433</x:f>
        <x:v>6045</x:v>
      </x:c>
      <x:c r="G433" s="3" t="n">
        <x:v>2600</x:v>
      </x:c>
      <x:c r="H433" s="3" t="n">
        <x:v>0</x:v>
      </x:c>
      <x:c r="I433" s="3" t="n">
        <x:v>2</x:v>
      </x:c>
      <x:c r="J433" s="15" t="n">
        <x:f>IF(D433=0,"n.a.",E433/D433)</x:f>
        <x:v>0</x:v>
      </x:c>
      <x:c r="K433" s="15" t="n">
        <x:f>F433/'Datos'!$F$7</x:f>
        <x:v>0.0006172959976880383</x:v>
      </x:c>
      <x:c r="L433" s="3"/>
    </x:row>
    <x:row r="434" ht="22" customHeight="1">
      <x:c r="A434" s="3"/>
      <x:c r="B434" s="3" t="str">
        <x:v>21156</x:v>
      </x:c>
      <x:c r="C434" s="3" t="str">
        <x:v>RETROSPOT CHILDRENS APRON</x:v>
      </x:c>
      <x:c r="D434" s="13" t="n">
        <x:v>6093.05</x:v>
      </x:c>
      <x:c r="E434" s="13" t="n">
        <x:v>76.05</x:v>
      </x:c>
      <x:c r="F434" s="13" t="n">
        <x:f>D434-E434</x:f>
        <x:v>6017</x:v>
      </x:c>
      <x:c r="G434" s="3" t="n">
        <x:v>3171</x:v>
      </x:c>
      <x:c r="H434" s="3" t="n">
        <x:v>39</x:v>
      </x:c>
      <x:c r="I434" s="3" t="n">
        <x:v>358</x:v>
      </x:c>
      <x:c r="J434" s="15" t="n">
        <x:f>IF(D434=0,"n.a.",E434/D434)</x:f>
        <x:v>0.012481433764699124</x:v>
      </x:c>
      <x:c r="K434" s="15" t="n">
        <x:f>F434/'Datos'!$F$7</x:f>
        <x:v>0.000614436727558135</x:v>
      </x:c>
      <x:c r="L434" s="3"/>
    </x:row>
    <x:row r="435" ht="22" customHeight="1">
      <x:c r="A435" s="3"/>
      <x:c r="B435" s="3" t="str">
        <x:v>22174</x:v>
      </x:c>
      <x:c r="C435" s="3" t="str">
        <x:v>PHOTO CUBE</x:v>
      </x:c>
      <x:c r="D435" s="13" t="n">
        <x:v>6013.43</x:v>
      </x:c>
      <x:c r="E435" s="13" t="n">
        <x:v>0</x:v>
      </x:c>
      <x:c r="F435" s="13" t="n">
        <x:f>D435-E435</x:f>
        <x:v>6013.43</x:v>
      </x:c>
      <x:c r="G435" s="3" t="n">
        <x:v>3239</x:v>
      </x:c>
      <x:c r="H435" s="3" t="n">
        <x:v>0</x:v>
      </x:c>
      <x:c r="I435" s="3" t="n">
        <x:v>321</x:v>
      </x:c>
      <x:c r="J435" s="15" t="n">
        <x:f>IF(D435=0,"n.a.",E435/D435)</x:f>
        <x:v>0</x:v>
      </x:c>
      <x:c r="K435" s="15" t="n">
        <x:f>F435/'Datos'!$F$7</x:f>
        <x:v>0.0006140721706165724</x:v>
      </x:c>
      <x:c r="L435" s="3"/>
    </x:row>
    <x:row r="436" ht="22" customHeight="1">
      <x:c r="A436" s="3"/>
      <x:c r="B436" s="3" t="str">
        <x:v>22151</x:v>
      </x:c>
      <x:c r="C436" s="3" t="str">
        <x:v>PLACE SETTING WHITE HEART</x:v>
      </x:c>
      <x:c r="D436" s="13" t="n">
        <x:v>6332.29</x:v>
      </x:c>
      <x:c r="E436" s="13" t="n">
        <x:v>321.96</x:v>
      </x:c>
      <x:c r="F436" s="13" t="n">
        <x:f>D436-E436</x:f>
        <x:v>6010.33</x:v>
      </x:c>
      <x:c r="G436" s="3" t="n">
        <x:v>15150</x:v>
      </x:c>
      <x:c r="H436" s="3" t="n">
        <x:v>890</x:v>
      </x:c>
      <x:c r="I436" s="3" t="n">
        <x:v>332</x:v>
      </x:c>
      <x:c r="J436" s="15" t="n">
        <x:f>IF(D436=0,"n.a.",E436/D436)</x:f>
        <x:v>0.05084416538092854</x:v>
      </x:c>
      <x:c r="K436" s="15" t="n">
        <x:f>F436/'Datos'!$F$7</x:f>
        <x:v>0.000613755608566476</x:v>
      </x:c>
      <x:c r="L436" s="3"/>
    </x:row>
    <x:row r="437" ht="22" customHeight="1">
      <x:c r="A437" s="3"/>
      <x:c r="B437" s="3" t="str">
        <x:v>23312</x:v>
      </x:c>
      <x:c r="C437" s="3" t="str">
        <x:v>VINTAGE CHRISTMAS GIFT SACK</x:v>
      </x:c>
      <x:c r="D437" s="13" t="n">
        <x:v>5968.3</x:v>
      </x:c>
      <x:c r="E437" s="13" t="n">
        <x:v>4.15</x:v>
      </x:c>
      <x:c r="F437" s="13" t="n">
        <x:f>D437-E437</x:f>
        <x:v>5964.150000000001</x:v>
      </x:c>
      <x:c r="G437" s="3" t="n">
        <x:v>1424</x:v>
      </x:c>
      <x:c r="H437" s="3" t="n">
        <x:v>1</x:v>
      </x:c>
      <x:c r="I437" s="3" t="n">
        <x:v>214</x:v>
      </x:c>
      <x:c r="J437" s="15" t="n">
        <x:f>IF(D437=0,"n.a.",E437/D437)</x:f>
        <x:v>0.0006953403816832264</x:v>
      </x:c>
      <x:c r="K437" s="15" t="n">
        <x:f>F437/'Datos'!$F$7</x:f>
        <x:v>0.0006090398551879427</x:v>
      </x:c>
      <x:c r="L437" s="3"/>
    </x:row>
    <x:row r="438" ht="22" customHeight="1">
      <x:c r="A438" s="3"/>
      <x:c r="B438" s="3" t="str">
        <x:v>22783</x:v>
      </x:c>
      <x:c r="C438" s="3" t="str">
        <x:v>SET 3 WICKER OVAL BASKETS W LIDS</x:v>
      </x:c>
      <x:c r="D438" s="13" t="n">
        <x:v>5961.25</x:v>
      </x:c>
      <x:c r="E438" s="13" t="n">
        <x:v>0</x:v>
      </x:c>
      <x:c r="F438" s="13" t="n">
        <x:f>D438-E438</x:f>
        <x:v>5961.25</x:v>
      </x:c>
      <x:c r="G438" s="3" t="n">
        <x:v>463</x:v>
      </x:c>
      <x:c r="H438" s="3" t="n">
        <x:v>0</x:v>
      </x:c>
      <x:c r="I438" s="3" t="n">
        <x:v>33</x:v>
      </x:c>
      <x:c r="J438" s="15" t="n">
        <x:f>IF(D438=0,"n.a.",E438/D438)</x:f>
        <x:v>0</x:v>
      </x:c>
      <x:c r="K438" s="15" t="n">
        <x:f>F438/'Datos'!$F$7</x:f>
        <x:v>0.000608743716495917</x:v>
      </x:c>
      <x:c r="L438" s="3"/>
    </x:row>
    <x:row r="439" ht="22" customHeight="1">
      <x:c r="A439" s="3"/>
      <x:c r="B439" s="3" t="str">
        <x:v>23296</x:v>
      </x:c>
      <x:c r="C439" s="3" t="str">
        <x:v>SET OF 6 TEA TIME BAKING CASES</x:v>
      </x:c>
      <x:c r="D439" s="13" t="n">
        <x:v>5988.05</x:v>
      </x:c>
      <x:c r="E439" s="13" t="n">
        <x:v>33.75</x:v>
      </x:c>
      <x:c r="F439" s="13" t="n">
        <x:f>D439-E439</x:f>
        <x:v>5954.3</x:v>
      </x:c>
      <x:c r="G439" s="3" t="n">
        <x:v>4981</x:v>
      </x:c>
      <x:c r="H439" s="3" t="n">
        <x:v>27</x:v>
      </x:c>
      <x:c r="I439" s="3" t="n">
        <x:v>378</x:v>
      </x:c>
      <x:c r="J439" s="15" t="n">
        <x:f>IF(D439=0,"n.a.",E439/D439)</x:f>
        <x:v>0.005636225482419151</x:v>
      </x:c>
      <x:c r="K439" s="15" t="n">
        <x:f>F439/'Datos'!$F$7</x:f>
        <x:v>0.000608034004802959</x:v>
      </x:c>
      <x:c r="L439" s="3"/>
    </x:row>
    <x:row r="440" ht="22" customHeight="1">
      <x:c r="A440" s="3"/>
      <x:c r="B440" s="3" t="str">
        <x:v>23052</x:v>
      </x:c>
      <x:c r="C440" s="3" t="str">
        <x:v>RECYCLED ACAPULCO MAT TURQUOISE</x:v>
      </x:c>
      <x:c r="D440" s="13" t="n">
        <x:v>5949.34</x:v>
      </x:c>
      <x:c r="E440" s="13" t="n">
        <x:v>8.25</x:v>
      </x:c>
      <x:c r="F440" s="13" t="n">
        <x:f>D440-E440</x:f>
        <x:v>5941.09</x:v>
      </x:c>
      <x:c r="G440" s="3" t="n">
        <x:v>654</x:v>
      </x:c>
      <x:c r="H440" s="3" t="n">
        <x:v>1</x:v>
      </x:c>
      <x:c r="I440" s="3" t="n">
        <x:v>278</x:v>
      </x:c>
      <x:c r="J440" s="15" t="n">
        <x:f>IF(D440=0,"n.a.",E440/D440)</x:f>
        <x:v>0.001386708441608649</x:v>
      </x:c>
      <x:c r="K440" s="15" t="n">
        <x:f>F440/'Datos'!$F$7</x:f>
        <x:v>0.0006066850420023867</x:v>
      </x:c>
      <x:c r="L440" s="3"/>
    </x:row>
    <x:row r="441" ht="22" customHeight="1">
      <x:c r="A441" s="3"/>
      <x:c r="B441" s="3" t="str">
        <x:v>21871</x:v>
      </x:c>
      <x:c r="C441" s="3" t="str">
        <x:v>SAVE THE PLANET MUG</x:v>
      </x:c>
      <x:c r="D441" s="13" t="n">
        <x:v>6681.21</x:v>
      </x:c>
      <x:c r="E441" s="13" t="n">
        <x:v>740.94</x:v>
      </x:c>
      <x:c r="F441" s="13" t="n">
        <x:f>D441-E441</x:f>
        <x:v>5940.27</x:v>
      </x:c>
      <x:c r="G441" s="3" t="n">
        <x:v>5454</x:v>
      </x:c>
      <x:c r="H441" s="3" t="n">
        <x:v>685</x:v>
      </x:c>
      <x:c r="I441" s="3" t="n">
        <x:v>357</x:v>
      </x:c>
      <x:c r="J441" s="15" t="n">
        <x:f>IF(D441=0,"n.a.",E441/D441)</x:f>
        <x:v>0.11089907367078719</x:v>
      </x:c>
      <x:c r="K441" s="15" t="n">
        <x:f>F441/'Datos'!$F$7</x:f>
        <x:v>0.0006066013062342967</x:v>
      </x:c>
      <x:c r="L441" s="3"/>
    </x:row>
    <x:row r="442" ht="22" customHeight="1">
      <x:c r="A442" s="3"/>
      <x:c r="B442" s="3" t="str">
        <x:v>21535</x:v>
      </x:c>
      <x:c r="C442" s="3" t="str">
        <x:v>RED RETROSPOT SMALL MILK JUG</x:v>
      </x:c>
      <x:c r="D442" s="13" t="n">
        <x:v>6011.51</x:v>
      </x:c>
      <x:c r="E442" s="13" t="n">
        <x:v>80.7</x:v>
      </x:c>
      <x:c r="F442" s="13" t="n">
        <x:f>D442-E442</x:f>
        <x:v>5930.81</x:v>
      </x:c>
      <x:c r="G442" s="3" t="n">
        <x:v>2497</x:v>
      </x:c>
      <x:c r="H442" s="3" t="n">
        <x:v>32</x:v>
      </x:c>
      <x:c r="I442" s="3" t="n">
        <x:v>343</x:v>
      </x:c>
      <x:c r="J442" s="15" t="n">
        <x:f>IF(D442=0,"n.a.",E442/D442)</x:f>
        <x:v>0.013424247817935926</x:v>
      </x:c>
      <x:c r="K442" s="15" t="n">
        <x:f>F442/'Datos'!$F$7</x:f>
        <x:v>0.0006056352813975509</x:v>
      </x:c>
      <x:c r="L442" s="3"/>
    </x:row>
    <x:row r="443" ht="22" customHeight="1">
      <x:c r="A443" s="3"/>
      <x:c r="B443" s="3" t="str">
        <x:v>21673</x:v>
      </x:c>
      <x:c r="C443" s="3" t="str">
        <x:v>WHITE SPOT BLUE CERAMIC DRAWER KNOB</x:v>
      </x:c>
      <x:c r="D443" s="13" t="n">
        <x:v>6071.75</x:v>
      </x:c>
      <x:c r="E443" s="13" t="n">
        <x:v>143.95</x:v>
      </x:c>
      <x:c r="F443" s="13" t="n">
        <x:f>D443-E443</x:f>
        <x:v>5927.8</x:v>
      </x:c>
      <x:c r="G443" s="3" t="n">
        <x:v>4395</x:v>
      </x:c>
      <x:c r="H443" s="3" t="n">
        <x:v>103</x:v>
      </x:c>
      <x:c r="I443" s="3" t="n">
        <x:v>365</x:v>
      </x:c>
      <x:c r="J443" s="15" t="n">
        <x:f>IF(D443=0,"n.a.",E443/D443)</x:f>
        <x:v>0.023708156627002097</x:v>
      </x:c>
      <x:c r="K443" s="15" t="n">
        <x:f>F443/'Datos'!$F$7</x:f>
        <x:v>0.0006053279098585862</x:v>
      </x:c>
      <x:c r="L443" s="3"/>
    </x:row>
    <x:row r="444" ht="22" customHeight="1">
      <x:c r="A444" s="3"/>
      <x:c r="B444" s="3" t="str">
        <x:v>23526</x:v>
      </x:c>
      <x:c r="C444" s="3" t="str">
        <x:v>WALL ART DOG LICENCE</x:v>
      </x:c>
      <x:c r="D444" s="13" t="n">
        <x:v>6021.4</x:v>
      </x:c>
      <x:c r="E444" s="13" t="n">
        <x:v>95.2</x:v>
      </x:c>
      <x:c r="F444" s="13" t="n">
        <x:f>D444-E444</x:f>
        <x:v>5926.2</x:v>
      </x:c>
      <x:c r="G444" s="3" t="n">
        <x:v>1012</x:v>
      </x:c>
      <x:c r="H444" s="3" t="n">
        <x:v>16</x:v>
      </x:c>
      <x:c r="I444" s="3" t="n">
        <x:v>143</x:v>
      </x:c>
      <x:c r="J444" s="15" t="n">
        <x:f>IF(D444=0,"n.a.",E444/D444)</x:f>
        <x:v>0.0158102766798419</x:v>
      </x:c>
      <x:c r="K444" s="15" t="n">
        <x:f>F444/'Datos'!$F$7</x:f>
        <x:v>0.0006051645229940203</x:v>
      </x:c>
      <x:c r="L444" s="3"/>
    </x:row>
    <x:row r="445" ht="22" customHeight="1">
      <x:c r="A445" s="3"/>
      <x:c r="B445" s="3" t="str">
        <x:v>23118</x:v>
      </x:c>
      <x:c r="C445" s="3" t="str">
        <x:v>PARISIENNE JEWELLERY DRAWER</x:v>
      </x:c>
      <x:c r="D445" s="13" t="n">
        <x:v>6102.18</x:v>
      </x:c>
      <x:c r="E445" s="13" t="n">
        <x:v>180</x:v>
      </x:c>
      <x:c r="F445" s="13" t="n">
        <x:f>D445-E445</x:f>
        <x:v>5922.18</x:v>
      </x:c>
      <x:c r="G445" s="3" t="n">
        <x:v>813</x:v>
      </x:c>
      <x:c r="H445" s="3" t="n">
        <x:v>24</x:v>
      </x:c>
      <x:c r="I445" s="3" t="n">
        <x:v>258</x:v>
      </x:c>
      <x:c r="J445" s="15" t="n">
        <x:f>IF(D445=0,"n.a.",E445/D445)</x:f>
        <x:v>0.02949765493643255</x:v>
      </x:c>
      <x:c r="K445" s="15" t="n">
        <x:f>F445/'Datos'!$F$7</x:f>
        <x:v>0.0006047540134967985</x:v>
      </x:c>
      <x:c r="L445" s="3"/>
    </x:row>
    <x:row r="446" ht="22" customHeight="1">
      <x:c r="A446" s="3"/>
      <x:c r="B446" s="3" t="str">
        <x:v>22584</x:v>
      </x:c>
      <x:c r="C446" s="3" t="str">
        <x:v>PACK OF 6 PANNETONE GIFT BOXES</x:v>
      </x:c>
      <x:c r="D446" s="13" t="n">
        <x:v>5954.61</x:v>
      </x:c>
      <x:c r="E446" s="13" t="n">
        <x:v>38.25</x:v>
      </x:c>
      <x:c r="F446" s="13" t="n">
        <x:f>D446-E446</x:f>
        <x:v>5916.36</x:v>
      </x:c>
      <x:c r="G446" s="3" t="n">
        <x:v>2333</x:v>
      </x:c>
      <x:c r="H446" s="3" t="n">
        <x:v>15</x:v>
      </x:c>
      <x:c r="I446" s="3" t="n">
        <x:v>196</x:v>
      </x:c>
      <x:c r="J446" s="15" t="n">
        <x:f>IF(D446=0,"n.a.",E446/D446)</x:f>
        <x:v>0.006423594492334511</x:v>
      </x:c>
      <x:c r="K446" s="15" t="n">
        <x:f>F446/'Datos'!$F$7</x:f>
        <x:v>0.00060415969377694</x:v>
      </x:c>
      <x:c r="L446" s="3"/>
    </x:row>
    <x:row r="447" ht="22" customHeight="1">
      <x:c r="A447" s="3"/>
      <x:c r="B447" s="3" t="str">
        <x:v>22150</x:v>
      </x:c>
      <x:c r="C447" s="3" t="str">
        <x:v>3 STRIPEY MICE FELTCRAFT</x:v>
      </x:c>
      <x:c r="D447" s="13" t="n">
        <x:v>5925.39</x:v>
      </x:c>
      <x:c r="E447" s="13" t="n">
        <x:v>21.45</x:v>
      </x:c>
      <x:c r="F447" s="13" t="n">
        <x:f>D447-E447</x:f>
        <x:v>5903.9400000000005</x:v>
      </x:c>
      <x:c r="G447" s="3" t="n">
        <x:v>3030</x:v>
      </x:c>
      <x:c r="H447" s="3" t="n">
        <x:v>11</x:v>
      </x:c>
      <x:c r="I447" s="3" t="n">
        <x:v>468</x:v>
      </x:c>
      <x:c r="J447" s="15" t="n">
        <x:f>IF(D447=0,"n.a.",E447/D447)</x:f>
        <x:v>0.0036200148850961704</x:v>
      </x:c>
      <x:c r="K447" s="15" t="n">
        <x:f>F447/'Datos'!$F$7</x:f>
        <x:v>0.0006028914032407473</x:v>
      </x:c>
      <x:c r="L447" s="3"/>
    </x:row>
    <x:row r="448" ht="22" customHeight="1">
      <x:c r="A448" s="3"/>
      <x:c r="B448" s="3" t="str">
        <x:v>21671</x:v>
      </x:c>
      <x:c r="C448" s="3" t="str">
        <x:v>RED SPOT CERAMIC DRAWER KNOB</x:v>
      </x:c>
      <x:c r="D448" s="13" t="n">
        <x:v>6078.54</x:v>
      </x:c>
      <x:c r="E448" s="13" t="n">
        <x:v>214.81</x:v>
      </x:c>
      <x:c r="F448" s="13" t="n">
        <x:f>D448-E448</x:f>
        <x:v>5863.73</x:v>
      </x:c>
      <x:c r="G448" s="3" t="n">
        <x:v>4421</x:v>
      </x:c>
      <x:c r="H448" s="3" t="n">
        <x:v>152</x:v>
      </x:c>
      <x:c r="I448" s="3" t="n">
        <x:v>369</x:v>
      </x:c>
      <x:c r="J448" s="15" t="n">
        <x:f>IF(D448=0,"n.a.",E448/D448)</x:f>
        <x:v>0.035339078133893996</x:v>
      </x:c>
      <x:c r="K448" s="15" t="n">
        <x:f>F448/'Datos'!$F$7</x:f>
        <x:v>0.0005987852871006254</x:v>
      </x:c>
      <x:c r="L448" s="3"/>
    </x:row>
    <x:row r="449" ht="22" customHeight="1">
      <x:c r="A449" s="3"/>
      <x:c r="B449" s="3" t="str">
        <x:v>17003</x:v>
      </x:c>
      <x:c r="C449" s="3" t="str">
        <x:v>BROCADE RING PURSE</x:v>
      </x:c>
      <x:c r="D449" s="13" t="n">
        <x:v>6036.39</x:v>
      </x:c>
      <x:c r="E449" s="13" t="n">
        <x:v>172.8</x:v>
      </x:c>
      <x:c r="F449" s="13" t="n">
        <x:f>D449-E449</x:f>
        <x:v>5863.59</x:v>
      </x:c>
      <x:c r="G449" s="3" t="n">
        <x:v>23056</x:v>
      </x:c>
      <x:c r="H449" s="3" t="n">
        <x:v>3</x:v>
      </x:c>
      <x:c r="I449" s="3" t="n">
        <x:v>239</x:v>
      </x:c>
      <x:c r="J449" s="15" t="n">
        <x:f>IF(D449=0,"n.a.",E449/D449)</x:f>
        <x:v>0.02862638099923961</x:v>
      </x:c>
      <x:c r="K449" s="15" t="n">
        <x:f>F449/'Datos'!$F$7</x:f>
        <x:v>0.000598770990749976</x:v>
      </x:c>
      <x:c r="L449" s="3"/>
    </x:row>
    <x:row r="450" ht="22" customHeight="1">
      <x:c r="A450" s="3"/>
      <x:c r="B450" s="3" t="str">
        <x:v>48129</x:v>
      </x:c>
      <x:c r="C450" s="3" t="str">
        <x:v>DOORMAT TOPIARY</x:v>
      </x:c>
      <x:c r="D450" s="13" t="n">
        <x:v>6009.84</x:v>
      </x:c>
      <x:c r="E450" s="13" t="n">
        <x:v>159.15</x:v>
      </x:c>
      <x:c r="F450" s="13" t="n">
        <x:f>D450-E450</x:f>
        <x:v>5850.6900000000005</x:v>
      </x:c>
      <x:c r="G450" s="3" t="n">
        <x:v>904</x:v>
      </x:c>
      <x:c r="H450" s="3" t="n">
        <x:v>23</x:v>
      </x:c>
      <x:c r="I450" s="3" t="n">
        <x:v>205</x:v>
      </x:c>
      <x:c r="J450" s="15" t="n">
        <x:f>IF(D450=0,"n.a.",E450/D450)</x:f>
        <x:v>0.026481570224831278</x:v>
      </x:c>
      <x:c r="K450" s="15" t="n">
        <x:f>F450/'Datos'!$F$7</x:f>
        <x:v>0.0005974536841544134</x:v>
      </x:c>
      <x:c r="L450" s="3"/>
    </x:row>
    <x:row r="451" ht="22" customHeight="1">
      <x:c r="A451" s="3"/>
      <x:c r="B451" s="3" t="str">
        <x:v>22366</x:v>
      </x:c>
      <x:c r="C451" s="3" t="str">
        <x:v>DOORMAT AIRMAIL</x:v>
      </x:c>
      <x:c r="D451" s="13" t="n">
        <x:v>6034.9</x:v>
      </x:c>
      <x:c r="E451" s="13" t="n">
        <x:v>194.07</x:v>
      </x:c>
      <x:c r="F451" s="13" t="n">
        <x:f>D451-E451</x:f>
        <x:v>5840.83</x:v>
      </x:c>
      <x:c r="G451" s="3" t="n">
        <x:v>800</x:v>
      </x:c>
      <x:c r="H451" s="3" t="n">
        <x:v>27</x:v>
      </x:c>
      <x:c r="I451" s="3" t="n">
        <x:v>220</x:v>
      </x:c>
      <x:c r="J451" s="15" t="n">
        <x:f>IF(D451=0,"n.a.",E451/D451)</x:f>
        <x:v>0.03215794793617127</x:v>
      </x:c>
      <x:c r="K451" s="15" t="n">
        <x:f>F451/'Datos'!$F$7</x:f>
        <x:v>0.000596446812601526</x:v>
      </x:c>
      <x:c r="L451" s="3"/>
    </x:row>
    <x:row r="452" ht="22" customHeight="1">
      <x:c r="A452" s="3"/>
      <x:c r="B452" s="3" t="str">
        <x:v>22971</x:v>
      </x:c>
      <x:c r="C452" s="3" t="str">
        <x:v>QUEENS GUARD COFFEE MUG</x:v>
      </x:c>
      <x:c r="D452" s="13" t="n">
        <x:v>5849.29</x:v>
      </x:c>
      <x:c r="E452" s="13" t="n">
        <x:v>37.65</x:v>
      </x:c>
      <x:c r="F452" s="13" t="n">
        <x:f>D452-E452</x:f>
        <x:v>5811.64</x:v>
      </x:c>
      <x:c r="G452" s="3" t="n">
        <x:v>2431</x:v>
      </x:c>
      <x:c r="H452" s="3" t="n">
        <x:v>16</x:v>
      </x:c>
      <x:c r="I452" s="3" t="n">
        <x:v>272</x:v>
      </x:c>
      <x:c r="J452" s="15" t="n">
        <x:f>IF(D452=0,"n.a.",E452/D452)</x:f>
        <x:v>0.006436678639629767</x:v>
      </x:c>
      <x:c r="K452" s="15" t="n">
        <x:f>F452/'Datos'!$F$7</x:f>
        <x:v>0.0005934660234911019</x:v>
      </x:c>
      <x:c r="L452" s="3"/>
    </x:row>
    <x:row r="453" ht="22" customHeight="1">
      <x:c r="A453" s="3"/>
      <x:c r="B453" s="3" t="str">
        <x:v>21877</x:v>
      </x:c>
      <x:c r="C453" s="3" t="str">
        <x:v>HOME SWEET HOME MUG</x:v>
      </x:c>
      <x:c r="D453" s="13" t="n">
        <x:v>6942.33</x:v>
      </x:c>
      <x:c r="E453" s="13" t="n">
        <x:v>1134.32</x:v>
      </x:c>
      <x:c r="F453" s="13" t="n">
        <x:f>D453-E453</x:f>
        <x:v>5808.01</x:v>
      </x:c>
      <x:c r="G453" s="3" t="n">
        <x:v>5418</x:v>
      </x:c>
      <x:c r="H453" s="3" t="n">
        <x:v>1052</x:v>
      </x:c>
      <x:c r="I453" s="3" t="n">
        <x:v>349</x:v>
      </x:c>
      <x:c r="J453" s="15" t="n">
        <x:f>IF(D453=0,"n.a.",E453/D453)</x:f>
        <x:v>0.16339182954425963</x:v>
      </x:c>
      <x:c r="K453" s="15" t="n">
        <x:f>F453/'Datos'!$F$7</x:f>
        <x:v>0.000593095339542118</x:v>
      </x:c>
      <x:c r="L453" s="3"/>
    </x:row>
    <x:row r="454" ht="22" customHeight="1">
      <x:c r="A454" s="3"/>
      <x:c r="B454" s="3" t="str">
        <x:v>22751</x:v>
      </x:c>
      <x:c r="C454" s="3" t="str">
        <x:v>FELTCRAFT PRINCESS OLIVIA DOLL</x:v>
      </x:c>
      <x:c r="D454" s="13" t="n">
        <x:v>5812.72</x:v>
      </x:c>
      <x:c r="E454" s="13" t="n">
        <x:v>7.5</x:v>
      </x:c>
      <x:c r="F454" s="13" t="n">
        <x:f>D454-E454</x:f>
        <x:v>5805.22</x:v>
      </x:c>
      <x:c r="G454" s="3" t="n">
        <x:v>1566</x:v>
      </x:c>
      <x:c r="H454" s="3" t="n">
        <x:v>2</x:v>
      </x:c>
      <x:c r="I454" s="3" t="n">
        <x:v>290</x:v>
      </x:c>
      <x:c r="J454" s="15" t="n">
        <x:f>IF(D454=0,"n.a.",E454/D454)</x:f>
        <x:v>0.0012902737444776284</x:v>
      </x:c>
      <x:c r="K454" s="15" t="n">
        <x:f>F454/'Datos'!$F$7</x:f>
        <x:v>0.0005928104336970312</x:v>
      </x:c>
      <x:c r="L454" s="3"/>
    </x:row>
    <x:row r="455" ht="22" customHeight="1">
      <x:c r="A455" s="3"/>
      <x:c r="B455" s="3" t="str">
        <x:v>22740</x:v>
      </x:c>
      <x:c r="C455" s="3" t="str">
        <x:v>POLKADOT PEN</x:v>
      </x:c>
      <x:c r="D455" s="13" t="n">
        <x:v>5793.62</x:v>
      </x:c>
      <x:c r="E455" s="13" t="n">
        <x:v>0</x:v>
      </x:c>
      <x:c r="F455" s="13" t="n">
        <x:f>D455-E455</x:f>
        <x:v>5793.62</x:v>
      </x:c>
      <x:c r="G455" s="3" t="n">
        <x:v>6842</x:v>
      </x:c>
      <x:c r="H455" s="3" t="n">
        <x:v>0</x:v>
      </x:c>
      <x:c r="I455" s="3" t="n">
        <x:v>170</x:v>
      </x:c>
      <x:c r="J455" s="15" t="n">
        <x:f>IF(D455=0,"n.a.",E455/D455)</x:f>
        <x:v>0</x:v>
      </x:c>
      <x:c r="K455" s="15" t="n">
        <x:f>F455/'Datos'!$F$7</x:f>
        <x:v>0.0005916258789289285</x:v>
      </x:c>
      <x:c r="L455" s="3"/>
    </x:row>
    <x:row r="456" ht="22" customHeight="1">
      <x:c r="A456" s="3"/>
      <x:c r="B456" s="3" t="str">
        <x:v>23154</x:v>
      </x:c>
      <x:c r="C456" s="3" t="str">
        <x:v>SET OF 4 JAM JAR MAGNETS</x:v>
      </x:c>
      <x:c r="D456" s="13" t="n">
        <x:v>5907.36</x:v>
      </x:c>
      <x:c r="E456" s="13" t="n">
        <x:v>126.88</x:v>
      </x:c>
      <x:c r="F456" s="13" t="n">
        <x:f>D456-E456</x:f>
        <x:v>5780.48</x:v>
      </x:c>
      <x:c r="G456" s="3" t="n">
        <x:v>2732</x:v>
      </x:c>
      <x:c r="H456" s="3" t="n">
        <x:v>61</x:v>
      </x:c>
      <x:c r="I456" s="3" t="n">
        <x:v>235</x:v>
      </x:c>
      <x:c r="J456" s="15" t="n">
        <x:f>IF(D456=0,"n.a.",E456/D456)</x:f>
        <x:v>0.02147829148722949</x:v>
      </x:c>
      <x:c r="K456" s="15" t="n">
        <x:f>F456/'Datos'!$F$7</x:f>
        <x:v>0.0005902840643036809</x:v>
      </x:c>
      <x:c r="L456" s="3"/>
    </x:row>
    <x:row r="457" ht="22" customHeight="1">
      <x:c r="A457" s="3"/>
      <x:c r="B457" s="3" t="str">
        <x:v>22365</x:v>
      </x:c>
      <x:c r="C457" s="3" t="str">
        <x:v>DOORMAT RESPECTABLE HOUSE</x:v>
      </x:c>
      <x:c r="D457" s="13" t="n">
        <x:v>5762.28</x:v>
      </x:c>
      <x:c r="E457" s="13" t="n">
        <x:v>15.9</x:v>
      </x:c>
      <x:c r="F457" s="13" t="n">
        <x:f>D457-E457</x:f>
        <x:v>5746.38</x:v>
      </x:c>
      <x:c r="G457" s="3" t="n">
        <x:v>790</x:v>
      </x:c>
      <x:c r="H457" s="3" t="n">
        <x:v>2</x:v>
      </x:c>
      <x:c r="I457" s="3" t="n">
        <x:v>179</x:v>
      </x:c>
      <x:c r="J457" s="15" t="n">
        <x:f>IF(D457=0,"n.a.",E457/D457)</x:f>
        <x:v>0.0027593244340781775</x:v>
      </x:c>
      <x:c r="K457" s="15" t="n">
        <x:f>F457/'Datos'!$F$7</x:f>
        <x:v>0.0005868018817526203</x:v>
      </x:c>
      <x:c r="L457" s="3"/>
    </x:row>
    <x:row r="458" ht="22" customHeight="1">
      <x:c r="A458" s="3"/>
      <x:c r="B458" s="3" t="str">
        <x:v>62018</x:v>
      </x:c>
      <x:c r="C458" s="3" t="str">
        <x:v>SOMBRERO</x:v>
      </x:c>
      <x:c r="D458" s="13" t="n">
        <x:v>5716.85</x:v>
      </x:c>
      <x:c r="E458" s="13" t="n">
        <x:v>0</x:v>
      </x:c>
      <x:c r="F458" s="13" t="n">
        <x:f>D458-E458</x:f>
        <x:v>5716.85</x:v>
      </x:c>
      <x:c r="G458" s="3" t="n">
        <x:v>4415</x:v>
      </x:c>
      <x:c r="H458" s="3" t="n">
        <x:v>0</x:v>
      </x:c>
      <x:c r="I458" s="3" t="n">
        <x:v>61</x:v>
      </x:c>
      <x:c r="J458" s="15" t="n">
        <x:f>IF(D458=0,"n.a.",E458/D458)</x:f>
        <x:v>0</x:v>
      </x:c>
      <x:c r="K458" s="15" t="n">
        <x:f>F458/'Datos'!$F$7</x:f>
        <x:v>0.000583786372933476</x:v>
      </x:c>
      <x:c r="L458" s="3"/>
    </x:row>
    <x:row r="459" ht="22" customHeight="1">
      <x:c r="A459" s="3"/>
      <x:c r="B459" s="3" t="str">
        <x:v>22779</x:v>
      </x:c>
      <x:c r="C459" s="3" t="str">
        <x:v>WOODEN OWLS LIGHT GARLAND</x:v>
      </x:c>
      <x:c r="D459" s="13" t="n">
        <x:v>5802.6</x:v>
      </x:c>
      <x:c r="E459" s="13" t="n">
        <x:v>106.25</x:v>
      </x:c>
      <x:c r="F459" s="13" t="n">
        <x:f>D459-E459</x:f>
        <x:v>5696.35</x:v>
      </x:c>
      <x:c r="G459" s="3" t="n">
        <x:v>1540</x:v>
      </x:c>
      <x:c r="H459" s="3" t="n">
        <x:v>25</x:v>
      </x:c>
      <x:c r="I459" s="3" t="n">
        <x:v>149</x:v>
      </x:c>
      <x:c r="J459" s="15" t="n">
        <x:f>IF(D459=0,"n.a.",E459/D459)</x:f>
        <x:v>0.018310757246751456</x:v>
      </x:c>
      <x:c r="K459" s="15" t="n">
        <x:f>F459/'Datos'!$F$7</x:f>
        <x:v>0.0005816929787312254</x:v>
      </x:c>
      <x:c r="L459" s="3"/>
    </x:row>
    <x:row r="460" ht="22" customHeight="1">
      <x:c r="A460" s="3"/>
      <x:c r="B460" s="3" t="str">
        <x:v>22635</x:v>
      </x:c>
      <x:c r="C460" s="3" t="str">
        <x:v>CHILDS BREAKFAST SET DOLLY GIRL</x:v>
      </x:c>
      <x:c r="D460" s="13" t="n">
        <x:v>6422.28</x:v>
      </x:c>
      <x:c r="E460" s="13" t="n">
        <x:v>727.05</x:v>
      </x:c>
      <x:c r="F460" s="13" t="n">
        <x:f>D460-E460</x:f>
        <x:v>5695.23</x:v>
      </x:c>
      <x:c r="G460" s="3" t="n">
        <x:v>682</x:v>
      </x:c>
      <x:c r="H460" s="3" t="n">
        <x:v>84</x:v>
      </x:c>
      <x:c r="I460" s="3" t="n">
        <x:v>194</x:v>
      </x:c>
      <x:c r="J460" s="15" t="n">
        <x:f>IF(D460=0,"n.a.",E460/D460)</x:f>
        <x:v>0.11320745903324053</x:v>
      </x:c>
      <x:c r="K460" s="15" t="n">
        <x:f>F460/'Datos'!$F$7</x:f>
        <x:v>0.0005815786079260292</x:v>
      </x:c>
      <x:c r="L460" s="3"/>
    </x:row>
    <x:row r="461" ht="22" customHeight="1">
      <x:c r="A461" s="3"/>
      <x:c r="B461" s="3" t="str">
        <x:v>22826</x:v>
      </x:c>
      <x:c r="C461" s="3" t="str">
        <x:v>LOVE SEAT ANTIQUE WHITE METAL</x:v>
      </x:c>
      <x:c r="D461" s="13" t="n">
        <x:v>6210</x:v>
      </x:c>
      <x:c r="E461" s="13" t="n">
        <x:v>517.5</x:v>
      </x:c>
      <x:c r="F461" s="13" t="n">
        <x:f>D461-E461</x:f>
        <x:v>5692.5</x:v>
      </x:c>
      <x:c r="G461" s="3" t="n">
        <x:v>58</x:v>
      </x:c>
      <x:c r="H461" s="3" t="n">
        <x:v>4</x:v>
      </x:c>
      <x:c r="I461" s="3" t="n">
        <x:v>41</x:v>
      </x:c>
      <x:c r="J461" s="15" t="n">
        <x:f>IF(D461=0,"n.a.",E461/D461)</x:f>
        <x:v>0.08333333333333333</x:v>
      </x:c>
      <x:c r="K461" s="15" t="n">
        <x:f>F461/'Datos'!$F$7</x:f>
        <x:v>0.0005812998290883637</x:v>
      </x:c>
      <x:c r="L461" s="3"/>
    </x:row>
    <x:row r="462" ht="22" customHeight="1">
      <x:c r="A462" s="3"/>
      <x:c r="B462" s="3" t="str">
        <x:v>22646</x:v>
      </x:c>
      <x:c r="C462" s="3" t="str">
        <x:v>CERAMIC STRAWBERRY CAKE MONEY BANK</x:v>
      </x:c>
      <x:c r="D462" s="13" t="n">
        <x:v>5695.77</x:v>
      </x:c>
      <x:c r="E462" s="13" t="n">
        <x:v>41.9</x:v>
      </x:c>
      <x:c r="F462" s="13" t="n">
        <x:f>D462-E462</x:f>
        <x:v>5653.870000000001</x:v>
      </x:c>
      <x:c r="G462" s="3" t="n">
        <x:v>4168</x:v>
      </x:c>
      <x:c r="H462" s="3" t="n">
        <x:v>31</x:v>
      </x:c>
      <x:c r="I462" s="3" t="n">
        <x:v>390</x:v>
      </x:c>
      <x:c r="J462" s="15" t="n">
        <x:f>IF(D462=0,"n.a.",E462/D462)</x:f>
        <x:v>0.0073563363689193905</x:v>
      </x:c>
      <x:c r="K462" s="15" t="n">
        <x:f>F462/'Datos'!$F$7</x:f>
        <x:v>0.0005773550574770008</x:v>
      </x:c>
      <x:c r="L462" s="3"/>
    </x:row>
    <x:row r="463" ht="22" customHeight="1">
      <x:c r="A463" s="3"/>
      <x:c r="B463" s="3" t="str">
        <x:v>21242</x:v>
      </x:c>
      <x:c r="C463" s="3" t="str">
        <x:v>RED RETROSPOT PLATE</x:v>
      </x:c>
      <x:c r="D463" s="13" t="n">
        <x:v>5704.78</x:v>
      </x:c>
      <x:c r="E463" s="13" t="n">
        <x:v>59.15</x:v>
      </x:c>
      <x:c r="F463" s="13" t="n">
        <x:f>D463-E463</x:f>
        <x:v>5645.63</x:v>
      </x:c>
      <x:c r="G463" s="3" t="n">
        <x:v>3376</x:v>
      </x:c>
      <x:c r="H463" s="3" t="n">
        <x:v>35</x:v>
      </x:c>
      <x:c r="I463" s="3" t="n">
        <x:v>304</x:v>
      </x:c>
      <x:c r="J463" s="15" t="n">
        <x:f>IF(D463=0,"n.a.",E463/D463)</x:f>
        <x:v>0.01036849799641704</x:v>
      </x:c>
      <x:c r="K463" s="15" t="n">
        <x:f>F463/'Datos'!$F$7</x:f>
        <x:v>0.0005765136151244864</x:v>
      </x:c>
      <x:c r="L463" s="3"/>
    </x:row>
    <x:row r="464" ht="22" customHeight="1">
      <x:c r="A464" s="3"/>
      <x:c r="B464" s="3" t="str">
        <x:v>22907</x:v>
      </x:c>
      <x:c r="C464" s="3" t="str">
        <x:v>PACK OF 20 NAPKINS PANTRY DESIGN</x:v>
      </x:c>
      <x:c r="D464" s="13" t="n">
        <x:v>5681.9</x:v>
      </x:c>
      <x:c r="E464" s="13" t="n">
        <x:v>44.2</x:v>
      </x:c>
      <x:c r="F464" s="13" t="n">
        <x:f>D464-E464</x:f>
        <x:v>5637.7</x:v>
      </x:c>
      <x:c r="G464" s="3" t="n">
        <x:v>6587</x:v>
      </x:c>
      <x:c r="H464" s="3" t="n">
        <x:v>52</x:v>
      </x:c>
      <x:c r="I464" s="3" t="n">
        <x:v>670</x:v>
      </x:c>
      <x:c r="J464" s="15" t="n">
        <x:f>IF(D464=0,"n.a.",E464/D464)</x:f>
        <x:v>0.007779087981133073</x:v>
      </x:c>
      <x:c r="K464" s="15" t="n">
        <x:f>F464/'Datos'!$F$7</x:f>
        <x:v>0.0005757038289769816</x:v>
      </x:c>
      <x:c r="L464" s="3"/>
    </x:row>
    <x:row r="465" ht="22" customHeight="1">
      <x:c r="A465" s="3"/>
      <x:c r="B465" s="3" t="str">
        <x:v>22595</x:v>
      </x:c>
      <x:c r="C465" s="3" t="str">
        <x:v>GINGHAM HEART DECORATION</x:v>
      </x:c>
      <x:c r="D465" s="13" t="n">
        <x:v>5731.26</x:v>
      </x:c>
      <x:c r="E465" s="13" t="n">
        <x:v>103.68</x:v>
      </x:c>
      <x:c r="F465" s="13" t="n">
        <x:f>D465-E465</x:f>
        <x:v>5627.58</x:v>
      </x:c>
      <x:c r="G465" s="3" t="n">
        <x:v>6801</x:v>
      </x:c>
      <x:c r="H465" s="3" t="n">
        <x:v>144</x:v>
      </x:c>
      <x:c r="I465" s="3" t="n">
        <x:v>467</x:v>
      </x:c>
      <x:c r="J465" s="15" t="n">
        <x:f>IF(D465=0,"n.a.",E465/D465)</x:f>
        <x:v>0.01809026287413239</x:v>
      </x:c>
      <x:c r="K465" s="15" t="n">
        <x:f>F465/'Datos'!$F$7</x:f>
        <x:v>0.0005746704070586022</x:v>
      </x:c>
      <x:c r="L465" s="3"/>
    </x:row>
    <x:row r="466" ht="22" customHeight="1">
      <x:c r="A466" s="3"/>
      <x:c r="B466" s="3" t="str">
        <x:v>23205</x:v>
      </x:c>
      <x:c r="C466" s="3" t="str">
        <x:v>CHARLOTTE BAG VINTAGE ALPHABET</x:v>
      </x:c>
      <x:c r="D466" s="13" t="n">
        <x:v>5728.08</x:v>
      </x:c>
      <x:c r="E466" s="13" t="n">
        <x:v>140.25</x:v>
      </x:c>
      <x:c r="F466" s="13" t="n">
        <x:f>D466-E466</x:f>
        <x:v>5587.83</x:v>
      </x:c>
      <x:c r="G466" s="3" t="n">
        <x:v>5859</x:v>
      </x:c>
      <x:c r="H466" s="3" t="n">
        <x:v>191</x:v>
      </x:c>
      <x:c r="I466" s="3" t="n">
        <x:v>467</x:v>
      </x:c>
      <x:c r="J466" s="15" t="n">
        <x:f>IF(D466=0,"n.a.",E466/D466)</x:f>
        <x:v>0.02448464406921691</x:v>
      </x:c>
      <x:c r="K466" s="15" t="n">
        <x:f>F466/'Datos'!$F$7</x:f>
        <x:v>0.0005706112646420431</x:v>
      </x:c>
      <x:c r="L466" s="3"/>
    </x:row>
    <x:row r="467" ht="22" customHeight="1">
      <x:c r="A467" s="3"/>
      <x:c r="B467" s="3" t="str">
        <x:v>22466</x:v>
      </x:c>
      <x:c r="C467" s="3" t="str">
        <x:v>FAIRY TALE COTTAGE NIGHT LIGHT</x:v>
      </x:c>
      <x:c r="D467" s="13" t="n">
        <x:v>5607.74</x:v>
      </x:c>
      <x:c r="E467" s="13" t="n">
        <x:v>35.85</x:v>
      </x:c>
      <x:c r="F467" s="13" t="n">
        <x:f>D467-E467</x:f>
        <x:v>5571.889999999999</x:v>
      </x:c>
      <x:c r="G467" s="3" t="n">
        <x:v>3070</x:v>
      </x:c>
      <x:c r="H467" s="3" t="n">
        <x:v>21</x:v>
      </x:c>
      <x:c r="I467" s="3" t="n">
        <x:v>209</x:v>
      </x:c>
      <x:c r="J467" s="15" t="n">
        <x:f>IF(D467=0,"n.a.",E467/D467)</x:f>
        <x:v>0.006392949744460336</x:v>
      </x:c>
      <x:c r="K467" s="15" t="n">
        <x:f>F467/'Datos'!$F$7</x:f>
        <x:v>0.0005689835230038054</x:v>
      </x:c>
      <x:c r="L467" s="3"/>
    </x:row>
    <x:row r="468" ht="22" customHeight="1">
      <x:c r="A468" s="3"/>
      <x:c r="B468" s="3" t="str">
        <x:v>23531</x:v>
      </x:c>
      <x:c r="C468" s="3" t="str">
        <x:v>WALL ART BIG LOVE</x:v>
      </x:c>
      <x:c r="D468" s="13" t="n">
        <x:v>5559.11</x:v>
      </x:c>
      <x:c r="E468" s="13" t="n">
        <x:v>0</x:v>
      </x:c>
      <x:c r="F468" s="13" t="n">
        <x:f>D468-E468</x:f>
        <x:v>5559.11</x:v>
      </x:c>
      <x:c r="G468" s="3" t="n">
        <x:v>979</x:v>
      </x:c>
      <x:c r="H468" s="3" t="n">
        <x:v>0</x:v>
      </x:c>
      <x:c r="I468" s="3" t="n">
        <x:v>112</x:v>
      </x:c>
      <x:c r="J468" s="15" t="n">
        <x:f>IF(D468=0,"n.a.",E468/D468)</x:f>
        <x:v>0</x:v>
      </x:c>
      <x:c r="K468" s="15" t="n">
        <x:f>F468/'Datos'!$F$7</x:f>
        <x:v>0.0005676784704230853</x:v>
      </x:c>
      <x:c r="L468" s="3"/>
    </x:row>
    <x:row r="469" ht="22" customHeight="1">
      <x:c r="A469" s="3"/>
      <x:c r="B469" s="3" t="str">
        <x:v>21558</x:v>
      </x:c>
      <x:c r="C469" s="3" t="str">
        <x:v>SKULL LUNCH BOX WITH CUTLERY</x:v>
      </x:c>
      <x:c r="D469" s="13" t="n">
        <x:v>5568.07</x:v>
      </x:c>
      <x:c r="E469" s="13" t="n">
        <x:v>10.2</x:v>
      </x:c>
      <x:c r="F469" s="13" t="n">
        <x:f>D469-E469</x:f>
        <x:v>5557.87</x:v>
      </x:c>
      <x:c r="G469" s="3" t="n">
        <x:v>2138</x:v>
      </x:c>
      <x:c r="H469" s="3" t="n">
        <x:v>4</x:v>
      </x:c>
      <x:c r="I469" s="3" t="n">
        <x:v>412</x:v>
      </x:c>
      <x:c r="J469" s="15" t="n">
        <x:f>IF(D469=0,"n.a.",E469/D469)</x:f>
        <x:v>0.0018318735217050072</x:v>
      </x:c>
      <x:c r="K469" s="15" t="n">
        <x:f>F469/'Datos'!$F$7</x:f>
        <x:v>0.0005675518456030467</x:v>
      </x:c>
      <x:c r="L469" s="3"/>
    </x:row>
    <x:row r="470" ht="22" customHeight="1">
      <x:c r="A470" s="3"/>
      <x:c r="B470" s="3" t="str">
        <x:v>22207</x:v>
      </x:c>
      <x:c r="C470" s="3" t="str">
        <x:v>FRYING PAN UNION FLAG</x:v>
      </x:c>
      <x:c r="D470" s="13" t="n">
        <x:v>5837.84</x:v>
      </x:c>
      <x:c r="E470" s="13" t="n">
        <x:v>282.25</x:v>
      </x:c>
      <x:c r="F470" s="13" t="n">
        <x:f>D470-E470</x:f>
        <x:v>5555.59</x:v>
      </x:c>
      <x:c r="G470" s="3" t="n">
        <x:v>1334</x:v>
      </x:c>
      <x:c r="H470" s="3" t="n">
        <x:v>75</x:v>
      </x:c>
      <x:c r="I470" s="3" t="n">
        <x:v>208</x:v>
      </x:c>
      <x:c r="J470" s="15" t="n">
        <x:f>IF(D470=0,"n.a.",E470/D470)</x:f>
        <x:v>0.04834836172282899</x:v>
      </x:c>
      <x:c r="K470" s="15" t="n">
        <x:f>F470/'Datos'!$F$7</x:f>
        <x:v>0.0005673190193210404</x:v>
      </x:c>
      <x:c r="L470" s="3"/>
    </x:row>
    <x:row r="471" ht="22" customHeight="1">
      <x:c r="A471" s="3"/>
      <x:c r="B471" s="3" t="str">
        <x:v>22488</x:v>
      </x:c>
      <x:c r="C471" s="3" t="str">
        <x:v>NATURAL SLATE RECTANGLE CHALKBOARD</x:v>
      </x:c>
      <x:c r="D471" s="13" t="n">
        <x:v>5575.33</x:v>
      </x:c>
      <x:c r="E471" s="13" t="n">
        <x:v>57.75</x:v>
      </x:c>
      <x:c r="F471" s="13" t="n">
        <x:f>D471-E471</x:f>
        <x:v>5517.58</x:v>
      </x:c>
      <x:c r="G471" s="3" t="n">
        <x:v>3196</x:v>
      </x:c>
      <x:c r="H471" s="3" t="n">
        <x:v>35</x:v>
      </x:c>
      <x:c r="I471" s="3" t="n">
        <x:v>415</x:v>
      </x:c>
      <x:c r="J471" s="15" t="n">
        <x:f>IF(D471=0,"n.a.",E471/D471)</x:f>
        <x:v>0.010358131267566226</x:v>
      </x:c>
      <x:c r="K471" s="15" t="n">
        <x:f>F471/'Datos'!$F$7</x:f>
        <x:v>0.0005634375601196967</x:v>
      </x:c>
      <x:c r="L471" s="3"/>
    </x:row>
    <x:row r="472" ht="22" customHeight="1">
      <x:c r="A472" s="3"/>
      <x:c r="B472" s="3" t="str">
        <x:v>23133</x:v>
      </x:c>
      <x:c r="C472" s="3" t="str">
        <x:v>LARGE IVORY HEART WALL ORGANISER</x:v>
      </x:c>
      <x:c r="D472" s="13" t="n">
        <x:v>5525.4</x:v>
      </x:c>
      <x:c r="E472" s="13" t="n">
        <x:v>8.25</x:v>
      </x:c>
      <x:c r="F472" s="13" t="n">
        <x:f>D472-E472</x:f>
        <x:v>5517.15</x:v>
      </x:c>
      <x:c r="G472" s="3" t="n">
        <x:v>782</x:v>
      </x:c>
      <x:c r="H472" s="3" t="n">
        <x:v>1</x:v>
      </x:c>
      <x:c r="I472" s="3" t="n">
        <x:v>155</x:v>
      </x:c>
      <x:c r="J472" s="15" t="n">
        <x:f>IF(D472=0,"n.a.",E472/D472)</x:f>
        <x:v>0.0014931045716147248</x:v>
      </x:c>
      <x:c r="K472" s="15" t="n">
        <x:f>F472/'Datos'!$F$7</x:f>
        <x:v>0.0005633936498998446</x:v>
      </x:c>
      <x:c r="L472" s="3"/>
    </x:row>
    <x:row r="473" ht="22" customHeight="1">
      <x:c r="A473" s="3"/>
      <x:c r="B473" s="3" t="str">
        <x:v>22088</x:v>
      </x:c>
      <x:c r="C473" s="3" t="str">
        <x:v>PAPER BUNTING COLOURED LACE</x:v>
      </x:c>
      <x:c r="D473" s="13" t="n">
        <x:v>5661.05</x:v>
      </x:c>
      <x:c r="E473" s="13" t="n">
        <x:v>149.2</x:v>
      </x:c>
      <x:c r="F473" s="13" t="n">
        <x:f>D473-E473</x:f>
        <x:v>5511.85</x:v>
      </x:c>
      <x:c r="G473" s="3" t="n">
        <x:v>1893</x:v>
      </x:c>
      <x:c r="H473" s="3" t="n">
        <x:v>56</x:v>
      </x:c>
      <x:c r="I473" s="3" t="n">
        <x:v>238</x:v>
      </x:c>
      <x:c r="J473" s="15" t="n">
        <x:f>IF(D473=0,"n.a.",E473/D473)</x:f>
        <x:v>0.026355534750620465</x:v>
      </x:c>
      <x:c r="K473" s="15" t="n">
        <x:f>F473/'Datos'!$F$7</x:f>
        <x:v>0.0005628524309109701</x:v>
      </x:c>
      <x:c r="L473" s="3"/>
    </x:row>
    <x:row r="474" ht="22" customHeight="1">
      <x:c r="A474" s="3"/>
      <x:c r="B474" s="3" t="str">
        <x:v>22837</x:v>
      </x:c>
      <x:c r="C474" s="3" t="str">
        <x:v>HOT WATER BOTTLE BABUSHKA</x:v>
      </x:c>
      <x:c r="D474" s="13" t="n">
        <x:v>5662.58</x:v>
      </x:c>
      <x:c r="E474" s="13" t="n">
        <x:v>157.65</x:v>
      </x:c>
      <x:c r="F474" s="13" t="n">
        <x:f>D474-E474</x:f>
        <x:v>5504.93</x:v>
      </x:c>
      <x:c r="G474" s="3" t="n">
        <x:v>1174</x:v>
      </x:c>
      <x:c r="H474" s="3" t="n">
        <x:v>37</x:v>
      </x:c>
      <x:c r="I474" s="3" t="n">
        <x:v>178</x:v>
      </x:c>
      <x:c r="J474" s="15" t="n">
        <x:f>IF(D474=0,"n.a.",E474/D474)</x:f>
        <x:v>0.02784066626873263</x:v>
      </x:c>
      <x:c r="K474" s="15" t="n">
        <x:f>F474/'Datos'!$F$7</x:f>
        <x:v>0.0005621457827217226</x:v>
      </x:c>
      <x:c r="L474" s="3"/>
    </x:row>
    <x:row r="475" ht="22" customHeight="1">
      <x:c r="A475" s="3"/>
      <x:c r="B475" s="3" t="str">
        <x:v>23583</x:v>
      </x:c>
      <x:c r="C475" s="3" t="str">
        <x:v>LUNCH BAG PAISLEY PARK</x:v>
      </x:c>
      <x:c r="D475" s="13" t="n">
        <x:v>5513.83</x:v>
      </x:c>
      <x:c r="E475" s="13" t="n">
        <x:v>16.5</x:v>
      </x:c>
      <x:c r="F475" s="13" t="n">
        <x:f>D475-E475</x:f>
        <x:v>5497.33</x:v>
      </x:c>
      <x:c r="G475" s="3" t="n">
        <x:v>3395</x:v>
      </x:c>
      <x:c r="H475" s="3" t="n">
        <x:v>10</x:v>
      </x:c>
      <x:c r="I475" s="3" t="n">
        <x:v>325</x:v>
      </x:c>
      <x:c r="J475" s="15" t="n">
        <x:f>IF(D475=0,"n.a.",E475/D475)</x:f>
        <x:v>0.002992475284874579</x:v>
      </x:c>
      <x:c r="K475" s="15" t="n">
        <x:f>F475/'Datos'!$F$7</x:f>
        <x:v>0.0005613696951150345</x:v>
      </x:c>
      <x:c r="L475" s="3"/>
    </x:row>
    <x:row r="476" ht="22" customHeight="1">
      <x:c r="A476" s="3"/>
      <x:c r="B476" s="3" t="str">
        <x:v>23177</x:v>
      </x:c>
      <x:c r="C476" s="3" t="str">
        <x:v>TREASURE ISLAND BOOK BOX</x:v>
      </x:c>
      <x:c r="D476" s="13" t="n">
        <x:v>5528.04</x:v>
      </x:c>
      <x:c r="E476" s="13" t="n">
        <x:v>45</x:v>
      </x:c>
      <x:c r="F476" s="13" t="n">
        <x:f>D476-E476</x:f>
        <x:v>5483.04</x:v>
      </x:c>
      <x:c r="G476" s="3" t="n">
        <x:v>2535</x:v>
      </x:c>
      <x:c r="H476" s="3" t="n">
        <x:v>20</x:v>
      </x:c>
      <x:c r="I476" s="3" t="n">
        <x:v>267</x:v>
      </x:c>
      <x:c r="J476" s="15" t="n">
        <x:f>IF(D476=0,"n.a.",E476/D476)</x:f>
        <x:v>0.008140317363839624</x:v>
      </x:c>
      <x:c r="K476" s="15" t="n">
        <x:f>F476/'Datos'!$F$7</x:f>
        <x:v>0.0005599104461808804</x:v>
      </x:c>
      <x:c r="L476" s="3"/>
    </x:row>
    <x:row r="477" ht="22" customHeight="1">
      <x:c r="A477" s="3"/>
      <x:c r="B477" s="3" t="str">
        <x:v>23126</x:v>
      </x:c>
      <x:c r="C477" s="3" t="str">
        <x:v>FELTCRAFT GIRL AMELIE KIT</x:v>
      </x:c>
      <x:c r="D477" s="13" t="n">
        <x:v>5556.79</x:v>
      </x:c>
      <x:c r="E477" s="13" t="n">
        <x:v>79.2</x:v>
      </x:c>
      <x:c r="F477" s="13" t="n">
        <x:f>D477-E477</x:f>
        <x:v>5477.59</x:v>
      </x:c>
      <x:c r="G477" s="3" t="n">
        <x:v>1114</x:v>
      </x:c>
      <x:c r="H477" s="3" t="n">
        <x:v>16</x:v>
      </x:c>
      <x:c r="I477" s="3" t="n">
        <x:v>291</x:v>
      </x:c>
      <x:c r="J477" s="15" t="n">
        <x:f>IF(D477=0,"n.a.",E477/D477)</x:f>
        <x:v>0.014252833020502845</x:v>
      </x:c>
      <x:c r="K477" s="15" t="n">
        <x:f>F477/'Datos'!$F$7</x:f>
        <x:v>0.0005593539096734527</x:v>
      </x:c>
      <x:c r="L477" s="3"/>
    </x:row>
    <x:row r="478" ht="22" customHeight="1">
      <x:c r="A478" s="3"/>
      <x:c r="B478" s="3" t="str">
        <x:v>22904</x:v>
      </x:c>
      <x:c r="C478" s="3" t="str">
        <x:v>CALENDAR PAPER CUT DESIGN</x:v>
      </x:c>
      <x:c r="D478" s="13" t="n">
        <x:v>5479.06</x:v>
      </x:c>
      <x:c r="E478" s="13" t="n">
        <x:v>5.9</x:v>
      </x:c>
      <x:c r="F478" s="13" t="n">
        <x:f>D478-E478</x:f>
        <x:v>5473.160000000001</x:v>
      </x:c>
      <x:c r="G478" s="3" t="n">
        <x:v>1838</x:v>
      </x:c>
      <x:c r="H478" s="3" t="n">
        <x:v>2</x:v>
      </x:c>
      <x:c r="I478" s="3" t="n">
        <x:v>271</x:v>
      </x:c>
      <x:c r="J478" s="15" t="n">
        <x:f>IF(D478=0,"n.a.",E478/D478)</x:f>
        <x:v>0.001076827046975211</x:v>
      </x:c>
      <x:c r="K478" s="15" t="n">
        <x:f>F478/'Datos'!$F$7</x:f>
        <x:v>0.000558901532292186</x:v>
      </x:c>
      <x:c r="L478" s="3"/>
    </x:row>
    <x:row r="479" ht="22" customHeight="1">
      <x:c r="A479" s="3"/>
      <x:c r="B479" s="3" t="str">
        <x:v>22297</x:v>
      </x:c>
      <x:c r="C479" s="3" t="str">
        <x:v>HEART IVORY TRELLIS SMALL</x:v>
      </x:c>
      <x:c r="D479" s="13" t="n">
        <x:v>5468.66</x:v>
      </x:c>
      <x:c r="E479" s="13" t="n">
        <x:v>0</x:v>
      </x:c>
      <x:c r="F479" s="13" t="n">
        <x:f>D479-E479</x:f>
        <x:v>5468.66</x:v>
      </x:c>
      <x:c r="G479" s="3" t="n">
        <x:v>4171</x:v>
      </x:c>
      <x:c r="H479" s="3" t="n">
        <x:v>0</x:v>
      </x:c>
      <x:c r="I479" s="3" t="n">
        <x:v>378</x:v>
      </x:c>
      <x:c r="J479" s="15" t="n">
        <x:f>IF(D479=0,"n.a.",E479/D479)</x:f>
        <x:v>0</x:v>
      </x:c>
      <x:c r="K479" s="15" t="n">
        <x:f>F479/'Datos'!$F$7</x:f>
        <x:v>0.0005584420067355943</x:v>
      </x:c>
      <x:c r="L479" s="3"/>
    </x:row>
    <x:row r="480" ht="22" customHeight="1">
      <x:c r="A480" s="3"/>
      <x:c r="B480" s="3" t="str">
        <x:v>22964</x:v>
      </x:c>
      <x:c r="C480" s="3" t="str">
        <x:v>3 PIECE SPACEBOY COOKIE CUTTER SET</x:v>
      </x:c>
      <x:c r="D480" s="13" t="n">
        <x:v>5481.09</x:v>
      </x:c>
      <x:c r="E480" s="13" t="n">
        <x:v>29.4</x:v>
      </x:c>
      <x:c r="F480" s="13" t="n">
        <x:f>D480-E480</x:f>
        <x:v>5451.6900000000005</x:v>
      </x:c>
      <x:c r="G480" s="3" t="n">
        <x:v>2628</x:v>
      </x:c>
      <x:c r="H480" s="3" t="n">
        <x:v>14</x:v>
      </x:c>
      <x:c r="I480" s="3" t="n">
        <x:v>378</x:v>
      </x:c>
      <x:c r="J480" s="15" t="n">
        <x:f>IF(D480=0,"n.a.",E480/D480)</x:f>
        <x:v>0.005363896597209678</x:v>
      </x:c>
      <x:c r="K480" s="15" t="n">
        <x:f>F480/'Datos'!$F$7</x:f>
        <x:v>0.0005567090848032923</x:v>
      </x:c>
      <x:c r="L480" s="3"/>
    </x:row>
    <x:row r="481" ht="22" customHeight="1">
      <x:c r="A481" s="3"/>
      <x:c r="B481" s="3" t="str">
        <x:v>22418</x:v>
      </x:c>
      <x:c r="C481" s="3" t="str">
        <x:v>10 COLOUR SPACEBOY PEN</x:v>
      </x:c>
      <x:c r="D481" s="13" t="n">
        <x:v>5585.45</x:v>
      </x:c>
      <x:c r="E481" s="13" t="n">
        <x:v>146.2</x:v>
      </x:c>
      <x:c r="F481" s="13" t="n">
        <x:f>D481-E481</x:f>
        <x:v>5439.25</x:v>
      </x:c>
      <x:c r="G481" s="3" t="n">
        <x:v>6564</x:v>
      </x:c>
      <x:c r="H481" s="3" t="n">
        <x:v>172</x:v>
      </x:c>
      <x:c r="I481" s="3" t="n">
        <x:v>318</x:v>
      </x:c>
      <x:c r="J481" s="15" t="n">
        <x:f>IF(D481=0,"n.a.",E481/D481)</x:f>
        <x:v>0.02617515150972616</x:v>
      </x:c>
      <x:c r="K481" s="15" t="n">
        <x:f>F481/'Datos'!$F$7</x:f>
        <x:v>0.0005554387519312924</x:v>
      </x:c>
      <x:c r="L481" s="3"/>
    </x:row>
    <x:row r="482" ht="22" customHeight="1">
      <x:c r="A482" s="3"/>
      <x:c r="B482" s="3" t="str">
        <x:v>23485</x:v>
      </x:c>
      <x:c r="C482" s="3" t="str">
        <x:v>BOTANICAL GARDENS WALL CLOCK</x:v>
      </x:c>
      <x:c r="D482" s="13" t="n">
        <x:v>5843.92</x:v>
      </x:c>
      <x:c r="E482" s="13" t="n">
        <x:v>407.4</x:v>
      </x:c>
      <x:c r="F482" s="13" t="n">
        <x:f>D482-E482</x:f>
        <x:v>5436.52</x:v>
      </x:c>
      <x:c r="G482" s="3" t="n">
        <x:v>262</x:v>
      </x:c>
      <x:c r="H482" s="3" t="n">
        <x:v>18</x:v>
      </x:c>
      <x:c r="I482" s="3" t="n">
        <x:v>83</x:v>
      </x:c>
      <x:c r="J482" s="15" t="n">
        <x:f>IF(D482=0,"n.a.",E482/D482)</x:f>
        <x:v>0.06971347999288148</x:v>
      </x:c>
      <x:c r="K482" s="15" t="n">
        <x:f>F482/'Datos'!$F$7</x:f>
        <x:v>0.0005551599730936269</x:v>
      </x:c>
      <x:c r="L482" s="3"/>
    </x:row>
    <x:row r="483" ht="22" customHeight="1">
      <x:c r="A483" s="3"/>
      <x:c r="B483" s="3" t="str">
        <x:v>22798</x:v>
      </x:c>
      <x:c r="C483" s="3" t="str">
        <x:v>ANTIQUE GLASS DRESSING TABLE POT</x:v>
      </x:c>
      <x:c r="D483" s="13" t="n">
        <x:v>5564.25</x:v>
      </x:c>
      <x:c r="E483" s="13" t="n">
        <x:v>132.75</x:v>
      </x:c>
      <x:c r="F483" s="13" t="n">
        <x:f>D483-E483</x:f>
        <x:v>5431.5</x:v>
      </x:c>
      <x:c r="G483" s="3" t="n">
        <x:v>1799</x:v>
      </x:c>
      <x:c r="H483" s="3" t="n">
        <x:v>45</x:v>
      </x:c>
      <x:c r="I483" s="3" t="n">
        <x:v>267</x:v>
      </x:c>
      <x:c r="J483" s="15" t="n">
        <x:f>IF(D483=0,"n.a.",E483/D483)</x:f>
        <x:v>0.023857662757784066</x:v>
      </x:c>
      <x:c r="K483" s="15" t="n">
        <x:f>F483/'Datos'!$F$7</x:f>
        <x:v>0.0005546473468060513</x:v>
      </x:c>
      <x:c r="L483" s="3"/>
    </x:row>
    <x:row r="484" ht="22" customHeight="1">
      <x:c r="A484" s="3"/>
      <x:c r="B484" s="3" t="str">
        <x:v>23135</x:v>
      </x:c>
      <x:c r="C484" s="3" t="str">
        <x:v>SMALL ZINC HEART WALL ORGANISER</x:v>
      </x:c>
      <x:c r="D484" s="13" t="n">
        <x:v>5416.18</x:v>
      </x:c>
      <x:c r="E484" s="13" t="n">
        <x:v>0</x:v>
      </x:c>
      <x:c r="F484" s="13" t="n">
        <x:f>D484-E484</x:f>
        <x:v>5416.18</x:v>
      </x:c>
      <x:c r="G484" s="3" t="n">
        <x:v>1541</x:v>
      </x:c>
      <x:c r="H484" s="3" t="n">
        <x:v>0</x:v>
      </x:c>
      <x:c r="I484" s="3" t="n">
        <x:v>45</x:v>
      </x:c>
      <x:c r="J484" s="15" t="n">
        <x:f>IF(D484=0,"n.a.",E484/D484)</x:f>
        <x:v>0</x:v>
      </x:c>
      <x:c r="K484" s="15" t="n">
        <x:f>F484/'Datos'!$F$7</x:f>
        <x:v>0.0005530829175778328</x:v>
      </x:c>
      <x:c r="L484" s="3"/>
    </x:row>
    <x:row r="485" ht="22" customHeight="1">
      <x:c r="A485" s="3"/>
      <x:c r="B485" s="3" t="str">
        <x:v>22429</x:v>
      </x:c>
      <x:c r="C485" s="3" t="str">
        <x:v>ENAMEL MEASURING JUG CREAM</x:v>
      </x:c>
      <x:c r="D485" s="13" t="n">
        <x:v>5549.68</x:v>
      </x:c>
      <x:c r="E485" s="13" t="n">
        <x:v>140.25</x:v>
      </x:c>
      <x:c r="F485" s="13" t="n">
        <x:f>D485-E485</x:f>
        <x:v>5409.43</x:v>
      </x:c>
      <x:c r="G485" s="3" t="n">
        <x:v>1272</x:v>
      </x:c>
      <x:c r="H485" s="3" t="n">
        <x:v>33</x:v>
      </x:c>
      <x:c r="I485" s="3" t="n">
        <x:v>376</x:v>
      </x:c>
      <x:c r="J485" s="15" t="n">
        <x:f>IF(D485=0,"n.a.",E485/D485)</x:f>
        <x:v>0.025271727378875897</x:v>
      </x:c>
      <x:c r="K485" s="15" t="n">
        <x:f>F485/'Datos'!$F$7</x:f>
        <x:v>0.0005523936292429455</x:v>
      </x:c>
      <x:c r="L485" s="3"/>
    </x:row>
    <x:row r="486" ht="22" customHeight="1">
      <x:c r="A486" s="3"/>
      <x:c r="B486" s="3" t="str">
        <x:v>23158</x:v>
      </x:c>
      <x:c r="C486" s="3" t="str">
        <x:v>SET OF 5 LUCKY CAT MAGNETS</x:v>
      </x:c>
      <x:c r="D486" s="13" t="n">
        <x:v>5517.99</x:v>
      </x:c>
      <x:c r="E486" s="13" t="n">
        <x:v>124.8</x:v>
      </x:c>
      <x:c r="F486" s="13" t="n">
        <x:f>D486-E486</x:f>
        <x:v>5393.19</x:v>
      </x:c>
      <x:c r="G486" s="3" t="n">
        <x:v>2635</x:v>
      </x:c>
      <x:c r="H486" s="3" t="n">
        <x:v>60</x:v>
      </x:c>
      <x:c r="I486" s="3" t="n">
        <x:v>255</x:v>
      </x:c>
      <x:c r="J486" s="15" t="n">
        <x:f>IF(D486=0,"n.a.",E486/D486)</x:f>
        <x:v>0.02261693116515253</x:v>
      </x:c>
      <x:c r="K486" s="15" t="n">
        <x:f>F486/'Datos'!$F$7</x:f>
        <x:v>0.0005507352525676015</x:v>
      </x:c>
      <x:c r="L486" s="3"/>
    </x:row>
    <x:row r="487" ht="22" customHeight="1">
      <x:c r="A487" s="3"/>
      <x:c r="B487" s="3" t="str">
        <x:v>22349</x:v>
      </x:c>
      <x:c r="C487" s="3" t="str">
        <x:v>DOG BOWL CHASING BALL DESIGN</x:v>
      </x:c>
      <x:c r="D487" s="13" t="n">
        <x:v>5389.02</x:v>
      </x:c>
      <x:c r="E487" s="13" t="n">
        <x:v>48.75</x:v>
      </x:c>
      <x:c r="F487" s="13" t="n">
        <x:f>D487-E487</x:f>
        <x:v>5340.27</x:v>
      </x:c>
      <x:c r="G487" s="3" t="n">
        <x:v>1368</x:v>
      </x:c>
      <x:c r="H487" s="3" t="n">
        <x:v>13</x:v>
      </x:c>
      <x:c r="I487" s="3" t="n">
        <x:v>131</x:v>
      </x:c>
      <x:c r="J487" s="15" t="n">
        <x:f>IF(D487=0,"n.a.",E487/D487)</x:f>
        <x:v>0.009046171660153422</x:v>
      </x:c>
      <x:c r="K487" s="15" t="n">
        <x:f>F487/'Datos'!$F$7</x:f>
        <x:v>0.0005453312320220845</x:v>
      </x:c>
      <x:c r="L487" s="3"/>
    </x:row>
    <x:row r="488" ht="22" customHeight="1">
      <x:c r="A488" s="3"/>
      <x:c r="B488" s="3" t="str">
        <x:v>22464</x:v>
      </x:c>
      <x:c r="C488" s="3" t="str">
        <x:v>HANGING METAL HEART LANTERN</x:v>
      </x:c>
      <x:c r="D488" s="13" t="n">
        <x:v>5519.42</x:v>
      </x:c>
      <x:c r="E488" s="13" t="n">
        <x:v>186.9</x:v>
      </x:c>
      <x:c r="F488" s="13" t="n">
        <x:f>D488-E488</x:f>
        <x:v>5332.52</x:v>
      </x:c>
      <x:c r="G488" s="3" t="n">
        <x:v>3423</x:v>
      </x:c>
      <x:c r="H488" s="3" t="n">
        <x:v>122</x:v>
      </x:c>
      <x:c r="I488" s="3" t="n">
        <x:v>351</x:v>
      </x:c>
      <x:c r="J488" s="15" t="n">
        <x:f>IF(D488=0,"n.a.",E488/D488)</x:f>
        <x:v>0.033862253642592884</x:v>
      </x:c>
      <x:c r="K488" s="15" t="n">
        <x:f>F488/'Datos'!$F$7</x:f>
        <x:v>0.0005445398268968434</x:v>
      </x:c>
      <x:c r="L488" s="3"/>
    </x:row>
    <x:row r="489" ht="22" customHeight="1">
      <x:c r="A489" s="3"/>
      <x:c r="B489" s="3" t="str">
        <x:v>21172</x:v>
      </x:c>
      <x:c r="C489" s="3" t="str">
        <x:v>PARTY METAL SIGN</x:v>
      </x:c>
      <x:c r="D489" s="13" t="n">
        <x:v>5345.88</x:v>
      </x:c>
      <x:c r="E489" s="13" t="n">
        <x:v>18.85</x:v>
      </x:c>
      <x:c r="F489" s="13" t="n">
        <x:f>D489-E489</x:f>
        <x:v>5327.03</x:v>
      </x:c>
      <x:c r="G489" s="3" t="n">
        <x:v>3490</x:v>
      </x:c>
      <x:c r="H489" s="3" t="n">
        <x:v>13</x:v>
      </x:c>
      <x:c r="I489" s="3" t="n">
        <x:v>467</x:v>
      </x:c>
      <x:c r="J489" s="15" t="n">
        <x:f>IF(D489=0,"n.a.",E489/D489)</x:f>
        <x:v>0.0035260798970422084</x:v>
      </x:c>
      <x:c r="K489" s="15" t="n">
        <x:f>F489/'Datos'!$F$7</x:f>
        <x:v>0.0005439792057178016</x:v>
      </x:c>
      <x:c r="L489" s="3"/>
    </x:row>
    <x:row r="490" ht="22" customHeight="1">
      <x:c r="A490" s="3"/>
      <x:c r="B490" s="3" t="str">
        <x:v>22845</x:v>
      </x:c>
      <x:c r="C490" s="3" t="str">
        <x:v>VINTAGE CREAM CAT FOOD CONTAINER</x:v>
      </x:c>
      <x:c r="D490" s="13" t="n">
        <x:v>5403.28</x:v>
      </x:c>
      <x:c r="E490" s="13" t="n">
        <x:v>88.1</x:v>
      </x:c>
      <x:c r="F490" s="13" t="n">
        <x:f>D490-E490</x:f>
        <x:v>5315.179999999999</x:v>
      </x:c>
      <x:c r="G490" s="3" t="n">
        <x:v>803</x:v>
      </x:c>
      <x:c r="H490" s="3" t="n">
        <x:v>14</x:v>
      </x:c>
      <x:c r="I490" s="3" t="n">
        <x:v>316</x:v>
      </x:c>
      <x:c r="J490" s="15" t="n">
        <x:f>IF(D490=0,"n.a.",E490/D490)</x:f>
        <x:v>0.016304911091040996</x:v>
      </x:c>
      <x:c r="K490" s="15" t="n">
        <x:f>F490/'Datos'!$F$7</x:f>
        <x:v>0.0005427691217521104</x:v>
      </x:c>
      <x:c r="L490" s="3"/>
    </x:row>
    <x:row r="491" ht="22" customHeight="1">
      <x:c r="A491" s="3"/>
      <x:c r="B491" s="3" t="str">
        <x:v>22796</x:v>
      </x:c>
      <x:c r="C491" s="3" t="str">
        <x:v>PHOTO FRAME 3 CLASSIC HANGING</x:v>
      </x:c>
      <x:c r="D491" s="13" t="n">
        <x:v>5807.35</x:v>
      </x:c>
      <x:c r="E491" s="13" t="n">
        <x:v>524.05</x:v>
      </x:c>
      <x:c r="F491" s="13" t="n">
        <x:f>D491-E491</x:f>
        <x:v>5283.3</x:v>
      </x:c>
      <x:c r="G491" s="3" t="n">
        <x:v>584</x:v>
      </x:c>
      <x:c r="H491" s="3" t="n">
        <x:v>55</x:v>
      </x:c>
      <x:c r="I491" s="3" t="n">
        <x:v>232</x:v>
      </x:c>
      <x:c r="J491" s="15" t="n">
        <x:f>IF(D491=0,"n.a.",E491/D491)</x:f>
        <x:v>0.09023909356246823</x:v>
      </x:c>
      <x:c r="K491" s="15" t="n">
        <x:f>F491/'Datos'!$F$7</x:f>
        <x:v>0.0005395136384756349</x:v>
      </x:c>
      <x:c r="L491" s="3"/>
    </x:row>
    <x:row r="492" ht="22" customHeight="1">
      <x:c r="A492" s="3"/>
      <x:c r="B492" s="3" t="str">
        <x:v>22296</x:v>
      </x:c>
      <x:c r="C492" s="3" t="str">
        <x:v>HEART IVORY TRELLIS LARGE</x:v>
      </x:c>
      <x:c r="D492" s="13" t="n">
        <x:v>5274.12</x:v>
      </x:c>
      <x:c r="E492" s="13" t="n">
        <x:v>1.65</x:v>
      </x:c>
      <x:c r="F492" s="13" t="n">
        <x:f>D492-E492</x:f>
        <x:v>5272.47</x:v>
      </x:c>
      <x:c r="G492" s="3" t="n">
        <x:v>3156</x:v>
      </x:c>
      <x:c r="H492" s="3" t="n">
        <x:v>1</x:v>
      </x:c>
      <x:c r="I492" s="3" t="n">
        <x:v>318</x:v>
      </x:c>
      <x:c r="J492" s="15" t="n">
        <x:f>IF(D492=0,"n.a.",E492/D492)</x:f>
        <x:v>0.00031284839935382584</x:v>
      </x:c>
      <x:c r="K492" s="15" t="n">
        <x:f>F492/'Datos'!$F$7</x:f>
        <x:v>0.0005384077136361045</x:v>
      </x:c>
      <x:c r="L492" s="3"/>
    </x:row>
    <x:row r="493" ht="22" customHeight="1">
      <x:c r="A493" s="3"/>
      <x:c r="B493" s="3" t="str">
        <x:v>22998</x:v>
      </x:c>
      <x:c r="C493" s="3" t="str">
        <x:v>TRAVEL CARD WALLET KEEP CALM</x:v>
      </x:c>
      <x:c r="D493" s="13" t="n">
        <x:v>5314.9</x:v>
      </x:c>
      <x:c r="E493" s="13" t="n">
        <x:v>74.34</x:v>
      </x:c>
      <x:c r="F493" s="13" t="n">
        <x:f>D493-E493</x:f>
        <x:v>5240.5599999999995</x:v>
      </x:c>
      <x:c r="G493" s="3" t="n">
        <x:v>12490</x:v>
      </x:c>
      <x:c r="H493" s="3" t="n">
        <x:v>177</x:v>
      </x:c>
      <x:c r="I493" s="3" t="n">
        <x:v>534</x:v>
      </x:c>
      <x:c r="J493" s="15" t="n">
        <x:f>IF(D493=0,"n.a.",E493/D493)</x:f>
        <x:v>0.013987092889800374</x:v>
      </x:c>
      <x:c r="K493" s="15" t="n">
        <x:f>F493/'Datos'!$F$7</x:f>
        <x:v>0.0005351491668559183</x:v>
      </x:c>
      <x:c r="L493" s="3"/>
    </x:row>
    <x:row r="494" ht="22" customHeight="1">
      <x:c r="A494" s="3"/>
      <x:c r="B494" s="3" t="str">
        <x:v>22772</x:v>
      </x:c>
      <x:c r="C494" s="3" t="str">
        <x:v>PINK DRAWER KNOB ACRYLIC EDWARDIAN</x:v>
      </x:c>
      <x:c r="D494" s="13" t="n">
        <x:v>5211.7</x:v>
      </x:c>
      <x:c r="E494" s="13" t="n">
        <x:v>3.75</x:v>
      </x:c>
      <x:c r="F494" s="13" t="n">
        <x:f>D494-E494</x:f>
        <x:v>5207.95</x:v>
      </x:c>
      <x:c r="G494" s="3" t="n">
        <x:v>3869</x:v>
      </x:c>
      <x:c r="H494" s="3" t="n">
        <x:v>3</x:v>
      </x:c>
      <x:c r="I494" s="3" t="n">
        <x:v>254</x:v>
      </x:c>
      <x:c r="J494" s="15" t="n">
        <x:f>IF(D494=0,"n.a.",E494/D494)</x:f>
        <x:v>0.000719534892645394</x:v>
      </x:c>
      <x:c r="K494" s="15" t="n">
        <x:f>F494/'Datos'!$F$7</x:f>
        <x:v>0.0005318191383224845</x:v>
      </x:c>
      <x:c r="L494" s="3"/>
    </x:row>
    <x:row r="495" ht="22" customHeight="1">
      <x:c r="A495" s="3"/>
      <x:c r="B495" s="3" t="str">
        <x:v>23132</x:v>
      </x:c>
      <x:c r="C495" s="3" t="str">
        <x:v>SMALL IVORY HEART WALL ORGANISER</x:v>
      </x:c>
      <x:c r="D495" s="13" t="n">
        <x:v>5219.1</x:v>
      </x:c>
      <x:c r="E495" s="13" t="n">
        <x:v>23</x:v>
      </x:c>
      <x:c r="F495" s="13" t="n">
        <x:f>D495-E495</x:f>
        <x:v>5196.1</x:v>
      </x:c>
      <x:c r="G495" s="3" t="n">
        <x:v>1034</x:v>
      </x:c>
      <x:c r="H495" s="3" t="n">
        <x:v>4</x:v>
      </x:c>
      <x:c r="I495" s="3" t="n">
        <x:v>152</x:v>
      </x:c>
      <x:c r="J495" s="15" t="n">
        <x:f>IF(D495=0,"n.a.",E495/D495)</x:f>
        <x:v>0.00440689007683317</x:v>
      </x:c>
      <x:c r="K495" s="15" t="n">
        <x:f>F495/'Datos'!$F$7</x:f>
        <x:v>0.0005306090543567934</x:v>
      </x:c>
      <x:c r="L495" s="3"/>
    </x:row>
    <x:row r="496" ht="22" customHeight="1">
      <x:c r="A496" s="3"/>
      <x:c r="B496" s="3" t="str">
        <x:v>22898</x:v>
      </x:c>
      <x:c r="C496" s="3" t="str">
        <x:v>CHILDRENS APRON APPLES DESIGN</x:v>
      </x:c>
      <x:c r="D496" s="13" t="n">
        <x:v>5174.32</x:v>
      </x:c>
      <x:c r="E496" s="13" t="n">
        <x:v>0</x:v>
      </x:c>
      <x:c r="F496" s="13" t="n">
        <x:f>D496-E496</x:f>
        <x:v>5174.32</x:v>
      </x:c>
      <x:c r="G496" s="3" t="n">
        <x:v>2426</x:v>
      </x:c>
      <x:c r="H496" s="3" t="n">
        <x:v>0</x:v>
      </x:c>
      <x:c r="I496" s="3" t="n">
        <x:v>365</x:v>
      </x:c>
      <x:c r="J496" s="15" t="n">
        <x:f>IF(D496=0,"n.a.",E496/D496)</x:f>
        <x:v>0</x:v>
      </x:c>
      <x:c r="K496" s="15" t="n">
        <x:f>F496/'Datos'!$F$7</x:f>
        <x:v>0.00052838495066289</x:v>
      </x:c>
      <x:c r="L496" s="3"/>
    </x:row>
    <x:row r="497" ht="22" customHeight="1">
      <x:c r="A497" s="3"/>
      <x:c r="B497" s="3" t="str">
        <x:v>22623</x:v>
      </x:c>
      <x:c r="C497" s="3" t="str">
        <x:v>BOX OF VINTAGE JIGSAW BLOCKS</x:v>
      </x:c>
      <x:c r="D497" s="13" t="n">
        <x:v>5248.21</x:v>
      </x:c>
      <x:c r="E497" s="13" t="n">
        <x:v>85.2</x:v>
      </x:c>
      <x:c r="F497" s="13" t="n">
        <x:f>D497-E497</x:f>
        <x:v>5163.01</x:v>
      </x:c>
      <x:c r="G497" s="3" t="n">
        <x:v>939</x:v>
      </x:c>
      <x:c r="H497" s="3" t="n">
        <x:v>16</x:v>
      </x:c>
      <x:c r="I497" s="3" t="n">
        <x:v>235</x:v>
      </x:c>
      <x:c r="J497" s="15" t="n">
        <x:f>IF(D497=0,"n.a.",E497/D497)</x:f>
        <x:v>0.01623410648583041</x:v>
      </x:c>
      <x:c r="K497" s="15" t="n">
        <x:f>F497/'Datos'!$F$7</x:f>
        <x:v>0.0005272300097639899</x:v>
      </x:c>
      <x:c r="L497" s="3"/>
    </x:row>
    <x:row r="498" ht="22" customHeight="1">
      <x:c r="A498" s="3"/>
      <x:c r="B498" s="3" t="str">
        <x:v>22120</x:v>
      </x:c>
      <x:c r="C498" s="3" t="str">
        <x:v>WELCOME WOODEN BLOCK LETTERS</x:v>
      </x:c>
      <x:c r="D498" s="13" t="n">
        <x:v>5276.94</x:v>
      </x:c>
      <x:c r="E498" s="13" t="n">
        <x:v>119.4</x:v>
      </x:c>
      <x:c r="F498" s="13" t="n">
        <x:f>D498-E498</x:f>
        <x:v>5157.54</x:v>
      </x:c>
      <x:c r="G498" s="3" t="n">
        <x:v>526</x:v>
      </x:c>
      <x:c r="H498" s="3" t="n">
        <x:v>12</x:v>
      </x:c>
      <x:c r="I498" s="3" t="n">
        <x:v>188</x:v>
      </x:c>
      <x:c r="J498" s="15" t="n">
        <x:f>IF(D498=0,"n.a.",E498/D498)</x:f>
        <x:v>0.022626749593514427</x:v>
      </x:c>
      <x:c r="K498" s="15" t="n">
        <x:f>F498/'Datos'!$F$7</x:f>
        <x:v>0.0005266714309207552</x:v>
      </x:c>
      <x:c r="L498" s="3"/>
    </x:row>
    <x:row r="499" ht="22" customHeight="1">
      <x:c r="A499" s="3"/>
      <x:c r="B499" s="3" t="str">
        <x:v>21164</x:v>
      </x:c>
      <x:c r="C499" s="3" t="str">
        <x:v>HOME SWEET HOME METAL SIGN</x:v>
      </x:c>
      <x:c r="D499" s="13" t="n">
        <x:v>5161.88</x:v>
      </x:c>
      <x:c r="E499" s="13" t="n">
        <x:v>17.7</x:v>
      </x:c>
      <x:c r="F499" s="13" t="n">
        <x:f>D499-E499</x:f>
        <x:v>5144.18</x:v>
      </x:c>
      <x:c r="G499" s="3" t="n">
        <x:v>1768</x:v>
      </x:c>
      <x:c r="H499" s="3" t="n">
        <x:v>6</x:v>
      </x:c>
      <x:c r="I499" s="3" t="n">
        <x:v>282</x:v>
      </x:c>
      <x:c r="J499" s="15" t="n">
        <x:f>IF(D499=0,"n.a.",E499/D499)</x:f>
        <x:v>0.0034289832386649823</x:v>
      </x:c>
      <x:c r="K499" s="15" t="n">
        <x:f>F499/'Datos'!$F$7</x:f>
        <x:v>0.0005253071506016299</x:v>
      </x:c>
      <x:c r="L499" s="3"/>
    </x:row>
    <x:row r="500" ht="22" customHeight="1">
      <x:c r="A500" s="3"/>
      <x:c r="B500" s="3" t="str">
        <x:v>23162</x:v>
      </x:c>
      <x:c r="C500" s="3" t="str">
        <x:v>REGENCY TEA STRAINER</x:v>
      </x:c>
      <x:c r="D500" s="13" t="n">
        <x:v>5143.69</x:v>
      </x:c>
      <x:c r="E500" s="13" t="n">
        <x:v>0</x:v>
      </x:c>
      <x:c r="F500" s="13" t="n">
        <x:f>D500-E500</x:f>
        <x:v>5143.69</x:v>
      </x:c>
      <x:c r="G500" s="3" t="n">
        <x:v>1412</x:v>
      </x:c>
      <x:c r="H500" s="3" t="n">
        <x:v>0</x:v>
      </x:c>
      <x:c r="I500" s="3" t="n">
        <x:v>176</x:v>
      </x:c>
      <x:c r="J500" s="15" t="n">
        <x:f>IF(D500=0,"n.a.",E500/D500)</x:f>
        <x:v>0</x:v>
      </x:c>
      <x:c r="K500" s="15" t="n">
        <x:f>F500/'Datos'!$F$7</x:f>
        <x:v>0.0005252571133743566</x:v>
      </x:c>
      <x:c r="L500" s="3"/>
    </x:row>
    <x:row r="501" ht="22" customHeight="1">
      <x:c r="A501" s="3"/>
      <x:c r="B501" s="3" t="str">
        <x:v>22665</x:v>
      </x:c>
      <x:c r="C501" s="3" t="str">
        <x:v>RECIPE BOX BLUE SKETCHBOOK DESIGN</x:v>
      </x:c>
      <x:c r="D501" s="13" t="n">
        <x:v>5195.03</x:v>
      </x:c>
      <x:c r="E501" s="13" t="n">
        <x:v>62.1</x:v>
      </x:c>
      <x:c r="F501" s="13" t="n">
        <x:f>D501-E501</x:f>
        <x:v>5132.929999999999</x:v>
      </x:c>
      <x:c r="G501" s="3" t="n">
        <x:v>1517</x:v>
      </x:c>
      <x:c r="H501" s="3" t="n">
        <x:v>22</x:v>
      </x:c>
      <x:c r="I501" s="3" t="n">
        <x:v>356</x:v>
      </x:c>
      <x:c r="J501" s="15" t="n">
        <x:f>IF(D501=0,"n.a.",E501/D501)</x:f>
        <x:v>0.011953732702217312</x:v>
      </x:c>
      <x:c r="K501" s="15" t="n">
        <x:f>F501/'Datos'!$F$7</x:f>
        <x:v>0.0005241583367101509</x:v>
      </x:c>
      <x:c r="L501" s="3"/>
    </x:row>
    <x:row r="502" ht="22" customHeight="1">
      <x:c r="A502" s="3"/>
      <x:c r="B502" s="3" t="str">
        <x:v>23263</x:v>
      </x:c>
      <x:c r="C502" s="3" t="str">
        <x:v>SET OF 3 WOODEN HEART DECORATIONS</x:v>
      </x:c>
      <x:c r="D502" s="13" t="n">
        <x:v>5184.69</x:v>
      </x:c>
      <x:c r="E502" s="13" t="n">
        <x:v>58.75</x:v>
      </x:c>
      <x:c r="F502" s="13" t="n">
        <x:f>D502-E502</x:f>
        <x:v>5125.94</x:v>
      </x:c>
      <x:c r="G502" s="3" t="n">
        <x:v>3893</x:v>
      </x:c>
      <x:c r="H502" s="3" t="n">
        <x:v>47</x:v>
      </x:c>
      <x:c r="I502" s="3" t="n">
        <x:v>445</x:v>
      </x:c>
      <x:c r="J502" s="15" t="n">
        <x:f>IF(D502=0,"n.a.",E502/D502)</x:f>
        <x:v>0.011331439295309846</x:v>
      </x:c>
      <x:c r="K502" s="15" t="n">
        <x:f>F502/'Datos'!$F$7</x:f>
        <x:v>0.0005234445403455787</x:v>
      </x:c>
      <x:c r="L502" s="3"/>
    </x:row>
    <x:row r="503" ht="22" customHeight="1">
      <x:c r="A503" s="3"/>
      <x:c r="B503" s="3" t="str">
        <x:v>21844</x:v>
      </x:c>
      <x:c r="C503" s="3" t="str">
        <x:v>RED RETROSPOT MUG</x:v>
      </x:c>
      <x:c r="D503" s="13" t="n">
        <x:v>5170.64</x:v>
      </x:c>
      <x:c r="E503" s="13" t="n">
        <x:v>58.6</x:v>
      </x:c>
      <x:c r="F503" s="13" t="n">
        <x:f>D503-E503</x:f>
        <x:v>5112.04</x:v>
      </x:c>
      <x:c r="G503" s="3" t="n">
        <x:v>1848</x:v>
      </x:c>
      <x:c r="H503" s="3" t="n">
        <x:v>20</x:v>
      </x:c>
      <x:c r="I503" s="3" t="n">
        <x:v>156</x:v>
      </x:c>
      <x:c r="J503" s="15" t="n">
        <x:f>IF(D503=0,"n.a.",E503/D503)</x:f>
        <x:v>0.011333219872201506</x:v>
      </x:c>
      <x:c r="K503" s="15" t="n">
        <x:f>F503/'Datos'!$F$7</x:f>
        <x:v>0.0005220251169596624</x:v>
      </x:c>
      <x:c r="L503" s="3"/>
    </x:row>
    <x:row r="504" ht="22" customHeight="1">
      <x:c r="A504" s="3"/>
      <x:c r="B504" s="3" t="str">
        <x:v>22302</x:v>
      </x:c>
      <x:c r="C504" s="3" t="str">
        <x:v>COFFEE MUG PEARS DESIGN</x:v>
      </x:c>
      <x:c r="D504" s="13" t="n">
        <x:v>5136.84</x:v>
      </x:c>
      <x:c r="E504" s="13" t="n">
        <x:v>30.6</x:v>
      </x:c>
      <x:c r="F504" s="13" t="n">
        <x:f>D504-E504</x:f>
        <x:v>5106.24</x:v>
      </x:c>
      <x:c r="G504" s="3" t="n">
        <x:v>2330</x:v>
      </x:c>
      <x:c r="H504" s="3" t="n">
        <x:v>12</x:v>
      </x:c>
      <x:c r="I504" s="3" t="n">
        <x:v>212</x:v>
      </x:c>
      <x:c r="J504" s="15" t="n">
        <x:f>IF(D504=0,"n.a.",E504/D504)</x:f>
        <x:v>0.00595696965449576</x:v>
      </x:c>
      <x:c r="K504" s="15" t="n">
        <x:f>F504/'Datos'!$F$7</x:f>
        <x:v>0.000521432839575611</x:v>
      </x:c>
      <x:c r="L504" s="3"/>
    </x:row>
    <x:row r="505" ht="22" customHeight="1">
      <x:c r="A505" s="3"/>
      <x:c r="B505" s="3" t="str">
        <x:v>21756</x:v>
      </x:c>
      <x:c r="C505" s="3" t="str">
        <x:v>BATH BUILDING BLOCK WORD</x:v>
      </x:c>
      <x:c r="D505" s="13" t="n">
        <x:v>5089.56</x:v>
      </x:c>
      <x:c r="E505" s="13" t="n">
        <x:v>11.9</x:v>
      </x:c>
      <x:c r="F505" s="13" t="n">
        <x:f>D505-E505</x:f>
        <x:v>5077.660000000001</x:v>
      </x:c>
      <x:c r="G505" s="3" t="n">
        <x:v>823</x:v>
      </x:c>
      <x:c r="H505" s="3" t="n">
        <x:v>2</x:v>
      </x:c>
      <x:c r="I505" s="3" t="n">
        <x:v>270</x:v>
      </x:c>
      <x:c r="J505" s="15" t="n">
        <x:f>IF(D505=0,"n.a.",E505/D505)</x:f>
        <x:v>0.002338119601694449</x:v>
      </x:c>
      <x:c r="K505" s="15" t="n">
        <x:f>F505/'Datos'!$F$7</x:f>
        <x:v>0.0005185143417073027</x:v>
      </x:c>
      <x:c r="L505" s="3"/>
    </x:row>
    <x:row r="506" ht="22" customHeight="1">
      <x:c r="A506" s="3"/>
      <x:c r="B506" s="3" t="str">
        <x:v>23295</x:v>
      </x:c>
      <x:c r="C506" s="3" t="str">
        <x:v>SET OF 12 MINI LOAF BAKING CASES</x:v>
      </x:c>
      <x:c r="D506" s="13" t="n">
        <x:v>5078.43</x:v>
      </x:c>
      <x:c r="E506" s="13" t="n">
        <x:v>10.79</x:v>
      </x:c>
      <x:c r="F506" s="13" t="n">
        <x:f>D506-E506</x:f>
        <x:v>5067.64</x:v>
      </x:c>
      <x:c r="G506" s="3" t="n">
        <x:v>6140</x:v>
      </x:c>
      <x:c r="H506" s="3" t="n">
        <x:v>13</x:v>
      </x:c>
      <x:c r="I506" s="3" t="n">
        <x:v>444</x:v>
      </x:c>
      <x:c r="J506" s="15" t="n">
        <x:f>IF(D506=0,"n.a.",E506/D506)</x:f>
        <x:v>0.002124672388907595</x:v>
      </x:c>
      <x:c r="K506" s="15" t="n">
        <x:f>F506/'Datos'!$F$7</x:f>
        <x:v>0.0005174911314679587</x:v>
      </x:c>
      <x:c r="L506" s="3"/>
    </x:row>
    <x:row r="507" ht="22" customHeight="1">
      <x:c r="A507" s="3"/>
      <x:c r="B507" s="3" t="str">
        <x:v>21098</x:v>
      </x:c>
      <x:c r="C507" s="3" t="str">
        <x:v>CHRISTMAS TOILET ROLL</x:v>
      </x:c>
      <x:c r="D507" s="13" t="n">
        <x:v>5093.76</x:v>
      </x:c>
      <x:c r="E507" s="13" t="n">
        <x:v>41.91</x:v>
      </x:c>
      <x:c r="F507" s="13" t="n">
        <x:f>D507-E507</x:f>
        <x:v>5051.85</x:v>
      </x:c>
      <x:c r="G507" s="3" t="n">
        <x:v>3731</x:v>
      </x:c>
      <x:c r="H507" s="3" t="n">
        <x:v>39</x:v>
      </x:c>
      <x:c r="I507" s="3" t="n">
        <x:v>248</x:v>
      </x:c>
      <x:c r="J507" s="15" t="n">
        <x:f>IF(D507=0,"n.a.",E507/D507)</x:f>
        <x:v>0.008227713908782509</x:v>
      </x:c>
      <x:c r="K507" s="15" t="n">
        <x:f>F507/'Datos'!$F$7</x:f>
        <x:v>0.000515878707348274</x:v>
      </x:c>
      <x:c r="L507" s="3"/>
    </x:row>
    <x:row r="508" ht="22" customHeight="1">
      <x:c r="A508" s="3"/>
      <x:c r="B508" s="3" t="str">
        <x:v>22848</x:v>
      </x:c>
      <x:c r="C508" s="3" t="str">
        <x:v>BREAD BIN DINER STYLE PINK</x:v>
      </x:c>
      <x:c r="D508" s="13" t="n">
        <x:v>5225.4</x:v>
      </x:c>
      <x:c r="E508" s="13" t="n">
        <x:v>176.45</x:v>
      </x:c>
      <x:c r="F508" s="13" t="n">
        <x:f>D508-E508</x:f>
        <x:v>5048.95</x:v>
      </x:c>
      <x:c r="G508" s="3" t="n">
        <x:v>324</x:v>
      </x:c>
      <x:c r="H508" s="3" t="n">
        <x:v>11</x:v>
      </x:c>
      <x:c r="I508" s="3" t="n">
        <x:v>128</x:v>
      </x:c>
      <x:c r="J508" s="15" t="n">
        <x:f>IF(D508=0,"n.a.",E508/D508)</x:f>
        <x:v>0.03376774983733303</x:v>
      </x:c>
      <x:c r="K508" s="15" t="n">
        <x:f>F508/'Datos'!$F$7</x:f>
        <x:v>0.0005155825686562483</x:v>
      </x:c>
      <x:c r="L508" s="3"/>
    </x:row>
    <x:row r="509" ht="22" customHeight="1">
      <x:c r="A509" s="3"/>
      <x:c r="B509" s="3" t="str">
        <x:v>23234</x:v>
      </x:c>
      <x:c r="C509" s="3" t="str">
        <x:v>BISCUIT TIN VINTAGE CHRISTMAS</x:v>
      </x:c>
      <x:c r="D509" s="13" t="n">
        <x:v>5088.45</x:v>
      </x:c>
      <x:c r="E509" s="13" t="n">
        <x:v>46.24</x:v>
      </x:c>
      <x:c r="F509" s="13" t="n">
        <x:f>D509-E509</x:f>
        <x:v>5042.21</x:v>
      </x:c>
      <x:c r="G509" s="3" t="n">
        <x:v>1725</x:v>
      </x:c>
      <x:c r="H509" s="3" t="n">
        <x:v>16</x:v>
      </x:c>
      <x:c r="I509" s="3" t="n">
        <x:v>277</x:v>
      </x:c>
      <x:c r="J509" s="15" t="n">
        <x:f>IF(D509=0,"n.a.",E509/D509)</x:f>
        <x:v>0.009087246607513094</x:v>
      </x:c>
      <x:c r="K509" s="15" t="n">
        <x:f>F509/'Datos'!$F$7</x:f>
        <x:v>0.0005148943014892644</x:v>
      </x:c>
      <x:c r="L509" s="3"/>
    </x:row>
    <x:row r="510" ht="22" customHeight="1">
      <x:c r="A510" s="3"/>
      <x:c r="B510" s="3" t="str">
        <x:v>23397</x:v>
      </x:c>
      <x:c r="C510" s="3" t="str">
        <x:v>FOOT STOOL HOME SWEET HOME</x:v>
      </x:c>
      <x:c r="D510" s="13" t="n">
        <x:v>5097.65</x:v>
      </x:c>
      <x:c r="E510" s="13" t="n">
        <x:v>59.7</x:v>
      </x:c>
      <x:c r="F510" s="13" t="n">
        <x:f>D510-E510</x:f>
        <x:v>5037.95</x:v>
      </x:c>
      <x:c r="G510" s="3" t="n">
        <x:v>489</x:v>
      </x:c>
      <x:c r="H510" s="3" t="n">
        <x:v>6</x:v>
      </x:c>
      <x:c r="I510" s="3" t="n">
        <x:v>217</x:v>
      </x:c>
      <x:c r="J510" s="15" t="n">
        <x:f>IF(D510=0,"n.a.",E510/D510)</x:f>
        <x:v>0.011711278726472003</x:v>
      </x:c>
      <x:c r="K510" s="15" t="n">
        <x:f>F510/'Datos'!$F$7</x:f>
        <x:v>0.0005144592839623577</x:v>
      </x:c>
      <x:c r="L510" s="3"/>
    </x:row>
    <x:row r="511" ht="22" customHeight="1">
      <x:c r="A511" s="3"/>
      <x:c r="B511" s="3" t="str">
        <x:v>22371</x:v>
      </x:c>
      <x:c r="C511" s="3" t="str">
        <x:v>AIRLINE BAG VINTAGE TOKYO 78</x:v>
      </x:c>
      <x:c r="D511" s="13" t="n">
        <x:v>5093.57</x:v>
      </x:c>
      <x:c r="E511" s="13" t="n">
        <x:v>57.78</x:v>
      </x:c>
      <x:c r="F511" s="13" t="n">
        <x:f>D511-E511</x:f>
        <x:v>5035.79</x:v>
      </x:c>
      <x:c r="G511" s="3" t="n">
        <x:v>1091</x:v>
      </x:c>
      <x:c r="H511" s="3" t="n">
        <x:v>14</x:v>
      </x:c>
      <x:c r="I511" s="3" t="n">
        <x:v>392</x:v>
      </x:c>
      <x:c r="J511" s="15" t="n">
        <x:f>IF(D511=0,"n.a.",E511/D511)</x:f>
        <x:v>0.01134371374104999</x:v>
      </x:c>
      <x:c r="K511" s="15" t="n">
        <x:f>F511/'Datos'!$F$7</x:f>
        <x:v>0.0005142387116951938</x:v>
      </x:c>
      <x:c r="L511" s="3"/>
    </x:row>
    <x:row r="512" ht="22" customHeight="1">
      <x:c r="A512" s="3"/>
      <x:c r="B512" s="3" t="str">
        <x:v>21428</x:v>
      </x:c>
      <x:c r="C512" s="3" t="str">
        <x:v>SET3 BOOK BOX GREEN GINGHAM FLOWER</x:v>
      </x:c>
      <x:c r="D512" s="13" t="n">
        <x:v>5167.88</x:v>
      </x:c>
      <x:c r="E512" s="13" t="n">
        <x:v>136.25</x:v>
      </x:c>
      <x:c r="F512" s="13" t="n">
        <x:f>D512-E512</x:f>
        <x:v>5031.63</x:v>
      </x:c>
      <x:c r="G512" s="3" t="n">
        <x:v>1208</x:v>
      </x:c>
      <x:c r="H512" s="3" t="n">
        <x:v>35</x:v>
      </x:c>
      <x:c r="I512" s="3" t="n">
        <x:v>262</x:v>
      </x:c>
      <x:c r="J512" s="15" t="n">
        <x:f>IF(D512=0,"n.a.",E512/D512)</x:f>
        <x:v>0.026364776271894857</x:v>
      </x:c>
      <x:c r="K512" s="15" t="n">
        <x:f>F512/'Datos'!$F$7</x:f>
        <x:v>0.0005138139058473225</x:v>
      </x:c>
      <x:c r="L512" s="3"/>
    </x:row>
    <x:row r="513" ht="22" customHeight="1">
      <x:c r="A513" s="3"/>
      <x:c r="B513" s="3" t="str">
        <x:v>21907</x:v>
      </x:c>
      <x:c r="C513" s="3" t="str">
        <x:v>I'M ON HOLIDAY METAL SIGN</x:v>
      </x:c>
      <x:c r="D513" s="13" t="n">
        <x:v>5031.38</x:v>
      </x:c>
      <x:c r="E513" s="13" t="n">
        <x:v>27.3</x:v>
      </x:c>
      <x:c r="F513" s="13" t="n">
        <x:f>D513-E513</x:f>
        <x:v>5004.08</x:v>
      </x:c>
      <x:c r="G513" s="3" t="n">
        <x:v>2373</x:v>
      </x:c>
      <x:c r="H513" s="3" t="n">
        <x:v>13</x:v>
      </x:c>
      <x:c r="I513" s="3" t="n">
        <x:v>367</x:v>
      </x:c>
      <x:c r="J513" s="15" t="n">
        <x:f>IF(D513=0,"n.a.",E513/D513)</x:f>
        <x:v>0.005425946758145877</x:v>
      </x:c>
      <x:c r="K513" s="15" t="n">
        <x:f>F513/'Datos'!$F$7</x:f>
        <x:v>0.0005110005882730784</x:v>
      </x:c>
      <x:c r="L513" s="3"/>
    </x:row>
    <x:row r="514" ht="22" customHeight="1">
      <x:c r="A514" s="3"/>
      <x:c r="B514" s="3" t="str">
        <x:v>22827</x:v>
      </x:c>
      <x:c r="C514" s="3" t="str">
        <x:v>RUSTIC SEVENTEEN DRAWER SIDEBOARD</x:v>
      </x:c>
      <x:c r="D514" s="13" t="n">
        <x:v>5415</x:v>
      </x:c>
      <x:c r="E514" s="13" t="n">
        <x:v>415</x:v>
      </x:c>
      <x:c r="F514" s="13" t="n">
        <x:f>D514-E514</x:f>
        <x:v>5000</x:v>
      </x:c>
      <x:c r="G514" s="3" t="n">
        <x:v>35</x:v>
      </x:c>
      <x:c r="H514" s="3" t="n">
        <x:v>3</x:v>
      </x:c>
      <x:c r="I514" s="3" t="n">
        <x:v>26</x:v>
      </x:c>
      <x:c r="J514" s="15" t="n">
        <x:f>IF(D514=0,"n.a.",E514/D514)</x:f>
        <x:v>0.07663896583564174</x:v>
      </x:c>
      <x:c r="K514" s="15" t="n">
        <x:f>F514/'Datos'!$F$7</x:f>
        <x:v>0.0005105839517684353</x:v>
      </x:c>
      <x:c r="L514" s="3"/>
    </x:row>
    <x:row r="515" ht="22" customHeight="1">
      <x:c r="A515" s="3"/>
      <x:c r="B515" s="3" t="str">
        <x:v>22271</x:v>
      </x:c>
      <x:c r="C515" s="3" t="str">
        <x:v>FELTCRAFT DOLL ROSIE</x:v>
      </x:c>
      <x:c r="D515" s="13" t="n">
        <x:v>5022.1</x:v>
      </x:c>
      <x:c r="E515" s="13" t="n">
        <x:v>23.6</x:v>
      </x:c>
      <x:c r="F515" s="13" t="n">
        <x:f>D515-E515</x:f>
        <x:v>4998.5</x:v>
      </x:c>
      <x:c r="G515" s="3" t="n">
        <x:v>1706</x:v>
      </x:c>
      <x:c r="H515" s="3" t="n">
        <x:v>8</x:v>
      </x:c>
      <x:c r="I515" s="3" t="n">
        <x:v>301</x:v>
      </x:c>
      <x:c r="J515" s="15" t="n">
        <x:f>IF(D515=0,"n.a.",E515/D515)</x:f>
        <x:v>0.004699229406025368</x:v>
      </x:c>
      <x:c r="K515" s="15" t="n">
        <x:f>F515/'Datos'!$F$7</x:f>
        <x:v>0.0005104307765829048</x:v>
      </x:c>
      <x:c r="L515" s="3"/>
    </x:row>
    <x:row r="516" ht="22" customHeight="1">
      <x:c r="A516" s="3"/>
      <x:c r="B516" s="3" t="str">
        <x:v>23310</x:v>
      </x:c>
      <x:c r="C516" s="3" t="str">
        <x:v>BUBBLEGUM RING ASSORTED</x:v>
      </x:c>
      <x:c r="D516" s="13" t="n">
        <x:v>4997.28</x:v>
      </x:c>
      <x:c r="E516" s="13" t="n">
        <x:v>0</x:v>
      </x:c>
      <x:c r="F516" s="13" t="n">
        <x:f>D516-E516</x:f>
        <x:v>4997.28</x:v>
      </x:c>
      <x:c r="G516" s="3" t="n">
        <x:v>12050</x:v>
      </x:c>
      <x:c r="H516" s="3" t="n">
        <x:v>0</x:v>
      </x:c>
      <x:c r="I516" s="3" t="n">
        <x:v>245</x:v>
      </x:c>
      <x:c r="J516" s="15" t="n">
        <x:f>IF(D516=0,"n.a.",E516/D516)</x:f>
        <x:v>0</x:v>
      </x:c>
      <x:c r="K516" s="15" t="n">
        <x:f>F516/'Datos'!$F$7</x:f>
        <x:v>0.0005103061940986733</x:v>
      </x:c>
      <x:c r="L516" s="3"/>
    </x:row>
    <x:row r="517" ht="22" customHeight="1">
      <x:c r="A517" s="3"/>
      <x:c r="B517" s="3" t="str">
        <x:v>23165</x:v>
      </x:c>
      <x:c r="C517" s="3" t="str">
        <x:v>LARGE CERAMIC TOP STORAGE JAR</x:v>
      </x:c>
      <x:c r="D517" s="13" t="n">
        <x:v>5147.66</x:v>
      </x:c>
      <x:c r="E517" s="13" t="n">
        <x:v>154.5</x:v>
      </x:c>
      <x:c r="F517" s="13" t="n">
        <x:f>D517-E517</x:f>
        <x:v>4993.16</x:v>
      </x:c>
      <x:c r="G517" s="3" t="n">
        <x:v>3118</x:v>
      </x:c>
      <x:c r="H517" s="3" t="n">
        <x:v>102</x:v>
      </x:c>
      <x:c r="I517" s="3" t="n">
        <x:v>280</x:v>
      </x:c>
      <x:c r="J517" s="15" t="n">
        <x:f>IF(D517=0,"n.a.",E517/D517)</x:f>
        <x:v>0.030013637264310385</x:v>
      </x:c>
      <x:c r="K517" s="15" t="n">
        <x:f>F517/'Datos'!$F$7</x:f>
        <x:v>0.0005098854729224161</x:v>
      </x:c>
      <x:c r="L517" s="3"/>
    </x:row>
    <x:row r="518" ht="22" customHeight="1">
      <x:c r="A518" s="3"/>
      <x:c r="B518" s="3" t="str">
        <x:v>23494</x:v>
      </x:c>
      <x:c r="C518" s="3" t="str">
        <x:v>VINTAGE DOILY DELUXE SEWING KIT</x:v>
      </x:c>
      <x:c r="D518" s="13" t="n">
        <x:v>5377.81</x:v>
      </x:c>
      <x:c r="E518" s="13" t="n">
        <x:v>386.75</x:v>
      </x:c>
      <x:c r="F518" s="13" t="n">
        <x:f>D518-E518</x:f>
        <x:v>4991.06</x:v>
      </x:c>
      <x:c r="G518" s="3" t="n">
        <x:v>813</x:v>
      </x:c>
      <x:c r="H518" s="3" t="n">
        <x:v>65</x:v>
      </x:c>
      <x:c r="I518" s="3" t="n">
        <x:v>205</x:v>
      </x:c>
      <x:c r="J518" s="15" t="n">
        <x:f>IF(D518=0,"n.a.",E518/D518)</x:f>
        <x:v>0.07191589141304731</x:v>
      </x:c>
      <x:c r="K518" s="15" t="n">
        <x:f>F518/'Datos'!$F$7</x:f>
        <x:v>0.0005096710276626734</x:v>
      </x:c>
      <x:c r="L518" s="3"/>
    </x:row>
    <x:row r="519" ht="22" customHeight="1">
      <x:c r="A519" s="3"/>
      <x:c r="B519" s="3" t="str">
        <x:v>23198</x:v>
      </x:c>
      <x:c r="C519" s="3" t="str">
        <x:v>PANTRY MAGNETIC SHOPPING LIST</x:v>
      </x:c>
      <x:c r="D519" s="13" t="n">
        <x:v>5068.4</x:v>
      </x:c>
      <x:c r="E519" s="13" t="n">
        <x:v>92.8</x:v>
      </x:c>
      <x:c r="F519" s="13" t="n">
        <x:f>D519-E519</x:f>
        <x:v>4975.599999999999</x:v>
      </x:c>
      <x:c r="G519" s="3" t="n">
        <x:v>3346</x:v>
      </x:c>
      <x:c r="H519" s="3" t="n">
        <x:v>64</x:v>
      </x:c>
      <x:c r="I519" s="3" t="n">
        <x:v>475</x:v>
      </x:c>
      <x:c r="J519" s="15" t="n">
        <x:f>IF(D519=0,"n.a.",E519/D519)</x:f>
        <x:v>0.018309525688580224</x:v>
      </x:c>
      <x:c r="K519" s="15" t="n">
        <x:f>F519/'Datos'!$F$7</x:f>
        <x:v>0.0005080923020838053</x:v>
      </x:c>
      <x:c r="L519" s="3"/>
    </x:row>
    <x:row r="520" ht="22" customHeight="1">
      <x:c r="A520" s="3"/>
      <x:c r="B520" s="3" t="str">
        <x:v>23314</x:v>
      </x:c>
      <x:c r="C520" s="3" t="str">
        <x:v>VINTAGE CHRISTMAS TABLECLOTH</x:v>
      </x:c>
      <x:c r="D520" s="13" t="n">
        <x:v>5037.96</x:v>
      </x:c>
      <x:c r="E520" s="13" t="n">
        <x:v>62.5</x:v>
      </x:c>
      <x:c r="F520" s="13" t="n">
        <x:f>D520-E520</x:f>
        <x:v>4975.46</x:v>
      </x:c>
      <x:c r="G520" s="3" t="n">
        <x:v>409</x:v>
      </x:c>
      <x:c r="H520" s="3" t="n">
        <x:v>5</x:v>
      </x:c>
      <x:c r="I520" s="3" t="n">
        <x:v>117</x:v>
      </x:c>
      <x:c r="J520" s="15" t="n">
        <x:f>IF(D520=0,"n.a.",E520/D520)</x:f>
        <x:v>0.012405815052124273</x:v>
      </x:c>
      <x:c r="K520" s="15" t="n">
        <x:f>F520/'Datos'!$F$7</x:f>
        <x:v>0.0005080780057331558</x:v>
      </x:c>
      <x:c r="L520" s="3"/>
    </x:row>
    <x:row r="521" ht="22" customHeight="1">
      <x:c r="A521" s="3"/>
      <x:c r="B521" s="3" t="str">
        <x:v>22301</x:v>
      </x:c>
      <x:c r="C521" s="3" t="str">
        <x:v>COFFEE MUG CAT + BIRD DESIGN</x:v>
      </x:c>
      <x:c r="D521" s="13" t="n">
        <x:v>5031.83</x:v>
      </x:c>
      <x:c r="E521" s="13" t="n">
        <x:v>59.4</x:v>
      </x:c>
      <x:c r="F521" s="13" t="n">
        <x:f>D521-E521</x:f>
        <x:v>4972.43</x:v>
      </x:c>
      <x:c r="G521" s="3" t="n">
        <x:v>2225</x:v>
      </x:c>
      <x:c r="H521" s="3" t="n">
        <x:v>24</x:v>
      </x:c>
      <x:c r="I521" s="3" t="n">
        <x:v>252</x:v>
      </x:c>
      <x:c r="J521" s="15" t="n">
        <x:f>IF(D521=0,"n.a.",E521/D521)</x:f>
        <x:v>0.01180485032284477</x:v>
      </x:c>
      <x:c r="K521" s="15" t="n">
        <x:f>F521/'Datos'!$F$7</x:f>
        <x:v>0.0005077685918583843</x:v>
      </x:c>
      <x:c r="L521" s="3"/>
    </x:row>
    <x:row r="522" ht="22" customHeight="1">
      <x:c r="A522" s="3"/>
      <x:c r="B522" s="3" t="str">
        <x:v>23556</x:v>
      </x:c>
      <x:c r="C522" s="3" t="str">
        <x:v>LANDMARK FRAME COVENT GARDEN</x:v>
      </x:c>
      <x:c r="D522" s="13" t="n">
        <x:v>4974.51</x:v>
      </x:c>
      <x:c r="E522" s="13" t="n">
        <x:v>12.5</x:v>
      </x:c>
      <x:c r="F522" s="13" t="n">
        <x:f>D522-E522</x:f>
        <x:v>4962.01</x:v>
      </x:c>
      <x:c r="G522" s="3" t="n">
        <x:v>439</x:v>
      </x:c>
      <x:c r="H522" s="3" t="n">
        <x:v>1</x:v>
      </x:c>
      <x:c r="I522" s="3" t="n">
        <x:v>53</x:v>
      </x:c>
      <x:c r="J522" s="15" t="n">
        <x:f>IF(D522=0,"n.a.",E522/D522)</x:f>
        <x:v>0.0025128103069448045</x:v>
      </x:c>
      <x:c r="K522" s="15" t="n">
        <x:f>F522/'Datos'!$F$7</x:f>
        <x:v>0.0005067045349028987</x:v>
      </x:c>
      <x:c r="L522" s="3"/>
    </x:row>
    <x:row r="523" ht="22" customHeight="1">
      <x:c r="A523" s="3"/>
      <x:c r="B523" s="3" t="str">
        <x:v>22957</x:v>
      </x:c>
      <x:c r="C523" s="3" t="str">
        <x:v>SET 3 PAPER VINTAGE CHICK PAPER EGG</x:v>
      </x:c>
      <x:c r="D523" s="13" t="n">
        <x:v>5023.5</x:v>
      </x:c>
      <x:c r="E523" s="13" t="n">
        <x:v>71.9</x:v>
      </x:c>
      <x:c r="F523" s="13" t="n">
        <x:f>D523-E523</x:f>
        <x:v>4951.6</x:v>
      </x:c>
      <x:c r="G523" s="3" t="n">
        <x:v>1778</x:v>
      </x:c>
      <x:c r="H523" s="3" t="n">
        <x:v>26</x:v>
      </x:c>
      <x:c r="I523" s="3" t="n">
        <x:v>214</x:v>
      </x:c>
      <x:c r="J523" s="15" t="n">
        <x:f>IF(D523=0,"n.a.",E523/D523)</x:f>
        <x:v>0.014312730168209416</x:v>
      </x:c>
      <x:c r="K523" s="15" t="n">
        <x:f>F523/'Datos'!$F$7</x:f>
        <x:v>0.0005056414991153169</x:v>
      </x:c>
      <x:c r="L523" s="3"/>
    </x:row>
    <x:row r="524" ht="22" customHeight="1">
      <x:c r="A524" s="3"/>
      <x:c r="B524" s="3" t="str">
        <x:v>21932</x:v>
      </x:c>
      <x:c r="C524" s="3" t="str">
        <x:v>SCANDINAVIAN PAISLEY PICNIC BAG</x:v>
      </x:c>
      <x:c r="D524" s="13" t="n">
        <x:v>5001.98</x:v>
      </x:c>
      <x:c r="E524" s="13" t="n">
        <x:v>55.35</x:v>
      </x:c>
      <x:c r="F524" s="13" t="n">
        <x:f>D524-E524</x:f>
        <x:v>4946.629999999999</x:v>
      </x:c>
      <x:c r="G524" s="3" t="n">
        <x:v>2724</x:v>
      </x:c>
      <x:c r="H524" s="3" t="n">
        <x:v>33</x:v>
      </x:c>
      <x:c r="I524" s="3" t="n">
        <x:v>446</x:v>
      </x:c>
      <x:c r="J524" s="15" t="n">
        <x:f>IF(D524=0,"n.a.",E524/D524)</x:f>
        <x:v>0.011065618015265956</x:v>
      </x:c>
      <x:c r="K524" s="15" t="n">
        <x:f>F524/'Datos'!$F$7</x:f>
        <x:v>0.0005051339786672589</x:v>
      </x:c>
      <x:c r="L524" s="3"/>
    </x:row>
    <x:row r="525" ht="22" customHeight="1">
      <x:c r="A525" s="3"/>
      <x:c r="B525" s="3" t="str">
        <x:v>23570</x:v>
      </x:c>
      <x:c r="C525" s="3" t="str">
        <x:v>TRADITIONAL PICK UP STICKS GAME</x:v>
      </x:c>
      <x:c r="D525" s="13" t="n">
        <x:v>4944.37</x:v>
      </x:c>
      <x:c r="E525" s="13" t="n">
        <x:v>0</x:v>
      </x:c>
      <x:c r="F525" s="13" t="n">
        <x:f>D525-E525</x:f>
        <x:v>4944.37</x:v>
      </x:c>
      <x:c r="G525" s="3" t="n">
        <x:v>2782</x:v>
      </x:c>
      <x:c r="H525" s="3" t="n">
        <x:v>0</x:v>
      </x:c>
      <x:c r="I525" s="3" t="n">
        <x:v>276</x:v>
      </x:c>
      <x:c r="J525" s="15" t="n">
        <x:f>IF(D525=0,"n.a.",E525/D525)</x:f>
        <x:v>0</x:v>
      </x:c>
      <x:c r="K525" s="15" t="n">
        <x:f>F525/'Datos'!$F$7</x:f>
        <x:v>0.0005049031947210597</x:v>
      </x:c>
      <x:c r="L525" s="3"/>
    </x:row>
    <x:row r="526" ht="22" customHeight="1">
      <x:c r="A526" s="3"/>
      <x:c r="B526" s="3" t="str">
        <x:v>22780</x:v>
      </x:c>
      <x:c r="C526" s="3" t="str">
        <x:v>LIGHT GARLAND BUTTERFILES PINK</x:v>
      </x:c>
      <x:c r="D526" s="13" t="n">
        <x:v>5044.34</x:v>
      </x:c>
      <x:c r="E526" s="13" t="n">
        <x:v>106.25</x:v>
      </x:c>
      <x:c r="F526" s="13" t="n">
        <x:f>D526-E526</x:f>
        <x:v>4938.09</x:v>
      </x:c>
      <x:c r="G526" s="3" t="n">
        <x:v>1346</x:v>
      </x:c>
      <x:c r="H526" s="3" t="n">
        <x:v>25</x:v>
      </x:c>
      <x:c r="I526" s="3" t="n">
        <x:v>132</x:v>
      </x:c>
      <x:c r="J526" s="15" t="n">
        <x:f>IF(D526=0,"n.a.",E526/D526)</x:f>
        <x:v>0.02106321144094173</x:v>
      </x:c>
      <x:c r="K526" s="15" t="n">
        <x:f>F526/'Datos'!$F$7</x:f>
        <x:v>0.0005042619012776386</x:v>
      </x:c>
      <x:c r="L526" s="3"/>
    </x:row>
    <x:row r="527" ht="22" customHeight="1">
      <x:c r="A527" s="3"/>
      <x:c r="B527" s="3" t="str">
        <x:v>84212</x:v>
      </x:c>
      <x:c r="C527" s="3" t="str">
        <x:v>ASSORTED FLOWER COLOUR "LEIS"</x:v>
      </x:c>
      <x:c r="D527" s="13" t="n">
        <x:v>4934.87</x:v>
      </x:c>
      <x:c r="E527" s="13" t="n">
        <x:v>0</x:v>
      </x:c>
      <x:c r="F527" s="13" t="n">
        <x:f>D527-E527</x:f>
        <x:v>4934.87</x:v>
      </x:c>
      <x:c r="G527" s="3" t="n">
        <x:v>10315</x:v>
      </x:c>
      <x:c r="H527" s="3" t="n">
        <x:v>0</x:v>
      </x:c>
      <x:c r="I527" s="3" t="n">
        <x:v>111</x:v>
      </x:c>
      <x:c r="J527" s="15" t="n">
        <x:f>IF(D527=0,"n.a.",E527/D527)</x:f>
        <x:v>0</x:v>
      </x:c>
      <x:c r="K527" s="15" t="n">
        <x:f>F527/'Datos'!$F$7</x:f>
        <x:v>0.0005039330852126997</x:v>
      </x:c>
      <x:c r="L527" s="3"/>
    </x:row>
    <x:row r="528" ht="22" customHeight="1">
      <x:c r="A528" s="3"/>
      <x:c r="B528" s="3" t="str">
        <x:v>22142</x:v>
      </x:c>
      <x:c r="C528" s="3" t="str">
        <x:v>CHRISTMAS CRAFT WHITE FAIRY</x:v>
      </x:c>
      <x:c r="D528" s="13" t="n">
        <x:v>4950.54</x:v>
      </x:c>
      <x:c r="E528" s="13" t="n">
        <x:v>15.95</x:v>
      </x:c>
      <x:c r="F528" s="13" t="n">
        <x:f>D528-E528</x:f>
        <x:v>4934.59</x:v>
      </x:c>
      <x:c r="G528" s="3" t="n">
        <x:v>3250</x:v>
      </x:c>
      <x:c r="H528" s="3" t="n">
        <x:v>11</x:v>
      </x:c>
      <x:c r="I528" s="3" t="n">
        <x:v>377</x:v>
      </x:c>
      <x:c r="J528" s="15" t="n">
        <x:f>IF(D528=0,"n.a.",E528/D528)</x:f>
        <x:v>0.0032218707454136314</x:v>
      </x:c>
      <x:c r="K528" s="15" t="n">
        <x:f>F528/'Datos'!$F$7</x:f>
        <x:v>0.0005039044925114007</x:v>
      </x:c>
      <x:c r="L528" s="3"/>
    </x:row>
    <x:row r="529" ht="22" customHeight="1">
      <x:c r="A529" s="3"/>
      <x:c r="B529" s="3" t="str">
        <x:v>21933</x:v>
      </x:c>
      <x:c r="C529" s="3" t="str">
        <x:v>PINK VINTAGE PAISLEY PICNIC BAG</x:v>
      </x:c>
      <x:c r="D529" s="13" t="n">
        <x:v>4964.03</x:v>
      </x:c>
      <x:c r="E529" s="13" t="n">
        <x:v>34.45</x:v>
      </x:c>
      <x:c r="F529" s="13" t="n">
        <x:f>D529-E529</x:f>
        <x:v>4929.58</x:v>
      </x:c>
      <x:c r="G529" s="3" t="n">
        <x:v>2676</x:v>
      </x:c>
      <x:c r="H529" s="3" t="n">
        <x:v>13</x:v>
      </x:c>
      <x:c r="I529" s="3" t="n">
        <x:v>410</x:v>
      </x:c>
      <x:c r="J529" s="15" t="n">
        <x:f>IF(D529=0,"n.a.",E529/D529)</x:f>
        <x:v>0.006939925826395087</x:v>
      </x:c>
      <x:c r="K529" s="15" t="n">
        <x:f>F529/'Datos'!$F$7</x:f>
        <x:v>0.0005033928873917286</x:v>
      </x:c>
      <x:c r="L529" s="3"/>
    </x:row>
    <x:row r="530" ht="22" customHeight="1">
      <x:c r="A530" s="3"/>
      <x:c r="B530" s="3" t="str">
        <x:v>22110</x:v>
      </x:c>
      <x:c r="C530" s="3" t="str">
        <x:v>BIRD HOUSE HOT WATER BOTTLE</x:v>
      </x:c>
      <x:c r="D530" s="13" t="n">
        <x:v>4914.69</x:v>
      </x:c>
      <x:c r="E530" s="13" t="n">
        <x:v>5.1</x:v>
      </x:c>
      <x:c r="F530" s="13" t="n">
        <x:f>D530-E530</x:f>
        <x:v>4909.589999999999</x:v>
      </x:c>
      <x:c r="G530" s="3" t="n">
        <x:v>1173</x:v>
      </x:c>
      <x:c r="H530" s="3" t="n">
        <x:v>2</x:v>
      </x:c>
      <x:c r="I530" s="3" t="n">
        <x:v>279</x:v>
      </x:c>
      <x:c r="J530" s="15" t="n">
        <x:f>IF(D530=0,"n.a.",E530/D530)</x:f>
        <x:v>0.0010377053283116533</x:v>
      </x:c>
      <x:c r="K530" s="15" t="n">
        <x:f>F530/'Datos'!$F$7</x:f>
        <x:v>0.0005013515727525584</x:v>
      </x:c>
      <x:c r="L530" s="3"/>
    </x:row>
    <x:row r="531" ht="22" customHeight="1">
      <x:c r="A531" s="3"/>
      <x:c r="B531" s="3" t="str">
        <x:v>22748</x:v>
      </x:c>
      <x:c r="C531" s="3" t="str">
        <x:v>POPPY'S PLAYHOUSE KITCHEN</x:v>
      </x:c>
      <x:c r="D531" s="13" t="n">
        <x:v>4897.63</x:v>
      </x:c>
      <x:c r="E531" s="13" t="n">
        <x:v>35.7</x:v>
      </x:c>
      <x:c r="F531" s="13" t="n">
        <x:f>D531-E531</x:f>
        <x:v>4861.93</x:v>
      </x:c>
      <x:c r="G531" s="3" t="n">
        <x:v>2125</x:v>
      </x:c>
      <x:c r="H531" s="3" t="n">
        <x:v>17</x:v>
      </x:c>
      <x:c r="I531" s="3" t="n">
        <x:v>436</x:v>
      </x:c>
      <x:c r="J531" s="15" t="n">
        <x:f>IF(D531=0,"n.a.",E531/D531)</x:f>
        <x:v>0.007289239897664789</x:v>
      </x:c>
      <x:c r="K531" s="15" t="n">
        <x:f>F531/'Datos'!$F$7</x:f>
        <x:v>0.0004964846865243018</x:v>
      </x:c>
      <x:c r="L531" s="3"/>
    </x:row>
    <x:row r="532" ht="22" customHeight="1">
      <x:c r="A532" s="3"/>
      <x:c r="B532" s="3" t="str">
        <x:v>21086</x:v>
      </x:c>
      <x:c r="C532" s="3" t="str">
        <x:v>SET/6 RED SPOTTY PAPER CUPS</x:v>
      </x:c>
      <x:c r="D532" s="13" t="n">
        <x:v>4861.9</x:v>
      </x:c>
      <x:c r="E532" s="13" t="n">
        <x:v>0</x:v>
      </x:c>
      <x:c r="F532" s="13" t="n">
        <x:f>D532-E532</x:f>
        <x:v>4861.9</x:v>
      </x:c>
      <x:c r="G532" s="3" t="n">
        <x:v>7137</x:v>
      </x:c>
      <x:c r="H532" s="3" t="n">
        <x:v>0</x:v>
      </x:c>
      <x:c r="I532" s="3" t="n">
        <x:v>428</x:v>
      </x:c>
      <x:c r="J532" s="15" t="n">
        <x:f>IF(D532=0,"n.a.",E532/D532)</x:f>
        <x:v>0</x:v>
      </x:c>
      <x:c r="K532" s="15" t="n">
        <x:f>F532/'Datos'!$F$7</x:f>
        <x:v>0.0004964816230205911</x:v>
      </x:c>
      <x:c r="L532" s="3"/>
    </x:row>
    <x:row r="533" ht="22" customHeight="1">
      <x:c r="A533" s="3"/>
      <x:c r="B533" s="3" t="str">
        <x:v>23503</x:v>
      </x:c>
      <x:c r="C533" s="3" t="str">
        <x:v>PLAYING CARDS KEEP CALM &amp; CARRY ON</x:v>
      </x:c>
      <x:c r="D533" s="13" t="n">
        <x:v>4864.3</x:v>
      </x:c>
      <x:c r="E533" s="13" t="n">
        <x:v>2.5</x:v>
      </x:c>
      <x:c r="F533" s="13" t="n">
        <x:f>D533-E533</x:f>
        <x:v>4861.8</x:v>
      </x:c>
      <x:c r="G533" s="3" t="n">
        <x:v>3646</x:v>
      </x:c>
      <x:c r="H533" s="3" t="n">
        <x:v>2</x:v>
      </x:c>
      <x:c r="I533" s="3" t="n">
        <x:v>335</x:v>
      </x:c>
      <x:c r="J533" s="15" t="n">
        <x:f>IF(D533=0,"n.a.",E533/D533)</x:f>
        <x:v>0.0005139485640277121</x:v>
      </x:c>
      <x:c r="K533" s="15" t="n">
        <x:f>F533/'Datos'!$F$7</x:f>
        <x:v>0.0004964714113415558</x:v>
      </x:c>
      <x:c r="L533" s="3"/>
    </x:row>
    <x:row r="534" ht="22" customHeight="1">
      <x:c r="A534" s="3"/>
      <x:c r="B534" s="3" t="str">
        <x:v>21937</x:v>
      </x:c>
      <x:c r="C534" s="3" t="str">
        <x:v>STRAWBERRY PICNIC BAG</x:v>
      </x:c>
      <x:c r="D534" s="13" t="n">
        <x:v>4901.8</x:v>
      </x:c>
      <x:c r="E534" s="13" t="n">
        <x:v>47.2</x:v>
      </x:c>
      <x:c r="F534" s="13" t="n">
        <x:f>D534-E534</x:f>
        <x:v>4854.6</x:v>
      </x:c>
      <x:c r="G534" s="3" t="n">
        <x:v>1708</x:v>
      </x:c>
      <x:c r="H534" s="3" t="n">
        <x:v>16</x:v>
      </x:c>
      <x:c r="I534" s="3" t="n">
        <x:v>251</x:v>
      </x:c>
      <x:c r="J534" s="15" t="n">
        <x:f>IF(D534=0,"n.a.",E534/D534)</x:f>
        <x:v>0.009629115834999388</x:v>
      </x:c>
      <x:c r="K534" s="15" t="n">
        <x:f>F534/'Datos'!$F$7</x:f>
        <x:v>0.0004957361704510093</x:v>
      </x:c>
      <x:c r="L534" s="3"/>
    </x:row>
    <x:row r="535" ht="22" customHeight="1">
      <x:c r="A535" s="3"/>
      <x:c r="B535" s="3" t="str">
        <x:v>21033</x:v>
      </x:c>
      <x:c r="C535" s="3" t="str">
        <x:v>JUMBO BAG CHARLIE AND LOLA TOYS</x:v>
      </x:c>
      <x:c r="D535" s="13" t="n">
        <x:v>4853.81</x:v>
      </x:c>
      <x:c r="E535" s="13" t="n">
        <x:v>1.79</x:v>
      </x:c>
      <x:c r="F535" s="13" t="n">
        <x:f>D535-E535</x:f>
        <x:v>4852.02</x:v>
      </x:c>
      <x:c r="G535" s="3" t="n">
        <x:v>1933</x:v>
      </x:c>
      <x:c r="H535" s="3" t="n">
        <x:v>1</x:v>
      </x:c>
      <x:c r="I535" s="3" t="n">
        <x:v>300</x:v>
      </x:c>
      <x:c r="J535" s="15" t="n">
        <x:f>IF(D535=0,"n.a.",E535/D535)</x:f>
        <x:v>0.00036878246161263007</x:v>
      </x:c>
      <x:c r="K535" s="15" t="n">
        <x:f>F535/'Datos'!$F$7</x:f>
        <x:v>0.0004954727091318968</x:v>
      </x:c>
      <x:c r="L535" s="3"/>
    </x:row>
    <x:row r="536" ht="22" customHeight="1">
      <x:c r="A536" s="3"/>
      <x:c r="B536" s="3" t="str">
        <x:v>21390</x:v>
      </x:c>
      <x:c r="C536" s="3" t="str">
        <x:v>FILIGRIS HEART WITH BUTTERFLY</x:v>
      </x:c>
      <x:c r="D536" s="13" t="n">
        <x:v>4851.88</x:v>
      </x:c>
      <x:c r="E536" s="13" t="n">
        <x:v>3.75</x:v>
      </x:c>
      <x:c r="F536" s="13" t="n">
        <x:f>D536-E536</x:f>
        <x:v>4848.13</x:v>
      </x:c>
      <x:c r="G536" s="3" t="n">
        <x:v>3906</x:v>
      </x:c>
      <x:c r="H536" s="3" t="n">
        <x:v>3</x:v>
      </x:c>
      <x:c r="I536" s="3" t="n">
        <x:v>212</x:v>
      </x:c>
      <x:c r="J536" s="15" t="n">
        <x:f>IF(D536=0,"n.a.",E536/D536)</x:f>
        <x:v>0.0007728962793803639</x:v>
      </x:c>
      <x:c r="K536" s="15" t="n">
        <x:f>F536/'Datos'!$F$7</x:f>
        <x:v>0.0004950754748174209</x:v>
      </x:c>
      <x:c r="L536" s="3"/>
    </x:row>
    <x:row r="537" ht="22" customHeight="1">
      <x:c r="A537" s="3"/>
      <x:c r="B537" s="3" t="str">
        <x:v>22781</x:v>
      </x:c>
      <x:c r="C537" s="3" t="str">
        <x:v>GUMBALL MAGAZINE RACK</x:v>
      </x:c>
      <x:c r="D537" s="13" t="n">
        <x:v>5198.66</x:v>
      </x:c>
      <x:c r="E537" s="13" t="n">
        <x:v>352.35</x:v>
      </x:c>
      <x:c r="F537" s="13" t="n">
        <x:f>D537-E537</x:f>
        <x:v>4846.3099999999995</x:v>
      </x:c>
      <x:c r="G537" s="3" t="n">
        <x:v>622</x:v>
      </x:c>
      <x:c r="H537" s="3" t="n">
        <x:v>49</x:v>
      </x:c>
      <x:c r="I537" s="3" t="n">
        <x:v>232</x:v>
      </x:c>
      <x:c r="J537" s="15" t="n">
        <x:f>IF(D537=0,"n.a.",E537/D537)</x:f>
        <x:v>0.06777708101703132</x:v>
      </x:c>
      <x:c r="K537" s="15" t="n">
        <x:f>F537/'Datos'!$F$7</x:f>
        <x:v>0.0004948896222589771</x:v>
      </x:c>
      <x:c r="L537" s="3"/>
    </x:row>
    <x:row r="538" ht="22" customHeight="1">
      <x:c r="A538" s="3"/>
      <x:c r="B538" s="3" t="str">
        <x:v>23010</x:v>
      </x:c>
      <x:c r="C538" s="3" t="str">
        <x:v>CIRCUS PARADE BABY GIFT SET</x:v>
      </x:c>
      <x:c r="D538" s="13" t="n">
        <x:v>4896.55</x:v>
      </x:c>
      <x:c r="E538" s="13" t="n">
        <x:v>50.85</x:v>
      </x:c>
      <x:c r="F538" s="13" t="n">
        <x:f>D538-E538</x:f>
        <x:v>4845.7</x:v>
      </x:c>
      <x:c r="G538" s="3" t="n">
        <x:v>316</x:v>
      </x:c>
      <x:c r="H538" s="3" t="n">
        <x:v>3</x:v>
      </x:c>
      <x:c r="I538" s="3" t="n">
        <x:v>111</x:v>
      </x:c>
      <x:c r="J538" s="15" t="n">
        <x:f>IF(D538=0,"n.a.",E538/D538)</x:f>
        <x:v>0.010384862811571412</x:v>
      </x:c>
      <x:c r="K538" s="15" t="n">
        <x:f>F538/'Datos'!$F$7</x:f>
        <x:v>0.0004948273310168614</x:v>
      </x:c>
      <x:c r="L538" s="3"/>
    </x:row>
    <x:row r="539" ht="22" customHeight="1">
      <x:c r="A539" s="3"/>
      <x:c r="B539" s="3" t="str">
        <x:v>23554</x:v>
      </x:c>
      <x:c r="C539" s="3" t="str">
        <x:v>LANDMARK FRAME OXFORD STREET</x:v>
      </x:c>
      <x:c r="D539" s="13" t="n">
        <x:v>4830.53</x:v>
      </x:c>
      <x:c r="E539" s="13" t="n">
        <x:v>0</x:v>
      </x:c>
      <x:c r="F539" s="13" t="n">
        <x:f>D539-E539</x:f>
        <x:v>4830.53</x:v>
      </x:c>
      <x:c r="G539" s="3" t="n">
        <x:v>424</x:v>
      </x:c>
      <x:c r="H539" s="3" t="n">
        <x:v>0</x:v>
      </x:c>
      <x:c r="I539" s="3" t="n">
        <x:v>57</x:v>
      </x:c>
      <x:c r="J539" s="15" t="n">
        <x:f>IF(D539=0,"n.a.",E539/D539)</x:f>
        <x:v>0</x:v>
      </x:c>
      <x:c r="K539" s="15" t="n">
        <x:f>F539/'Datos'!$F$7</x:f>
        <x:v>0.000493278219307196</x:v>
      </x:c>
      <x:c r="L539" s="3"/>
    </x:row>
    <x:row r="540" ht="22" customHeight="1">
      <x:c r="A540" s="3"/>
      <x:c r="B540" s="3" t="str">
        <x:v>22849</x:v>
      </x:c>
      <x:c r="C540" s="3" t="str">
        <x:v>BREAD BIN DINER STYLE MINT</x:v>
      </x:c>
      <x:c r="D540" s="13" t="n">
        <x:v>5061.63</x:v>
      </x:c>
      <x:c r="E540" s="13" t="n">
        <x:v>234.25</x:v>
      </x:c>
      <x:c r="F540" s="13" t="n">
        <x:f>D540-E540</x:f>
        <x:v>4827.38</x:v>
      </x:c>
      <x:c r="G540" s="3" t="n">
        <x:v>325</x:v>
      </x:c>
      <x:c r="H540" s="3" t="n">
        <x:v>15</x:v>
      </x:c>
      <x:c r="I540" s="3" t="n">
        <x:v>129</x:v>
      </x:c>
      <x:c r="J540" s="15" t="n">
        <x:f>IF(D540=0,"n.a.",E540/D540)</x:f>
        <x:v>0.04627955816604532</x:v>
      </x:c>
      <x:c r="K540" s="15" t="n">
        <x:f>F540/'Datos'!$F$7</x:f>
        <x:v>0.0004929565514175819</x:v>
      </x:c>
      <x:c r="L540" s="3"/>
    </x:row>
    <x:row r="541" ht="22" customHeight="1">
      <x:c r="A541" s="3"/>
      <x:c r="B541" s="3" t="str">
        <x:v>22689</x:v>
      </x:c>
      <x:c r="C541" s="3" t="str">
        <x:v>DOORMAT MERRY CHRISTMAS RED</x:v>
      </x:c>
      <x:c r="D541" s="13" t="n">
        <x:v>5176.25</x:v>
      </x:c>
      <x:c r="E541" s="13" t="n">
        <x:v>354</x:v>
      </x:c>
      <x:c r="F541" s="13" t="n">
        <x:f>D541-E541</x:f>
        <x:v>4822.25</x:v>
      </x:c>
      <x:c r="G541" s="3" t="n">
        <x:v>673</x:v>
      </x:c>
      <x:c r="H541" s="3" t="n">
        <x:v>52</x:v>
      </x:c>
      <x:c r="I541" s="3" t="n">
        <x:v>146</x:v>
      </x:c>
      <x:c r="J541" s="15" t="n">
        <x:f>IF(D541=0,"n.a.",E541/D541)</x:f>
        <x:v>0.06838927795218547</x:v>
      </x:c>
      <x:c r="K541" s="15" t="n">
        <x:f>F541/'Datos'!$F$7</x:f>
        <x:v>0.0004924326922830675</x:v>
      </x:c>
      <x:c r="L541" s="3"/>
    </x:row>
    <x:row r="542" ht="22" customHeight="1">
      <x:c r="A542" s="3"/>
      <x:c r="B542" s="3" t="str">
        <x:v>23555</x:v>
      </x:c>
      <x:c r="C542" s="3" t="str">
        <x:v>LANDMARK FRAME NOTTING HILL</x:v>
      </x:c>
      <x:c r="D542" s="13" t="n">
        <x:v>4818.07</x:v>
      </x:c>
      <x:c r="E542" s="13" t="n">
        <x:v>0</x:v>
      </x:c>
      <x:c r="F542" s="13" t="n">
        <x:f>D542-E542</x:f>
        <x:v>4818.07</x:v>
      </x:c>
      <x:c r="G542" s="3" t="n">
        <x:v>424</x:v>
      </x:c>
      <x:c r="H542" s="3" t="n">
        <x:v>0</x:v>
      </x:c>
      <x:c r="I542" s="3" t="n">
        <x:v>50</x:v>
      </x:c>
      <x:c r="J542" s="15" t="n">
        <x:f>IF(D542=0,"n.a.",E542/D542)</x:f>
        <x:v>0</x:v>
      </x:c>
      <x:c r="K542" s="15" t="n">
        <x:f>F542/'Datos'!$F$7</x:f>
        <x:v>0.000492005844099389</x:v>
      </x:c>
      <x:c r="L542" s="3"/>
    </x:row>
    <x:row r="543" ht="22" customHeight="1">
      <x:c r="A543" s="3"/>
      <x:c r="B543" s="3" t="str">
        <x:v>21124</x:v>
      </x:c>
      <x:c r="C543" s="3" t="str">
        <x:v>SET/10 BLUE POLKADOT PARTY CANDLES</x:v>
      </x:c>
      <x:c r="D543" s="13" t="n">
        <x:v>4868.05</x:v>
      </x:c>
      <x:c r="E543" s="13" t="n">
        <x:v>61.25</x:v>
      </x:c>
      <x:c r="F543" s="13" t="n">
        <x:f>D543-E543</x:f>
        <x:v>4806.8</x:v>
      </x:c>
      <x:c r="G543" s="3" t="n">
        <x:v>4015</x:v>
      </x:c>
      <x:c r="H543" s="3" t="n">
        <x:v>49</x:v>
      </x:c>
      <x:c r="I543" s="3" t="n">
        <x:v>240</x:v>
      </x:c>
      <x:c r="J543" s="15" t="n">
        <x:f>IF(D543=0,"n.a.",E543/D543)</x:f>
        <x:v>0.012582040036564948</x:v>
      </x:c>
      <x:c r="K543" s="15" t="n">
        <x:f>F543/'Datos'!$F$7</x:f>
        <x:v>0.000490854987872103</x:v>
      </x:c>
      <x:c r="L543" s="3"/>
    </x:row>
    <x:row r="544" ht="22" customHeight="1">
      <x:c r="A544" s="3"/>
      <x:c r="B544" s="3" t="str">
        <x:v>22549</x:v>
      </x:c>
      <x:c r="C544" s="3" t="str">
        <x:v>PICTURE DOMINOES</x:v>
      </x:c>
      <x:c r="D544" s="13" t="n">
        <x:v>4799.83</x:v>
      </x:c>
      <x:c r="E544" s="13" t="n">
        <x:v>0</x:v>
      </x:c>
      <x:c r="F544" s="13" t="n">
        <x:f>D544-E544</x:f>
        <x:v>4799.83</x:v>
      </x:c>
      <x:c r="G544" s="3" t="n">
        <x:v>3189</x:v>
      </x:c>
      <x:c r="H544" s="3" t="n">
        <x:v>0</x:v>
      </x:c>
      <x:c r="I544" s="3" t="n">
        <x:v>356</x:v>
      </x:c>
      <x:c r="J544" s="15" t="n">
        <x:f>IF(D544=0,"n.a.",E544/D544)</x:f>
        <x:v>0</x:v>
      </x:c>
      <x:c r="K544" s="15" t="n">
        <x:f>F544/'Datos'!$F$7</x:f>
        <x:v>0.0004901432338433378</x:v>
      </x:c>
      <x:c r="L544" s="3"/>
    </x:row>
    <x:row r="545" ht="22" customHeight="1">
      <x:c r="A545" s="3"/>
      <x:c r="B545" s="3" t="str">
        <x:v>23351</x:v>
      </x:c>
      <x:c r="C545" s="3" t="str">
        <x:v>ROLL WRAP 50'S CHRISTMAS</x:v>
      </x:c>
      <x:c r="D545" s="13" t="n">
        <x:v>4880.65</x:v>
      </x:c>
      <x:c r="E545" s="13" t="n">
        <x:v>104.88</x:v>
      </x:c>
      <x:c r="F545" s="13" t="n">
        <x:f>D545-E545</x:f>
        <x:v>4775.7699999999995</x:v>
      </x:c>
      <x:c r="G545" s="3" t="n">
        <x:v>3539</x:v>
      </x:c>
      <x:c r="H545" s="3" t="n">
        <x:v>96</x:v>
      </x:c>
      <x:c r="I545" s="3" t="n">
        <x:v>354</x:v>
      </x:c>
      <x:c r="J545" s="15" t="n">
        <x:f>IF(D545=0,"n.a.",E545/D545)</x:f>
        <x:v>0.021488941022199913</x:v>
      </x:c>
      <x:c r="K545" s="15" t="n">
        <x:f>F545/'Datos'!$F$7</x:f>
        <x:v>0.00048768630386742805</x:v>
      </x:c>
      <x:c r="L545" s="3"/>
    </x:row>
    <x:row r="546" ht="22" customHeight="1">
      <x:c r="A546" s="3"/>
      <x:c r="B546" s="3" t="str">
        <x:v>21876</x:v>
      </x:c>
      <x:c r="C546" s="3" t="str">
        <x:v>POTTERING MUG</x:v>
      </x:c>
      <x:c r="D546" s="13" t="n">
        <x:v>4834.51</x:v>
      </x:c>
      <x:c r="E546" s="13" t="n">
        <x:v>58.9</x:v>
      </x:c>
      <x:c r="F546" s="13" t="n">
        <x:f>D546-E546</x:f>
        <x:v>4775.610000000001</x:v>
      </x:c>
      <x:c r="G546" s="3" t="n">
        <x:v>3796</x:v>
      </x:c>
      <x:c r="H546" s="3" t="n">
        <x:v>42</x:v>
      </x:c>
      <x:c r="I546" s="3" t="n">
        <x:v>333</x:v>
      </x:c>
      <x:c r="J546" s="15" t="n">
        <x:f>IF(D546=0,"n.a.",E546/D546)</x:f>
        <x:v>0.012183240907558367</x:v>
      </x:c>
      <x:c r="K546" s="15" t="n">
        <x:f>F546/'Datos'!$F$7</x:f>
        <x:v>0.00048766996518097153</x:v>
      </x:c>
      <x:c r="L546" s="3"/>
    </x:row>
    <x:row r="547" ht="22" customHeight="1">
      <x:c r="A547" s="3"/>
      <x:c r="B547" s="3" t="str">
        <x:v>23389</x:v>
      </x:c>
      <x:c r="C547" s="3" t="str">
        <x:v>SPACEBOY MINI BACKPACK</x:v>
      </x:c>
      <x:c r="D547" s="13" t="n">
        <x:v>4780.54</x:v>
      </x:c>
      <x:c r="E547" s="13" t="n">
        <x:v>8.3</x:v>
      </x:c>
      <x:c r="F547" s="13" t="n">
        <x:f>D547-E547</x:f>
        <x:v>4772.24</x:v>
      </x:c>
      <x:c r="G547" s="3" t="n">
        <x:v>1122</x:v>
      </x:c>
      <x:c r="H547" s="3" t="n">
        <x:v>2</x:v>
      </x:c>
      <x:c r="I547" s="3" t="n">
        <x:v>237</x:v>
      </x:c>
      <x:c r="J547" s="15" t="n">
        <x:f>IF(D547=0,"n.a.",E547/D547)</x:f>
        <x:v>0.0017362055332661166</x:v>
      </x:c>
      <x:c r="K547" s="15" t="n">
        <x:f>F547/'Datos'!$F$7</x:f>
        <x:v>0.00048732583159747956</x:v>
      </x:c>
      <x:c r="L547" s="3"/>
    </x:row>
    <x:row r="548" ht="22" customHeight="1">
      <x:c r="A548" s="3"/>
      <x:c r="B548" s="3" t="str">
        <x:v>22636</x:v>
      </x:c>
      <x:c r="C548" s="3" t="str">
        <x:v>CHILDS BREAKFAST SET CIRCUS PARADE</x:v>
      </x:c>
      <x:c r="D548" s="13" t="n">
        <x:v>5009.56</x:v>
      </x:c>
      <x:c r="E548" s="13" t="n">
        <x:v>239.7</x:v>
      </x:c>
      <x:c r="F548" s="13" t="n">
        <x:f>D548-E548</x:f>
        <x:v>4769.860000000001</x:v>
      </x:c>
      <x:c r="G548" s="3" t="n">
        <x:v>595</x:v>
      </x:c>
      <x:c r="H548" s="3" t="n">
        <x:v>29</x:v>
      </x:c>
      <x:c r="I548" s="3" t="n">
        <x:v>198</x:v>
      </x:c>
      <x:c r="J548" s="15" t="n">
        <x:f>IF(D548=0,"n.a.",E548/D548)</x:f>
        <x:v>0.04784851364191665</x:v>
      </x:c>
      <x:c r="K548" s="15" t="n">
        <x:f>F548/'Datos'!$F$7</x:f>
        <x:v>0.00048708279363643783</x:v>
      </x:c>
      <x:c r="L548" s="3"/>
    </x:row>
    <x:row r="549" ht="22" customHeight="1">
      <x:c r="A549" s="3"/>
      <x:c r="B549" s="3" t="str">
        <x:v>20677</x:v>
      </x:c>
      <x:c r="C549" s="3" t="str">
        <x:v>PINK POLKADOT BOWL</x:v>
      </x:c>
      <x:c r="D549" s="13" t="n">
        <x:v>4749.84</x:v>
      </x:c>
      <x:c r="E549" s="13" t="n">
        <x:v>6.25</x:v>
      </x:c>
      <x:c r="F549" s="13" t="n">
        <x:f>D549-E549</x:f>
        <x:v>4743.59</x:v>
      </x:c>
      <x:c r="G549" s="3" t="n">
        <x:v>3676</x:v>
      </x:c>
      <x:c r="H549" s="3" t="n">
        <x:v>5</x:v>
      </x:c>
      <x:c r="I549" s="3" t="n">
        <x:v>333</x:v>
      </x:c>
      <x:c r="J549" s="15" t="n">
        <x:f>IF(D549=0,"n.a.",E549/D549)</x:f>
        <x:v>0.0013158337965068297</x:v>
      </x:c>
      <x:c r="K549" s="15" t="n">
        <x:f>F549/'Datos'!$F$7</x:f>
        <x:v>0.00048440018555384644</x:v>
      </x:c>
      <x:c r="L549" s="3"/>
    </x:row>
    <x:row r="550" ht="22" customHeight="1">
      <x:c r="A550" s="3"/>
      <x:c r="B550" s="3" t="str">
        <x:v>23569</x:v>
      </x:c>
      <x:c r="C550" s="3" t="str">
        <x:v>TRADTIONAL ALPHABET STAMP SET</x:v>
      </x:c>
      <x:c r="D550" s="13" t="n">
        <x:v>4752.31</x:v>
      </x:c>
      <x:c r="E550" s="13" t="n">
        <x:v>9.9</x:v>
      </x:c>
      <x:c r="F550" s="13" t="n">
        <x:f>D550-E550</x:f>
        <x:v>4742.410000000001</x:v>
      </x:c>
      <x:c r="G550" s="3" t="n">
        <x:v>961</x:v>
      </x:c>
      <x:c r="H550" s="3" t="n">
        <x:v>2</x:v>
      </x:c>
      <x:c r="I550" s="3" t="n">
        <x:v>192</x:v>
      </x:c>
      <x:c r="J550" s="15" t="n">
        <x:f>IF(D550=0,"n.a.",E550/D550)</x:f>
        <x:v>0.0020831974345107956</x:v>
      </x:c>
      <x:c r="K550" s="15" t="n">
        <x:f>F550/'Datos'!$F$7</x:f>
        <x:v>0.00048427968774122915</x:v>
      </x:c>
      <x:c r="L550" s="3"/>
    </x:row>
    <x:row r="551" ht="22" customHeight="1">
      <x:c r="A551" s="3"/>
      <x:c r="B551" s="3" t="str">
        <x:v>23558</x:v>
      </x:c>
      <x:c r="C551" s="3" t="str">
        <x:v>LANDMARK FRAME LONDON BRIDGE</x:v>
      </x:c>
      <x:c r="D551" s="13" t="n">
        <x:v>4741.37</x:v>
      </x:c>
      <x:c r="E551" s="13" t="n">
        <x:v>0</x:v>
      </x:c>
      <x:c r="F551" s="13" t="n">
        <x:f>D551-E551</x:f>
        <x:v>4741.37</x:v>
      </x:c>
      <x:c r="G551" s="3" t="n">
        <x:v>418</x:v>
      </x:c>
      <x:c r="H551" s="3" t="n">
        <x:v>0</x:v>
      </x:c>
      <x:c r="I551" s="3" t="n">
        <x:v>52</x:v>
      </x:c>
      <x:c r="J551" s="15" t="n">
        <x:f>IF(D551=0,"n.a.",E551/D551)</x:f>
        <x:v>0</x:v>
      </x:c>
      <x:c r="K551" s="15" t="n">
        <x:f>F551/'Datos'!$F$7</x:f>
        <x:v>0.00048417348627926123</x:v>
      </x:c>
      <x:c r="L551" s="3"/>
    </x:row>
    <x:row r="552" ht="22" customHeight="1">
      <x:c r="A552" s="3"/>
      <x:c r="B552" s="3" t="str">
        <x:v>84050</x:v>
      </x:c>
      <x:c r="C552" s="3" t="str">
        <x:v>PINK HEART SHAPE EGG FRYING PAN</x:v>
      </x:c>
      <x:c r="D552" s="13" t="n">
        <x:v>4761.78</x:v>
      </x:c>
      <x:c r="E552" s="13" t="n">
        <x:v>22.7</x:v>
      </x:c>
      <x:c r="F552" s="13" t="n">
        <x:f>D552-E552</x:f>
        <x:v>4739.08</x:v>
      </x:c>
      <x:c r="G552" s="3" t="n">
        <x:v>3234</x:v>
      </x:c>
      <x:c r="H552" s="3" t="n">
        <x:v>14</x:v>
      </x:c>
      <x:c r="I552" s="3" t="n">
        <x:v>256</x:v>
      </x:c>
      <x:c r="J552" s="15" t="n">
        <x:f>IF(D552=0,"n.a.",E552/D552)</x:f>
        <x:v>0.004767124898672345</x:v>
      </x:c>
      <x:c r="K552" s="15" t="n">
        <x:f>F552/'Datos'!$F$7</x:f>
        <x:v>0.0004839396388293513</x:v>
      </x:c>
      <x:c r="L552" s="3"/>
    </x:row>
    <x:row r="553" ht="22" customHeight="1">
      <x:c r="A553" s="3"/>
      <x:c r="B553" s="3" t="str">
        <x:v>22243</x:v>
      </x:c>
      <x:c r="C553" s="3" t="str">
        <x:v>5 HOOK HANGER RED MAGIC TOADSTOOL</x:v>
      </x:c>
      <x:c r="D553" s="13" t="n">
        <x:v>4753.29</x:v>
      </x:c>
      <x:c r="E553" s="13" t="n">
        <x:v>18.15</x:v>
      </x:c>
      <x:c r="F553" s="13" t="n">
        <x:f>D553-E553</x:f>
        <x:v>4735.14</x:v>
      </x:c>
      <x:c r="G553" s="3" t="n">
        <x:v>3099</x:v>
      </x:c>
      <x:c r="H553" s="3" t="n">
        <x:v>11</x:v>
      </x:c>
      <x:c r="I553" s="3" t="n">
        <x:v>131</x:v>
      </x:c>
      <x:c r="J553" s="15" t="n">
        <x:f>IF(D553=0,"n.a.",E553/D553)</x:f>
        <x:v>0.003818407881698781</x:v>
      </x:c>
      <x:c r="K553" s="15" t="n">
        <x:f>F553/'Datos'!$F$7</x:f>
        <x:v>0.0004835372986753578</x:v>
      </x:c>
      <x:c r="L553" s="3"/>
    </x:row>
    <x:row r="554" ht="22" customHeight="1">
      <x:c r="A554" s="3"/>
      <x:c r="B554" s="3" t="str">
        <x:v>23157</x:v>
      </x:c>
      <x:c r="C554" s="3" t="str">
        <x:v>SET OF 6 NATIVITY MAGNETS</x:v>
      </x:c>
      <x:c r="D554" s="13" t="n">
        <x:v>5170.1</x:v>
      </x:c>
      <x:c r="E554" s="13" t="n">
        <x:v>444</x:v>
      </x:c>
      <x:c r="F554" s="13" t="n">
        <x:f>D554-E554</x:f>
        <x:v>4726.1</x:v>
      </x:c>
      <x:c r="G554" s="3" t="n">
        <x:v>2570</x:v>
      </x:c>
      <x:c r="H554" s="3" t="n">
        <x:v>240</x:v>
      </x:c>
      <x:c r="I554" s="3" t="n">
        <x:v>163</x:v>
      </x:c>
      <x:c r="J554" s="15" t="n">
        <x:f>IF(D554=0,"n.a.",E554/D554)</x:f>
        <x:v>0.08587841627821512</x:v>
      </x:c>
      <x:c r="K554" s="15" t="n">
        <x:f>F554/'Datos'!$F$7</x:f>
        <x:v>0.0004826141628905605</x:v>
      </x:c>
      <x:c r="L554" s="3"/>
    </x:row>
    <x:row r="555" ht="22" customHeight="1">
      <x:c r="A555" s="3"/>
      <x:c r="B555" s="3" t="str">
        <x:v>15056P</x:v>
      </x:c>
      <x:c r="C555" s="3" t="str">
        <x:v>EDWARDIAN PARASOL PINK</x:v>
      </x:c>
      <x:c r="D555" s="13" t="n">
        <x:v>4779.3</x:v>
      </x:c>
      <x:c r="E555" s="13" t="n">
        <x:v>58.2</x:v>
      </x:c>
      <x:c r="F555" s="13" t="n">
        <x:f>D555-E555</x:f>
        <x:v>4721.1</x:v>
      </x:c>
      <x:c r="G555" s="3" t="n">
        <x:v>811</x:v>
      </x:c>
      <x:c r="H555" s="3" t="n">
        <x:v>10</x:v>
      </x:c>
      <x:c r="I555" s="3" t="n">
        <x:v>170</x:v>
      </x:c>
      <x:c r="J555" s="15" t="n">
        <x:f>IF(D555=0,"n.a.",E555/D555)</x:f>
        <x:v>0.012177515535747913</x:v>
      </x:c>
      <x:c r="K555" s="15" t="n">
        <x:f>F555/'Datos'!$F$7</x:f>
        <x:v>0.00048210357893879204</x:v>
      </x:c>
      <x:c r="L555" s="3"/>
    </x:row>
    <x:row r="556" ht="22" customHeight="1">
      <x:c r="A556" s="3"/>
      <x:c r="B556" s="3" t="str">
        <x:v>23159</x:v>
      </x:c>
      <x:c r="C556" s="3" t="str">
        <x:v>SET OF 5 PANCAKE DAY MAGNETS</x:v>
      </x:c>
      <x:c r="D556" s="13" t="n">
        <x:v>4771.76</x:v>
      </x:c>
      <x:c r="E556" s="13" t="n">
        <x:v>52</x:v>
      </x:c>
      <x:c r="F556" s="13" t="n">
        <x:f>D556-E556</x:f>
        <x:v>4719.76</x:v>
      </x:c>
      <x:c r="G556" s="3" t="n">
        <x:v>2321</x:v>
      </x:c>
      <x:c r="H556" s="3" t="n">
        <x:v>25</x:v>
      </x:c>
      <x:c r="I556" s="3" t="n">
        <x:v>223</x:v>
      </x:c>
      <x:c r="J556" s="15" t="n">
        <x:f>IF(D556=0,"n.a.",E556/D556)</x:f>
        <x:v>0.010897446644424698</x:v>
      </x:c>
      <x:c r="K556" s="15" t="n">
        <x:f>F556/'Datos'!$F$7</x:f>
        <x:v>0.0004819667424397181</x:v>
      </x:c>
      <x:c r="L556" s="3"/>
    </x:row>
    <x:row r="557" ht="22" customHeight="1">
      <x:c r="A557" s="3"/>
      <x:c r="B557" s="3" t="str">
        <x:v>23286</x:v>
      </x:c>
      <x:c r="C557" s="3" t="str">
        <x:v>BLUE VINTAGE SPOT BEAKER</x:v>
      </x:c>
      <x:c r="D557" s="13" t="n">
        <x:v>4747.62</x:v>
      </x:c>
      <x:c r="E557" s="13" t="n">
        <x:v>41.65</x:v>
      </x:c>
      <x:c r="F557" s="13" t="n">
        <x:f>D557-E557</x:f>
        <x:v>4705.97</x:v>
      </x:c>
      <x:c r="G557" s="3" t="n">
        <x:v>5048</x:v>
      </x:c>
      <x:c r="H557" s="3" t="n">
        <x:v>49</x:v>
      </x:c>
      <x:c r="I557" s="3" t="n">
        <x:v>222</x:v>
      </x:c>
      <x:c r="J557" s="15" t="n">
        <x:f>IF(D557=0,"n.a.",E557/D557)</x:f>
        <x:v>0.00877281669552323</x:v>
      </x:c>
      <x:c r="K557" s="15" t="n">
        <x:f>F557/'Datos'!$F$7</x:f>
        <x:v>0.00048055855190074073</x:v>
      </x:c>
      <x:c r="L557" s="3"/>
    </x:row>
    <x:row r="558" ht="22" customHeight="1">
      <x:c r="A558" s="3"/>
      <x:c r="B558" s="3" t="str">
        <x:v>23184</x:v>
      </x:c>
      <x:c r="C558" s="3" t="str">
        <x:v>BULL DOG BOTTLE OPENER</x:v>
      </x:c>
      <x:c r="D558" s="13" t="n">
        <x:v>4764.5</x:v>
      </x:c>
      <x:c r="E558" s="13" t="n">
        <x:v>64.35</x:v>
      </x:c>
      <x:c r="F558" s="13" t="n">
        <x:f>D558-E558</x:f>
        <x:v>4700.15</x:v>
      </x:c>
      <x:c r="G558" s="3" t="n">
        <x:v>874</x:v>
      </x:c>
      <x:c r="H558" s="3" t="n">
        <x:v>13</x:v>
      </x:c>
      <x:c r="I558" s="3" t="n">
        <x:v>264</x:v>
      </x:c>
      <x:c r="J558" s="15" t="n">
        <x:f>IF(D558=0,"n.a.",E558/D558)</x:f>
        <x:v>0.013506139154160981</x:v>
      </x:c>
      <x:c r="K558" s="15" t="n">
        <x:f>F558/'Datos'!$F$7</x:f>
        <x:v>0.00047996423218088226</x:v>
      </x:c>
      <x:c r="L558" s="3"/>
    </x:row>
    <x:row r="559" ht="22" customHeight="1">
      <x:c r="A559" s="3"/>
      <x:c r="B559" s="3" t="str">
        <x:v>22645</x:v>
      </x:c>
      <x:c r="C559" s="3" t="str">
        <x:v>CERAMIC HEART FAIRY CAKE MONEY BANK</x:v>
      </x:c>
      <x:c r="D559" s="13" t="n">
        <x:v>4721.73</x:v>
      </x:c>
      <x:c r="E559" s="13" t="n">
        <x:v>24.45</x:v>
      </x:c>
      <x:c r="F559" s="13" t="n">
        <x:f>D559-E559</x:f>
        <x:v>4697.28</x:v>
      </x:c>
      <x:c r="G559" s="3" t="n">
        <x:v>2363</x:v>
      </x:c>
      <x:c r="H559" s="3" t="n">
        <x:v>17</x:v>
      </x:c>
      <x:c r="I559" s="3" t="n">
        <x:v>351</x:v>
      </x:c>
      <x:c r="J559" s="15" t="n">
        <x:f>IF(D559=0,"n.a.",E559/D559)</x:f>
        <x:v>0.005178186808648525</x:v>
      </x:c>
      <x:c r="K559" s="15" t="n">
        <x:f>F559/'Datos'!$F$7</x:f>
        <x:v>0.00047967115699256715</x:v>
      </x:c>
      <x:c r="L559" s="3"/>
    </x:row>
    <x:row r="560" ht="22" customHeight="1">
      <x:c r="A560" s="3"/>
      <x:c r="B560" s="3" t="str">
        <x:v>23241</x:v>
      </x:c>
      <x:c r="C560" s="3" t="str">
        <x:v>TREASURE TIN GYMKHANA DESIGN</x:v>
      </x:c>
      <x:c r="D560" s="13" t="n">
        <x:v>4709.07</x:v>
      </x:c>
      <x:c r="E560" s="13" t="n">
        <x:v>14.56</x:v>
      </x:c>
      <x:c r="F560" s="13" t="n">
        <x:f>D560-E560</x:f>
        <x:v>4694.509999999999</x:v>
      </x:c>
      <x:c r="G560" s="3" t="n">
        <x:v>2184</x:v>
      </x:c>
      <x:c r="H560" s="3" t="n">
        <x:v>7</x:v>
      </x:c>
      <x:c r="I560" s="3" t="n">
        <x:v>363</x:v>
      </x:c>
      <x:c r="J560" s="15" t="n">
        <x:f>IF(D560=0,"n.a.",E560/D560)</x:f>
        <x:v>0.0030919056204303614</x:v>
      </x:c>
      <x:c r="K560" s="15" t="n">
        <x:f>F560/'Datos'!$F$7</x:f>
        <x:v>0.0004793882934832874</x:v>
      </x:c>
      <x:c r="L560" s="3"/>
    </x:row>
    <x:row r="561" ht="22" customHeight="1">
      <x:c r="A561" s="3"/>
      <x:c r="B561" s="3" t="str">
        <x:v>22082</x:v>
      </x:c>
      <x:c r="C561" s="3" t="str">
        <x:v>RIBBON REEL STRIPES DESIGN</x:v>
      </x:c>
      <x:c r="D561" s="13" t="n">
        <x:v>4716.33</x:v>
      </x:c>
      <x:c r="E561" s="13" t="n">
        <x:v>33</x:v>
      </x:c>
      <x:c r="F561" s="13" t="n">
        <x:f>D561-E561</x:f>
        <x:v>4683.33</x:v>
      </x:c>
      <x:c r="G561" s="3" t="n">
        <x:v>2713</x:v>
      </x:c>
      <x:c r="H561" s="3" t="n">
        <x:v>20</x:v>
      </x:c>
      <x:c r="I561" s="3" t="n">
        <x:v>409</x:v>
      </x:c>
      <x:c r="J561" s="15" t="n">
        <x:f>IF(D561=0,"n.a.",E561/D561)</x:f>
        <x:v>0.006996965861167476</x:v>
      </x:c>
      <x:c r="K561" s="15" t="n">
        <x:f>F561/'Datos'!$F$7</x:f>
        <x:v>0.00047824662776713324</x:v>
      </x:c>
      <x:c r="L561" s="3"/>
    </x:row>
    <x:row r="562" ht="22" customHeight="1">
      <x:c r="A562" s="3"/>
      <x:c r="B562" s="3" t="str">
        <x:v>82552</x:v>
      </x:c>
      <x:c r="C562" s="3" t="str">
        <x:v>WASHROOM METAL SIGN</x:v>
      </x:c>
      <x:c r="D562" s="13" t="n">
        <x:v>4680.63</x:v>
      </x:c>
      <x:c r="E562" s="13" t="n">
        <x:v>0</x:v>
      </x:c>
      <x:c r="F562" s="13" t="n">
        <x:f>D562-E562</x:f>
        <x:v>4680.63</x:v>
      </x:c>
      <x:c r="G562" s="3" t="n">
        <x:v>3016</x:v>
      </x:c>
      <x:c r="H562" s="3" t="n">
        <x:v>0</x:v>
      </x:c>
      <x:c r="I562" s="3" t="n">
        <x:v>364</x:v>
      </x:c>
      <x:c r="J562" s="15" t="n">
        <x:f>IF(D562=0,"n.a.",E562/D562)</x:f>
        <x:v>0</x:v>
      </x:c>
      <x:c r="K562" s="15" t="n">
        <x:f>F562/'Datos'!$F$7</x:f>
        <x:v>0.0004779709124331783</x:v>
      </x:c>
      <x:c r="L562" s="3"/>
    </x:row>
    <x:row r="563" ht="22" customHeight="1">
      <x:c r="A563" s="3"/>
      <x:c r="B563" s="3" t="str">
        <x:v>37449</x:v>
      </x:c>
      <x:c r="C563" s="3" t="str">
        <x:v>CERAMIC CAKE STAND + HANGING CAKES</x:v>
      </x:c>
      <x:c r="D563" s="13" t="n">
        <x:v>5127.24</x:v>
      </x:c>
      <x:c r="E563" s="13" t="n">
        <x:v>446.7</x:v>
      </x:c>
      <x:c r="F563" s="13" t="n">
        <x:f>D563-E563</x:f>
        <x:v>4680.54</x:v>
      </x:c>
      <x:c r="G563" s="3" t="n">
        <x:v>564</x:v>
      </x:c>
      <x:c r="H563" s="3" t="n">
        <x:v>50</x:v>
      </x:c>
      <x:c r="I563" s="3" t="n">
        <x:v>154</x:v>
      </x:c>
      <x:c r="J563" s="15" t="n">
        <x:f>IF(D563=0,"n.a.",E563/D563)</x:f>
        <x:v>0.08712289652912679</x:v>
      </x:c>
      <x:c r="K563" s="15" t="n">
        <x:f>F563/'Datos'!$F$7</x:f>
        <x:v>0.00047796172192204645</x:v>
      </x:c>
      <x:c r="L563" s="3"/>
    </x:row>
    <x:row r="564" ht="22" customHeight="1">
      <x:c r="A564" s="3"/>
      <x:c r="B564" s="3" t="str">
        <x:v>22721</x:v>
      </x:c>
      <x:c r="C564" s="3" t="str">
        <x:v>SET OF 3 CAKE TINS SKETCHBOOK</x:v>
      </x:c>
      <x:c r="D564" s="13" t="n">
        <x:v>4678.71</x:v>
      </x:c>
      <x:c r="E564" s="13" t="n">
        <x:v>0</x:v>
      </x:c>
      <x:c r="F564" s="13" t="n">
        <x:f>D564-E564</x:f>
        <x:v>4678.71</x:v>
      </x:c>
      <x:c r="G564" s="3" t="n">
        <x:v>1022</x:v>
      </x:c>
      <x:c r="H564" s="3" t="n">
        <x:v>0</x:v>
      </x:c>
      <x:c r="I564" s="3" t="n">
        <x:v>297</x:v>
      </x:c>
      <x:c r="J564" s="15" t="n">
        <x:f>IF(D564=0,"n.a.",E564/D564)</x:f>
        <x:v>0</x:v>
      </x:c>
      <x:c r="K564" s="15" t="n">
        <x:f>F564/'Datos'!$F$7</x:f>
        <x:v>0.0004777748481956992</x:v>
      </x:c>
      <x:c r="L564" s="3"/>
    </x:row>
    <x:row r="565" ht="22" customHeight="1">
      <x:c r="A565" s="3"/>
      <x:c r="B565" s="3" t="str">
        <x:v>22745</x:v>
      </x:c>
      <x:c r="C565" s="3" t="str">
        <x:v>POPPY'S PLAYHOUSE BEDROOM</x:v>
      </x:c>
      <x:c r="D565" s="13" t="n">
        <x:v>4678.59</x:v>
      </x:c>
      <x:c r="E565" s="13" t="n">
        <x:v>27.3</x:v>
      </x:c>
      <x:c r="F565" s="13" t="n">
        <x:f>D565-E565</x:f>
        <x:v>4651.29</x:v>
      </x:c>
      <x:c r="G565" s="3" t="n">
        <x:v>2029</x:v>
      </x:c>
      <x:c r="H565" s="3" t="n">
        <x:v>13</x:v>
      </x:c>
      <x:c r="I565" s="3" t="n">
        <x:v>423</x:v>
      </x:c>
      <x:c r="J565" s="15" t="n">
        <x:f>IF(D565=0,"n.a.",E565/D565)</x:f>
        <x:v>0.005835091341622156</x:v>
      </x:c>
      <x:c r="K565" s="15" t="n">
        <x:f>F565/'Datos'!$F$7</x:f>
        <x:v>0.0004749748058042011</x:v>
      </x:c>
      <x:c r="L565" s="3"/>
    </x:row>
    <x:row r="566" ht="22" customHeight="1">
      <x:c r="A566" s="3"/>
      <x:c r="B566" s="3" t="str">
        <x:v>21539</x:v>
      </x:c>
      <x:c r="C566" s="3" t="str">
        <x:v>RED RETROSPOT BUTTER DISH</x:v>
      </x:c>
      <x:c r="D566" s="13" t="n">
        <x:v>4758.75</x:v>
      </x:c>
      <x:c r="E566" s="13" t="n">
        <x:v>108.95</x:v>
      </x:c>
      <x:c r="F566" s="13" t="n">
        <x:f>D566-E566</x:f>
        <x:v>4649.8</x:v>
      </x:c>
      <x:c r="G566" s="3" t="n">
        <x:v>972</x:v>
      </x:c>
      <x:c r="H566" s="3" t="n">
        <x:v>23</x:v>
      </x:c>
      <x:c r="I566" s="3" t="n">
        <x:v>238</x:v>
      </x:c>
      <x:c r="J566" s="15" t="n">
        <x:f>IF(D566=0,"n.a.",E566/D566)</x:f>
        <x:v>0.022894667717362753</x:v>
      </x:c>
      <x:c r="K566" s="15" t="n">
        <x:f>F566/'Datos'!$F$7</x:f>
        <x:v>0.00047482265178657416</x:v>
      </x:c>
      <x:c r="L566" s="3"/>
    </x:row>
    <x:row r="567" ht="22" customHeight="1">
      <x:c r="A567" s="3"/>
      <x:c r="B567" s="3" t="str">
        <x:v>85049A</x:v>
      </x:c>
      <x:c r="C567" s="3" t="str">
        <x:v>TRADITIONAL CHRISTMAS RIBBONS</x:v>
      </x:c>
      <x:c r="D567" s="13" t="n">
        <x:v>4660.2</x:v>
      </x:c>
      <x:c r="E567" s="13" t="n">
        <x:v>15</x:v>
      </x:c>
      <x:c r="F567" s="13" t="n">
        <x:f>D567-E567</x:f>
        <x:v>4645.2</x:v>
      </x:c>
      <x:c r="G567" s="3" t="n">
        <x:v>3249</x:v>
      </x:c>
      <x:c r="H567" s="3" t="n">
        <x:v>12</x:v>
      </x:c>
      <x:c r="I567" s="3" t="n">
        <x:v>359</x:v>
      </x:c>
      <x:c r="J567" s="15" t="n">
        <x:f>IF(D567=0,"n.a.",E567/D567)</x:f>
        <x:v>0.0032187459765675294</x:v>
      </x:c>
      <x:c r="K567" s="15" t="n">
        <x:f>F567/'Datos'!$F$7</x:f>
        <x:v>0.00047435291455094717</x:v>
      </x:c>
      <x:c r="L567" s="3"/>
    </x:row>
    <x:row r="568" ht="22" customHeight="1">
      <x:c r="A568" s="3"/>
      <x:c r="B568" s="3" t="str">
        <x:v>22813</x:v>
      </x:c>
      <x:c r="C568" s="3" t="str">
        <x:v>PACK 3 BOXES BIRD PANNETONE</x:v>
      </x:c>
      <x:c r="D568" s="13" t="n">
        <x:v>4640.78</x:v>
      </x:c>
      <x:c r="E568" s="13" t="n">
        <x:v>0</x:v>
      </x:c>
      <x:c r="F568" s="13" t="n">
        <x:f>D568-E568</x:f>
        <x:v>4640.78</x:v>
      </x:c>
      <x:c r="G568" s="3" t="n">
        <x:v>2372</x:v>
      </x:c>
      <x:c r="H568" s="3" t="n">
        <x:v>0</x:v>
      </x:c>
      <x:c r="I568" s="3" t="n">
        <x:v>218</x:v>
      </x:c>
      <x:c r="J568" s="15" t="n">
        <x:f>IF(D568=0,"n.a.",E568/D568)</x:f>
        <x:v>0</x:v>
      </x:c>
      <x:c r="K568" s="15" t="n">
        <x:f>F568/'Datos'!$F$7</x:f>
        <x:v>0.00047390155833758384</x:v>
      </x:c>
      <x:c r="L568" s="3"/>
    </x:row>
    <x:row r="569" ht="22" customHeight="1">
      <x:c r="A569" s="3"/>
      <x:c r="B569" s="3" t="str">
        <x:v>47599A</x:v>
      </x:c>
      <x:c r="C569" s="3" t="str">
        <x:v>PINK PARTY BAGS</x:v>
      </x:c>
      <x:c r="D569" s="13" t="n">
        <x:v>4649.5</x:v>
      </x:c>
      <x:c r="E569" s="13" t="n">
        <x:v>12.6</x:v>
      </x:c>
      <x:c r="F569" s="13" t="n">
        <x:f>D569-E569</x:f>
        <x:v>4636.9</x:v>
      </x:c>
      <x:c r="G569" s="3" t="n">
        <x:v>2456</x:v>
      </x:c>
      <x:c r="H569" s="3" t="n">
        <x:v>6</x:v>
      </x:c>
      <x:c r="I569" s="3" t="n">
        <x:v>165</x:v>
      </x:c>
      <x:c r="J569" s="15" t="n">
        <x:f>IF(D569=0,"n.a.",E569/D569)</x:f>
        <x:v>0.0027099688138509516</x:v>
      </x:c>
      <x:c r="K569" s="15" t="n">
        <x:f>F569/'Datos'!$F$7</x:f>
        <x:v>0.0004735053451910115</x:v>
      </x:c>
      <x:c r="L569" s="3"/>
    </x:row>
    <x:row r="570" ht="22" customHeight="1">
      <x:c r="A570" s="3"/>
      <x:c r="B570" s="3" t="str">
        <x:v>22295</x:v>
      </x:c>
      <x:c r="C570" s="3" t="str">
        <x:v>HEART FILIGREE DOVE LARGE</x:v>
      </x:c>
      <x:c r="D570" s="13" t="n">
        <x:v>4643.67</x:v>
      </x:c>
      <x:c r="E570" s="13" t="n">
        <x:v>19.8</x:v>
      </x:c>
      <x:c r="F570" s="13" t="n">
        <x:f>D570-E570</x:f>
        <x:v>4623.87</x:v>
      </x:c>
      <x:c r="G570" s="3" t="n">
        <x:v>2807</x:v>
      </x:c>
      <x:c r="H570" s="3" t="n">
        <x:v>12</x:v>
      </x:c>
      <x:c r="I570" s="3" t="n">
        <x:v>250</x:v>
      </x:c>
      <x:c r="J570" s="15" t="n">
        <x:f>IF(D570=0,"n.a.",E570/D570)</x:f>
        <x:v>0.0042638688795715455</x:v>
      </x:c>
      <x:c r="K570" s="15" t="n">
        <x:f>F570/'Datos'!$F$7</x:f>
        <x:v>0.000472174763412703</x:v>
      </x:c>
      <x:c r="L570" s="3"/>
    </x:row>
    <x:row r="571" ht="22" customHeight="1">
      <x:c r="A571" s="3"/>
      <x:c r="B571" s="3" t="str">
        <x:v>23176</x:v>
      </x:c>
      <x:c r="C571" s="3" t="str">
        <x:v>ABC TREASURE BOOK BOX</x:v>
      </x:c>
      <x:c r="D571" s="13" t="n">
        <x:v>4697.58</x:v>
      </x:c>
      <x:c r="E571" s="13" t="n">
        <x:v>101.25</x:v>
      </x:c>
      <x:c r="F571" s="13" t="n">
        <x:f>D571-E571</x:f>
        <x:v>4596.33</x:v>
      </x:c>
      <x:c r="G571" s="3" t="n">
        <x:v>2167</x:v>
      </x:c>
      <x:c r="H571" s="3" t="n">
        <x:v>45</x:v>
      </x:c>
      <x:c r="I571" s="3" t="n">
        <x:v>226</x:v>
      </x:c>
      <x:c r="J571" s="15" t="n">
        <x:f>IF(D571=0,"n.a.",E571/D571)</x:f>
        <x:v>0.02155365102882761</x:v>
      </x:c>
      <x:c r="K571" s="15" t="n">
        <x:f>F571/'Datos'!$F$7</x:f>
        <x:v>0.0004693624670063625</x:v>
      </x:c>
      <x:c r="L571" s="3"/>
    </x:row>
    <x:row r="572" ht="22" customHeight="1">
      <x:c r="A572" s="3"/>
      <x:c r="B572" s="3" t="str">
        <x:v>22775</x:v>
      </x:c>
      <x:c r="C572" s="3" t="str">
        <x:v>PURPLE DRAWERKNOB ACRYLIC EDWARDIAN</x:v>
      </x:c>
      <x:c r="D572" s="13" t="n">
        <x:v>4621.87</x:v>
      </x:c>
      <x:c r="E572" s="13" t="n">
        <x:v>35</x:v>
      </x:c>
      <x:c r="F572" s="13" t="n">
        <x:f>D572-E572</x:f>
        <x:v>4586.87</x:v>
      </x:c>
      <x:c r="G572" s="3" t="n">
        <x:v>3227</x:v>
      </x:c>
      <x:c r="H572" s="3" t="n">
        <x:v>28</x:v>
      </x:c>
      <x:c r="I572" s="3" t="n">
        <x:v>237</x:v>
      </x:c>
      <x:c r="J572" s="15" t="n">
        <x:f>IF(D572=0,"n.a.",E572/D572)</x:f>
        <x:v>0.007572692438342057</x:v>
      </x:c>
      <x:c r="K572" s="15" t="n">
        <x:f>F572/'Datos'!$F$7</x:f>
        <x:v>0.00046839644216961656</x:v>
      </x:c>
      <x:c r="L572" s="3"/>
    </x:row>
    <x:row r="573" ht="22" customHeight="1">
      <x:c r="A573" s="3"/>
      <x:c r="B573" s="3" t="str">
        <x:v>23285</x:v>
      </x:c>
      <x:c r="C573" s="3" t="str">
        <x:v>PINK VINTAGE SPOT BEAKER</x:v>
      </x:c>
      <x:c r="D573" s="13" t="n">
        <x:v>4572.41</x:v>
      </x:c>
      <x:c r="E573" s="13" t="n">
        <x:v>1.7</x:v>
      </x:c>
      <x:c r="F573" s="13" t="n">
        <x:f>D573-E573</x:f>
        <x:v>4570.71</x:v>
      </x:c>
      <x:c r="G573" s="3" t="n">
        <x:v>4807</x:v>
      </x:c>
      <x:c r="H573" s="3" t="n">
        <x:v>2</x:v>
      </x:c>
      <x:c r="I573" s="3" t="n">
        <x:v>191</x:v>
      </x:c>
      <x:c r="J573" s="15" t="n">
        <x:f>IF(D573=0,"n.a.",E573/D573)</x:f>
        <x:v>0.00037179518022224605</x:v>
      </x:c>
      <x:c r="K573" s="15" t="n">
        <x:f>F573/'Datos'!$F$7</x:f>
        <x:v>0.00046674623483750104</x:v>
      </x:c>
      <x:c r="L573" s="3"/>
    </x:row>
    <x:row r="574" ht="22" customHeight="1">
      <x:c r="A574" s="3"/>
      <x:c r="B574" s="3" t="str">
        <x:v>22606</x:v>
      </x:c>
      <x:c r="C574" s="3" t="str">
        <x:v>WOODEN SKITTLES GARDEN SET</x:v>
      </x:c>
      <x:c r="D574" s="13" t="n">
        <x:v>4670.36</x:v>
      </x:c>
      <x:c r="E574" s="13" t="n">
        <x:v>118.25</x:v>
      </x:c>
      <x:c r="F574" s="13" t="n">
        <x:f>D574-E574</x:f>
        <x:v>4552.11</x:v>
      </x:c>
      <x:c r="G574" s="3" t="n">
        <x:v>315</x:v>
      </x:c>
      <x:c r="H574" s="3" t="n">
        <x:v>11</x:v>
      </x:c>
      <x:c r="I574" s="3" t="n">
        <x:v>142</x:v>
      </x:c>
      <x:c r="J574" s="15" t="n">
        <x:f>IF(D574=0,"n.a.",E574/D574)</x:f>
        <x:v>0.025319247338534932</x:v>
      </x:c>
      <x:c r="K574" s="15" t="n">
        <x:f>F574/'Datos'!$F$7</x:f>
        <x:v>0.0004648468625369224</x:v>
      </x:c>
      <x:c r="L574" s="3"/>
    </x:row>
    <x:row r="575" ht="22" customHeight="1">
      <x:c r="A575" s="3"/>
      <x:c r="B575" s="3" t="str">
        <x:v>21833</x:v>
      </x:c>
      <x:c r="C575" s="3" t="str">
        <x:v>CAMOUFLAGE LED TORCH</x:v>
      </x:c>
      <x:c r="D575" s="13" t="n">
        <x:v>4594.43</x:v>
      </x:c>
      <x:c r="E575" s="13" t="n">
        <x:v>50.7</x:v>
      </x:c>
      <x:c r="F575" s="13" t="n">
        <x:f>D575-E575</x:f>
        <x:v>4543.7300000000005</x:v>
      </x:c>
      <x:c r="G575" s="3" t="n">
        <x:v>2726</x:v>
      </x:c>
      <x:c r="H575" s="3" t="n">
        <x:v>30</x:v>
      </x:c>
      <x:c r="I575" s="3" t="n">
        <x:v>168</x:v>
      </x:c>
      <x:c r="J575" s="15" t="n">
        <x:f>IF(D575=0,"n.a.",E575/D575)</x:f>
        <x:v>0.011035101198625292</x:v>
      </x:c>
      <x:c r="K575" s="15" t="n">
        <x:f>F575/'Datos'!$F$7</x:f>
        <x:v>0.0004639911238337586</x:v>
      </x:c>
      <x:c r="L575" s="3"/>
    </x:row>
    <x:row r="576" ht="22" customHeight="1">
      <x:c r="A576" s="3"/>
      <x:c r="B576" s="3" t="str">
        <x:v>22504</x:v>
      </x:c>
      <x:c r="C576" s="3" t="str">
        <x:v>CABIN BAG VINTAGE RETROSPOT</x:v>
      </x:c>
      <x:c r="D576" s="13" t="n">
        <x:v>4674.62</x:v>
      </x:c>
      <x:c r="E576" s="13" t="n">
        <x:v>132.55</x:v>
      </x:c>
      <x:c r="F576" s="13" t="n">
        <x:f>D576-E576</x:f>
        <x:v>4542.07</x:v>
      </x:c>
      <x:c r="G576" s="3" t="n">
        <x:v>247</x:v>
      </x:c>
      <x:c r="H576" s="3" t="n">
        <x:v>5</x:v>
      </x:c>
      <x:c r="I576" s="3" t="n">
        <x:v>68</x:v>
      </x:c>
      <x:c r="J576" s="15" t="n">
        <x:f>IF(D576=0,"n.a.",E576/D576)</x:f>
        <x:v>0.02835524598790918</x:v>
      </x:c>
      <x:c r="K576" s="15" t="n">
        <x:f>F576/'Datos'!$F$7</x:f>
        <x:v>0.00046382160996177136</x:v>
      </x:c>
      <x:c r="L576" s="3"/>
    </x:row>
    <x:row r="577" ht="22" customHeight="1">
      <x:c r="A577" s="3"/>
      <x:c r="B577" s="3" t="str">
        <x:v>22417</x:v>
      </x:c>
      <x:c r="C577" s="3" t="str">
        <x:v>PACK OF 60 SPACEBOY CAKE CASES</x:v>
      </x:c>
      <x:c r="D577" s="13" t="n">
        <x:v>4566.54</x:v>
      </x:c>
      <x:c r="E577" s="13" t="n">
        <x:v>25.3</x:v>
      </x:c>
      <x:c r="F577" s="13" t="n">
        <x:f>D577-E577</x:f>
        <x:v>4541.24</x:v>
      </x:c>
      <x:c r="G577" s="3" t="n">
        <x:v>8426</x:v>
      </x:c>
      <x:c r="H577" s="3" t="n">
        <x:v>46</x:v>
      </x:c>
      <x:c r="I577" s="3" t="n">
        <x:v>520</x:v>
      </x:c>
      <x:c r="J577" s="15" t="n">
        <x:f>IF(D577=0,"n.a.",E577/D577)</x:f>
        <x:v>0.005540299657946717</x:v>
      </x:c>
      <x:c r="K577" s="15" t="n">
        <x:f>F577/'Datos'!$F$7</x:f>
        <x:v>0.00046373685302577786</x:v>
      </x:c>
      <x:c r="L577" s="3"/>
    </x:row>
    <x:row r="578" ht="22" customHeight="1">
      <x:c r="A578" s="3"/>
      <x:c r="B578" s="3" t="str">
        <x:v>82551</x:v>
      </x:c>
      <x:c r="C578" s="3" t="str">
        <x:v>LAUNDRY 15C METAL SIGN</x:v>
      </x:c>
      <x:c r="D578" s="13" t="n">
        <x:v>4542.89</x:v>
      </x:c>
      <x:c r="E578" s="13" t="n">
        <x:v>5.2</x:v>
      </x:c>
      <x:c r="F578" s="13" t="n">
        <x:f>D578-E578</x:f>
        <x:v>4537.6900000000005</x:v>
      </x:c>
      <x:c r="G578" s="3" t="n">
        <x:v>2918</x:v>
      </x:c>
      <x:c r="H578" s="3" t="n">
        <x:v>4</x:v>
      </x:c>
      <x:c r="I578" s="3" t="n">
        <x:v>351</x:v>
      </x:c>
      <x:c r="J578" s="15" t="n">
        <x:f>IF(D578=0,"n.a.",E578/D578)</x:f>
        <x:v>0.0011446458091655311</x:v>
      </x:c>
      <x:c r="K578" s="15" t="n">
        <x:f>F578/'Datos'!$F$7</x:f>
        <x:v>0.0004633743384200223</x:v>
      </x:c>
      <x:c r="L578" s="3"/>
    </x:row>
    <x:row r="579" ht="22" customHeight="1">
      <x:c r="A579" s="3"/>
      <x:c r="B579" s="3" t="str">
        <x:v>20979</x:v>
      </x:c>
      <x:c r="C579" s="3" t="str">
        <x:v>36 PENCILS TUBE RED RETROSPOT</x:v>
      </x:c>
      <x:c r="D579" s="13" t="n">
        <x:v>4729.98</x:v>
      </x:c>
      <x:c r="E579" s="13" t="n">
        <x:v>200</x:v>
      </x:c>
      <x:c r="F579" s="13" t="n">
        <x:f>D579-E579</x:f>
        <x:v>4529.98</x:v>
      </x:c>
      <x:c r="G579" s="3" t="n">
        <x:v>3739</x:v>
      </x:c>
      <x:c r="H579" s="3" t="n">
        <x:v>160</x:v>
      </x:c>
      <x:c r="I579" s="3" t="n">
        <x:v>325</x:v>
      </x:c>
      <x:c r="J579" s="15" t="n">
        <x:f>IF(D579=0,"n.a.",E579/D579)</x:f>
        <x:v>0.042283476885737366</x:v>
      </x:c>
      <x:c r="K579" s="15" t="n">
        <x:f>F579/'Datos'!$F$7</x:f>
        <x:v>0.0004625870179663953</x:v>
      </x:c>
      <x:c r="L579" s="3"/>
    </x:row>
    <x:row r="580" ht="22" customHeight="1">
      <x:c r="A580" s="3"/>
      <x:c r="B580" s="3" t="str">
        <x:v>22628</x:v>
      </x:c>
      <x:c r="C580" s="3" t="str">
        <x:v>PICNIC BOXES SET OF 3 RETROSPOT</x:v>
      </x:c>
      <x:c r="D580" s="13" t="n">
        <x:v>4625.86</x:v>
      </x:c>
      <x:c r="E580" s="13" t="n">
        <x:v>103.95</x:v>
      </x:c>
      <x:c r="F580" s="13" t="n">
        <x:f>D580-E580</x:f>
        <x:v>4521.91</x:v>
      </x:c>
      <x:c r="G580" s="3" t="n">
        <x:v>966</x:v>
      </x:c>
      <x:c r="H580" s="3" t="n">
        <x:v>21</x:v>
      </x:c>
      <x:c r="I580" s="3" t="n">
        <x:v>190</x:v>
      </x:c>
      <x:c r="J580" s="15" t="n">
        <x:f>IF(D580=0,"n.a.",E580/D580)</x:f>
        <x:v>0.022471497191873514</x:v>
      </x:c>
      <x:c r="K580" s="15" t="n">
        <x:f>F580/'Datos'!$F$7</x:f>
        <x:v>0.00046176293546824107</x:v>
      </x:c>
      <x:c r="L580" s="3"/>
    </x:row>
    <x:row r="581" ht="22" customHeight="1">
      <x:c r="A581" s="3"/>
      <x:c r="B581" s="3" t="str">
        <x:v>23168</x:v>
      </x:c>
      <x:c r="C581" s="3" t="str">
        <x:v>CLASSIC CAFE SUGAR DISPENSER</x:v>
      </x:c>
      <x:c r="D581" s="13" t="n">
        <x:v>4559.92</x:v>
      </x:c>
      <x:c r="E581" s="13" t="n">
        <x:v>65.61</x:v>
      </x:c>
      <x:c r="F581" s="13" t="n">
        <x:f>D581-E581</x:f>
        <x:v>4494.31</x:v>
      </x:c>
      <x:c r="G581" s="3" t="n">
        <x:v>3292</x:v>
      </x:c>
      <x:c r="H581" s="3" t="n">
        <x:v>54</x:v>
      </x:c>
      <x:c r="I581" s="3" t="n">
        <x:v>337</x:v>
      </x:c>
      <x:c r="J581" s="15" t="n">
        <x:f>IF(D581=0,"n.a.",E581/D581)</x:f>
        <x:v>0.014388410322988121</x:v>
      </x:c>
      <x:c r="K581" s="15" t="n">
        <x:f>F581/'Datos'!$F$7</x:f>
        <x:v>0.00045894451205447936</x:v>
      </x:c>
      <x:c r="L581" s="3"/>
    </x:row>
    <x:row r="582" ht="22" customHeight="1">
      <x:c r="A582" s="3"/>
      <x:c r="B582" s="3" t="str">
        <x:v>23309</x:v>
      </x:c>
      <x:c r="C582" s="3" t="str">
        <x:v>SET OF 60 I LOVE LONDON CAKE CASES</x:v>
      </x:c>
      <x:c r="D582" s="13" t="n">
        <x:v>4527.2</x:v>
      </x:c>
      <x:c r="E582" s="13" t="n">
        <x:v>48.4</x:v>
      </x:c>
      <x:c r="F582" s="13" t="n">
        <x:f>D582-E582</x:f>
        <x:v>4478.8</x:v>
      </x:c>
      <x:c r="G582" s="3" t="n">
        <x:v>8332</x:v>
      </x:c>
      <x:c r="H582" s="3" t="n">
        <x:v>88</x:v>
      </x:c>
      <x:c r="I582" s="3" t="n">
        <x:v>407</x:v>
      </x:c>
      <x:c r="J582" s="15" t="n">
        <x:f>IF(D582=0,"n.a.",E582/D582)</x:f>
        <x:v>0.01069093479413324</x:v>
      </x:c>
      <x:c r="K582" s="15" t="n">
        <x:f>F582/'Datos'!$F$7</x:f>
        <x:v>0.0004573606806360937</x:v>
      </x:c>
      <x:c r="L582" s="3"/>
    </x:row>
    <x:row r="583" ht="22" customHeight="1">
      <x:c r="A583" s="3"/>
      <x:c r="B583" s="3" t="str">
        <x:v>23530</x:v>
      </x:c>
      <x:c r="C583" s="3" t="str">
        <x:v>WALL ART ONLY ONE PERSON</x:v>
      </x:c>
      <x:c r="D583" s="13" t="n">
        <x:v>4465.97</x:v>
      </x:c>
      <x:c r="E583" s="13" t="n">
        <x:v>0</x:v>
      </x:c>
      <x:c r="F583" s="13" t="n">
        <x:f>D583-E583</x:f>
        <x:v>4465.97</x:v>
      </x:c>
      <x:c r="G583" s="3" t="n">
        <x:v>1062</x:v>
      </x:c>
      <x:c r="H583" s="3" t="n">
        <x:v>0</x:v>
      </x:c>
      <x:c r="I583" s="3" t="n">
        <x:v>87</x:v>
      </x:c>
      <x:c r="J583" s="15" t="n">
        <x:f>IF(D583=0,"n.a.",E583/D583)</x:f>
        <x:v>0</x:v>
      </x:c>
      <x:c r="K583" s="15" t="n">
        <x:f>F583/'Datos'!$F$7</x:f>
        <x:v>0.00045605052221585584</x:v>
      </x:c>
      <x:c r="L583" s="3"/>
    </x:row>
    <x:row r="584" ht="22" customHeight="1">
      <x:c r="A584" s="3"/>
      <x:c r="B584" s="3" t="str">
        <x:v>21934</x:v>
      </x:c>
      <x:c r="C584" s="3" t="str">
        <x:v>SKULL SHOULDER BAG</x:v>
      </x:c>
      <x:c r="D584" s="13" t="n">
        <x:v>4480.28</x:v>
      </x:c>
      <x:c r="E584" s="13" t="n">
        <x:v>16.5</x:v>
      </x:c>
      <x:c r="F584" s="13" t="n">
        <x:f>D584-E584</x:f>
        <x:v>4463.78</x:v>
      </x:c>
      <x:c r="G584" s="3" t="n">
        <x:v>2421</x:v>
      </x:c>
      <x:c r="H584" s="3" t="n">
        <x:v>10</x:v>
      </x:c>
      <x:c r="I584" s="3" t="n">
        <x:v>411</x:v>
      </x:c>
      <x:c r="J584" s="15" t="n">
        <x:f>IF(D584=0,"n.a.",E584/D584)</x:f>
        <x:v>0.003682805538939531</x:v>
      </x:c>
      <x:c r="K584" s="15" t="n">
        <x:f>F584/'Datos'!$F$7</x:f>
        <x:v>0.0004558268864449812</x:v>
      </x:c>
      <x:c r="L584" s="3"/>
    </x:row>
    <x:row r="585" ht="22" customHeight="1">
      <x:c r="A585" s="3"/>
      <x:c r="B585" s="3" t="str">
        <x:v>23275</x:v>
      </x:c>
      <x:c r="C585" s="3" t="str">
        <x:v>SET OF 3 HANGING OWLS OLLIE BEAK</x:v>
      </x:c>
      <x:c r="D585" s="13" t="n">
        <x:v>4557.97</x:v>
      </x:c>
      <x:c r="E585" s="13" t="n">
        <x:v>95.41</x:v>
      </x:c>
      <x:c r="F585" s="13" t="n">
        <x:f>D585-E585</x:f>
        <x:v>4462.56</x:v>
      </x:c>
      <x:c r="G585" s="3" t="n">
        <x:v>3749</x:v>
      </x:c>
      <x:c r="H585" s="3" t="n">
        <x:v>77</x:v>
      </x:c>
      <x:c r="I585" s="3" t="n">
        <x:v>325</x:v>
      </x:c>
      <x:c r="J585" s="15" t="n">
        <x:f>IF(D585=0,"n.a.",E585/D585)</x:f>
        <x:v>0.02093256427751828</x:v>
      </x:c>
      <x:c r="K585" s="15" t="n">
        <x:f>F585/'Datos'!$F$7</x:f>
        <x:v>0.0004557023039607498</x:v>
      </x:c>
      <x:c r="L585" s="3"/>
    </x:row>
    <x:row r="586" ht="22" customHeight="1">
      <x:c r="A586" s="3"/>
      <x:c r="B586" s="3" t="str">
        <x:v>22089</x:v>
      </x:c>
      <x:c r="C586" s="3" t="str">
        <x:v>PAPER BUNTING VINTAGE PAISLEY</x:v>
      </x:c>
      <x:c r="D586" s="13" t="n">
        <x:v>4460.38</x:v>
      </x:c>
      <x:c r="E586" s="13" t="n">
        <x:v>0</x:v>
      </x:c>
      <x:c r="F586" s="13" t="n">
        <x:f>D586-E586</x:f>
        <x:v>4460.38</x:v>
      </x:c>
      <x:c r="G586" s="3" t="n">
        <x:v>1424</x:v>
      </x:c>
      <x:c r="H586" s="3" t="n">
        <x:v>0</x:v>
      </x:c>
      <x:c r="I586" s="3" t="n">
        <x:v>272</x:v>
      </x:c>
      <x:c r="J586" s="15" t="n">
        <x:f>IF(D586=0,"n.a.",E586/D586)</x:f>
        <x:v>0</x:v>
      </x:c>
      <x:c r="K586" s="15" t="n">
        <x:f>F586/'Datos'!$F$7</x:f>
        <x:v>0.0004554796893577787</x:v>
      </x:c>
      <x:c r="L586" s="3"/>
    </x:row>
    <x:row r="587" ht="22" customHeight="1">
      <x:c r="A587" s="3"/>
      <x:c r="B587" s="3" t="str">
        <x:v>84987</x:v>
      </x:c>
      <x:c r="C587" s="3" t="str">
        <x:v>SET OF 36 TEATIME PAPER DOILIES</x:v>
      </x:c>
      <x:c r="D587" s="13" t="n">
        <x:v>4474.07</x:v>
      </x:c>
      <x:c r="E587" s="13" t="n">
        <x:v>21.75</x:v>
      </x:c>
      <x:c r="F587" s="13" t="n">
        <x:f>D587-E587</x:f>
        <x:v>4452.32</x:v>
      </x:c>
      <x:c r="G587" s="3" t="n">
        <x:v>3053</x:v>
      </x:c>
      <x:c r="H587" s="3" t="n">
        <x:v>15</x:v>
      </x:c>
      <x:c r="I587" s="3" t="n">
        <x:v>334</x:v>
      </x:c>
      <x:c r="J587" s="15" t="n">
        <x:f>IF(D587=0,"n.a.",E587/D587)</x:f>
        <x:v>0.004861345486324532</x:v>
      </x:c>
      <x:c r="K587" s="15" t="n">
        <x:f>F587/'Datos'!$F$7</x:f>
        <x:v>0.000454656628027528</x:v>
      </x:c>
      <x:c r="L587" s="3"/>
    </x:row>
    <x:row r="588" ht="22" customHeight="1">
      <x:c r="A588" s="3"/>
      <x:c r="B588" s="3" t="str">
        <x:v>23288</x:v>
      </x:c>
      <x:c r="C588" s="3" t="str">
        <x:v>GREEN VINTAGE SPOT BEAKER</x:v>
      </x:c>
      <x:c r="D588" s="13" t="n">
        <x:v>4444.23</x:v>
      </x:c>
      <x:c r="E588" s="13" t="n">
        <x:v>15.17</x:v>
      </x:c>
      <x:c r="F588" s="13" t="n">
        <x:f>D588-E588</x:f>
        <x:v>4429.0599999999995</x:v>
      </x:c>
      <x:c r="G588" s="3" t="n">
        <x:v>4625</x:v>
      </x:c>
      <x:c r="H588" s="3" t="n">
        <x:v>18</x:v>
      </x:c>
      <x:c r="I588" s="3" t="n">
        <x:v>185</x:v>
      </x:c>
      <x:c r="J588" s="15" t="n">
        <x:f>IF(D588=0,"n.a.",E588/D588)</x:f>
        <x:v>0.0034134146972591432</x:v>
      </x:c>
      <x:c r="K588" s="15" t="n">
        <x:f>F588/'Datos'!$F$7</x:f>
        <x:v>0.0004522813914839012</x:v>
      </x:c>
      <x:c r="L588" s="3"/>
    </x:row>
    <x:row r="589" ht="22" customHeight="1">
      <x:c r="A589" s="3"/>
      <x:c r="B589" s="3" t="str">
        <x:v>23404</x:v>
      </x:c>
      <x:c r="C589" s="3" t="str">
        <x:v>HOME SWEET HOME BLACKBOARD</x:v>
      </x:c>
      <x:c r="D589" s="13" t="n">
        <x:v>4561.76</x:v>
      </x:c>
      <x:c r="E589" s="13" t="n">
        <x:v>143.55</x:v>
      </x:c>
      <x:c r="F589" s="13" t="n">
        <x:f>D589-E589</x:f>
        <x:v>4418.21</x:v>
      </x:c>
      <x:c r="G589" s="3" t="n">
        <x:v>1011</x:v>
      </x:c>
      <x:c r="H589" s="3" t="n">
        <x:v>29</x:v>
      </x:c>
      <x:c r="I589" s="3" t="n">
        <x:v>169</x:v>
      </x:c>
      <x:c r="J589" s="15" t="n">
        <x:f>IF(D589=0,"n.a.",E589/D589)</x:f>
        <x:v>0.031468117568657715</x:v>
      </x:c>
      <x:c r="K589" s="15" t="n">
        <x:f>F589/'Datos'!$F$7</x:f>
        <x:v>0.00045117342430856373</x:v>
      </x:c>
      <x:c r="L589" s="3"/>
    </x:row>
    <x:row r="590" ht="22" customHeight="1">
      <x:c r="A590" s="3"/>
      <x:c r="B590" s="3" t="str">
        <x:v>23163</x:v>
      </x:c>
      <x:c r="C590" s="3" t="str">
        <x:v>REGENCY SUGAR TONGS</x:v>
      </x:c>
      <x:c r="D590" s="13" t="n">
        <x:v>4515.22</x:v>
      </x:c>
      <x:c r="E590" s="13" t="n">
        <x:v>114.4</x:v>
      </x:c>
      <x:c r="F590" s="13" t="n">
        <x:f>D590-E590</x:f>
        <x:v>4400.820000000001</x:v>
      </x:c>
      <x:c r="G590" s="3" t="n">
        <x:v>1832</x:v>
      </x:c>
      <x:c r="H590" s="3" t="n">
        <x:v>55</x:v>
      </x:c>
      <x:c r="I590" s="3" t="n">
        <x:v>209</x:v>
      </x:c>
      <x:c r="J590" s="15" t="n">
        <x:f>IF(D590=0,"n.a.",E590/D590)</x:f>
        <x:v>0.025336528452655684</x:v>
      </x:c>
      <x:c r="K590" s="15" t="n">
        <x:f>F590/'Datos'!$F$7</x:f>
        <x:v>0.0004493976133243132</x:v>
      </x:c>
      <x:c r="L590" s="3"/>
    </x:row>
    <x:row r="591" ht="22" customHeight="1">
      <x:c r="A591" s="3"/>
      <x:c r="B591" s="3" t="str">
        <x:v>22938</x:v>
      </x:c>
      <x:c r="C591" s="3" t="str">
        <x:v>CUPCAKE LACE PAPER SET 6</x:v>
      </x:c>
      <x:c r="D591" s="13" t="n">
        <x:v>4488.63</x:v>
      </x:c>
      <x:c r="E591" s="13" t="n">
        <x:v>117</x:v>
      </x:c>
      <x:c r="F591" s="13" t="n">
        <x:f>D591-E591</x:f>
        <x:v>4371.63</x:v>
      </x:c>
      <x:c r="G591" s="3" t="n">
        <x:v>2367</x:v>
      </x:c>
      <x:c r="H591" s="3" t="n">
        <x:v>60</x:v>
      </x:c>
      <x:c r="I591" s="3" t="n">
        <x:v>186</x:v>
      </x:c>
      <x:c r="J591" s="15" t="n">
        <x:f>IF(D591=0,"n.a.",E591/D591)</x:f>
        <x:v>0.02606585973894039</x:v>
      </x:c>
      <x:c r="K591" s="15" t="n">
        <x:f>F591/'Datos'!$F$7</x:f>
        <x:v>0.000446416824213889</x:v>
      </x:c>
      <x:c r="L591" s="3"/>
    </x:row>
    <x:row r="592" ht="22" customHeight="1">
      <x:c r="A592" s="3"/>
      <x:c r="B592" s="3" t="str">
        <x:v>21906</x:v>
      </x:c>
      <x:c r="C592" s="3" t="str">
        <x:v>PHARMACIE FIRST AID TIN</x:v>
      </x:c>
      <x:c r="D592" s="13" t="n">
        <x:v>4470.81</x:v>
      </x:c>
      <x:c r="E592" s="13" t="n">
        <x:v>114.75</x:v>
      </x:c>
      <x:c r="F592" s="13" t="n">
        <x:f>D592-E592</x:f>
        <x:v>4356.06</x:v>
      </x:c>
      <x:c r="G592" s="3" t="n">
        <x:v>581</x:v>
      </x:c>
      <x:c r="H592" s="3" t="n">
        <x:v>17</x:v>
      </x:c>
      <x:c r="I592" s="3" t="n">
        <x:v>173</x:v>
      </x:c>
      <x:c r="J592" s="15" t="n">
        <x:f>IF(D592=0,"n.a.",E592/D592)</x:f>
        <x:v>0.025666489964905687</x:v>
      </x:c>
      <x:c r="K592" s="15" t="n">
        <x:f>F592/'Datos'!$F$7</x:f>
        <x:v>0.0004448268657880821</x:v>
      </x:c>
      <x:c r="L592" s="3"/>
    </x:row>
    <x:row r="593" ht="22" customHeight="1">
      <x:c r="A593" s="3"/>
      <x:c r="B593" s="3" t="str">
        <x:v>22626</x:v>
      </x:c>
      <x:c r="C593" s="3" t="str">
        <x:v>BLACK KITCHEN SCALES</x:v>
      </x:c>
      <x:c r="D593" s="13" t="n">
        <x:v>4427.36</x:v>
      </x:c>
      <x:c r="E593" s="13" t="n">
        <x:v>76.5</x:v>
      </x:c>
      <x:c r="F593" s="13" t="n">
        <x:f>D593-E593</x:f>
        <x:v>4350.86</x:v>
      </x:c>
      <x:c r="G593" s="3" t="n">
        <x:v>520</x:v>
      </x:c>
      <x:c r="H593" s="3" t="n">
        <x:v>9</x:v>
      </x:c>
      <x:c r="I593" s="3" t="n">
        <x:v>199</x:v>
      </x:c>
      <x:c r="J593" s="15" t="n">
        <x:f>IF(D593=0,"n.a.",E593/D593)</x:f>
        <x:v>0.017278920169130137</x:v>
      </x:c>
      <x:c r="K593" s="15" t="n">
        <x:f>F593/'Datos'!$F$7</x:f>
        <x:v>0.00044429585847824285</x:v>
      </x:c>
      <x:c r="L593" s="3"/>
    </x:row>
    <x:row r="594" ht="22" customHeight="1">
      <x:c r="A594" s="3"/>
      <x:c r="B594" s="3" t="str">
        <x:v>16014</x:v>
      </x:c>
      <x:c r="C594" s="3" t="str">
        <x:v>SMALL CHINESE STYLE SCISSOR</x:v>
      </x:c>
      <x:c r="D594" s="13" t="n">
        <x:v>4335.76</x:v>
      </x:c>
      <x:c r="E594" s="13" t="n">
        <x:v>0</x:v>
      </x:c>
      <x:c r="F594" s="13" t="n">
        <x:f>D594-E594</x:f>
        <x:v>4335.76</x:v>
      </x:c>
      <x:c r="G594" s="3" t="n">
        <x:v>13328</x:v>
      </x:c>
      <x:c r="H594" s="3" t="n">
        <x:v>0</x:v>
      </x:c>
      <x:c r="I594" s="3" t="n">
        <x:v>54</x:v>
      </x:c>
      <x:c r="J594" s="15" t="n">
        <x:f>IF(D594=0,"n.a.",E594/D594)</x:f>
        <x:v>0</x:v>
      </x:c>
      <x:c r="K594" s="15" t="n">
        <x:f>F594/'Datos'!$F$7</x:f>
        <x:v>0.00044275389494390224</x:v>
      </x:c>
      <x:c r="L594" s="3"/>
    </x:row>
    <x:row r="595" ht="22" customHeight="1">
      <x:c r="A595" s="3"/>
      <x:c r="B595" s="3" t="str">
        <x:v>23349</x:v>
      </x:c>
      <x:c r="C595" s="3" t="str">
        <x:v>ROLL WRAP VINTAGE CHRISTMAS</x:v>
      </x:c>
      <x:c r="D595" s="13" t="n">
        <x:v>4355.1</x:v>
      </x:c>
      <x:c r="E595" s="13" t="n">
        <x:v>30</x:v>
      </x:c>
      <x:c r="F595" s="13" t="n">
        <x:f>D595-E595</x:f>
        <x:v>4325.1</x:v>
      </x:c>
      <x:c r="G595" s="3" t="n">
        <x:v>3231</x:v>
      </x:c>
      <x:c r="H595" s="3" t="n">
        <x:v>24</x:v>
      </x:c>
      <x:c r="I595" s="3" t="n">
        <x:v>337</x:v>
      </x:c>
      <x:c r="J595" s="15" t="n">
        <x:f>IF(D595=0,"n.a.",E595/D595)</x:f>
        <x:v>0.006888475580354067</x:v>
      </x:c>
      <x:c r="K595" s="15" t="n">
        <x:f>F595/'Datos'!$F$7</x:f>
        <x:v>0.000441665329958732</x:v>
      </x:c>
      <x:c r="L595" s="3"/>
    </x:row>
    <x:row r="596" ht="22" customHeight="1">
      <x:c r="A596" s="3"/>
      <x:c r="B596" s="3" t="str">
        <x:v>22899</x:v>
      </x:c>
      <x:c r="C596" s="3" t="str">
        <x:v>CHILDREN'S APRON DOLLY GIRL</x:v>
      </x:c>
      <x:c r="D596" s="13" t="n">
        <x:v>4328.53</x:v>
      </x:c>
      <x:c r="E596" s="13" t="n">
        <x:v>10.5</x:v>
      </x:c>
      <x:c r="F596" s="13" t="n">
        <x:f>D596-E596</x:f>
        <x:v>4318.03</x:v>
      </x:c>
      <x:c r="G596" s="3" t="n">
        <x:v>2070</x:v>
      </x:c>
      <x:c r="H596" s="3" t="n">
        <x:v>5</x:v>
      </x:c>
      <x:c r="I596" s="3" t="n">
        <x:v>313</x:v>
      </x:c>
      <x:c r="J596" s="15" t="n">
        <x:f>IF(D596=0,"n.a.",E596/D596)</x:f>
        <x:v>0.0024257657911577373</x:v>
      </x:c>
      <x:c r="K596" s="15" t="n">
        <x:f>F596/'Datos'!$F$7</x:f>
        <x:v>0.00044094336425093135</x:v>
      </x:c>
      <x:c r="L596" s="3"/>
    </x:row>
    <x:row r="597" ht="22" customHeight="1">
      <x:c r="A597" s="3"/>
      <x:c r="B597" s="3" t="str">
        <x:v>84692</x:v>
      </x:c>
      <x:c r="C597" s="3" t="str">
        <x:v>BOX OF 24 COCKTAIL PARASOLS</x:v>
      </x:c>
      <x:c r="D597" s="13" t="n">
        <x:v>4329.48</x:v>
      </x:c>
      <x:c r="E597" s="13" t="n">
        <x:v>13.02</x:v>
      </x:c>
      <x:c r="F597" s="13" t="n">
        <x:f>D597-E597</x:f>
        <x:v>4316.459999999999</x:v>
      </x:c>
      <x:c r="G597" s="3" t="n">
        <x:v>7908</x:v>
      </x:c>
      <x:c r="H597" s="3" t="n">
        <x:v>31</x:v>
      </x:c>
      <x:c r="I597" s="3" t="n">
        <x:v>583</x:v>
      </x:c>
      <x:c r="J597" s="15" t="n">
        <x:f>IF(D597=0,"n.a.",E597/D597)</x:f>
        <x:v>0.0030072895590232546</x:v>
      </x:c>
      <x:c r="K597" s="15" t="n">
        <x:f>F597/'Datos'!$F$7</x:f>
        <x:v>0.000440783040890076</x:v>
      </x:c>
      <x:c r="L597" s="3"/>
    </x:row>
    <x:row r="598" ht="22" customHeight="1">
      <x:c r="A598" s="3"/>
      <x:c r="B598" s="3" t="str">
        <x:v>20975</x:v>
      </x:c>
      <x:c r="C598" s="3" t="str">
        <x:v>12 PENCILS SMALL TUBE RED RETROSPOT</x:v>
      </x:c>
      <x:c r="D598" s="13" t="n">
        <x:v>4387.82</x:v>
      </x:c>
      <x:c r="E598" s="13" t="n">
        <x:v>78</x:v>
      </x:c>
      <x:c r="F598" s="13" t="n">
        <x:f>D598-E598</x:f>
        <x:v>4309.82</x:v>
      </x:c>
      <x:c r="G598" s="3" t="n">
        <x:v>6640</x:v>
      </x:c>
      <x:c r="H598" s="3" t="n">
        <x:v>120</x:v>
      </x:c>
      <x:c r="I598" s="3" t="n">
        <x:v>362</x:v>
      </x:c>
      <x:c r="J598" s="15" t="n">
        <x:f>IF(D598=0,"n.a.",E598/D598)</x:f>
        <x:v>0.017776481259486488</x:v>
      </x:c>
      <x:c r="K598" s="15" t="n">
        <x:f>F598/'Datos'!$F$7</x:f>
        <x:v>0.00044010498540212754</x:v>
      </x:c>
      <x:c r="L598" s="3"/>
    </x:row>
    <x:row r="599" ht="22" customHeight="1">
      <x:c r="A599" s="3"/>
      <x:c r="B599" s="3" t="str">
        <x:v>21892</x:v>
      </x:c>
      <x:c r="C599" s="3" t="str">
        <x:v>TRADITIONAL WOODEN CATCH CUP GAME</x:v>
      </x:c>
      <x:c r="D599" s="13" t="n">
        <x:v>4322.16</x:v>
      </x:c>
      <x:c r="E599" s="13" t="n">
        <x:v>16.25</x:v>
      </x:c>
      <x:c r="F599" s="13" t="n">
        <x:f>D599-E599</x:f>
        <x:v>4305.91</x:v>
      </x:c>
      <x:c r="G599" s="3" t="n">
        <x:v>3196</x:v>
      </x:c>
      <x:c r="H599" s="3" t="n">
        <x:v>13</x:v>
      </x:c>
      <x:c r="I599" s="3" t="n">
        <x:v>412</x:v>
      </x:c>
      <x:c r="J599" s="15" t="n">
        <x:f>IF(D599=0,"n.a.",E599/D599)</x:f>
        <x:v>0.003759694226960594</x:v>
      </x:c>
      <x:c r="K599" s="15" t="n">
        <x:f>F599/'Datos'!$F$7</x:f>
        <x:v>0.0004397057087518447</x:v>
      </x:c>
      <x:c r="L599" s="3"/>
    </x:row>
    <x:row r="600" ht="22" customHeight="1">
      <x:c r="A600" s="3"/>
      <x:c r="B600" s="3" t="str">
        <x:v>21498</x:v>
      </x:c>
      <x:c r="C600" s="3" t="str">
        <x:v>RED RETROSPOT WRAP</x:v>
      </x:c>
      <x:c r="D600" s="13" t="n">
        <x:v>4322.42</x:v>
      </x:c>
      <x:c r="E600" s="13" t="n">
        <x:v>21</x:v>
      </x:c>
      <x:c r="F600" s="13" t="n">
        <x:f>D600-E600</x:f>
        <x:v>4301.42</x:v>
      </x:c>
      <x:c r="G600" s="3" t="n">
        <x:v>10551</x:v>
      </x:c>
      <x:c r="H600" s="3" t="n">
        <x:v>50</x:v>
      </x:c>
      <x:c r="I600" s="3" t="n">
        <x:v>336</x:v>
      </x:c>
      <x:c r="J600" s="15" t="n">
        <x:f>IF(D600=0,"n.a.",E600/D600)</x:f>
        <x:v>0.004858389513281911</x:v>
      </x:c>
      <x:c r="K600" s="15" t="n">
        <x:f>F600/'Datos'!$F$7</x:f>
        <x:v>0.00043924720436315664</x:v>
      </x:c>
      <x:c r="L600" s="3"/>
    </x:row>
    <x:row r="601" ht="22" customHeight="1">
      <x:c r="A601" s="3"/>
      <x:c r="B601" s="3" t="str">
        <x:v>22327</x:v>
      </x:c>
      <x:c r="C601" s="3" t="str">
        <x:v>ROUND SNACK BOXES SET OF 4 SKULLS</x:v>
      </x:c>
      <x:c r="D601" s="13" t="n">
        <x:v>4336.7</x:v>
      </x:c>
      <x:c r="E601" s="13" t="n">
        <x:v>44.25</x:v>
      </x:c>
      <x:c r="F601" s="13" t="n">
        <x:f>D601-E601</x:f>
        <x:v>4292.45</x:v>
      </x:c>
      <x:c r="G601" s="3" t="n">
        <x:v>1178</x:v>
      </x:c>
      <x:c r="H601" s="3" t="n">
        <x:v>15</x:v>
      </x:c>
      <x:c r="I601" s="3" t="n">
        <x:v>287</x:v>
      </x:c>
      <x:c r="J601" s="15" t="n">
        <x:f>IF(D601=0,"n.a.",E601/D601)</x:f>
        <x:v>0.010203611040653031</x:v>
      </x:c>
      <x:c r="K601" s="15" t="n">
        <x:f>F601/'Datos'!$F$7</x:f>
        <x:v>0.00043833121675368404</x:v>
      </x:c>
      <x:c r="L601" s="3"/>
    </x:row>
    <x:row r="602" ht="22" customHeight="1">
      <x:c r="A602" s="3"/>
      <x:c r="B602" s="3" t="str">
        <x:v>23050</x:v>
      </x:c>
      <x:c r="C602" s="3" t="str">
        <x:v>RECYCLED ACAPULCO MAT GREEN</x:v>
      </x:c>
      <x:c r="D602" s="13" t="n">
        <x:v>4286.55</x:v>
      </x:c>
      <x:c r="E602" s="13" t="n">
        <x:v>8.25</x:v>
      </x:c>
      <x:c r="F602" s="13" t="n">
        <x:f>D602-E602</x:f>
        <x:v>4278.3</x:v>
      </x:c>
      <x:c r="G602" s="3" t="n">
        <x:v>497</x:v>
      </x:c>
      <x:c r="H602" s="3" t="n">
        <x:v>1</x:v>
      </x:c>
      <x:c r="I602" s="3" t="n">
        <x:v>205</x:v>
      </x:c>
      <x:c r="J602" s="15" t="n">
        <x:f>IF(D602=0,"n.a.",E602/D602)</x:f>
        <x:v>0.001924624698183854</x:v>
      </x:c>
      <x:c r="K602" s="15" t="n">
        <x:f>F602/'Datos'!$F$7</x:f>
        <x:v>0.0004368862641701794</x:v>
      </x:c>
      <x:c r="L602" s="3"/>
    </x:row>
    <x:row r="603" ht="22" customHeight="1">
      <x:c r="A603" s="3"/>
      <x:c r="B603" s="3" t="str">
        <x:v>23112</x:v>
      </x:c>
      <x:c r="C603" s="3" t="str">
        <x:v>PARISIENNE CURIO CABINET</x:v>
      </x:c>
      <x:c r="D603" s="13" t="n">
        <x:v>4514.58</x:v>
      </x:c>
      <x:c r="E603" s="13" t="n">
        <x:v>239.85</x:v>
      </x:c>
      <x:c r="F603" s="13" t="n">
        <x:f>D603-E603</x:f>
        <x:v>4274.73</x:v>
      </x:c>
      <x:c r="G603" s="3" t="n">
        <x:v>547</x:v>
      </x:c>
      <x:c r="H603" s="3" t="n">
        <x:v>33</x:v>
      </x:c>
      <x:c r="I603" s="3" t="n">
        <x:v>241</x:v>
      </x:c>
      <x:c r="J603" s="15" t="n">
        <x:f>IF(D603=0,"n.a.",E603/D603)</x:f>
        <x:v>0.05312786571508313</x:v>
      </x:c>
      <x:c r="K603" s="15" t="n">
        <x:f>F603/'Datos'!$F$7</x:f>
        <x:v>0.0004365217072286167</x:v>
      </x:c>
      <x:c r="L603" s="3"/>
    </x:row>
    <x:row r="604" ht="22" customHeight="1">
      <x:c r="A604" s="3"/>
      <x:c r="B604" s="3" t="str">
        <x:v>22723</x:v>
      </x:c>
      <x:c r="C604" s="3" t="str">
        <x:v>SET OF 6 HERB TINS SKETCHBOOK</x:v>
      </x:c>
      <x:c r="D604" s="13" t="n">
        <x:v>4282.57</x:v>
      </x:c>
      <x:c r="E604" s="13" t="n">
        <x:v>7.9</x:v>
      </x:c>
      <x:c r="F604" s="13" t="n">
        <x:f>D604-E604</x:f>
        <x:v>4274.67</x:v>
      </x:c>
      <x:c r="G604" s="3" t="n">
        <x:v>1169</x:v>
      </x:c>
      <x:c r="H604" s="3" t="n">
        <x:v>2</x:v>
      </x:c>
      <x:c r="I604" s="3" t="n">
        <x:v>295</x:v>
      </x:c>
      <x:c r="J604" s="15" t="n">
        <x:f>IF(D604=0,"n.a.",E604/D604)</x:f>
        <x:v>0.0018446867184891318</x:v>
      </x:c>
      <x:c r="K604" s="15" t="n">
        <x:f>F604/'Datos'!$F$7</x:f>
        <x:v>0.00043651558022119553</x:v>
      </x:c>
      <x:c r="L604" s="3"/>
    </x:row>
    <x:row r="605" ht="22" customHeight="1">
      <x:c r="A605" s="3"/>
      <x:c r="B605" s="3" t="str">
        <x:v>20970</x:v>
      </x:c>
      <x:c r="C605" s="3" t="str">
        <x:v>PINK FLORAL FELTCRAFT SHOULDER BAG</x:v>
      </x:c>
      <x:c r="D605" s="13" t="n">
        <x:v>4235.88</x:v>
      </x:c>
      <x:c r="E605" s="13" t="n">
        <x:v>11.25</x:v>
      </x:c>
      <x:c r="F605" s="13" t="n">
        <x:f>D605-E605</x:f>
        <x:v>4224.63</x:v>
      </x:c>
      <x:c r="G605" s="3" t="n">
        <x:v>1117</x:v>
      </x:c>
      <x:c r="H605" s="3" t="n">
        <x:v>3</x:v>
      </x:c>
      <x:c r="I605" s="3" t="n">
        <x:v>262</x:v>
      </x:c>
      <x:c r="J605" s="15" t="n">
        <x:f>IF(D605=0,"n.a.",E605/D605)</x:f>
        <x:v>0.002655882602906598</x:v>
      </x:c>
      <x:c r="K605" s="15" t="n">
        <x:f>F605/'Datos'!$F$7</x:f>
        <x:v>0.000431405656031897</x:v>
      </x:c>
      <x:c r="L605" s="3"/>
    </x:row>
    <x:row r="606" ht="22" customHeight="1">
      <x:c r="A606" s="3"/>
      <x:c r="B606" s="3" t="str">
        <x:v>23166</x:v>
      </x:c>
      <x:c r="C606" s="3" t="str">
        <x:v>MEDIUM CERAMIC TOP STORAGE JAR</x:v>
      </x:c>
      <x:c r="D606" s="13" t="n">
        <x:v>81700.92</x:v>
      </x:c>
      <x:c r="E606" s="13" t="n">
        <x:v>77479.64</x:v>
      </x:c>
      <x:c r="F606" s="13" t="n">
        <x:f>D606-E606</x:f>
        <x:v>4221.279999999999</x:v>
      </x:c>
      <x:c r="G606" s="3" t="n">
        <x:v>78033</x:v>
      </x:c>
      <x:c r="H606" s="3" t="n">
        <x:v>74494</x:v>
      </x:c>
      <x:c r="I606" s="3" t="n">
        <x:v>247</x:v>
      </x:c>
      <x:c r="J606" s="15" t="n">
        <x:f>IF(D606=0,"n.a.",E606/D606)</x:f>
        <x:v>0.9483325279568455</x:v>
      </x:c>
      <x:c r="K606" s="15" t="n">
        <x:f>F606/'Datos'!$F$7</x:f>
        <x:v>0.00043106356478421205</x:v>
      </x:c>
      <x:c r="L606" s="3"/>
    </x:row>
    <x:row r="607" ht="22" customHeight="1">
      <x:c r="A607" s="3"/>
      <x:c r="B607" s="3" t="str">
        <x:v>22661</x:v>
      </x:c>
      <x:c r="C607" s="3" t="str">
        <x:v>CHARLOTTE BAG DOLLY GIRL DESIGN</x:v>
      </x:c>
      <x:c r="D607" s="13" t="n">
        <x:v>4231.95</x:v>
      </x:c>
      <x:c r="E607" s="13" t="n">
        <x:v>10.79</x:v>
      </x:c>
      <x:c r="F607" s="13" t="n">
        <x:f>D607-E607</x:f>
        <x:v>4221.16</x:v>
      </x:c>
      <x:c r="G607" s="3" t="n">
        <x:v>5214</x:v>
      </x:c>
      <x:c r="H607" s="3" t="n">
        <x:v>13</x:v>
      </x:c>
      <x:c r="I607" s="3" t="n">
        <x:v>415</x:v>
      </x:c>
      <x:c r="J607" s="15" t="n">
        <x:f>IF(D607=0,"n.a.",E607/D607)</x:f>
        <x:v>0.0025496520516546744</x:v>
      </x:c>
      <x:c r="K607" s="15" t="n">
        <x:f>F607/'Datos'!$F$7</x:f>
        <x:v>0.00043105131076936966</x:v>
      </x:c>
      <x:c r="L607" s="3"/>
    </x:row>
    <x:row r="608" ht="22" customHeight="1">
      <x:c r="A608" s="3"/>
      <x:c r="B608" s="3" t="str">
        <x:v>23237</x:v>
      </x:c>
      <x:c r="C608" s="3" t="str">
        <x:v>SET OF 4 KNICK KNACK TINS LEAF</x:v>
      </x:c>
      <x:c r="D608" s="13" t="n">
        <x:v>4278.54</x:v>
      </x:c>
      <x:c r="E608" s="13" t="n">
        <x:v>69.35</x:v>
      </x:c>
      <x:c r="F608" s="13" t="n">
        <x:f>D608-E608</x:f>
        <x:v>4209.19</x:v>
      </x:c>
      <x:c r="G608" s="3" t="n">
        <x:v>1054</x:v>
      </x:c>
      <x:c r="H608" s="3" t="n">
        <x:v>17</x:v>
      </x:c>
      <x:c r="I608" s="3" t="n">
        <x:v>177</x:v>
      </x:c>
      <x:c r="J608" s="15" t="n">
        <x:f>IF(D608=0,"n.a.",E608/D608)</x:f>
        <x:v>0.01620880019819845</x:v>
      </x:c>
      <x:c r="K608" s="15" t="n">
        <x:f>F608/'Datos'!$F$7</x:f>
        <x:v>0.000429828972788836</x:v>
      </x:c>
      <x:c r="L608" s="3"/>
    </x:row>
    <x:row r="609" ht="22" customHeight="1">
      <x:c r="A609" s="3"/>
      <x:c r="B609" s="3" t="str">
        <x:v>23089</x:v>
      </x:c>
      <x:c r="C609" s="3" t="str">
        <x:v>GLASS BON BON JAR</x:v>
      </x:c>
      <x:c r="D609" s="13" t="n">
        <x:v>4217.73</x:v>
      </x:c>
      <x:c r="E609" s="13" t="n">
        <x:v>25.65</x:v>
      </x:c>
      <x:c r="F609" s="13" t="n">
        <x:f>D609-E609</x:f>
        <x:v>4192.08</x:v>
      </x:c>
      <x:c r="G609" s="3" t="n">
        <x:v>2355</x:v>
      </x:c>
      <x:c r="H609" s="3" t="n">
        <x:v>15</x:v>
      </x:c>
      <x:c r="I609" s="3" t="n">
        <x:v>225</x:v>
      </x:c>
      <x:c r="J609" s="15" t="n">
        <x:f>IF(D609=0,"n.a.",E609/D609)</x:f>
        <x:v>0.006081470364390324</x:v>
      </x:c>
      <x:c r="K609" s="15" t="n">
        <x:f>F609/'Datos'!$F$7</x:f>
        <x:v>0.0004280817545058845</x:v>
      </x:c>
      <x:c r="L609" s="3"/>
    </x:row>
    <x:row r="610" ht="22" customHeight="1">
      <x:c r="A610" s="3"/>
      <x:c r="B610" s="3" t="str">
        <x:v>23012</x:v>
      </x:c>
      <x:c r="C610" s="3" t="str">
        <x:v>GLASS APOTHECARY BOTTLE PERFUME</x:v>
      </x:c>
      <x:c r="D610" s="13" t="n">
        <x:v>4208.96</x:v>
      </x:c>
      <x:c r="E610" s="13" t="n">
        <x:v>31.6</x:v>
      </x:c>
      <x:c r="F610" s="13" t="n">
        <x:f>D610-E610</x:f>
        <x:v>4177.36</x:v>
      </x:c>
      <x:c r="G610" s="3" t="n">
        <x:v>1074</x:v>
      </x:c>
      <x:c r="H610" s="3" t="n">
        <x:v>8</x:v>
      </x:c>
      <x:c r="I610" s="3" t="n">
        <x:v>246</x:v>
      </x:c>
      <x:c r="J610" s="15" t="n">
        <x:f>IF(D610=0,"n.a.",E610/D610)</x:f>
        <x:v>0.007507792898958413</x:v>
      </x:c>
      <x:c r="K610" s="15" t="n">
        <x:f>F610/'Datos'!$F$7</x:f>
        <x:v>0.0004265785953518782</x:v>
      </x:c>
      <x:c r="L610" s="3"/>
    </x:row>
    <x:row r="611" ht="22" customHeight="1">
      <x:c r="A611" s="3"/>
      <x:c r="B611" s="3" t="str">
        <x:v>22550</x:v>
      </x:c>
      <x:c r="C611" s="3" t="str">
        <x:v>HOLIDAY FUN LUDO</x:v>
      </x:c>
      <x:c r="D611" s="13" t="n">
        <x:v>4194.89</x:v>
      </x:c>
      <x:c r="E611" s="13" t="n">
        <x:v>30</x:v>
      </x:c>
      <x:c r="F611" s="13" t="n">
        <x:f>D611-E611</x:f>
        <x:v>4164.89</x:v>
      </x:c>
      <x:c r="G611" s="3" t="n">
        <x:v>1162</x:v>
      </x:c>
      <x:c r="H611" s="3" t="n">
        <x:v>8</x:v>
      </x:c>
      <x:c r="I611" s="3" t="n">
        <x:v>217</x:v>
      </x:c>
      <x:c r="J611" s="15" t="n">
        <x:f>IF(D611=0,"n.a.",E611/D611)</x:f>
        <x:v>0.007151558205340306</x:v>
      </x:c>
      <x:c r="K611" s="15" t="n">
        <x:f>F611/'Datos'!$F$7</x:f>
        <x:v>0.00042530519897616774</x:v>
      </x:c>
      <x:c r="L611" s="3"/>
    </x:row>
    <x:row r="612" ht="22" customHeight="1">
      <x:c r="A612" s="3"/>
      <x:c r="B612" s="3" t="str">
        <x:v>20974</x:v>
      </x:c>
      <x:c r="C612" s="3" t="str">
        <x:v>12 PENCILS SMALL TUBE SKULL</x:v>
      </x:c>
      <x:c r="D612" s="13" t="n">
        <x:v>4531.98</x:v>
      </x:c>
      <x:c r="E612" s="13" t="n">
        <x:v>367.9</x:v>
      </x:c>
      <x:c r="F612" s="13" t="n">
        <x:f>D612-E612</x:f>
        <x:v>4164.08</x:v>
      </x:c>
      <x:c r="G612" s="3" t="n">
        <x:v>6983</x:v>
      </x:c>
      <x:c r="H612" s="3" t="n">
        <x:v>566</x:v>
      </x:c>
      <x:c r="I612" s="3" t="n">
        <x:v>355</x:v>
      </x:c>
      <x:c r="J612" s="15" t="n">
        <x:f>IF(D612=0,"n.a.",E612/D612)</x:f>
        <x:v>0.08117864597813759</x:v>
      </x:c>
      <x:c r="K612" s="15" t="n">
        <x:f>F612/'Datos'!$F$7</x:f>
        <x:v>0.0004252224843759812</x:v>
      </x:c>
      <x:c r="L612" s="3"/>
    </x:row>
    <x:row r="613" ht="22" customHeight="1">
      <x:c r="A613" s="3"/>
      <x:c r="B613" s="3" t="str">
        <x:v>23144</x:v>
      </x:c>
      <x:c r="C613" s="3" t="str">
        <x:v>ZINC T-LIGHT HOLDER STARS SMALL</x:v>
      </x:c>
      <x:c r="D613" s="13" t="n">
        <x:v>4197.83</x:v>
      </x:c>
      <x:c r="E613" s="13" t="n">
        <x:v>36.52</x:v>
      </x:c>
      <x:c r="F613" s="13" t="n">
        <x:f>D613-E613</x:f>
        <x:v>4161.3099999999995</x:v>
      </x:c>
      <x:c r="G613" s="3" t="n">
        <x:v>5089</x:v>
      </x:c>
      <x:c r="H613" s="3" t="n">
        <x:v>44</x:v>
      </x:c>
      <x:c r="I613" s="3" t="n">
        <x:v>274</x:v>
      </x:c>
      <x:c r="J613" s="15" t="n">
        <x:f>IF(D613=0,"n.a.",E613/D613)</x:f>
        <x:v>0.008699732957266016</x:v>
      </x:c>
      <x:c r="K613" s="15" t="n">
        <x:f>F613/'Datos'!$F$7</x:f>
        <x:v>0.00042493962086670147</x:v>
      </x:c>
      <x:c r="L613" s="3"/>
    </x:row>
    <x:row r="614" ht="22" customHeight="1">
      <x:c r="A614" s="3"/>
      <x:c r="B614" s="3" t="str">
        <x:v>84509A</x:v>
      </x:c>
      <x:c r="C614" s="3" t="str">
        <x:v>SET OF 4 ENGLISH ROSE PLACEMATS</x:v>
      </x:c>
      <x:c r="D614" s="13" t="n">
        <x:v>4193.12</x:v>
      </x:c>
      <x:c r="E614" s="13" t="n">
        <x:v>33.75</x:v>
      </x:c>
      <x:c r="F614" s="13" t="n">
        <x:f>D614-E614</x:f>
        <x:v>4159.37</x:v>
      </x:c>
      <x:c r="G614" s="3" t="n">
        <x:v>1000</x:v>
      </x:c>
      <x:c r="H614" s="3" t="n">
        <x:v>9</x:v>
      </x:c>
      <x:c r="I614" s="3" t="n">
        <x:v>298</x:v>
      </x:c>
      <x:c r="J614" s="15" t="n">
        <x:f>IF(D614=0,"n.a.",E614/D614)</x:f>
        <x:v>0.008048899149082307</x:v>
      </x:c>
      <x:c r="K614" s="15" t="n">
        <x:f>F614/'Datos'!$F$7</x:f>
        <x:v>0.0004247415142934154</x:v>
      </x:c>
      <x:c r="L614" s="3"/>
    </x:row>
    <x:row r="615" ht="22" customHeight="1">
      <x:c r="A615" s="3"/>
      <x:c r="B615" s="3" t="str">
        <x:v>22694</x:v>
      </x:c>
      <x:c r="C615" s="3" t="str">
        <x:v>WICKER STAR</x:v>
      </x:c>
      <x:c r="D615" s="13" t="n">
        <x:v>4260.12</x:v>
      </x:c>
      <x:c r="E615" s="13" t="n">
        <x:v>109.2</x:v>
      </x:c>
      <x:c r="F615" s="13" t="n">
        <x:f>D615-E615</x:f>
        <x:v>4150.92</x:v>
      </x:c>
      <x:c r="G615" s="3" t="n">
        <x:v>1846</x:v>
      </x:c>
      <x:c r="H615" s="3" t="n">
        <x:v>52</x:v>
      </x:c>
      <x:c r="I615" s="3" t="n">
        <x:v>405</x:v>
      </x:c>
      <x:c r="J615" s="15" t="n">
        <x:f>IF(D615=0,"n.a.",E615/D615)</x:f>
        <x:v>0.0256330807582885</x:v>
      </x:c>
      <x:c r="K615" s="15" t="n">
        <x:f>F615/'Datos'!$F$7</x:f>
        <x:v>0.00042387862741492674</x:v>
      </x:c>
      <x:c r="L615" s="3"/>
    </x:row>
    <x:row r="616" ht="22" customHeight="1">
      <x:c r="A616" s="3"/>
      <x:c r="B616" s="3" t="str">
        <x:v>22801</x:v>
      </x:c>
      <x:c r="C616" s="3" t="str">
        <x:v>ANTIQUE GLASS PEDESTAL BOWL</x:v>
      </x:c>
      <x:c r="D616" s="13" t="n">
        <x:v>4215.14</x:v>
      </x:c>
      <x:c r="E616" s="13" t="n">
        <x:v>70.89</x:v>
      </x:c>
      <x:c r="F616" s="13" t="n">
        <x:f>D616-E616</x:f>
        <x:v>4144.25</x:v>
      </x:c>
      <x:c r="G616" s="3" t="n">
        <x:v>1030</x:v>
      </x:c>
      <x:c r="H616" s="3" t="n">
        <x:v>19</x:v>
      </x:c>
      <x:c r="I616" s="3" t="n">
        <x:v>220</x:v>
      </x:c>
      <x:c r="J616" s="15" t="n">
        <x:f>IF(D616=0,"n.a.",E616/D616)</x:f>
        <x:v>0.01681794673486527</x:v>
      </x:c>
      <x:c r="K616" s="15" t="n">
        <x:f>F616/'Datos'!$F$7</x:f>
        <x:v>0.0004231975084232676</x:v>
      </x:c>
      <x:c r="L616" s="3"/>
    </x:row>
    <x:row r="617" ht="22" customHeight="1">
      <x:c r="A617" s="3"/>
      <x:c r="B617" s="3" t="str">
        <x:v>72760B</x:v>
      </x:c>
      <x:c r="C617" s="3" t="str">
        <x:v>VINTAGE CREAM 3 BASKET CAKE STAND</x:v>
      </x:c>
      <x:c r="D617" s="13" t="n">
        <x:v>4155.34</x:v>
      </x:c>
      <x:c r="E617" s="13" t="n">
        <x:v>14.6</x:v>
      </x:c>
      <x:c r="F617" s="13" t="n">
        <x:f>D617-E617</x:f>
        <x:v>4140.74</x:v>
      </x:c>
      <x:c r="G617" s="3" t="n">
        <x:v>410</x:v>
      </x:c>
      <x:c r="H617" s="3" t="n">
        <x:v>2</x:v>
      </x:c>
      <x:c r="I617" s="3" t="n">
        <x:v>153</x:v>
      </x:c>
      <x:c r="J617" s="15" t="n">
        <x:f>IF(D617=0,"n.a.",E617/D617)</x:f>
        <x:v>0.0035135512376845215</x:v>
      </x:c>
      <x:c r="K617" s="15" t="n">
        <x:f>F617/'Datos'!$F$7</x:f>
        <x:v>0.00042283907848912616</x:v>
      </x:c>
      <x:c r="L617" s="3"/>
    </x:row>
    <x:row r="618" ht="22" customHeight="1">
      <x:c r="A618" s="3"/>
      <x:c r="B618" s="3" t="str">
        <x:v>85049E</x:v>
      </x:c>
      <x:c r="C618" s="3" t="str">
        <x:v>SCANDINAVIAN REDS RIBBONS</x:v>
      </x:c>
      <x:c r="D618" s="13" t="n">
        <x:v>4151.82</x:v>
      </x:c>
      <x:c r="E618" s="13" t="n">
        <x:v>18.75</x:v>
      </x:c>
      <x:c r="F618" s="13" t="n">
        <x:f>D618-E618</x:f>
        <x:v>4133.07</x:v>
      </x:c>
      <x:c r="G618" s="3" t="n">
        <x:v>2975</x:v>
      </x:c>
      <x:c r="H618" s="3" t="n">
        <x:v>15</x:v>
      </x:c>
      <x:c r="I618" s="3" t="n">
        <x:v>451</x:v>
      </x:c>
      <x:c r="J618" s="15" t="n">
        <x:f>IF(D618=0,"n.a.",E618/D618)</x:f>
        <x:v>0.004516091738081131</x:v>
      </x:c>
      <x:c r="K618" s="15" t="n">
        <x:f>F618/'Datos'!$F$7</x:f>
        <x:v>0.00042205584270711336</x:v>
      </x:c>
      <x:c r="L618" s="3"/>
    </x:row>
    <x:row r="619" ht="22" customHeight="1">
      <x:c r="A619" s="3"/>
      <x:c r="B619" s="3" t="str">
        <x:v>20682</x:v>
      </x:c>
      <x:c r="C619" s="3" t="str">
        <x:v>RED RETROSPOT CHILDRENS UMBRELLA</x:v>
      </x:c>
      <x:c r="D619" s="13" t="n">
        <x:v>4190.83</x:v>
      </x:c>
      <x:c r="E619" s="13" t="n">
        <x:v>65</x:v>
      </x:c>
      <x:c r="F619" s="13" t="n">
        <x:f>D619-E619</x:f>
        <x:v>4125.83</x:v>
      </x:c>
      <x:c r="G619" s="3" t="n">
        <x:v>1241</x:v>
      </x:c>
      <x:c r="H619" s="3" t="n">
        <x:v>20</x:v>
      </x:c>
      <x:c r="I619" s="3" t="n">
        <x:v>237</x:v>
      </x:c>
      <x:c r="J619" s="15" t="n">
        <x:f>IF(D619=0,"n.a.",E619/D619)</x:f>
        <x:v>0.015510054094296356</x:v>
      </x:c>
      <x:c r="K619" s="15" t="n">
        <x:f>F619/'Datos'!$F$7</x:f>
        <x:v>0.0004213165171449527</x:v>
      </x:c>
      <x:c r="L619" s="3"/>
    </x:row>
    <x:row r="620" ht="22" customHeight="1">
      <x:c r="A620" s="3"/>
      <x:c r="B620" s="3" t="str">
        <x:v>21874</x:v>
      </x:c>
      <x:c r="C620" s="3" t="str">
        <x:v>GIN AND TONIC MUG</x:v>
      </x:c>
      <x:c r="D620" s="13" t="n">
        <x:v>4149.93</x:v>
      </x:c>
      <x:c r="E620" s="13" t="n">
        <x:v>27.71</x:v>
      </x:c>
      <x:c r="F620" s="13" t="n">
        <x:f>D620-E620</x:f>
        <x:v>4122.22</x:v>
      </x:c>
      <x:c r="G620" s="3" t="n">
        <x:v>2981</x:v>
      </x:c>
      <x:c r="H620" s="3" t="n">
        <x:v>22</x:v>
      </x:c>
      <x:c r="I620" s="3" t="n">
        <x:v>295</x:v>
      </x:c>
      <x:c r="J620" s="15" t="n">
        <x:f>IF(D620=0,"n.a.",E620/D620)</x:f>
        <x:v>0.006677221061560074</x:v>
      </x:c>
      <x:c r="K620" s="15" t="n">
        <x:f>F620/'Datos'!$F$7</x:f>
        <x:v>0.00042094787553177595</x:v>
      </x:c>
      <x:c r="L620" s="3"/>
    </x:row>
    <x:row r="621" ht="22" customHeight="1">
      <x:c r="A621" s="3"/>
      <x:c r="B621" s="3" t="str">
        <x:v>23306</x:v>
      </x:c>
      <x:c r="C621" s="3" t="str">
        <x:v>SET OF 36 DOILIES PANTRY DESIGN</x:v>
      </x:c>
      <x:c r="D621" s="13" t="n">
        <x:v>4123.38</x:v>
      </x:c>
      <x:c r="E621" s="13" t="n">
        <x:v>10.15</x:v>
      </x:c>
      <x:c r="F621" s="13" t="n">
        <x:f>D621-E621</x:f>
        <x:v>4113.2300000000005</x:v>
      </x:c>
      <x:c r="G621" s="3" t="n">
        <x:v>2808</x:v>
      </x:c>
      <x:c r="H621" s="3" t="n">
        <x:v>7</x:v>
      </x:c>
      <x:c r="I621" s="3" t="n">
        <x:v>277</x:v>
      </x:c>
      <x:c r="J621" s="15" t="n">
        <x:f>IF(D621=0,"n.a.",E621/D621)</x:f>
        <x:v>0.0024615727873734655</x:v>
      </x:c>
      <x:c r="K621" s="15" t="n">
        <x:f>F621/'Datos'!$F$7</x:f>
        <x:v>0.0004200298455864963</x:v>
      </x:c>
      <x:c r="L621" s="3"/>
    </x:row>
    <x:row r="622" ht="22" customHeight="1">
      <x:c r="A622" s="3"/>
      <x:c r="B622" s="3" t="str">
        <x:v>22596</x:v>
      </x:c>
      <x:c r="C622" s="3" t="str">
        <x:v>CHRISTMAS STAR WISH LIST CHALKBOARD</x:v>
      </x:c>
      <x:c r="D622" s="13" t="n">
        <x:v>4142.92</x:v>
      </x:c>
      <x:c r="E622" s="13" t="n">
        <x:v>30.72</x:v>
      </x:c>
      <x:c r="F622" s="13" t="n">
        <x:f>D622-E622</x:f>
        <x:v>4112.2</x:v>
      </x:c>
      <x:c r="G622" s="3" t="n">
        <x:v>3502</x:v>
      </x:c>
      <x:c r="H622" s="3" t="n">
        <x:v>25</x:v>
      </x:c>
      <x:c r="I622" s="3" t="n">
        <x:v>262</x:v>
      </x:c>
      <x:c r="J622" s="15" t="n">
        <x:f>IF(D622=0,"n.a.",E622/D622)</x:f>
        <x:v>0.007415059909435856</x:v>
      </x:c>
      <x:c r="K622" s="15" t="n">
        <x:f>F622/'Datos'!$F$7</x:f>
        <x:v>0.00041992466529243194</x:v>
      </x:c>
      <x:c r="L622" s="3"/>
    </x:row>
    <x:row r="623" ht="22" customHeight="1">
      <x:c r="A623" s="3"/>
      <x:c r="B623" s="3" t="str">
        <x:v>23167</x:v>
      </x:c>
      <x:c r="C623" s="3" t="str">
        <x:v>SMALL CERAMIC TOP STORAGE JAR</x:v>
      </x:c>
      <x:c r="D623" s="13" t="n">
        <x:v>4476.01</x:v>
      </x:c>
      <x:c r="E623" s="13" t="n">
        <x:v>365.19</x:v>
      </x:c>
      <x:c r="F623" s="13" t="n">
        <x:f>D623-E623</x:f>
        <x:v>4110.820000000001</x:v>
      </x:c>
      <x:c r="G623" s="3" t="n">
        <x:v>5847</x:v>
      </x:c>
      <x:c r="H623" s="3" t="n">
        <x:v>525</x:v>
      </x:c>
      <x:c r="I623" s="3" t="n">
        <x:v>231</x:v>
      </x:c>
      <x:c r="J623" s="15" t="n">
        <x:f>IF(D623=0,"n.a.",E623/D623)</x:f>
        <x:v>0.08158828957039863</x:v>
      </x:c>
      <x:c r="K623" s="15" t="n">
        <x:f>F623/'Datos'!$F$7</x:f>
        <x:v>0.00041978374412174395</x:v>
      </x:c>
      <x:c r="L623" s="3"/>
    </x:row>
    <x:row r="624" ht="22" customHeight="1">
      <x:c r="A624" s="3"/>
      <x:c r="B624" s="3" t="str">
        <x:v>23009</x:v>
      </x:c>
      <x:c r="C624" s="3" t="str">
        <x:v>I LOVE LONDON BABY GIFT SET</x:v>
      </x:c>
      <x:c r="D624" s="13" t="n">
        <x:v>4082.52</x:v>
      </x:c>
      <x:c r="E624" s="13" t="n">
        <x:v>0</x:v>
      </x:c>
      <x:c r="F624" s="13" t="n">
        <x:f>D624-E624</x:f>
        <x:v>4082.52</x:v>
      </x:c>
      <x:c r="G624" s="3" t="n">
        <x:v>263</x:v>
      </x:c>
      <x:c r="H624" s="3" t="n">
        <x:v>0</x:v>
      </x:c>
      <x:c r="I624" s="3" t="n">
        <x:v>103</x:v>
      </x:c>
      <x:c r="J624" s="15" t="n">
        <x:f>IF(D624=0,"n.a.",E624/D624)</x:f>
        <x:v>0</x:v>
      </x:c>
      <x:c r="K624" s="15" t="n">
        <x:f>F624/'Datos'!$F$7</x:f>
        <x:v>0.0004168938389547345</x:v>
      </x:c>
      <x:c r="L624" s="3"/>
    </x:row>
    <x:row r="625" ht="22" customHeight="1">
      <x:c r="A625" s="3"/>
      <x:c r="B625" s="3" t="str">
        <x:v>22061</x:v>
      </x:c>
      <x:c r="C625" s="3" t="str">
        <x:v>LARGE CAKE STAND HANGING STRAWBERY</x:v>
      </x:c>
      <x:c r="D625" s="13" t="n">
        <x:v>4228.01</x:v>
      </x:c>
      <x:c r="E625" s="13" t="n">
        <x:v>149.05</x:v>
      </x:c>
      <x:c r="F625" s="13" t="n">
        <x:f>D625-E625</x:f>
        <x:v>4078.96</x:v>
      </x:c>
      <x:c r="G625" s="3" t="n">
        <x:v>583</x:v>
      </x:c>
      <x:c r="H625" s="3" t="n">
        <x:v>16</x:v>
      </x:c>
      <x:c r="I625" s="3" t="n">
        <x:v>146</x:v>
      </x:c>
      <x:c r="J625" s="15" t="n">
        <x:f>IF(D625=0,"n.a.",E625/D625)</x:f>
        <x:v>0.03525299136000151</x:v>
      </x:c>
      <x:c r="K625" s="15" t="n">
        <x:f>F625/'Datos'!$F$7</x:f>
        <x:v>0.00041653030318107543</x:v>
      </x:c>
      <x:c r="L625" s="3"/>
    </x:row>
    <x:row r="626" ht="22" customHeight="1">
      <x:c r="A626" s="3"/>
      <x:c r="B626" s="3" t="str">
        <x:v>22489</x:v>
      </x:c>
      <x:c r="C626" s="3" t="str">
        <x:v>PACK OF 12 TRADITIONAL CRAYONS</x:v>
      </x:c>
      <x:c r="D626" s="13" t="n">
        <x:v>4072.97</x:v>
      </x:c>
      <x:c r="E626" s="13" t="n">
        <x:v>0.84</x:v>
      </x:c>
      <x:c r="F626" s="13" t="n">
        <x:f>D626-E626</x:f>
        <x:v>4072.1299999999997</x:v>
      </x:c>
      <x:c r="G626" s="3" t="n">
        <x:v>9721</x:v>
      </x:c>
      <x:c r="H626" s="3" t="n">
        <x:v>2</x:v>
      </x:c>
      <x:c r="I626" s="3" t="n">
        <x:v>443</x:v>
      </x:c>
      <x:c r="J626" s="15" t="n">
        <x:f>IF(D626=0,"n.a.",E626/D626)</x:f>
        <x:v>0.00020623770860084902</x:v>
      </x:c>
      <x:c r="K626" s="15" t="n">
        <x:f>F626/'Datos'!$F$7</x:f>
        <x:v>0.0004158328455029597</x:v>
      </x:c>
      <x:c r="L626" s="3"/>
    </x:row>
    <x:row r="627" ht="22" customHeight="1">
      <x:c r="A627" s="3"/>
      <x:c r="B627" s="3" t="str">
        <x:v>23255</x:v>
      </x:c>
      <x:c r="C627" s="3" t="str">
        <x:v>CHILDRENS CUTLERY CIRCUS PARADE</x:v>
      </x:c>
      <x:c r="D627" s="13" t="n">
        <x:v>4101.37</x:v>
      </x:c>
      <x:c r="E627" s="13" t="n">
        <x:v>37.35</x:v>
      </x:c>
      <x:c r="F627" s="13" t="n">
        <x:f>D627-E627</x:f>
        <x:v>4064.02</x:v>
      </x:c>
      <x:c r="G627" s="3" t="n">
        <x:v>1015</x:v>
      </x:c>
      <x:c r="H627" s="3" t="n">
        <x:v>9</x:v>
      </x:c>
      <x:c r="I627" s="3" t="n">
        <x:v>158</x:v>
      </x:c>
      <x:c r="J627" s="15" t="n">
        <x:f>IF(D627=0,"n.a.",E627/D627)</x:f>
        <x:v>0.009106713122688273</x:v>
      </x:c>
      <x:c r="K627" s="15" t="n">
        <x:f>F627/'Datos'!$F$7</x:f>
        <x:v>0.00041500467833319133</x:v>
      </x:c>
      <x:c r="L627" s="3"/>
    </x:row>
    <x:row r="628" ht="22" customHeight="1">
      <x:c r="A628" s="3"/>
      <x:c r="B628" s="3" t="str">
        <x:v>23340</x:v>
      </x:c>
      <x:c r="C628" s="3" t="str">
        <x:v>VINTAGE CHRISTMAS CAKE FRILL</x:v>
      </x:c>
      <x:c r="D628" s="13" t="n">
        <x:v>4053.88</x:v>
      </x:c>
      <x:c r="E628" s="13" t="n">
        <x:v>0</x:v>
      </x:c>
      <x:c r="F628" s="13" t="n">
        <x:f>D628-E628</x:f>
        <x:v>4053.88</x:v>
      </x:c>
      <x:c r="G628" s="3" t="n">
        <x:v>2512</x:v>
      </x:c>
      <x:c r="H628" s="3" t="n">
        <x:v>0</x:v>
      </x:c>
      <x:c r="I628" s="3" t="n">
        <x:v>151</x:v>
      </x:c>
      <x:c r="J628" s="15" t="n">
        <x:f>IF(D628=0,"n.a.",E628/D628)</x:f>
        <x:v>0</x:v>
      </x:c>
      <x:c r="K628" s="15" t="n">
        <x:f>F628/'Datos'!$F$7</x:f>
        <x:v>0.00041396921407900494</x:v>
      </x:c>
      <x:c r="L628" s="3"/>
    </x:row>
    <x:row r="629" ht="22" customHeight="1">
      <x:c r="A629" s="3"/>
      <x:c r="B629" s="3" t="str">
        <x:v>23193</x:v>
      </x:c>
      <x:c r="C629" s="3" t="str">
        <x:v>BUFFALO BILL TREASURE BOOK BOX</x:v>
      </x:c>
      <x:c r="D629" s="13" t="n">
        <x:v>4097.28</x:v>
      </x:c>
      <x:c r="E629" s="13" t="n">
        <x:v>45</x:v>
      </x:c>
      <x:c r="F629" s="13" t="n">
        <x:f>D629-E629</x:f>
        <x:v>4052.2799999999997</x:v>
      </x:c>
      <x:c r="G629" s="3" t="n">
        <x:v>1930</x:v>
      </x:c>
      <x:c r="H629" s="3" t="n">
        <x:v>20</x:v>
      </x:c>
      <x:c r="I629" s="3" t="n">
        <x:v>175</x:v>
      </x:c>
      <x:c r="J629" s="15" t="n">
        <x:f>IF(D629=0,"n.a.",E629/D629)</x:f>
        <x:v>0.010982895970009373</x:v>
      </x:c>
      <x:c r="K629" s="15" t="n">
        <x:f>F629/'Datos'!$F$7</x:f>
        <x:v>0.000413805827214439</x:v>
      </x:c>
      <x:c r="L629" s="3"/>
    </x:row>
    <x:row r="630" ht="22" customHeight="1">
      <x:c r="A630" s="3"/>
      <x:c r="B630" s="3" t="str">
        <x:v>21116</x:v>
      </x:c>
      <x:c r="C630" s="3" t="str">
        <x:v>OWL DOORSTOP</x:v>
      </x:c>
      <x:c r="D630" s="13" t="n">
        <x:v>4051.79</x:v>
      </x:c>
      <x:c r="E630" s="13" t="n">
        <x:v>0</x:v>
      </x:c>
      <x:c r="F630" s="13" t="n">
        <x:f>D630-E630</x:f>
        <x:v>4051.79</x:v>
      </x:c>
      <x:c r="G630" s="3" t="n">
        <x:v>695</x:v>
      </x:c>
      <x:c r="H630" s="3" t="n">
        <x:v>0</x:v>
      </x:c>
      <x:c r="I630" s="3" t="n">
        <x:v>251</x:v>
      </x:c>
      <x:c r="J630" s="15" t="n">
        <x:f>IF(D630=0,"n.a.",E630/D630)</x:f>
        <x:v>0</x:v>
      </x:c>
      <x:c r="K630" s="15" t="n">
        <x:f>F630/'Datos'!$F$7</x:f>
        <x:v>0.0004137557899871657</x:v>
      </x:c>
      <x:c r="L630" s="3"/>
    </x:row>
    <x:row r="631" ht="22" customHeight="1">
      <x:c r="A631" s="3"/>
      <x:c r="B631" s="3" t="str">
        <x:v>21704</x:v>
      </x:c>
      <x:c r="C631" s="3" t="str">
        <x:v>BAG 250g SWIRLY MARBLES</x:v>
      </x:c>
      <x:c r="D631" s="13" t="n">
        <x:v>4039.28</x:v>
      </x:c>
      <x:c r="E631" s="13" t="n">
        <x:v>3.86</x:v>
      </x:c>
      <x:c r="F631" s="13" t="n">
        <x:f>D631-E631</x:f>
        <x:v>4035.42</x:v>
      </x:c>
      <x:c r="G631" s="3" t="n">
        <x:v>5144</x:v>
      </x:c>
      <x:c r="H631" s="3" t="n">
        <x:v>5</x:v>
      </x:c>
      <x:c r="I631" s="3" t="n">
        <x:v>248</x:v>
      </x:c>
      <x:c r="J631" s="15" t="n">
        <x:f>IF(D631=0,"n.a.",E631/D631)</x:f>
        <x:v>0.0009556158523301182</x:v>
      </x:c>
      <x:c r="K631" s="15" t="n">
        <x:f>F631/'Datos'!$F$7</x:f>
        <x:v>0.0004120841381290759</x:v>
      </x:c>
      <x:c r="L631" s="3"/>
    </x:row>
    <x:row r="632" ht="22" customHeight="1">
      <x:c r="A632" s="3"/>
      <x:c r="B632" s="3" t="str">
        <x:v>22896</x:v>
      </x:c>
      <x:c r="C632" s="3" t="str">
        <x:v>PEG BAG APPLES DESIGN</x:v>
      </x:c>
      <x:c r="D632" s="13" t="n">
        <x:v>4063.76</x:v>
      </x:c>
      <x:c r="E632" s="13" t="n">
        <x:v>45.9</x:v>
      </x:c>
      <x:c r="F632" s="13" t="n">
        <x:f>D632-E632</x:f>
        <x:v>4017.86</x:v>
      </x:c>
      <x:c r="G632" s="3" t="n">
        <x:v>1592</x:v>
      </x:c>
      <x:c r="H632" s="3" t="n">
        <x:v>18</x:v>
      </x:c>
      <x:c r="I632" s="3" t="n">
        <x:v>288</x:v>
      </x:c>
      <x:c r="J632" s="15" t="n">
        <x:f>IF(D632=0,"n.a.",E632/D632)</x:f>
        <x:v>0.011294958363682894</x:v>
      </x:c>
      <x:c r="K632" s="15" t="n">
        <x:f>F632/'Datos'!$F$7</x:f>
        <x:v>0.0004102909672904651</x:v>
      </x:c>
      <x:c r="L632" s="3"/>
    </x:row>
    <x:row r="633" ht="22" customHeight="1">
      <x:c r="A633" s="3"/>
      <x:c r="B633" s="3" t="str">
        <x:v>22219</x:v>
      </x:c>
      <x:c r="C633" s="3" t="str">
        <x:v>LOVEBIRD HANGING DECORATION WHITE</x:v>
      </x:c>
      <x:c r="D633" s="13" t="n">
        <x:v>4037.98</x:v>
      </x:c>
      <x:c r="E633" s="13" t="n">
        <x:v>22.1</x:v>
      </x:c>
      <x:c r="F633" s="13" t="n">
        <x:f>D633-E633</x:f>
        <x:v>4015.88</x:v>
      </x:c>
      <x:c r="G633" s="3" t="n">
        <x:v>4138</x:v>
      </x:c>
      <x:c r="H633" s="3" t="n">
        <x:v>26</x:v>
      </x:c>
      <x:c r="I633" s="3" t="n">
        <x:v>544</x:v>
      </x:c>
      <x:c r="J633" s="15" t="n">
        <x:f>IF(D633=0,"n.a.",E633/D633)</x:f>
        <x:v>0.0054730335464762084</x:v>
      </x:c>
      <x:c r="K633" s="15" t="n">
        <x:f>F633/'Datos'!$F$7</x:f>
        <x:v>0.00041008877604556485</x:v>
      </x:c>
      <x:c r="L633" s="3"/>
    </x:row>
    <x:row r="634" ht="22" customHeight="1">
      <x:c r="A634" s="3"/>
      <x:c r="B634" s="3" t="str">
        <x:v>22841</x:v>
      </x:c>
      <x:c r="C634" s="3" t="str">
        <x:v>ROUND CAKE TIN VINTAGE GREEN</x:v>
      </x:c>
      <x:c r="D634" s="13" t="n">
        <x:v>4109.72</x:v>
      </x:c>
      <x:c r="E634" s="13" t="n">
        <x:v>103.35</x:v>
      </x:c>
      <x:c r="F634" s="13" t="n">
        <x:f>D634-E634</x:f>
        <x:v>4006.3700000000003</x:v>
      </x:c>
      <x:c r="G634" s="3" t="n">
        <x:v>530</x:v>
      </x:c>
      <x:c r="H634" s="3" t="n">
        <x:v>13</x:v>
      </x:c>
      <x:c r="I634" s="3" t="n">
        <x:v>213</x:v>
      </x:c>
      <x:c r="J634" s="15" t="n">
        <x:f>IF(D634=0,"n.a.",E634/D634)</x:f>
        <x:v>0.025147698626670427</x:v>
      </x:c>
      <x:c r="K634" s="15" t="n">
        <x:f>F634/'Datos'!$F$7</x:f>
        <x:v>0.0004091176453693013</x:v>
      </x:c>
      <x:c r="L634" s="3"/>
    </x:row>
    <x:row r="635" ht="22" customHeight="1">
      <x:c r="A635" s="3"/>
      <x:c r="B635" s="3" t="str">
        <x:v>72351B</x:v>
      </x:c>
      <x:c r="C635" s="3" t="str">
        <x:v>SET/6 PINK BUTTERFLY T-LIGHTS</x:v>
      </x:c>
      <x:c r="D635" s="13" t="n">
        <x:v>4012.05</x:v>
      </x:c>
      <x:c r="E635" s="13" t="n">
        <x:v>6.3</x:v>
      </x:c>
      <x:c r="F635" s="13" t="n">
        <x:f>D635-E635</x:f>
        <x:v>4005.75</x:v>
      </x:c>
      <x:c r="G635" s="3" t="n">
        <x:v>2098</x:v>
      </x:c>
      <x:c r="H635" s="3" t="n">
        <x:v>3</x:v>
      </x:c>
      <x:c r="I635" s="3" t="n">
        <x:v>186</x:v>
      </x:c>
      <x:c r="J635" s="15" t="n">
        <x:f>IF(D635=0,"n.a.",E635/D635)</x:f>
        <x:v>0.0015702695629416382</x:v>
      </x:c>
      <x:c r="K635" s="15" t="n">
        <x:f>F635/'Datos'!$F$7</x:f>
        <x:v>0.00040905433295928195</x:v>
      </x:c>
      <x:c r="L635" s="3"/>
    </x:row>
    <x:row r="636" ht="22" customHeight="1">
      <x:c r="A636" s="3"/>
      <x:c r="B636" s="3" t="str">
        <x:v>23194</x:v>
      </x:c>
      <x:c r="C636" s="3" t="str">
        <x:v>GYMKHANA TREASURE BOOK BOX</x:v>
      </x:c>
      <x:c r="D636" s="13" t="n">
        <x:v>4086.37</x:v>
      </x:c>
      <x:c r="E636" s="13" t="n">
        <x:v>83.25</x:v>
      </x:c>
      <x:c r="F636" s="13" t="n">
        <x:f>D636-E636</x:f>
        <x:v>4003.12</x:v>
      </x:c>
      <x:c r="G636" s="3" t="n">
        <x:v>1839</x:v>
      </x:c>
      <x:c r="H636" s="3" t="n">
        <x:v>37</x:v>
      </x:c>
      <x:c r="I636" s="3" t="n">
        <x:v>214</x:v>
      </x:c>
      <x:c r="J636" s="15" t="n">
        <x:f>IF(D636=0,"n.a.",E636/D636)</x:f>
        <x:v>0.02037260453654466</x:v>
      </x:c>
      <x:c r="K636" s="15" t="n">
        <x:f>F636/'Datos'!$F$7</x:f>
        <x:v>0.0004087857658006518</x:v>
      </x:c>
      <x:c r="L636" s="3"/>
    </x:row>
    <x:row r="637" ht="22" customHeight="1">
      <x:c r="A637" s="3"/>
      <x:c r="B637" s="3" t="str">
        <x:v>23081</x:v>
      </x:c>
      <x:c r="C637" s="3" t="str">
        <x:v>GREEN METAL BOX ARMY SUPPLIES</x:v>
      </x:c>
      <x:c r="D637" s="13" t="n">
        <x:v>4046.5</x:v>
      </x:c>
      <x:c r="E637" s="13" t="n">
        <x:v>49.5</x:v>
      </x:c>
      <x:c r="F637" s="13" t="n">
        <x:f>D637-E637</x:f>
        <x:v>3997</x:v>
      </x:c>
      <x:c r="G637" s="3" t="n">
        <x:v>484</x:v>
      </x:c>
      <x:c r="H637" s="3" t="n">
        <x:v>6</x:v>
      </x:c>
      <x:c r="I637" s="3" t="n">
        <x:v>139</x:v>
      </x:c>
      <x:c r="J637" s="15" t="n">
        <x:f>IF(D637=0,"n.a.",E637/D637)</x:f>
        <x:v>0.012232793772395898</x:v>
      </x:c>
      <x:c r="K637" s="15" t="n">
        <x:f>F637/'Datos'!$F$7</x:f>
        <x:v>0.0004081608110436872</x:v>
      </x:c>
      <x:c r="L637" s="3"/>
    </x:row>
    <x:row r="638" ht="22" customHeight="1">
      <x:c r="A638" s="3"/>
      <x:c r="B638" s="3" t="str">
        <x:v>23129</x:v>
      </x:c>
      <x:c r="C638" s="3" t="str">
        <x:v>HEART SHAPED HOLLY WREATH</x:v>
      </x:c>
      <x:c r="D638" s="13" t="n">
        <x:v>3999.5</x:v>
      </x:c>
      <x:c r="E638" s="13" t="n">
        <x:v>4.15</x:v>
      </x:c>
      <x:c r="F638" s="13" t="n">
        <x:f>D638-E638</x:f>
        <x:v>3995.35</x:v>
      </x:c>
      <x:c r="G638" s="3" t="n">
        <x:v>950</x:v>
      </x:c>
      <x:c r="H638" s="3" t="n">
        <x:v>1</x:v>
      </x:c>
      <x:c r="I638" s="3" t="n">
        <x:v>172</x:v>
      </x:c>
      <x:c r="J638" s="15" t="n">
        <x:f>IF(D638=0,"n.a.",E638/D638)</x:f>
        <x:v>0.0010376297037129642</x:v>
      </x:c>
      <x:c r="K638" s="15" t="n">
        <x:f>F638/'Datos'!$F$7</x:f>
        <x:v>0.0004079923183396036</x:v>
      </x:c>
      <x:c r="L638" s="3"/>
    </x:row>
    <x:row r="639" ht="22" customHeight="1">
      <x:c r="A639" s="3"/>
      <x:c r="B639" s="3" t="str">
        <x:v>22577</x:v>
      </x:c>
      <x:c r="C639" s="3" t="str">
        <x:v>WOODEN HEART CHRISTMAS SCANDINAVIAN</x:v>
      </x:c>
      <x:c r="D639" s="13" t="n">
        <x:v>4075.94</x:v>
      </x:c>
      <x:c r="E639" s="13" t="n">
        <x:v>83.05</x:v>
      </x:c>
      <x:c r="F639" s="13" t="n">
        <x:f>D639-E639</x:f>
        <x:v>3992.89</x:v>
      </x:c>
      <x:c r="G639" s="3" t="n">
        <x:v>10610</x:v>
      </x:c>
      <x:c r="H639" s="3" t="n">
        <x:v>101</x:v>
      </x:c>
      <x:c r="I639" s="3" t="n">
        <x:v>538</x:v>
      </x:c>
      <x:c r="J639" s="15" t="n">
        <x:f>IF(D639=0,"n.a.",E639/D639)</x:f>
        <x:v>0.020375667944081608</x:v>
      </x:c>
      <x:c r="K639" s="15" t="n">
        <x:f>F639/'Datos'!$F$7</x:f>
        <x:v>0.00040774111103533353</x:v>
      </x:c>
      <x:c r="L639" s="3"/>
    </x:row>
    <x:row r="640" ht="22" customHeight="1">
      <x:c r="A640" s="3"/>
      <x:c r="B640" s="3" t="str">
        <x:v>22431</x:v>
      </x:c>
      <x:c r="C640" s="3" t="str">
        <x:v>WATERING CAN BLUE ELEPHANT</x:v>
      </x:c>
      <x:c r="D640" s="13" t="n">
        <x:v>4002.61</x:v>
      </x:c>
      <x:c r="E640" s="13" t="n">
        <x:v>15.6</x:v>
      </x:c>
      <x:c r="F640" s="13" t="n">
        <x:f>D640-E640</x:f>
        <x:v>3987.01</x:v>
      </x:c>
      <x:c r="G640" s="3" t="n">
        <x:v>2060</x:v>
      </x:c>
      <x:c r="H640" s="3" t="n">
        <x:v>8</x:v>
      </x:c>
      <x:c r="I640" s="3" t="n">
        <x:v>334</x:v>
      </x:c>
      <x:c r="J640" s="15" t="n">
        <x:f>IF(D640=0,"n.a.",E640/D640)</x:f>
        <x:v>0.003897456909366638</x:v>
      </x:c>
      <x:c r="K640" s="15" t="n">
        <x:f>F640/'Datos'!$F$7</x:f>
        <x:v>0.0004071406643080539</x:v>
      </x:c>
      <x:c r="L640" s="3"/>
    </x:row>
    <x:row r="641" ht="22" customHeight="1">
      <x:c r="A641" s="3"/>
      <x:c r="B641" s="3" t="str">
        <x:v>20675</x:v>
      </x:c>
      <x:c r="C641" s="3" t="str">
        <x:v>BLUE POLKADOT BOWL</x:v>
      </x:c>
      <x:c r="D641" s="13" t="n">
        <x:v>3984.37</x:v>
      </x:c>
      <x:c r="E641" s="13" t="n">
        <x:v>15</x:v>
      </x:c>
      <x:c r="F641" s="13" t="n">
        <x:f>D641-E641</x:f>
        <x:v>3969.37</x:v>
      </x:c>
      <x:c r="G641" s="3" t="n">
        <x:v>3121</x:v>
      </x:c>
      <x:c r="H641" s="3" t="n">
        <x:v>12</x:v>
      </x:c>
      <x:c r="I641" s="3" t="n">
        <x:v>322</x:v>
      </x:c>
      <x:c r="J641" s="15" t="n">
        <x:f>IF(D641=0,"n.a.",E641/D641)</x:f>
        <x:v>0.0037647106066956634</x:v>
      </x:c>
      <x:c r="K641" s="15" t="n">
        <x:f>F641/'Datos'!$F$7</x:f>
        <x:v>0.0004053393241262148</x:v>
      </x:c>
      <x:c r="L641" s="3"/>
    </x:row>
    <x:row r="642" ht="22" customHeight="1">
      <x:c r="A642" s="3"/>
      <x:c r="B642" s="3" t="str">
        <x:v>22274</x:v>
      </x:c>
      <x:c r="C642" s="3" t="str">
        <x:v>FELTCRAFT DOLL EMILY</x:v>
      </x:c>
      <x:c r="D642" s="13" t="n">
        <x:v>3974.13</x:v>
      </x:c>
      <x:c r="E642" s="13" t="n">
        <x:v>20.65</x:v>
      </x:c>
      <x:c r="F642" s="13" t="n">
        <x:f>D642-E642</x:f>
        <x:v>3953.48</x:v>
      </x:c>
      <x:c r="G642" s="3" t="n">
        <x:v>1347</x:v>
      </x:c>
      <x:c r="H642" s="3" t="n">
        <x:v>7</x:v>
      </x:c>
      <x:c r="I642" s="3" t="n">
        <x:v>267</x:v>
      </x:c>
      <x:c r="J642" s="15" t="n">
        <x:f>IF(D642=0,"n.a.",E642/D642)</x:f>
        <x:v>0.005196105814354336</x:v>
      </x:c>
      <x:c r="K642" s="15" t="n">
        <x:f>F642/'Datos'!$F$7</x:f>
        <x:v>0.00040371668832749476</x:v>
      </x:c>
      <x:c r="L642" s="3"/>
    </x:row>
    <x:row r="643" ht="22" customHeight="1">
      <x:c r="A643" s="3"/>
      <x:c r="B643" s="3" t="str">
        <x:v>22649</x:v>
      </x:c>
      <x:c r="C643" s="3" t="str">
        <x:v>STRAWBERRY FAIRY CAKE TEAPOT</x:v>
      </x:c>
      <x:c r="D643" s="13" t="n">
        <x:v>4147.73</x:v>
      </x:c>
      <x:c r="E643" s="13" t="n">
        <x:v>195.2</x:v>
      </x:c>
      <x:c r="F643" s="13" t="n">
        <x:f>D643-E643</x:f>
        <x:v>3952.5299999999997</x:v>
      </x:c>
      <x:c r="G643" s="3" t="n">
        <x:v>798</x:v>
      </x:c>
      <x:c r="H643" s="3" t="n">
        <x:v>40</x:v>
      </x:c>
      <x:c r="I643" s="3" t="n">
        <x:v>200</x:v>
      </x:c>
      <x:c r="J643" s="15" t="n">
        <x:f>IF(D643=0,"n.a.",E643/D643)</x:f>
        <x:v>0.047061886863416856</x:v>
      </x:c>
      <x:c r="K643" s="15" t="n">
        <x:f>F643/'Datos'!$F$7</x:f>
        <x:v>0.0004036196773766587</x:v>
      </x:c>
      <x:c r="L643" s="3"/>
    </x:row>
    <x:row r="644" ht="22" customHeight="1">
      <x:c r="A644" s="3"/>
      <x:c r="B644" s="3" t="str">
        <x:v>23130</x:v>
      </x:c>
      <x:c r="C644" s="3" t="str">
        <x:v>MISTLETOE HEART WREATH GREEN</x:v>
      </x:c>
      <x:c r="D644" s="13" t="n">
        <x:v>3988.98</x:v>
      </x:c>
      <x:c r="E644" s="13" t="n">
        <x:v>37.35</x:v>
      </x:c>
      <x:c r="F644" s="13" t="n">
        <x:f>D644-E644</x:f>
        <x:v>3951.63</x:v>
      </x:c>
      <x:c r="G644" s="3" t="n">
        <x:v>962</x:v>
      </x:c>
      <x:c r="H644" s="3" t="n">
        <x:v>9</x:v>
      </x:c>
      <x:c r="I644" s="3" t="n">
        <x:v>184</x:v>
      </x:c>
      <x:c r="J644" s="15" t="n">
        <x:f>IF(D644=0,"n.a.",E644/D644)</x:f>
        <x:v>0.009363295880149813</x:v>
      </x:c>
      <x:c r="K644" s="15" t="n">
        <x:f>F644/'Datos'!$F$7</x:f>
        <x:v>0.0004035277722653404</x:v>
      </x:c>
      <x:c r="L644" s="3"/>
    </x:row>
    <x:row r="645" ht="22" customHeight="1">
      <x:c r="A645" s="3"/>
      <x:c r="B645" s="3" t="str">
        <x:v>22131</x:v>
      </x:c>
      <x:c r="C645" s="3" t="str">
        <x:v>FOOD CONTAINER SET 3 LOVE HEART</x:v>
      </x:c>
      <x:c r="D645" s="13" t="n">
        <x:v>3952.19</x:v>
      </x:c>
      <x:c r="E645" s="13" t="n">
        <x:v>1.95</x:v>
      </x:c>
      <x:c r="F645" s="13" t="n">
        <x:f>D645-E645</x:f>
        <x:v>3950.2400000000002</x:v>
      </x:c>
      <x:c r="G645" s="3" t="n">
        <x:v>2039</x:v>
      </x:c>
      <x:c r="H645" s="3" t="n">
        <x:v>1</x:v>
      </x:c>
      <x:c r="I645" s="3" t="n">
        <x:v>291</x:v>
      </x:c>
      <x:c r="J645" s="15" t="n">
        <x:f>IF(D645=0,"n.a.",E645/D645)</x:f>
        <x:v>0.000493397331606021</x:v>
      </x:c>
      <x:c r="K645" s="15" t="n">
        <x:f>F645/'Datos'!$F$7</x:f>
        <x:v>0.0004033858299267488</x:v>
      </x:c>
      <x:c r="L645" s="3"/>
    </x:row>
    <x:row r="646" ht="22" customHeight="1">
      <x:c r="A646" s="3"/>
      <x:c r="B646" s="3" t="str">
        <x:v>23486</x:v>
      </x:c>
      <x:c r="C646" s="3" t="str">
        <x:v>ANTIQUE HEART SHELF UNIT</x:v>
      </x:c>
      <x:c r="D646" s="13" t="n">
        <x:v>4145.47</x:v>
      </x:c>
      <x:c r="E646" s="13" t="n">
        <x:v>199.65</x:v>
      </x:c>
      <x:c r="F646" s="13" t="n">
        <x:f>D646-E646</x:f>
        <x:v>3945.82</x:v>
      </x:c>
      <x:c r="G646" s="3" t="n">
        <x:v>275</x:v>
      </x:c>
      <x:c r="H646" s="3" t="n">
        <x:v>13</x:v>
      </x:c>
      <x:c r="I646" s="3" t="n">
        <x:v>74</x:v>
      </x:c>
      <x:c r="J646" s="15" t="n">
        <x:f>IF(D646=0,"n.a.",E646/D646)</x:f>
        <x:v>0.04816100466292121</x:v>
      </x:c>
      <x:c r="K646" s="15" t="n">
        <x:f>F646/'Datos'!$F$7</x:f>
        <x:v>0.0004029344737133855</x:v>
      </x:c>
      <x:c r="L646" s="3"/>
    </x:row>
    <x:row r="647" ht="22" customHeight="1">
      <x:c r="A647" s="3"/>
      <x:c r="B647" s="3" t="str">
        <x:v>22951</x:v>
      </x:c>
      <x:c r="C647" s="3" t="str">
        <x:v>60 CAKE CASES DOLLY GIRL DESIGN</x:v>
      </x:c>
      <x:c r="D647" s="13" t="n">
        <x:v>4010.55</x:v>
      </x:c>
      <x:c r="E647" s="13" t="n">
        <x:v>66</x:v>
      </x:c>
      <x:c r="F647" s="13" t="n">
        <x:f>D647-E647</x:f>
        <x:v>3944.55</x:v>
      </x:c>
      <x:c r="G647" s="3" t="n">
        <x:v>7518</x:v>
      </x:c>
      <x:c r="H647" s="3" t="n">
        <x:v>120</x:v>
      </x:c>
      <x:c r="I647" s="3" t="n">
        <x:v>437</x:v>
      </x:c>
      <x:c r="J647" s="15" t="n">
        <x:f>IF(D647=0,"n.a.",E647/D647)</x:f>
        <x:v>0.01645659572876538</x:v>
      </x:c>
      <x:c r="K647" s="15" t="n">
        <x:f>F647/'Datos'!$F$7</x:f>
        <x:v>0.00040280478538963634</x:v>
      </x:c>
      <x:c r="L647" s="3"/>
    </x:row>
    <x:row r="648" ht="22" customHeight="1">
      <x:c r="A648" s="3"/>
      <x:c r="B648" s="3" t="str">
        <x:v>23557</x:v>
      </x:c>
      <x:c r="C648" s="3" t="str">
        <x:v>LANDMARK FRAME BAKER STREET</x:v>
      </x:c>
      <x:c r="D648" s="13" t="n">
        <x:v>3930.27</x:v>
      </x:c>
      <x:c r="E648" s="13" t="n">
        <x:v>0</x:v>
      </x:c>
      <x:c r="F648" s="13" t="n">
        <x:f>D648-E648</x:f>
        <x:v>3930.27</x:v>
      </x:c>
      <x:c r="G648" s="3" t="n">
        <x:v>350</x:v>
      </x:c>
      <x:c r="H648" s="3" t="n">
        <x:v>0</x:v>
      </x:c>
      <x:c r="I648" s="3" t="n">
        <x:v>32</x:v>
      </x:c>
      <x:c r="J648" s="15" t="n">
        <x:f>IF(D648=0,"n.a.",E648/D648)</x:f>
        <x:v>0</x:v>
      </x:c>
      <x:c r="K648" s="15" t="n">
        <x:f>F648/'Datos'!$F$7</x:f>
        <x:v>0.0004013465576233857</x:v>
      </x:c>
      <x:c r="L648" s="3"/>
    </x:row>
    <x:row r="649" ht="22" customHeight="1">
      <x:c r="A649" s="3"/>
      <x:c r="B649" s="3" t="str">
        <x:v>21041</x:v>
      </x:c>
      <x:c r="C649" s="3" t="str">
        <x:v>RED RETROSPOT OVEN GLOVE DOUBLE</x:v>
      </x:c>
      <x:c r="D649" s="13" t="n">
        <x:v>3909.63</x:v>
      </x:c>
      <x:c r="E649" s="13" t="n">
        <x:v>8.85</x:v>
      </x:c>
      <x:c r="F649" s="13" t="n">
        <x:f>D649-E649</x:f>
        <x:v>3900.78</x:v>
      </x:c>
      <x:c r="G649" s="3" t="n">
        <x:v>921</x:v>
      </x:c>
      <x:c r="H649" s="3" t="n">
        <x:v>3</x:v>
      </x:c>
      <x:c r="I649" s="3" t="n">
        <x:v>255</x:v>
      </x:c>
      <x:c r="J649" s="15" t="n">
        <x:f>IF(D649=0,"n.a.",E649/D649)</x:f>
        <x:v>0.002263641316441709</x:v>
      </x:c>
      <x:c r="K649" s="15" t="n">
        <x:f>F649/'Datos'!$F$7</x:f>
        <x:v>0.00039833513347585546</x:v>
      </x:c>
      <x:c r="L649" s="3"/>
    </x:row>
    <x:row r="650" ht="22" customHeight="1">
      <x:c r="A650" s="3"/>
      <x:c r="B650" s="3" t="str">
        <x:v>22148</x:v>
      </x:c>
      <x:c r="C650" s="3" t="str">
        <x:v>EASTER CRAFT 4 CHICKS</x:v>
      </x:c>
      <x:c r="D650" s="13" t="n">
        <x:v>3929.15</x:v>
      </x:c>
      <x:c r="E650" s="13" t="n">
        <x:v>29.25</x:v>
      </x:c>
      <x:c r="F650" s="13" t="n">
        <x:f>D650-E650</x:f>
        <x:v>3899.9</x:v>
      </x:c>
      <x:c r="G650" s="3" t="n">
        <x:v>1939</x:v>
      </x:c>
      <x:c r="H650" s="3" t="n">
        <x:v>15</x:v>
      </x:c>
      <x:c r="I650" s="3" t="n">
        <x:v>186</x:v>
      </x:c>
      <x:c r="J650" s="15" t="n">
        <x:f>IF(D650=0,"n.a.",E650/D650)</x:f>
        <x:v>0.007444358194520443</x:v>
      </x:c>
      <x:c r="K650" s="15" t="n">
        <x:f>F650/'Datos'!$F$7</x:f>
        <x:v>0.0003982452707003442</x:v>
      </x:c>
      <x:c r="L650" s="3"/>
    </x:row>
    <x:row r="651" ht="22" customHeight="1">
      <x:c r="A651" s="3"/>
      <x:c r="B651" s="3" t="str">
        <x:v>22117</x:v>
      </x:c>
      <x:c r="C651" s="3" t="str">
        <x:v>METAL SIGN HER DINNER IS SERVED</x:v>
      </x:c>
      <x:c r="D651" s="13" t="n">
        <x:v>3896.45</x:v>
      </x:c>
      <x:c r="E651" s="13" t="n">
        <x:v>0</x:v>
      </x:c>
      <x:c r="F651" s="13" t="n">
        <x:f>D651-E651</x:f>
        <x:v>3896.45</x:v>
      </x:c>
      <x:c r="G651" s="3" t="n">
        <x:v>1320</x:v>
      </x:c>
      <x:c r="H651" s="3" t="n">
        <x:v>0</x:v>
      </x:c>
      <x:c r="I651" s="3" t="n">
        <x:v>95</x:v>
      </x:c>
      <x:c r="J651" s="15" t="n">
        <x:f>IF(D651=0,"n.a.",E651/D651)</x:f>
        <x:v>0</x:v>
      </x:c>
      <x:c r="K651" s="15" t="n">
        <x:f>F651/'Datos'!$F$7</x:f>
        <x:v>0.00039789296777362394</x:v>
      </x:c>
      <x:c r="L651" s="3"/>
    </x:row>
    <x:row r="652" ht="22" customHeight="1">
      <x:c r="A652" s="3"/>
      <x:c r="B652" s="3" t="str">
        <x:v>21716</x:v>
      </x:c>
      <x:c r="C652" s="3" t="str">
        <x:v>BOYS VINTAGE TIN SEASIDE BUCKET</x:v>
      </x:c>
      <x:c r="D652" s="13" t="n">
        <x:v>3913.72</x:v>
      </x:c>
      <x:c r="E652" s="13" t="n">
        <x:v>20.4</x:v>
      </x:c>
      <x:c r="F652" s="13" t="n">
        <x:f>D652-E652</x:f>
        <x:v>3893.3199999999997</x:v>
      </x:c>
      <x:c r="G652" s="3" t="n">
        <x:v>1441</x:v>
      </x:c>
      <x:c r="H652" s="3" t="n">
        <x:v>8</x:v>
      </x:c>
      <x:c r="I652" s="3" t="n">
        <x:v>244</x:v>
      </x:c>
      <x:c r="J652" s="15" t="n">
        <x:f>IF(D652=0,"n.a.",E652/D652)</x:f>
        <x:v>0.005212432161728483</x:v>
      </x:c>
      <x:c r="K652" s="15" t="n">
        <x:f>F652/'Datos'!$F$7</x:f>
        <x:v>0.0003975733422198169</x:v>
      </x:c>
      <x:c r="L652" s="3"/>
    </x:row>
    <x:row r="653" ht="22" customHeight="1">
      <x:c r="A653" s="3"/>
      <x:c r="B653" s="3" t="str">
        <x:v>23552</x:v>
      </x:c>
      <x:c r="C653" s="3" t="str">
        <x:v>BICYCLE PUNCTURE REPAIR KIT</x:v>
      </x:c>
      <x:c r="D653" s="13" t="n">
        <x:v>3883.99</x:v>
      </x:c>
      <x:c r="E653" s="13" t="n">
        <x:v>0</x:v>
      </x:c>
      <x:c r="F653" s="13" t="n">
        <x:f>D653-E653</x:f>
        <x:v>3883.99</x:v>
      </x:c>
      <x:c r="G653" s="3" t="n">
        <x:v>1864</x:v>
      </x:c>
      <x:c r="H653" s="3" t="n">
        <x:v>0</x:v>
      </x:c>
      <x:c r="I653" s="3" t="n">
        <x:v>116</x:v>
      </x:c>
      <x:c r="J653" s="15" t="n">
        <x:f>IF(D653=0,"n.a.",E653/D653)</x:f>
        <x:v>0</x:v>
      </x:c>
      <x:c r="K653" s="15" t="n">
        <x:f>F653/'Datos'!$F$7</x:f>
        <x:v>0.00039662059256581703</x:v>
      </x:c>
      <x:c r="L653" s="3"/>
    </x:row>
    <x:row r="654" ht="22" customHeight="1">
      <x:c r="A654" s="3"/>
      <x:c r="B654" s="3" t="str">
        <x:v>22222</x:v>
      </x:c>
      <x:c r="C654" s="3" t="str">
        <x:v>CAKE PLATE LOVEBIRD WHITE</x:v>
      </x:c>
      <x:c r="D654" s="13" t="n">
        <x:v>3880.2</x:v>
      </x:c>
      <x:c r="E654" s="13" t="n">
        <x:v>0</x:v>
      </x:c>
      <x:c r="F654" s="13" t="n">
        <x:f>D654-E654</x:f>
        <x:v>3880.2</x:v>
      </x:c>
      <x:c r="G654" s="3" t="n">
        <x:v>1057</x:v>
      </x:c>
      <x:c r="H654" s="3" t="n">
        <x:v>0</x:v>
      </x:c>
      <x:c r="I654" s="3" t="n">
        <x:v>222</x:v>
      </x:c>
      <x:c r="J654" s="15" t="n">
        <x:f>IF(D654=0,"n.a.",E654/D654)</x:f>
        <x:v>0</x:v>
      </x:c>
      <x:c r="K654" s="15" t="n">
        <x:f>F654/'Datos'!$F$7</x:f>
        <x:v>0.00039623356993037656</x:v>
      </x:c>
      <x:c r="L654" s="3"/>
    </x:row>
    <x:row r="655" ht="22" customHeight="1">
      <x:c r="A655" s="3"/>
      <x:c r="B655" s="3" t="str">
        <x:v>23049</x:v>
      </x:c>
      <x:c r="C655" s="3" t="str">
        <x:v>RECYCLED ACAPULCO MAT RED</x:v>
      </x:c>
      <x:c r="D655" s="13" t="n">
        <x:v>3896.84</x:v>
      </x:c>
      <x:c r="E655" s="13" t="n">
        <x:v>24.75</x:v>
      </x:c>
      <x:c r="F655" s="13" t="n">
        <x:f>D655-E655</x:f>
        <x:v>3872.09</x:v>
      </x:c>
      <x:c r="G655" s="3" t="n">
        <x:v>456</x:v>
      </x:c>
      <x:c r="H655" s="3" t="n">
        <x:v>3</x:v>
      </x:c>
      <x:c r="I655" s="3" t="n">
        <x:v>186</x:v>
      </x:c>
      <x:c r="J655" s="15" t="n">
        <x:f>IF(D655=0,"n.a.",E655/D655)</x:f>
        <x:v>0.0063513000277147635</x:v>
      </x:c>
      <x:c r="K655" s="15" t="n">
        <x:f>F655/'Datos'!$F$7</x:f>
        <x:v>0.00039540540276060816</x:v>
      </x:c>
      <x:c r="L655" s="3"/>
    </x:row>
    <x:row r="656" ht="22" customHeight="1">
      <x:c r="A656" s="3"/>
      <x:c r="B656" s="3" t="str">
        <x:v>23110</x:v>
      </x:c>
      <x:c r="C656" s="3" t="str">
        <x:v>PARISIENNE KEY CABINET</x:v>
      </x:c>
      <x:c r="D656" s="13" t="n">
        <x:v>4158.68</x:v>
      </x:c>
      <x:c r="E656" s="13" t="n">
        <x:v>293.25</x:v>
      </x:c>
      <x:c r="F656" s="13" t="n">
        <x:f>D656-E656</x:f>
        <x:v>3865.4300000000003</x:v>
      </x:c>
      <x:c r="G656" s="3" t="n">
        <x:v>702</x:v>
      </x:c>
      <x:c r="H656" s="3" t="n">
        <x:v>51</x:v>
      </x:c>
      <x:c r="I656" s="3" t="n">
        <x:v>255</x:v>
      </x:c>
      <x:c r="J656" s="15" t="n">
        <x:f>IF(D656=0,"n.a.",E656/D656)</x:f>
        <x:v>0.07051516346533034</x:v>
      </x:c>
      <x:c r="K656" s="15" t="n">
        <x:f>F656/'Datos'!$F$7</x:f>
        <x:v>0.00039472530493685264</x:v>
      </x:c>
      <x:c r="L656" s="3"/>
    </x:row>
    <x:row r="657" ht="22" customHeight="1">
      <x:c r="A657" s="3"/>
      <x:c r="B657" s="3" t="str">
        <x:v>22942</x:v>
      </x:c>
      <x:c r="C657" s="3" t="str">
        <x:v>CHRISTMAS LIGHTS 10 SANTAS</x:v>
      </x:c>
      <x:c r="D657" s="13" t="n">
        <x:v>4469.04</x:v>
      </x:c>
      <x:c r="E657" s="13" t="n">
        <x:v>604.35</x:v>
      </x:c>
      <x:c r="F657" s="13" t="n">
        <x:f>D657-E657</x:f>
        <x:v>3864.69</x:v>
      </x:c>
      <x:c r="G657" s="3" t="n">
        <x:v>609</x:v>
      </x:c>
      <x:c r="H657" s="3" t="n">
        <x:v>76</x:v>
      </x:c>
      <x:c r="I657" s="3" t="n">
        <x:v>152</x:v>
      </x:c>
      <x:c r="J657" s="15" t="n">
        <x:f>IF(D657=0,"n.a.",E657/D657)</x:f>
        <x:v>0.13523038504913806</x:v>
      </x:c>
      <x:c r="K657" s="15" t="n">
        <x:f>F657/'Datos'!$F$7</x:f>
        <x:v>0.0003946497385119909</x:v>
      </x:c>
      <x:c r="L657" s="3"/>
    </x:row>
    <x:row r="658" ht="22" customHeight="1">
      <x:c r="A658" s="3"/>
      <x:c r="B658" s="3" t="str">
        <x:v>84792</x:v>
      </x:c>
      <x:c r="C658" s="3" t="str">
        <x:v>ENCHANTED BIRD COATHANGER 5 HOOK</x:v>
      </x:c>
      <x:c r="D658" s="13" t="n">
        <x:v>3978.97</x:v>
      </x:c>
      <x:c r="E658" s="13" t="n">
        <x:v>114.69</x:v>
      </x:c>
      <x:c r="F658" s="13" t="n">
        <x:f>D658-E658</x:f>
        <x:v>3864.2799999999997</x:v>
      </x:c>
      <x:c r="G658" s="3" t="n">
        <x:v>834</x:v>
      </x:c>
      <x:c r="H658" s="3" t="n">
        <x:v>29</x:v>
      </x:c>
      <x:c r="I658" s="3" t="n">
        <x:v>241</x:v>
      </x:c>
      <x:c r="J658" s="15" t="n">
        <x:f>IF(D658=0,"n.a.",E658/D658)</x:f>
        <x:v>0.028824042402933424</x:v>
      </x:c>
      <x:c r="K658" s="15" t="n">
        <x:f>F658/'Datos'!$F$7</x:f>
        <x:v>0.0003946078706279458</x:v>
      </x:c>
      <x:c r="L658" s="3"/>
    </x:row>
    <x:row r="659" ht="22" customHeight="1">
      <x:c r="A659" s="3"/>
      <x:c r="B659" s="3" t="str">
        <x:v>21749</x:v>
      </x:c>
      <x:c r="C659" s="3" t="str">
        <x:v>LARGE RED RETROSPOT WINDMILL</x:v>
      </x:c>
      <x:c r="D659" s="13" t="n">
        <x:v>3877.09</x:v>
      </x:c>
      <x:c r="E659" s="13" t="n">
        <x:v>16.8</x:v>
      </x:c>
      <x:c r="F659" s="13" t="n">
        <x:f>D659-E659</x:f>
        <x:v>3860.29</x:v>
      </x:c>
      <x:c r="G659" s="3" t="n">
        <x:v>1963</x:v>
      </x:c>
      <x:c r="H659" s="3" t="n">
        <x:v>8</x:v>
      </x:c>
      <x:c r="I659" s="3" t="n">
        <x:v>140</x:v>
      </x:c>
      <x:c r="J659" s="15" t="n">
        <x:f>IF(D659=0,"n.a.",E659/D659)</x:f>
        <x:v>0.004333146767291964</x:v>
      </x:c>
      <x:c r="K659" s="15" t="n">
        <x:f>F659/'Datos'!$F$7</x:f>
        <x:v>0.00039420042463443464</x:v>
      </x:c>
      <x:c r="L659" s="3"/>
    </x:row>
    <x:row r="660" ht="22" customHeight="1">
      <x:c r="A660" s="3"/>
      <x:c r="B660" s="3" t="str">
        <x:v>22350</x:v>
      </x:c>
      <x:c r="C660" s="3" t="str">
        <x:v>ILLUSTRATED CAT BOWL</x:v>
      </x:c>
      <x:c r="D660" s="13" t="n">
        <x:v>3822.12</x:v>
      </x:c>
      <x:c r="E660" s="13" t="n">
        <x:v>2.55</x:v>
      </x:c>
      <x:c r="F660" s="13" t="n">
        <x:f>D660-E660</x:f>
        <x:v>3819.5699999999997</x:v>
      </x:c>
      <x:c r="G660" s="3" t="n">
        <x:v>1410</x:v>
      </x:c>
      <x:c r="H660" s="3" t="n">
        <x:v>1</x:v>
      </x:c>
      <x:c r="I660" s="3" t="n">
        <x:v>120</x:v>
      </x:c>
      <x:c r="J660" s="15" t="n">
        <x:f>IF(D660=0,"n.a.",E660/D660)</x:f>
        <x:v>0.0006671690056827101</x:v>
      </x:c>
      <x:c r="K660" s="15" t="n">
        <x:f>F660/'Datos'!$F$7</x:f>
        <x:v>0.0003900422289312325</x:v>
      </x:c>
      <x:c r="L660" s="3"/>
    </x:row>
    <x:row r="661" ht="22" customHeight="1">
      <x:c r="A661" s="3"/>
      <x:c r="B661" s="3" t="str">
        <x:v>37370</x:v>
      </x:c>
      <x:c r="C661" s="3" t="str">
        <x:v>RETRO COFFEE MUGS ASSORTED</x:v>
      </x:c>
      <x:c r="D661" s="13" t="n">
        <x:v>3844.81</x:v>
      </x:c>
      <x:c r="E661" s="13" t="n">
        <x:v>27.8</x:v>
      </x:c>
      <x:c r="F661" s="13" t="n">
        <x:f>D661-E661</x:f>
        <x:v>3817.0099999999998</x:v>
      </x:c>
      <x:c r="G661" s="3" t="n">
        <x:v>2571</x:v>
      </x:c>
      <x:c r="H661" s="3" t="n">
        <x:v>23</x:v>
      </x:c>
      <x:c r="I661" s="3" t="n">
        <x:v>159</x:v>
      </x:c>
      <x:c r="J661" s="15" t="n">
        <x:f>IF(D661=0,"n.a.",E661/D661)</x:f>
        <x:v>0.0072305263459052594</x:v>
      </x:c>
      <x:c r="K661" s="15" t="n">
        <x:f>F661/'Datos'!$F$7</x:f>
        <x:v>0.00038978080994792703</x:v>
      </x:c>
      <x:c r="L661" s="3"/>
    </x:row>
    <x:row r="662" ht="22" customHeight="1">
      <x:c r="A662" s="3"/>
      <x:c r="B662" s="3" t="str">
        <x:v>23253</x:v>
      </x:c>
      <x:c r="C662" s="3" t="str">
        <x:v>16 PIECE CUTLERY SET PANTRY DESIGN</x:v>
      </x:c>
      <x:c r="D662" s="13" t="n">
        <x:v>3848.86</x:v>
      </x:c>
      <x:c r="E662" s="13" t="n">
        <x:v>31.9</x:v>
      </x:c>
      <x:c r="F662" s="13" t="n">
        <x:f>D662-E662</x:f>
        <x:v>3816.96</x:v>
      </x:c>
      <x:c r="G662" s="3" t="n">
        <x:v>258</x:v>
      </x:c>
      <x:c r="H662" s="3" t="n">
        <x:v>2</x:v>
      </x:c>
      <x:c r="I662" s="3" t="n">
        <x:v>70</x:v>
      </x:c>
      <x:c r="J662" s="15" t="n">
        <x:f>IF(D662=0,"n.a.",E662/D662)</x:f>
        <x:v>0.00828816844468232</x:v>
      </x:c>
      <x:c r="K662" s="15" t="n">
        <x:f>F662/'Datos'!$F$7</x:f>
        <x:v>0.0003897757041084094</x:v>
      </x:c>
      <x:c r="L662" s="3"/>
    </x:row>
    <x:row r="663" ht="22" customHeight="1">
      <x:c r="A663" s="3"/>
      <x:c r="B663" s="3" t="str">
        <x:v>23131</x:v>
      </x:c>
      <x:c r="C663" s="3" t="str">
        <x:v>MISTLETOE HEART WREATH CREAM</x:v>
      </x:c>
      <x:c r="D663" s="13" t="n">
        <x:v>3840.13</x:v>
      </x:c>
      <x:c r="E663" s="13" t="n">
        <x:v>24.9</x:v>
      </x:c>
      <x:c r="F663" s="13" t="n">
        <x:f>D663-E663</x:f>
        <x:v>3815.23</x:v>
      </x:c>
      <x:c r="G663" s="3" t="n">
        <x:v>943</x:v>
      </x:c>
      <x:c r="H663" s="3" t="n">
        <x:v>6</x:v>
      </x:c>
      <x:c r="I663" s="3" t="n">
        <x:v>115</x:v>
      </x:c>
      <x:c r="J663" s="15" t="n">
        <x:f>IF(D663=0,"n.a.",E663/D663)</x:f>
        <x:v>0.00648415548431954</x:v>
      </x:c>
      <x:c r="K663" s="15" t="n">
        <x:f>F663/'Datos'!$F$7</x:f>
        <x:v>0.0003895990420610975</x:v>
      </x:c>
      <x:c r="L663" s="3"/>
    </x:row>
    <x:row r="664" ht="22" customHeight="1">
      <x:c r="A664" s="3"/>
      <x:c r="B664" s="3" t="str">
        <x:v>21243</x:v>
      </x:c>
      <x:c r="C664" s="3" t="str">
        <x:v>PINK POLKADOT PLATE</x:v>
      </x:c>
      <x:c r="D664" s="13" t="n">
        <x:v>3827.16</x:v>
      </x:c>
      <x:c r="E664" s="13" t="n">
        <x:v>13.52</x:v>
      </x:c>
      <x:c r="F664" s="13" t="n">
        <x:f>D664-E664</x:f>
        <x:v>3813.64</x:v>
      </x:c>
      <x:c r="G664" s="3" t="n">
        <x:v>2285</x:v>
      </x:c>
      <x:c r="H664" s="3" t="n">
        <x:v>8</x:v>
      </x:c>
      <x:c r="I664" s="3" t="n">
        <x:v>210</x:v>
      </x:c>
      <x:c r="J664" s="15" t="n">
        <x:f>IF(D664=0,"n.a.",E664/D664)</x:f>
        <x:v>0.0035326456171155636</x:v>
      </x:c>
      <x:c r="K664" s="15" t="n">
        <x:f>F664/'Datos'!$F$7</x:f>
        <x:v>0.0003894366763644351</x:v>
      </x:c>
      <x:c r="L664" s="3"/>
    </x:row>
    <x:row r="665" ht="22" customHeight="1">
      <x:c r="A665" s="3"/>
      <x:c r="B665" s="3" t="str">
        <x:v>21110</x:v>
      </x:c>
      <x:c r="C665" s="3" t="str">
        <x:v>LARGE CAKE TOWEL PINK SPOTS</x:v>
      </x:c>
      <x:c r="D665" s="13" t="n">
        <x:v>3822.45</x:v>
      </x:c>
      <x:c r="E665" s="13" t="n">
        <x:v>13.5</x:v>
      </x:c>
      <x:c r="F665" s="13" t="n">
        <x:f>D665-E665</x:f>
        <x:v>3808.95</x:v>
      </x:c>
      <x:c r="G665" s="3" t="n">
        <x:v>1106</x:v>
      </x:c>
      <x:c r="H665" s="3" t="n">
        <x:v>2</x:v>
      </x:c>
      <x:c r="I665" s="3" t="n">
        <x:v>134</x:v>
      </x:c>
      <x:c r="J665" s="15" t="n">
        <x:f>IF(D665=0,"n.a.",E665/D665)</x:f>
        <x:v>0.003531766275556253</x:v>
      </x:c>
      <x:c r="K665" s="15" t="n">
        <x:f>F665/'Datos'!$F$7</x:f>
        <x:v>0.00038895774861767636</x:v>
      </x:c>
      <x:c r="L665" s="3"/>
    </x:row>
    <x:row r="666" ht="22" customHeight="1">
      <x:c r="A666" s="3"/>
      <x:c r="B666" s="3" t="str">
        <x:v>23032</x:v>
      </x:c>
      <x:c r="C666" s="3" t="str">
        <x:v>DRAWER KNOB CRACKLE GLAZE IVORY</x:v>
      </x:c>
      <x:c r="D666" s="13" t="n">
        <x:v>3876.78</x:v>
      </x:c>
      <x:c r="E666" s="13" t="n">
        <x:v>75.9</x:v>
      </x:c>
      <x:c r="F666" s="13" t="n">
        <x:f>D666-E666</x:f>
        <x:v>3800.88</x:v>
      </x:c>
      <x:c r="G666" s="3" t="n">
        <x:v>2342</x:v>
      </x:c>
      <x:c r="H666" s="3" t="n">
        <x:v>46</x:v>
      </x:c>
      <x:c r="I666" s="3" t="n">
        <x:v>199</x:v>
      </x:c>
      <x:c r="J666" s="15" t="n">
        <x:f>IF(D666=0,"n.a.",E666/D666)</x:f>
        <x:v>0.019578103477628343</x:v>
      </x:c>
      <x:c r="K666" s="15" t="n">
        <x:f>F666/'Datos'!$F$7</x:f>
        <x:v>0.0003881336661195221</x:v>
      </x:c>
      <x:c r="L666" s="3"/>
    </x:row>
    <x:row r="667" ht="22" customHeight="1">
      <x:c r="A667" s="3"/>
      <x:c r="B667" s="3" t="str">
        <x:v>22980</x:v>
      </x:c>
      <x:c r="C667" s="3" t="str">
        <x:v>PANTRY SCRUBBING BRUSH</x:v>
      </x:c>
      <x:c r="D667" s="13" t="n">
        <x:v>3914.96</x:v>
      </x:c>
      <x:c r="E667" s="13" t="n">
        <x:v>124.05</x:v>
      </x:c>
      <x:c r="F667" s="13" t="n">
        <x:f>D667-E667</x:f>
        <x:v>3790.91</x:v>
      </x:c>
      <x:c r="G667" s="3" t="n">
        <x:v>2366</x:v>
      </x:c>
      <x:c r="H667" s="3" t="n">
        <x:v>81</x:v>
      </x:c>
      <x:c r="I667" s="3" t="n">
        <x:v>291</x:v>
      </x:c>
      <x:c r="J667" s="15" t="n">
        <x:f>IF(D667=0,"n.a.",E667/D667)</x:f>
        <x:v>0.031686147495759855</x:v>
      </x:c>
      <x:c r="K667" s="15" t="n">
        <x:f>F667/'Datos'!$F$7</x:f>
        <x:v>0.0003871155617196958</x:v>
      </x:c>
      <x:c r="L667" s="3"/>
    </x:row>
    <x:row r="668" ht="22" customHeight="1">
      <x:c r="A668" s="3"/>
      <x:c r="B668" s="3" t="str">
        <x:v>22578</x:v>
      </x:c>
      <x:c r="C668" s="3" t="str">
        <x:v>WOODEN STAR CHRISTMAS SCANDINAVIAN</x:v>
      </x:c>
      <x:c r="D668" s="13" t="n">
        <x:v>3877.68</x:v>
      </x:c>
      <x:c r="E668" s="13" t="n">
        <x:v>112.49</x:v>
      </x:c>
      <x:c r="F668" s="13" t="n">
        <x:f>D668-E668</x:f>
        <x:v>3765.19</x:v>
      </x:c>
      <x:c r="G668" s="3" t="n">
        <x:v>10462</x:v>
      </x:c>
      <x:c r="H668" s="3" t="n">
        <x:v>133</x:v>
      </x:c>
      <x:c r="I668" s="3" t="n">
        <x:v>512</x:v>
      </x:c>
      <x:c r="J668" s="15" t="n">
        <x:f>IF(D668=0,"n.a.",E668/D668)</x:f>
        <x:v>0.029009613995997607</x:v>
      </x:c>
      <x:c r="K668" s="15" t="n">
        <x:f>F668/'Datos'!$F$7</x:f>
        <x:v>0.00038448911787179903</x:v>
      </x:c>
      <x:c r="L668" s="3"/>
    </x:row>
    <x:row r="669" ht="22" customHeight="1">
      <x:c r="A669" s="3"/>
      <x:c r="B669" s="3" t="str">
        <x:v>21244</x:v>
      </x:c>
      <x:c r="C669" s="3" t="str">
        <x:v>BLUE POLKADOT PLATE</x:v>
      </x:c>
      <x:c r="D669" s="13" t="n">
        <x:v>3789.32</x:v>
      </x:c>
      <x:c r="E669" s="13" t="n">
        <x:v>25.35</x:v>
      </x:c>
      <x:c r="F669" s="13" t="n">
        <x:f>D669-E669</x:f>
        <x:v>3763.9700000000003</x:v>
      </x:c>
      <x:c r="G669" s="3" t="n">
        <x:v>2282</x:v>
      </x:c>
      <x:c r="H669" s="3" t="n">
        <x:v>15</x:v>
      </x:c>
      <x:c r="I669" s="3" t="n">
        <x:v>196</x:v>
      </x:c>
      <x:c r="J669" s="15" t="n">
        <x:f>IF(D669=0,"n.a.",E669/D669)</x:f>
        <x:v>0.006689854644105011</x:v>
      </x:c>
      <x:c r="K669" s="15" t="n">
        <x:f>F669/'Datos'!$F$7</x:f>
        <x:v>0.00038436453538756755</x:v>
      </x:c>
      <x:c r="L669" s="3"/>
    </x:row>
    <x:row r="670" ht="22" customHeight="1">
      <x:c r="A670" s="3"/>
      <x:c r="B670" s="3" t="str">
        <x:v>23299</x:v>
      </x:c>
      <x:c r="C670" s="3" t="str">
        <x:v>FOOD COVER WITH BEADS SET 2</x:v>
      </x:c>
      <x:c r="D670" s="13" t="n">
        <x:v>3784.13</x:v>
      </x:c>
      <x:c r="E670" s="13" t="n">
        <x:v>30</x:v>
      </x:c>
      <x:c r="F670" s="13" t="n">
        <x:f>D670-E670</x:f>
        <x:v>3754.13</x:v>
      </x:c>
      <x:c r="G670" s="3" t="n">
        <x:v>1015</x:v>
      </x:c>
      <x:c r="H670" s="3" t="n">
        <x:v>8</x:v>
      </x:c>
      <x:c r="I670" s="3" t="n">
        <x:v>146</x:v>
      </x:c>
      <x:c r="J670" s="15" t="n">
        <x:f>IF(D670=0,"n.a.",E670/D670)</x:f>
        <x:v>0.007927846030659623</x:v>
      </x:c>
      <x:c r="K670" s="15" t="n">
        <x:f>F670/'Datos'!$F$7</x:f>
        <x:v>0.00038335970617048727</x:v>
      </x:c>
      <x:c r="L670" s="3"/>
    </x:row>
    <x:row r="671" ht="22" customHeight="1">
      <x:c r="A671" s="3"/>
      <x:c r="B671" s="3" t="str">
        <x:v>23542</x:v>
      </x:c>
      <x:c r="C671" s="3" t="str">
        <x:v>WALL ART 70'S ALPHABET</x:v>
      </x:c>
      <x:c r="D671" s="13" t="n">
        <x:v>3800.16</x:v>
      </x:c>
      <x:c r="E671" s="13" t="n">
        <x:v>48.7</x:v>
      </x:c>
      <x:c r="F671" s="13" t="n">
        <x:f>D671-E671</x:f>
        <x:v>3751.46</x:v>
      </x:c>
      <x:c r="G671" s="3" t="n">
        <x:v>506</x:v>
      </x:c>
      <x:c r="H671" s="3" t="n">
        <x:v>6</x:v>
      </x:c>
      <x:c r="I671" s="3" t="n">
        <x:v>89</x:v>
      </x:c>
      <x:c r="J671" s="15" t="n">
        <x:f>IF(D671=0,"n.a.",E671/D671)</x:f>
        <x:v>0.012815249884215403</x:v>
      </x:c>
      <x:c r="K671" s="15" t="n">
        <x:f>F671/'Datos'!$F$7</x:f>
        <x:v>0.00038308705434024286</x:v>
      </x:c>
      <x:c r="L671" s="3"/>
    </x:row>
    <x:row r="672" ht="22" customHeight="1">
      <x:c r="A672" s="3"/>
      <x:c r="B672" s="3" t="str">
        <x:v>21746</x:v>
      </x:c>
      <x:c r="C672" s="3" t="str">
        <x:v>SMALL RED RETROSPOT WINDMILL</x:v>
      </x:c>
      <x:c r="D672" s="13" t="n">
        <x:v>3766.93</x:v>
      </x:c>
      <x:c r="E672" s="13" t="n">
        <x:v>18.75</x:v>
      </x:c>
      <x:c r="F672" s="13" t="n">
        <x:f>D672-E672</x:f>
        <x:v>3748.18</x:v>
      </x:c>
      <x:c r="G672" s="3" t="n">
        <x:v>3075</x:v>
      </x:c>
      <x:c r="H672" s="3" t="n">
        <x:v>15</x:v>
      </x:c>
      <x:c r="I672" s="3" t="n">
        <x:v>226</x:v>
      </x:c>
      <x:c r="J672" s="15" t="n">
        <x:f>IF(D672=0,"n.a.",E672/D672)</x:f>
        <x:v>0.004977528119715524</x:v>
      </x:c>
      <x:c r="K672" s="15" t="n">
        <x:f>F672/'Datos'!$F$7</x:f>
        <x:v>0.00038275211126788275</x:v>
      </x:c>
      <x:c r="L672" s="3"/>
    </x:row>
    <x:row r="673" ht="22" customHeight="1">
      <x:c r="A673" s="3"/>
      <x:c r="B673" s="3" t="str">
        <x:v>22809</x:v>
      </x:c>
      <x:c r="C673" s="3" t="str">
        <x:v>SET OF 6 T-LIGHTS SANTA</x:v>
      </x:c>
      <x:c r="D673" s="13" t="n">
        <x:v>3822.5</x:v>
      </x:c>
      <x:c r="E673" s="13" t="n">
        <x:v>83.7</x:v>
      </x:c>
      <x:c r="F673" s="13" t="n">
        <x:f>D673-E673</x:f>
        <x:v>3738.8</x:v>
      </x:c>
      <x:c r="G673" s="3" t="n">
        <x:v>1254</x:v>
      </x:c>
      <x:c r="H673" s="3" t="n">
        <x:v>30</x:v>
      </x:c>
      <x:c r="I673" s="3" t="n">
        <x:v>204</x:v>
      </x:c>
      <x:c r="J673" s="15" t="n">
        <x:f>IF(D673=0,"n.a.",E673/D673)</x:f>
        <x:v>0.021896664486592544</x:v>
      </x:c>
      <x:c r="K673" s="15" t="n">
        <x:f>F673/'Datos'!$F$7</x:f>
        <x:v>0.0003817942557743652</x:v>
      </x:c>
      <x:c r="L673" s="3"/>
    </x:row>
    <x:row r="674" ht="22" customHeight="1">
      <x:c r="A674" s="3"/>
      <x:c r="B674" s="3" t="str">
        <x:v>22890</x:v>
      </x:c>
      <x:c r="C674" s="3" t="str">
        <x:v>NOVELTY BISCUITS CAKE STAND 3 TIER</x:v>
      </x:c>
      <x:c r="D674" s="13" t="n">
        <x:v>3999.57</x:v>
      </x:c>
      <x:c r="E674" s="13" t="n">
        <x:v>268.25</x:v>
      </x:c>
      <x:c r="F674" s="13" t="n">
        <x:f>D674-E674</x:f>
        <x:v>3731.32</x:v>
      </x:c>
      <x:c r="G674" s="3" t="n">
        <x:v>391</x:v>
      </x:c>
      <x:c r="H674" s="3" t="n">
        <x:v>29</x:v>
      </x:c>
      <x:c r="I674" s="3" t="n">
        <x:v>165</x:v>
      </x:c>
      <x:c r="J674" s="15" t="n">
        <x:f>IF(D674=0,"n.a.",E674/D674)</x:f>
        <x:v>0.06706970999382433</x:v>
      </x:c>
      <x:c r="K674" s="15" t="n">
        <x:f>F674/'Datos'!$F$7</x:f>
        <x:v>0.00038103042218251966</x:v>
      </x:c>
      <x:c r="L674" s="3"/>
    </x:row>
    <x:row r="675" ht="22" customHeight="1">
      <x:c r="A675" s="3"/>
      <x:c r="B675" s="3" t="str">
        <x:v>22195</x:v>
      </x:c>
      <x:c r="C675" s="3" t="str">
        <x:v>LARGE HEART MEASURING SPOONS</x:v>
      </x:c>
      <x:c r="D675" s="13" t="n">
        <x:v>3725.61</x:v>
      </x:c>
      <x:c r="E675" s="13" t="n">
        <x:v>1.65</x:v>
      </x:c>
      <x:c r="F675" s="13" t="n">
        <x:f>D675-E675</x:f>
        <x:v>3723.96</x:v>
      </x:c>
      <x:c r="G675" s="3" t="n">
        <x:v>1979</x:v>
      </x:c>
      <x:c r="H675" s="3" t="n">
        <x:v>1</x:v>
      </x:c>
      <x:c r="I675" s="3" t="n">
        <x:v>373</x:v>
      </x:c>
      <x:c r="J675" s="15" t="n">
        <x:f>IF(D675=0,"n.a.",E675/D675)</x:f>
        <x:v>0.00044288049473777444</x:v>
      </x:c>
      <x:c r="K675" s="15" t="n">
        <x:f>F675/'Datos'!$F$7</x:f>
        <x:v>0.0003802788426055165</x:v>
      </x:c>
      <x:c r="L675" s="3"/>
    </x:row>
    <x:row r="676" ht="22" customHeight="1">
      <x:c r="A676" s="3"/>
      <x:c r="B676" s="3" t="str">
        <x:v>22956</x:v>
      </x:c>
      <x:c r="C676" s="3" t="str">
        <x:v>36 FOIL HEART CAKE CASES</x:v>
      </x:c>
      <x:c r="D676" s="13" t="n">
        <x:v>3992.58</x:v>
      </x:c>
      <x:c r="E676" s="13" t="n">
        <x:v>283.2</x:v>
      </x:c>
      <x:c r="F676" s="13" t="n">
        <x:f>D676-E676</x:f>
        <x:v>3709.38</x:v>
      </x:c>
      <x:c r="G676" s="3" t="n">
        <x:v>2055</x:v>
      </x:c>
      <x:c r="H676" s="3" t="n">
        <x:v>152</x:v>
      </x:c>
      <x:c r="I676" s="3" t="n">
        <x:v>198</x:v>
      </x:c>
      <x:c r="J676" s="15" t="n">
        <x:f>IF(D676=0,"n.a.",E676/D676)</x:f>
        <x:v>0.07093157807733345</x:v>
      </x:c>
      <x:c r="K676" s="15" t="n">
        <x:f>F676/'Datos'!$F$7</x:f>
        <x:v>0.00037878997980215974</x:v>
      </x:c>
      <x:c r="L676" s="3"/>
    </x:row>
    <x:row r="677" ht="22" customHeight="1">
      <x:c r="A677" s="3"/>
      <x:c r="B677" s="3" t="str">
        <x:v>23182</x:v>
      </x:c>
      <x:c r="C677" s="3" t="str">
        <x:v>TOILET SIGN OCCUPIED OR VACANT</x:v>
      </x:c>
      <x:c r="D677" s="13" t="n">
        <x:v>3718.09</x:v>
      </x:c>
      <x:c r="E677" s="13" t="n">
        <x:v>11.62</x:v>
      </x:c>
      <x:c r="F677" s="13" t="n">
        <x:f>D677-E677</x:f>
        <x:v>3706.4700000000003</x:v>
      </x:c>
      <x:c r="G677" s="3" t="n">
        <x:v>3777</x:v>
      </x:c>
      <x:c r="H677" s="3" t="n">
        <x:v>14</x:v>
      </x:c>
      <x:c r="I677" s="3" t="n">
        <x:v>433</x:v>
      </x:c>
      <x:c r="J677" s="15" t="n">
        <x:f>IF(D677=0,"n.a.",E677/D677)</x:f>
        <x:v>0.0031252605504439104</x:v>
      </x:c>
      <x:c r="K677" s="15" t="n">
        <x:f>F677/'Datos'!$F$7</x:f>
        <x:v>0.0003784928199422305</x:v>
      </x:c>
      <x:c r="L677" s="3"/>
    </x:row>
    <x:row r="678" ht="22" customHeight="1">
      <x:c r="A678" s="3"/>
      <x:c r="B678" s="3" t="str">
        <x:v>23127</x:v>
      </x:c>
      <x:c r="C678" s="3" t="str">
        <x:v>FELTCRAFT GIRL NICOLE KIT</x:v>
      </x:c>
      <x:c r="D678" s="13" t="n">
        <x:v>3763.95</x:v>
      </x:c>
      <x:c r="E678" s="13" t="n">
        <x:v>64.35</x:v>
      </x:c>
      <x:c r="F678" s="13" t="n">
        <x:f>D678-E678</x:f>
        <x:v>3699.6</x:v>
      </x:c>
      <x:c r="G678" s="3" t="n">
        <x:v>737</x:v>
      </x:c>
      <x:c r="H678" s="3" t="n">
        <x:v>13</x:v>
      </x:c>
      <x:c r="I678" s="3" t="n">
        <x:v>194</x:v>
      </x:c>
      <x:c r="J678" s="15" t="n">
        <x:f>IF(D678=0,"n.a.",E678/D678)</x:f>
        <x:v>0.017096401386840952</x:v>
      </x:c>
      <x:c r="K678" s="15" t="n">
        <x:f>F678/'Datos'!$F$7</x:f>
        <x:v>0.0003777912775925007</x:v>
      </x:c>
      <x:c r="L678" s="3"/>
    </x:row>
    <x:row r="679" ht="22" customHeight="1">
      <x:c r="A679" s="3"/>
      <x:c r="B679" s="3" t="str">
        <x:v>23092</x:v>
      </x:c>
      <x:c r="C679" s="3" t="str">
        <x:v>LARGE ANTIQUE WHITE PHOTO FRAME</x:v>
      </x:c>
      <x:c r="D679" s="13" t="n">
        <x:v>3773.58</x:v>
      </x:c>
      <x:c r="E679" s="13" t="n">
        <x:v>77.75</x:v>
      </x:c>
      <x:c r="F679" s="13" t="n">
        <x:f>D679-E679</x:f>
        <x:v>3695.83</x:v>
      </x:c>
      <x:c r="G679" s="3" t="n">
        <x:v>525</x:v>
      </x:c>
      <x:c r="H679" s="3" t="n">
        <x:v>10</x:v>
      </x:c>
      <x:c r="I679" s="3" t="n">
        <x:v>135</x:v>
      </x:c>
      <x:c r="J679" s="15" t="n">
        <x:f>IF(D679=0,"n.a.",E679/D679)</x:f>
        <x:v>0.020603776784909822</x:v>
      </x:c>
      <x:c r="K679" s="15" t="n">
        <x:f>F679/'Datos'!$F$7</x:f>
        <x:v>0.00037740629729286724</x:v>
      </x:c>
      <x:c r="L679" s="3"/>
    </x:row>
    <x:row r="680" ht="22" customHeight="1">
      <x:c r="A680" s="3"/>
      <x:c r="B680" s="3" t="str">
        <x:v>22842</x:v>
      </x:c>
      <x:c r="C680" s="3" t="str">
        <x:v>BISCUIT TIN VINTAGE RED</x:v>
      </x:c>
      <x:c r="D680" s="13" t="n">
        <x:v>3823.21</x:v>
      </x:c>
      <x:c r="E680" s="13" t="n">
        <x:v>127.45</x:v>
      </x:c>
      <x:c r="F680" s="13" t="n">
        <x:f>D680-E680</x:f>
        <x:v>3695.76</x:v>
      </x:c>
      <x:c r="G680" s="3" t="n">
        <x:v>589</x:v>
      </x:c>
      <x:c r="H680" s="3" t="n">
        <x:v>19</x:v>
      </x:c>
      <x:c r="I680" s="3" t="n">
        <x:v>162</x:v>
      </x:c>
      <x:c r="J680" s="15" t="n">
        <x:f>IF(D680=0,"n.a.",E680/D680)</x:f>
        <x:v>0.03333586174968155</x:v>
      </x:c>
      <x:c r="K680" s="15" t="n">
        <x:f>F680/'Datos'!$F$7</x:f>
        <x:v>0.00037739914911754253</x:v>
      </x:c>
      <x:c r="L680" s="3"/>
    </x:row>
    <x:row r="681" ht="22" customHeight="1">
      <x:c r="A681" s="3"/>
      <x:c r="B681" s="3" t="str">
        <x:v>22854</x:v>
      </x:c>
      <x:c r="C681" s="3" t="str">
        <x:v>CREAM SWEETHEART EGG HOLDER</x:v>
      </x:c>
      <x:c r="D681" s="13" t="n">
        <x:v>3708.52</x:v>
      </x:c>
      <x:c r="E681" s="13" t="n">
        <x:v>14.85</x:v>
      </x:c>
      <x:c r="F681" s="13" t="n">
        <x:f>D681-E681</x:f>
        <x:v>3693.67</x:v>
      </x:c>
      <x:c r="G681" s="3" t="n">
        <x:v>767</x:v>
      </x:c>
      <x:c r="H681" s="3" t="n">
        <x:v>3</x:v>
      </x:c>
      <x:c r="I681" s="3" t="n">
        <x:v>161</x:v>
      </x:c>
      <x:c r="J681" s="15" t="n">
        <x:f>IF(D681=0,"n.a.",E681/D681)</x:f>
        <x:v>0.004004292817619967</x:v>
      </x:c>
      <x:c r="K681" s="15" t="n">
        <x:f>F681/'Datos'!$F$7</x:f>
        <x:v>0.0003771857250257033</x:v>
      </x:c>
      <x:c r="L681" s="3"/>
    </x:row>
    <x:row r="682" ht="22" customHeight="1">
      <x:c r="A682" s="3"/>
      <x:c r="B682" s="3" t="str">
        <x:v>23091</x:v>
      </x:c>
      <x:c r="C682" s="3" t="str">
        <x:v>ZINC HERB GARDEN CONTAINER</x:v>
      </x:c>
      <x:c r="D682" s="13" t="n">
        <x:v>3725.07</x:v>
      </x:c>
      <x:c r="E682" s="13" t="n">
        <x:v>43.75</x:v>
      </x:c>
      <x:c r="F682" s="13" t="n">
        <x:f>D682-E682</x:f>
        <x:v>3681.32</x:v>
      </x:c>
      <x:c r="G682" s="3" t="n">
        <x:v>591</x:v>
      </x:c>
      <x:c r="H682" s="3" t="n">
        <x:v>7</x:v>
      </x:c>
      <x:c r="I682" s="3" t="n">
        <x:v>209</x:v>
      </x:c>
      <x:c r="J682" s="15" t="n">
        <x:f>IF(D682=0,"n.a.",E682/D682)</x:f>
        <x:v>0.011744745736321734</x:v>
      </x:c>
      <x:c r="K682" s="15" t="n">
        <x:f>F682/'Datos'!$F$7</x:f>
        <x:v>0.0003759245826648353</x:v>
      </x:c>
      <x:c r="L682" s="3"/>
    </x:row>
    <x:row r="683" ht="22" customHeight="1">
      <x:c r="A683" s="3"/>
      <x:c r="B683" s="3" t="str">
        <x:v>21890</x:v>
      </x:c>
      <x:c r="C683" s="3" t="str">
        <x:v>S/6 WOODEN SKITTLES IN COTTON BAG</x:v>
      </x:c>
      <x:c r="D683" s="13" t="n">
        <x:v>3689.46</x:v>
      </x:c>
      <x:c r="E683" s="13" t="n">
        <x:v>18.4</x:v>
      </x:c>
      <x:c r="F683" s="13" t="n">
        <x:f>D683-E683</x:f>
        <x:v>3671.06</x:v>
      </x:c>
      <x:c r="G683" s="3" t="n">
        <x:v>1152</x:v>
      </x:c>
      <x:c r="H683" s="3" t="n">
        <x:v>6</x:v>
      </x:c>
      <x:c r="I683" s="3" t="n">
        <x:v>231</x:v>
      </x:c>
      <x:c r="J683" s="15" t="n">
        <x:f>IF(D683=0,"n.a.",E683/D683)</x:f>
        <x:v>0.004987179695673622</x:v>
      </x:c>
      <x:c r="K683" s="15" t="n">
        <x:f>F683/'Datos'!$F$7</x:f>
        <x:v>0.00037487686439580646</x:v>
      </x:c>
      <x:c r="L683" s="3"/>
    </x:row>
    <x:row r="684" ht="22" customHeight="1">
      <x:c r="A684" s="3"/>
      <x:c r="B684" s="3" t="str">
        <x:v>22738</x:v>
      </x:c>
      <x:c r="C684" s="3" t="str">
        <x:v>RIBBON REEL SNOWY VILLAGE</x:v>
      </x:c>
      <x:c r="D684" s="13" t="n">
        <x:v>3856.07</x:v>
      </x:c>
      <x:c r="E684" s="13" t="n">
        <x:v>190.5</x:v>
      </x:c>
      <x:c r="F684" s="13" t="n">
        <x:f>D684-E684</x:f>
        <x:v>3665.57</x:v>
      </x:c>
      <x:c r="G684" s="3" t="n">
        <x:v>2189</x:v>
      </x:c>
      <x:c r="H684" s="3" t="n">
        <x:v>130</x:v>
      </x:c>
      <x:c r="I684" s="3" t="n">
        <x:v>275</x:v>
      </x:c>
      <x:c r="J684" s="15" t="n">
        <x:f>IF(D684=0,"n.a.",E684/D684)</x:f>
        <x:v>0.04940263013897569</x:v>
      </x:c>
      <x:c r="K684" s="15" t="n">
        <x:f>F684/'Datos'!$F$7</x:f>
        <x:v>0.00037431624321676473</x:v>
      </x:c>
      <x:c r="L684" s="3"/>
    </x:row>
    <x:row r="685" ht="22" customHeight="1">
      <x:c r="A685" s="3"/>
      <x:c r="B685" s="3" t="str">
        <x:v>22212</x:v>
      </x:c>
      <x:c r="C685" s="3" t="str">
        <x:v>FOUR HOOK WHITE LOVEBIRDS</x:v>
      </x:c>
      <x:c r="D685" s="13" t="n">
        <x:v>3713.54</x:v>
      </x:c>
      <x:c r="E685" s="13" t="n">
        <x:v>50.4</x:v>
      </x:c>
      <x:c r="F685" s="13" t="n">
        <x:f>D685-E685</x:f>
        <x:v>3663.14</x:v>
      </x:c>
      <x:c r="G685" s="3" t="n">
        <x:v>1615</x:v>
      </x:c>
      <x:c r="H685" s="3" t="n">
        <x:v>24</x:v>
      </x:c>
      <x:c r="I685" s="3" t="n">
        <x:v>399</x:v>
      </x:c>
      <x:c r="J685" s="15" t="n">
        <x:f>IF(D685=0,"n.a.",E685/D685)</x:f>
        <x:v>0.013571955600316678</x:v>
      </x:c>
      <x:c r="K685" s="15" t="n">
        <x:f>F685/'Datos'!$F$7</x:f>
        <x:v>0.0003740680994162052</x:v>
      </x:c>
      <x:c r="L685" s="3"/>
    </x:row>
    <x:row r="686" ht="22" customHeight="1">
      <x:c r="A686" s="3"/>
      <x:c r="B686" s="3" t="str">
        <x:v>21531</x:v>
      </x:c>
      <x:c r="C686" s="3" t="str">
        <x:v>RED RETROSPOT SUGAR JAM BOWL</x:v>
      </x:c>
      <x:c r="D686" s="13" t="n">
        <x:v>3692.37</x:v>
      </x:c>
      <x:c r="E686" s="13" t="n">
        <x:v>36.45</x:v>
      </x:c>
      <x:c r="F686" s="13" t="n">
        <x:f>D686-E686</x:f>
        <x:v>3655.92</x:v>
      </x:c>
      <x:c r="G686" s="3" t="n">
        <x:v>1520</x:v>
      </x:c>
      <x:c r="H686" s="3" t="n">
        <x:v>15</x:v>
      </x:c>
      <x:c r="I686" s="3" t="n">
        <x:v>246</x:v>
      </x:c>
      <x:c r="J686" s="15" t="n">
        <x:f>IF(D686=0,"n.a.",E686/D686)</x:f>
        <x:v>0.009871708414920499</x:v>
      </x:c>
      <x:c r="K686" s="15" t="n">
        <x:f>F686/'Datos'!$F$7</x:f>
        <x:v>0.0003733308161898516</x:v>
      </x:c>
      <x:c r="L686" s="3"/>
    </x:row>
    <x:row r="687" ht="22" customHeight="1">
      <x:c r="A687" s="3"/>
      <x:c r="B687" s="3" t="str">
        <x:v>23013</x:v>
      </x:c>
      <x:c r="C687" s="3" t="str">
        <x:v>GLASS APOTHECARY BOTTLE TONIC</x:v>
      </x:c>
      <x:c r="D687" s="13" t="n">
        <x:v>3678.11</x:v>
      </x:c>
      <x:c r="E687" s="13" t="n">
        <x:v>23.7</x:v>
      </x:c>
      <x:c r="F687" s="13" t="n">
        <x:f>D687-E687</x:f>
        <x:v>3654.4100000000003</x:v>
      </x:c>
      <x:c r="G687" s="3" t="n">
        <x:v>925</x:v>
      </x:c>
      <x:c r="H687" s="3" t="n">
        <x:v>6</x:v>
      </x:c>
      <x:c r="I687" s="3" t="n">
        <x:v>223</x:v>
      </x:c>
      <x:c r="J687" s="15" t="n">
        <x:f>IF(D687=0,"n.a.",E687/D687)</x:f>
        <x:v>0.006443526702572788</x:v>
      </x:c>
      <x:c r="K687" s="15" t="n">
        <x:f>F687/'Datos'!$F$7</x:f>
        <x:v>0.00037317661983641756</x:v>
      </x:c>
      <x:c r="L687" s="3"/>
    </x:row>
    <x:row r="688" ht="22" customHeight="1">
      <x:c r="A688" s="3"/>
      <x:c r="B688" s="3" t="str">
        <x:v>23191</x:v>
      </x:c>
      <x:c r="C688" s="3" t="str">
        <x:v>BUNDLE OF 3 RETRO NOTE BOOKS</x:v>
      </x:c>
      <x:c r="D688" s="13" t="n">
        <x:v>3656.94</x:v>
      </x:c>
      <x:c r="E688" s="13" t="n">
        <x:v>4.95</x:v>
      </x:c>
      <x:c r="F688" s="13" t="n">
        <x:f>D688-E688</x:f>
        <x:v>3651.9900000000002</x:v>
      </x:c>
      <x:c r="G688" s="3" t="n">
        <x:v>2218</x:v>
      </x:c>
      <x:c r="H688" s="3" t="n">
        <x:v>3</x:v>
      </x:c>
      <x:c r="I688" s="3" t="n">
        <x:v>281</x:v>
      </x:c>
      <x:c r="J688" s="15" t="n">
        <x:f>IF(D688=0,"n.a.",E688/D688)</x:f>
        <x:v>0.001353590706984528</x:v>
      </x:c>
      <x:c r="K688" s="15" t="n">
        <x:f>F688/'Datos'!$F$7</x:f>
        <x:v>0.00037292949720376165</x:v>
      </x:c>
      <x:c r="L688" s="3"/>
    </x:row>
    <x:row r="689" ht="22" customHeight="1">
      <x:c r="A689" s="3"/>
      <x:c r="B689" s="3" t="str">
        <x:v>22378</x:v>
      </x:c>
      <x:c r="C689" s="3" t="str">
        <x:v>WALL TIDY RETROSPOT</x:v>
      </x:c>
      <x:c r="D689" s="13" t="n">
        <x:v>3649.07</x:v>
      </x:c>
      <x:c r="E689" s="13" t="n">
        <x:v>2.1</x:v>
      </x:c>
      <x:c r="F689" s="13" t="n">
        <x:f>D689-E689</x:f>
        <x:v>3646.9700000000003</x:v>
      </x:c>
      <x:c r="G689" s="3" t="n">
        <x:v>2288</x:v>
      </x:c>
      <x:c r="H689" s="3" t="n">
        <x:v>1</x:v>
      </x:c>
      <x:c r="I689" s="3" t="n">
        <x:v>293</x:v>
      </x:c>
      <x:c r="J689" s="15" t="n">
        <x:f>IF(D689=0,"n.a.",E689/D689)</x:f>
        <x:v>0.000575489097222032</x:v>
      </x:c>
      <x:c r="K689" s="15" t="n">
        <x:f>F689/'Datos'!$F$7</x:f>
        <x:v>0.00037241687091618615</x:v>
      </x:c>
      <x:c r="L689" s="3"/>
    </x:row>
    <x:row r="690" ht="22" customHeight="1">
      <x:c r="A690" s="3"/>
      <x:c r="B690" s="3" t="str">
        <x:v>23497</x:v>
      </x:c>
      <x:c r="C690" s="3" t="str">
        <x:v>CLASSIC CHROME BICYCLE BELL</x:v>
      </x:c>
      <x:c r="D690" s="13" t="n">
        <x:v>3660.37</x:v>
      </x:c>
      <x:c r="E690" s="13" t="n">
        <x:v>17.4</x:v>
      </x:c>
      <x:c r="F690" s="13" t="n">
        <x:f>D690-E690</x:f>
        <x:v>3642.97</x:v>
      </x:c>
      <x:c r="G690" s="3" t="n">
        <x:v>2561</x:v>
      </x:c>
      <x:c r="H690" s="3" t="n">
        <x:v>12</x:v>
      </x:c>
      <x:c r="I690" s="3" t="n">
        <x:v>195</x:v>
      </x:c>
      <x:c r="J690" s="15" t="n">
        <x:f>IF(D690=0,"n.a.",E690/D690)</x:f>
        <x:v>0.0047536178036646564</x:v>
      </x:c>
      <x:c r="K690" s="15" t="n">
        <x:f>F690/'Datos'!$F$7</x:f>
        <x:v>0.0003720084037547714</x:v>
      </x:c>
      <x:c r="L690" s="3"/>
    </x:row>
    <x:row r="691" ht="22" customHeight="1">
      <x:c r="A691" s="3"/>
      <x:c r="B691" s="3" t="str">
        <x:v>23294</x:v>
      </x:c>
      <x:c r="C691" s="3" t="str">
        <x:v>SET OF 6 SNACK LOAF BAKING CASES</x:v>
      </x:c>
      <x:c r="D691" s="13" t="n">
        <x:v>3631.05</x:v>
      </x:c>
      <x:c r="E691" s="13" t="n">
        <x:v>10.79</x:v>
      </x:c>
      <x:c r="F691" s="13" t="n">
        <x:f>D691-E691</x:f>
        <x:v>3620.26</x:v>
      </x:c>
      <x:c r="G691" s="3" t="n">
        <x:v>4420</x:v>
      </x:c>
      <x:c r="H691" s="3" t="n">
        <x:v>13</x:v>
      </x:c>
      <x:c r="I691" s="3" t="n">
        <x:v>354</x:v>
      </x:c>
      <x:c r="J691" s="15" t="n">
        <x:f>IF(D691=0,"n.a.",E691/D691)</x:f>
        <x:v>0.002971592239159471</x:v>
      </x:c>
      <x:c r="K691" s="15" t="n">
        <x:f>F691/'Datos'!$F$7</x:f>
        <x:v>0.0003696893314458392</x:v>
      </x:c>
      <x:c r="L691" s="3"/>
    </x:row>
    <x:row r="692" ht="22" customHeight="1">
      <x:c r="A692" s="3"/>
      <x:c r="B692" s="3" t="str">
        <x:v>22468</x:v>
      </x:c>
      <x:c r="C692" s="3" t="str">
        <x:v>BABUSHKA LIGHTS STRING OF 10</x:v>
      </x:c>
      <x:c r="D692" s="13" t="n">
        <x:v>3633.17</x:v>
      </x:c>
      <x:c r="E692" s="13" t="n">
        <x:v>19.45</x:v>
      </x:c>
      <x:c r="F692" s="13" t="n">
        <x:f>D692-E692</x:f>
        <x:v>3613.7200000000003</x:v>
      </x:c>
      <x:c r="G692" s="3" t="n">
        <x:v>517</x:v>
      </x:c>
      <x:c r="H692" s="3" t="n">
        <x:v>3</x:v>
      </x:c>
      <x:c r="I692" s="3" t="n">
        <x:v>153</x:v>
      </x:c>
      <x:c r="J692" s="15" t="n">
        <x:f>IF(D692=0,"n.a.",E692/D692)</x:f>
        <x:v>0.005353451668928236</x:v>
      </x:c>
      <x:c r="K692" s="15" t="n">
        <x:f>F692/'Datos'!$F$7</x:f>
        <x:v>0.00036902148763692604</x:v>
      </x:c>
      <x:c r="L692" s="3"/>
    </x:row>
    <x:row r="693" ht="22" customHeight="1">
      <x:c r="A693" s="3"/>
      <x:c r="B693" s="3" t="str">
        <x:v>85053</x:v>
      </x:c>
      <x:c r="C693" s="3" t="str">
        <x:v>FRENCH ENAMEL CANDLEHOLDER</x:v>
      </x:c>
      <x:c r="D693" s="13" t="n">
        <x:v>3666.29</x:v>
      </x:c>
      <x:c r="E693" s="13" t="n">
        <x:v>57.16</x:v>
      </x:c>
      <x:c r="F693" s="13" t="n">
        <x:f>D693-E693</x:f>
        <x:v>3609.13</x:v>
      </x:c>
      <x:c r="G693" s="3" t="n">
        <x:v>1701</x:v>
      </x:c>
      <x:c r="H693" s="3" t="n">
        <x:v>28</x:v>
      </x:c>
      <x:c r="I693" s="3" t="n">
        <x:v>317</x:v>
      </x:c>
      <x:c r="J693" s="15" t="n">
        <x:f>IF(D693=0,"n.a.",E693/D693)</x:f>
        <x:v>0.0155906924984112</x:v>
      </x:c>
      <x:c r="K693" s="15" t="n">
        <x:f>F693/'Datos'!$F$7</x:f>
        <x:v>0.0003685527715692026</x:v>
      </x:c>
      <x:c r="L693" s="3"/>
    </x:row>
    <x:row r="694" ht="22" customHeight="1">
      <x:c r="A694" s="3"/>
      <x:c r="B694" s="3" t="str">
        <x:v>22053</x:v>
      </x:c>
      <x:c r="C694" s="3" t="str">
        <x:v>EMPIRE DESIGN ROSETTE</x:v>
      </x:c>
      <x:c r="D694" s="13" t="n">
        <x:v>3606.42</x:v>
      </x:c>
      <x:c r="E694" s="13" t="n">
        <x:v>1.25</x:v>
      </x:c>
      <x:c r="F694" s="13" t="n">
        <x:f>D694-E694</x:f>
        <x:v>3605.17</x:v>
      </x:c>
      <x:c r="G694" s="3" t="n">
        <x:v>4244</x:v>
      </x:c>
      <x:c r="H694" s="3" t="n">
        <x:v>1</x:v>
      </x:c>
      <x:c r="I694" s="3" t="n">
        <x:v>28</x:v>
      </x:c>
      <x:c r="J694" s="15" t="n">
        <x:f>IF(D694=0,"n.a.",E694/D694)</x:f>
        <x:v>0.00034660411155661294</x:v>
      </x:c>
      <x:c r="K694" s="15" t="n">
        <x:f>F694/'Datos'!$F$7</x:f>
        <x:v>0.000368148389079402</x:v>
      </x:c>
      <x:c r="L694" s="3"/>
    </x:row>
    <x:row r="695" ht="22" customHeight="1">
      <x:c r="A695" s="3"/>
      <x:c r="B695" s="3" t="str">
        <x:v>21658</x:v>
      </x:c>
      <x:c r="C695" s="3" t="str">
        <x:v>GLASS BEURRE DISH</x:v>
      </x:c>
      <x:c r="D695" s="13" t="n">
        <x:v>3721.63</x:v>
      </x:c>
      <x:c r="E695" s="13" t="n">
        <x:v>124.58</x:v>
      </x:c>
      <x:c r="F695" s="13" t="n">
        <x:f>D695-E695</x:f>
        <x:v>3597.05</x:v>
      </x:c>
      <x:c r="G695" s="3" t="n">
        <x:v>881</x:v>
      </x:c>
      <x:c r="H695" s="3" t="n">
        <x:v>32</x:v>
      </x:c>
      <x:c r="I695" s="3" t="n">
        <x:v>212</x:v>
      </x:c>
      <x:c r="J695" s="15" t="n">
        <x:f>IF(D695=0,"n.a.",E695/D695)</x:f>
        <x:v>0.03347457968685764</x:v>
      </x:c>
      <x:c r="K695" s="15" t="n">
        <x:f>F695/'Datos'!$F$7</x:f>
        <x:v>0.0003673192007417301</x:v>
      </x:c>
      <x:c r="L695" s="3"/>
    </x:row>
    <x:row r="696" ht="22" customHeight="1">
      <x:c r="A696" s="3"/>
      <x:c r="B696" s="3" t="str">
        <x:v>22493</x:v>
      </x:c>
      <x:c r="C696" s="3" t="str">
        <x:v>PAINT YOUR OWN CANVAS SET</x:v>
      </x:c>
      <x:c r="D696" s="13" t="n">
        <x:v>3989.94</x:v>
      </x:c>
      <x:c r="E696" s="13" t="n">
        <x:v>396.45</x:v>
      </x:c>
      <x:c r="F696" s="13" t="n">
        <x:f>D696-E696</x:f>
        <x:v>3593.4900000000002</x:v>
      </x:c>
      <x:c r="G696" s="3" t="n">
        <x:v>2463</x:v>
      </x:c>
      <x:c r="H696" s="3" t="n">
        <x:v>273</x:v>
      </x:c>
      <x:c r="I696" s="3" t="n">
        <x:v>220</x:v>
      </x:c>
      <x:c r="J696" s="15" t="n">
        <x:f>IF(D696=0,"n.a.",E696/D696)</x:f>
        <x:v>0.09936239642701393</x:v>
      </x:c>
      <x:c r="K696" s="15" t="n">
        <x:f>F696/'Datos'!$F$7</x:f>
        <x:v>0.000366955664968071</x:v>
      </x:c>
      <x:c r="L696" s="3"/>
    </x:row>
    <x:row r="697" ht="22" customHeight="1">
      <x:c r="A697" s="3"/>
      <x:c r="B697" s="3" t="str">
        <x:v>22926</x:v>
      </x:c>
      <x:c r="C697" s="3" t="str">
        <x:v>IVORY GIANT GARDEN THERMOMETER</x:v>
      </x:c>
      <x:c r="D697" s="13" t="n">
        <x:v>3674.7</x:v>
      </x:c>
      <x:c r="E697" s="13" t="n">
        <x:v>89.25</x:v>
      </x:c>
      <x:c r="F697" s="13" t="n">
        <x:f>D697-E697</x:f>
        <x:v>3585.45</x:v>
      </x:c>
      <x:c r="G697" s="3" t="n">
        <x:v>597</x:v>
      </x:c>
      <x:c r="H697" s="3" t="n">
        <x:v>15</x:v>
      </x:c>
      <x:c r="I697" s="3" t="n">
        <x:v>195</x:v>
      </x:c>
      <x:c r="J697" s="15" t="n">
        <x:f>IF(D697=0,"n.a.",E697/D697)</x:f>
        <x:v>0.024287696954853458</x:v>
      </x:c>
      <x:c r="K697" s="15" t="n">
        <x:f>F697/'Datos'!$F$7</x:f>
        <x:v>0.0003661346459736273</x:v>
      </x:c>
      <x:c r="L697" s="3"/>
    </x:row>
    <x:row r="698" ht="22" customHeight="1">
      <x:c r="A698" s="3"/>
      <x:c r="B698" s="3" t="str">
        <x:v>21260</x:v>
      </x:c>
      <x:c r="C698" s="3" t="str">
        <x:v>FIRST AID TIN</x:v>
      </x:c>
      <x:c r="D698" s="13" t="n">
        <x:v>3722.23</x:v>
      </x:c>
      <x:c r="E698" s="13" t="n">
        <x:v>139.75</x:v>
      </x:c>
      <x:c r="F698" s="13" t="n">
        <x:f>D698-E698</x:f>
        <x:v>3582.48</x:v>
      </x:c>
      <x:c r="G698" s="3" t="n">
        <x:v>1161</x:v>
      </x:c>
      <x:c r="H698" s="3" t="n">
        <x:v>43</x:v>
      </x:c>
      <x:c r="I698" s="3" t="n">
        <x:v>166</x:v>
      </x:c>
      <x:c r="J698" s="15" t="n">
        <x:f>IF(D698=0,"n.a.",E698/D698)</x:f>
        <x:v>0.03754469766779592</x:v>
      </x:c>
      <x:c r="K698" s="15" t="n">
        <x:f>F698/'Datos'!$F$7</x:f>
        <x:v>0.00036583135910627683</x:v>
      </x:c>
      <x:c r="L698" s="3"/>
    </x:row>
    <x:row r="699" ht="22" customHeight="1">
      <x:c r="A699" s="3"/>
      <x:c r="B699" s="3" t="str">
        <x:v>85132C</x:v>
      </x:c>
      <x:c r="C699" s="3" t="str">
        <x:v>CHARLIE AND LOLA FIGURES TINS</x:v>
      </x:c>
      <x:c r="D699" s="13" t="n">
        <x:v>3587.19</x:v>
      </x:c>
      <x:c r="E699" s="13" t="n">
        <x:v>9.75</x:v>
      </x:c>
      <x:c r="F699" s="13" t="n">
        <x:f>D699-E699</x:f>
        <x:v>3577.44</x:v>
      </x:c>
      <x:c r="G699" s="3" t="n">
        <x:v>1523</x:v>
      </x:c>
      <x:c r="H699" s="3" t="n">
        <x:v>5</x:v>
      </x:c>
      <x:c r="I699" s="3" t="n">
        <x:v>214</x:v>
      </x:c>
      <x:c r="J699" s="15" t="n">
        <x:f>IF(D699=0,"n.a.",E699/D699)</x:f>
        <x:v>0.002718004900771913</x:v>
      </x:c>
      <x:c r="K699" s="15" t="n">
        <x:f>F699/'Datos'!$F$7</x:f>
        <x:v>0.00036531669048289425</x:v>
      </x:c>
      <x:c r="L699" s="3"/>
    </x:row>
    <x:row r="700" ht="22" customHeight="1">
      <x:c r="A700" s="3"/>
      <x:c r="B700" s="3" t="str">
        <x:v>21494</x:v>
      </x:c>
      <x:c r="C700" s="3" t="str">
        <x:v>ROTATING LEAVES T-LIGHT HOLDER</x:v>
      </x:c>
      <x:c r="D700" s="13" t="n">
        <x:v>3578.83</x:v>
      </x:c>
      <x:c r="E700" s="13" t="n">
        <x:v>2.5</x:v>
      </x:c>
      <x:c r="F700" s="13" t="n">
        <x:f>D700-E700</x:f>
        <x:v>3576.33</x:v>
      </x:c>
      <x:c r="G700" s="3" t="n">
        <x:v>1934</x:v>
      </x:c>
      <x:c r="H700" s="3" t="n">
        <x:v>2</x:v>
      </x:c>
      <x:c r="I700" s="3" t="n">
        <x:v>313</x:v>
      </x:c>
      <x:c r="J700" s="15" t="n">
        <x:f>IF(D700=0,"n.a.",E700/D700)</x:f>
        <x:v>0.0006985523201716762</x:v>
      </x:c>
      <x:c r="K700" s="15" t="n">
        <x:f>F700/'Datos'!$F$7</x:f>
        <x:v>0.00036520334084560167</x:v>
      </x:c>
      <x:c r="L700" s="3"/>
    </x:row>
    <x:row r="701" ht="22" customHeight="1">
      <x:c r="A701" s="3"/>
      <x:c r="B701" s="3" t="str">
        <x:v>22348</x:v>
      </x:c>
      <x:c r="C701" s="3" t="str">
        <x:v>TEA BAG PLATE RED RETROSPOT</x:v>
      </x:c>
      <x:c r="D701" s="13" t="n">
        <x:v>3584.99</x:v>
      </x:c>
      <x:c r="E701" s="13" t="n">
        <x:v>10.2</x:v>
      </x:c>
      <x:c r="F701" s="13" t="n">
        <x:f>D701-E701</x:f>
        <x:v>3574.79</x:v>
      </x:c>
      <x:c r="G701" s="3" t="n">
        <x:v>4086</x:v>
      </x:c>
      <x:c r="H701" s="3" t="n">
        <x:v>12</x:v>
      </x:c>
      <x:c r="I701" s="3" t="n">
        <x:v>358</x:v>
      </x:c>
      <x:c r="J701" s="15" t="n">
        <x:f>IF(D701=0,"n.a.",E701/D701)</x:f>
        <x:v>0.002845196220909961</x:v>
      </x:c>
      <x:c r="K701" s="15" t="n">
        <x:f>F701/'Datos'!$F$7</x:f>
        <x:v>0.000365046080988457</x:v>
      </x:c>
      <x:c r="L701" s="3"/>
    </x:row>
    <x:row r="702" ht="22" customHeight="1">
      <x:c r="A702" s="3"/>
      <x:c r="B702" s="3" t="str">
        <x:v>22908</x:v>
      </x:c>
      <x:c r="C702" s="3" t="str">
        <x:v>PACK OF 20 NAPKINS RED APPLES</x:v>
      </x:c>
      <x:c r="D702" s="13" t="n">
        <x:v>3573.83</x:v>
      </x:c>
      <x:c r="E702" s="13" t="n">
        <x:v>2.55</x:v>
      </x:c>
      <x:c r="F702" s="13" t="n">
        <x:f>D702-E702</x:f>
        <x:v>3571.2799999999997</x:v>
      </x:c>
      <x:c r="G702" s="3" t="n">
        <x:v>4385</x:v>
      </x:c>
      <x:c r="H702" s="3" t="n">
        <x:v>3</x:v>
      </x:c>
      <x:c r="I702" s="3" t="n">
        <x:v>375</x:v>
      </x:c>
      <x:c r="J702" s="15" t="n">
        <x:f>IF(D702=0,"n.a.",E702/D702)</x:f>
        <x:v>0.0007135202289980216</x:v>
      </x:c>
      <x:c r="K702" s="15" t="n">
        <x:f>F702/'Datos'!$F$7</x:f>
        <x:v>0.00036468765105431553</x:v>
      </x:c>
      <x:c r="L702" s="3"/>
    </x:row>
    <x:row r="703" ht="22" customHeight="1">
      <x:c r="A703" s="3"/>
      <x:c r="B703" s="3" t="str">
        <x:v>22812</x:v>
      </x:c>
      <x:c r="C703" s="3" t="str">
        <x:v>PACK 3 BOXES CHRISTMAS PANNETONE</x:v>
      </x:c>
      <x:c r="D703" s="13" t="n">
        <x:v>3610.25</x:v>
      </x:c>
      <x:c r="E703" s="13" t="n">
        <x:v>40.95</x:v>
      </x:c>
      <x:c r="F703" s="13" t="n">
        <x:f>D703-E703</x:f>
        <x:v>3569.3</x:v>
      </x:c>
      <x:c r="G703" s="3" t="n">
        <x:v>1726</x:v>
      </x:c>
      <x:c r="H703" s="3" t="n">
        <x:v>21</x:v>
      </x:c>
      <x:c r="I703" s="3" t="n">
        <x:v>185</x:v>
      </x:c>
      <x:c r="J703" s="15" t="n">
        <x:f>IF(D703=0,"n.a.",E703/D703)</x:f>
        <x:v>0.011342704798836646</x:v>
      </x:c>
      <x:c r="K703" s="15" t="n">
        <x:f>F703/'Datos'!$F$7</x:f>
        <x:v>0.00036448545980941527</x:v>
      </x:c>
      <x:c r="L703" s="3"/>
    </x:row>
    <x:row r="704" ht="22" customHeight="1">
      <x:c r="A704" s="3"/>
      <x:c r="B704" s="3" t="str">
        <x:v>22739</x:v>
      </x:c>
      <x:c r="C704" s="3" t="str">
        <x:v>RIBBON REEL CHRISTMAS SOCK BAUBLE</x:v>
      </x:c>
      <x:c r="D704" s="13" t="n">
        <x:v>3585.02</x:v>
      </x:c>
      <x:c r="E704" s="13" t="n">
        <x:v>16.5</x:v>
      </x:c>
      <x:c r="F704" s="13" t="n">
        <x:f>D704-E704</x:f>
        <x:v>3568.52</x:v>
      </x:c>
      <x:c r="G704" s="3" t="n">
        <x:v>1835</x:v>
      </x:c>
      <x:c r="H704" s="3" t="n">
        <x:v>10</x:v>
      </x:c>
      <x:c r="I704" s="3" t="n">
        <x:v>318</x:v>
      </x:c>
      <x:c r="J704" s="15" t="n">
        <x:f>IF(D704=0,"n.a.",E704/D704)</x:f>
        <x:v>0.004602484783906366</x:v>
      </x:c>
      <x:c r="K704" s="15" t="n">
        <x:f>F704/'Datos'!$F$7</x:f>
        <x:v>0.0003644058087129394</x:v>
      </x:c>
      <x:c r="L704" s="3"/>
    </x:row>
    <x:row r="705" ht="22" customHeight="1">
      <x:c r="A705" s="3"/>
      <x:c r="B705" s="3" t="str">
        <x:v>23332</x:v>
      </x:c>
      <x:c r="C705" s="3" t="str">
        <x:v>IVORY WICKER HEART LARGE</x:v>
      </x:c>
      <x:c r="D705" s="13" t="n">
        <x:v>3570.76</x:v>
      </x:c>
      <x:c r="E705" s="13" t="n">
        <x:v>3.3</x:v>
      </x:c>
      <x:c r="F705" s="13" t="n">
        <x:f>D705-E705</x:f>
        <x:v>3567.46</x:v>
      </x:c>
      <x:c r="G705" s="3" t="n">
        <x:v>2076</x:v>
      </x:c>
      <x:c r="H705" s="3" t="n">
        <x:v>2</x:v>
      </x:c>
      <x:c r="I705" s="3" t="n">
        <x:v>287</x:v>
      </x:c>
      <x:c r="J705" s="15" t="n">
        <x:f>IF(D705=0,"n.a.",E705/D705)</x:f>
        <x:v>0.0009241730051865708</x:v>
      </x:c>
      <x:c r="K705" s="15" t="n">
        <x:f>F705/'Datos'!$F$7</x:f>
        <x:v>0.0003642975649151645</x:v>
      </x:c>
      <x:c r="L705" s="3"/>
    </x:row>
    <x:row r="706" ht="22" customHeight="1">
      <x:c r="A706" s="3"/>
      <x:c r="B706" s="3" t="str">
        <x:v>23111</x:v>
      </x:c>
      <x:c r="C706" s="3" t="str">
        <x:v>PARISIENNE SEWING BOX</x:v>
      </x:c>
      <x:c r="D706" s="13" t="n">
        <x:v>3839.24</x:v>
      </x:c>
      <x:c r="E706" s="13" t="n">
        <x:v>283.2</x:v>
      </x:c>
      <x:c r="F706" s="13" t="n">
        <x:f>D706-E706</x:f>
        <x:v>3556.04</x:v>
      </x:c>
      <x:c r="G706" s="3" t="n">
        <x:v>312</x:v>
      </x:c>
      <x:c r="H706" s="3" t="n">
        <x:v>24</x:v>
      </x:c>
      <x:c r="I706" s="3" t="n">
        <x:v>138</x:v>
      </x:c>
      <x:c r="J706" s="15" t="n">
        <x:f>IF(D706=0,"n.a.",E706/D706)</x:f>
        <x:v>0.07376459924360029</x:v>
      </x:c>
      <x:c r="K706" s="15" t="n">
        <x:f>F706/'Datos'!$F$7</x:f>
        <x:v>0.0003631313911693254</x:v>
      </x:c>
      <x:c r="L706" s="3"/>
    </x:row>
    <x:row r="707" ht="22" customHeight="1">
      <x:c r="A707" s="3"/>
      <x:c r="B707" s="3" t="str">
        <x:v>20717</x:v>
      </x:c>
      <x:c r="C707" s="3" t="str">
        <x:v>STRAWBERRY SHOPPER BAG</x:v>
      </x:c>
      <x:c r="D707" s="13" t="n">
        <x:v>3564.48</x:v>
      </x:c>
      <x:c r="E707" s="13" t="n">
        <x:v>27.5</x:v>
      </x:c>
      <x:c r="F707" s="13" t="n">
        <x:f>D707-E707</x:f>
        <x:v>3536.98</x:v>
      </x:c>
      <x:c r="G707" s="3" t="n">
        <x:v>2857</x:v>
      </x:c>
      <x:c r="H707" s="3" t="n">
        <x:v>22</x:v>
      </x:c>
      <x:c r="I707" s="3" t="n">
        <x:v>412</x:v>
      </x:c>
      <x:c r="J707" s="15" t="n">
        <x:f>IF(D707=0,"n.a.",E707/D707)</x:f>
        <x:v>0.007715010324086543</x:v>
      </x:c>
      <x:c r="K707" s="15" t="n">
        <x:f>F707/'Datos'!$F$7</x:f>
        <x:v>0.00036118504514518406</x:v>
      </x:c>
      <x:c r="L707" s="3"/>
    </x:row>
    <x:row r="708" ht="22" customHeight="1">
      <x:c r="A708" s="3"/>
      <x:c r="B708" s="3" t="str">
        <x:v>84968C</x:v>
      </x:c>
      <x:c r="C708" s="3" t="str">
        <x:v>SET OF 16 VINTAGE PISTACHIO CUTLERY</x:v>
      </x:c>
      <x:c r="D708" s="13" t="n">
        <x:v>3585.99</x:v>
      </x:c>
      <x:c r="E708" s="13" t="n">
        <x:v>51</x:v>
      </x:c>
      <x:c r="F708" s="13" t="n">
        <x:f>D708-E708</x:f>
        <x:v>3534.99</x:v>
      </x:c>
      <x:c r="G708" s="3" t="n">
        <x:v>317</x:v>
      </x:c>
      <x:c r="H708" s="3" t="n">
        <x:v>4</x:v>
      </x:c>
      <x:c r="I708" s="3" t="n">
        <x:v>104</x:v>
      </x:c>
      <x:c r="J708" s="15" t="n">
        <x:f>IF(D708=0,"n.a.",E708/D708)</x:f>
        <x:v>0.01422201400450085</x:v>
      </x:c>
      <x:c r="K708" s="15" t="n">
        <x:f>F708/'Datos'!$F$7</x:f>
        <x:v>0.00036098183273238025</x:v>
      </x:c>
      <x:c r="L708" s="3"/>
    </x:row>
    <x:row r="709" ht="22" customHeight="1">
      <x:c r="A709" s="3"/>
      <x:c r="B709" s="3" t="str">
        <x:v>21992</x:v>
      </x:c>
      <x:c r="C709" s="3" t="str">
        <x:v>VINTAGE PAISLEY STATIONERY SET</x:v>
      </x:c>
      <x:c r="D709" s="13" t="n">
        <x:v>3529.12</x:v>
      </x:c>
      <x:c r="E709" s="13" t="n">
        <x:v>0</x:v>
      </x:c>
      <x:c r="F709" s="13" t="n">
        <x:f>D709-E709</x:f>
        <x:v>3529.12</x:v>
      </x:c>
      <x:c r="G709" s="3" t="n">
        <x:v>1913</x:v>
      </x:c>
      <x:c r="H709" s="3" t="n">
        <x:v>0</x:v>
      </x:c>
      <x:c r="I709" s="3" t="n">
        <x:v>436</x:v>
      </x:c>
      <x:c r="J709" s="15" t="n">
        <x:f>IF(D709=0,"n.a.",E709/D709)</x:f>
        <x:v>0</x:v>
      </x:c>
      <x:c r="K709" s="15" t="n">
        <x:f>F709/'Datos'!$F$7</x:f>
        <x:v>0.0003603824071730041</x:v>
      </x:c>
      <x:c r="L709" s="3"/>
    </x:row>
    <x:row r="710" ht="22" customHeight="1">
      <x:c r="A710" s="3"/>
      <x:c r="B710" s="3" t="str">
        <x:v>22800</x:v>
      </x:c>
      <x:c r="C710" s="3" t="str">
        <x:v>ANTIQUE TALL SWIRLGLASS TRINKET POT</x:v>
      </x:c>
      <x:c r="D710" s="13" t="n">
        <x:v>3564.49</x:v>
      </x:c>
      <x:c r="E710" s="13" t="n">
        <x:v>37.5</x:v>
      </x:c>
      <x:c r="F710" s="13" t="n">
        <x:f>D710-E710</x:f>
        <x:v>3526.99</x:v>
      </x:c>
      <x:c r="G710" s="3" t="n">
        <x:v>871</x:v>
      </x:c>
      <x:c r="H710" s="3" t="n">
        <x:v>10</x:v>
      </x:c>
      <x:c r="I710" s="3" t="n">
        <x:v>203</x:v>
      </x:c>
      <x:c r="J710" s="15" t="n">
        <x:f>IF(D710=0,"n.a.",E710/D710)</x:f>
        <x:v>0.010520439109101162</x:v>
      </x:c>
      <x:c r="K710" s="15" t="n">
        <x:f>F710/'Datos'!$F$7</x:f>
        <x:v>0.00036016489840955075</x:v>
      </x:c>
      <x:c r="L710" s="3"/>
    </x:row>
    <x:row r="711" ht="22" customHeight="1">
      <x:c r="A711" s="3"/>
      <x:c r="B711" s="3" t="str">
        <x:v>22688</x:v>
      </x:c>
      <x:c r="C711" s="3" t="str">
        <x:v>DOORMAT PEACE ON EARTH BLUE</x:v>
      </x:c>
      <x:c r="D711" s="13" t="n">
        <x:v>3519.66</x:v>
      </x:c>
      <x:c r="E711" s="13" t="n">
        <x:v>0</x:v>
      </x:c>
      <x:c r="F711" s="13" t="n">
        <x:f>D711-E711</x:f>
        <x:v>3519.66</x:v>
      </x:c>
      <x:c r="G711" s="3" t="n">
        <x:v>705</x:v>
      </x:c>
      <x:c r="H711" s="3" t="n">
        <x:v>0</x:v>
      </x:c>
      <x:c r="I711" s="3" t="n">
        <x:v>32</x:v>
      </x:c>
      <x:c r="J711" s="15" t="n">
        <x:f>IF(D711=0,"n.a.",E711/D711)</x:f>
        <x:v>0</x:v>
      </x:c>
      <x:c r="K711" s="15" t="n">
        <x:f>F711/'Datos'!$F$7</x:f>
        <x:v>0.0003594163823362582</x:v>
      </x:c>
      <x:c r="L711" s="3"/>
    </x:row>
    <x:row r="712" ht="22" customHeight="1">
      <x:c r="A712" s="3"/>
      <x:c r="B712" s="3" t="str">
        <x:v>21715</x:v>
      </x:c>
      <x:c r="C712" s="3" t="str">
        <x:v>GIRLS VINTAGE TIN SEASIDE BUCKET</x:v>
      </x:c>
      <x:c r="D712" s="13" t="n">
        <x:v>3507.17</x:v>
      </x:c>
      <x:c r="E712" s="13" t="n">
        <x:v>0</x:v>
      </x:c>
      <x:c r="F712" s="13" t="n">
        <x:f>D712-E712</x:f>
        <x:v>3507.17</x:v>
      </x:c>
      <x:c r="G712" s="3" t="n">
        <x:v>1330</x:v>
      </x:c>
      <x:c r="H712" s="3" t="n">
        <x:v>0</x:v>
      </x:c>
      <x:c r="I712" s="3" t="n">
        <x:v>231</x:v>
      </x:c>
      <x:c r="J712" s="15" t="n">
        <x:f>IF(D712=0,"n.a.",E712/D712)</x:f>
        <x:v>0</x:v>
      </x:c>
      <x:c r="K712" s="15" t="n">
        <x:f>F712/'Datos'!$F$7</x:f>
        <x:v>0.0003581409436247407</x:v>
      </x:c>
      <x:c r="L712" s="3"/>
    </x:row>
    <x:row r="713" ht="22" customHeight="1">
      <x:c r="A713" s="3"/>
      <x:c r="B713" s="3" t="str">
        <x:v>23085</x:v>
      </x:c>
      <x:c r="C713" s="3" t="str">
        <x:v>ANTIQUE SILVER BAUBLE LAMP</x:v>
      </x:c>
      <x:c r="D713" s="13" t="n">
        <x:v>3635.23</x:v>
      </x:c>
      <x:c r="E713" s="13" t="n">
        <x:v>128.75</x:v>
      </x:c>
      <x:c r="F713" s="13" t="n">
        <x:f>D713-E713</x:f>
        <x:v>3506.48</x:v>
      </x:c>
      <x:c r="G713" s="3" t="n">
        <x:v>381</x:v>
      </x:c>
      <x:c r="H713" s="3" t="n">
        <x:v>13</x:v>
      </x:c>
      <x:c r="I713" s="3" t="n">
        <x:v>78</x:v>
      </x:c>
      <x:c r="J713" s="15" t="n">
        <x:f>IF(D713=0,"n.a.",E713/D713)</x:f>
        <x:v>0.035417291340575426</x:v>
      </x:c>
      <x:c r="K713" s="15" t="n">
        <x:f>F713/'Datos'!$F$7</x:f>
        <x:v>0.0003580704830393966</x:v>
      </x:c>
      <x:c r="L713" s="3"/>
    </x:row>
    <x:row r="714" ht="22" customHeight="1">
      <x:c r="A714" s="3"/>
      <x:c r="B714" s="3" t="str">
        <x:v>23189</x:v>
      </x:c>
      <x:c r="C714" s="3" t="str">
        <x:v>SET OF 12 FORK CANDLES</x:v>
      </x:c>
      <x:c r="D714" s="13" t="n">
        <x:v>3507.51</x:v>
      </x:c>
      <x:c r="E714" s="13" t="n">
        <x:v>2.89</x:v>
      </x:c>
      <x:c r="F714" s="13" t="n">
        <x:f>D714-E714</x:f>
        <x:v>3504.6200000000003</x:v>
      </x:c>
      <x:c r="G714" s="3" t="n">
        <x:v>1249</x:v>
      </x:c>
      <x:c r="H714" s="3" t="n">
        <x:v>1</x:v>
      </x:c>
      <x:c r="I714" s="3" t="n">
        <x:v>141</x:v>
      </x:c>
      <x:c r="J714" s="15" t="n">
        <x:f>IF(D714=0,"n.a.",E714/D714)</x:f>
        <x:v>0.0008239463322984111</x:v>
      </x:c>
      <x:c r="K714" s="15" t="n">
        <x:f>F714/'Datos'!$F$7</x:f>
        <x:v>0.0003578805458093388</x:v>
      </x:c>
      <x:c r="L714" s="3"/>
    </x:row>
    <x:row r="715" ht="22" customHeight="1">
      <x:c r="A715" s="3"/>
      <x:c r="B715" s="3" t="str">
        <x:v>23353</x:v>
      </x:c>
      <x:c r="C715" s="3" t="str">
        <x:v>6 GIFT TAGS VINTAGE CHRISTMAS</x:v>
      </x:c>
      <x:c r="D715" s="13" t="n">
        <x:v>3517.52</x:v>
      </x:c>
      <x:c r="E715" s="13" t="n">
        <x:v>19.92</x:v>
      </x:c>
      <x:c r="F715" s="13" t="n">
        <x:f>D715-E715</x:f>
        <x:v>3497.6</x:v>
      </x:c>
      <x:c r="G715" s="3" t="n">
        <x:v>4016</x:v>
      </x:c>
      <x:c r="H715" s="3" t="n">
        <x:v>24</x:v>
      </x:c>
      <x:c r="I715" s="3" t="n">
        <x:v>327</x:v>
      </x:c>
      <x:c r="J715" s="15" t="n">
        <x:f>IF(D715=0,"n.a.",E715/D715)</x:f>
        <x:v>0.005663080806932157</x:v>
      </x:c>
      <x:c r="K715" s="15" t="n">
        <x:f>F715/'Datos'!$F$7</x:f>
        <x:v>0.0003571636859410559</x:v>
      </x:c>
      <x:c r="L715" s="3"/>
    </x:row>
    <x:row r="716" ht="22" customHeight="1">
      <x:c r="A716" s="3"/>
      <x:c r="B716" s="3" t="str">
        <x:v>21527</x:v>
      </x:c>
      <x:c r="C716" s="3" t="str">
        <x:v>RED RETROSPOT TRADITIONAL TEAPOT</x:v>
      </x:c>
      <x:c r="D716" s="13" t="n">
        <x:v>3756.79</x:v>
      </x:c>
      <x:c r="E716" s="13" t="n">
        <x:v>260.3</x:v>
      </x:c>
      <x:c r="F716" s="13" t="n">
        <x:f>D716-E716</x:f>
        <x:v>3496.49</x:v>
      </x:c>
      <x:c r="G716" s="3" t="n">
        <x:v>481</x:v>
      </x:c>
      <x:c r="H716" s="3" t="n">
        <x:v>34</x:v>
      </x:c>
      <x:c r="I716" s="3" t="n">
        <x:v>144</x:v>
      </x:c>
      <x:c r="J716" s="15" t="n">
        <x:f>IF(D716=0,"n.a.",E716/D716)</x:f>
        <x:v>0.06928787608570083</x:v>
      </x:c>
      <x:c r="K716" s="15" t="n">
        <x:f>F716/'Datos'!$F$7</x:f>
        <x:v>0.0003570503363037633</x:v>
      </x:c>
      <x:c r="L716" s="3"/>
    </x:row>
    <x:row r="717" ht="22" customHeight="1">
      <x:c r="A717" s="3"/>
      <x:c r="B717" s="3" t="str">
        <x:v>21703</x:v>
      </x:c>
      <x:c r="C717" s="3" t="str">
        <x:v>BAG 125g SWIRLY MARBLES</x:v>
      </x:c>
      <x:c r="D717" s="13" t="n">
        <x:v>3528.89</x:v>
      </x:c>
      <x:c r="E717" s="13" t="n">
        <x:v>36.54</x:v>
      </x:c>
      <x:c r="F717" s="13" t="n">
        <x:f>D717-E717</x:f>
        <x:v>3492.35</x:v>
      </x:c>
      <x:c r="G717" s="3" t="n">
        <x:v>9390</x:v>
      </x:c>
      <x:c r="H717" s="3" t="n">
        <x:v>87</x:v>
      </x:c>
      <x:c r="I717" s="3" t="n">
        <x:v>294</x:v>
      </x:c>
      <x:c r="J717" s="15" t="n">
        <x:f>IF(D717=0,"n.a.",E717/D717)</x:f>
        <x:v>0.010354530744795106</x:v>
      </x:c>
      <x:c r="K717" s="15" t="n">
        <x:f>F717/'Datos'!$F$7</x:f>
        <x:v>0.00035662757279169904</x:v>
      </x:c>
      <x:c r="L717" s="3"/>
    </x:row>
    <x:row r="718" ht="22" customHeight="1">
      <x:c r="A718" s="3"/>
      <x:c r="B718" s="3" t="str">
        <x:v>21745</x:v>
      </x:c>
      <x:c r="C718" s="3" t="str">
        <x:v>GAOLERS KEYS DECORATIVE GARDEN</x:v>
      </x:c>
      <x:c r="D718" s="13" t="n">
        <x:v>3486.98</x:v>
      </x:c>
      <x:c r="E718" s="13" t="n">
        <x:v>15</x:v>
      </x:c>
      <x:c r="F718" s="13" t="n">
        <x:f>D718-E718</x:f>
        <x:v>3471.98</x:v>
      </x:c>
      <x:c r="G718" s="3" t="n">
        <x:v>938</x:v>
      </x:c>
      <x:c r="H718" s="3" t="n">
        <x:v>4</x:v>
      </x:c>
      <x:c r="I718" s="3" t="n">
        <x:v>214</x:v>
      </x:c>
      <x:c r="J718" s="15" t="n">
        <x:f>IF(D718=0,"n.a.",E718/D718)</x:f>
        <x:v>0.004301716671733133</x:v>
      </x:c>
      <x:c r="K718" s="15" t="n">
        <x:f>F718/'Datos'!$F$7</x:f>
        <x:v>0.00035454745377219444</x:v>
      </x:c>
      <x:c r="L718" s="3"/>
    </x:row>
    <x:row r="719" ht="22" customHeight="1">
      <x:c r="A719" s="3"/>
      <x:c r="B719" s="3" t="str">
        <x:v>23232</x:v>
      </x:c>
      <x:c r="C719" s="3" t="str">
        <x:v>WRAP VINTAGE LEAF DESIGN</x:v>
      </x:c>
      <x:c r="D719" s="13" t="n">
        <x:v>3478.92</x:v>
      </x:c>
      <x:c r="E719" s="13" t="n">
        <x:v>21.42</x:v>
      </x:c>
      <x:c r="F719" s="13" t="n">
        <x:f>D719-E719</x:f>
        <x:v>3457.5</x:v>
      </x:c>
      <x:c r="G719" s="3" t="n">
        <x:v>8626</x:v>
      </x:c>
      <x:c r="H719" s="3" t="n">
        <x:v>51</x:v>
      </x:c>
      <x:c r="I719" s="3" t="n">
        <x:v>238</x:v>
      </x:c>
      <x:c r="J719" s="15" t="n">
        <x:f>IF(D719=0,"n.a.",E719/D719)</x:f>
        <x:v>0.006157083232727399</x:v>
      </x:c>
      <x:c r="K719" s="15" t="n">
        <x:f>F719/'Datos'!$F$7</x:f>
        <x:v>0.000353068802647873</x:v>
      </x:c>
      <x:c r="L719" s="3"/>
    </x:row>
    <x:row r="720" ht="22" customHeight="1">
      <x:c r="A720" s="3"/>
      <x:c r="B720" s="3" t="str">
        <x:v>21974</x:v>
      </x:c>
      <x:c r="C720" s="3" t="str">
        <x:v>SET OF 36 PAISLEY FLOWER DOILIES</x:v>
      </x:c>
      <x:c r="D720" s="13" t="n">
        <x:v>3545.6</x:v>
      </x:c>
      <x:c r="E720" s="13" t="n">
        <x:v>88.45</x:v>
      </x:c>
      <x:c r="F720" s="13" t="n">
        <x:f>D720-E720</x:f>
        <x:v>3457.15</x:v>
      </x:c>
      <x:c r="G720" s="3" t="n">
        <x:v>2219</x:v>
      </x:c>
      <x:c r="H720" s="3" t="n">
        <x:v>61</x:v>
      </x:c>
      <x:c r="I720" s="3" t="n">
        <x:v>360</x:v>
      </x:c>
      <x:c r="J720" s="15" t="n">
        <x:f>IF(D720=0,"n.a.",E720/D720)</x:f>
        <x:v>0.024946412454873647</x:v>
      </x:c>
      <x:c r="K720" s="15" t="n">
        <x:f>F720/'Datos'!$F$7</x:f>
        <x:v>0.00035303306177124924</x:v>
      </x:c>
      <x:c r="L720" s="3"/>
    </x:row>
    <x:row r="721" ht="22" customHeight="1">
      <x:c r="A721" s="3"/>
      <x:c r="B721" s="3" t="str">
        <x:v>22065</x:v>
      </x:c>
      <x:c r="C721" s="3" t="str">
        <x:v>CHRISTMAS PUDDING TRINKET POT</x:v>
      </x:c>
      <x:c r="D721" s="13" t="n">
        <x:v>3470.83</x:v>
      </x:c>
      <x:c r="E721" s="13" t="n">
        <x:v>22.02</x:v>
      </x:c>
      <x:c r="F721" s="13" t="n">
        <x:f>D721-E721</x:f>
        <x:v>3448.81</x:v>
      </x:c>
      <x:c r="G721" s="3" t="n">
        <x:v>6751</x:v>
      </x:c>
      <x:c r="H721" s="3" t="n">
        <x:v>22</x:v>
      </x:c>
      <x:c r="I721" s="3" t="n">
        <x:v>241</x:v>
      </x:c>
      <x:c r="J721" s="15" t="n">
        <x:f>IF(D721=0,"n.a.",E721/D721)</x:f>
        <x:v>0.006344303812056482</x:v>
      </x:c>
      <x:c r="K721" s="15" t="n">
        <x:f>F721/'Datos'!$F$7</x:f>
        <x:v>0.0003521814077396995</x:v>
      </x:c>
      <x:c r="L721" s="3"/>
    </x:row>
    <x:row r="722" ht="22" customHeight="1">
      <x:c r="A722" s="3"/>
      <x:c r="B722" s="3" t="str">
        <x:v>23388</x:v>
      </x:c>
      <x:c r="C722" s="3" t="str">
        <x:v>WOODLAND MINI BACKPACK</x:v>
      </x:c>
      <x:c r="D722" s="13" t="n">
        <x:v>3448.69</x:v>
      </x:c>
      <x:c r="E722" s="13" t="n">
        <x:v>0</x:v>
      </x:c>
      <x:c r="F722" s="13" t="n">
        <x:f>D722-E722</x:f>
        <x:v>3448.69</x:v>
      </x:c>
      <x:c r="G722" s="3" t="n">
        <x:v>825</x:v>
      </x:c>
      <x:c r="H722" s="3" t="n">
        <x:v>0</x:v>
      </x:c>
      <x:c r="I722" s="3" t="n">
        <x:v>154</x:v>
      </x:c>
      <x:c r="J722" s="15" t="n">
        <x:f>IF(D722=0,"n.a.",E722/D722)</x:f>
        <x:v>0</x:v>
      </x:c>
      <x:c r="K722" s="15" t="n">
        <x:f>F722/'Datos'!$F$7</x:f>
        <x:v>0.00035216915372485706</x:v>
      </x:c>
      <x:c r="L722" s="3"/>
    </x:row>
    <x:row r="723" ht="22" customHeight="1">
      <x:c r="A723" s="3"/>
      <x:c r="B723" s="3" t="str">
        <x:v>21588</x:v>
      </x:c>
      <x:c r="C723" s="3" t="str">
        <x:v>RETROSPOT GIANT TUBE MATCHES</x:v>
      </x:c>
      <x:c r="D723" s="13" t="n">
        <x:v>3450.15</x:v>
      </x:c>
      <x:c r="E723" s="13" t="n">
        <x:v>2.55</x:v>
      </x:c>
      <x:c r="F723" s="13" t="n">
        <x:f>D723-E723</x:f>
        <x:v>3447.6</x:v>
      </x:c>
      <x:c r="G723" s="3" t="n">
        <x:v>1497</x:v>
      </x:c>
      <x:c r="H723" s="3" t="n">
        <x:v>1</x:v>
      </x:c>
      <x:c r="I723" s="3" t="n">
        <x:v>132</x:v>
      </x:c>
      <x:c r="J723" s="15" t="n">
        <x:f>IF(D723=0,"n.a.",E723/D723)</x:f>
        <x:v>0.0007390983000739097</x:v>
      </x:c>
      <x:c r="K723" s="15" t="n">
        <x:f>F723/'Datos'!$F$7</x:f>
        <x:v>0.0003520578464233715</x:v>
      </x:c>
      <x:c r="L723" s="3"/>
    </x:row>
    <x:row r="724" ht="22" customHeight="1">
      <x:c r="A724" s="3"/>
      <x:c r="B724" s="3" t="str">
        <x:v>21385</x:v>
      </x:c>
      <x:c r="C724" s="3" t="str">
        <x:v>IVORY HANGING DECORATION HEART</x:v>
      </x:c>
      <x:c r="D724" s="13" t="n">
        <x:v>3447.55</x:v>
      </x:c>
      <x:c r="E724" s="13" t="n">
        <x:v>1.7</x:v>
      </x:c>
      <x:c r="F724" s="13" t="n">
        <x:f>D724-E724</x:f>
        <x:v>3445.8500000000004</x:v>
      </x:c>
      <x:c r="G724" s="3" t="n">
        <x:v>3889</x:v>
      </x:c>
      <x:c r="H724" s="3" t="n">
        <x:v>2</x:v>
      </x:c>
      <x:c r="I724" s="3" t="n">
        <x:v>317</x:v>
      </x:c>
      <x:c r="J724" s="15" t="n">
        <x:f>IF(D724=0,"n.a.",E724/D724)</x:f>
        <x:v>0.0004931037983495525</x:v>
      </x:c>
      <x:c r="K724" s="15" t="n">
        <x:f>F724/'Datos'!$F$7</x:f>
        <x:v>0.00035187914204025264</x:v>
      </x:c>
      <x:c r="L724" s="3"/>
    </x:row>
    <x:row r="725" ht="22" customHeight="1">
      <x:c r="A725" s="3"/>
      <x:c r="B725" s="3" t="str">
        <x:v>84508A</x:v>
      </x:c>
      <x:c r="C725" s="3" t="str">
        <x:v>CAMOUFLAGE DESIGN TEDDY</x:v>
      </x:c>
      <x:c r="D725" s="13" t="n">
        <x:v>3448.05</x:v>
      </x:c>
      <x:c r="E725" s="13" t="n">
        <x:v>2.55</x:v>
      </x:c>
      <x:c r="F725" s="13" t="n">
        <x:f>D725-E725</x:f>
        <x:v>3445.5</x:v>
      </x:c>
      <x:c r="G725" s="3" t="n">
        <x:v>1631</x:v>
      </x:c>
      <x:c r="H725" s="3" t="n">
        <x:v>1</x:v>
      </x:c>
      <x:c r="I725" s="3" t="n">
        <x:v>36</x:v>
      </x:c>
      <x:c r="J725" s="15" t="n">
        <x:f>IF(D725=0,"n.a.",E725/D725)</x:f>
        <x:v>0.0007395484404228476</x:v>
      </x:c>
      <x:c r="K725" s="15" t="n">
        <x:f>F725/'Datos'!$F$7</x:f>
        <x:v>0.0003518434011636288</x:v>
      </x:c>
      <x:c r="L725" s="3"/>
    </x:row>
    <x:row r="726" ht="22" customHeight="1">
      <x:c r="A726" s="3"/>
      <x:c r="B726" s="3" t="str">
        <x:v>21238</x:v>
      </x:c>
      <x:c r="C726" s="3" t="str">
        <x:v>RED RETROSPOT CUP</x:v>
      </x:c>
      <x:c r="D726" s="13" t="n">
        <x:v>3488.44</x:v>
      </x:c>
      <x:c r="E726" s="13" t="n">
        <x:v>43.22</x:v>
      </x:c>
      <x:c r="F726" s="13" t="n">
        <x:f>D726-E726</x:f>
        <x:v>3445.2200000000003</x:v>
      </x:c>
      <x:c r="G726" s="3" t="n">
        <x:v>3969</x:v>
      </x:c>
      <x:c r="H726" s="3" t="n">
        <x:v>51</x:v>
      </x:c>
      <x:c r="I726" s="3" t="n">
        <x:v>387</x:v>
      </x:c>
      <x:c r="J726" s="15" t="n">
        <x:f>IF(D726=0,"n.a.",E726/D726)</x:f>
        <x:v>0.012389492151219456</x:v>
      </x:c>
      <x:c r="K726" s="15" t="n">
        <x:f>F726/'Datos'!$F$7</x:f>
        <x:v>0.0003518148084623298</x:v>
      </x:c>
      <x:c r="L726" s="3"/>
    </x:row>
    <x:row r="727" ht="22" customHeight="1">
      <x:c r="A727" s="3"/>
      <x:c r="B727" s="3" t="str">
        <x:v>22435</x:v>
      </x:c>
      <x:c r="C727" s="3" t="str">
        <x:v>SET OF 9 HEART SHAPED BALLOONS</x:v>
      </x:c>
      <x:c r="D727" s="13" t="n">
        <x:v>3456.75</x:v>
      </x:c>
      <x:c r="E727" s="13" t="n">
        <x:v>15</x:v>
      </x:c>
      <x:c r="F727" s="13" t="n">
        <x:f>D727-E727</x:f>
        <x:v>3441.75</x:v>
      </x:c>
      <x:c r="G727" s="3" t="n">
        <x:v>2766</x:v>
      </x:c>
      <x:c r="H727" s="3" t="n">
        <x:v>12</x:v>
      </x:c>
      <x:c r="I727" s="3" t="n">
        <x:v>266</x:v>
      </x:c>
      <x:c r="J727" s="15" t="n">
        <x:f>IF(D727=0,"n.a.",E727/D727)</x:f>
        <x:v>0.004339336081579518</x:v>
      </x:c>
      <x:c r="K727" s="15" t="n">
        <x:f>F727/'Datos'!$F$7</x:f>
        <x:v>0.00035146046319980246</x:v>
      </x:c>
      <x:c r="L727" s="3"/>
    </x:row>
    <x:row r="728" ht="22" customHeight="1">
      <x:c r="A728" s="3"/>
      <x:c r="B728" s="3" t="str">
        <x:v>23426</x:v>
      </x:c>
      <x:c r="C728" s="3" t="str">
        <x:v>METAL SIGN DROP YOUR PANTS</x:v>
      </x:c>
      <x:c r="D728" s="13" t="n">
        <x:v>3450.21</x:v>
      </x:c>
      <x:c r="E728" s="13" t="n">
        <x:v>17.34</x:v>
      </x:c>
      <x:c r="F728" s="13" t="n">
        <x:f>D728-E728</x:f>
        <x:v>3432.87</x:v>
      </x:c>
      <x:c r="G728" s="3" t="n">
        <x:v>1277</x:v>
      </x:c>
      <x:c r="H728" s="3" t="n">
        <x:v>6</x:v>
      </x:c>
      <x:c r="I728" s="3" t="n">
        <x:v>206</x:v>
      </x:c>
      <x:c r="J728" s="15" t="n">
        <x:f>IF(D728=0,"n.a.",E728/D728)</x:f>
        <x:v>0.005025781039414992</x:v>
      </x:c>
      <x:c r="K728" s="15" t="n">
        <x:f>F728/'Datos'!$F$7</x:f>
        <x:v>0.0003505536661014617</x:v>
      </x:c>
      <x:c r="L728" s="3"/>
    </x:row>
    <x:row r="729" ht="22" customHeight="1">
      <x:c r="A729" s="3"/>
      <x:c r="B729" s="3" t="str">
        <x:v>22669</x:v>
      </x:c>
      <x:c r="C729" s="3" t="str">
        <x:v>RED BABY BUNTING</x:v>
      </x:c>
      <x:c r="D729" s="13" t="n">
        <x:v>3559</x:v>
      </x:c>
      <x:c r="E729" s="13" t="n">
        <x:v>127.5</x:v>
      </x:c>
      <x:c r="F729" s="13" t="n">
        <x:f>D729-E729</x:f>
        <x:v>3431.5</x:v>
      </x:c>
      <x:c r="G729" s="3" t="n">
        <x:v>1128</x:v>
      </x:c>
      <x:c r="H729" s="3" t="n">
        <x:v>50</x:v>
      </x:c>
      <x:c r="I729" s="3" t="n">
        <x:v>234</x:v>
      </x:c>
      <x:c r="J729" s="15" t="n">
        <x:f>IF(D729=0,"n.a.",E729/D729)</x:f>
        <x:v>0.035824669851081764</x:v>
      </x:c>
      <x:c r="K729" s="15" t="n">
        <x:f>F729/'Datos'!$F$7</x:f>
        <x:v>0.00035041376609867717</x:v>
      </x:c>
      <x:c r="L729" s="3"/>
    </x:row>
    <x:row r="730" ht="22" customHeight="1">
      <x:c r="A730" s="3"/>
      <x:c r="B730" s="3" t="str">
        <x:v>21497</x:v>
      </x:c>
      <x:c r="C730" s="3" t="str">
        <x:v>FANCY FONTS BIRTHDAY WRAP</x:v>
      </x:c>
      <x:c r="D730" s="13" t="n">
        <x:v>3430</x:v>
      </x:c>
      <x:c r="E730" s="13" t="n">
        <x:v>0</x:v>
      </x:c>
      <x:c r="F730" s="13" t="n">
        <x:f>D730-E730</x:f>
        <x:v>3430</x:v>
      </x:c>
      <x:c r="G730" s="3" t="n">
        <x:v>8600</x:v>
      </x:c>
      <x:c r="H730" s="3" t="n">
        <x:v>0</x:v>
      </x:c>
      <x:c r="I730" s="3" t="n">
        <x:v>230</x:v>
      </x:c>
      <x:c r="J730" s="15" t="n">
        <x:f>IF(D730=0,"n.a.",E730/D730)</x:f>
        <x:v>0</x:v>
      </x:c>
      <x:c r="K730" s="15" t="n">
        <x:f>F730/'Datos'!$F$7</x:f>
        <x:v>0.0003502605909131466</x:v>
      </x:c>
      <x:c r="L730" s="3"/>
    </x:row>
    <x:row r="731" ht="22" customHeight="1">
      <x:c r="A731" s="3"/>
      <x:c r="B731" s="3" t="str">
        <x:v>23065</x:v>
      </x:c>
      <x:c r="C731" s="3" t="str">
        <x:v>LARGE DECO JEWELLERY STAND</x:v>
      </x:c>
      <x:c r="D731" s="13" t="n">
        <x:v>3439.94</x:v>
      </x:c>
      <x:c r="E731" s="13" t="n">
        <x:v>12.5</x:v>
      </x:c>
      <x:c r="F731" s="13" t="n">
        <x:f>D731-E731</x:f>
        <x:v>3427.44</x:v>
      </x:c>
      <x:c r="G731" s="3" t="n">
        <x:v>274</x:v>
      </x:c>
      <x:c r="H731" s="3" t="n">
        <x:v>1</x:v>
      </x:c>
      <x:c r="I731" s="3" t="n">
        <x:v>99</x:v>
      </x:c>
      <x:c r="J731" s="15" t="n">
        <x:f>IF(D731=0,"n.a.",E731/D731)</x:f>
        <x:v>0.003633784310191457</x:v>
      </x:c>
      <x:c r="K731" s="15" t="n">
        <x:f>F731/'Datos'!$F$7</x:f>
        <x:v>0.0003499991719298412</x:v>
      </x:c>
      <x:c r="L731" s="3"/>
    </x:row>
    <x:row r="732" ht="22" customHeight="1">
      <x:c r="A732" s="3"/>
      <x:c r="B732" s="3" t="str">
        <x:v>23350</x:v>
      </x:c>
      <x:c r="C732" s="3" t="str">
        <x:v>ROLL WRAP VINTAGE SPOT</x:v>
      </x:c>
      <x:c r="D732" s="13" t="n">
        <x:v>3456.33</x:v>
      </x:c>
      <x:c r="E732" s="13" t="n">
        <x:v>30</x:v>
      </x:c>
      <x:c r="F732" s="13" t="n">
        <x:f>D732-E732</x:f>
        <x:v>3426.33</x:v>
      </x:c>
      <x:c r="G732" s="3" t="n">
        <x:v>2721</x:v>
      </x:c>
      <x:c r="H732" s="3" t="n">
        <x:v>24</x:v>
      </x:c>
      <x:c r="I732" s="3" t="n">
        <x:v>305</x:v>
      </x:c>
      <x:c r="J732" s="15" t="n">
        <x:f>IF(D732=0,"n.a.",E732/D732)</x:f>
        <x:v>0.008679726762201526</x:v>
      </x:c>
      <x:c r="K732" s="15" t="n">
        <x:f>F732/'Datos'!$F$7</x:f>
        <x:v>0.0003498858222925486</x:v>
      </x:c>
      <x:c r="L732" s="3"/>
    </x:row>
    <x:row r="733" ht="22" customHeight="1">
      <x:c r="A733" s="3"/>
      <x:c r="B733" s="3" t="str">
        <x:v>23536</x:v>
      </x:c>
      <x:c r="C733" s="3" t="str">
        <x:v>WALL ART VILLAGE SHOW</x:v>
      </x:c>
      <x:c r="D733" s="13" t="n">
        <x:v>3442.13</x:v>
      </x:c>
      <x:c r="E733" s="13" t="n">
        <x:v>23.8</x:v>
      </x:c>
      <x:c r="F733" s="13" t="n">
        <x:f>D733-E733</x:f>
        <x:v>3418.33</x:v>
      </x:c>
      <x:c r="G733" s="3" t="n">
        <x:v>626</x:v>
      </x:c>
      <x:c r="H733" s="3" t="n">
        <x:v>4</x:v>
      </x:c>
      <x:c r="I733" s="3" t="n">
        <x:v>85</x:v>
      </x:c>
      <x:c r="J733" s="15" t="n">
        <x:f>IF(D733=0,"n.a.",E733/D733)</x:f>
        <x:v>0.006914323398593313</x:v>
      </x:c>
      <x:c r="K733" s="15" t="n">
        <x:f>F733/'Datos'!$F$7</x:f>
        <x:v>0.0003490688879697191</x:v>
      </x:c>
      <x:c r="L733" s="3"/>
    </x:row>
    <x:row r="734" ht="22" customHeight="1">
      <x:c r="A734" s="3"/>
      <x:c r="B734" s="3" t="str">
        <x:v>22760</x:v>
      </x:c>
      <x:c r="C734" s="3" t="str">
        <x:v>TRAY, BREAKFAST IN BED</x:v>
      </x:c>
      <x:c r="D734" s="13" t="n">
        <x:v>3491.86</x:v>
      </x:c>
      <x:c r="E734" s="13" t="n">
        <x:v>74.7</x:v>
      </x:c>
      <x:c r="F734" s="13" t="n">
        <x:f>D734-E734</x:f>
        <x:v>3417.1600000000003</x:v>
      </x:c>
      <x:c r="G734" s="3" t="n">
        <x:v>275</x:v>
      </x:c>
      <x:c r="H734" s="3" t="n">
        <x:v>6</x:v>
      </x:c>
      <x:c r="I734" s="3" t="n">
        <x:v>80</x:v>
      </x:c>
      <x:c r="J734" s="15" t="n">
        <x:f>IF(D734=0,"n.a.",E734/D734)</x:f>
        <x:v>0.021392610242105925</x:v>
      </x:c>
      <x:c r="K734" s="15" t="n">
        <x:f>F734/'Datos'!$F$7</x:f>
        <x:v>0.00034894941132500534</x:v>
      </x:c>
      <x:c r="L734" s="3"/>
    </x:row>
    <x:row r="735" ht="22" customHeight="1">
      <x:c r="A735" s="3"/>
      <x:c r="B735" s="3" t="str">
        <x:v>22300</x:v>
      </x:c>
      <x:c r="C735" s="3" t="str">
        <x:v>COFFEE MUG DOG + BALL DESIGN</x:v>
      </x:c>
      <x:c r="D735" s="13" t="n">
        <x:v>3444.91</x:v>
      </x:c>
      <x:c r="E735" s="13" t="n">
        <x:v>33.15</x:v>
      </x:c>
      <x:c r="F735" s="13" t="n">
        <x:f>D735-E735</x:f>
        <x:v>3411.7599999999998</x:v>
      </x:c>
      <x:c r="G735" s="3" t="n">
        <x:v>1542</x:v>
      </x:c>
      <x:c r="H735" s="3" t="n">
        <x:v>13</x:v>
      </x:c>
      <x:c r="I735" s="3" t="n">
        <x:v>196</x:v>
      </x:c>
      <x:c r="J735" s="15" t="n">
        <x:f>IF(D735=0,"n.a.",E735/D735)</x:f>
        <x:v>0.009622892905765318</x:v>
      </x:c>
      <x:c r="K735" s="15" t="n">
        <x:f>F735/'Datos'!$F$7</x:f>
        <x:v>0.00034839798065709537</x:v>
      </x:c>
      <x:c r="L735" s="3"/>
    </x:row>
    <x:row r="736" ht="22" customHeight="1">
      <x:c r="A736" s="3"/>
      <x:c r="B736" s="3" t="str">
        <x:v>47567B</x:v>
      </x:c>
      <x:c r="C736" s="3" t="str">
        <x:v>TEA TIME KITCHEN APRON</x:v>
      </x:c>
      <x:c r="D736" s="13" t="n">
        <x:v>3456.15</x:v>
      </x:c>
      <x:c r="E736" s="13" t="n">
        <x:v>46.3</x:v>
      </x:c>
      <x:c r="F736" s="13" t="n">
        <x:f>D736-E736</x:f>
        <x:v>3409.85</x:v>
      </x:c>
      <x:c r="G736" s="3" t="n">
        <x:v>609</x:v>
      </x:c>
      <x:c r="H736" s="3" t="n">
        <x:v>8</x:v>
      </x:c>
      <x:c r="I736" s="3" t="n">
        <x:v>133</x:v>
      </x:c>
      <x:c r="J736" s="15" t="n">
        <x:f>IF(D736=0,"n.a.",E736/D736)</x:f>
        <x:v>0.013396409299364899</x:v>
      </x:c>
      <x:c r="K736" s="15" t="n">
        <x:f>F736/'Datos'!$F$7</x:f>
        <x:v>0.0003482029375875198</x:v>
      </x:c>
      <x:c r="L736" s="3"/>
    </x:row>
    <x:row r="737" ht="22" customHeight="1">
      <x:c r="A737" s="3"/>
      <x:c r="B737" s="3" t="str">
        <x:v>22782</x:v>
      </x:c>
      <x:c r="C737" s="3" t="str">
        <x:v>SET 3 WICKER STORAGE BASKETS</x:v>
      </x:c>
      <x:c r="D737" s="13" t="n">
        <x:v>3399.95</x:v>
      </x:c>
      <x:c r="E737" s="13" t="n">
        <x:v>0</x:v>
      </x:c>
      <x:c r="F737" s="13" t="n">
        <x:f>D737-E737</x:f>
        <x:v>3399.95</x:v>
      </x:c>
      <x:c r="G737" s="3" t="n">
        <x:v>241</x:v>
      </x:c>
      <x:c r="H737" s="3" t="n">
        <x:v>0</x:v>
      </x:c>
      <x:c r="I737" s="3" t="n">
        <x:v>74</x:v>
      </x:c>
      <x:c r="J737" s="15" t="n">
        <x:f>IF(D737=0,"n.a.",E737/D737)</x:f>
        <x:v>0</x:v>
      </x:c>
      <x:c r="K737" s="15" t="n">
        <x:f>F737/'Datos'!$F$7</x:f>
        <x:v>0.0003471919813630183</x:v>
      </x:c>
      <x:c r="L737" s="3"/>
    </x:row>
    <x:row r="738" ht="22" customHeight="1">
      <x:c r="A738" s="3"/>
      <x:c r="B738" s="3" t="str">
        <x:v>23210</x:v>
      </x:c>
      <x:c r="C738" s="3" t="str">
        <x:v>WHITE ROCKING HORSE HAND PAINTED</x:v>
      </x:c>
      <x:c r="D738" s="13" t="n">
        <x:v>3617.78</x:v>
      </x:c>
      <x:c r="E738" s="13" t="n">
        <x:v>219.76</x:v>
      </x:c>
      <x:c r="F738" s="13" t="n">
        <x:f>D738-E738</x:f>
        <x:v>3398.0200000000004</x:v>
      </x:c>
      <x:c r="G738" s="3" t="n">
        <x:v>2902</x:v>
      </x:c>
      <x:c r="H738" s="3" t="n">
        <x:v>200</x:v>
      </x:c>
      <x:c r="I738" s="3" t="n">
        <x:v>192</x:v>
      </x:c>
      <x:c r="J738" s="15" t="n">
        <x:f>IF(D738=0,"n.a.",E738/D738)</x:f>
        <x:v>0.060744434432165574</x:v>
      </x:c>
      <x:c r="K738" s="15" t="n">
        <x:f>F738/'Datos'!$F$7</x:f>
        <x:v>0.00034699489595763577</x:v>
      </x:c>
      <x:c r="L738" s="3"/>
    </x:row>
    <x:row r="739" ht="22" customHeight="1">
      <x:c r="A739" s="3"/>
      <x:c r="B739" s="3" t="str">
        <x:v>22311</x:v>
      </x:c>
      <x:c r="C739" s="3" t="str">
        <x:v>OFFICE MUG WARMER BLACK+SILVER</x:v>
      </x:c>
      <x:c r="D739" s="13" t="n">
        <x:v>3418.51</x:v>
      </x:c>
      <x:c r="E739" s="13" t="n">
        <x:v>20.65</x:v>
      </x:c>
      <x:c r="F739" s="13" t="n">
        <x:f>D739-E739</x:f>
        <x:v>3397.86</x:v>
      </x:c>
      <x:c r="G739" s="3" t="n">
        <x:v>1137</x:v>
      </x:c>
      <x:c r="H739" s="3" t="n">
        <x:v>7</x:v>
      </x:c>
      <x:c r="I739" s="3" t="n">
        <x:v>142</x:v>
      </x:c>
      <x:c r="J739" s="15" t="n">
        <x:f>IF(D739=0,"n.a.",E739/D739)</x:f>
        <x:v>0.006040643438223085</x:v>
      </x:c>
      <x:c r="K739" s="15" t="n">
        <x:f>F739/'Datos'!$F$7</x:f>
        <x:v>0.00034697855727117914</x:v>
      </x:c>
      <x:c r="L739" s="3"/>
    </x:row>
    <x:row r="740" ht="22" customHeight="1">
      <x:c r="A740" s="3"/>
      <x:c r="B740" s="3" t="str">
        <x:v>22029</x:v>
      </x:c>
      <x:c r="C740" s="3" t="str">
        <x:v>SPACEBOY BIRTHDAY CARD</x:v>
      </x:c>
      <x:c r="D740" s="13" t="n">
        <x:v>3397.65</x:v>
      </x:c>
      <x:c r="E740" s="13" t="n">
        <x:v>5.04</x:v>
      </x:c>
      <x:c r="F740" s="13" t="n">
        <x:f>D740-E740</x:f>
        <x:v>3392.61</x:v>
      </x:c>
      <x:c r="G740" s="3" t="n">
        <x:v>8185</x:v>
      </x:c>
      <x:c r="H740" s="3" t="n">
        <x:v>12</x:v>
      </x:c>
      <x:c r="I740" s="3" t="n">
        <x:v>527</x:v>
      </x:c>
      <x:c r="J740" s="15" t="n">
        <x:f>IF(D740=0,"n.a.",E740/D740)</x:f>
        <x:v>0.0014833782172972495</x:v>
      </x:c>
      <x:c r="K740" s="15" t="n">
        <x:f>F740/'Datos'!$F$7</x:f>
        <x:v>0.0003464424441218223</x:v>
      </x:c>
      <x:c r="L740" s="3"/>
    </x:row>
    <x:row r="741" ht="22" customHeight="1">
      <x:c r="A741" s="3"/>
      <x:c r="B741" s="3" t="str">
        <x:v>23014</x:v>
      </x:c>
      <x:c r="C741" s="3" t="str">
        <x:v>GLASS APOTHECARY BOTTLE ELIXIR</x:v>
      </x:c>
      <x:c r="D741" s="13" t="n">
        <x:v>3427.48</x:v>
      </x:c>
      <x:c r="E741" s="13" t="n">
        <x:v>35.55</x:v>
      </x:c>
      <x:c r="F741" s="13" t="n">
        <x:f>D741-E741</x:f>
        <x:v>3391.93</x:v>
      </x:c>
      <x:c r="G741" s="3" t="n">
        <x:v>858</x:v>
      </x:c>
      <x:c r="H741" s="3" t="n">
        <x:v>9</x:v>
      </x:c>
      <x:c r="I741" s="3" t="n">
        <x:v>209</x:v>
      </x:c>
      <x:c r="J741" s="15" t="n">
        <x:f>IF(D741=0,"n.a.",E741/D741)</x:f>
        <x:v>0.01037205176981339</x:v>
      </x:c>
      <x:c r="K741" s="15" t="n">
        <x:f>F741/'Datos'!$F$7</x:f>
        <x:v>0.00034637300470438177</x:v>
      </x:c>
      <x:c r="L741" s="3"/>
    </x:row>
    <x:row r="742" ht="22" customHeight="1">
      <x:c r="A742" s="3"/>
      <x:c r="B742" s="3" t="str">
        <x:v>23156</x:v>
      </x:c>
      <x:c r="C742" s="3" t="str">
        <x:v>SET OF 5 MINI GROCERY MAGNETS</x:v>
      </x:c>
      <x:c r="D742" s="13" t="n">
        <x:v>3437.85</x:v>
      </x:c>
      <x:c r="E742" s="13" t="n">
        <x:v>49.92</x:v>
      </x:c>
      <x:c r="F742" s="13" t="n">
        <x:f>D742-E742</x:f>
        <x:v>3387.93</x:v>
      </x:c>
      <x:c r="G742" s="3" t="n">
        <x:v>1672</x:v>
      </x:c>
      <x:c r="H742" s="3" t="n">
        <x:v>24</x:v>
      </x:c>
      <x:c r="I742" s="3" t="n">
        <x:v>205</x:v>
      </x:c>
      <x:c r="J742" s="15" t="n">
        <x:f>IF(D742=0,"n.a.",E742/D742)</x:f>
        <x:v>0.01452070334656835</x:v>
      </x:c>
      <x:c r="K742" s="15" t="n">
        <x:f>F742/'Datos'!$F$7</x:f>
        <x:v>0.000345964537542967</x:v>
      </x:c>
      <x:c r="L742" s="3"/>
    </x:row>
    <x:row r="743" ht="22" customHeight="1">
      <x:c r="A743" s="3"/>
      <x:c r="B743" s="3" t="str">
        <x:v>23354</x:v>
      </x:c>
      <x:c r="C743" s="3" t="str">
        <x:v>6 GIFT TAGS 50'S CHRISTMAS</x:v>
      </x:c>
      <x:c r="D743" s="13" t="n">
        <x:v>3431.89</x:v>
      </x:c>
      <x:c r="E743" s="13" t="n">
        <x:v>49.8</x:v>
      </x:c>
      <x:c r="F743" s="13" t="n">
        <x:f>D743-E743</x:f>
        <x:v>3382.0899999999997</x:v>
      </x:c>
      <x:c r="G743" s="3" t="n">
        <x:v>3743</x:v>
      </x:c>
      <x:c r="H743" s="3" t="n">
        <x:v>60</x:v>
      </x:c>
      <x:c r="I743" s="3" t="n">
        <x:v>322</x:v>
      </x:c>
      <x:c r="J743" s="15" t="n">
        <x:f>IF(D743=0,"n.a.",E743/D743)</x:f>
        <x:v>0.014510954605188394</x:v>
      </x:c>
      <x:c r="K743" s="15" t="n">
        <x:f>F743/'Datos'!$F$7</x:f>
        <x:v>0.0003453681754873015</x:v>
      </x:c>
      <x:c r="L743" s="3"/>
    </x:row>
    <x:row r="744" ht="22" customHeight="1">
      <x:c r="A744" s="3"/>
      <x:c r="B744" s="3" t="str">
        <x:v>79000</x:v>
      </x:c>
      <x:c r="C744" s="3" t="str">
        <x:v>MOROCCAN TEA GLASS</x:v>
      </x:c>
      <x:c r="D744" s="13" t="n">
        <x:v>3377.74</x:v>
      </x:c>
      <x:c r="E744" s="13" t="n">
        <x:v>6.05</x:v>
      </x:c>
      <x:c r="F744" s="13" t="n">
        <x:f>D744-E744</x:f>
        <x:v>3371.6899999999996</x:v>
      </x:c>
      <x:c r="G744" s="3" t="n">
        <x:v>4186</x:v>
      </x:c>
      <x:c r="H744" s="3" t="n">
        <x:v>9</x:v>
      </x:c>
      <x:c r="I744" s="3" t="n">
        <x:v>125</x:v>
      </x:c>
      <x:c r="J744" s="15" t="n">
        <x:f>IF(D744=0,"n.a.",E744/D744)</x:f>
        <x:v>0.0017911384535221776</x:v>
      </x:c>
      <x:c r="K744" s="15" t="n">
        <x:f>F744/'Datos'!$F$7</x:f>
        <x:v>0.0003443061608676231</x:v>
      </x:c>
      <x:c r="L744" s="3"/>
    </x:row>
    <x:row r="745" ht="22" customHeight="1">
      <x:c r="A745" s="3"/>
      <x:c r="B745" s="3" t="str">
        <x:v>22180</x:v>
      </x:c>
      <x:c r="C745" s="3" t="str">
        <x:v>RETROSPOT LAMP</x:v>
      </x:c>
      <x:c r="D745" s="13" t="n">
        <x:v>3561.34</x:v>
      </x:c>
      <x:c r="E745" s="13" t="n">
        <x:v>194.65</x:v>
      </x:c>
      <x:c r="F745" s="13" t="n">
        <x:f>D745-E745</x:f>
        <x:v>3366.69</x:v>
      </x:c>
      <x:c r="G745" s="3" t="n">
        <x:v>334</x:v>
      </x:c>
      <x:c r="H745" s="3" t="n">
        <x:v>20</x:v>
      </x:c>
      <x:c r="I745" s="3" t="n">
        <x:v>155</x:v>
      </x:c>
      <x:c r="J745" s="15" t="n">
        <x:f>IF(D745=0,"n.a.",E745/D745)</x:f>
        <x:v>0.05465639338001988</x:v>
      </x:c>
      <x:c r="K745" s="15" t="n">
        <x:f>F745/'Datos'!$F$7</x:f>
        <x:v>0.0003437955769158547</x:v>
      </x:c>
      <x:c r="L745" s="3"/>
    </x:row>
    <x:row r="746" ht="22" customHeight="1">
      <x:c r="A746" s="3"/>
      <x:c r="B746" s="3" t="str">
        <x:v>22563</x:v>
      </x:c>
      <x:c r="C746" s="3" t="str">
        <x:v>HAPPY STENCIL CRAFT</x:v>
      </x:c>
      <x:c r="D746" s="13" t="n">
        <x:v>3358.18</x:v>
      </x:c>
      <x:c r="E746" s="13" t="n">
        <x:v>1.25</x:v>
      </x:c>
      <x:c r="F746" s="13" t="n">
        <x:f>D746-E746</x:f>
        <x:v>3356.93</x:v>
      </x:c>
      <x:c r="G746" s="3" t="n">
        <x:v>2831</x:v>
      </x:c>
      <x:c r="H746" s="3" t="n">
        <x:v>1</x:v>
      </x:c>
      <x:c r="I746" s="3" t="n">
        <x:v>281</x:v>
      </x:c>
      <x:c r="J746" s="15" t="n">
        <x:f>IF(D746=0,"n.a.",E746/D746)</x:f>
        <x:v>0.0003722254316326105</x:v>
      </x:c>
      <x:c r="K746" s="15" t="n">
        <x:f>F746/'Datos'!$F$7</x:f>
        <x:v>0.0003427989170420027</x:v>
      </x:c>
      <x:c r="L746" s="3"/>
    </x:row>
    <x:row r="747" ht="22" customHeight="1">
      <x:c r="A747" s="3"/>
      <x:c r="B747" s="3" t="str">
        <x:v>22687</x:v>
      </x:c>
      <x:c r="C747" s="3" t="str">
        <x:v>DOORMAT CHRISTMAS VILLAGE</x:v>
      </x:c>
      <x:c r="D747" s="13" t="n">
        <x:v>3354.22</x:v>
      </x:c>
      <x:c r="E747" s="13" t="n">
        <x:v>0</x:v>
      </x:c>
      <x:c r="F747" s="13" t="n">
        <x:f>D747-E747</x:f>
        <x:v>3354.22</x:v>
      </x:c>
      <x:c r="G747" s="3" t="n">
        <x:v>590</x:v>
      </x:c>
      <x:c r="H747" s="3" t="n">
        <x:v>0</x:v>
      </x:c>
      <x:c r="I747" s="3" t="n">
        <x:v>52</x:v>
      </x:c>
      <x:c r="J747" s="15" t="n">
        <x:f>IF(D747=0,"n.a.",E747/D747)</x:f>
        <x:v>0</x:v>
      </x:c>
      <x:c r="K747" s="15" t="n">
        <x:f>F747/'Datos'!$F$7</x:f>
        <x:v>0.0003425221805401442</x:v>
      </x:c>
      <x:c r="L747" s="3"/>
    </x:row>
    <x:row r="748" ht="22" customHeight="1">
      <x:c r="A748" s="3"/>
      <x:c r="B748" s="3" t="str">
        <x:v>21993</x:v>
      </x:c>
      <x:c r="C748" s="3" t="str">
        <x:v>FLORAL FOLK STATIONERY SET</x:v>
      </x:c>
      <x:c r="D748" s="13" t="n">
        <x:v>3363.34</x:v>
      </x:c>
      <x:c r="E748" s="13" t="n">
        <x:v>15</x:v>
      </x:c>
      <x:c r="F748" s="13" t="n">
        <x:f>D748-E748</x:f>
        <x:v>3348.34</x:v>
      </x:c>
      <x:c r="G748" s="3" t="n">
        <x:v>1943</x:v>
      </x:c>
      <x:c r="H748" s="3" t="n">
        <x:v>12</x:v>
      </x:c>
      <x:c r="I748" s="3" t="n">
        <x:v>425</x:v>
      </x:c>
      <x:c r="J748" s="15" t="n">
        <x:f>IF(D748=0,"n.a.",E748/D748)</x:f>
        <x:v>0.004459852408617624</x:v>
      </x:c>
      <x:c r="K748" s="15" t="n">
        <x:f>F748/'Datos'!$F$7</x:f>
        <x:v>0.00034192173381286455</x:v>
      </x:c>
      <x:c r="L748" s="3"/>
    </x:row>
    <x:row r="749" ht="22" customHeight="1">
      <x:c r="A749" s="3"/>
      <x:c r="B749" s="3" t="str">
        <x:v>82580</x:v>
      </x:c>
      <x:c r="C749" s="3" t="str">
        <x:v>BATHROOM METAL SIGN</x:v>
      </x:c>
      <x:c r="D749" s="13" t="n">
        <x:v>3474.31</x:v>
      </x:c>
      <x:c r="E749" s="13" t="n">
        <x:v>127</x:v>
      </x:c>
      <x:c r="F749" s="13" t="n">
        <x:f>D749-E749</x:f>
        <x:v>3347.31</x:v>
      </x:c>
      <x:c r="G749" s="3" t="n">
        <x:v>5883</x:v>
      </x:c>
      <x:c r="H749" s="3" t="n">
        <x:v>290</x:v>
      </x:c>
      <x:c r="I749" s="3" t="n">
        <x:v>631</x:v>
      </x:c>
      <x:c r="J749" s="15" t="n">
        <x:f>IF(D749=0,"n.a.",E749/D749)</x:f>
        <x:v>0.03655402079837435</x:v>
      </x:c>
      <x:c r="K749" s="15" t="n">
        <x:f>F749/'Datos'!$F$7</x:f>
        <x:v>0.00034181655351880023</x:v>
      </x:c>
      <x:c r="L749" s="3"/>
    </x:row>
    <x:row r="750" ht="22" customHeight="1">
      <x:c r="A750" s="3"/>
      <x:c r="B750" s="3" t="str">
        <x:v>21429</x:v>
      </x:c>
      <x:c r="C750" s="3" t="str">
        <x:v>RED GINGHAM ROSE JEWELLERY BOX</x:v>
      </x:c>
      <x:c r="D750" s="13" t="n">
        <x:v>3398.95</x:v>
      </x:c>
      <x:c r="E750" s="13" t="n">
        <x:v>74.1</x:v>
      </x:c>
      <x:c r="F750" s="13" t="n">
        <x:f>D750-E750</x:f>
        <x:v>3324.85</x:v>
      </x:c>
      <x:c r="G750" s="3" t="n">
        <x:v>1744</x:v>
      </x:c>
      <x:c r="H750" s="3" t="n">
        <x:v>42</x:v>
      </x:c>
      <x:c r="I750" s="3" t="n">
        <x:v>286</x:v>
      </x:c>
      <x:c r="J750" s="15" t="n">
        <x:f>IF(D750=0,"n.a.",E750/D750)</x:f>
        <x:v>0.021800850262581092</x:v>
      </x:c>
      <x:c r="K750" s="15" t="n">
        <x:f>F750/'Datos'!$F$7</x:f>
        <x:v>0.0003395230104074564</x:v>
      </x:c>
      <x:c r="L750" s="3"/>
    </x:row>
    <x:row r="751" ht="22" customHeight="1">
      <x:c r="A751" s="3"/>
      <x:c r="B751" s="3" t="str">
        <x:v>22432</x:v>
      </x:c>
      <x:c r="C751" s="3" t="str">
        <x:v>WATERING CAN PINK BUNNY</x:v>
      </x:c>
      <x:c r="D751" s="13" t="n">
        <x:v>3350.62</x:v>
      </x:c>
      <x:c r="E751" s="13" t="n">
        <x:v>27.3</x:v>
      </x:c>
      <x:c r="F751" s="13" t="n">
        <x:f>D751-E751</x:f>
        <x:v>3323.3199999999997</x:v>
      </x:c>
      <x:c r="G751" s="3" t="n">
        <x:v>1720</x:v>
      </x:c>
      <x:c r="H751" s="3" t="n">
        <x:v>14</x:v>
      </x:c>
      <x:c r="I751" s="3" t="n">
        <x:v>277</x:v>
      </x:c>
      <x:c r="J751" s="15" t="n">
        <x:f>IF(D751=0,"n.a.",E751/D751)</x:f>
        <x:v>0.008147745790331342</x:v>
      </x:c>
      <x:c r="K751" s="15" t="n">
        <x:f>F751/'Datos'!$F$7</x:f>
        <x:v>0.0003393667717182153</x:v>
      </x:c>
      <x:c r="L751" s="3"/>
    </x:row>
    <x:row r="752" ht="22" customHeight="1">
      <x:c r="A752" s="3"/>
      <x:c r="B752" s="3" t="str">
        <x:v>22653</x:v>
      </x:c>
      <x:c r="C752" s="3" t="str">
        <x:v>BUTTON BOX</x:v>
      </x:c>
      <x:c r="D752" s="13" t="n">
        <x:v>3380.45</x:v>
      </x:c>
      <x:c r="E752" s="13" t="n">
        <x:v>58.5</x:v>
      </x:c>
      <x:c r="F752" s="13" t="n">
        <x:f>D752-E752</x:f>
        <x:v>3321.95</x:v>
      </x:c>
      <x:c r="G752" s="3" t="n">
        <x:v>1877</x:v>
      </x:c>
      <x:c r="H752" s="3" t="n">
        <x:v>30</x:v>
      </x:c>
      <x:c r="I752" s="3" t="n">
        <x:v>250</x:v>
      </x:c>
      <x:c r="J752" s="15" t="n">
        <x:f>IF(D752=0,"n.a.",E752/D752)</x:f>
        <x:v>0.017305388335872442</x:v>
      </x:c>
      <x:c r="K752" s="15" t="n">
        <x:f>F752/'Datos'!$F$7</x:f>
        <x:v>0.0003392268717154307</x:v>
      </x:c>
      <x:c r="L752" s="3"/>
    </x:row>
    <x:row r="753" ht="22" customHeight="1">
      <x:c r="A753" s="3"/>
      <x:c r="B753" s="3" t="str">
        <x:v>22165</x:v>
      </x:c>
      <x:c r="C753" s="3" t="str">
        <x:v>DIAMANTE HEART SHAPED WALL MIRROR,</x:v>
      </x:c>
      <x:c r="D753" s="13" t="n">
        <x:v>3328.2</x:v>
      </x:c>
      <x:c r="E753" s="13" t="n">
        <x:v>12.75</x:v>
      </x:c>
      <x:c r="F753" s="13" t="n">
        <x:f>D753-E753</x:f>
        <x:v>3315.45</x:v>
      </x:c>
      <x:c r="G753" s="3" t="n">
        <x:v>415</x:v>
      </x:c>
      <x:c r="H753" s="3" t="n">
        <x:v>1</x:v>
      </x:c>
      <x:c r="I753" s="3" t="n">
        <x:v>146</x:v>
      </x:c>
      <x:c r="J753" s="15" t="n">
        <x:f>IF(D753=0,"n.a.",E753/D753)</x:f>
        <x:v>0.003830899585361457</x:v>
      </x:c>
      <x:c r="K753" s="15" t="n">
        <x:f>F753/'Datos'!$F$7</x:f>
        <x:v>0.00033856311257813177</x:v>
      </x:c>
      <x:c r="L753" s="3"/>
    </x:row>
    <x:row r="754" ht="22" customHeight="1">
      <x:c r="A754" s="3"/>
      <x:c r="B754" s="3" t="str">
        <x:v>84032A</x:v>
      </x:c>
      <x:c r="C754" s="3" t="str">
        <x:v>CHARLIE+LOLA PINK HOT WATER BOTTLE</x:v>
      </x:c>
      <x:c r="D754" s="13" t="n">
        <x:v>3390.88</x:v>
      </x:c>
      <x:c r="E754" s="13" t="n">
        <x:v>82.6</x:v>
      </x:c>
      <x:c r="F754" s="13" t="n">
        <x:f>D754-E754</x:f>
        <x:v>3308.28</x:v>
      </x:c>
      <x:c r="G754" s="3" t="n">
        <x:v>1005</x:v>
      </x:c>
      <x:c r="H754" s="3" t="n">
        <x:v>28</x:v>
      </x:c>
      <x:c r="I754" s="3" t="n">
        <x:v>313</x:v>
      </x:c>
      <x:c r="J754" s="15" t="n">
        <x:f>IF(D754=0,"n.a.",E754/D754)</x:f>
        <x:v>0.024359458311706692</x:v>
      </x:c>
      <x:c r="K754" s="15" t="n">
        <x:f>F754/'Datos'!$F$7</x:f>
        <x:v>0.0003378309351912959</x:v>
      </x:c>
      <x:c r="L754" s="3"/>
    </x:row>
    <x:row r="755" ht="22" customHeight="1">
      <x:c r="A755" s="3"/>
      <x:c r="B755" s="3" t="str">
        <x:v>22079</x:v>
      </x:c>
      <x:c r="C755" s="3" t="str">
        <x:v>RIBBON REEL HEARTS DESIGN</x:v>
      </x:c>
      <x:c r="D755" s="13" t="n">
        <x:v>3348.39</x:v>
      </x:c>
      <x:c r="E755" s="13" t="n">
        <x:v>49.5</x:v>
      </x:c>
      <x:c r="F755" s="13" t="n">
        <x:f>D755-E755</x:f>
        <x:v>3298.89</x:v>
      </x:c>
      <x:c r="G755" s="3" t="n">
        <x:v>1911</x:v>
      </x:c>
      <x:c r="H755" s="3" t="n">
        <x:v>30</x:v>
      </x:c>
      <x:c r="I755" s="3" t="n">
        <x:v>323</x:v>
      </x:c>
      <x:c r="J755" s="15" t="n">
        <x:f>IF(D755=0,"n.a.",E755/D755)</x:f>
        <x:v>0.014783224176395224</x:v>
      </x:c>
      <x:c r="K755" s="15" t="n">
        <x:f>F755/'Datos'!$F$7</x:f>
        <x:v>0.00033687205852987474</x:v>
      </x:c>
      <x:c r="L755" s="3"/>
    </x:row>
    <x:row r="756" ht="22" customHeight="1">
      <x:c r="A756" s="3"/>
      <x:c r="B756" s="3" t="str">
        <x:v>22855</x:v>
      </x:c>
      <x:c r="C756" s="3" t="str">
        <x:v>FINE WICKER HEART</x:v>
      </x:c>
      <x:c r="D756" s="13" t="n">
        <x:v>3304.23</x:v>
      </x:c>
      <x:c r="E756" s="13" t="n">
        <x:v>15</x:v>
      </x:c>
      <x:c r="F756" s="13" t="n">
        <x:f>D756-E756</x:f>
        <x:v>3289.23</x:v>
      </x:c>
      <x:c r="G756" s="3" t="n">
        <x:v>2644</x:v>
      </x:c>
      <x:c r="H756" s="3" t="n">
        <x:v>12</x:v>
      </x:c>
      <x:c r="I756" s="3" t="n">
        <x:v>237</x:v>
      </x:c>
      <x:c r="J756" s="15" t="n">
        <x:f>IF(D756=0,"n.a.",E756/D756)</x:f>
        <x:v>0.004539635558057399</x:v>
      </x:c>
      <x:c r="K756" s="15" t="n">
        <x:f>F756/'Datos'!$F$7</x:f>
        <x:v>0.0003358856103350581</x:v>
      </x:c>
      <x:c r="L756" s="3"/>
    </x:row>
    <x:row r="757" ht="22" customHeight="1">
      <x:c r="A757" s="3"/>
      <x:c r="B757" s="3" t="str">
        <x:v>23239</x:v>
      </x:c>
      <x:c r="C757" s="3" t="str">
        <x:v>SET OF 4 KNICK KNACK TINS POPPIES</x:v>
      </x:c>
      <x:c r="D757" s="13" t="n">
        <x:v>3399.49</x:v>
      </x:c>
      <x:c r="E757" s="13" t="n">
        <x:v>115.8</x:v>
      </x:c>
      <x:c r="F757" s="13" t="n">
        <x:f>D757-E757</x:f>
        <x:v>3283.6899999999996</x:v>
      </x:c>
      <x:c r="G757" s="3" t="n">
        <x:v>853</x:v>
      </x:c>
      <x:c r="H757" s="3" t="n">
        <x:v>28</x:v>
      </x:c>
      <x:c r="I757" s="3" t="n">
        <x:v>178</x:v>
      </x:c>
      <x:c r="J757" s="15" t="n">
        <x:f>IF(D757=0,"n.a.",E757/D757)</x:f>
        <x:v>0.03406393311937967</x:v>
      </x:c>
      <x:c r="K757" s="15" t="n">
        <x:f>F757/'Datos'!$F$7</x:f>
        <x:v>0.00033531988331649866</x:v>
      </x:c>
      <x:c r="L757" s="3"/>
    </x:row>
    <x:row r="758" ht="22" customHeight="1">
      <x:c r="A758" s="3"/>
      <x:c r="B758" s="3" t="str">
        <x:v>23395</x:v>
      </x:c>
      <x:c r="C758" s="3" t="str">
        <x:v>BELLE JARDINIERE CUSHION COVER</x:v>
      </x:c>
      <x:c r="D758" s="13" t="n">
        <x:v>3305.83</x:v>
      </x:c>
      <x:c r="E758" s="13" t="n">
        <x:v>26.25</x:v>
      </x:c>
      <x:c r="F758" s="13" t="n">
        <x:f>D758-E758</x:f>
        <x:v>3279.58</x:v>
      </x:c>
      <x:c r="G758" s="3" t="n">
        <x:v>761</x:v>
      </x:c>
      <x:c r="H758" s="3" t="n">
        <x:v>7</x:v>
      </x:c>
      <x:c r="I758" s="3" t="n">
        <x:v>210</x:v>
      </x:c>
      <x:c r="J758" s="15" t="n">
        <x:f>IF(D758=0,"n.a.",E758/D758)</x:f>
        <x:v>0.007940517207478908</x:v>
      </x:c>
      <x:c r="K758" s="15" t="n">
        <x:f>F758/'Datos'!$F$7</x:f>
        <x:v>0.00033490018330814504</x:v>
      </x:c>
      <x:c r="L758" s="3"/>
    </x:row>
    <x:row r="759" ht="22" customHeight="1">
      <x:c r="A759" s="3"/>
      <x:c r="B759" s="3" t="str">
        <x:v>23308</x:v>
      </x:c>
      <x:c r="C759" s="3" t="str">
        <x:v>SET OF 60 VINTAGE LEAF CAKE CASES</x:v>
      </x:c>
      <x:c r="D759" s="13" t="n">
        <x:v>3279.21</x:v>
      </x:c>
      <x:c r="E759" s="13" t="n">
        <x:v>0</x:v>
      </x:c>
      <x:c r="F759" s="13" t="n">
        <x:f>D759-E759</x:f>
        <x:v>3279.21</x:v>
      </x:c>
      <x:c r="G759" s="3" t="n">
        <x:v>6151</x:v>
      </x:c>
      <x:c r="H759" s="3" t="n">
        <x:v>0</x:v>
      </x:c>
      <x:c r="I759" s="3" t="n">
        <x:v>382</x:v>
      </x:c>
      <x:c r="J759" s="15" t="n">
        <x:f>IF(D759=0,"n.a.",E759/D759)</x:f>
        <x:v>0</x:v>
      </x:c>
      <x:c r="K759" s="15" t="n">
        <x:f>F759/'Datos'!$F$7</x:f>
        <x:v>0.00033486240009571416</x:v>
      </x:c>
      <x:c r="L759" s="3"/>
    </x:row>
    <x:row r="760" ht="22" customHeight="1">
      <x:c r="A760" s="3"/>
      <x:c r="B760" s="3" t="str">
        <x:v>22460</x:v>
      </x:c>
      <x:c r="C760" s="3" t="str">
        <x:v>EMBOSSED GLASS TEALIGHT HOLDER</x:v>
      </x:c>
      <x:c r="D760" s="13" t="n">
        <x:v>3289.75</x:v>
      </x:c>
      <x:c r="E760" s="13" t="n">
        <x:v>23.75</x:v>
      </x:c>
      <x:c r="F760" s="13" t="n">
        <x:f>D760-E760</x:f>
        <x:v>3266</x:v>
      </x:c>
      <x:c r="G760" s="3" t="n">
        <x:v>2559</x:v>
      </x:c>
      <x:c r="H760" s="3" t="n">
        <x:v>19</x:v>
      </x:c>
      <x:c r="I760" s="3" t="n">
        <x:v>211</x:v>
      </x:c>
      <x:c r="J760" s="15" t="n">
        <x:f>IF(D760=0,"n.a.",E760/D760)</x:f>
        <x:v>0.007219393570940041</x:v>
      </x:c>
      <x:c r="K760" s="15" t="n">
        <x:f>F760/'Datos'!$F$7</x:f>
        <x:v>0.00033351343729514195</x:v>
      </x:c>
      <x:c r="L760" s="3"/>
    </x:row>
    <x:row r="761" ht="22" customHeight="1">
      <x:c r="A761" s="3"/>
      <x:c r="B761" s="3" t="str">
        <x:v>23053</x:v>
      </x:c>
      <x:c r="C761" s="3" t="str">
        <x:v>RECYCLED ACAPULCO MAT PINK</x:v>
      </x:c>
      <x:c r="D761" s="13" t="n">
        <x:v>3262.57</x:v>
      </x:c>
      <x:c r="E761" s="13" t="n">
        <x:v>8.25</x:v>
      </x:c>
      <x:c r="F761" s="13" t="n">
        <x:f>D761-E761</x:f>
        <x:v>3254.32</x:v>
      </x:c>
      <x:c r="G761" s="3" t="n">
        <x:v>365</x:v>
      </x:c>
      <x:c r="H761" s="3" t="n">
        <x:v>1</x:v>
      </x:c>
      <x:c r="I761" s="3" t="n">
        <x:v>164</x:v>
      </x:c>
      <x:c r="J761" s="15" t="n">
        <x:f>IF(D761=0,"n.a.",E761/D761)</x:f>
        <x:v>0.002528681376951299</x:v>
      </x:c>
      <x:c r="K761" s="15" t="n">
        <x:f>F761/'Datos'!$F$7</x:f>
        <x:v>0.00033232071318381093</x:v>
      </x:c>
      <x:c r="L761" s="3"/>
    </x:row>
    <x:row r="762" ht="22" customHeight="1">
      <x:c r="A762" s="3"/>
      <x:c r="B762" s="3" t="str">
        <x:v>22567</x:v>
      </x:c>
      <x:c r="C762" s="3" t="str">
        <x:v>20 DOLLY PEGS RETROSPOT</x:v>
      </x:c>
      <x:c r="D762" s="13" t="n">
        <x:v>3282.3</x:v>
      </x:c>
      <x:c r="E762" s="13" t="n">
        <x:v>32.7</x:v>
      </x:c>
      <x:c r="F762" s="13" t="n">
        <x:f>D762-E762</x:f>
        <x:v>3249.6000000000004</x:v>
      </x:c>
      <x:c r="G762" s="3" t="n">
        <x:v>2470</x:v>
      </x:c>
      <x:c r="H762" s="3" t="n">
        <x:v>26</x:v>
      </x:c>
      <x:c r="I762" s="3" t="n">
        <x:v>222</x:v>
      </x:c>
      <x:c r="J762" s="15" t="n">
        <x:f>IF(D762=0,"n.a.",E762/D762)</x:f>
        <x:v>0.009962526277305548</x:v>
      </x:c>
      <x:c r="K762" s="15" t="n">
        <x:f>F762/'Datos'!$F$7</x:f>
        <x:v>0.00033183872193334155</x:v>
      </x:c>
      <x:c r="L762" s="3"/>
    </x:row>
    <x:row r="763" ht="22" customHeight="1">
      <x:c r="A763" s="3"/>
      <x:c r="B763" s="3" t="str">
        <x:v>22244</x:v>
      </x:c>
      <x:c r="C763" s="3" t="str">
        <x:v>3 HOOK HANGER MAGIC GARDEN</x:v>
      </x:c>
      <x:c r="D763" s="13" t="n">
        <x:v>3280.11</x:v>
      </x:c>
      <x:c r="E763" s="13" t="n">
        <x:v>31.2</x:v>
      </x:c>
      <x:c r="F763" s="13" t="n">
        <x:f>D763-E763</x:f>
        <x:v>3248.9100000000003</x:v>
      </x:c>
      <x:c r="G763" s="3" t="n">
        <x:v>1705</x:v>
      </x:c>
      <x:c r="H763" s="3" t="n">
        <x:v>16</x:v>
      </x:c>
      <x:c r="I763" s="3" t="n">
        <x:v>159</x:v>
      </x:c>
      <x:c r="J763" s="15" t="n">
        <x:f>IF(D763=0,"n.a.",E763/D763)</x:f>
        <x:v>0.009511876126105526</x:v>
      </x:c>
      <x:c r="K763" s="15" t="n">
        <x:f>F763/'Datos'!$F$7</x:f>
        <x:v>0.00033176826134799747</x:v>
      </x:c>
      <x:c r="L763" s="3"/>
    </x:row>
    <x:row r="764" ht="22" customHeight="1">
      <x:c r="A764" s="3"/>
      <x:c r="B764" s="3" t="str">
        <x:v>22187</x:v>
      </x:c>
      <x:c r="C764" s="3" t="str">
        <x:v>GREEN CHRISTMAS TREE CARD HOLDER</x:v>
      </x:c>
      <x:c r="D764" s="13" t="n">
        <x:v>3245.68</x:v>
      </x:c>
      <x:c r="E764" s="13" t="n">
        <x:v>14.7</x:v>
      </x:c>
      <x:c r="F764" s="13" t="n">
        <x:f>D764-E764</x:f>
        <x:v>3230.98</x:v>
      </x:c>
      <x:c r="G764" s="3" t="n">
        <x:v>1266</x:v>
      </x:c>
      <x:c r="H764" s="3" t="n">
        <x:v>4</x:v>
      </x:c>
      <x:c r="I764" s="3" t="n">
        <x:v>192</x:v>
      </x:c>
      <x:c r="J764" s="15" t="n">
        <x:f>IF(D764=0,"n.a.",E764/D764)</x:f>
        <x:v>0.004529097138350053</x:v>
      </x:c>
      <x:c r="K764" s="15" t="n">
        <x:f>F764/'Datos'!$F$7</x:f>
        <x:v>0.0003299373072969558</x:v>
      </x:c>
      <x:c r="L764" s="3"/>
    </x:row>
    <x:row r="765" ht="22" customHeight="1">
      <x:c r="A765" s="3"/>
      <x:c r="B765" s="3" t="str">
        <x:v>21463</x:v>
      </x:c>
      <x:c r="C765" s="3" t="str">
        <x:v>MIRRORED DISCO BALL</x:v>
      </x:c>
      <x:c r="D765" s="13" t="n">
        <x:v>3446.95</x:v>
      </x:c>
      <x:c r="E765" s="13" t="n">
        <x:v>216.9</x:v>
      </x:c>
      <x:c r="F765" s="13" t="n">
        <x:f>D765-E765</x:f>
        <x:v>3230.0499999999997</x:v>
      </x:c>
      <x:c r="G765" s="3" t="n">
        <x:v>651</x:v>
      </x:c>
      <x:c r="H765" s="3" t="n">
        <x:v>42</x:v>
      </x:c>
      <x:c r="I765" s="3" t="n">
        <x:v>134</x:v>
      </x:c>
      <x:c r="J765" s="15" t="n">
        <x:f>IF(D765=0,"n.a.",E765/D765)</x:f>
        <x:v>0.06292519473737652</x:v>
      </x:c>
      <x:c r="K765" s="15" t="n">
        <x:f>F765/'Datos'!$F$7</x:f>
        <x:v>0.0003298423386819269</x:v>
      </x:c>
      <x:c r="L765" s="3"/>
    </x:row>
    <x:row r="766" ht="22" customHeight="1">
      <x:c r="A766" s="3"/>
      <x:c r="B766" s="3" t="str">
        <x:v>22962</x:v>
      </x:c>
      <x:c r="C766" s="3" t="str">
        <x:v>JAM JAR WITH PINK LID</x:v>
      </x:c>
      <x:c r="D766" s="13" t="n">
        <x:v>3294.91</x:v>
      </x:c>
      <x:c r="E766" s="13" t="n">
        <x:v>72.97</x:v>
      </x:c>
      <x:c r="F766" s="13" t="n">
        <x:f>D766-E766</x:f>
        <x:v>3221.94</x:v>
      </x:c>
      <x:c r="G766" s="3" t="n">
        <x:v>3904</x:v>
      </x:c>
      <x:c r="H766" s="3" t="n">
        <x:v>86</x:v>
      </x:c>
      <x:c r="I766" s="3" t="n">
        <x:v>342</x:v>
      </x:c>
      <x:c r="J766" s="15" t="n">
        <x:f>IF(D766=0,"n.a.",E766/D766)</x:f>
        <x:v>0.02214628017153731</x:v>
      </x:c>
      <x:c r="K766" s="15" t="n">
        <x:f>F766/'Datos'!$F$7</x:f>
        <x:v>0.0003290141715121585</x:v>
      </x:c>
      <x:c r="L766" s="3"/>
    </x:row>
    <x:row r="767" ht="22" customHeight="1">
      <x:c r="A767" s="3"/>
      <x:c r="B767" s="3" t="str">
        <x:v>22746</x:v>
      </x:c>
      <x:c r="C767" s="3" t="str">
        <x:v>POPPY'S PLAYHOUSE LIVINGROOM</x:v>
      </x:c>
      <x:c r="D767" s="13" t="n">
        <x:v>3244.94</x:v>
      </x:c>
      <x:c r="E767" s="13" t="n">
        <x:v>25.2</x:v>
      </x:c>
      <x:c r="F767" s="13" t="n">
        <x:f>D767-E767</x:f>
        <x:v>3219.7400000000002</x:v>
      </x:c>
      <x:c r="G767" s="3" t="n">
        <x:v>1451</x:v>
      </x:c>
      <x:c r="H767" s="3" t="n">
        <x:v>12</x:v>
      </x:c>
      <x:c r="I767" s="3" t="n">
        <x:v>328</x:v>
      </x:c>
      <x:c r="J767" s="15" t="n">
        <x:f>IF(D767=0,"n.a.",E767/D767)</x:f>
        <x:v>0.007765937120563091</x:v>
      </x:c>
      <x:c r="K767" s="15" t="n">
        <x:f>F767/'Datos'!$F$7</x:f>
        <x:v>0.00032878951457338045</x:v>
      </x:c>
      <x:c r="L767" s="3"/>
    </x:row>
    <x:row r="768" ht="22" customHeight="1">
      <x:c r="A768" s="3"/>
      <x:c r="B768" s="3" t="str">
        <x:v>20973</x:v>
      </x:c>
      <x:c r="C768" s="3" t="str">
        <x:v>12 PENCIL SMALL TUBE WOODLAND</x:v>
      </x:c>
      <x:c r="D768" s="13" t="n">
        <x:v>3216.12</x:v>
      </x:c>
      <x:c r="E768" s="13" t="n">
        <x:v>2.6</x:v>
      </x:c>
      <x:c r="F768" s="13" t="n">
        <x:f>D768-E768</x:f>
        <x:v>3213.52</x:v>
      </x:c>
      <x:c r="G768" s="3" t="n">
        <x:v>4506</x:v>
      </x:c>
      <x:c r="H768" s="3" t="n">
        <x:v>4</x:v>
      </x:c>
      <x:c r="I768" s="3" t="n">
        <x:v>355</x:v>
      </x:c>
      <x:c r="J768" s="15" t="n">
        <x:f>IF(D768=0,"n.a.",E768/D768)</x:f>
        <x:v>0.0008084275462358371</x:v>
      </x:c>
      <x:c r="K768" s="15" t="n">
        <x:f>F768/'Datos'!$F$7</x:f>
        <x:v>0.00032815434813738046</x:v>
      </x:c>
      <x:c r="L768" s="3"/>
    </x:row>
    <x:row r="769" ht="22" customHeight="1">
      <x:c r="A769" s="3"/>
      <x:c r="B769" s="3" t="str">
        <x:v>23035</x:v>
      </x:c>
      <x:c r="C769" s="3" t="str">
        <x:v>DRAWER KNOB CERAMIC IVORY</x:v>
      </x:c>
      <x:c r="D769" s="13" t="n">
        <x:v>3226.09</x:v>
      </x:c>
      <x:c r="E769" s="13" t="n">
        <x:v>13.05</x:v>
      </x:c>
      <x:c r="F769" s="13" t="n">
        <x:f>D769-E769</x:f>
        <x:v>3213.04</x:v>
      </x:c>
      <x:c r="G769" s="3" t="n">
        <x:v>2209</x:v>
      </x:c>
      <x:c r="H769" s="3" t="n">
        <x:v>9</x:v>
      </x:c>
      <x:c r="I769" s="3" t="n">
        <x:v>191</x:v>
      </x:c>
      <x:c r="J769" s="15" t="n">
        <x:f>IF(D769=0,"n.a.",E769/D769)</x:f>
        <x:v>0.004045144431804444</x:v>
      </x:c>
      <x:c r="K769" s="15" t="n">
        <x:f>F769/'Datos'!$F$7</x:f>
        <x:v>0.0003281053320780107</x:v>
      </x:c>
      <x:c r="L769" s="3"/>
    </x:row>
    <x:row r="770" ht="22" customHeight="1">
      <x:c r="A770" s="3"/>
      <x:c r="B770" s="3" t="str">
        <x:v>22967</x:v>
      </x:c>
      <x:c r="C770" s="3" t="str">
        <x:v>SET 3 SONG BIRD PAPER EGGS ASSORTED</x:v>
      </x:c>
      <x:c r="D770" s="13" t="n">
        <x:v>3277.31</x:v>
      </x:c>
      <x:c r="E770" s="13" t="n">
        <x:v>64.9</x:v>
      </x:c>
      <x:c r="F770" s="13" t="n">
        <x:f>D770-E770</x:f>
        <x:v>3212.41</x:v>
      </x:c>
      <x:c r="G770" s="3" t="n">
        <x:v>1173</x:v>
      </x:c>
      <x:c r="H770" s="3" t="n">
        <x:v>22</x:v>
      </x:c>
      <x:c r="I770" s="3" t="n">
        <x:v>138</x:v>
      </x:c>
      <x:c r="J770" s="15" t="n">
        <x:f>IF(D770=0,"n.a.",E770/D770)</x:f>
        <x:v>0.019802826098233004</x:v>
      </x:c>
      <x:c r="K770" s="15" t="n">
        <x:f>F770/'Datos'!$F$7</x:f>
        <x:v>0.0003280409985000879</x:v>
      </x:c>
      <x:c r="L770" s="3"/>
    </x:row>
    <x:row r="771" ht="22" customHeight="1">
      <x:c r="A771" s="3"/>
      <x:c r="B771" s="3" t="str">
        <x:v>23051</x:v>
      </x:c>
      <x:c r="C771" s="3" t="str">
        <x:v>RECYCLED ACAPULCO MAT BLUE</x:v>
      </x:c>
      <x:c r="D771" s="13" t="n">
        <x:v>3223.49</x:v>
      </x:c>
      <x:c r="E771" s="13" t="n">
        <x:v>16.5</x:v>
      </x:c>
      <x:c r="F771" s="13" t="n">
        <x:f>D771-E771</x:f>
        <x:v>3206.99</x:v>
      </x:c>
      <x:c r="G771" s="3" t="n">
        <x:v>365</x:v>
      </x:c>
      <x:c r="H771" s="3" t="n">
        <x:v>2</x:v>
      </x:c>
      <x:c r="I771" s="3" t="n">
        <x:v>162</x:v>
      </x:c>
      <x:c r="J771" s="15" t="n">
        <x:f>IF(D771=0,"n.a.",E771/D771)</x:f>
        <x:v>0.005118675721035275</x:v>
      </x:c>
      <x:c r="K771" s="15" t="n">
        <x:f>F771/'Datos'!$F$7</x:f>
        <x:v>0.00032748752549637087</x:v>
      </x:c>
      <x:c r="L771" s="3"/>
    </x:row>
    <x:row r="772" ht="22" customHeight="1">
      <x:c r="A772" s="3"/>
      <x:c r="B772" s="3" t="str">
        <x:v>23230</x:v>
      </x:c>
      <x:c r="C772" s="3" t="str">
        <x:v>WRAP ALPHABET DESIGN</x:v>
      </x:c>
      <x:c r="D772" s="13" t="n">
        <x:v>3228.42</x:v>
      </x:c>
      <x:c r="E772" s="13" t="n">
        <x:v>31.5</x:v>
      </x:c>
      <x:c r="F772" s="13" t="n">
        <x:f>D772-E772</x:f>
        <x:v>3196.92</x:v>
      </x:c>
      <x:c r="G772" s="3" t="n">
        <x:v>8001</x:v>
      </x:c>
      <x:c r="H772" s="3" t="n">
        <x:v>75</x:v>
      </x:c>
      <x:c r="I772" s="3" t="n">
        <x:v>235</x:v>
      </x:c>
      <x:c r="J772" s="15" t="n">
        <x:f>IF(D772=0,"n.a.",E772/D772)</x:f>
        <x:v>0.009757094801791589</x:v>
      </x:c>
      <x:c r="K772" s="15" t="n">
        <x:f>F772/'Datos'!$F$7</x:f>
        <x:v>0.0003264592094175093</x:v>
      </x:c>
      <x:c r="L772" s="3"/>
    </x:row>
    <x:row r="773" ht="22" customHeight="1">
      <x:c r="A773" s="3"/>
      <x:c r="B773" s="3" t="str">
        <x:v>23342</x:v>
      </x:c>
      <x:c r="C773" s="3" t="str">
        <x:v>MINT DINER WALL CLOCK</x:v>
      </x:c>
      <x:c r="D773" s="13" t="n">
        <x:v>3193.41</x:v>
      </x:c>
      <x:c r="E773" s="13" t="n">
        <x:v>8.5</x:v>
      </x:c>
      <x:c r="F773" s="13" t="n">
        <x:f>D773-E773</x:f>
        <x:v>3184.91</x:v>
      </x:c>
      <x:c r="G773" s="3" t="n">
        <x:v>375</x:v>
      </x:c>
      <x:c r="H773" s="3" t="n">
        <x:v>1</x:v>
      </x:c>
      <x:c r="I773" s="3" t="n">
        <x:v>163</x:v>
      </x:c>
      <x:c r="J773" s="15" t="n">
        <x:f>IF(D773=0,"n.a.",E773/D773)</x:f>
        <x:v>0.0026617315033146387</x:v>
      </x:c>
      <x:c r="K773" s="15" t="n">
        <x:f>F773/'Datos'!$F$7</x:f>
        <x:v>0.00032523278676536147</x:v>
      </x:c>
      <x:c r="L773" s="3"/>
    </x:row>
    <x:row r="774" ht="22" customHeight="1">
      <x:c r="A774" s="3"/>
      <x:c r="B774" s="3" t="str">
        <x:v>22491</x:v>
      </x:c>
      <x:c r="C774" s="3" t="str">
        <x:v>PACK OF 12 COLOURED PENCILS</x:v>
      </x:c>
      <x:c r="D774" s="13" t="n">
        <x:v>3193.83</x:v>
      </x:c>
      <x:c r="E774" s="13" t="n">
        <x:v>10.2</x:v>
      </x:c>
      <x:c r="F774" s="13" t="n">
        <x:f>D774-E774</x:f>
        <x:v>3183.63</x:v>
      </x:c>
      <x:c r="G774" s="3" t="n">
        <x:v>3959</x:v>
      </x:c>
      <x:c r="H774" s="3" t="n">
        <x:v>12</x:v>
      </x:c>
      <x:c r="I774" s="3" t="n">
        <x:v>219</x:v>
      </x:c>
      <x:c r="J774" s="15" t="n">
        <x:f>IF(D774=0,"n.a.",E774/D774)</x:f>
        <x:v>0.0031936577713904623</x:v>
      </x:c>
      <x:c r="K774" s="15" t="n">
        <x:f>F774/'Datos'!$F$7</x:f>
        <x:v>0.00032510207727370877</x:v>
      </x:c>
      <x:c r="L774" s="3"/>
    </x:row>
    <x:row r="775" ht="22" customHeight="1">
      <x:c r="A775" s="3"/>
      <x:c r="B775" s="3" t="str">
        <x:v>21115</x:v>
      </x:c>
      <x:c r="C775" s="3" t="str">
        <x:v>ROSE CARAVAN DOORSTOP</x:v>
      </x:c>
      <x:c r="D775" s="13" t="n">
        <x:v>3174.84</x:v>
      </x:c>
      <x:c r="E775" s="13" t="n">
        <x:v>0</x:v>
      </x:c>
      <x:c r="F775" s="13" t="n">
        <x:f>D775-E775</x:f>
        <x:v>3174.84</x:v>
      </x:c>
      <x:c r="G775" s="3" t="n">
        <x:v>566</x:v>
      </x:c>
      <x:c r="H775" s="3" t="n">
        <x:v>0</x:v>
      </x:c>
      <x:c r="I775" s="3" t="n">
        <x:v>162</x:v>
      </x:c>
      <x:c r="J775" s="15" t="n">
        <x:f>IF(D775=0,"n.a.",E775/D775)</x:f>
        <x:v>0</x:v>
      </x:c>
      <x:c r="K775" s="15" t="n">
        <x:f>F775/'Datos'!$F$7</x:f>
        <x:v>0.00032420447068649984</x:v>
      </x:c>
      <x:c r="L775" s="3"/>
    </x:row>
    <x:row r="776" ht="22" customHeight="1">
      <x:c r="A776" s="3"/>
      <x:c r="B776" s="3" t="str">
        <x:v>22430</x:v>
      </x:c>
      <x:c r="C776" s="3" t="str">
        <x:v>ENAMEL WATERING CAN CREAM</x:v>
      </x:c>
      <x:c r="D776" s="13" t="n">
        <x:v>3266.09</x:v>
      </x:c>
      <x:c r="E776" s="13" t="n">
        <x:v>99</x:v>
      </x:c>
      <x:c r="F776" s="13" t="n">
        <x:f>D776-E776</x:f>
        <x:v>3167.09</x:v>
      </x:c>
      <x:c r="G776" s="3" t="n">
        <x:v>622</x:v>
      </x:c>
      <x:c r="H776" s="3" t="n">
        <x:v>20</x:v>
      </x:c>
      <x:c r="I776" s="3" t="n">
        <x:v>195</x:v>
      </x:c>
      <x:c r="J776" s="15" t="n">
        <x:f>IF(D776=0,"n.a.",E776/D776)</x:f>
        <x:v>0.03031147335192845</x:v>
      </x:c>
      <x:c r="K776" s="15" t="n">
        <x:f>F776/'Datos'!$F$7</x:f>
        <x:v>0.0003234130655612588</x:v>
      </x:c>
      <x:c r="L776" s="3"/>
    </x:row>
    <x:row r="777" ht="22" customHeight="1">
      <x:c r="A777" s="3"/>
      <x:c r="B777" s="3" t="str">
        <x:v>21868</x:v>
      </x:c>
      <x:c r="C777" s="3" t="str">
        <x:v>POTTING SHED TEA MUG</x:v>
      </x:c>
      <x:c r="D777" s="13" t="n">
        <x:v>3262.25</x:v>
      </x:c>
      <x:c r="E777" s="13" t="n">
        <x:v>99.41</x:v>
      </x:c>
      <x:c r="F777" s="13" t="n">
        <x:f>D777-E777</x:f>
        <x:v>3162.84</x:v>
      </x:c>
      <x:c r="G777" s="3" t="n">
        <x:v>2479</x:v>
      </x:c>
      <x:c r="H777" s="3" t="n">
        <x:v>85</x:v>
      </x:c>
      <x:c r="I777" s="3" t="n">
        <x:v>302</x:v>
      </x:c>
      <x:c r="J777" s="15" t="n">
        <x:f>IF(D777=0,"n.a.",E777/D777)</x:f>
        <x:v>0.03047283316729251</x:v>
      </x:c>
      <x:c r="K777" s="15" t="n">
        <x:f>F777/'Datos'!$F$7</x:f>
        <x:v>0.0003229790692022556</x:v>
      </x:c>
      <x:c r="L777" s="3"/>
    </x:row>
    <x:row r="778" ht="22" customHeight="1">
      <x:c r="A778" s="3"/>
      <x:c r="B778" s="3" t="str">
        <x:v>23393</x:v>
      </x:c>
      <x:c r="C778" s="3" t="str">
        <x:v>HOME SWEET HOME CUSHION COVER</x:v>
      </x:c>
      <x:c r="D778" s="13" t="n">
        <x:v>3230.41</x:v>
      </x:c>
      <x:c r="E778" s="13" t="n">
        <x:v>78.75</x:v>
      </x:c>
      <x:c r="F778" s="13" t="n">
        <x:f>D778-E778</x:f>
        <x:v>3151.66</x:v>
      </x:c>
      <x:c r="G778" s="3" t="n">
        <x:v>807</x:v>
      </x:c>
      <x:c r="H778" s="3" t="n">
        <x:v>21</x:v>
      </x:c>
      <x:c r="I778" s="3" t="n">
        <x:v>229</x:v>
      </x:c>
      <x:c r="J778" s="15" t="n">
        <x:f>IF(D778=0,"n.a.",E778/D778)</x:f>
        <x:v>0.02437771056924663</x:v>
      </x:c>
      <x:c r="K778" s="15" t="n">
        <x:f>F778/'Datos'!$F$7</x:f>
        <x:v>0.00032183740348610136</x:v>
      </x:c>
      <x:c r="L778" s="3"/>
    </x:row>
    <x:row r="779" ht="22" customHeight="1">
      <x:c r="A779" s="3"/>
      <x:c r="B779" s="3" t="str">
        <x:v>23323</x:v>
      </x:c>
      <x:c r="C779" s="3" t="str">
        <x:v>WHITE WICKER STAR</x:v>
      </x:c>
      <x:c r="D779" s="13" t="n">
        <x:v>3155.18</x:v>
      </x:c>
      <x:c r="E779" s="13" t="n">
        <x:v>6.3</x:v>
      </x:c>
      <x:c r="F779" s="13" t="n">
        <x:f>D779-E779</x:f>
        <x:v>3148.8799999999997</x:v>
      </x:c>
      <x:c r="G779" s="3" t="n">
        <x:v>1473</x:v>
      </x:c>
      <x:c r="H779" s="3" t="n">
        <x:v>3</x:v>
      </x:c>
      <x:c r="I779" s="3" t="n">
        <x:v>294</x:v>
      </x:c>
      <x:c r="J779" s="15" t="n">
        <x:f>IF(D779=0,"n.a.",E779/D779)</x:f>
        <x:v>0.001996716510626969</x:v>
      </x:c>
      <x:c r="K779" s="15" t="n">
        <x:f>F779/'Datos'!$F$7</x:f>
        <x:v>0.0003215535188089181</x:v>
      </x:c>
      <x:c r="L779" s="3"/>
    </x:row>
    <x:row r="780" ht="22" customHeight="1">
      <x:c r="A780" s="3"/>
      <x:c r="B780" s="3" t="str">
        <x:v>84968A</x:v>
      </x:c>
      <x:c r="C780" s="3" t="str">
        <x:v>SET OF 16 VINTAGE ROSE CUTLERY</x:v>
      </x:c>
      <x:c r="D780" s="13" t="n">
        <x:v>3264.63</x:v>
      </x:c>
      <x:c r="E780" s="13" t="n">
        <x:v>127.5</x:v>
      </x:c>
      <x:c r="F780" s="13" t="n">
        <x:f>D780-E780</x:f>
        <x:v>3137.13</x:v>
      </x:c>
      <x:c r="G780" s="3" t="n">
        <x:v>272</x:v>
      </x:c>
      <x:c r="H780" s="3" t="n">
        <x:v>10</x:v>
      </x:c>
      <x:c r="I780" s="3" t="n">
        <x:v>101</x:v>
      </x:c>
      <x:c r="J780" s="15" t="n">
        <x:f>IF(D780=0,"n.a.",E780/D780)</x:f>
        <x:v>0.03905496181803145</x:v>
      </x:c>
      <x:c r="K780" s="15" t="n">
        <x:f>F780/'Datos'!$F$7</x:f>
        <x:v>0.0003203536465222623</x:v>
      </x:c>
      <x:c r="L780" s="3"/>
    </x:row>
    <x:row r="781" ht="22" customHeight="1">
      <x:c r="A781" s="3"/>
      <x:c r="B781" s="3" t="str">
        <x:v>21561</x:v>
      </x:c>
      <x:c r="C781" s="3" t="str">
        <x:v>DINOSAUR LUNCH BOX WITH CUTLERY</x:v>
      </x:c>
      <x:c r="D781" s="13" t="n">
        <x:v>3127.38</x:v>
      </x:c>
      <x:c r="E781" s="13" t="n">
        <x:v>5.1</x:v>
      </x:c>
      <x:c r="F781" s="13" t="n">
        <x:f>D781-E781</x:f>
        <x:v>3122.28</x:v>
      </x:c>
      <x:c r="G781" s="3" t="n">
        <x:v>1281</x:v>
      </x:c>
      <x:c r="H781" s="3" t="n">
        <x:v>2</x:v>
      </x:c>
      <x:c r="I781" s="3" t="n">
        <x:v>213</x:v>
      </x:c>
      <x:c r="J781" s="15" t="n">
        <x:f>IF(D781=0,"n.a.",E781/D781)</x:f>
        <x:v>0.0016307580146960074</x:v>
      </x:c>
      <x:c r="K781" s="15" t="n">
        <x:f>F781/'Datos'!$F$7</x:f>
        <x:v>0.0003188372121855101</x:v>
      </x:c>
      <x:c r="L781" s="3"/>
    </x:row>
    <x:row r="782" ht="22" customHeight="1">
      <x:c r="A782" s="3"/>
      <x:c r="B782" s="3" t="str">
        <x:v>22236</x:v>
      </x:c>
      <x:c r="C782" s="3" t="str">
        <x:v>CAKE STAND 3 TIER MAGIC GARDEN</x:v>
      </x:c>
      <x:c r="D782" s="13" t="n">
        <x:v>3624.6</x:v>
      </x:c>
      <x:c r="E782" s="13" t="n">
        <x:v>508.95</x:v>
      </x:c>
      <x:c r="F782" s="13" t="n">
        <x:f>D782-E782</x:f>
        <x:v>3115.65</x:v>
      </x:c>
      <x:c r="G782" s="3" t="n">
        <x:v>308</x:v>
      </x:c>
      <x:c r="H782" s="3" t="n">
        <x:v>45</x:v>
      </x:c>
      <x:c r="I782" s="3" t="n">
        <x:v>88</x:v>
      </x:c>
      <x:c r="J782" s="15" t="n">
        <x:f>IF(D782=0,"n.a.",E782/D782)</x:f>
        <x:v>0.1404154941234895</x:v>
      </x:c>
      <x:c r="K782" s="15" t="n">
        <x:f>F782/'Datos'!$F$7</x:f>
        <x:v>0.00031816017786546514</x:v>
      </x:c>
      <x:c r="L782" s="3"/>
    </x:row>
    <x:row r="783" ht="22" customHeight="1">
      <x:c r="A783" s="3"/>
      <x:c r="B783" s="3" t="str">
        <x:v>22465</x:v>
      </x:c>
      <x:c r="C783" s="3" t="str">
        <x:v>HANGING METAL STAR LANTERN</x:v>
      </x:c>
      <x:c r="D783" s="13" t="n">
        <x:v>3153.09</x:v>
      </x:c>
      <x:c r="E783" s="13" t="n">
        <x:v>42.15</x:v>
      </x:c>
      <x:c r="F783" s="13" t="n">
        <x:f>D783-E783</x:f>
        <x:v>3110.94</x:v>
      </x:c>
      <x:c r="G783" s="3" t="n">
        <x:v>2060</x:v>
      </x:c>
      <x:c r="H783" s="3" t="n">
        <x:v>27</x:v>
      </x:c>
      <x:c r="I783" s="3" t="n">
        <x:v>198</x:v>
      </x:c>
      <x:c r="J783" s="15" t="n">
        <x:f>IF(D783=0,"n.a.",E783/D783)</x:f>
        <x:v>0.013367839167293035</x:v>
      </x:c>
      <x:c r="K783" s="15" t="n">
        <x:f>F783/'Datos'!$F$7</x:f>
        <x:v>0.00031767920778289925</x:v>
      </x:c>
      <x:c r="L783" s="3"/>
    </x:row>
    <x:row r="784" ht="22" customHeight="1">
      <x:c r="A784" s="3"/>
      <x:c r="B784" s="3" t="str">
        <x:v>23346</x:v>
      </x:c>
      <x:c r="C784" s="3" t="str">
        <x:v>SPACEBOY BEAKER</x:v>
      </x:c>
      <x:c r="D784" s="13" t="n">
        <x:v>3117.34</x:v>
      </x:c>
      <x:c r="E784" s="13" t="n">
        <x:v>7.5</x:v>
      </x:c>
      <x:c r="F784" s="13" t="n">
        <x:f>D784-E784</x:f>
        <x:v>3109.84</x:v>
      </x:c>
      <x:c r="G784" s="3" t="n">
        <x:v>2632</x:v>
      </x:c>
      <x:c r="H784" s="3" t="n">
        <x:v>6</x:v>
      </x:c>
      <x:c r="I784" s="3" t="n">
        <x:v>184</x:v>
      </x:c>
      <x:c r="J784" s="15" t="n">
        <x:f>IF(D784=0,"n.a.",E784/D784)</x:f>
        <x:v>0.0024058973355488974</x:v>
      </x:c>
      <x:c r="K784" s="15" t="n">
        <x:f>F784/'Datos'!$F$7</x:f>
        <x:v>0.0003175668793135102</x:v>
      </x:c>
      <x:c r="L784" s="3"/>
    </x:row>
    <x:row r="785" ht="22" customHeight="1">
      <x:c r="A785" s="3"/>
      <x:c r="B785" s="3" t="str">
        <x:v>21381</x:v>
      </x:c>
      <x:c r="C785" s="3" t="str">
        <x:v>MINI WOODEN HAPPY BIRTHDAY GARLAND</x:v>
      </x:c>
      <x:c r="D785" s="13" t="n">
        <x:v>3138</x:v>
      </x:c>
      <x:c r="E785" s="13" t="n">
        <x:v>42.25</x:v>
      </x:c>
      <x:c r="F785" s="13" t="n">
        <x:f>D785-E785</x:f>
        <x:v>3095.75</x:v>
      </x:c>
      <x:c r="G785" s="3" t="n">
        <x:v>1815</x:v>
      </x:c>
      <x:c r="H785" s="3" t="n">
        <x:v>25</x:v>
      </x:c>
      <x:c r="I785" s="3" t="n">
        <x:v>224</x:v>
      </x:c>
      <x:c r="J785" s="15" t="n">
        <x:f>IF(D785=0,"n.a.",E785/D785)</x:f>
        <x:v>0.013463989802421925</x:v>
      </x:c>
      <x:c r="K785" s="15" t="n">
        <x:f>F785/'Datos'!$F$7</x:f>
        <x:v>0.0003161280537374267</x:v>
      </x:c>
      <x:c r="L785" s="3"/>
    </x:row>
    <x:row r="786" ht="22" customHeight="1">
      <x:c r="A786" s="3"/>
      <x:c r="B786" s="3" t="str">
        <x:v>20754</x:v>
      </x:c>
      <x:c r="C786" s="3" t="str">
        <x:v>RETROSPOT RED WASHING UP GLOVES</x:v>
      </x:c>
      <x:c r="D786" s="13" t="n">
        <x:v>3090.96</x:v>
      </x:c>
      <x:c r="E786" s="13" t="n">
        <x:v>2.1</x:v>
      </x:c>
      <x:c r="F786" s="13" t="n">
        <x:f>D786-E786</x:f>
        <x:v>3088.86</x:v>
      </x:c>
      <x:c r="G786" s="3" t="n">
        <x:v>1458</x:v>
      </x:c>
      <x:c r="H786" s="3" t="n">
        <x:v>1</x:v>
      </x:c>
      <x:c r="I786" s="3" t="n">
        <x:v>304</x:v>
      </x:c>
      <x:c r="J786" s="15" t="n">
        <x:f>IF(D786=0,"n.a.",E786/D786)</x:f>
        <x:v>0.0006794005745787716</x:v>
      </x:c>
      <x:c r="K786" s="15" t="n">
        <x:f>F786/'Datos'!$F$7</x:f>
        <x:v>0.00031542446905188985</x:v>
      </x:c>
      <x:c r="L786" s="3"/>
    </x:row>
    <x:row r="787" ht="22" customHeight="1">
      <x:c r="A787" s="3"/>
      <x:c r="B787" s="3" t="str">
        <x:v>21240</x:v>
      </x:c>
      <x:c r="C787" s="3" t="str">
        <x:v>BLUE POLKADOT CUP</x:v>
      </x:c>
      <x:c r="D787" s="13" t="n">
        <x:v>3112.81</x:v>
      </x:c>
      <x:c r="E787" s="13" t="n">
        <x:v>30.34</x:v>
      </x:c>
      <x:c r="F787" s="13" t="n">
        <x:f>D787-E787</x:f>
        <x:v>3082.47</x:v>
      </x:c>
      <x:c r="G787" s="3" t="n">
        <x:v>3573</x:v>
      </x:c>
      <x:c r="H787" s="3" t="n">
        <x:v>36</x:v>
      </x:c>
      <x:c r="I787" s="3" t="n">
        <x:v>325</x:v>
      </x:c>
      <x:c r="J787" s="15" t="n">
        <x:f>IF(D787=0,"n.a.",E787/D787)</x:f>
        <x:v>0.009746820397004636</x:v>
      </x:c>
      <x:c r="K787" s="15" t="n">
        <x:f>F787/'Datos'!$F$7</x:f>
        <x:v>0.00031477194276152974</x:v>
      </x:c>
      <x:c r="L787" s="3"/>
    </x:row>
    <x:row r="788" ht="22" customHeight="1">
      <x:c r="A788" s="3"/>
      <x:c r="B788" s="3" t="str">
        <x:v>20828</x:v>
      </x:c>
      <x:c r="C788" s="3" t="str">
        <x:v>GLITTER BUTTERFLY CLIPS</x:v>
      </x:c>
      <x:c r="D788" s="13" t="n">
        <x:v>3079.88</x:v>
      </x:c>
      <x:c r="E788" s="13" t="n">
        <x:v>0</x:v>
      </x:c>
      <x:c r="F788" s="13" t="n">
        <x:f>D788-E788</x:f>
        <x:v>3079.88</x:v>
      </x:c>
      <x:c r="G788" s="3" t="n">
        <x:v>1130</x:v>
      </x:c>
      <x:c r="H788" s="3" t="n">
        <x:v>0</x:v>
      </x:c>
      <x:c r="I788" s="3" t="n">
        <x:v>241</x:v>
      </x:c>
      <x:c r="J788" s="15" t="n">
        <x:f>IF(D788=0,"n.a.",E788/D788)</x:f>
        <x:v>0</x:v>
      </x:c>
      <x:c r="K788" s="15" t="n">
        <x:f>F788/'Datos'!$F$7</x:f>
        <x:v>0.0003145074602745137</x:v>
      </x:c>
      <x:c r="L788" s="3"/>
    </x:row>
    <x:row r="789" ht="22" customHeight="1">
      <x:c r="A789" s="3"/>
      <x:c r="B789" s="3" t="str">
        <x:v>21135</x:v>
      </x:c>
      <x:c r="C789" s="3" t="str">
        <x:v>VICTORIAN METAL POSTCARD SPRING</x:v>
      </x:c>
      <x:c r="D789" s="13" t="n">
        <x:v>3207.69</x:v>
      </x:c>
      <x:c r="E789" s="13" t="n">
        <x:v>128.72</x:v>
      </x:c>
      <x:c r="F789" s="13" t="n">
        <x:f>D789-E789</x:f>
        <x:v>3078.9700000000003</x:v>
      </x:c>
      <x:c r="G789" s="3" t="n">
        <x:v>2870</x:v>
      </x:c>
      <x:c r="H789" s="3" t="n">
        <x:v>296</x:v>
      </x:c>
      <x:c r="I789" s="3" t="n">
        <x:v>177</x:v>
      </x:c>
      <x:c r="J789" s="15" t="n">
        <x:f>IF(D789=0,"n.a.",E789/D789)</x:f>
        <x:v>0.04012856603973576</x:v>
      </x:c>
      <x:c r="K789" s="15" t="n">
        <x:f>F789/'Datos'!$F$7</x:f>
        <x:v>0.0003144145339952919</x:v>
      </x:c>
      <x:c r="L789" s="3"/>
    </x:row>
    <x:row r="790" ht="22" customHeight="1">
      <x:c r="A790" s="3"/>
      <x:c r="B790" s="3" t="str">
        <x:v>23461</x:v>
      </x:c>
      <x:c r="C790" s="3" t="str">
        <x:v>SWEETHEART BIRD HOUSE</x:v>
      </x:c>
      <x:c r="D790" s="13" t="n">
        <x:v>3082.71</x:v>
      </x:c>
      <x:c r="E790" s="13" t="n">
        <x:v>16.6</x:v>
      </x:c>
      <x:c r="F790" s="13" t="n">
        <x:f>D790-E790</x:f>
        <x:v>3066.11</x:v>
      </x:c>
      <x:c r="G790" s="3" t="n">
        <x:v>857</x:v>
      </x:c>
      <x:c r="H790" s="3" t="n">
        <x:v>4</x:v>
      </x:c>
      <x:c r="I790" s="3" t="n">
        <x:v>94</x:v>
      </x:c>
      <x:c r="J790" s="15" t="n">
        <x:f>IF(D790=0,"n.a.",E790/D790)</x:f>
        <x:v>0.005384872401231385</x:v>
      </x:c>
      <x:c r="K790" s="15" t="n">
        <x:f>F790/'Datos'!$F$7</x:f>
        <x:v>0.00031310131207134347</x:v>
      </x:c>
      <x:c r="L790" s="3"/>
    </x:row>
    <x:row r="791" ht="22" customHeight="1">
      <x:c r="A791" s="3"/>
      <x:c r="B791" s="3" t="str">
        <x:v>23329</x:v>
      </x:c>
      <x:c r="C791" s="3" t="str">
        <x:v>DECORATIVE WICKER HEART LARGE</x:v>
      </x:c>
      <x:c r="D791" s="13" t="n">
        <x:v>3056.34</x:v>
      </x:c>
      <x:c r="E791" s="13" t="n">
        <x:v>4.95</x:v>
      </x:c>
      <x:c r="F791" s="13" t="n">
        <x:f>D791-E791</x:f>
        <x:v>3051.3900000000003</x:v>
      </x:c>
      <x:c r="G791" s="3" t="n">
        <x:v>1778</x:v>
      </x:c>
      <x:c r="H791" s="3" t="n">
        <x:v>3</x:v>
      </x:c>
      <x:c r="I791" s="3" t="n">
        <x:v>233</x:v>
      </x:c>
      <x:c r="J791" s="15" t="n">
        <x:f>IF(D791=0,"n.a.",E791/D791)</x:f>
        <x:v>0.0016195842085631833</x:v>
      </x:c>
      <x:c r="K791" s="15" t="n">
        <x:f>F791/'Datos'!$F$7</x:f>
        <x:v>0.0003115981529173372</x:v>
      </x:c>
      <x:c r="L791" s="3"/>
    </x:row>
    <x:row r="792" ht="22" customHeight="1">
      <x:c r="A792" s="3"/>
      <x:c r="B792" s="3" t="str">
        <x:v>22604</x:v>
      </x:c>
      <x:c r="C792" s="3" t="str">
        <x:v>SET OF 4 NAPKIN CHARMS CUTLERY</x:v>
      </x:c>
      <x:c r="D792" s="13" t="n">
        <x:v>3044.76</x:v>
      </x:c>
      <x:c r="E792" s="13" t="n">
        <x:v>0</x:v>
      </x:c>
      <x:c r="F792" s="13" t="n">
        <x:f>D792-E792</x:f>
        <x:v>3044.76</x:v>
      </x:c>
      <x:c r="G792" s="3" t="n">
        <x:v>1253</x:v>
      </x:c>
      <x:c r="H792" s="3" t="n">
        <x:v>0</x:v>
      </x:c>
      <x:c r="I792" s="3" t="n">
        <x:v>125</x:v>
      </x:c>
      <x:c r="J792" s="15" t="n">
        <x:f>IF(D792=0,"n.a.",E792/D792)</x:f>
        <x:v>0</x:v>
      </x:c>
      <x:c r="K792" s="15" t="n">
        <x:f>F792/'Datos'!$F$7</x:f>
        <x:v>0.0003109211185972923</x:v>
      </x:c>
      <x:c r="L792" s="3"/>
    </x:row>
    <x:row r="793" ht="22" customHeight="1">
      <x:c r="A793" s="3"/>
      <x:c r="B793" s="3" t="str">
        <x:v>23390</x:v>
      </x:c>
      <x:c r="C793" s="3" t="str">
        <x:v>DOLLY GIRL MINI BACKPACK</x:v>
      </x:c>
      <x:c r="D793" s="13" t="n">
        <x:v>3042.19</x:v>
      </x:c>
      <x:c r="E793" s="13" t="n">
        <x:v>4.15</x:v>
      </x:c>
      <x:c r="F793" s="13" t="n">
        <x:f>D793-E793</x:f>
        <x:v>3038.04</x:v>
      </x:c>
      <x:c r="G793" s="3" t="n">
        <x:v>751</x:v>
      </x:c>
      <x:c r="H793" s="3" t="n">
        <x:v>1</x:v>
      </x:c>
      <x:c r="I793" s="3" t="n">
        <x:v>163</x:v>
      </x:c>
      <x:c r="J793" s="15" t="n">
        <x:f>IF(D793=0,"n.a.",E793/D793)</x:f>
        <x:v>0.001364148853293187</x:v>
      </x:c>
      <x:c r="K793" s="15" t="n">
        <x:f>F793/'Datos'!$F$7</x:f>
        <x:v>0.0003102348937661155</x:v>
      </x:c>
      <x:c r="L793" s="3"/>
    </x:row>
    <x:row r="794" ht="22" customHeight="1">
      <x:c r="A794" s="3"/>
      <x:c r="B794" s="3" t="str">
        <x:v>22894</x:v>
      </x:c>
      <x:c r="C794" s="3" t="str">
        <x:v>TABLECLOTH RED APPLES DESIGN</x:v>
      </x:c>
      <x:c r="D794" s="13" t="n">
        <x:v>3027.38</x:v>
      </x:c>
      <x:c r="E794" s="13" t="n">
        <x:v>0</x:v>
      </x:c>
      <x:c r="F794" s="13" t="n">
        <x:f>D794-E794</x:f>
        <x:v>3027.38</x:v>
      </x:c>
      <x:c r="G794" s="3" t="n">
        <x:v>305</x:v>
      </x:c>
      <x:c r="H794" s="3" t="n">
        <x:v>0</x:v>
      </x:c>
      <x:c r="I794" s="3" t="n">
        <x:v>122</x:v>
      </x:c>
      <x:c r="J794" s="15" t="n">
        <x:f>IF(D794=0,"n.a.",E794/D794)</x:f>
        <x:v>0</x:v>
      </x:c>
      <x:c r="K794" s="15" t="n">
        <x:f>F794/'Datos'!$F$7</x:f>
        <x:v>0.0003091463287809452</x:v>
      </x:c>
      <x:c r="L794" s="3"/>
    </x:row>
    <x:row r="795" ht="22" customHeight="1">
      <x:c r="A795" s="3"/>
      <x:c r="B795" s="3" t="str">
        <x:v>22972</x:v>
      </x:c>
      <x:c r="C795" s="3" t="str">
        <x:v>CHILDREN'S SPACEBOY MUG</x:v>
      </x:c>
      <x:c r="D795" s="13" t="n">
        <x:v>3072.59</x:v>
      </x:c>
      <x:c r="E795" s="13" t="n">
        <x:v>56.1</x:v>
      </x:c>
      <x:c r="F795" s="13" t="n">
        <x:f>D795-E795</x:f>
        <x:v>3016.4900000000002</x:v>
      </x:c>
      <x:c r="G795" s="3" t="n">
        <x:v>1798</x:v>
      </x:c>
      <x:c r="H795" s="3" t="n">
        <x:v>34</x:v>
      </x:c>
      <x:c r="I795" s="3" t="n">
        <x:v>229</x:v>
      </x:c>
      <x:c r="J795" s="15" t="n">
        <x:f>IF(D795=0,"n.a.",E795/D795)</x:f>
        <x:v>0.01825821212722817</x:v>
      </x:c>
      <x:c r="K795" s="15" t="n">
        <x:f>F795/'Datos'!$F$7</x:f>
        <x:v>0.00030803427693399353</x:v>
      </x:c>
      <x:c r="L795" s="3"/>
    </x:row>
    <x:row r="796" ht="22" customHeight="1">
      <x:c r="A796" s="3"/>
      <x:c r="B796" s="3" t="str">
        <x:v>22592</x:v>
      </x:c>
      <x:c r="C796" s="3" t="str">
        <x:v>CARDHOLDER HOLLY WREATH METAL</x:v>
      </x:c>
      <x:c r="D796" s="13" t="n">
        <x:v>3021.12</x:v>
      </x:c>
      <x:c r="E796" s="13" t="n">
        <x:v>7.5</x:v>
      </x:c>
      <x:c r="F796" s="13" t="n">
        <x:f>D796-E796</x:f>
        <x:v>3013.62</x:v>
      </x:c>
      <x:c r="G796" s="3" t="n">
        <x:v>658</x:v>
      </x:c>
      <x:c r="H796" s="3" t="n">
        <x:v>2</x:v>
      </x:c>
      <x:c r="I796" s="3" t="n">
        <x:v>135</x:v>
      </x:c>
      <x:c r="J796" s="15" t="n">
        <x:f>IF(D796=0,"n.a.",E796/D796)</x:f>
        <x:v>0.002482523037813791</x:v>
      </x:c>
      <x:c r="K796" s="15" t="n">
        <x:f>F796/'Datos'!$F$7</x:f>
        <x:v>0.0003077412017456784</x:v>
      </x:c>
      <x:c r="L796" s="3"/>
    </x:row>
    <x:row r="797" ht="22" customHeight="1">
      <x:c r="A797" s="3"/>
      <x:c r="B797" s="3" t="str">
        <x:v>85184C</x:v>
      </x:c>
      <x:c r="C797" s="3" t="str">
        <x:v>S/4 VALENTINE DECOUPAGE HEART BOX</x:v>
      </x:c>
      <x:c r="D797" s="13" t="n">
        <x:v>3009.22</x:v>
      </x:c>
      <x:c r="E797" s="13" t="n">
        <x:v>0</x:v>
      </x:c>
      <x:c r="F797" s="13" t="n">
        <x:f>D797-E797</x:f>
        <x:v>3009.22</x:v>
      </x:c>
      <x:c r="G797" s="3" t="n">
        <x:v>1658</x:v>
      </x:c>
      <x:c r="H797" s="3" t="n">
        <x:v>0</x:v>
      </x:c>
      <x:c r="I797" s="3" t="n">
        <x:v>195</x:v>
      </x:c>
      <x:c r="J797" s="15" t="n">
        <x:f>IF(D797=0,"n.a.",E797/D797)</x:f>
        <x:v>0</x:v>
      </x:c>
      <x:c r="K797" s="15" t="n">
        <x:f>F797/'Datos'!$F$7</x:f>
        <x:v>0.0003072918878681222</x:v>
      </x:c>
      <x:c r="L797" s="3"/>
    </x:row>
    <x:row r="798" ht="22" customHeight="1">
      <x:c r="A798" s="3"/>
      <x:c r="B798" s="3" t="str">
        <x:v>23231</x:v>
      </x:c>
      <x:c r="C798" s="3" t="str">
        <x:v>WRAP DOILEY DESIGN</x:v>
      </x:c>
      <x:c r="D798" s="13" t="n">
        <x:v>3008.34</x:v>
      </x:c>
      <x:c r="E798" s="13" t="n">
        <x:v>0</x:v>
      </x:c>
      <x:c r="F798" s="13" t="n">
        <x:f>D798-E798</x:f>
        <x:v>3008.34</x:v>
      </x:c>
      <x:c r="G798" s="3" t="n">
        <x:v>7277</x:v>
      </x:c>
      <x:c r="H798" s="3" t="n">
        <x:v>0</x:v>
      </x:c>
      <x:c r="I798" s="3" t="n">
        <x:v>260</x:v>
      </x:c>
      <x:c r="J798" s="15" t="n">
        <x:f>IF(D798=0,"n.a.",E798/D798)</x:f>
        <x:v>0</x:v>
      </x:c>
      <x:c r="K798" s="15" t="n">
        <x:f>F798/'Datos'!$F$7</x:f>
        <x:v>0.00030720202509261095</x:v>
      </x:c>
      <x:c r="L798" s="3"/>
    </x:row>
    <x:row r="799" ht="22" customHeight="1">
      <x:c r="A799" s="3"/>
      <x:c r="B799" s="3" t="str">
        <x:v>21714</x:v>
      </x:c>
      <x:c r="C799" s="3" t="str">
        <x:v>CITRONELLA CANDLE GARDEN POT</x:v>
      </x:c>
      <x:c r="D799" s="13" t="n">
        <x:v>3018.15</x:v>
      </x:c>
      <x:c r="E799" s="13" t="n">
        <x:v>25</x:v>
      </x:c>
      <x:c r="F799" s="13" t="n">
        <x:f>D799-E799</x:f>
        <x:v>2993.15</x:v>
      </x:c>
      <x:c r="G799" s="3" t="n">
        <x:v>1657</x:v>
      </x:c>
      <x:c r="H799" s="3" t="n">
        <x:v>20</x:v>
      </x:c>
      <x:c r="I799" s="3" t="n">
        <x:v>225</x:v>
      </x:c>
      <x:c r="J799" s="15" t="n">
        <x:f>IF(D799=0,"n.a.",E799/D799)</x:f>
        <x:v>0.008283219853221344</x:v>
      </x:c>
      <x:c r="K799" s="15" t="n">
        <x:f>F799/'Datos'!$F$7</x:f>
        <x:v>0.0003056508710471385</x:v>
      </x:c>
      <x:c r="L799" s="3"/>
    </x:row>
    <x:row r="800" ht="22" customHeight="1">
      <x:c r="A800" s="3"/>
      <x:c r="B800" s="3" t="str">
        <x:v>22644</x:v>
      </x:c>
      <x:c r="C800" s="3" t="str">
        <x:v>CERAMIC CHERRY CAKE MONEY BANK</x:v>
      </x:c>
      <x:c r="D800" s="13" t="n">
        <x:v>3000.02</x:v>
      </x:c>
      <x:c r="E800" s="13" t="n">
        <x:v>13.05</x:v>
      </x:c>
      <x:c r="F800" s="13" t="n">
        <x:f>D800-E800</x:f>
        <x:v>2986.97</x:v>
      </x:c>
      <x:c r="G800" s="3" t="n">
        <x:v>2223</x:v>
      </x:c>
      <x:c r="H800" s="3" t="n">
        <x:v>9</x:v>
      </x:c>
      <x:c r="I800" s="3" t="n">
        <x:v>276</x:v>
      </x:c>
      <x:c r="J800" s="15" t="n">
        <x:f>IF(D800=0,"n.a.",E800/D800)</x:f>
        <x:v>0.0043499710001933325</x:v>
      </x:c>
      <x:c r="K800" s="15" t="n">
        <x:f>F800/'Datos'!$F$7</x:f>
        <x:v>0.0003050197892827526</x:v>
      </x:c>
      <x:c r="L800" s="3"/>
    </x:row>
    <x:row r="801" ht="22" customHeight="1">
      <x:c r="A801" s="3"/>
      <x:c r="B801" s="3" t="str">
        <x:v>21201</x:v>
      </x:c>
      <x:c r="C801" s="3" t="str">
        <x:v>TROPICAL HONEYCOMB PAPER GARLAND</x:v>
      </x:c>
      <x:c r="D801" s="13" t="n">
        <x:v>2987.82</x:v>
      </x:c>
      <x:c r="E801" s="13" t="n">
        <x:v>2.55</x:v>
      </x:c>
      <x:c r="F801" s="13" t="n">
        <x:f>D801-E801</x:f>
        <x:v>2985.27</x:v>
      </x:c>
      <x:c r="G801" s="3" t="n">
        <x:v>1240</x:v>
      </x:c>
      <x:c r="H801" s="3" t="n">
        <x:v>1</x:v>
      </x:c>
      <x:c r="I801" s="3" t="n">
        <x:v>101</x:v>
      </x:c>
      <x:c r="J801" s="15" t="n">
        <x:f>IF(D801=0,"n.a.",E801/D801)</x:f>
        <x:v>0.0008534650681767977</x:v>
      </x:c>
      <x:c r="K801" s="15" t="n">
        <x:f>F801/'Datos'!$F$7</x:f>
        <x:v>0.00030484619073915136</x:v>
      </x:c>
      <x:c r="L801" s="3"/>
    </x:row>
    <x:row r="802" ht="22" customHeight="1">
      <x:c r="A802" s="3"/>
      <x:c r="B802" s="3" t="str">
        <x:v>23242</x:v>
      </x:c>
      <x:c r="C802" s="3" t="str">
        <x:v>TREASURE TIN BUFFALO BILL</x:v>
      </x:c>
      <x:c r="D802" s="13" t="n">
        <x:v>3037.11</x:v>
      </x:c>
      <x:c r="E802" s="13" t="n">
        <x:v>56.16</x:v>
      </x:c>
      <x:c r="F802" s="13" t="n">
        <x:f>D802-E802</x:f>
        <x:v>2980.9500000000003</x:v>
      </x:c>
      <x:c r="G802" s="3" t="n">
        <x:v>1476</x:v>
      </x:c>
      <x:c r="H802" s="3" t="n">
        <x:v>27</x:v>
      </x:c>
      <x:c r="I802" s="3" t="n">
        <x:v>214</x:v>
      </x:c>
      <x:c r="J802" s="15" t="n">
        <x:f>IF(D802=0,"n.a.",E802/D802)</x:f>
        <x:v>0.018491263075752936</x:v>
      </x:c>
      <x:c r="K802" s="15" t="n">
        <x:f>F802/'Datos'!$F$7</x:f>
        <x:v>0.0003044050462048235</x:v>
      </x:c>
      <x:c r="L802" s="3"/>
    </x:row>
    <x:row r="803" ht="22" customHeight="1">
      <x:c r="A803" s="3"/>
      <x:c r="B803" s="3" t="str">
        <x:v>16161P</x:v>
      </x:c>
      <x:c r="C803" s="3" t="str">
        <x:v>WRAP ENGLISH ROSE</x:v>
      </x:c>
      <x:c r="D803" s="13" t="n">
        <x:v>2990.92</x:v>
      </x:c>
      <x:c r="E803" s="13" t="n">
        <x:v>10.5</x:v>
      </x:c>
      <x:c r="F803" s="13" t="n">
        <x:f>D803-E803</x:f>
        <x:v>2980.42</x:v>
      </x:c>
      <x:c r="G803" s="3" t="n">
        <x:v>7226</x:v>
      </x:c>
      <x:c r="H803" s="3" t="n">
        <x:v>25</x:v>
      </x:c>
      <x:c r="I803" s="3" t="n">
        <x:v>248</x:v>
      </x:c>
      <x:c r="J803" s="15" t="n">
        <x:f>IF(D803=0,"n.a.",E803/D803)</x:f>
        <x:v>0.0035106254931592954</x:v>
      </x:c>
      <x:c r="K803" s="15" t="n">
        <x:f>F803/'Datos'!$F$7</x:f>
        <x:v>0.00030435092430593604</x:v>
      </x:c>
      <x:c r="L803" s="3"/>
    </x:row>
    <x:row r="804" ht="22" customHeight="1">
      <x:c r="A804" s="3"/>
      <x:c r="B804" s="3" t="str">
        <x:v>22331</x:v>
      </x:c>
      <x:c r="C804" s="3" t="str">
        <x:v>WOODLAND PARTY BAG + STICKER SET</x:v>
      </x:c>
      <x:c r="D804" s="13" t="n">
        <x:v>2975.14</x:v>
      </x:c>
      <x:c r="E804" s="13" t="n">
        <x:v>3.3</x:v>
      </x:c>
      <x:c r="F804" s="13" t="n">
        <x:f>D804-E804</x:f>
        <x:v>2971.8399999999997</x:v>
      </x:c>
      <x:c r="G804" s="3" t="n">
        <x:v>1840</x:v>
      </x:c>
      <x:c r="H804" s="3" t="n">
        <x:v>2</x:v>
      </x:c>
      <x:c r="I804" s="3" t="n">
        <x:v>183</x:v>
      </x:c>
      <x:c r="J804" s="15" t="n">
        <x:f>IF(D804=0,"n.a.",E804/D804)</x:f>
        <x:v>0.001109191500231922</x:v>
      </x:c>
      <x:c r="K804" s="15" t="n">
        <x:f>F804/'Datos'!$F$7</x:f>
        <x:v>0.00030347476224470136</x:v>
      </x:c>
      <x:c r="L804" s="3"/>
    </x:row>
    <x:row r="805" ht="22" customHeight="1">
      <x:c r="A805" s="3"/>
      <x:c r="B805" s="3" t="str">
        <x:v>21625</x:v>
      </x:c>
      <x:c r="C805" s="3" t="str">
        <x:v>VINTAGE UNION JACK APRON</x:v>
      </x:c>
      <x:c r="D805" s="13" t="n">
        <x:v>2967.31</x:v>
      </x:c>
      <x:c r="E805" s="13" t="n">
        <x:v>0</x:v>
      </x:c>
      <x:c r="F805" s="13" t="n">
        <x:f>D805-E805</x:f>
        <x:v>2967.31</x:v>
      </x:c>
      <x:c r="G805" s="3" t="n">
        <x:v>411</x:v>
      </x:c>
      <x:c r="H805" s="3" t="n">
        <x:v>0</x:v>
      </x:c>
      <x:c r="I805" s="3" t="n">
        <x:v>169</x:v>
      </x:c>
      <x:c r="J805" s="15" t="n">
        <x:f>IF(D805=0,"n.a.",E805/D805)</x:f>
        <x:v>0</x:v>
      </x:c>
      <x:c r="K805" s="15" t="n">
        <x:f>F805/'Datos'!$F$7</x:f>
        <x:v>0.0003030121731843992</x:v>
      </x:c>
      <x:c r="L805" s="3"/>
    </x:row>
    <x:row r="806" ht="22" customHeight="1">
      <x:c r="A806" s="3"/>
      <x:c r="B806" s="3" t="str">
        <x:v>22906</x:v>
      </x:c>
      <x:c r="C806" s="3" t="str">
        <x:v>12 MESSAGE CARDS WITH ENVELOPES</x:v>
      </x:c>
      <x:c r="D806" s="13" t="n">
        <x:v>2959.42</x:v>
      </x:c>
      <x:c r="E806" s="13" t="n">
        <x:v>1.65</x:v>
      </x:c>
      <x:c r="F806" s="13" t="n">
        <x:f>D806-E806</x:f>
        <x:v>2957.77</x:v>
      </x:c>
      <x:c r="G806" s="3" t="n">
        <x:v>1740</x:v>
      </x:c>
      <x:c r="H806" s="3" t="n">
        <x:v>1</x:v>
      </x:c>
      <x:c r="I806" s="3" t="n">
        <x:v>251</x:v>
      </x:c>
      <x:c r="J806" s="15" t="n">
        <x:f>IF(D806=0,"n.a.",E806/D806)</x:f>
        <x:v>0.0005575416804644153</x:v>
      </x:c>
      <x:c r="K806" s="15" t="n">
        <x:f>F806/'Datos'!$F$7</x:f>
        <x:v>0.000302037979004425</x:v>
      </x:c>
      <x:c r="L806" s="3"/>
    </x:row>
    <x:row r="807" ht="22" customHeight="1">
      <x:c r="A807" s="3"/>
      <x:c r="B807" s="3" t="str">
        <x:v>21411</x:v>
      </x:c>
      <x:c r="C807" s="3" t="str">
        <x:v>GINGHAM HEART DOORSTOP RED</x:v>
      </x:c>
      <x:c r="D807" s="13" t="n">
        <x:v>2982.03</x:v>
      </x:c>
      <x:c r="E807" s="13" t="n">
        <x:v>25.5</x:v>
      </x:c>
      <x:c r="F807" s="13" t="n">
        <x:f>D807-E807</x:f>
        <x:v>2956.53</x:v>
      </x:c>
      <x:c r="G807" s="3" t="n">
        <x:v>793</x:v>
      </x:c>
      <x:c r="H807" s="3" t="n">
        <x:v>6</x:v>
      </x:c>
      <x:c r="I807" s="3" t="n">
        <x:v>241</x:v>
      </x:c>
      <x:c r="J807" s="15" t="n">
        <x:f>IF(D807=0,"n.a.",E807/D807)</x:f>
        <x:v>0.008551221818693977</x:v>
      </x:c>
      <x:c r="K807" s="15" t="n">
        <x:f>F807/'Datos'!$F$7</x:f>
        <x:v>0.00030191135418438644</x:v>
      </x:c>
      <x:c r="L807" s="3"/>
    </x:row>
    <x:row r="808" ht="22" customHeight="1">
      <x:c r="A808" s="3"/>
      <x:c r="B808" s="3" t="str">
        <x:v>21810</x:v>
      </x:c>
      <x:c r="C808" s="3" t="str">
        <x:v>CHRISTMAS HANGING STAR WITH BELL</x:v>
      </x:c>
      <x:c r="D808" s="13" t="n">
        <x:v>3022.79</x:v>
      </x:c>
      <x:c r="E808" s="13" t="n">
        <x:v>73.75</x:v>
      </x:c>
      <x:c r="F808" s="13" t="n">
        <x:f>D808-E808</x:f>
        <x:v>2949.04</x:v>
      </x:c>
      <x:c r="G808" s="3" t="n">
        <x:v>5945</x:v>
      </x:c>
      <x:c r="H808" s="3" t="n">
        <x:v>59</x:v>
      </x:c>
      <x:c r="I808" s="3" t="n">
        <x:v>252</x:v>
      </x:c>
      <x:c r="J808" s="15" t="n">
        <x:f>IF(D808=0,"n.a.",E808/D808)</x:f>
        <x:v>0.02439798993644944</x:v>
      </x:c>
      <x:c r="K808" s="15" t="n">
        <x:f>F808/'Datos'!$F$7</x:f>
        <x:v>0.0003011464994246373</x:v>
      </x:c>
      <x:c r="L808" s="3"/>
    </x:row>
    <x:row r="809" ht="22" customHeight="1">
      <x:c r="A809" s="3"/>
      <x:c r="B809" s="3" t="str">
        <x:v>22078</x:v>
      </x:c>
      <x:c r="C809" s="3" t="str">
        <x:v>RIBBON REEL LACE DESIGN</x:v>
      </x:c>
      <x:c r="D809" s="13" t="n">
        <x:v>2948.41</x:v>
      </x:c>
      <x:c r="E809" s="13" t="n">
        <x:v>0</x:v>
      </x:c>
      <x:c r="F809" s="13" t="n">
        <x:f>D809-E809</x:f>
        <x:v>2948.41</x:v>
      </x:c>
      <x:c r="G809" s="3" t="n">
        <x:v>1381</x:v>
      </x:c>
      <x:c r="H809" s="3" t="n">
        <x:v>0</x:v>
      </x:c>
      <x:c r="I809" s="3" t="n">
        <x:v>192</x:v>
      </x:c>
      <x:c r="J809" s="15" t="n">
        <x:f>IF(D809=0,"n.a.",E809/D809)</x:f>
        <x:v>0</x:v>
      </x:c>
      <x:c r="K809" s="15" t="n">
        <x:f>F809/'Datos'!$F$7</x:f>
        <x:v>0.0003010821658467145</x:v>
      </x:c>
      <x:c r="L809" s="3"/>
    </x:row>
    <x:row r="810" ht="22" customHeight="1">
      <x:c r="A810" s="3"/>
      <x:c r="B810" s="3" t="str">
        <x:v>21918</x:v>
      </x:c>
      <x:c r="C810" s="3" t="str">
        <x:v>SET 12 KIDS COLOUR CHALK STICKS</x:v>
      </x:c>
      <x:c r="D810" s="13" t="n">
        <x:v>2950.67</x:v>
      </x:c>
      <x:c r="E810" s="13" t="n">
        <x:v>6.72</x:v>
      </x:c>
      <x:c r="F810" s="13" t="n">
        <x:f>D810-E810</x:f>
        <x:v>2943.9500000000003</x:v>
      </x:c>
      <x:c r="G810" s="3" t="n">
        <x:v>7200</x:v>
      </x:c>
      <x:c r="H810" s="3" t="n">
        <x:v>16</x:v>
      </x:c>
      <x:c r="I810" s="3" t="n">
        <x:v>369</x:v>
      </x:c>
      <x:c r="J810" s="15" t="n">
        <x:f>IF(D810=0,"n.a.",E810/D810)</x:f>
        <x:v>0.002277448850600033</x:v>
      </x:c>
      <x:c r="K810" s="15" t="n">
        <x:f>F810/'Datos'!$F$7</x:f>
        <x:v>0.0003006267249617371</x:v>
      </x:c>
      <x:c r="L810" s="3"/>
    </x:row>
    <x:row r="811" ht="22" customHeight="1">
      <x:c r="A811" s="3"/>
      <x:c r="B811" s="3" t="str">
        <x:v>85174</x:v>
      </x:c>
      <x:c r="C811" s="3" t="str">
        <x:v>S/4 CACTI CANDLES</x:v>
      </x:c>
      <x:c r="D811" s="13" t="n">
        <x:v>2946.88</x:v>
      </x:c>
      <x:c r="E811" s="13" t="n">
        <x:v>14.15</x:v>
      </x:c>
      <x:c r="F811" s="13" t="n">
        <x:f>D811-E811</x:f>
        <x:v>2932.73</x:v>
      </x:c>
      <x:c r="G811" s="3" t="n">
        <x:v>617</x:v>
      </x:c>
      <x:c r="H811" s="3" t="n">
        <x:v>3</x:v>
      </x:c>
      <x:c r="I811" s="3" t="n">
        <x:v>157</x:v>
      </x:c>
      <x:c r="J811" s="15" t="n">
        <x:f>IF(D811=0,"n.a.",E811/D811)</x:f>
        <x:v>0.004801688565533717</x:v>
      </x:c>
      <x:c r="K811" s="15" t="n">
        <x:f>F811/'Datos'!$F$7</x:f>
        <x:v>0.0002994809745739687</x:v>
      </x:c>
      <x:c r="L811" s="3"/>
    </x:row>
    <x:row r="812" ht="22" customHeight="1">
      <x:c r="A812" s="3"/>
      <x:c r="B812" s="3" t="str">
        <x:v>22360</x:v>
      </x:c>
      <x:c r="C812" s="3" t="str">
        <x:v>GLASS JAR ENGLISH CONFECTIONERY</x:v>
      </x:c>
      <x:c r="D812" s="13" t="n">
        <x:v>3210.52</x:v>
      </x:c>
      <x:c r="E812" s="13" t="n">
        <x:v>284.95</x:v>
      </x:c>
      <x:c r="F812" s="13" t="n">
        <x:f>D812-E812</x:f>
        <x:v>2925.57</x:v>
      </x:c>
      <x:c r="G812" s="3" t="n">
        <x:v>1016</x:v>
      </x:c>
      <x:c r="H812" s="3" t="n">
        <x:v>105</x:v>
      </x:c>
      <x:c r="I812" s="3" t="n">
        <x:v>214</x:v>
      </x:c>
      <x:c r="J812" s="15" t="n">
        <x:f>IF(D812=0,"n.a.",E812/D812)</x:f>
        <x:v>0.08875509263296912</x:v>
      </x:c>
      <x:c r="K812" s="15" t="n">
        <x:f>F812/'Datos'!$F$7</x:f>
        <x:v>0.0002987498183550363</x:v>
      </x:c>
      <x:c r="L812" s="3"/>
    </x:row>
    <x:row r="813" ht="22" customHeight="1">
      <x:c r="A813" s="3"/>
      <x:c r="B813" s="3" t="str">
        <x:v>22778</x:v>
      </x:c>
      <x:c r="C813" s="3" t="str">
        <x:v>GLASS CLOCHE SMALL</x:v>
      </x:c>
      <x:c r="D813" s="13" t="n">
        <x:v>3146.82</x:v>
      </x:c>
      <x:c r="E813" s="13" t="n">
        <x:v>223.12</x:v>
      </x:c>
      <x:c r="F813" s="13" t="n">
        <x:f>D813-E813</x:f>
        <x:v>2923.7000000000003</x:v>
      </x:c>
      <x:c r="G813" s="3" t="n">
        <x:v>808</x:v>
      </x:c>
      <x:c r="H813" s="3" t="n">
        <x:v>64</x:v>
      </x:c>
      <x:c r="I813" s="3" t="n">
        <x:v>143</x:v>
      </x:c>
      <x:c r="J813" s="15" t="n">
        <x:f>IF(D813=0,"n.a.",E813/D813)</x:f>
        <x:v>0.0709033246261305</x:v>
      </x:c>
      <x:c r="K813" s="15" t="n">
        <x:f>F813/'Datos'!$F$7</x:f>
        <x:v>0.0002985588599570749</x:v>
      </x:c>
      <x:c r="L813" s="3"/>
    </x:row>
    <x:row r="814" ht="22" customHeight="1">
      <x:c r="A814" s="3"/>
      <x:c r="B814" s="3" t="str">
        <x:v>84568</x:v>
      </x:c>
      <x:c r="C814" s="3" t="str">
        <x:v>GIRLS ALPHABET IRON ON PATCHES</x:v>
      </x:c>
      <x:c r="D814" s="13" t="n">
        <x:v>2923.13</x:v>
      </x:c>
      <x:c r="E814" s="13" t="n">
        <x:v>0</x:v>
      </x:c>
      <x:c r="F814" s="13" t="n">
        <x:f>D814-E814</x:f>
        <x:v>2923.13</x:v>
      </x:c>
      <x:c r="G814" s="3" t="n">
        <x:v>13882</x:v>
      </x:c>
      <x:c r="H814" s="3" t="n">
        <x:v>0</x:v>
      </x:c>
      <x:c r="I814" s="3" t="n">
        <x:v>147</x:v>
      </x:c>
      <x:c r="J814" s="15" t="n">
        <x:f>IF(D814=0,"n.a.",E814/D814)</x:f>
        <x:v>0</x:v>
      </x:c>
      <x:c r="K814" s="15" t="n">
        <x:f>F814/'Datos'!$F$7</x:f>
        <x:v>0.0002985006533865733</x:v>
      </x:c>
      <x:c r="L814" s="3"/>
    </x:row>
    <x:row r="815" ht="22" customHeight="1">
      <x:c r="A815" s="3"/>
      <x:c r="B815" s="3" t="str">
        <x:v>22892</x:v>
      </x:c>
      <x:c r="C815" s="3" t="str">
        <x:v>SET OF SALT AND PEPPER TOADSTOOLS</x:v>
      </x:c>
      <x:c r="D815" s="13" t="n">
        <x:v>3029.1</x:v>
      </x:c>
      <x:c r="E815" s="13" t="n">
        <x:v>115.19</x:v>
      </x:c>
      <x:c r="F815" s="13" t="n">
        <x:f>D815-E815</x:f>
        <x:v>2913.91</x:v>
      </x:c>
      <x:c r="G815" s="3" t="n">
        <x:v>2478</x:v>
      </x:c>
      <x:c r="H815" s="3" t="n">
        <x:v>96</x:v>
      </x:c>
      <x:c r="I815" s="3" t="n">
        <x:v>199</x:v>
      </x:c>
      <x:c r="J815" s="15" t="n">
        <x:f>IF(D815=0,"n.a.",E815/D815)</x:f>
        <x:v>0.03802779703542306</x:v>
      </x:c>
      <x:c r="K815" s="15" t="n">
        <x:f>F815/'Datos'!$F$7</x:f>
        <x:v>0.00029755913657951227</x:v>
      </x:c>
      <x:c r="L815" s="3"/>
    </x:row>
    <x:row r="816" ht="22" customHeight="1">
      <x:c r="A816" s="3"/>
      <x:c r="B816" s="3" t="str">
        <x:v>22777</x:v>
      </x:c>
      <x:c r="C816" s="3" t="str">
        <x:v>GLASS CLOCHE LARGE</x:v>
      </x:c>
      <x:c r="D816" s="13" t="n">
        <x:v>2951.53</x:v>
      </x:c>
      <x:c r="E816" s="13" t="n">
        <x:v>41.65</x:v>
      </x:c>
      <x:c r="F816" s="13" t="n">
        <x:f>D816-E816</x:f>
        <x:v>2909.88</x:v>
      </x:c>
      <x:c r="G816" s="3" t="n">
        <x:v>352</x:v>
      </x:c>
      <x:c r="H816" s="3" t="n">
        <x:v>5</x:v>
      </x:c>
      <x:c r="I816" s="3" t="n">
        <x:v>58</x:v>
      </x:c>
      <x:c r="J816" s="15" t="n">
        <x:f>IF(D816=0,"n.a.",E816/D816)</x:f>
        <x:v>0.014111325312634463</x:v>
      </x:c>
      <x:c r="K816" s="15" t="n">
        <x:f>F816/'Datos'!$F$7</x:f>
        <x:v>0.0002971476059143869</x:v>
      </x:c>
      <x:c r="L816" s="3"/>
    </x:row>
    <x:row r="817" ht="22" customHeight="1">
      <x:c r="A817" s="3"/>
      <x:c r="B817" s="3" t="str">
        <x:v>22810</x:v>
      </x:c>
      <x:c r="C817" s="3" t="str">
        <x:v>SET OF 6 T-LIGHTS SNOWMEN</x:v>
      </x:c>
      <x:c r="D817" s="13" t="n">
        <x:v>3045.68</x:v>
      </x:c>
      <x:c r="E817" s="13" t="n">
        <x:v>140.1</x:v>
      </x:c>
      <x:c r="F817" s="13" t="n">
        <x:f>D817-E817</x:f>
        <x:v>2905.58</x:v>
      </x:c>
      <x:c r="G817" s="3" t="n">
        <x:v>952</x:v>
      </x:c>
      <x:c r="H817" s="3" t="n">
        <x:v>54</x:v>
      </x:c>
      <x:c r="I817" s="3" t="n">
        <x:v>165</x:v>
      </x:c>
      <x:c r="J817" s="15" t="n">
        <x:f>IF(D817=0,"n.a.",E817/D817)</x:f>
        <x:v>0.04599957973260487</x:v>
      </x:c>
      <x:c r="K817" s="15" t="n">
        <x:f>F817/'Datos'!$F$7</x:f>
        <x:v>0.0002967085037158661</x:v>
      </x:c>
      <x:c r="L817" s="3"/>
    </x:row>
    <x:row r="818" ht="22" customHeight="1">
      <x:c r="A818" s="3"/>
      <x:c r="B818" s="3" t="str">
        <x:v>23211</x:v>
      </x:c>
      <x:c r="C818" s="3" t="str">
        <x:v>RED ROCKING HORSE HAND PAINTED</x:v>
      </x:c>
      <x:c r="D818" s="13" t="n">
        <x:v>2933.07</x:v>
      </x:c>
      <x:c r="E818" s="13" t="n">
        <x:v>30</x:v>
      </x:c>
      <x:c r="F818" s="13" t="n">
        <x:f>D818-E818</x:f>
        <x:v>2903.07</x:v>
      </x:c>
      <x:c r="G818" s="3" t="n">
        <x:v>2331</x:v>
      </x:c>
      <x:c r="H818" s="3" t="n">
        <x:v>24</x:v>
      </x:c>
      <x:c r="I818" s="3" t="n">
        <x:v>160</x:v>
      </x:c>
      <x:c r="J818" s="15" t="n">
        <x:f>IF(D818=0,"n.a.",E818/D818)</x:f>
        <x:v>0.010228190939868464</x:v>
      </x:c>
      <x:c r="K818" s="15" t="n">
        <x:f>F818/'Datos'!$F$7</x:f>
        <x:v>0.00029645219057207835</x:v>
      </x:c>
      <x:c r="L818" s="3"/>
    </x:row>
    <x:row r="819" ht="22" customHeight="1">
      <x:c r="A819" s="3"/>
      <x:c r="B819" s="3" t="str">
        <x:v>47559B</x:v>
      </x:c>
      <x:c r="C819" s="3" t="str">
        <x:v>TEA TIME OVEN GLOVE</x:v>
      </x:c>
      <x:c r="D819" s="13" t="n">
        <x:v>2931.3</x:v>
      </x:c>
      <x:c r="E819" s="13" t="n">
        <x:v>37.5</x:v>
      </x:c>
      <x:c r="F819" s="13" t="n">
        <x:f>D819-E819</x:f>
        <x:v>2893.8</x:v>
      </x:c>
      <x:c r="G819" s="3" t="n">
        <x:v>2183</x:v>
      </x:c>
      <x:c r="H819" s="3" t="n">
        <x:v>30</x:v>
      </x:c>
      <x:c r="I819" s="3" t="n">
        <x:v>315</x:v>
      </x:c>
      <x:c r="J819" s="15" t="n">
        <x:f>IF(D819=0,"n.a.",E819/D819)</x:f>
        <x:v>0.012792958755500971</x:v>
      </x:c>
      <x:c r="K819" s="15" t="n">
        <x:f>F819/'Datos'!$F$7</x:f>
        <x:v>0.00029550556792549965</x:v>
      </x:c>
      <x:c r="L819" s="3"/>
    </x:row>
    <x:row r="820" ht="22" customHeight="1">
      <x:c r="A820" s="3"/>
      <x:c r="B820" s="3" t="str">
        <x:v>23290</x:v>
      </x:c>
      <x:c r="C820" s="3" t="str">
        <x:v>SPACEBOY CHILDRENS BOWL</x:v>
      </x:c>
      <x:c r="D820" s="13" t="n">
        <x:v>2899.1</x:v>
      </x:c>
      <x:c r="E820" s="13" t="n">
        <x:v>12.5</x:v>
      </x:c>
      <x:c r="F820" s="13" t="n">
        <x:f>D820-E820</x:f>
        <x:v>2886.6</x:v>
      </x:c>
      <x:c r="G820" s="3" t="n">
        <x:v>2437</x:v>
      </x:c>
      <x:c r="H820" s="3" t="n">
        <x:v>10</x:v>
      </x:c>
      <x:c r="I820" s="3" t="n">
        <x:v>214</x:v>
      </x:c>
      <x:c r="J820" s="15" t="n">
        <x:f>IF(D820=0,"n.a.",E820/D820)</x:f>
        <x:v>0.004311682936083612</x:v>
      </x:c>
      <x:c r="K820" s="15" t="n">
        <x:f>F820/'Datos'!$F$7</x:f>
        <x:v>0.00029477032703495307</x:v>
      </x:c>
      <x:c r="L820" s="3"/>
    </x:row>
    <x:row r="821" ht="22" customHeight="1">
      <x:c r="A821" s="3"/>
      <x:c r="B821" s="3" t="str">
        <x:v>21112</x:v>
      </x:c>
      <x:c r="C821" s="3" t="str">
        <x:v>SWISS ROLL TOWEL, PINK SPOTS</x:v>
      </x:c>
      <x:c r="D821" s="13" t="n">
        <x:v>2885.13</x:v>
      </x:c>
      <x:c r="E821" s="13" t="n">
        <x:v>0</x:v>
      </x:c>
      <x:c r="F821" s="13" t="n">
        <x:f>D821-E821</x:f>
        <x:v>2885.13</x:v>
      </x:c>
      <x:c r="G821" s="3" t="n">
        <x:v>1359</x:v>
      </x:c>
      <x:c r="H821" s="3" t="n">
        <x:v>0</x:v>
      </x:c>
      <x:c r="I821" s="3" t="n">
        <x:v>82</x:v>
      </x:c>
      <x:c r="J821" s="15" t="n">
        <x:f>IF(D821=0,"n.a.",E821/D821)</x:f>
        <x:v>0</x:v>
      </x:c>
      <x:c r="K821" s="15" t="n">
        <x:f>F821/'Datos'!$F$7</x:f>
        <x:v>0.00029462021535313316</x:v>
      </x:c>
      <x:c r="L821" s="3"/>
    </x:row>
    <x:row r="822" ht="22" customHeight="1">
      <x:c r="A822" s="3"/>
      <x:c r="B822" s="3" t="str">
        <x:v>22656</x:v>
      </x:c>
      <x:c r="C822" s="3" t="str">
        <x:v>VINTAGE BLUE KITCHEN CABINET</x:v>
      </x:c>
      <x:c r="D822" s="13" t="n">
        <x:v>3685</x:v>
      </x:c>
      <x:c r="E822" s="13" t="n">
        <x:v>800</x:v>
      </x:c>
      <x:c r="F822" s="13" t="n">
        <x:f>D822-E822</x:f>
        <x:v>2885</x:v>
      </x:c>
      <x:c r="G822" s="3" t="n">
        <x:v>26</x:v>
      </x:c>
      <x:c r="H822" s="3" t="n">
        <x:v>6</x:v>
      </x:c>
      <x:c r="I822" s="3" t="n">
        <x:v>20</x:v>
      </x:c>
      <x:c r="J822" s="15" t="n">
        <x:f>IF(D822=0,"n.a.",E822/D822)</x:f>
        <x:v>0.21709633649932158</x:v>
      </x:c>
      <x:c r="K822" s="15" t="n">
        <x:f>F822/'Datos'!$F$7</x:f>
        <x:v>0.00029460694017038717</x:v>
      </x:c>
      <x:c r="L822" s="3"/>
    </x:row>
    <x:row r="823" ht="22" customHeight="1">
      <x:c r="A823" s="3"/>
      <x:c r="B823" s="3" t="str">
        <x:v>21313</x:v>
      </x:c>
      <x:c r="C823" s="3" t="str">
        <x:v>GLASS HEART T-LIGHT HOLDER</x:v>
      </x:c>
      <x:c r="D823" s="13" t="n">
        <x:v>2906.52</x:v>
      </x:c>
      <x:c r="E823" s="13" t="n">
        <x:v>23.62</x:v>
      </x:c>
      <x:c r="F823" s="13" t="n">
        <x:f>D823-E823</x:f>
        <x:v>2882.9</x:v>
      </x:c>
      <x:c r="G823" s="3" t="n">
        <x:v>3336</x:v>
      </x:c>
      <x:c r="H823" s="3" t="n">
        <x:v>31</x:v>
      </x:c>
      <x:c r="I823" s="3" t="n">
        <x:v>214</x:v>
      </x:c>
      <x:c r="J823" s="15" t="n">
        <x:f>IF(D823=0,"n.a.",E823/D823)</x:f>
        <x:v>0.008126556844611426</x:v>
      </x:c>
      <x:c r="K823" s="15" t="n">
        <x:f>F823/'Datos'!$F$7</x:f>
        <x:v>0.00029439249491064446</x:v>
      </x:c>
      <x:c r="L823" s="3"/>
    </x:row>
    <x:row r="824" ht="22" customHeight="1">
      <x:c r="A824" s="3"/>
      <x:c r="B824" s="3" t="str">
        <x:v>23345</x:v>
      </x:c>
      <x:c r="C824" s="3" t="str">
        <x:v>DOLLY GIRL BEAKER</x:v>
      </x:c>
      <x:c r="D824" s="13" t="n">
        <x:v>2891.25</x:v>
      </x:c>
      <x:c r="E824" s="13" t="n">
        <x:v>8.75</x:v>
      </x:c>
      <x:c r="F824" s="13" t="n">
        <x:f>D824-E824</x:f>
        <x:v>2882.5</x:v>
      </x:c>
      <x:c r="G824" s="3" t="n">
        <x:v>2455</x:v>
      </x:c>
      <x:c r="H824" s="3" t="n">
        <x:v>7</x:v>
      </x:c>
      <x:c r="I824" s="3" t="n">
        <x:v>174</x:v>
      </x:c>
      <x:c r="J824" s="15" t="n">
        <x:f>IF(D824=0,"n.a.",E824/D824)</x:f>
        <x:v>0.0030263726761781237</x:v>
      </x:c>
      <x:c r="K824" s="15" t="n">
        <x:f>F824/'Datos'!$F$7</x:f>
        <x:v>0.000294351648194503</x:v>
      </x:c>
      <x:c r="L824" s="3"/>
    </x:row>
    <x:row r="825" ht="22" customHeight="1">
      <x:c r="A825" s="3"/>
      <x:c r="B825" s="3" t="str">
        <x:v>22774</x:v>
      </x:c>
      <x:c r="C825" s="3" t="str">
        <x:v>RED DRAWER KNOB ACRYLIC EDWARDIAN</x:v>
      </x:c>
      <x:c r="D825" s="13" t="n">
        <x:v>2901.75</x:v>
      </x:c>
      <x:c r="E825" s="13" t="n">
        <x:v>19.81</x:v>
      </x:c>
      <x:c r="F825" s="13" t="n">
        <x:f>D825-E825</x:f>
        <x:v>2881.94</x:v>
      </x:c>
      <x:c r="G825" s="3" t="n">
        <x:v>2278</x:v>
      </x:c>
      <x:c r="H825" s="3" t="n">
        <x:v>16</x:v>
      </x:c>
      <x:c r="I825" s="3" t="n">
        <x:v>140</x:v>
      </x:c>
      <x:c r="J825" s="15" t="n">
        <x:f>IF(D825=0,"n.a.",E825/D825)</x:f>
        <x:v>0.006826914792797449</x:v>
      </x:c>
      <x:c r="K825" s="15" t="n">
        <x:f>F825/'Datos'!$F$7</x:f>
        <x:v>0.0002942944627919049</x:v>
      </x:c>
      <x:c r="L825" s="3"/>
    </x:row>
    <x:row r="826" ht="22" customHeight="1">
      <x:c r="A826" s="3"/>
      <x:c r="B826" s="3" t="str">
        <x:v>21976</x:v>
      </x:c>
      <x:c r="C826" s="3" t="str">
        <x:v>PACK OF 60 MUSHROOM CAKE CASES</x:v>
      </x:c>
      <x:c r="D826" s="13" t="n">
        <x:v>2886.95</x:v>
      </x:c>
      <x:c r="E826" s="13" t="n">
        <x:v>15.95</x:v>
      </x:c>
      <x:c r="F826" s="13" t="n">
        <x:f>D826-E826</x:f>
        <x:v>2871</x:v>
      </x:c>
      <x:c r="G826" s="3" t="n">
        <x:v>5230</x:v>
      </x:c>
      <x:c r="H826" s="3" t="n">
        <x:v>29</x:v>
      </x:c>
      <x:c r="I826" s="3" t="n">
        <x:v>393</x:v>
      </x:c>
      <x:c r="J826" s="15" t="n">
        <x:f>IF(D826=0,"n.a.",E826/D826)</x:f>
        <x:v>0.0055248618784530384</x:v>
      </x:c>
      <x:c r="K826" s="15" t="n">
        <x:f>F826/'Datos'!$F$7</x:f>
        <x:v>0.0002931773051054356</x:v>
      </x:c>
      <x:c r="L826" s="3"/>
    </x:row>
    <x:row r="827" ht="22" customHeight="1">
      <x:c r="A827" s="3"/>
      <x:c r="B827" s="3" t="str">
        <x:v>21990</x:v>
      </x:c>
      <x:c r="C827" s="3" t="str">
        <x:v>MODERN FLORAL STATIONERY SET</x:v>
      </x:c>
      <x:c r="D827" s="13" t="n">
        <x:v>2880.45</x:v>
      </x:c>
      <x:c r="E827" s="13" t="n">
        <x:v>15</x:v>
      </x:c>
      <x:c r="F827" s="13" t="n">
        <x:f>D827-E827</x:f>
        <x:v>2865.45</x:v>
      </x:c>
      <x:c r="G827" s="3" t="n">
        <x:v>1679</x:v>
      </x:c>
      <x:c r="H827" s="3" t="n">
        <x:v>12</x:v>
      </x:c>
      <x:c r="I827" s="3" t="n">
        <x:v>366</x:v>
      </x:c>
      <x:c r="J827" s="15" t="n">
        <x:f>IF(D827=0,"n.a.",E827/D827)</x:f>
        <x:v>0.0052075196583867105</x:v>
      </x:c>
      <x:c r="K827" s="15" t="n">
        <x:f>F827/'Datos'!$F$7</x:f>
        <x:v>0.0002926105569189726</x:v>
      </x:c>
      <x:c r="L827" s="3"/>
    </x:row>
    <x:row r="828" ht="22" customHeight="1">
      <x:c r="A828" s="3"/>
      <x:c r="B828" s="3" t="str">
        <x:v>23504</x:v>
      </x:c>
      <x:c r="C828" s="3" t="str">
        <x:v>PLAYING CARDS JUBILEE UNION JACK</x:v>
      </x:c>
      <x:c r="D828" s="13" t="n">
        <x:v>2857.64</x:v>
      </x:c>
      <x:c r="E828" s="13" t="n">
        <x:v>0</x:v>
      </x:c>
      <x:c r="F828" s="13" t="n">
        <x:f>D828-E828</x:f>
        <x:v>2857.64</x:v>
      </x:c>
      <x:c r="G828" s="3" t="n">
        <x:v>1934</x:v>
      </x:c>
      <x:c r="H828" s="3" t="n">
        <x:v>0</x:v>
      </x:c>
      <x:c r="I828" s="3" t="n">
        <x:v>208</x:v>
      </x:c>
      <x:c r="J828" s="15" t="n">
        <x:f>IF(D828=0,"n.a.",E828/D828)</x:f>
        <x:v>0</x:v>
      </x:c>
      <x:c r="K828" s="15" t="n">
        <x:f>F828/'Datos'!$F$7</x:f>
        <x:v>0.0002918130247863103</x:v>
      </x:c>
      <x:c r="L828" s="3"/>
    </x:row>
    <x:row r="829" ht="22" customHeight="1">
      <x:c r="A829" s="3"/>
      <x:c r="B829" s="3" t="str">
        <x:v>22354</x:v>
      </x:c>
      <x:c r="C829" s="3" t="str">
        <x:v>RETROSPOT PADDED SEAT CUSHION</x:v>
      </x:c>
      <x:c r="D829" s="13" t="n">
        <x:v>2860.98</x:v>
      </x:c>
      <x:c r="E829" s="13" t="n">
        <x:v>3.39</x:v>
      </x:c>
      <x:c r="F829" s="13" t="n">
        <x:f>D829-E829</x:f>
        <x:v>2857.59</x:v>
      </x:c>
      <x:c r="G829" s="3" t="n">
        <x:v>750</x:v>
      </x:c>
      <x:c r="H829" s="3" t="n">
        <x:v>1</x:v>
      </x:c>
      <x:c r="I829" s="3" t="n">
        <x:v>83</x:v>
      </x:c>
      <x:c r="J829" s="15" t="n">
        <x:f>IF(D829=0,"n.a.",E829/D829)</x:f>
        <x:v>0.0011849086676593336</x:v>
      </x:c>
      <x:c r="K829" s="15" t="n">
        <x:f>F829/'Datos'!$F$7</x:f>
        <x:v>0.0002918079189467926</x:v>
      </x:c>
      <x:c r="L829" s="3"/>
    </x:row>
    <x:row r="830" ht="22" customHeight="1">
      <x:c r="A830" s="3"/>
      <x:c r="B830" s="3" t="str">
        <x:v>23427</x:v>
      </x:c>
      <x:c r="C830" s="3" t="str">
        <x:v>STOOL HOME SWEET HOME</x:v>
      </x:c>
      <x:c r="D830" s="13" t="n">
        <x:v>2873.08</x:v>
      </x:c>
      <x:c r="E830" s="13" t="n">
        <x:v>22.9</x:v>
      </x:c>
      <x:c r="F830" s="13" t="n">
        <x:f>D830-E830</x:f>
        <x:v>2850.18</x:v>
      </x:c>
      <x:c r="G830" s="3" t="n">
        <x:v>238</x:v>
      </x:c>
      <x:c r="H830" s="3" t="n">
        <x:v>2</x:v>
      </x:c>
      <x:c r="I830" s="3" t="n">
        <x:v>114</x:v>
      </x:c>
      <x:c r="J830" s="15" t="n">
        <x:f>IF(D830=0,"n.a.",E830/D830)</x:f>
        <x:v>0.00797054032606123</x:v>
      </x:c>
      <x:c r="K830" s="15" t="n">
        <x:f>F830/'Datos'!$F$7</x:f>
        <x:v>0.0002910512335302718</x:v>
      </x:c>
      <x:c r="L830" s="3"/>
    </x:row>
    <x:row r="831" ht="22" customHeight="1">
      <x:c r="A831" s="3"/>
      <x:c r="B831" s="3" t="str">
        <x:v>22843</x:v>
      </x:c>
      <x:c r="C831" s="3" t="str">
        <x:v>BISCUIT TIN VINTAGE GREEN</x:v>
      </x:c>
      <x:c r="D831" s="13" t="n">
        <x:v>2911.27</x:v>
      </x:c>
      <x:c r="E831" s="13" t="n">
        <x:v>67.5</x:v>
      </x:c>
      <x:c r="F831" s="13" t="n">
        <x:f>D831-E831</x:f>
        <x:v>2843.77</x:v>
      </x:c>
      <x:c r="G831" s="3" t="n">
        <x:v>451</x:v>
      </x:c>
      <x:c r="H831" s="3" t="n">
        <x:v>10</x:v>
      </x:c>
      <x:c r="I831" s="3" t="n">
        <x:v>126</x:v>
      </x:c>
      <x:c r="J831" s="15" t="n">
        <x:f>IF(D831=0,"n.a.",E831/D831)</x:f>
        <x:v>0.02318575741858364</x:v>
      </x:c>
      <x:c r="K831" s="15" t="n">
        <x:f>F831/'Datos'!$F$7</x:f>
        <x:v>0.00029039666490410465</x:v>
      </x:c>
      <x:c r="L831" s="3"/>
    </x:row>
    <x:row r="832" ht="22" customHeight="1">
      <x:c r="A832" s="3"/>
      <x:c r="B832" s="3" t="str">
        <x:v>22965</x:v>
      </x:c>
      <x:c r="C832" s="3" t="str">
        <x:v>3 TRADITIONAl BISCUIT CUTTERS SET</x:v>
      </x:c>
      <x:c r="D832" s="13" t="n">
        <x:v>2914.81</x:v>
      </x:c>
      <x:c r="E832" s="13" t="n">
        <x:v>79.8</x:v>
      </x:c>
      <x:c r="F832" s="13" t="n">
        <x:f>D832-E832</x:f>
        <x:v>2835.0099999999998</x:v>
      </x:c>
      <x:c r="G832" s="3" t="n">
        <x:v>1373</x:v>
      </x:c>
      <x:c r="H832" s="3" t="n">
        <x:v>38</x:v>
      </x:c>
      <x:c r="I832" s="3" t="n">
        <x:v>236</x:v>
      </x:c>
      <x:c r="J832" s="15" t="n">
        <x:f>IF(D832=0,"n.a.",E832/D832)</x:f>
        <x:v>0.027377427688254123</x:v>
      </x:c>
      <x:c r="K832" s="15" t="n">
        <x:f>F832/'Datos'!$F$7</x:f>
        <x:v>0.00028950212182060636</x:v>
      </x:c>
      <x:c r="L832" s="3"/>
    </x:row>
    <x:row r="833" ht="22" customHeight="1">
      <x:c r="A833" s="3"/>
      <x:c r="B833" s="3" t="str">
        <x:v>23196</x:v>
      </x:c>
      <x:c r="C833" s="3" t="str">
        <x:v>VINTAGE LEAF MAGNETIC NOTEPAD</x:v>
      </x:c>
      <x:c r="D833" s="13" t="n">
        <x:v>2848.04</x:v>
      </x:c>
      <x:c r="E833" s="13" t="n">
        <x:v>18.85</x:v>
      </x:c>
      <x:c r="F833" s="13" t="n">
        <x:f>D833-E833</x:f>
        <x:v>2829.19</x:v>
      </x:c>
      <x:c r="G833" s="3" t="n">
        <x:v>1876</x:v>
      </x:c>
      <x:c r="H833" s="3" t="n">
        <x:v>13</x:v>
      </x:c>
      <x:c r="I833" s="3" t="n">
        <x:v>298</x:v>
      </x:c>
      <x:c r="J833" s="15" t="n">
        <x:f>IF(D833=0,"n.a.",E833/D833)</x:f>
        <x:v>0.006618586817600877</x:v>
      </x:c>
      <x:c r="K833" s="15" t="n">
        <x:f>F833/'Datos'!$F$7</x:f>
        <x:v>0.00028890780210074794</x:v>
      </x:c>
      <x:c r="L833" s="3"/>
    </x:row>
    <x:row r="834" ht="22" customHeight="1">
      <x:c r="A834" s="3"/>
      <x:c r="B834" s="3" t="str">
        <x:v>22945</x:v>
      </x:c>
      <x:c r="C834" s="3" t="str">
        <x:v>CHRISTMAS METAL TAGS ASSORTED</x:v>
      </x:c>
      <x:c r="D834" s="13" t="n">
        <x:v>3019.12</x:v>
      </x:c>
      <x:c r="E834" s="13" t="n">
        <x:v>200.58</x:v>
      </x:c>
      <x:c r="F834" s="13" t="n">
        <x:f>D834-E834</x:f>
        <x:v>2818.54</x:v>
      </x:c>
      <x:c r="G834" s="3" t="n">
        <x:v>3003</x:v>
      </x:c>
      <x:c r="H834" s="3" t="n">
        <x:v>258</x:v>
      </x:c>
      <x:c r="I834" s="3" t="n">
        <x:v>172</x:v>
      </x:c>
      <x:c r="J834" s="15" t="n">
        <x:f>IF(D834=0,"n.a.",E834/D834)</x:f>
        <x:v>0.06643657754577494</x:v>
      </x:c>
      <x:c r="K834" s="15" t="n">
        <x:f>F834/'Datos'!$F$7</x:f>
        <x:v>0.00028782025828348113</x:v>
      </x:c>
      <x:c r="L834" s="3"/>
    </x:row>
    <x:row r="835" ht="22" customHeight="1">
      <x:c r="A835" s="3"/>
      <x:c r="B835" s="3" t="str">
        <x:v>22426</x:v>
      </x:c>
      <x:c r="C835" s="3" t="str">
        <x:v>ENAMEL WASH BOWL CREAM</x:v>
      </x:c>
      <x:c r="D835" s="13" t="n">
        <x:v>2858.96</x:v>
      </x:c>
      <x:c r="E835" s="13" t="n">
        <x:v>45</x:v>
      </x:c>
      <x:c r="F835" s="13" t="n">
        <x:f>D835-E835</x:f>
        <x:v>2813.96</x:v>
      </x:c>
      <x:c r="G835" s="3" t="n">
        <x:v>743</x:v>
      </x:c>
      <x:c r="H835" s="3" t="n">
        <x:v>12</x:v>
      </x:c>
      <x:c r="I835" s="3" t="n">
        <x:v>208</x:v>
      </x:c>
      <x:c r="J835" s="15" t="n">
        <x:f>IF(D835=0,"n.a.",E835/D835)</x:f>
        <x:v>0.015739989366762738</x:v>
      </x:c>
      <x:c r="K835" s="15" t="n">
        <x:f>F835/'Datos'!$F$7</x:f>
        <x:v>0.0002873525633836613</x:v>
      </x:c>
      <x:c r="L835" s="3"/>
    </x:row>
    <x:row r="836" ht="22" customHeight="1">
      <x:c r="A836" s="3"/>
      <x:c r="B836" s="3" t="str">
        <x:v>22476</x:v>
      </x:c>
      <x:c r="C836" s="3" t="str">
        <x:v>EMPIRE UNION JACK TV DINNER TRAY</x:v>
      </x:c>
      <x:c r="D836" s="13" t="n">
        <x:v>2844.16</x:v>
      </x:c>
      <x:c r="E836" s="13" t="n">
        <x:v>39.6</x:v>
      </x:c>
      <x:c r="F836" s="13" t="n">
        <x:f>D836-E836</x:f>
        <x:v>2804.56</x:v>
      </x:c>
      <x:c r="G836" s="3" t="n">
        <x:v>881</x:v>
      </x:c>
      <x:c r="H836" s="3" t="n">
        <x:v>8</x:v>
      </x:c>
      <x:c r="I836" s="3" t="n">
        <x:v>125</x:v>
      </x:c>
      <x:c r="J836" s="15" t="n">
        <x:f>IF(D836=0,"n.a.",E836/D836)</x:f>
        <x:v>0.013923267326732675</x:v>
      </x:c>
      <x:c r="K836" s="15" t="n">
        <x:f>F836/'Datos'!$F$7</x:f>
        <x:v>0.0002863926655543366</x:v>
      </x:c>
      <x:c r="L836" s="3"/>
    </x:row>
    <x:row r="837" ht="22" customHeight="1">
      <x:c r="A837" s="3"/>
      <x:c r="B837" s="3" t="str">
        <x:v>21563</x:v>
      </x:c>
      <x:c r="C837" s="3" t="str">
        <x:v>RED HEART SHAPE LOVE BUCKET</x:v>
      </x:c>
      <x:c r="D837" s="13" t="n">
        <x:v>2803.13</x:v>
      </x:c>
      <x:c r="E837" s="13" t="n">
        <x:v>0</x:v>
      </x:c>
      <x:c r="F837" s="13" t="n">
        <x:f>D837-E837</x:f>
        <x:v>2803.13</x:v>
      </x:c>
      <x:c r="G837" s="3" t="n">
        <x:v>1395</x:v>
      </x:c>
      <x:c r="H837" s="3" t="n">
        <x:v>0</x:v>
      </x:c>
      <x:c r="I837" s="3" t="n">
        <x:v>159</x:v>
      </x:c>
      <x:c r="J837" s="15" t="n">
        <x:f>IF(D837=0,"n.a.",E837/D837)</x:f>
        <x:v>0</x:v>
      </x:c>
      <x:c r="K837" s="15" t="n">
        <x:f>F837/'Datos'!$F$7</x:f>
        <x:v>0.00028624663854413086</x:v>
      </x:c>
      <x:c r="L837" s="3"/>
    </x:row>
    <x:row r="838" ht="22" customHeight="1">
      <x:c r="A838" s="3"/>
      <x:c r="B838" s="3" t="str">
        <x:v>35004B</x:v>
      </x:c>
      <x:c r="C838" s="3" t="str">
        <x:v>SET OF 3 BLACK FLYING DUCKS</x:v>
      </x:c>
      <x:c r="D838" s="13" t="n">
        <x:v>2934.81</x:v>
      </x:c>
      <x:c r="E838" s="13" t="n">
        <x:v>136.8</x:v>
      </x:c>
      <x:c r="F838" s="13" t="n">
        <x:f>D838-E838</x:f>
        <x:v>2798.0099999999998</x:v>
      </x:c>
      <x:c r="G838" s="3" t="n">
        <x:v>577</x:v>
      </x:c>
      <x:c r="H838" s="3" t="n">
        <x:v>30</x:v>
      </x:c>
      <x:c r="I838" s="3" t="n">
        <x:v>111</x:v>
      </x:c>
      <x:c r="J838" s="15" t="n">
        <x:f>IF(D838=0,"n.a.",E838/D838)</x:f>
        <x:v>0.04661289827961606</x:v>
      </x:c>
      <x:c r="K838" s="15" t="n">
        <x:f>F838/'Datos'!$F$7</x:f>
        <x:v>0.0002857238005775199</x:v>
      </x:c>
      <x:c r="L838" s="3"/>
    </x:row>
    <x:row r="839" ht="22" customHeight="1">
      <x:c r="A839" s="3"/>
      <x:c r="B839" s="3" t="str">
        <x:v>23212</x:v>
      </x:c>
      <x:c r="C839" s="3" t="str">
        <x:v>HEART WREATH DECORATION WITH BELL</x:v>
      </x:c>
      <x:c r="D839" s="13" t="n">
        <x:v>2865.89</x:v>
      </x:c>
      <x:c r="E839" s="13" t="n">
        <x:v>75</x:v>
      </x:c>
      <x:c r="F839" s="13" t="n">
        <x:f>D839-E839</x:f>
        <x:v>2790.89</x:v>
      </x:c>
      <x:c r="G839" s="3" t="n">
        <x:v>2300</x:v>
      </x:c>
      <x:c r="H839" s="3" t="n">
        <x:v>60</x:v>
      </x:c>
      <x:c r="I839" s="3" t="n">
        <x:v>186</x:v>
      </x:c>
      <x:c r="J839" s="15" t="n">
        <x:f>IF(D839=0,"n.a.",E839/D839)</x:f>
        <x:v>0.026169880909595274</x:v>
      </x:c>
      <x:c r="K839" s="15" t="n">
        <x:f>F839/'Datos'!$F$7</x:f>
        <x:v>0.0002849967290302017</x:v>
      </x:c>
      <x:c r="L839" s="3"/>
    </x:row>
    <x:row r="840" ht="22" customHeight="1">
      <x:c r="A840" s="3"/>
      <x:c r="B840" s="3" t="str">
        <x:v>23396</x:v>
      </x:c>
      <x:c r="C840" s="3" t="str">
        <x:v>LE JARDIN BOTANIQUE CUSHION COVER</x:v>
      </x:c>
      <x:c r="D840" s="13" t="n">
        <x:v>2780.53</x:v>
      </x:c>
      <x:c r="E840" s="13" t="n">
        <x:v>15</x:v>
      </x:c>
      <x:c r="F840" s="13" t="n">
        <x:f>D840-E840</x:f>
        <x:v>2765.53</x:v>
      </x:c>
      <x:c r="G840" s="3" t="n">
        <x:v>662</x:v>
      </x:c>
      <x:c r="H840" s="3" t="n">
        <x:v>4</x:v>
      </x:c>
      <x:c r="I840" s="3" t="n">
        <x:v>196</x:v>
      </x:c>
      <x:c r="J840" s="15" t="n">
        <x:f>IF(D840=0,"n.a.",E840/D840)</x:f>
        <x:v>0.005394654975849927</x:v>
      </x:c>
      <x:c r="K840" s="15" t="n">
        <x:f>F840/'Datos'!$F$7</x:f>
        <x:v>0.00028240704722683224</x:v>
      </x:c>
      <x:c r="L840" s="3"/>
    </x:row>
    <x:row r="841" ht="22" customHeight="1">
      <x:c r="A841" s="3"/>
      <x:c r="B841" s="3" t="str">
        <x:v>21109</x:v>
      </x:c>
      <x:c r="C841" s="3" t="str">
        <x:v>LARGE CAKE TOWEL CHOCOLATE SPOTS</x:v>
      </x:c>
      <x:c r="D841" s="13" t="n">
        <x:v>2765.15</x:v>
      </x:c>
      <x:c r="E841" s="13" t="n">
        <x:v>0</x:v>
      </x:c>
      <x:c r="F841" s="13" t="n">
        <x:f>D841-E841</x:f>
        <x:v>2765.15</x:v>
      </x:c>
      <x:c r="G841" s="3" t="n">
        <x:v>937</x:v>
      </x:c>
      <x:c r="H841" s="3" t="n">
        <x:v>0</x:v>
      </x:c>
      <x:c r="I841" s="3" t="n">
        <x:v>112</x:v>
      </x:c>
      <x:c r="J841" s="15" t="n">
        <x:f>IF(D841=0,"n.a.",E841/D841)</x:f>
        <x:v>0</x:v>
      </x:c>
      <x:c r="K841" s="15" t="n">
        <x:f>F841/'Datos'!$F$7</x:f>
        <x:v>0.0002823682428464978</x:v>
      </x:c>
      <x:c r="L841" s="3"/>
    </x:row>
    <x:row r="842" ht="22" customHeight="1">
      <x:c r="A842" s="3"/>
      <x:c r="B842" s="3" t="str">
        <x:v>22072</x:v>
      </x:c>
      <x:c r="C842" s="3" t="str">
        <x:v>RED RETROSPOT TEA CUP AND SAUCER</x:v>
      </x:c>
      <x:c r="D842" s="13" t="n">
        <x:v>2831.17</x:v>
      </x:c>
      <x:c r="E842" s="13" t="n">
        <x:v>71.25</x:v>
      </x:c>
      <x:c r="F842" s="13" t="n">
        <x:f>D842-E842</x:f>
        <x:v>2759.92</x:v>
      </x:c>
      <x:c r="G842" s="3" t="n">
        <x:v>854</x:v>
      </x:c>
      <x:c r="H842" s="3" t="n">
        <x:v>19</x:v>
      </x:c>
      <x:c r="I842" s="3" t="n">
        <x:v>162</x:v>
      </x:c>
      <x:c r="J842" s="15" t="n">
        <x:f>IF(D842=0,"n.a.",E842/D842)</x:f>
        <x:v>0.025166274013923573</x:v>
      </x:c>
      <x:c r="K842" s="15" t="n">
        <x:f>F842/'Datos'!$F$7</x:f>
        <x:v>0.000281834172032948</x:v>
      </x:c>
      <x:c r="L842" s="3"/>
    </x:row>
    <x:row r="843" ht="22" customHeight="1">
      <x:c r="A843" s="3"/>
      <x:c r="B843" s="3" t="str">
        <x:v>23190</x:v>
      </x:c>
      <x:c r="C843" s="3" t="str">
        <x:v>BUNDLE OF 3 SCHOOL EXERCISE BOOKS</x:v>
      </x:c>
      <x:c r="D843" s="13" t="n">
        <x:v>2761.9</x:v>
      </x:c>
      <x:c r="E843" s="13" t="n">
        <x:v>3.3</x:v>
      </x:c>
      <x:c r="F843" s="13" t="n">
        <x:f>D843-E843</x:f>
        <x:v>2758.6</x:v>
      </x:c>
      <x:c r="G843" s="3" t="n">
        <x:v>1702</x:v>
      </x:c>
      <x:c r="H843" s="3" t="n">
        <x:v>2</x:v>
      </x:c>
      <x:c r="I843" s="3" t="n">
        <x:v>202</x:v>
      </x:c>
      <x:c r="J843" s="15" t="n">
        <x:f>IF(D843=0,"n.a.",E843/D843)</x:f>
        <x:v>0.0011948296462580108</x:v>
      </x:c>
      <x:c r="K843" s="15" t="n">
        <x:f>F843/'Datos'!$F$7</x:f>
        <x:v>0.00028169937786968113</x:v>
      </x:c>
      <x:c r="L843" s="3"/>
    </x:row>
    <x:row r="844" ht="22" customHeight="1">
      <x:c r="A844" s="3"/>
      <x:c r="B844" s="3" t="str">
        <x:v>22224</x:v>
      </x:c>
      <x:c r="C844" s="3" t="str">
        <x:v>WHITE LOVEBIRD LANTERN</x:v>
      </x:c>
      <x:c r="D844" s="13" t="n">
        <x:v>2767.01</x:v>
      </x:c>
      <x:c r="E844" s="13" t="n">
        <x:v>11.8</x:v>
      </x:c>
      <x:c r="F844" s="13" t="n">
        <x:f>D844-E844</x:f>
        <x:v>2755.21</x:v>
      </x:c>
      <x:c r="G844" s="3" t="n">
        <x:v>835</x:v>
      </x:c>
      <x:c r="H844" s="3" t="n">
        <x:v>4</x:v>
      </x:c>
      <x:c r="I844" s="3" t="n">
        <x:v>164</x:v>
      </x:c>
      <x:c r="J844" s="15" t="n">
        <x:f>IF(D844=0,"n.a.",E844/D844)</x:f>
        <x:v>0.004264531028077239</x:v>
      </x:c>
      <x:c r="K844" s="15" t="n">
        <x:f>F844/'Datos'!$F$7</x:f>
        <x:v>0.00028135320195038217</x:v>
      </x:c>
      <x:c r="L844" s="3"/>
    </x:row>
    <x:row r="845" ht="22" customHeight="1">
      <x:c r="A845" s="3"/>
      <x:c r="B845" s="3" t="str">
        <x:v>22773</x:v>
      </x:c>
      <x:c r="C845" s="3" t="str">
        <x:v>GREEN DRAWER KNOB ACRYLIC EDWARDIAN</x:v>
      </x:c>
      <x:c r="D845" s="13" t="n">
        <x:v>2754.4</x:v>
      </x:c>
      <x:c r="E845" s="13" t="n">
        <x:v>0</x:v>
      </x:c>
      <x:c r="F845" s="13" t="n">
        <x:f>D845-E845</x:f>
        <x:v>2754.4</x:v>
      </x:c>
      <x:c r="G845" s="3" t="n">
        <x:v>2087</x:v>
      </x:c>
      <x:c r="H845" s="3" t="n">
        <x:v>0</x:v>
      </x:c>
      <x:c r="I845" s="3" t="n">
        <x:v>191</x:v>
      </x:c>
      <x:c r="J845" s="15" t="n">
        <x:f>IF(D845=0,"n.a.",E845/D845)</x:f>
        <x:v>0</x:v>
      </x:c>
      <x:c r="K845" s="15" t="n">
        <x:f>F845/'Datos'!$F$7</x:f>
        <x:v>0.00028127048735019565</x:v>
      </x:c>
      <x:c r="L845" s="3"/>
    </x:row>
    <x:row r="846" ht="22" customHeight="1">
      <x:c r="A846" s="3"/>
      <x:c r="B846" s="3" t="str">
        <x:v>23341</x:v>
      </x:c>
      <x:c r="C846" s="3" t="str">
        <x:v>PINK DINER WALL CLOCK</x:v>
      </x:c>
      <x:c r="D846" s="13" t="n">
        <x:v>2749.85</x:v>
      </x:c>
      <x:c r="E846" s="13" t="n">
        <x:v>0</x:v>
      </x:c>
      <x:c r="F846" s="13" t="n">
        <x:f>D846-E846</x:f>
        <x:v>2749.85</x:v>
      </x:c>
      <x:c r="G846" s="3" t="n">
        <x:v>308</x:v>
      </x:c>
      <x:c r="H846" s="3" t="n">
        <x:v>0</x:v>
      </x:c>
      <x:c r="I846" s="3" t="n">
        <x:v>121</x:v>
      </x:c>
      <x:c r="J846" s="15" t="n">
        <x:f>IF(D846=0,"n.a.",E846/D846)</x:f>
        <x:v>0</x:v>
      </x:c>
      <x:c r="K846" s="15" t="n">
        <x:f>F846/'Datos'!$F$7</x:f>
        <x:v>0.0002808058559540864</x:v>
      </x:c>
      <x:c r="L846" s="3"/>
    </x:row>
    <x:row r="847" ht="22" customHeight="1">
      <x:c r="A847" s="3"/>
      <x:c r="B847" s="3" t="str">
        <x:v>22380</x:v>
      </x:c>
      <x:c r="C847" s="3" t="str">
        <x:v>TOY TIDY SPACEBOY</x:v>
      </x:c>
      <x:c r="D847" s="13" t="n">
        <x:v>2823.86</x:v>
      </x:c>
      <x:c r="E847" s="13" t="n">
        <x:v>77.7</x:v>
      </x:c>
      <x:c r="F847" s="13" t="n">
        <x:f>D847-E847</x:f>
        <x:v>2746.1600000000003</x:v>
      </x:c>
      <x:c r="G847" s="3" t="n">
        <x:v>1316</x:v>
      </x:c>
      <x:c r="H847" s="3" t="n">
        <x:v>37</x:v>
      </x:c>
      <x:c r="I847" s="3" t="n">
        <x:v>285</x:v>
      </x:c>
      <x:c r="J847" s="15" t="n">
        <x:f>IF(D847=0,"n.a.",E847/D847)</x:f>
        <x:v>0.027515528390217644</x:v>
      </x:c>
      <x:c r="K847" s="15" t="n">
        <x:f>F847/'Datos'!$F$7</x:f>
        <x:v>0.0002804290449976813</x:v>
      </x:c>
      <x:c r="L847" s="3"/>
    </x:row>
    <x:row r="848" ht="22" customHeight="1">
      <x:c r="A848" s="3"/>
      <x:c r="B848" s="3" t="str">
        <x:v>22794</x:v>
      </x:c>
      <x:c r="C848" s="3" t="str">
        <x:v>SWEETHEART WIRE MAGAZINE RACK</x:v>
      </x:c>
      <x:c r="D848" s="13" t="n">
        <x:v>2784.9</x:v>
      </x:c>
      <x:c r="E848" s="13" t="n">
        <x:v>39.75</x:v>
      </x:c>
      <x:c r="F848" s="13" t="n">
        <x:f>D848-E848</x:f>
        <x:v>2745.15</x:v>
      </x:c>
      <x:c r="G848" s="3" t="n">
        <x:v>326</x:v>
      </x:c>
      <x:c r="H848" s="3" t="n">
        <x:v>5</x:v>
      </x:c>
      <x:c r="I848" s="3" t="n">
        <x:v>182</x:v>
      </x:c>
      <x:c r="J848" s="15" t="n">
        <x:f>IF(D848=0,"n.a.",E848/D848)</x:f>
        <x:v>0.014273402994721534</x:v>
      </x:c>
      <x:c r="K848" s="15" t="n">
        <x:f>F848/'Datos'!$F$7</x:f>
        <x:v>0.00028032590703942404</x:v>
      </x:c>
      <x:c r="L848" s="3"/>
    </x:row>
    <x:row r="849" ht="22" customHeight="1">
      <x:c r="A849" s="3"/>
      <x:c r="B849" s="3" t="str">
        <x:v>22823</x:v>
      </x:c>
      <x:c r="C849" s="3" t="str">
        <x:v>CHEST NATURAL WOOD 20 DRAWERS</x:v>
      </x:c>
      <x:c r="D849" s="13" t="n">
        <x:v>2745</x:v>
      </x:c>
      <x:c r="E849" s="13" t="n">
        <x:v>0</x:v>
      </x:c>
      <x:c r="F849" s="13" t="n">
        <x:f>D849-E849</x:f>
        <x:v>2745</x:v>
      </x:c>
      <x:c r="G849" s="3" t="n">
        <x:v>24</x:v>
      </x:c>
      <x:c r="H849" s="3" t="n">
        <x:v>0</x:v>
      </x:c>
      <x:c r="I849" s="3" t="n">
        <x:v>13</x:v>
      </x:c>
      <x:c r="J849" s="15" t="n">
        <x:f>IF(D849=0,"n.a.",E849/D849)</x:f>
        <x:v>0</x:v>
      </x:c>
      <x:c r="K849" s="15" t="n">
        <x:f>F849/'Datos'!$F$7</x:f>
        <x:v>0.000280310589520871</x:v>
      </x:c>
      <x:c r="L849" s="3"/>
    </x:row>
    <x:row r="850" ht="22" customHeight="1">
      <x:c r="A850" s="3"/>
      <x:c r="B850" s="3" t="str">
        <x:v>23266</x:v>
      </x:c>
      <x:c r="C850" s="3" t="str">
        <x:v>SET OF 3 WOODEN STOCKING DECORATION</x:v>
      </x:c>
      <x:c r="D850" s="13" t="n">
        <x:v>2757.57</x:v>
      </x:c>
      <x:c r="E850" s="13" t="n">
        <x:v>15</x:v>
      </x:c>
      <x:c r="F850" s="13" t="n">
        <x:f>D850-E850</x:f>
        <x:v>2742.57</x:v>
      </x:c>
      <x:c r="G850" s="3" t="n">
        <x:v>2064</x:v>
      </x:c>
      <x:c r="H850" s="3" t="n">
        <x:v>12</x:v>
      </x:c>
      <x:c r="I850" s="3" t="n">
        <x:v>319</x:v>
      </x:c>
      <x:c r="J850" s="15" t="n">
        <x:f>IF(D850=0,"n.a.",E850/D850)</x:f>
        <x:v>0.005439571796908147</x:v>
      </x:c>
      <x:c r="K850" s="15" t="n">
        <x:f>F850/'Datos'!$F$7</x:f>
        <x:v>0.00028006244572031155</x:v>
      </x:c>
      <x:c r="L850" s="3"/>
    </x:row>
    <x:row r="851" ht="22" customHeight="1">
      <x:c r="A851" s="3"/>
      <x:c r="B851" s="3" t="str">
        <x:v>23100</x:v>
      </x:c>
      <x:c r="C851" s="3" t="str">
        <x:v>SILVER BELLS TABLE DECORATION</x:v>
      </x:c>
      <x:c r="D851" s="13" t="n">
        <x:v>2743.13</x:v>
      </x:c>
      <x:c r="E851" s="13" t="n">
        <x:v>1.25</x:v>
      </x:c>
      <x:c r="F851" s="13" t="n">
        <x:f>D851-E851</x:f>
        <x:v>2741.88</x:v>
      </x:c>
      <x:c r="G851" s="3" t="n">
        <x:v>2169</x:v>
      </x:c>
      <x:c r="H851" s="3" t="n">
        <x:v>1</x:v>
      </x:c>
      <x:c r="I851" s="3" t="n">
        <x:v>257</x:v>
      </x:c>
      <x:c r="J851" s="15" t="n">
        <x:f>IF(D851=0,"n.a.",E851/D851)</x:f>
        <x:v>0.00045568383561843585</x:v>
      </x:c>
      <x:c r="K851" s="15" t="n">
        <x:f>F851/'Datos'!$F$7</x:f>
        <x:v>0.0002799919851349675</x:v>
      </x:c>
      <x:c r="L851" s="3"/>
    </x:row>
    <x:row r="852" ht="22" customHeight="1">
      <x:c r="A852" s="3"/>
      <x:c r="B852" s="3" t="str">
        <x:v>21985</x:v>
      </x:c>
      <x:c r="C852" s="3" t="str">
        <x:v>PACK OF 12 HEARTS DESIGN TISSUES</x:v>
      </x:c>
      <x:c r="D852" s="13" t="n">
        <x:v>2737.63</x:v>
      </x:c>
      <x:c r="E852" s="13" t="n">
        <x:v>0</x:v>
      </x:c>
      <x:c r="F852" s="13" t="n">
        <x:f>D852-E852</x:f>
        <x:v>2737.63</x:v>
      </x:c>
      <x:c r="G852" s="3" t="n">
        <x:v>8803</x:v>
      </x:c>
      <x:c r="H852" s="3" t="n">
        <x:v>0</x:v>
      </x:c>
      <x:c r="I852" s="3" t="n">
        <x:v>427</x:v>
      </x:c>
      <x:c r="J852" s="15" t="n">
        <x:f>IF(D852=0,"n.a.",E852/D852)</x:f>
        <x:v>0</x:v>
      </x:c>
      <x:c r="K852" s="15" t="n">
        <x:f>F852/'Datos'!$F$7</x:f>
        <x:v>0.0002795579887759643</x:v>
      </x:c>
      <x:c r="L852" s="3"/>
    </x:row>
    <x:row r="853" ht="22" customHeight="1">
      <x:c r="A853" s="3"/>
      <x:c r="B853" s="3" t="str">
        <x:v>21499</x:v>
      </x:c>
      <x:c r="C853" s="3" t="str">
        <x:v>BLUE POLKADOT WRAP</x:v>
      </x:c>
      <x:c r="D853" s="13" t="n">
        <x:v>2819.84</x:v>
      </x:c>
      <x:c r="E853" s="13" t="n">
        <x:v>82.5</x:v>
      </x:c>
      <x:c r="F853" s="13" t="n">
        <x:f>D853-E853</x:f>
        <x:v>2737.34</x:v>
      </x:c>
      <x:c r="G853" s="3" t="n">
        <x:v>6952</x:v>
      </x:c>
      <x:c r="H853" s="3" t="n">
        <x:v>225</x:v>
      </x:c>
      <x:c r="I853" s="3" t="n">
        <x:v>217</x:v>
      </x:c>
      <x:c r="J853" s="15" t="n">
        <x:f>IF(D853=0,"n.a.",E853/D853)</x:f>
        <x:v>0.02925697911938266</x:v>
      </x:c>
      <x:c r="K853" s="15" t="n">
        <x:f>F853/'Datos'!$F$7</x:f>
        <x:v>0.00027952837490676175</x:v>
      </x:c>
      <x:c r="L853" s="3"/>
    </x:row>
    <x:row r="854" ht="22" customHeight="1">
      <x:c r="A854" s="3"/>
      <x:c r="B854" s="3" t="str">
        <x:v>22196</x:v>
      </x:c>
      <x:c r="C854" s="3" t="str">
        <x:v>SMALL HEART MEASURING SPOONS</x:v>
      </x:c>
      <x:c r="D854" s="13" t="n">
        <x:v>2759.26</x:v>
      </x:c>
      <x:c r="E854" s="13" t="n">
        <x:v>24.13</x:v>
      </x:c>
      <x:c r="F854" s="13" t="n">
        <x:f>D854-E854</x:f>
        <x:v>2735.13</x:v>
      </x:c>
      <x:c r="G854" s="3" t="n">
        <x:v>2853</x:v>
      </x:c>
      <x:c r="H854" s="3" t="n">
        <x:v>29</x:v>
      </x:c>
      <x:c r="I854" s="3" t="n">
        <x:v>472</x:v>
      </x:c>
      <x:c r="J854" s="15" t="n">
        <x:f>IF(D854=0,"n.a.",E854/D854)</x:f>
        <x:v>0.008745098323463537</x:v>
      </x:c>
      <x:c r="K854" s="15" t="n">
        <x:f>F854/'Datos'!$F$7</x:f>
        <x:v>0.00027930269680008014</x:v>
      </x:c>
      <x:c r="L854" s="3"/>
    </x:row>
    <x:row r="855" ht="22" customHeight="1">
      <x:c r="A855" s="3"/>
      <x:c r="B855" s="3" t="str">
        <x:v>23147</x:v>
      </x:c>
      <x:c r="C855" s="3" t="str">
        <x:v>SINGLE ANTIQUE ROSE HOOK IVORY</x:v>
      </x:c>
      <x:c r="D855" s="13" t="n">
        <x:v>2755.1</x:v>
      </x:c>
      <x:c r="E855" s="13" t="n">
        <x:v>21.75</x:v>
      </x:c>
      <x:c r="F855" s="13" t="n">
        <x:f>D855-E855</x:f>
        <x:v>2733.35</x:v>
      </x:c>
      <x:c r="G855" s="3" t="n">
        <x:v>1870</x:v>
      </x:c>
      <x:c r="H855" s="3" t="n">
        <x:v>15</x:v>
      </x:c>
      <x:c r="I855" s="3" t="n">
        <x:v>261</x:v>
      </x:c>
      <x:c r="J855" s="15" t="n">
        <x:f>IF(D855=0,"n.a.",E855/D855)</x:f>
        <x:v>0.007894450292185402</x:v>
      </x:c>
      <x:c r="K855" s="15" t="n">
        <x:f>F855/'Datos'!$F$7</x:f>
        <x:v>0.0002791209289132505</x:v>
      </x:c>
      <x:c r="L855" s="3"/>
    </x:row>
    <x:row r="856" ht="22" customHeight="1">
      <x:c r="A856" s="3"/>
      <x:c r="B856" s="3" t="str">
        <x:v>22925</x:v>
      </x:c>
      <x:c r="C856" s="3" t="str">
        <x:v>BLUE GIANT GARDEN THERMOMETER</x:v>
      </x:c>
      <x:c r="D856" s="13" t="n">
        <x:v>2763.42</x:v>
      </x:c>
      <x:c r="E856" s="13" t="n">
        <x:v>47.6</x:v>
      </x:c>
      <x:c r="F856" s="13" t="n">
        <x:f>D856-E856</x:f>
        <x:v>2715.82</x:v>
      </x:c>
      <x:c r="G856" s="3" t="n">
        <x:v>450</x:v>
      </x:c>
      <x:c r="H856" s="3" t="n">
        <x:v>8</x:v>
      </x:c>
      <x:c r="I856" s="3" t="n">
        <x:v>182</x:v>
      </x:c>
      <x:c r="J856" s="15" t="n">
        <x:f>IF(D856=0,"n.a.",E856/D856)</x:f>
        <x:v>0.01722503274927445</x:v>
      </x:c>
      <x:c r="K856" s="15" t="n">
        <x:f>F856/'Datos'!$F$7</x:f>
        <x:v>0.00027733082157835044</x:v>
      </x:c>
      <x:c r="L856" s="3"/>
    </x:row>
    <x:row r="857" ht="22" customHeight="1">
      <x:c r="A857" s="3"/>
      <x:c r="B857" s="3" t="str">
        <x:v>23164</x:v>
      </x:c>
      <x:c r="C857" s="3" t="str">
        <x:v>REGENCY CAKE SLICE</x:v>
      </x:c>
      <x:c r="D857" s="13" t="n">
        <x:v>2718.65</x:v>
      </x:c>
      <x:c r="E857" s="13" t="n">
        <x:v>4.95</x:v>
      </x:c>
      <x:c r="F857" s="13" t="n">
        <x:f>D857-E857</x:f>
        <x:v>2713.7000000000003</x:v>
      </x:c>
      <x:c r="G857" s="3" t="n">
        <x:v>578</x:v>
      </x:c>
      <x:c r="H857" s="3" t="n">
        <x:v>1</x:v>
      </x:c>
      <x:c r="I857" s="3" t="n">
        <x:v>92</x:v>
      </x:c>
      <x:c r="J857" s="15" t="n">
        <x:f>IF(D857=0,"n.a.",E857/D857)</x:f>
        <x:v>0.001820756625531054</x:v>
      </x:c>
      <x:c r="K857" s="15" t="n">
        <x:f>F857/'Datos'!$F$7</x:f>
        <x:v>0.00027711433398280063</x:v>
      </x:c>
      <x:c r="L857" s="3"/>
    </x:row>
    <x:row r="858" ht="22" customHeight="1">
      <x:c r="A858" s="3"/>
      <x:c r="B858" s="3" t="str">
        <x:v>47599B</x:v>
      </x:c>
      <x:c r="C858" s="3" t="str">
        <x:v>BLUE PARTY BAGS</x:v>
      </x:c>
      <x:c r="D858" s="13" t="n">
        <x:v>2822.32</x:v>
      </x:c>
      <x:c r="E858" s="13" t="n">
        <x:v>109.2</x:v>
      </x:c>
      <x:c r="F858" s="13" t="n">
        <x:f>D858-E858</x:f>
        <x:v>2713.1200000000003</x:v>
      </x:c>
      <x:c r="G858" s="3" t="n">
        <x:v>1480</x:v>
      </x:c>
      <x:c r="H858" s="3" t="n">
        <x:v>52</x:v>
      </x:c>
      <x:c r="I858" s="3" t="n">
        <x:v>118</x:v>
      </x:c>
      <x:c r="J858" s="15" t="n">
        <x:f>IF(D858=0,"n.a.",E858/D858)</x:f>
        <x:v>0.03869157289038805</x:v>
      </x:c>
      <x:c r="K858" s="15" t="n">
        <x:f>F858/'Datos'!$F$7</x:f>
        <x:v>0.0002770551062443955</x:v>
      </x:c>
      <x:c r="L858" s="3"/>
    </x:row>
    <x:row r="859" ht="22" customHeight="1">
      <x:c r="A859" s="3"/>
      <x:c r="B859" s="3" t="str">
        <x:v>22974</x:v>
      </x:c>
      <x:c r="C859" s="3" t="str">
        <x:v>CHILDRENS DOLLY GIRL MUG</x:v>
      </x:c>
      <x:c r="D859" s="13" t="n">
        <x:v>2744.54</x:v>
      </x:c>
      <x:c r="E859" s="13" t="n">
        <x:v>33</x:v>
      </x:c>
      <x:c r="F859" s="13" t="n">
        <x:f>D859-E859</x:f>
        <x:v>2711.54</x:v>
      </x:c>
      <x:c r="G859" s="3" t="n">
        <x:v>1607</x:v>
      </x:c>
      <x:c r="H859" s="3" t="n">
        <x:v>20</x:v>
      </x:c>
      <x:c r="I859" s="3" t="n">
        <x:v>204</x:v>
      </x:c>
      <x:c r="J859" s="15" t="n">
        <x:f>IF(D859=0,"n.a.",E859/D859)</x:f>
        <x:v>0.012023872853009977</x:v>
      </x:c>
      <x:c r="K859" s="15" t="n">
        <x:f>F859/'Datos'!$F$7</x:f>
        <x:v>0.00027689376171563664</x:v>
      </x:c>
      <x:c r="L859" s="3"/>
    </x:row>
    <x:row r="860" ht="22" customHeight="1">
      <x:c r="A860" s="3"/>
      <x:c r="B860" s="3" t="str">
        <x:v>22283</x:v>
      </x:c>
      <x:c r="C860" s="3" t="str">
        <x:v>6 EGG HOUSE PAINTED WOOD</x:v>
      </x:c>
      <x:c r="D860" s="13" t="n">
        <x:v>2742.33</x:v>
      </x:c>
      <x:c r="E860" s="13" t="n">
        <x:v>31.8</x:v>
      </x:c>
      <x:c r="F860" s="13" t="n">
        <x:f>D860-E860</x:f>
        <x:v>2710.5299999999997</x:v>
      </x:c>
      <x:c r="G860" s="3" t="n">
        <x:v>301</x:v>
      </x:c>
      <x:c r="H860" s="3" t="n">
        <x:v>4</x:v>
      </x:c>
      <x:c r="I860" s="3" t="n">
        <x:v>155</x:v>
      </x:c>
      <x:c r="J860" s="15" t="n">
        <x:f>IF(D860=0,"n.a.",E860/D860)</x:f>
        <x:v>0.011595978602137598</x:v>
      </x:c>
      <x:c r="K860" s="15" t="n">
        <x:f>F860/'Datos'!$F$7</x:f>
        <x:v>0.00027679062375737936</x:v>
      </x:c>
      <x:c r="L860" s="3"/>
    </x:row>
    <x:row r="861" ht="22" customHeight="1">
      <x:c r="A861" s="3"/>
      <x:c r="B861" s="3" t="str">
        <x:v>23489</x:v>
      </x:c>
      <x:c r="C861" s="3" t="str">
        <x:v>VINTAGE BELLS GARLAND</x:v>
      </x:c>
      <x:c r="D861" s="13" t="n">
        <x:v>2709.23</x:v>
      </x:c>
      <x:c r="E861" s="13" t="n">
        <x:v>0</x:v>
      </x:c>
      <x:c r="F861" s="13" t="n">
        <x:f>D861-E861</x:f>
        <x:v>2709.23</x:v>
      </x:c>
      <x:c r="G861" s="3" t="n">
        <x:v>913</x:v>
      </x:c>
      <x:c r="H861" s="3" t="n">
        <x:v>0</x:v>
      </x:c>
      <x:c r="I861" s="3" t="n">
        <x:v>159</x:v>
      </x:c>
      <x:c r="J861" s="15" t="n">
        <x:f>IF(D861=0,"n.a.",E861/D861)</x:f>
        <x:v>0</x:v>
      </x:c>
      <x:c r="K861" s="15" t="n">
        <x:f>F861/'Datos'!$F$7</x:f>
        <x:v>0.00027665787192991963</x:v>
      </x:c>
      <x:c r="L861" s="3"/>
    </x:row>
    <x:row r="862" ht="22" customHeight="1">
      <x:c r="A862" s="3"/>
      <x:c r="B862" s="3" t="str">
        <x:v>23333</x:v>
      </x:c>
      <x:c r="C862" s="3" t="str">
        <x:v>IVORY WICKER HEART MEDIUM</x:v>
      </x:c>
      <x:c r="D862" s="13" t="n">
        <x:v>2721.7</x:v>
      </x:c>
      <x:c r="E862" s="13" t="n">
        <x:v>15</x:v>
      </x:c>
      <x:c r="F862" s="13" t="n">
        <x:f>D862-E862</x:f>
        <x:v>2706.7</x:v>
      </x:c>
      <x:c r="G862" s="3" t="n">
        <x:v>2110</x:v>
      </x:c>
      <x:c r="H862" s="3" t="n">
        <x:v>12</x:v>
      </x:c>
      <x:c r="I862" s="3" t="n">
        <x:v>233</x:v>
      </x:c>
      <x:c r="J862" s="15" t="n">
        <x:f>IF(D862=0,"n.a.",E862/D862)</x:f>
        <x:v>0.0055112613440129335</x:v>
      </x:c>
      <x:c r="K862" s="15" t="n">
        <x:f>F862/'Datos'!$F$7</x:f>
        <x:v>0.00027639951645032476</x:v>
      </x:c>
      <x:c r="L862" s="3"/>
    </x:row>
    <x:row r="863" ht="22" customHeight="1">
      <x:c r="A863" s="3"/>
      <x:c r="B863" s="3" t="str">
        <x:v>84832</x:v>
      </x:c>
      <x:c r="C863" s="3" t="str">
        <x:v>ZINC WILLIE WINKIE CANDLE STICK</x:v>
      </x:c>
      <x:c r="D863" s="13" t="n">
        <x:v>2713.55</x:v>
      </x:c>
      <x:c r="E863" s="13" t="n">
        <x:v>10.2</x:v>
      </x:c>
      <x:c r="F863" s="13" t="n">
        <x:f>D863-E863</x:f>
        <x:v>2703.3500000000004</x:v>
      </x:c>
      <x:c r="G863" s="3" t="n">
        <x:v>2934</x:v>
      </x:c>
      <x:c r="H863" s="3" t="n">
        <x:v>12</x:v>
      </x:c>
      <x:c r="I863" s="3" t="n">
        <x:v>268</x:v>
      </x:c>
      <x:c r="J863" s="15" t="n">
        <x:f>IF(D863=0,"n.a.",E863/D863)</x:f>
        <x:v>0.0037589136002653344</x:v>
      </x:c>
      <x:c r="K863" s="15" t="n">
        <x:f>F863/'Datos'!$F$7</x:f>
        <x:v>0.00027605742520264</x:v>
      </x:c>
      <x:c r="L863" s="3"/>
    </x:row>
    <x:row r="864" ht="22" customHeight="1">
      <x:c r="A864" s="3"/>
      <x:c r="B864" s="3" t="str">
        <x:v>23264</x:v>
      </x:c>
      <x:c r="C864" s="3" t="str">
        <x:v>SET OF 3 WOODEN SLEIGH DECORATIONS</x:v>
      </x:c>
      <x:c r="D864" s="13" t="n">
        <x:v>2694.56</x:v>
      </x:c>
      <x:c r="E864" s="13" t="n">
        <x:v>1.25</x:v>
      </x:c>
      <x:c r="F864" s="13" t="n">
        <x:f>D864-E864</x:f>
        <x:v>2693.31</x:v>
      </x:c>
      <x:c r="G864" s="3" t="n">
        <x:v>1966</x:v>
      </x:c>
      <x:c r="H864" s="3" t="n">
        <x:v>1</x:v>
      </x:c>
      <x:c r="I864" s="3" t="n">
        <x:v>299</x:v>
      </x:c>
      <x:c r="J864" s="15" t="n">
        <x:f>IF(D864=0,"n.a.",E864/D864)</x:f>
        <x:v>0.0004638976307820201</x:v>
      </x:c>
      <x:c r="K864" s="15" t="n">
        <x:f>F864/'Datos'!$F$7</x:f>
        <x:v>0.0002750321726274889</x:v>
      </x:c>
      <x:c r="L864" s="3"/>
    </x:row>
    <x:row r="865" ht="22" customHeight="1">
      <x:c r="A865" s="3"/>
      <x:c r="B865" s="3" t="str">
        <x:v>21239</x:v>
      </x:c>
      <x:c r="C865" s="3" t="str">
        <x:v>PINK POLKADOT CUP</x:v>
      </x:c>
      <x:c r="D865" s="13" t="n">
        <x:v>2709.04</x:v>
      </x:c>
      <x:c r="E865" s="13" t="n">
        <x:v>17.85</x:v>
      </x:c>
      <x:c r="F865" s="13" t="n">
        <x:f>D865-E865</x:f>
        <x:v>2691.19</x:v>
      </x:c>
      <x:c r="G865" s="3" t="n">
        <x:v>3018</x:v>
      </x:c>
      <x:c r="H865" s="3" t="n">
        <x:v>21</x:v>
      </x:c>
      <x:c r="I865" s="3" t="n">
        <x:v>307</x:v>
      </x:c>
      <x:c r="J865" s="15" t="n">
        <x:f>IF(D865=0,"n.a.",E865/D865)</x:f>
        <x:v>0.006589049995570387</x:v>
      </x:c>
      <x:c r="K865" s="15" t="n">
        <x:f>F865/'Datos'!$F$7</x:f>
        <x:v>0.0002748156850319391</x:v>
      </x:c>
      <x:c r="L865" s="3"/>
    </x:row>
    <x:row r="866" ht="22" customHeight="1">
      <x:c r="A866" s="3"/>
      <x:c r="B866" s="3" t="str">
        <x:v>22963</x:v>
      </x:c>
      <x:c r="C866" s="3" t="str">
        <x:v>JAM JAR WITH GREEN LID</x:v>
      </x:c>
      <x:c r="D866" s="13" t="n">
        <x:v>2778.84</x:v>
      </x:c>
      <x:c r="E866" s="13" t="n">
        <x:v>90.86</x:v>
      </x:c>
      <x:c r="F866" s="13" t="n">
        <x:f>D866-E866</x:f>
        <x:v>2687.98</x:v>
      </x:c>
      <x:c r="G866" s="3" t="n">
        <x:v>3291</x:v>
      </x:c>
      <x:c r="H866" s="3" t="n">
        <x:v>115</x:v>
      </x:c>
      <x:c r="I866" s="3" t="n">
        <x:v>307</x:v>
      </x:c>
      <x:c r="J866" s="15" t="n">
        <x:f>IF(D866=0,"n.a.",E866/D866)</x:f>
        <x:v>0.03269709663024859</x:v>
      </x:c>
      <x:c r="K866" s="15" t="n">
        <x:f>F866/'Datos'!$F$7</x:f>
        <x:v>0.0002744878901349038</x:v>
      </x:c>
      <x:c r="L866" s="3"/>
    </x:row>
    <x:row r="867" ht="22" customHeight="1">
      <x:c r="A867" s="3"/>
      <x:c r="B867" s="3" t="str">
        <x:v>22702</x:v>
      </x:c>
      <x:c r="C867" s="3" t="str">
        <x:v>BLACK AND WHITE CAT BOWL</x:v>
      </x:c>
      <x:c r="D867" s="13" t="n">
        <x:v>2684.65</x:v>
      </x:c>
      <x:c r="E867" s="13" t="n">
        <x:v>0</x:v>
      </x:c>
      <x:c r="F867" s="13" t="n">
        <x:f>D867-E867</x:f>
        <x:v>2684.65</x:v>
      </x:c>
      <x:c r="G867" s="3" t="n">
        <x:v>1363</x:v>
      </x:c>
      <x:c r="H867" s="3" t="n">
        <x:v>0</x:v>
      </x:c>
      <x:c r="I867" s="3" t="n">
        <x:v>49</x:v>
      </x:c>
      <x:c r="J867" s="15" t="n">
        <x:f>IF(D867=0,"n.a.",E867/D867)</x:f>
        <x:v>0</x:v>
      </x:c>
      <x:c r="K867" s="15" t="n">
        <x:f>F867/'Datos'!$F$7</x:f>
        <x:v>0.000274147841223026</x:v>
      </x:c>
      <x:c r="L867" s="3"/>
    </x:row>
    <x:row r="868" ht="22" customHeight="1">
      <x:c r="A868" s="3"/>
      <x:c r="B868" s="3" t="str">
        <x:v>22278</x:v>
      </x:c>
      <x:c r="C868" s="3" t="str">
        <x:v>OVERNIGHT BAG VINTAGE ROSE PAISLEY</x:v>
      </x:c>
      <x:c r="D868" s="13" t="n">
        <x:v>2709.3</x:v>
      </x:c>
      <x:c r="E868" s="13" t="n">
        <x:v>29.7</x:v>
      </x:c>
      <x:c r="F868" s="13" t="n">
        <x:f>D868-E868</x:f>
        <x:v>2679.6000000000004</x:v>
      </x:c>
      <x:c r="G868" s="3" t="n">
        <x:v>406</x:v>
      </x:c>
      <x:c r="H868" s="3" t="n">
        <x:v>6</x:v>
      </x:c>
      <x:c r="I868" s="3" t="n">
        <x:v>178</x:v>
      </x:c>
      <x:c r="J868" s="15" t="n">
        <x:f>IF(D868=0,"n.a.",E868/D868)</x:f>
        <x:v>0.010962241169305723</x:v>
      </x:c>
      <x:c r="K868" s="15" t="n">
        <x:f>F868/'Datos'!$F$7</x:f>
        <x:v>0.0002736321514317399</x:v>
      </x:c>
      <x:c r="L868" s="3"/>
    </x:row>
    <x:row r="869" ht="22" customHeight="1">
      <x:c r="A869" s="3"/>
      <x:c r="B869" s="3" t="str">
        <x:v>22660</x:v>
      </x:c>
      <x:c r="C869" s="3" t="str">
        <x:v>DOORMAT I LOVE LONDON</x:v>
      </x:c>
      <x:c r="D869" s="13" t="n">
        <x:v>2678.96</x:v>
      </x:c>
      <x:c r="E869" s="13" t="n">
        <x:v>0</x:v>
      </x:c>
      <x:c r="F869" s="13" t="n">
        <x:f>D869-E869</x:f>
        <x:v>2678.96</x:v>
      </x:c>
      <x:c r="G869" s="3" t="n">
        <x:v>364</x:v>
      </x:c>
      <x:c r="H869" s="3" t="n">
        <x:v>0</x:v>
      </x:c>
      <x:c r="I869" s="3" t="n">
        <x:v>102</x:v>
      </x:c>
      <x:c r="J869" s="15" t="n">
        <x:f>IF(D869=0,"n.a.",E869/D869)</x:f>
        <x:v>0</x:v>
      </x:c>
      <x:c r="K869" s="15" t="n">
        <x:f>F869/'Datos'!$F$7</x:f>
        <x:v>0.0002735667966859135</x:v>
      </x:c>
      <x:c r="L869" s="3"/>
    </x:row>
    <x:row r="870" ht="22" customHeight="1">
      <x:c r="A870" s="3"/>
      <x:c r="B870" s="3" t="str">
        <x:v>23292</x:v>
      </x:c>
      <x:c r="C870" s="3" t="str">
        <x:v>SPACEBOY CHILDRENS CUP</x:v>
      </x:c>
      <x:c r="D870" s="13" t="n">
        <x:v>2704.58</x:v>
      </x:c>
      <x:c r="E870" s="13" t="n">
        <x:v>26.25</x:v>
      </x:c>
      <x:c r="F870" s="13" t="n">
        <x:f>D870-E870</x:f>
        <x:v>2678.33</x:v>
      </x:c>
      <x:c r="G870" s="3" t="n">
        <x:v>2182</x:v>
      </x:c>
      <x:c r="H870" s="3" t="n">
        <x:v>21</x:v>
      </x:c>
      <x:c r="I870" s="3" t="n">
        <x:v>222</x:v>
      </x:c>
      <x:c r="J870" s="15" t="n">
        <x:f>IF(D870=0,"n.a.",E870/D870)</x:f>
        <x:v>0.009705758380229093</x:v>
      </x:c>
      <x:c r="K870" s="15" t="n">
        <x:f>F870/'Datos'!$F$7</x:f>
        <x:v>0.00027350246310799066</x:v>
      </x:c>
      <x:c r="L870" s="3"/>
    </x:row>
    <x:row r="871" ht="22" customHeight="1">
      <x:c r="A871" s="3"/>
      <x:c r="B871" s="3" t="str">
        <x:v>72807C</x:v>
      </x:c>
      <x:c r="C871" s="3" t="str">
        <x:v>SET/3 VANILLA SCENTED CANDLE IN BOX</x:v>
      </x:c>
      <x:c r="D871" s="13" t="n">
        <x:v>3186.5</x:v>
      </x:c>
      <x:c r="E871" s="13" t="n">
        <x:v>516.7</x:v>
      </x:c>
      <x:c r="F871" s="13" t="n">
        <x:f>D871-E871</x:f>
        <x:v>2669.8</x:v>
      </x:c>
      <x:c r="G871" s="3" t="n">
        <x:v>726</x:v>
      </x:c>
      <x:c r="H871" s="3" t="n">
        <x:v>134</x:v>
      </x:c>
      <x:c r="I871" s="3" t="n">
        <x:v>162</x:v>
      </x:c>
      <x:c r="J871" s="15" t="n">
        <x:f>IF(D871=0,"n.a.",E871/D871)</x:f>
        <x:v>0.16215283226110153</x:v>
      </x:c>
      <x:c r="K871" s="15" t="n">
        <x:f>F871/'Datos'!$F$7</x:f>
        <x:v>0.00027263140688627376</x:v>
      </x:c>
      <x:c r="L871" s="3"/>
    </x:row>
    <x:row r="872" ht="22" customHeight="1">
      <x:c r="A872" s="3"/>
      <x:c r="B872" s="3" t="str">
        <x:v>23407</x:v>
      </x:c>
      <x:c r="C872" s="3" t="str">
        <x:v>SET OF 2 TRAYS HOME SWEET HOME</x:v>
      </x:c>
      <x:c r="D872" s="13" t="n">
        <x:v>2729.33</x:v>
      </x:c>
      <x:c r="E872" s="13" t="n">
        <x:v>59.7</x:v>
      </x:c>
      <x:c r="F872" s="13" t="n">
        <x:f>D872-E872</x:f>
        <x:v>2669.63</x:v>
      </x:c>
      <x:c r="G872" s="3" t="n">
        <x:v>267</x:v>
      </x:c>
      <x:c r="H872" s="3" t="n">
        <x:v>6</x:v>
      </x:c>
      <x:c r="I872" s="3" t="n">
        <x:v>133</x:v>
      </x:c>
      <x:c r="J872" s="15" t="n">
        <x:f>IF(D872=0,"n.a.",E872/D872)</x:f>
        <x:v>0.021873500089765623</x:v>
      </x:c>
      <x:c r="K872" s="15" t="n">
        <x:f>F872/'Datos'!$F$7</x:f>
        <x:v>0.0002726140470319136</x:v>
      </x:c>
      <x:c r="L872" s="3"/>
    </x:row>
    <x:row r="873" ht="22" customHeight="1">
      <x:c r="A873" s="3"/>
      <x:c r="B873" s="3" t="str">
        <x:v>21811</x:v>
      </x:c>
      <x:c r="C873" s="3" t="str">
        <x:v>HANGING HEART WITH BELL</x:v>
      </x:c>
      <x:c r="D873" s="13" t="n">
        <x:v>2687.4</x:v>
      </x:c>
      <x:c r="E873" s="13" t="n">
        <x:v>18.72</x:v>
      </x:c>
      <x:c r="F873" s="13" t="n">
        <x:f>D873-E873</x:f>
        <x:v>2668.6800000000003</x:v>
      </x:c>
      <x:c r="G873" s="3" t="n">
        <x:v>4854</x:v>
      </x:c>
      <x:c r="H873" s="3" t="n">
        <x:v>48</x:v>
      </x:c>
      <x:c r="I873" s="3" t="n">
        <x:v>245</x:v>
      </x:c>
      <x:c r="J873" s="15" t="n">
        <x:f>IF(D873=0,"n.a.",E873/D873)</x:f>
        <x:v>0.00696584058941728</x:v>
      </x:c>
      <x:c r="K873" s="15" t="n">
        <x:f>F873/'Datos'!$F$7</x:f>
        <x:v>0.00027251703608107764</x:v>
      </x:c>
      <x:c r="L873" s="3"/>
    </x:row>
    <x:row r="874" ht="22" customHeight="1">
      <x:c r="A874" s="3"/>
      <x:c r="B874" s="3" t="str">
        <x:v>22691</x:v>
      </x:c>
      <x:c r="C874" s="3" t="str">
        <x:v>DOORMAT WELCOME SUNRISE</x:v>
      </x:c>
      <x:c r="D874" s="13" t="n">
        <x:v>2686.72</x:v>
      </x:c>
      <x:c r="E874" s="13" t="n">
        <x:v>24.15</x:v>
      </x:c>
      <x:c r="F874" s="13" t="n">
        <x:f>D874-E874</x:f>
        <x:v>2662.5699999999997</x:v>
      </x:c>
      <x:c r="G874" s="3" t="n">
        <x:v>372</x:v>
      </x:c>
      <x:c r="H874" s="3" t="n">
        <x:v>3</x:v>
      </x:c>
      <x:c r="I874" s="3" t="n">
        <x:v>120</x:v>
      </x:c>
      <x:c r="J874" s="15" t="n">
        <x:f>IF(D874=0,"n.a.",E874/D874)</x:f>
        <x:v>0.008988655312053359</x:v>
      </x:c>
      <x:c r="K874" s="15" t="n">
        <x:f>F874/'Datos'!$F$7</x:f>
        <x:v>0.00027189310249201655</x:v>
      </x:c>
      <x:c r="L874" s="3"/>
    </x:row>
    <x:row r="875" ht="22" customHeight="1">
      <x:c r="A875" s="3"/>
      <x:c r="B875" s="3" t="str">
        <x:v>22433</x:v>
      </x:c>
      <x:c r="C875" s="3" t="str">
        <x:v>WATERING CAN GREEN DINOSAUR</x:v>
      </x:c>
      <x:c r="D875" s="13" t="n">
        <x:v>2667.5</x:v>
      </x:c>
      <x:c r="E875" s="13" t="n">
        <x:v>5.85</x:v>
      </x:c>
      <x:c r="F875" s="13" t="n">
        <x:f>D875-E875</x:f>
        <x:v>2661.65</x:v>
      </x:c>
      <x:c r="G875" s="3" t="n">
        <x:v>1394</x:v>
      </x:c>
      <x:c r="H875" s="3" t="n">
        <x:v>3</x:v>
      </x:c>
      <x:c r="I875" s="3" t="n">
        <x:v>227</x:v>
      </x:c>
      <x:c r="J875" s="15" t="n">
        <x:f>IF(D875=0,"n.a.",E875/D875)</x:f>
        <x:v>0.0021930646672914714</x:v>
      </x:c>
      <x:c r="K875" s="15" t="n">
        <x:f>F875/'Datos'!$F$7</x:f>
        <x:v>0.0002717991550448912</x:v>
      </x:c>
      <x:c r="L875" s="3"/>
    </x:row>
    <x:row r="876" ht="22" customHeight="1">
      <x:c r="A876" s="3"/>
      <x:c r="B876" s="3" t="str">
        <x:v>22045</x:v>
      </x:c>
      <x:c r="C876" s="3" t="str">
        <x:v>SPACEBOY GIFT WRAP</x:v>
      </x:c>
      <x:c r="D876" s="13" t="n">
        <x:v>2683.84</x:v>
      </x:c>
      <x:c r="E876" s="13" t="n">
        <x:v>31.5</x:v>
      </x:c>
      <x:c r="F876" s="13" t="n">
        <x:f>D876-E876</x:f>
        <x:v>2652.34</x:v>
      </x:c>
      <x:c r="G876" s="3" t="n">
        <x:v>6552</x:v>
      </x:c>
      <x:c r="H876" s="3" t="n">
        <x:v>75</x:v>
      </x:c>
      <x:c r="I876" s="3" t="n">
        <x:v>208</x:v>
      </x:c>
      <x:c r="J876" s="15" t="n">
        <x:f>IF(D876=0,"n.a.",E876/D876)</x:f>
        <x:v>0.011736914272087754</x:v>
      </x:c>
      <x:c r="K876" s="15" t="n">
        <x:f>F876/'Datos'!$F$7</x:f>
        <x:v>0.00027084844772669835</x:v>
      </x:c>
      <x:c r="L876" s="3"/>
    </x:row>
    <x:row r="877" ht="22" customHeight="1">
      <x:c r="A877" s="3"/>
      <x:c r="B877" s="3" t="str">
        <x:v>22930</x:v>
      </x:c>
      <x:c r="C877" s="3" t="str">
        <x:v>BAKING MOULD HEART MILK CHOCOLATE</x:v>
      </x:c>
      <x:c r="D877" s="13" t="n">
        <x:v>2849.35</x:v>
      </x:c>
      <x:c r="E877" s="13" t="n">
        <x:v>201.6</x:v>
      </x:c>
      <x:c r="F877" s="13" t="n">
        <x:f>D877-E877</x:f>
        <x:v>2647.75</x:v>
      </x:c>
      <x:c r="G877" s="3" t="n">
        <x:v>1109</x:v>
      </x:c>
      <x:c r="H877" s="3" t="n">
        <x:v>96</x:v>
      </x:c>
      <x:c r="I877" s="3" t="n">
        <x:v>189</x:v>
      </x:c>
      <x:c r="J877" s="15" t="n">
        <x:f>IF(D877=0,"n.a.",E877/D877)</x:f>
        <x:v>0.07075297874953937</x:v>
      </x:c>
      <x:c r="K877" s="15" t="n">
        <x:f>F877/'Datos'!$F$7</x:f>
        <x:v>0.00027037973165897495</x:v>
      </x:c>
      <x:c r="L877" s="3"/>
    </x:row>
    <x:row r="878" ht="22" customHeight="1">
      <x:c r="A878" s="3"/>
      <x:c r="B878" s="3" t="str">
        <x:v>35961</x:v>
      </x:c>
      <x:c r="C878" s="3" t="str">
        <x:v>FOLKART ZINC HEART CHRISTMAS DEC</x:v>
      </x:c>
      <x:c r="D878" s="13" t="n">
        <x:v>2640.86</x:v>
      </x:c>
      <x:c r="E878" s="13" t="n">
        <x:v>0.85</x:v>
      </x:c>
      <x:c r="F878" s="13" t="n">
        <x:f>D878-E878</x:f>
        <x:v>2640.01</x:v>
      </x:c>
      <x:c r="G878" s="3" t="n">
        <x:v>2999</x:v>
      </x:c>
      <x:c r="H878" s="3" t="n">
        <x:v>1</x:v>
      </x:c>
      <x:c r="I878" s="3" t="n">
        <x:v>244</x:v>
      </x:c>
      <x:c r="J878" s="15" t="n">
        <x:f>IF(D878=0,"n.a.",E878/D878)</x:f>
        <x:v>0.00032186484705739796</x:v>
      </x:c>
      <x:c r="K878" s="15" t="n">
        <x:f>F878/'Datos'!$F$7</x:f>
        <x:v>0.00026958934770163743</x:v>
      </x:c>
      <x:c r="L878" s="3"/>
    </x:row>
    <x:row r="879" ht="22" customHeight="1">
      <x:c r="A879" s="3"/>
      <x:c r="B879" s="3" t="str">
        <x:v>22241</x:v>
      </x:c>
      <x:c r="C879" s="3" t="str">
        <x:v>GARLAND WOODEN HAPPY EASTER</x:v>
      </x:c>
      <x:c r="D879" s="13" t="n">
        <x:v>2641.93</x:v>
      </x:c>
      <x:c r="E879" s="13" t="n">
        <x:v>4.81</x:v>
      </x:c>
      <x:c r="F879" s="13" t="n">
        <x:f>D879-E879</x:f>
        <x:v>2637.12</x:v>
      </x:c>
      <x:c r="G879" s="3" t="n">
        <x:v>1978</x:v>
      </x:c>
      <x:c r="H879" s="3" t="n">
        <x:v>4</x:v>
      </x:c>
      <x:c r="I879" s="3" t="n">
        <x:v>239</x:v>
      </x:c>
      <x:c r="J879" s="15" t="n">
        <x:f>IF(D879=0,"n.a.",E879/D879)</x:f>
        <x:v>0.0018206386997384487</x:v>
      </x:c>
      <x:c r="K879" s="15" t="n">
        <x:f>F879/'Datos'!$F$7</x:f>
        <x:v>0.00026929423017751523</x:v>
      </x:c>
      <x:c r="L879" s="3"/>
    </x:row>
    <x:row r="880" ht="22" customHeight="1">
      <x:c r="A880" s="3"/>
      <x:c r="B880" s="3" t="str">
        <x:v>22329</x:v>
      </x:c>
      <x:c r="C880" s="3" t="str">
        <x:v>ROUND CONTAINER SET OF 5 RETROSPOT</x:v>
      </x:c>
      <x:c r="D880" s="13" t="n">
        <x:v>2663.54</x:v>
      </x:c>
      <x:c r="E880" s="13" t="n">
        <x:v>28.05</x:v>
      </x:c>
      <x:c r="F880" s="13" t="n">
        <x:f>D880-E880</x:f>
        <x:v>2635.49</x:v>
      </x:c>
      <x:c r="G880" s="3" t="n">
        <x:v>1604</x:v>
      </x:c>
      <x:c r="H880" s="3" t="n">
        <x:v>17</x:v>
      </x:c>
      <x:c r="I880" s="3" t="n">
        <x:v>238</x:v>
      </x:c>
      <x:c r="J880" s="15" t="n">
        <x:f>IF(D880=0,"n.a.",E880/D880)</x:f>
        <x:v>0.0105310977120674</x:v>
      </x:c>
      <x:c r="K880" s="15" t="n">
        <x:f>F880/'Datos'!$F$7</x:f>
        <x:v>0.0002691277798092387</x:v>
      </x:c>
      <x:c r="L880" s="3"/>
    </x:row>
    <x:row r="881" ht="22" customHeight="1">
      <x:c r="A881" s="3"/>
      <x:c r="B881" s="3" t="str">
        <x:v>22792</x:v>
      </x:c>
      <x:c r="C881" s="3" t="str">
        <x:v>FLUTED ANTIQUE CANDLE HOLDER</x:v>
      </x:c>
      <x:c r="D881" s="13" t="n">
        <x:v>2643.33</x:v>
      </x:c>
      <x:c r="E881" s="13" t="n">
        <x:v>10.2</x:v>
      </x:c>
      <x:c r="F881" s="13" t="n">
        <x:f>D881-E881</x:f>
        <x:v>2633.13</x:v>
      </x:c>
      <x:c r="G881" s="3" t="n">
        <x:v>2809</x:v>
      </x:c>
      <x:c r="H881" s="3" t="n">
        <x:v>12</x:v>
      </x:c>
      <x:c r="I881" s="3" t="n">
        <x:v>206</x:v>
      </x:c>
      <x:c r="J881" s="15" t="n">
        <x:f>IF(D881=0,"n.a.",E881/D881)</x:f>
        <x:v>0.0038587690526721975</x:v>
      </x:c>
      <x:c r="K881" s="15" t="n">
        <x:f>F881/'Datos'!$F$7</x:f>
        <x:v>0.00026888678418400406</x:v>
      </x:c>
      <x:c r="L881" s="3"/>
    </x:row>
    <x:row r="882" ht="22" customHeight="1">
      <x:c r="A882" s="3"/>
      <x:c r="B882" s="3" t="str">
        <x:v>22737</x:v>
      </x:c>
      <x:c r="C882" s="3" t="str">
        <x:v>RIBBON REEL CHRISTMAS PRESENT</x:v>
      </x:c>
      <x:c r="D882" s="13" t="n">
        <x:v>2695.8</x:v>
      </x:c>
      <x:c r="E882" s="13" t="n">
        <x:v>66</x:v>
      </x:c>
      <x:c r="F882" s="13" t="n">
        <x:f>D882-E882</x:f>
        <x:v>2629.8</x:v>
      </x:c>
      <x:c r="G882" s="3" t="n">
        <x:v>1389</x:v>
      </x:c>
      <x:c r="H882" s="3" t="n">
        <x:v>40</x:v>
      </x:c>
      <x:c r="I882" s="3" t="n">
        <x:v>259</x:v>
      </x:c>
      <x:c r="J882" s="15" t="n">
        <x:f>IF(D882=0,"n.a.",E882/D882)</x:f>
        <x:v>0.02448252837747607</x:v>
      </x:c>
      <x:c r="K882" s="15" t="n">
        <x:f>F882/'Datos'!$F$7</x:f>
        <x:v>0.00026854673527212627</x:v>
      </x:c>
      <x:c r="L882" s="3"/>
    </x:row>
    <x:row r="883" ht="22" customHeight="1">
      <x:c r="A883" s="3"/>
      <x:c r="B883" s="3" t="str">
        <x:v>22927</x:v>
      </x:c>
      <x:c r="C883" s="3" t="str">
        <x:v>GREEN GIANT GARDEN THERMOMETER</x:v>
      </x:c>
      <x:c r="D883" s="13" t="n">
        <x:v>2704.71</x:v>
      </x:c>
      <x:c r="E883" s="13" t="n">
        <x:v>83.3</x:v>
      </x:c>
      <x:c r="F883" s="13" t="n">
        <x:f>D883-E883</x:f>
        <x:v>2621.41</x:v>
      </x:c>
      <x:c r="G883" s="3" t="n">
        <x:v>430</x:v>
      </x:c>
      <x:c r="H883" s="3" t="n">
        <x:v>14</x:v>
      </x:c>
      <x:c r="I883" s="3" t="n">
        <x:v>148</x:v>
      </x:c>
      <x:c r="J883" s="15" t="n">
        <x:f>IF(D883=0,"n.a.",E883/D883)</x:f>
        <x:v>0.030798126231647755</x:v>
      </x:c>
      <x:c r="K883" s="15" t="n">
        <x:f>F883/'Datos'!$F$7</x:f>
        <x:v>0.0002676899754010588</x:v>
      </x:c>
      <x:c r="L883" s="3"/>
    </x:row>
    <x:row r="884" ht="22" customHeight="1">
      <x:c r="A884" s="3"/>
      <x:c r="B884" s="3" t="str">
        <x:v>22582</x:v>
      </x:c>
      <x:c r="C884" s="3" t="str">
        <x:v>PACK OF 6 SWEETIE GIFT BOXES</x:v>
      </x:c>
      <x:c r="D884" s="13" t="n">
        <x:v>2649.35</x:v>
      </x:c>
      <x:c r="E884" s="13" t="n">
        <x:v>30.6</x:v>
      </x:c>
      <x:c r="F884" s="13" t="n">
        <x:f>D884-E884</x:f>
        <x:v>2618.75</x:v>
      </x:c>
      <x:c r="G884" s="3" t="n">
        <x:v>1061</x:v>
      </x:c>
      <x:c r="H884" s="3" t="n">
        <x:v>12</x:v>
      </x:c>
      <x:c r="I884" s="3" t="n">
        <x:v>102</x:v>
      </x:c>
      <x:c r="J884" s="15" t="n">
        <x:f>IF(D884=0,"n.a.",E884/D884)</x:f>
        <x:v>0.011550002830883048</x:v>
      </x:c>
      <x:c r="K884" s="15" t="n">
        <x:f>F884/'Datos'!$F$7</x:f>
        <x:v>0.000267418344738718</x:v>
      </x:c>
      <x:c r="L884" s="3"/>
    </x:row>
    <x:row r="885" ht="22" customHeight="1">
      <x:c r="A885" s="3"/>
      <x:c r="B885" s="3" t="str">
        <x:v>22797</x:v>
      </x:c>
      <x:c r="C885" s="3" t="str">
        <x:v>CHEST OF DRAWERS GINGHAM HEART</x:v>
      </x:c>
      <x:c r="D885" s="13" t="n">
        <x:v>2851.36</x:v>
      </x:c>
      <x:c r="E885" s="13" t="n">
        <x:v>237.3</x:v>
      </x:c>
      <x:c r="F885" s="13" t="n">
        <x:f>D885-E885</x:f>
        <x:v>2614.06</x:v>
      </x:c>
      <x:c r="G885" s="3" t="n">
        <x:v>163</x:v>
      </x:c>
      <x:c r="H885" s="3" t="n">
        <x:v>14</x:v>
      </x:c>
      <x:c r="I885" s="3" t="n">
        <x:v>91</x:v>
      </x:c>
      <x:c r="J885" s="15" t="n">
        <x:f>IF(D885=0,"n.a.",E885/D885)</x:f>
        <x:v>0.08322344425116436</x:v>
      </x:c>
      <x:c r="K885" s="15" t="n">
        <x:f>F885/'Datos'!$F$7</x:f>
        <x:v>0.0002669394169919592</x:v>
      </x:c>
      <x:c r="L885" s="3"/>
    </x:row>
    <x:row r="886" ht="22" customHeight="1">
      <x:c r="A886" s="3"/>
      <x:c r="B886" s="3" t="str">
        <x:v>23054</x:v>
      </x:c>
      <x:c r="C886" s="3" t="str">
        <x:v>RECYCLED ACAPULCO MAT LAVENDER</x:v>
      </x:c>
      <x:c r="D886" s="13" t="n">
        <x:v>2621.43</x:v>
      </x:c>
      <x:c r="E886" s="13" t="n">
        <x:v>8.25</x:v>
      </x:c>
      <x:c r="F886" s="13" t="n">
        <x:f>D886-E886</x:f>
        <x:v>2613.18</x:v>
      </x:c>
      <x:c r="G886" s="3" t="n">
        <x:v>297</x:v>
      </x:c>
      <x:c r="H886" s="3" t="n">
        <x:v>1</x:v>
      </x:c>
      <x:c r="I886" s="3" t="n">
        <x:v>130</x:v>
      </x:c>
      <x:c r="J886" s="15" t="n">
        <x:f>IF(D886=0,"n.a.",E886/D886)</x:f>
        <x:v>0.0031471372495164855</x:v>
      </x:c>
      <x:c r="K886" s="15" t="n">
        <x:f>F886/'Datos'!$F$7</x:f>
        <x:v>0.00026684955421644795</x:v>
      </x:c>
      <x:c r="L886" s="3"/>
    </x:row>
    <x:row r="887" ht="22" customHeight="1">
      <x:c r="A887" s="3"/>
      <x:c r="B887" s="3" t="str">
        <x:v>21012</x:v>
      </x:c>
      <x:c r="C887" s="3" t="str">
        <x:v>ANTIQUE ALL GLASS CANDLESTICK</x:v>
      </x:c>
      <x:c r="D887" s="13" t="n">
        <x:v>2618.25</x:v>
      </x:c>
      <x:c r="E887" s="13" t="n">
        <x:v>6.3</x:v>
      </x:c>
      <x:c r="F887" s="13" t="n">
        <x:f>D887-E887</x:f>
        <x:v>2611.95</x:v>
      </x:c>
      <x:c r="G887" s="3" t="n">
        <x:v>1171</x:v>
      </x:c>
      <x:c r="H887" s="3" t="n">
        <x:v>3</x:v>
      </x:c>
      <x:c r="I887" s="3" t="n">
        <x:v>199</x:v>
      </x:c>
      <x:c r="J887" s="15" t="n">
        <x:f>IF(D887=0,"n.a.",E887/D887)</x:f>
        <x:v>0.0024061873388713834</x:v>
      </x:c>
      <x:c r="K887" s="15" t="n">
        <x:f>F887/'Datos'!$F$7</x:f>
        <x:v>0.00026672395056431293</x:v>
      </x:c>
      <x:c r="L887" s="3"/>
    </x:row>
    <x:row r="888" ht="22" customHeight="1">
      <x:c r="A888" s="3"/>
      <x:c r="B888" s="3" t="str">
        <x:v>22830</x:v>
      </x:c>
      <x:c r="C888" s="3" t="str">
        <x:v>UTILTY CABINET WITH HOOKS</x:v>
      </x:c>
      <x:c r="D888" s="13" t="n">
        <x:v>2610.29</x:v>
      </x:c>
      <x:c r="E888" s="13" t="n">
        <x:v>0</x:v>
      </x:c>
      <x:c r="F888" s="13" t="n">
        <x:f>D888-E888</x:f>
        <x:v>2610.29</x:v>
      </x:c>
      <x:c r="G888" s="3" t="n">
        <x:v>131</x:v>
      </x:c>
      <x:c r="H888" s="3" t="n">
        <x:v>0</x:v>
      </x:c>
      <x:c r="I888" s="3" t="n">
        <x:v>6</x:v>
      </x:c>
      <x:c r="J888" s="15" t="n">
        <x:f>IF(D888=0,"n.a.",E888/D888)</x:f>
        <x:v>0</x:v>
      </x:c>
      <x:c r="K888" s="15" t="n">
        <x:f>F888/'Datos'!$F$7</x:f>
        <x:v>0.0002665544366923258</x:v>
      </x:c>
      <x:c r="L888" s="3"/>
    </x:row>
    <x:row r="889" ht="22" customHeight="1">
      <x:c r="A889" s="3"/>
      <x:c r="B889" s="3" t="str">
        <x:v>22833</x:v>
      </x:c>
      <x:c r="C889" s="3" t="str">
        <x:v>HALL CABINET WITH 3 DRAWERS</x:v>
      </x:c>
      <x:c r="D889" s="13" t="n">
        <x:v>2603.53</x:v>
      </x:c>
      <x:c r="E889" s="13" t="n">
        <x:v>0</x:v>
      </x:c>
      <x:c r="F889" s="13" t="n">
        <x:f>D889-E889</x:f>
        <x:v>2603.53</x:v>
      </x:c>
      <x:c r="G889" s="3" t="n">
        <x:v>76</x:v>
      </x:c>
      <x:c r="H889" s="3" t="n">
        <x:v>0</x:v>
      </x:c>
      <x:c r="I889" s="3" t="n">
        <x:v>5</x:v>
      </x:c>
      <x:c r="J889" s="15" t="n">
        <x:f>IF(D889=0,"n.a.",E889/D889)</x:f>
        <x:v>0</x:v>
      </x:c>
      <x:c r="K889" s="15" t="n">
        <x:f>F889/'Datos'!$F$7</x:f>
        <x:v>0.00026586412718953493</x:v>
      </x:c>
      <x:c r="L889" s="3"/>
    </x:row>
    <x:row r="890" ht="22" customHeight="1">
      <x:c r="A890" s="3"/>
      <x:c r="B890" s="3" t="str">
        <x:v>22902</x:v>
      </x:c>
      <x:c r="C890" s="3" t="str">
        <x:v>TOTE BAG I LOVE LONDON</x:v>
      </x:c>
      <x:c r="D890" s="13" t="n">
        <x:v>2650.08</x:v>
      </x:c>
      <x:c r="E890" s="13" t="n">
        <x:v>50.4</x:v>
      </x:c>
      <x:c r="F890" s="13" t="n">
        <x:f>D890-E890</x:f>
        <x:v>2599.68</x:v>
      </x:c>
      <x:c r="G890" s="3" t="n">
        <x:v>1296</x:v>
      </x:c>
      <x:c r="H890" s="3" t="n">
        <x:v>24</x:v>
      </x:c>
      <x:c r="I890" s="3" t="n">
        <x:v>136</x:v>
      </x:c>
      <x:c r="J890" s="15" t="n">
        <x:f>IF(D890=0,"n.a.",E890/D890)</x:f>
        <x:v>0.019018293787357362</x:v>
      </x:c>
      <x:c r="K890" s="15" t="n">
        <x:f>F890/'Datos'!$F$7</x:f>
        <x:v>0.0002654709775466732</x:v>
      </x:c>
      <x:c r="L890" s="3"/>
    </x:row>
    <x:row r="891" ht="22" customHeight="1">
      <x:c r="A891" s="3"/>
      <x:c r="B891" s="3" t="str">
        <x:v>22564</x:v>
      </x:c>
      <x:c r="C891" s="3" t="str">
        <x:v>ALPHABET STENCIL CRAFT</x:v>
      </x:c>
      <x:c r="D891" s="13" t="n">
        <x:v>3063.52</x:v>
      </x:c>
      <x:c r="E891" s="13" t="n">
        <x:v>464.17</x:v>
      </x:c>
      <x:c r="F891" s="13" t="n">
        <x:f>D891-E891</x:f>
        <x:v>2599.35</x:v>
      </x:c>
      <x:c r="G891" s="3" t="n">
        <x:v>2702</x:v>
      </x:c>
      <x:c r="H891" s="3" t="n">
        <x:v>437</x:v>
      </x:c>
      <x:c r="I891" s="3" t="n">
        <x:v>186</x:v>
      </x:c>
      <x:c r="J891" s="15" t="n">
        <x:f>IF(D891=0,"n.a.",E891/D891)</x:f>
        <x:v>0.1515152504308769</x:v>
      </x:c>
      <x:c r="K891" s="15" t="n">
        <x:f>F891/'Datos'!$F$7</x:f>
        <x:v>0.0002654372790058565</x:v>
      </x:c>
      <x:c r="L891" s="3"/>
    </x:row>
    <x:row r="892" ht="22" customHeight="1">
      <x:c r="A892" s="3"/>
      <x:c r="B892" s="3" t="str">
        <x:v>22175</x:v>
      </x:c>
      <x:c r="C892" s="3" t="str">
        <x:v>PINK OWL SOFT TOY</x:v>
      </x:c>
      <x:c r="D892" s="13" t="n">
        <x:v>2600.13</x:v>
      </x:c>
      <x:c r="E892" s="13" t="n">
        <x:v>5.9</x:v>
      </x:c>
      <x:c r="F892" s="13" t="n">
        <x:f>D892-E892</x:f>
        <x:v>2594.23</x:v>
      </x:c>
      <x:c r="G892" s="3" t="n">
        <x:v>879</x:v>
      </x:c>
      <x:c r="H892" s="3" t="n">
        <x:v>2</x:v>
      </x:c>
      <x:c r="I892" s="3" t="n">
        <x:v>171</x:v>
      </x:c>
      <x:c r="J892" s="15" t="n">
        <x:f>IF(D892=0,"n.a.",E892/D892)</x:f>
        <x:v>0.002269117313365101</x:v>
      </x:c>
      <x:c r="K892" s="15" t="n">
        <x:f>F892/'Datos'!$F$7</x:f>
        <x:v>0.0002649144410392456</x:v>
      </x:c>
      <x:c r="L892" s="3"/>
    </x:row>
    <x:row r="893" ht="22" customHeight="1">
      <x:c r="A893" s="3"/>
      <x:c r="B893" s="3" t="str">
        <x:v>21500</x:v>
      </x:c>
      <x:c r="C893" s="3" t="str">
        <x:v>PINK POLKADOT WRAP</x:v>
      </x:c>
      <x:c r="D893" s="13" t="n">
        <x:v>2593</x:v>
      </x:c>
      <x:c r="E893" s="13" t="n">
        <x:v>0</x:v>
      </x:c>
      <x:c r="F893" s="13" t="n">
        <x:f>D893-E893</x:f>
        <x:v>2593</x:v>
      </x:c>
      <x:c r="G893" s="3" t="n">
        <x:v>6350</x:v>
      </x:c>
      <x:c r="H893" s="3" t="n">
        <x:v>0</x:v>
      </x:c>
      <x:c r="I893" s="3" t="n">
        <x:v>213</x:v>
      </x:c>
      <x:c r="J893" s="15" t="n">
        <x:f>IF(D893=0,"n.a.",E893/D893)</x:f>
        <x:v>0</x:v>
      </x:c>
      <x:c r="K893" s="15" t="n">
        <x:f>F893/'Datos'!$F$7</x:f>
        <x:v>0.00026478883738711057</x:v>
      </x:c>
      <x:c r="L893" s="3"/>
    </x:row>
    <x:row r="894" ht="22" customHeight="1">
      <x:c r="A894" s="3"/>
      <x:c r="B894" s="3" t="str">
        <x:v>72351A</x:v>
      </x:c>
      <x:c r="C894" s="3" t="str">
        <x:v>SET/6 TURQUOISE BUTTERFLY T-LIGHTS</x:v>
      </x:c>
      <x:c r="D894" s="13" t="n">
        <x:v>2590.42</x:v>
      </x:c>
      <x:c r="E894" s="13" t="n">
        <x:v>0</x:v>
      </x:c>
      <x:c r="F894" s="13" t="n">
        <x:f>D894-E894</x:f>
        <x:v>2590.42</x:v>
      </x:c>
      <x:c r="G894" s="3" t="n">
        <x:v>1293</x:v>
      </x:c>
      <x:c r="H894" s="3" t="n">
        <x:v>0</x:v>
      </x:c>
      <x:c r="I894" s="3" t="n">
        <x:v>165</x:v>
      </x:c>
      <x:c r="J894" s="15" t="n">
        <x:f>IF(D894=0,"n.a.",E894/D894)</x:f>
        <x:v>0</x:v>
      </x:c>
      <x:c r="K894" s="15" t="n">
        <x:f>F894/'Datos'!$F$7</x:f>
        <x:v>0.0002645253760679981</x:v>
      </x:c>
      <x:c r="L894" s="3"/>
    </x:row>
    <x:row r="895" ht="22" customHeight="1">
      <x:c r="A895" s="3"/>
      <x:c r="B895" s="3" t="str">
        <x:v>84596B</x:v>
      </x:c>
      <x:c r="C895" s="3" t="str">
        <x:v>SMALL DOLLY MIX DESIGN ORANGE BOWL</x:v>
      </x:c>
      <x:c r="D895" s="13" t="n">
        <x:v>2588.09</x:v>
      </x:c>
      <x:c r="E895" s="13" t="n">
        <x:v>6.72</x:v>
      </x:c>
      <x:c r="F895" s="13" t="n">
        <x:f>D895-E895</x:f>
        <x:v>2581.3700000000003</x:v>
      </x:c>
      <x:c r="G895" s="3" t="n">
        <x:v>5085</x:v>
      </x:c>
      <x:c r="H895" s="3" t="n">
        <x:v>16</x:v>
      </x:c>
      <x:c r="I895" s="3" t="n">
        <x:v>527</x:v>
      </x:c>
      <x:c r="J895" s="15" t="n">
        <x:f>IF(D895=0,"n.a.",E895/D895)</x:f>
        <x:v>0.0025965093949592167</x:v>
      </x:c>
      <x:c r="K895" s="15" t="n">
        <x:f>F895/'Datos'!$F$7</x:f>
        <x:v>0.0002636012191152972</x:v>
      </x:c>
      <x:c r="L895" s="3"/>
    </x:row>
    <x:row r="896" ht="22" customHeight="1">
      <x:c r="A896" s="3"/>
      <x:c r="B896" s="3" t="str">
        <x:v>22610</x:v>
      </x:c>
      <x:c r="C896" s="3" t="str">
        <x:v>PENS ASSORTED FUNNY FACE</x:v>
      </x:c>
      <x:c r="D896" s="13" t="n">
        <x:v>2578.24</x:v>
      </x:c>
      <x:c r="E896" s="13" t="n">
        <x:v>0</x:v>
      </x:c>
      <x:c r="F896" s="13" t="n">
        <x:f>D896-E896</x:f>
        <x:v>2578.24</x:v>
      </x:c>
      <x:c r="G896" s="3" t="n">
        <x:v>9608</x:v>
      </x:c>
      <x:c r="H896" s="3" t="n">
        <x:v>0</x:v>
      </x:c>
      <x:c r="I896" s="3" t="n">
        <x:v>216</x:v>
      </x:c>
      <x:c r="J896" s="15" t="n">
        <x:f>IF(D896=0,"n.a.",E896/D896)</x:f>
        <x:v>0</x:v>
      </x:c>
      <x:c r="K896" s="15" t="n">
        <x:f>F896/'Datos'!$F$7</x:f>
        <x:v>0.00026328159356149014</x:v>
      </x:c>
      <x:c r="L896" s="3"/>
    </x:row>
    <x:row r="897" ht="22" customHeight="1">
      <x:c r="A897" s="3"/>
      <x:c r="B897" s="3" t="str">
        <x:v>22805</x:v>
      </x:c>
      <x:c r="C897" s="3" t="str">
        <x:v>BLUE DRAWER KNOB ACRYLIC EDWARDIAN</x:v>
      </x:c>
      <x:c r="D897" s="13" t="n">
        <x:v>2593.53</x:v>
      </x:c>
      <x:c r="E897" s="13" t="n">
        <x:v>16.25</x:v>
      </x:c>
      <x:c r="F897" s="13" t="n">
        <x:f>D897-E897</x:f>
        <x:v>2577.28</x:v>
      </x:c>
      <x:c r="G897" s="3" t="n">
        <x:v>1904</x:v>
      </x:c>
      <x:c r="H897" s="3" t="n">
        <x:v>13</x:v>
      </x:c>
      <x:c r="I897" s="3" t="n">
        <x:v>195</x:v>
      </x:c>
      <x:c r="J897" s="15" t="n">
        <x:f>IF(D897=0,"n.a.",E897/D897)</x:f>
        <x:v>0.006265591683921142</x:v>
      </x:c>
      <x:c r="K897" s="15" t="n">
        <x:f>F897/'Datos'!$F$7</x:f>
        <x:v>0.00026318356144275064</x:v>
      </x:c>
      <x:c r="L897" s="3"/>
    </x:row>
    <x:row r="898" ht="22" customHeight="1">
      <x:c r="A898" s="3"/>
      <x:c r="B898" s="3" t="str">
        <x:v>22822</x:v>
      </x:c>
      <x:c r="C898" s="3" t="str">
        <x:v>CREAM WALL PLANTER HEART SHAPED</x:v>
      </x:c>
      <x:c r="D898" s="13" t="n">
        <x:v>2588.7</x:v>
      </x:c>
      <x:c r="E898" s="13" t="n">
        <x:v>11.9</x:v>
      </x:c>
      <x:c r="F898" s="13" t="n">
        <x:f>D898-E898</x:f>
        <x:v>2576.7999999999997</x:v>
      </x:c>
      <x:c r="G898" s="3" t="n">
        <x:v>434</x:v>
      </x:c>
      <x:c r="H898" s="3" t="n">
        <x:v>2</x:v>
      </x:c>
      <x:c r="I898" s="3" t="n">
        <x:v>158</x:v>
      </x:c>
      <x:c r="J898" s="15" t="n">
        <x:f>IF(D898=0,"n.a.",E898/D898)</x:f>
        <x:v>0.004596901919882567</x:v>
      </x:c>
      <x:c r="K898" s="15" t="n">
        <x:f>F898/'Datos'!$F$7</x:f>
        <x:v>0.0002631345453833808</x:v>
      </x:c>
      <x:c r="L898" s="3"/>
    </x:row>
    <x:row r="899" ht="22" customHeight="1">
      <x:c r="A899" s="3"/>
      <x:c r="B899" s="3" t="str">
        <x:v>22700</x:v>
      </x:c>
      <x:c r="C899" s="3" t="str">
        <x:v>BLACK AND WHITE DOG BOWL</x:v>
      </x:c>
      <x:c r="D899" s="13" t="n">
        <x:v>2608.08</x:v>
      </x:c>
      <x:c r="E899" s="13" t="n">
        <x:v>31.3</x:v>
      </x:c>
      <x:c r="F899" s="13" t="n">
        <x:f>D899-E899</x:f>
        <x:v>2576.7799999999997</x:v>
      </x:c>
      <x:c r="G899" s="3" t="n">
        <x:v>1198</x:v>
      </x:c>
      <x:c r="H899" s="3" t="n">
        <x:v>22</x:v>
      </x:c>
      <x:c r="I899" s="3" t="n">
        <x:v>52</x:v>
      </x:c>
      <x:c r="J899" s="15" t="n">
        <x:f>IF(D899=0,"n.a.",E899/D899)</x:f>
        <x:v>0.01200116560841692</x:v>
      </x:c>
      <x:c r="K899" s="15" t="n">
        <x:f>F899/'Datos'!$F$7</x:f>
        <x:v>0.0002631325030475737</x:v>
      </x:c>
      <x:c r="L899" s="3"/>
    </x:row>
    <x:row r="900" ht="22" customHeight="1">
      <x:c r="A900" s="3"/>
      <x:c r="B900" s="3" t="str">
        <x:v>22361</x:v>
      </x:c>
      <x:c r="C900" s="3" t="str">
        <x:v>GLASS JAR DAISY FRESH COTTON WOOL</x:v>
      </x:c>
      <x:c r="D900" s="13" t="n">
        <x:v>2598.23</x:v>
      </x:c>
      <x:c r="E900" s="13" t="n">
        <x:v>35</x:v>
      </x:c>
      <x:c r="F900" s="13" t="n">
        <x:f>D900-E900</x:f>
        <x:v>2563.23</x:v>
      </x:c>
      <x:c r="G900" s="3" t="n">
        <x:v>729</x:v>
      </x:c>
      <x:c r="H900" s="3" t="n">
        <x:v>12</x:v>
      </x:c>
      <x:c r="I900" s="3" t="n">
        <x:v>268</x:v>
      </x:c>
      <x:c r="J900" s="15" t="n">
        <x:f>IF(D900=0,"n.a.",E900/D900)</x:f>
        <x:v>0.013470708905678096</x:v>
      </x:c>
      <x:c r="K900" s="15" t="n">
        <x:f>F900/'Datos'!$F$7</x:f>
        <x:v>0.0002617488205382813</x:v>
      </x:c>
      <x:c r="L900" s="3"/>
    </x:row>
    <x:row r="901" ht="22" customHeight="1">
      <x:c r="A901" s="3"/>
      <x:c r="B901" s="3" t="str">
        <x:v>22130</x:v>
      </x:c>
      <x:c r="C901" s="3" t="str">
        <x:v>PARTY CONE CHRISTMAS DECORATION</x:v>
      </x:c>
      <x:c r="D901" s="13" t="n">
        <x:v>2664.63</x:v>
      </x:c>
      <x:c r="E901" s="13" t="n">
        <x:v>104.53</x:v>
      </x:c>
      <x:c r="F901" s="13" t="n">
        <x:f>D901-E901</x:f>
        <x:v>2560.1</x:v>
      </x:c>
      <x:c r="G901" s="3" t="n">
        <x:v>2277</x:v>
      </x:c>
      <x:c r="H901" s="3" t="n">
        <x:v>145</x:v>
      </x:c>
      <x:c r="I901" s="3" t="n">
        <x:v>110</x:v>
      </x:c>
      <x:c r="J901" s="15" t="n">
        <x:f>IF(D901=0,"n.a.",E901/D901)</x:f>
        <x:v>0.039228710927971235</x:v>
      </x:c>
      <x:c r="K901" s="15" t="n">
        <x:f>F901/'Datos'!$F$7</x:f>
        <x:v>0.00026142919498447424</x:v>
      </x:c>
      <x:c r="L901" s="3"/>
    </x:row>
    <x:row r="902" ht="22" customHeight="1">
      <x:c r="A902" s="3"/>
      <x:c r="B902" s="3" t="str">
        <x:v>22762</x:v>
      </x:c>
      <x:c r="C902" s="3" t="str">
        <x:v>CUPBOARD 3 DRAWER MA CAMPAGNE</x:v>
      </x:c>
      <x:c r="D902" s="13" t="n">
        <x:v>2786.03</x:v>
      </x:c>
      <x:c r="E902" s="13" t="n">
        <x:v>244.9</x:v>
      </x:c>
      <x:c r="F902" s="13" t="n">
        <x:f>D902-E902</x:f>
        <x:v>2541.13</x:v>
      </x:c>
      <x:c r="G902" s="3" t="n">
        <x:v>171</x:v>
      </x:c>
      <x:c r="H902" s="3" t="n">
        <x:v>18</x:v>
      </x:c>
      <x:c r="I902" s="3" t="n">
        <x:v>112</x:v>
      </x:c>
      <x:c r="J902" s="15" t="n">
        <x:f>IF(D902=0,"n.a.",E902/D902)</x:f>
        <x:v>0.08790285818889243</x:v>
      </x:c>
      <x:c r="K902" s="15" t="n">
        <x:f>F902/'Datos'!$F$7</x:f>
        <x:v>0.00025949203947146484</x:v>
      </x:c>
      <x:c r="L902" s="3"/>
    </x:row>
    <x:row r="903" ht="22" customHeight="1">
      <x:c r="A903" s="3"/>
      <x:c r="B903" s="3" t="str">
        <x:v>21078</x:v>
      </x:c>
      <x:c r="C903" s="3" t="str">
        <x:v>SET/20 STRAWBERRY PAPER NAPKINS</x:v>
      </x:c>
      <x:c r="D903" s="13" t="n">
        <x:v>2540.39</x:v>
      </x:c>
      <x:c r="E903" s="13" t="n">
        <x:v>0</x:v>
      </x:c>
      <x:c r="F903" s="13" t="n">
        <x:f>D903-E903</x:f>
        <x:v>2540.39</x:v>
      </x:c>
      <x:c r="G903" s="3" t="n">
        <x:v>2780</x:v>
      </x:c>
      <x:c r="H903" s="3" t="n">
        <x:v>0</x:v>
      </x:c>
      <x:c r="I903" s="3" t="n">
        <x:v>313</x:v>
      </x:c>
      <x:c r="J903" s="15" t="n">
        <x:f>IF(D903=0,"n.a.",E903/D903)</x:f>
        <x:v>0</x:v>
      </x:c>
      <x:c r="K903" s="15" t="n">
        <x:f>F903/'Datos'!$F$7</x:f>
        <x:v>0.0002594164730466031</x:v>
      </x:c>
      <x:c r="L903" s="3"/>
    </x:row>
    <x:row r="904" ht="22" customHeight="1">
      <x:c r="A904" s="3"/>
      <x:c r="B904" s="3" t="str">
        <x:v>22937</x:v>
      </x:c>
      <x:c r="C904" s="3" t="str">
        <x:v>BAKING MOULD CHOCOLATE CUPCAKES</x:v>
      </x:c>
      <x:c r="D904" s="13" t="n">
        <x:v>2568.34</x:v>
      </x:c>
      <x:c r="E904" s="13" t="n">
        <x:v>33.15</x:v>
      </x:c>
      <x:c r="F904" s="13" t="n">
        <x:f>D904-E904</x:f>
        <x:v>2535.19</x:v>
      </x:c>
      <x:c r="G904" s="3" t="n">
        <x:v>974</x:v>
      </x:c>
      <x:c r="H904" s="3" t="n">
        <x:v>13</x:v>
      </x:c>
      <x:c r="I904" s="3" t="n">
        <x:v>160</x:v>
      </x:c>
      <x:c r="J904" s="15" t="n">
        <x:f>IF(D904=0,"n.a.",E904/D904)</x:f>
        <x:v>0.012907169611500034</x:v>
      </x:c>
      <x:c r="K904" s="15" t="n">
        <x:f>F904/'Datos'!$F$7</x:f>
        <x:v>0.0002588854657367639</x:v>
      </x:c>
      <x:c r="L904" s="3"/>
    </x:row>
    <x:row r="905" ht="22" customHeight="1">
      <x:c r="A905" s="3"/>
      <x:c r="B905" s="3" t="str">
        <x:v>22358</x:v>
      </x:c>
      <x:c r="C905" s="3" t="str">
        <x:v>KINGS CHOICE TEA CADDY</x:v>
      </x:c>
      <x:c r="D905" s="13" t="n">
        <x:v>2557.12</x:v>
      </x:c>
      <x:c r="E905" s="13" t="n">
        <x:v>23.6</x:v>
      </x:c>
      <x:c r="F905" s="13" t="n">
        <x:f>D905-E905</x:f>
        <x:v>2533.52</x:v>
      </x:c>
      <x:c r="G905" s="3" t="n">
        <x:v>700</x:v>
      </x:c>
      <x:c r="H905" s="3" t="n">
        <x:v>8</x:v>
      </x:c>
      <x:c r="I905" s="3" t="n">
        <x:v>255</x:v>
      </x:c>
      <x:c r="J905" s="15" t="n">
        <x:f>IF(D905=0,"n.a.",E905/D905)</x:f>
        <x:v>0.009229132774371169</x:v>
      </x:c>
      <x:c r="K905" s="15" t="n">
        <x:f>F905/'Datos'!$F$7</x:f>
        <x:v>0.00025871493069687325</x:v>
      </x:c>
      <x:c r="L905" s="3"/>
    </x:row>
    <x:row r="906" ht="22" customHeight="1">
      <x:c r="A906" s="3"/>
      <x:c r="B906" s="3" t="str">
        <x:v>23681</x:v>
      </x:c>
      <x:c r="C906" s="3" t="str">
        <x:v>LUNCH BAG RED VINTAGE DOILY</x:v>
      </x:c>
      <x:c r="D906" s="13" t="n">
        <x:v>2526.69</x:v>
      </x:c>
      <x:c r="E906" s="13" t="n">
        <x:v>0</x:v>
      </x:c>
      <x:c r="F906" s="13" t="n">
        <x:f>D906-E906</x:f>
        <x:v>2526.69</x:v>
      </x:c>
      <x:c r="G906" s="3" t="n">
        <x:v>1577</x:v>
      </x:c>
      <x:c r="H906" s="3" t="n">
        <x:v>0</x:v>
      </x:c>
      <x:c r="I906" s="3" t="n">
        <x:v>132</x:v>
      </x:c>
      <x:c r="J906" s="15" t="n">
        <x:f>IF(D906=0,"n.a.",E906/D906)</x:f>
        <x:v>0</x:v>
      </x:c>
      <x:c r="K906" s="15" t="n">
        <x:f>F906/'Datos'!$F$7</x:f>
        <x:v>0.0002580174730187576</x:v>
      </x:c>
      <x:c r="L906" s="3"/>
    </x:row>
    <x:row r="907" ht="22" customHeight="1">
      <x:c r="A907" s="3"/>
      <x:c r="B907" s="3" t="str">
        <x:v>23424</x:v>
      </x:c>
      <x:c r="C907" s="3" t="str">
        <x:v>GINGHAM RECIPE BOOK BOX</x:v>
      </x:c>
      <x:c r="D907" s="13" t="n">
        <x:v>2529.42</x:v>
      </x:c>
      <x:c r="E907" s="13" t="n">
        <x:v>4.95</x:v>
      </x:c>
      <x:c r="F907" s="13" t="n">
        <x:f>D907-E907</x:f>
        <x:v>2524.4700000000003</x:v>
      </x:c>
      <x:c r="G907" s="3" t="n">
        <x:v>466</x:v>
      </x:c>
      <x:c r="H907" s="3" t="n">
        <x:v>1</x:v>
      </x:c>
      <x:c r="I907" s="3" t="n">
        <x:v>135</x:v>
      </x:c>
      <x:c r="J907" s="15" t="n">
        <x:f>IF(D907=0,"n.a.",E907/D907)</x:f>
        <x:v>0.0019569703726546005</x:v>
      </x:c>
      <x:c r="K907" s="15" t="n">
        <x:f>F907/'Datos'!$F$7</x:f>
        <x:v>0.0002577907737441724</x:v>
      </x:c>
      <x:c r="L907" s="3"/>
    </x:row>
    <x:row r="908" ht="22" customHeight="1">
      <x:c r="A908" s="3"/>
      <x:c r="B908" s="3" t="str">
        <x:v>20829</x:v>
      </x:c>
      <x:c r="C908" s="3" t="str">
        <x:v>GLITTER HANGING BUTTERFLY STRING</x:v>
      </x:c>
      <x:c r="D908" s="13" t="n">
        <x:v>2725.05</x:v>
      </x:c>
      <x:c r="E908" s="13" t="n">
        <x:v>205.26</x:v>
      </x:c>
      <x:c r="F908" s="13" t="n">
        <x:f>D908-E908</x:f>
        <x:v>2519.79</x:v>
      </x:c>
      <x:c r="G908" s="3" t="n">
        <x:v>1315</x:v>
      </x:c>
      <x:c r="H908" s="3" t="n">
        <x:v>120</x:v>
      </x:c>
      <x:c r="I908" s="3" t="n">
        <x:v>194</x:v>
      </x:c>
      <x:c r="J908" s="15" t="n">
        <x:f>IF(D908=0,"n.a.",E908/D908)</x:f>
        <x:v>0.07532338856167776</x:v>
      </x:c>
      <x:c r="K908" s="15" t="n">
        <x:f>F908/'Datos'!$F$7</x:f>
        <x:v>0.00025731286716531714</x:v>
      </x:c>
      <x:c r="L908" s="3"/>
    </x:row>
    <x:row r="909" ht="22" customHeight="1">
      <x:c r="A909" s="3"/>
      <x:c r="B909" s="3" t="str">
        <x:v>21556</x:v>
      </x:c>
      <x:c r="C909" s="3" t="str">
        <x:v>CERAMIC STRAWBERRY MONEY BOX</x:v>
      </x:c>
      <x:c r="D909" s="13" t="n">
        <x:v>2515.52</x:v>
      </x:c>
      <x:c r="E909" s="13" t="n">
        <x:v>2.55</x:v>
      </x:c>
      <x:c r="F909" s="13" t="n">
        <x:f>D909-E909</x:f>
        <x:v>2512.97</x:v>
      </x:c>
      <x:c r="G909" s="3" t="n">
        <x:v>977</x:v>
      </x:c>
      <x:c r="H909" s="3" t="n">
        <x:v>1</x:v>
      </x:c>
      <x:c r="I909" s="3" t="n">
        <x:v>114</x:v>
      </x:c>
      <x:c r="J909" s="15" t="n">
        <x:f>IF(D909=0,"n.a.",E909/D909)</x:f>
        <x:v>0.0010137069075181273</x:v>
      </x:c>
      <x:c r="K909" s="15" t="n">
        <x:f>F909/'Datos'!$F$7</x:f>
        <x:v>0.000256616430655105</x:v>
      </x:c>
      <x:c r="L909" s="3"/>
    </x:row>
    <x:row r="910" ht="22" customHeight="1">
      <x:c r="A910" s="3"/>
      <x:c r="B910" s="3" t="str">
        <x:v>22670</x:v>
      </x:c>
      <x:c r="C910" s="3" t="str">
        <x:v>FRENCH WC SIGN BLUE METAL</x:v>
      </x:c>
      <x:c r="D910" s="13" t="n">
        <x:v>2518</x:v>
      </x:c>
      <x:c r="E910" s="13" t="n">
        <x:v>6.25</x:v>
      </x:c>
      <x:c r="F910" s="13" t="n">
        <x:f>D910-E910</x:f>
        <x:v>2511.75</x:v>
      </x:c>
      <x:c r="G910" s="3" t="n">
        <x:v>1883</x:v>
      </x:c>
      <x:c r="H910" s="3" t="n">
        <x:v>5</x:v>
      </x:c>
      <x:c r="I910" s="3" t="n">
        <x:v>301</x:v>
      </x:c>
      <x:c r="J910" s="15" t="n">
        <x:f>IF(D910=0,"n.a.",E910/D910)</x:f>
        <x:v>0.002482128673550437</x:v>
      </x:c>
      <x:c r="K910" s="15" t="n">
        <x:f>F910/'Datos'!$F$7</x:f>
        <x:v>0.0002564918481708735</x:v>
      </x:c>
      <x:c r="L910" s="3"/>
    </x:row>
    <x:row r="911" ht="22" customHeight="1">
      <x:c r="A911" s="3"/>
      <x:c r="B911" s="3" t="str">
        <x:v>23316</x:v>
      </x:c>
      <x:c r="C911" s="3" t="str">
        <x:v>RED REFECTORY CLOCK</x:v>
      </x:c>
      <x:c r="D911" s="13" t="n">
        <x:v>2511.59</x:v>
      </x:c>
      <x:c r="E911" s="13" t="n">
        <x:v>9.95</x:v>
      </x:c>
      <x:c r="F911" s="13" t="n">
        <x:f>D911-E911</x:f>
        <x:v>2501.6400000000003</x:v>
      </x:c>
      <x:c r="G911" s="3" t="n">
        <x:v>251</x:v>
      </x:c>
      <x:c r="H911" s="3" t="n">
        <x:v>1</x:v>
      </x:c>
      <x:c r="I911" s="3" t="n">
        <x:v>110</x:v>
      </x:c>
      <x:c r="J911" s="15" t="n">
        <x:f>IF(D911=0,"n.a.",E911/D911)</x:f>
        <x:v>0.003961633865400005</x:v>
      </x:c>
      <x:c r="K911" s="15" t="n">
        <x:f>F911/'Datos'!$F$7</x:f>
        <x:v>0.00025545944742039775</x:v>
      </x:c>
      <x:c r="L911" s="3"/>
    </x:row>
    <x:row r="912" ht="22" customHeight="1">
      <x:c r="A912" s="3"/>
      <x:c r="B912" s="3" t="str">
        <x:v>21107</x:v>
      </x:c>
      <x:c r="C912" s="3" t="str">
        <x:v>CREAM SLICE FLANNEL PINK SPOT</x:v>
      </x:c>
      <x:c r="D912" s="13" t="n">
        <x:v>2501.56</x:v>
      </x:c>
      <x:c r="E912" s="13" t="n">
        <x:v>0</x:v>
      </x:c>
      <x:c r="F912" s="13" t="n">
        <x:f>D912-E912</x:f>
        <x:v>2501.56</x:v>
      </x:c>
      <x:c r="G912" s="3" t="n">
        <x:v>904</x:v>
      </x:c>
      <x:c r="H912" s="3" t="n">
        <x:v>0</x:v>
      </x:c>
      <x:c r="I912" s="3" t="n">
        <x:v>97</x:v>
      </x:c>
      <x:c r="J912" s="15" t="n">
        <x:f>IF(D912=0,"n.a.",E912/D912)</x:f>
        <x:v>0</x:v>
      </x:c>
      <x:c r="K912" s="15" t="n">
        <x:f>F912/'Datos'!$F$7</x:f>
        <x:v>0.00025545127807716944</x:v>
      </x:c>
      <x:c r="L912" s="3"/>
    </x:row>
    <x:row r="913" ht="22" customHeight="1">
      <x:c r="A913" s="3"/>
      <x:c r="B913" s="3" t="str">
        <x:v>85178</x:v>
      </x:c>
      <x:c r="C913" s="3" t="str">
        <x:v>VICTORIAN SEWING KIT</x:v>
      </x:c>
      <x:c r="D913" s="13" t="n">
        <x:v>2823.83</x:v>
      </x:c>
      <x:c r="E913" s="13" t="n">
        <x:v>322.85</x:v>
      </x:c>
      <x:c r="F913" s="13" t="n">
        <x:f>D913-E913</x:f>
        <x:v>2500.98</x:v>
      </x:c>
      <x:c r="G913" s="3" t="n">
        <x:v>2519</x:v>
      </x:c>
      <x:c r="H913" s="3" t="n">
        <x:v>289</x:v>
      </x:c>
      <x:c r="I913" s="3" t="n">
        <x:v>140</x:v>
      </x:c>
      <x:c r="J913" s="15" t="n">
        <x:f>IF(D913=0,"n.a.",E913/D913)</x:f>
        <x:v>0.11433053689492641</x:v>
      </x:c>
      <x:c r="K913" s="15" t="n">
        <x:f>F913/'Datos'!$F$7</x:f>
        <x:v>0.0002553920503387643</x:v>
      </x:c>
      <x:c r="L913" s="3"/>
    </x:row>
    <x:row r="914" ht="22" customHeight="1">
      <x:c r="A914" s="3"/>
      <x:c r="B914" s="3" t="str">
        <x:v>22064</x:v>
      </x:c>
      <x:c r="C914" s="3" t="str">
        <x:v>PINK DOUGHNUT TRINKET POT</x:v>
      </x:c>
      <x:c r="D914" s="13" t="n">
        <x:v>2556.2</x:v>
      </x:c>
      <x:c r="E914" s="13" t="n">
        <x:v>57.6</x:v>
      </x:c>
      <x:c r="F914" s="13" t="n">
        <x:f>D914-E914</x:f>
        <x:v>2498.6</x:v>
      </x:c>
      <x:c r="G914" s="3" t="n">
        <x:v>1734</x:v>
      </x:c>
      <x:c r="H914" s="3" t="n">
        <x:v>36</x:v>
      </x:c>
      <x:c r="I914" s="3" t="n">
        <x:v>241</x:v>
      </x:c>
      <x:c r="J914" s="15" t="n">
        <x:f>IF(D914=0,"n.a.",E914/D914)</x:f>
        <x:v>0.022533448087004148</x:v>
      </x:c>
      <x:c r="K914" s="15" t="n">
        <x:f>F914/'Datos'!$F$7</x:f>
        <x:v>0.0002551490123777225</x:v>
      </x:c>
      <x:c r="L914" s="3"/>
    </x:row>
    <x:row r="915" ht="22" customHeight="1">
      <x:c r="A915" s="3"/>
      <x:c r="B915" s="3" t="str">
        <x:v>23146</x:v>
      </x:c>
      <x:c r="C915" s="3" t="str">
        <x:v>TRIPLE HOOK ANTIQUE IVORY ROSE</x:v>
      </x:c>
      <x:c r="D915" s="13" t="n">
        <x:v>2655.13</x:v>
      </x:c>
      <x:c r="E915" s="13" t="n">
        <x:v>164.1</x:v>
      </x:c>
      <x:c r="F915" s="13" t="n">
        <x:f>D915-E915</x:f>
        <x:v>2491.03</x:v>
      </x:c>
      <x:c r="G915" s="3" t="n">
        <x:v>801</x:v>
      </x:c>
      <x:c r="H915" s="3" t="n">
        <x:v>50</x:v>
      </x:c>
      <x:c r="I915" s="3" t="n">
        <x:v>227</x:v>
      </x:c>
      <x:c r="J915" s="15" t="n">
        <x:f>IF(D915=0,"n.a.",E915/D915)</x:f>
        <x:v>0.06180488337670848</x:v>
      </x:c>
      <x:c r="K915" s="15" t="n">
        <x:f>F915/'Datos'!$F$7</x:f>
        <x:v>0.0002543759882747451</x:v>
      </x:c>
      <x:c r="L915" s="3"/>
    </x:row>
    <x:row r="916" ht="22" customHeight="1">
      <x:c r="A916" s="3"/>
      <x:c r="B916" s="3" t="str">
        <x:v>23367</x:v>
      </x:c>
      <x:c r="C916" s="3" t="str">
        <x:v>SET 12 COLOUR PENCILS SPACEBOY</x:v>
      </x:c>
      <x:c r="D916" s="13" t="n">
        <x:v>2495.75</x:v>
      </x:c>
      <x:c r="E916" s="13" t="n">
        <x:v>10.4</x:v>
      </x:c>
      <x:c r="F916" s="13" t="n">
        <x:f>D916-E916</x:f>
        <x:v>2485.35</x:v>
      </x:c>
      <x:c r="G916" s="3" t="n">
        <x:v>3285</x:v>
      </x:c>
      <x:c r="H916" s="3" t="n">
        <x:v>16</x:v>
      </x:c>
      <x:c r="I916" s="3" t="n">
        <x:v>282</x:v>
      </x:c>
      <x:c r="J916" s="15" t="n">
        <x:f>IF(D916=0,"n.a.",E916/D916)</x:f>
        <x:v>0.004167084042872884</x:v>
      </x:c>
      <x:c r="K916" s="15" t="n">
        <x:f>F916/'Datos'!$F$7</x:f>
        <x:v>0.00025379596490553613</x:v>
      </x:c>
      <x:c r="L916" s="3"/>
    </x:row>
    <x:row r="917" ht="22" customHeight="1">
      <x:c r="A917" s="3"/>
      <x:c r="B917" s="3" t="str">
        <x:v>22672</x:v>
      </x:c>
      <x:c r="C917" s="3" t="str">
        <x:v>FRENCH BATHROOM SIGN BLUE METAL</x:v>
      </x:c>
      <x:c r="D917" s="13" t="n">
        <x:v>2511.22</x:v>
      </x:c>
      <x:c r="E917" s="13" t="n">
        <x:v>26.4</x:v>
      </x:c>
      <x:c r="F917" s="13" t="n">
        <x:f>D917-E917</x:f>
        <x:v>2484.8199999999997</x:v>
      </x:c>
      <x:c r="G917" s="3" t="n">
        <x:v>1476</x:v>
      </x:c>
      <x:c r="H917" s="3" t="n">
        <x:v>16</x:v>
      </x:c>
      <x:c r="I917" s="3" t="n">
        <x:v>219</x:v>
      </x:c>
      <x:c r="J917" s="15" t="n">
        <x:f>IF(D917=0,"n.a.",E917/D917)</x:f>
        <x:v>0.010512818470703483</x:v>
      </x:c>
      <x:c r="K917" s="15" t="n">
        <x:f>F917/'Datos'!$F$7</x:f>
        <x:v>0.0002537418430066487</x:v>
      </x:c>
      <x:c r="L917" s="3"/>
    </x:row>
    <x:row r="918" ht="22" customHeight="1">
      <x:c r="A918" s="3"/>
      <x:c r="B918" s="3" t="str">
        <x:v>22075</x:v>
      </x:c>
      <x:c r="C918" s="3" t="str">
        <x:v>6 RIBBONS ELEGANT CHRISTMAS</x:v>
      </x:c>
      <x:c r="D918" s="13" t="n">
        <x:v>2503.34</x:v>
      </x:c>
      <x:c r="E918" s="13" t="n">
        <x:v>19.8</x:v>
      </x:c>
      <x:c r="F918" s="13" t="n">
        <x:f>D918-E918</x:f>
        <x:v>2483.54</x:v>
      </x:c>
      <x:c r="G918" s="3" t="n">
        <x:v>1800</x:v>
      </x:c>
      <x:c r="H918" s="3" t="n">
        <x:v>12</x:v>
      </x:c>
      <x:c r="I918" s="3" t="n">
        <x:v>200</x:v>
      </x:c>
      <x:c r="J918" s="15" t="n">
        <x:f>IF(D918=0,"n.a.",E918/D918)</x:f>
        <x:v>0.00790943299751532</x:v>
      </x:c>
      <x:c r="K918" s="15" t="n">
        <x:f>F918/'Datos'!$F$7</x:f>
        <x:v>0.000253611133514996</x:v>
      </x:c>
      <x:c r="L918" s="3"/>
    </x:row>
    <x:row r="919" ht="22" customHeight="1">
      <x:c r="A919" s="3"/>
      <x:c r="B919" s="3" t="str">
        <x:v>21903</x:v>
      </x:c>
      <x:c r="C919" s="3" t="str">
        <x:v>MAN FLU METAL SIGN</x:v>
      </x:c>
      <x:c r="D919" s="13" t="n">
        <x:v>2494.33</x:v>
      </x:c>
      <x:c r="E919" s="13" t="n">
        <x:v>27.3</x:v>
      </x:c>
      <x:c r="F919" s="13" t="n">
        <x:f>D919-E919</x:f>
        <x:v>2467.0299999999997</x:v>
      </x:c>
      <x:c r="G919" s="3" t="n">
        <x:v>1162</x:v>
      </x:c>
      <x:c r="H919" s="3" t="n">
        <x:v>13</x:v>
      </x:c>
      <x:c r="I919" s="3" t="n">
        <x:v>180</x:v>
      </x:c>
      <x:c r="J919" s="15" t="n">
        <x:f>IF(D919=0,"n.a.",E919/D919)</x:f>
        <x:v>0.010944822858242494</x:v>
      </x:c>
      <x:c r="K919" s="15" t="n">
        <x:f>F919/'Datos'!$F$7</x:f>
        <x:v>0.00025192518530625657</x:v>
      </x:c>
      <x:c r="L919" s="3"/>
    </x:row>
    <x:row r="920" ht="22" customHeight="1">
      <x:c r="A920" s="3"/>
      <x:c r="B920" s="3" t="str">
        <x:v>21452</x:v>
      </x:c>
      <x:c r="C920" s="3" t="str">
        <x:v>TOADSTOOL MONEY BOX</x:v>
      </x:c>
      <x:c r="D920" s="13" t="n">
        <x:v>2549.11</x:v>
      </x:c>
      <x:c r="E920" s="13" t="n">
        <x:v>83.15</x:v>
      </x:c>
      <x:c r="F920" s="13" t="n">
        <x:f>D920-E920</x:f>
        <x:v>2465.96</x:v>
      </x:c>
      <x:c r="G920" s="3" t="n">
        <x:v>817</x:v>
      </x:c>
      <x:c r="H920" s="3" t="n">
        <x:v>29</x:v>
      </x:c>
      <x:c r="I920" s="3" t="n">
        <x:v>184</x:v>
      </x:c>
      <x:c r="J920" s="15" t="n">
        <x:f>IF(D920=0,"n.a.",E920/D920)</x:f>
        <x:v>0.0326192278873803</x:v>
      </x:c>
      <x:c r="K920" s="15" t="n">
        <x:f>F920/'Datos'!$F$7</x:f>
        <x:v>0.0002518159203405782</x:v>
      </x:c>
      <x:c r="L920" s="3"/>
    </x:row>
    <x:row r="921" ht="22" customHeight="1">
      <x:c r="A921" s="3"/>
      <x:c r="B921" s="3" t="str">
        <x:v>22215</x:v>
      </x:c>
      <x:c r="C921" s="3" t="str">
        <x:v>CAKE STAND WHITE TWO TIER LACE</x:v>
      </x:c>
      <x:c r="D921" s="13" t="n">
        <x:v>2471.39</x:v>
      </x:c>
      <x:c r="E921" s="13" t="n">
        <x:v>17</x:v>
      </x:c>
      <x:c r="F921" s="13" t="n">
        <x:f>D921-E921</x:f>
        <x:v>2454.39</x:v>
      </x:c>
      <x:c r="G921" s="3" t="n">
        <x:v>343</x:v>
      </x:c>
      <x:c r="H921" s="3" t="n">
        <x:v>2</x:v>
      </x:c>
      <x:c r="I921" s="3" t="n">
        <x:v>101</x:v>
      </x:c>
      <x:c r="J921" s="15" t="n">
        <x:f>IF(D921=0,"n.a.",E921/D921)</x:f>
        <x:v>0.0068787200725098025</x:v>
      </x:c>
      <x:c r="K921" s="15" t="n">
        <x:f>F921/'Datos'!$F$7</x:f>
        <x:v>0.000250634429076186</x:v>
      </x:c>
      <x:c r="L921" s="3"/>
    </x:row>
    <x:row r="922" ht="22" customHeight="1">
      <x:c r="A922" s="3"/>
      <x:c r="B922" s="3" t="str">
        <x:v>21730</x:v>
      </x:c>
      <x:c r="C922" s="3" t="str">
        <x:v>GLASS STAR FROSTED T-LIGHT HOLDER</x:v>
      </x:c>
      <x:c r="D922" s="13" t="n">
        <x:v>2519.38</x:v>
      </x:c>
      <x:c r="E922" s="13" t="n">
        <x:v>68.6</x:v>
      </x:c>
      <x:c r="F922" s="13" t="n">
        <x:f>D922-E922</x:f>
        <x:v>2450.78</x:v>
      </x:c>
      <x:c r="G922" s="3" t="n">
        <x:v>518</x:v>
      </x:c>
      <x:c r="H922" s="3" t="n">
        <x:v>14</x:v>
      </x:c>
      <x:c r="I922" s="3" t="n">
        <x:v>131</x:v>
      </x:c>
      <x:c r="J922" s="15" t="n">
        <x:f>IF(D922=0,"n.a.",E922/D922)</x:f>
        <x:v>0.02722892140129714</x:v>
      </x:c>
      <x:c r="K922" s="15" t="n">
        <x:f>F922/'Datos'!$F$7</x:f>
        <x:v>0.0002502657874630092</x:v>
      </x:c>
      <x:c r="L922" s="3"/>
    </x:row>
    <x:row r="923" ht="22" customHeight="1">
      <x:c r="A923" s="3"/>
      <x:c r="B923" s="3" t="str">
        <x:v>23352</x:v>
      </x:c>
      <x:c r="C923" s="3" t="str">
        <x:v>ROLL WRAP 50'S RED CHRISTMAS</x:v>
      </x:c>
      <x:c r="D923" s="13" t="n">
        <x:v>2462.95</x:v>
      </x:c>
      <x:c r="E923" s="13" t="n">
        <x:v>15</x:v>
      </x:c>
      <x:c r="F923" s="13" t="n">
        <x:f>D923-E923</x:f>
        <x:v>2447.95</x:v>
      </x:c>
      <x:c r="G923" s="3" t="n">
        <x:v>1803</x:v>
      </x:c>
      <x:c r="H923" s="3" t="n">
        <x:v>12</x:v>
      </x:c>
      <x:c r="I923" s="3" t="n">
        <x:v>212</x:v>
      </x:c>
      <x:c r="J923" s="15" t="n">
        <x:f>IF(D923=0,"n.a.",E923/D923)</x:f>
        <x:v>0.006090257617897238</x:v>
      </x:c>
      <x:c r="K923" s="15" t="n">
        <x:f>F923/'Datos'!$F$7</x:f>
        <x:v>0.0002499767969463082</x:v>
      </x:c>
      <x:c r="L923" s="3"/>
    </x:row>
    <x:row r="924" ht="22" customHeight="1">
      <x:c r="A924" s="3"/>
      <x:c r="B924" s="3" t="str">
        <x:v>85062</x:v>
      </x:c>
      <x:c r="C924" s="3" t="str">
        <x:v>PEARL CRYSTAL PUMPKIN T-LIGHT HLDR</x:v>
      </x:c>
      <x:c r="D924" s="13" t="n">
        <x:v>2449.3</x:v>
      </x:c>
      <x:c r="E924" s="13" t="n">
        <x:v>6.6</x:v>
      </x:c>
      <x:c r="F924" s="13" t="n">
        <x:f>D924-E924</x:f>
        <x:v>2442.7000000000003</x:v>
      </x:c>
      <x:c r="G924" s="3" t="n">
        <x:v>1474</x:v>
      </x:c>
      <x:c r="H924" s="3" t="n">
        <x:v>4</x:v>
      </x:c>
      <x:c r="I924" s="3" t="n">
        <x:v>159</x:v>
      </x:c>
      <x:c r="J924" s="15" t="n">
        <x:f>IF(D924=0,"n.a.",E924/D924)</x:f>
        <x:v>0.0026946474502919197</x:v>
      </x:c>
      <x:c r="K924" s="15" t="n">
        <x:f>F924/'Datos'!$F$7</x:f>
        <x:v>0.00024944068379695143</x:v>
      </x:c>
      <x:c r="L924" s="3"/>
    </x:row>
    <x:row r="925" ht="22" customHeight="1">
      <x:c r="A925" s="3"/>
      <x:c r="B925" s="3" t="str">
        <x:v>22807</x:v>
      </x:c>
      <x:c r="C925" s="3" t="str">
        <x:v>SET OF 6 T-LIGHTS TOADSTOOLS</x:v>
      </x:c>
      <x:c r="D925" s="13" t="n">
        <x:v>2428.18</x:v>
      </x:c>
      <x:c r="E925" s="13" t="n">
        <x:v>0</x:v>
      </x:c>
      <x:c r="F925" s="13" t="n">
        <x:f>D925-E925</x:f>
        <x:v>2428.18</x:v>
      </x:c>
      <x:c r="G925" s="3" t="n">
        <x:v>825</x:v>
      </x:c>
      <x:c r="H925" s="3" t="n">
        <x:v>0</x:v>
      </x:c>
      <x:c r="I925" s="3" t="n">
        <x:v>195</x:v>
      </x:c>
      <x:c r="J925" s="15" t="n">
        <x:f>IF(D925=0,"n.a.",E925/D925)</x:f>
        <x:v>0</x:v>
      </x:c>
      <x:c r="K925" s="15" t="n">
        <x:f>F925/'Datos'!$F$7</x:f>
        <x:v>0.00024795794800101583</x:v>
      </x:c>
      <x:c r="L925" s="3"/>
    </x:row>
    <x:row r="926" ht="22" customHeight="1">
      <x:c r="A926" s="3"/>
      <x:c r="B926" s="3" t="str">
        <x:v>22573</x:v>
      </x:c>
      <x:c r="C926" s="3" t="str">
        <x:v>STAR WOODEN CHRISTMAS DECORATION</x:v>
      </x:c>
      <x:c r="D926" s="13" t="n">
        <x:v>2427.25</x:v>
      </x:c>
      <x:c r="E926" s="13" t="n">
        <x:v>0</x:v>
      </x:c>
      <x:c r="F926" s="13" t="n">
        <x:f>D926-E926</x:f>
        <x:v>2427.25</x:v>
      </x:c>
      <x:c r="G926" s="3" t="n">
        <x:v>2689</x:v>
      </x:c>
      <x:c r="H926" s="3" t="n">
        <x:v>0</x:v>
      </x:c>
      <x:c r="I926" s="3" t="n">
        <x:v>221</x:v>
      </x:c>
      <x:c r="J926" s="15" t="n">
        <x:f>IF(D926=0,"n.a.",E926/D926)</x:f>
        <x:v>0</x:v>
      </x:c>
      <x:c r="K926" s="15" t="n">
        <x:f>F926/'Datos'!$F$7</x:f>
        <x:v>0.0002478629793859869</x:v>
      </x:c>
      <x:c r="L926" s="3"/>
    </x:row>
    <x:row r="927" ht="22" customHeight="1">
      <x:c r="A927" s="3"/>
      <x:c r="B927" s="3" t="str">
        <x:v>22374</x:v>
      </x:c>
      <x:c r="C927" s="3" t="str">
        <x:v>AIRLINE BAG VINTAGE JET SET RED</x:v>
      </x:c>
      <x:c r="D927" s="13" t="n">
        <x:v>2440.27</x:v>
      </x:c>
      <x:c r="E927" s="13" t="n">
        <x:v>17</x:v>
      </x:c>
      <x:c r="F927" s="13" t="n">
        <x:f>D927-E927</x:f>
        <x:v>2423.27</x:v>
      </x:c>
      <x:c r="G927" s="3" t="n">
        <x:v>549</x:v>
      </x:c>
      <x:c r="H927" s="3" t="n">
        <x:v>4</x:v>
      </x:c>
      <x:c r="I927" s="3" t="n">
        <x:v>223</x:v>
      </x:c>
      <x:c r="J927" s="15" t="n">
        <x:f>IF(D927=0,"n.a.",E927/D927)</x:f>
        <x:v>0.0069664422379490795</x:v>
      </x:c>
      <x:c r="K927" s="15" t="n">
        <x:f>F927/'Datos'!$F$7</x:f>
        <x:v>0.00024745655456037924</x:v>
      </x:c>
      <x:c r="L927" s="3"/>
    </x:row>
    <x:row r="928" ht="22" customHeight="1">
      <x:c r="A928" s="3"/>
      <x:c r="B928" s="3" t="str">
        <x:v>21328</x:v>
      </x:c>
      <x:c r="C928" s="3" t="str">
        <x:v>BALLOONS WRITING SET</x:v>
      </x:c>
      <x:c r="D928" s="13" t="n">
        <x:v>2418.68</x:v>
      </x:c>
      <x:c r="E928" s="13" t="n">
        <x:v>0</x:v>
      </x:c>
      <x:c r="F928" s="13" t="n">
        <x:f>D928-E928</x:f>
        <x:v>2418.68</x:v>
      </x:c>
      <x:c r="G928" s="3" t="n">
        <x:v>1342</x:v>
      </x:c>
      <x:c r="H928" s="3" t="n">
        <x:v>0</x:v>
      </x:c>
      <x:c r="I928" s="3" t="n">
        <x:v>346</x:v>
      </x:c>
      <x:c r="J928" s="15" t="n">
        <x:f>IF(D928=0,"n.a.",E928/D928)</x:f>
        <x:v>0</x:v>
      </x:c>
      <x:c r="K928" s="15" t="n">
        <x:f>F928/'Datos'!$F$7</x:f>
        <x:v>0.00024698783849265584</x:v>
      </x:c>
      <x:c r="L928" s="3"/>
    </x:row>
    <x:row r="929" ht="22" customHeight="1">
      <x:c r="A929" s="3"/>
      <x:c r="B929" s="3" t="str">
        <x:v>22811</x:v>
      </x:c>
      <x:c r="C929" s="3" t="str">
        <x:v>SET OF 6 T-LIGHTS CACTI</x:v>
      </x:c>
      <x:c r="D929" s="13" t="n">
        <x:v>2419.29</x:v>
      </x:c>
      <x:c r="E929" s="13" t="n">
        <x:v>2.95</x:v>
      </x:c>
      <x:c r="F929" s="13" t="n">
        <x:f>D929-E929</x:f>
        <x:v>2416.34</x:v>
      </x:c>
      <x:c r="G929" s="3" t="n">
        <x:v>881</x:v>
      </x:c>
      <x:c r="H929" s="3" t="n">
        <x:v>1</x:v>
      </x:c>
      <x:c r="I929" s="3" t="n">
        <x:v>108</x:v>
      </x:c>
      <x:c r="J929" s="15" t="n">
        <x:f>IF(D929=0,"n.a.",E929/D929)</x:f>
        <x:v>0.0012193660123424642</x:v>
      </x:c>
      <x:c r="K929" s="15" t="n">
        <x:f>F929/'Datos'!$F$7</x:f>
        <x:v>0.00024674888520322824</x:v>
      </x:c>
      <x:c r="L929" s="3"/>
    </x:row>
    <x:row r="930" ht="22" customHeight="1">
      <x:c r="A930" s="3"/>
      <x:c r="B930" s="3" t="str">
        <x:v>22437</x:v>
      </x:c>
      <x:c r="C930" s="3" t="str">
        <x:v>SET OF 9 BLACK SKULL BALLOONS</x:v>
      </x:c>
      <x:c r="D930" s="13" t="n">
        <x:v>2418.94</x:v>
      </x:c>
      <x:c r="E930" s="13" t="n">
        <x:v>8.5</x:v>
      </x:c>
      <x:c r="F930" s="13" t="n">
        <x:f>D930-E930</x:f>
        <x:v>2410.44</x:v>
      </x:c>
      <x:c r="G930" s="3" t="n">
        <x:v>2830</x:v>
      </x:c>
      <x:c r="H930" s="3" t="n">
        <x:v>10</x:v>
      </x:c>
      <x:c r="I930" s="3" t="n">
        <x:v>226</x:v>
      </x:c>
      <x:c r="J930" s="15" t="n">
        <x:f>IF(D930=0,"n.a.",E930/D930)</x:f>
        <x:v>0.0035139358562014766</x:v>
      </x:c>
      <x:c r="K930" s="15" t="n">
        <x:f>F930/'Datos'!$F$7</x:f>
        <x:v>0.00024614639614014145</x:v>
      </x:c>
      <x:c r="L930" s="3"/>
    </x:row>
    <x:row r="931" ht="22" customHeight="1">
      <x:c r="A931" s="3"/>
      <x:c r="B931" s="3" t="str">
        <x:v>23406</x:v>
      </x:c>
      <x:c r="C931" s="3" t="str">
        <x:v>HOME SWEET HOME KEY HOLDER</x:v>
      </x:c>
      <x:c r="D931" s="13" t="n">
        <x:v>2428.91</x:v>
      </x:c>
      <x:c r="E931" s="13" t="n">
        <x:v>18.75</x:v>
      </x:c>
      <x:c r="F931" s="13" t="n">
        <x:f>D931-E931</x:f>
        <x:v>2410.16</x:v>
      </x:c>
      <x:c r="G931" s="3" t="n">
        <x:v>457</x:v>
      </x:c>
      <x:c r="H931" s="3" t="n">
        <x:v>3</x:v>
      </x:c>
      <x:c r="I931" s="3" t="n">
        <x:v>111</x:v>
      </x:c>
      <x:c r="J931" s="15" t="n">
        <x:f>IF(D931=0,"n.a.",E931/D931)</x:f>
        <x:v>0.007719512044497326</x:v>
      </x:c>
      <x:c r="K931" s="15" t="n">
        <x:f>F931/'Datos'!$F$7</x:f>
        <x:v>0.0002461178034388424</x:v>
      </x:c>
      <x:c r="L931" s="3"/>
    </x:row>
    <x:row r="932" ht="22" customHeight="1">
      <x:c r="A932" s="3"/>
      <x:c r="B932" s="3" t="str">
        <x:v>23265</x:v>
      </x:c>
      <x:c r="C932" s="3" t="str">
        <x:v>SET OF 3 WOODEN TREE DECORATIONS</x:v>
      </x:c>
      <x:c r="D932" s="13" t="n">
        <x:v>2423.54</x:v>
      </x:c>
      <x:c r="E932" s="13" t="n">
        <x:v>18.75</x:v>
      </x:c>
      <x:c r="F932" s="13" t="n">
        <x:f>D932-E932</x:f>
        <x:v>2404.79</x:v>
      </x:c>
      <x:c r="G932" s="3" t="n">
        <x:v>1784</x:v>
      </x:c>
      <x:c r="H932" s="3" t="n">
        <x:v>15</x:v>
      </x:c>
      <x:c r="I932" s="3" t="n">
        <x:v>293</x:v>
      </x:c>
      <x:c r="J932" s="15" t="n">
        <x:f>IF(D932=0,"n.a.",E932/D932)</x:f>
        <x:v>0.007736616684684387</x:v>
      </x:c>
      <x:c r="K932" s="15" t="n">
        <x:f>F932/'Datos'!$F$7</x:f>
        <x:v>0.0002455694362746431</x:v>
      </x:c>
      <x:c r="L932" s="3"/>
    </x:row>
    <x:row r="933" ht="22" customHeight="1">
      <x:c r="A933" s="3"/>
      <x:c r="B933" s="3" t="str">
        <x:v>22743</x:v>
      </x:c>
      <x:c r="C933" s="3" t="str">
        <x:v>MAKE YOUR OWN FLOWERPOWER CARD KIT</x:v>
      </x:c>
      <x:c r="D933" s="13" t="n">
        <x:v>2420.34</x:v>
      </x:c>
      <x:c r="E933" s="13" t="n">
        <x:v>17.7</x:v>
      </x:c>
      <x:c r="F933" s="13" t="n">
        <x:f>D933-E933</x:f>
        <x:v>2402.6400000000003</x:v>
      </x:c>
      <x:c r="G933" s="3" t="n">
        <x:v>934</x:v>
      </x:c>
      <x:c r="H933" s="3" t="n">
        <x:v>6</x:v>
      </x:c>
      <x:c r="I933" s="3" t="n">
        <x:v>206</x:v>
      </x:c>
      <x:c r="J933" s="15" t="n">
        <x:f>IF(D933=0,"n.a.",E933/D933)</x:f>
        <x:v>0.0073130221373856556</x:v>
      </x:c>
      <x:c r="K933" s="15" t="n">
        <x:f>F933/'Datos'!$F$7</x:f>
        <x:v>0.0002453498851753827</x:v>
      </x:c>
      <x:c r="L933" s="3"/>
    </x:row>
    <x:row r="934" ht="22" customHeight="1">
      <x:c r="A934" s="3"/>
      <x:c r="B934" s="3" t="str">
        <x:v>23400</x:v>
      </x:c>
      <x:c r="C934" s="3" t="str">
        <x:v>SHELF WITH 4 HOOKS HOME SWEET HOME</x:v>
      </x:c>
      <x:c r="D934" s="13" t="n">
        <x:v>2409.34</x:v>
      </x:c>
      <x:c r="E934" s="13" t="n">
        <x:v>12.5</x:v>
      </x:c>
      <x:c r="F934" s="13" t="n">
        <x:f>D934-E934</x:f>
        <x:v>2396.84</x:v>
      </x:c>
      <x:c r="G934" s="3" t="n">
        <x:v>461</x:v>
      </x:c>
      <x:c r="H934" s="3" t="n">
        <x:v>2</x:v>
      </x:c>
      <x:c r="I934" s="3" t="n">
        <x:v>107</x:v>
      </x:c>
      <x:c r="J934" s="15" t="n">
        <x:f>IF(D934=0,"n.a.",E934/D934)</x:f>
        <x:v>0.00518814281089427</x:v>
      </x:c>
      <x:c r="K934" s="15" t="n">
        <x:f>F934/'Datos'!$F$7</x:f>
        <x:v>0.00024475760779133133</x:v>
      </x:c>
      <x:c r="L934" s="3"/>
    </x:row>
    <x:row r="935" ht="22" customHeight="1">
      <x:c r="A935" s="3"/>
      <x:c r="B935" s="3" t="str">
        <x:v>21875</x:v>
      </x:c>
      <x:c r="C935" s="3" t="str">
        <x:v>KINGS CHOICE MUG</x:v>
      </x:c>
      <x:c r="D935" s="13" t="n">
        <x:v>2429.38</x:v>
      </x:c>
      <x:c r="E935" s="13" t="n">
        <x:v>35</x:v>
      </x:c>
      <x:c r="F935" s="13" t="n">
        <x:f>D935-E935</x:f>
        <x:v>2394.38</x:v>
      </x:c>
      <x:c r="G935" s="3" t="n">
        <x:v>2055</x:v>
      </x:c>
      <x:c r="H935" s="3" t="n">
        <x:v>28</x:v>
      </x:c>
      <x:c r="I935" s="3" t="n">
        <x:v>148</x:v>
      </x:c>
      <x:c r="J935" s="15" t="n">
        <x:f>IF(D935=0,"n.a.",E935/D935)</x:f>
        <x:v>0.014406968032996072</x:v>
      </x:c>
      <x:c r="K935" s="15" t="n">
        <x:f>F935/'Datos'!$F$7</x:f>
        <x:v>0.00024450640048706123</x:v>
      </x:c>
      <x:c r="L935" s="3"/>
    </x:row>
    <x:row r="936" ht="22" customHeight="1">
      <x:c r="A936" s="3"/>
      <x:c r="B936" s="3" t="str">
        <x:v>21781</x:v>
      </x:c>
      <x:c r="C936" s="3" t="str">
        <x:v>MA CAMPAGNE CUTLERY BOX</x:v>
      </x:c>
      <x:c r="D936" s="13" t="n">
        <x:v>2676.75</x:v>
      </x:c>
      <x:c r="E936" s="13" t="n">
        <x:v>283.15</x:v>
      </x:c>
      <x:c r="F936" s="13" t="n">
        <x:f>D936-E936</x:f>
        <x:v>2393.6</x:v>
      </x:c>
      <x:c r="G936" s="3" t="n">
        <x:v>169</x:v>
      </x:c>
      <x:c r="H936" s="3" t="n">
        <x:v>21</x:v>
      </x:c>
      <x:c r="I936" s="3" t="n">
        <x:v>101</x:v>
      </x:c>
      <x:c r="J936" s="15" t="n">
        <x:f>IF(D936=0,"n.a.",E936/D936)</x:f>
        <x:v>0.10578126459325674</x:v>
      </x:c>
      <x:c r="K936" s="15" t="n">
        <x:f>F936/'Datos'!$F$7</x:f>
        <x:v>0.00024442674939058535</x:v>
      </x:c>
      <x:c r="L936" s="3"/>
    </x:row>
    <x:row r="937" ht="22" customHeight="1">
      <x:c r="A937" s="3"/>
      <x:c r="B937" s="3" t="str">
        <x:v>84796B</x:v>
      </x:c>
      <x:c r="C937" s="3" t="str">
        <x:v>BLUE SAVANNAH PICNIC HAMPER FOR 2</x:v>
      </x:c>
      <x:c r="D937" s="13" t="n">
        <x:v>2393.59</x:v>
      </x:c>
      <x:c r="E937" s="13" t="n">
        <x:v>0</x:v>
      </x:c>
      <x:c r="F937" s="13" t="n">
        <x:f>D937-E937</x:f>
        <x:v>2393.59</x:v>
      </x:c>
      <x:c r="G937" s="3" t="n">
        <x:v>256</x:v>
      </x:c>
      <x:c r="H937" s="3" t="n">
        <x:v>0</x:v>
      </x:c>
      <x:c r="I937" s="3" t="n">
        <x:v>124</x:v>
      </x:c>
      <x:c r="J937" s="15" t="n">
        <x:f>IF(D937=0,"n.a.",E937/D937)</x:f>
        <x:v>0</x:v>
      </x:c>
      <x:c r="K937" s="15" t="n">
        <x:f>F937/'Datos'!$F$7</x:f>
        <x:v>0.00024442572822268185</x:v>
      </x:c>
      <x:c r="L937" s="3"/>
    </x:row>
    <x:row r="938" ht="22" customHeight="1">
      <x:c r="A938" s="3"/>
      <x:c r="B938" s="3" t="str">
        <x:v>22990</x:v>
      </x:c>
      <x:c r="C938" s="3" t="str">
        <x:v>COTTON APRON PANTRY DESIGN</x:v>
      </x:c>
      <x:c r="D938" s="13" t="n">
        <x:v>2942.18</x:v>
      </x:c>
      <x:c r="E938" s="13" t="n">
        <x:v>553.7</x:v>
      </x:c>
      <x:c r="F938" s="13" t="n">
        <x:f>D938-E938</x:f>
        <x:v>2388.4799999999996</x:v>
      </x:c>
      <x:c r="G938" s="3" t="n">
        <x:v>638</x:v>
      </x:c>
      <x:c r="H938" s="3" t="n">
        <x:v>126</x:v>
      </x:c>
      <x:c r="I938" s="3" t="n">
        <x:v>164</x:v>
      </x:c>
      <x:c r="J938" s="15" t="n">
        <x:f>IF(D938=0,"n.a.",E938/D938)</x:f>
        <x:v>0.18819378827943908</x:v>
      </x:c>
      <x:c r="K938" s="15" t="n">
        <x:f>F938/'Datos'!$F$7</x:f>
        <x:v>0.00024390391142397445</x:v>
      </x:c>
      <x:c r="L938" s="3"/>
    </x:row>
    <x:row r="939" ht="22" customHeight="1">
      <x:c r="A939" s="3"/>
      <x:c r="B939" s="3" t="str">
        <x:v>84969</x:v>
      </x:c>
      <x:c r="C939" s="3" t="str">
        <x:v>BOX OF 6 ASSORTED COLOUR TEASPOONS</x:v>
      </x:c>
      <x:c r="D939" s="13" t="n">
        <x:v>2389.52</x:v>
      </x:c>
      <x:c r="E939" s="13" t="n">
        <x:v>8.5</x:v>
      </x:c>
      <x:c r="F939" s="13" t="n">
        <x:f>D939-E939</x:f>
        <x:v>2381.02</x:v>
      </x:c>
      <x:c r="G939" s="3" t="n">
        <x:v>558</x:v>
      </x:c>
      <x:c r="H939" s="3" t="n">
        <x:v>2</x:v>
      </x:c>
      <x:c r="I939" s="3" t="n">
        <x:v>210</x:v>
      </x:c>
      <x:c r="J939" s="15" t="n">
        <x:f>IF(D939=0,"n.a.",E939/D939)</x:f>
        <x:v>0.0035571997723392148</x:v>
      </x:c>
      <x:c r="K939" s="15" t="n">
        <x:f>F939/'Datos'!$F$7</x:f>
        <x:v>0.00024314212016793597</x:v>
      </x:c>
      <x:c r="L939" s="3"/>
    </x:row>
    <x:row r="940" ht="22" customHeight="1">
      <x:c r="A940" s="3"/>
      <x:c r="B940" s="3" t="str">
        <x:v>22440</x:v>
      </x:c>
      <x:c r="C940" s="3" t="str">
        <x:v>BALLOON WATER BOMB PACK OF 35</x:v>
      </x:c>
      <x:c r="D940" s="13" t="n">
        <x:v>2385.12</x:v>
      </x:c>
      <x:c r="E940" s="13" t="n">
        <x:v>4.2</x:v>
      </x:c>
      <x:c r="F940" s="13" t="n">
        <x:f>D940-E940</x:f>
        <x:v>2380.92</x:v>
      </x:c>
      <x:c r="G940" s="3" t="n">
        <x:v>6034</x:v>
      </x:c>
      <x:c r="H940" s="3" t="n">
        <x:v>10</x:v>
      </x:c>
      <x:c r="I940" s="3" t="n">
        <x:v>154</x:v>
      </x:c>
      <x:c r="J940" s="15" t="n">
        <x:f>IF(D940=0,"n.a.",E940/D940)</x:f>
        <x:v>0.0017609176896759913</x:v>
      </x:c>
      <x:c r="K940" s="15" t="n">
        <x:f>F940/'Datos'!$F$7</x:f>
        <x:v>0.00024313190848890062</x:v>
      </x:c>
      <x:c r="L940" s="3"/>
    </x:row>
    <x:row r="941" ht="22" customHeight="1">
      <x:c r="A941" s="3"/>
      <x:c r="B941" s="3" t="str">
        <x:v>20978</x:v>
      </x:c>
      <x:c r="C941" s="3" t="str">
        <x:v>36 PENCILS TUBE SKULLS</x:v>
      </x:c>
      <x:c r="D941" s="13" t="n">
        <x:v>2400.05</x:v>
      </x:c>
      <x:c r="E941" s="13" t="n">
        <x:v>20</x:v>
      </x:c>
      <x:c r="F941" s="13" t="n">
        <x:f>D941-E941</x:f>
        <x:v>2380.05</x:v>
      </x:c>
      <x:c r="G941" s="3" t="n">
        <x:v>1799</x:v>
      </x:c>
      <x:c r="H941" s="3" t="n">
        <x:v>16</x:v>
      </x:c>
      <x:c r="I941" s="3" t="n">
        <x:v>263</x:v>
      </x:c>
      <x:c r="J941" s="15" t="n">
        <x:f>IF(D941=0,"n.a.",E941/D941)</x:f>
        <x:v>0.008333159725839045</x:v>
      </x:c>
      <x:c r="K941" s="15" t="n">
        <x:f>F941/'Datos'!$F$7</x:f>
        <x:v>0.00024304306688129293</x:v>
      </x:c>
      <x:c r="L941" s="3"/>
    </x:row>
    <x:row r="942" ht="22" customHeight="1">
      <x:c r="A942" s="3"/>
      <x:c r="B942" s="3" t="str">
        <x:v>23498</x:v>
      </x:c>
      <x:c r="C942" s="3" t="str">
        <x:v>CLASSIC BICYCLE CLIPS</x:v>
      </x:c>
      <x:c r="D942" s="13" t="n">
        <x:v>2378.48</x:v>
      </x:c>
      <x:c r="E942" s="13" t="n">
        <x:v>0</x:v>
      </x:c>
      <x:c r="F942" s="13" t="n">
        <x:f>D942-E942</x:f>
        <x:v>2378.48</x:v>
      </x:c>
      <x:c r="G942" s="3" t="n">
        <x:v>1644</x:v>
      </x:c>
      <x:c r="H942" s="3" t="n">
        <x:v>0</x:v>
      </x:c>
      <x:c r="I942" s="3" t="n">
        <x:v>99</x:v>
      </x:c>
      <x:c r="J942" s="15" t="n">
        <x:f>IF(D942=0,"n.a.",E942/D942)</x:f>
        <x:v>0</x:v>
      </x:c>
      <x:c r="K942" s="15" t="n">
        <x:f>F942/'Datos'!$F$7</x:f>
        <x:v>0.0002428827435204376</x:v>
      </x:c>
      <x:c r="L942" s="3"/>
    </x:row>
    <x:row r="943" ht="22" customHeight="1">
      <x:c r="A943" s="3"/>
      <x:c r="B943" s="3" t="str">
        <x:v>20983</x:v>
      </x:c>
      <x:c r="C943" s="3" t="str">
        <x:v>12 PENCILS TALL TUBE RED RETROSPOT</x:v>
      </x:c>
      <x:c r="D943" s="13" t="n">
        <x:v>2382.46</x:v>
      </x:c>
      <x:c r="E943" s="13" t="n">
        <x:v>5.95</x:v>
      </x:c>
      <x:c r="F943" s="13" t="n">
        <x:f>D943-E943</x:f>
        <x:v>2376.51</x:v>
      </x:c>
      <x:c r="G943" s="3" t="n">
        <x:v>2746</x:v>
      </x:c>
      <x:c r="H943" s="3" t="n">
        <x:v>7</x:v>
      </x:c>
      <x:c r="I943" s="3" t="n">
        <x:v>268</x:v>
      </x:c>
      <x:c r="J943" s="15" t="n">
        <x:f>IF(D943=0,"n.a.",E943/D943)</x:f>
        <x:v>0.0024974186345206218</x:v>
      </x:c>
      <x:c r="K943" s="15" t="n">
        <x:f>F943/'Datos'!$F$7</x:f>
        <x:v>0.0002426815734434409</x:v>
      </x:c>
      <x:c r="L943" s="3"/>
    </x:row>
    <x:row r="944" ht="22" customHeight="1">
      <x:c r="A944" s="3"/>
      <x:c r="B944" s="3" t="str">
        <x:v>23028</x:v>
      </x:c>
      <x:c r="C944" s="3" t="str">
        <x:v>DRAWER KNOB CRACKLE GLAZE BLUE</x:v>
      </x:c>
      <x:c r="D944" s="13" t="n">
        <x:v>2387.03</x:v>
      </x:c>
      <x:c r="E944" s="13" t="n">
        <x:v>11.55</x:v>
      </x:c>
      <x:c r="F944" s="13" t="n">
        <x:f>D944-E944</x:f>
        <x:v>2375.48</x:v>
      </x:c>
      <x:c r="G944" s="3" t="n">
        <x:v>1375</x:v>
      </x:c>
      <x:c r="H944" s="3" t="n">
        <x:v>7</x:v>
      </x:c>
      <x:c r="I944" s="3" t="n">
        <x:v>137</x:v>
      </x:c>
      <x:c r="J944" s="15" t="n">
        <x:f>IF(D944=0,"n.a.",E944/D944)</x:f>
        <x:v>0.004838648864907437</x:v>
      </x:c>
      <x:c r="K944" s="15" t="n">
        <x:f>F944/'Datos'!$F$7</x:f>
        <x:v>0.00024257639314937657</x:v>
      </x:c>
      <x:c r="L944" s="3"/>
    </x:row>
    <x:row r="945" ht="22" customHeight="1">
      <x:c r="A945" s="3"/>
      <x:c r="B945" s="3" t="str">
        <x:v>23437</x:v>
      </x:c>
      <x:c r="C945" s="3" t="str">
        <x:v>50'S CHRISTMAS GIFT BAG LARGE</x:v>
      </x:c>
      <x:c r="D945" s="13" t="n">
        <x:v>2373.63</x:v>
      </x:c>
      <x:c r="E945" s="13" t="n">
        <x:v>2.5</x:v>
      </x:c>
      <x:c r="F945" s="13" t="n">
        <x:f>D945-E945</x:f>
        <x:v>2371.13</x:v>
      </x:c>
      <x:c r="G945" s="3" t="n">
        <x:v>1939</x:v>
      </x:c>
      <x:c r="H945" s="3" t="n">
        <x:v>2</x:v>
      </x:c>
      <x:c r="I945" s="3" t="n">
        <x:v>131</x:v>
      </x:c>
      <x:c r="J945" s="15" t="n">
        <x:f>IF(D945=0,"n.a.",E945/D945)</x:f>
        <x:v>0.0010532391316254008</x:v>
      </x:c>
      <x:c r="K945" s="15" t="n">
        <x:f>F945/'Datos'!$F$7</x:f>
        <x:v>0.00024213218511133803</x:v>
      </x:c>
      <x:c r="L945" s="3"/>
    </x:row>
    <x:row r="946" ht="22" customHeight="1">
      <x:c r="A946" s="3"/>
      <x:c r="B946" s="3" t="str">
        <x:v>22282</x:v>
      </x:c>
      <x:c r="C946" s="3" t="str">
        <x:v>12 EGG HOUSE PAINTED WOOD</x:v>
      </x:c>
      <x:c r="D946" s="13" t="n">
        <x:v>2378.52</x:v>
      </x:c>
      <x:c r="E946" s="13" t="n">
        <x:v>12.75</x:v>
      </x:c>
      <x:c r="F946" s="13" t="n">
        <x:f>D946-E946</x:f>
        <x:v>2365.77</x:v>
      </x:c>
      <x:c r="G946" s="3" t="n">
        <x:v>149</x:v>
      </x:c>
      <x:c r="H946" s="3" t="n">
        <x:v>1</x:v>
      </x:c>
      <x:c r="I946" s="3" t="n">
        <x:v>99</x:v>
      </x:c>
      <x:c r="J946" s="15" t="n">
        <x:f>IF(D946=0,"n.a.",E946/D946)</x:f>
        <x:v>0.005360476262549821</x:v>
      </x:c>
      <x:c r="K946" s="15" t="n">
        <x:f>F946/'Datos'!$F$7</x:f>
        <x:v>0.00024158483911504224</x:v>
      </x:c>
      <x:c r="L946" s="3"/>
    </x:row>
    <x:row r="947" ht="22" customHeight="1">
      <x:c r="A947" s="3"/>
      <x:c r="B947" s="3" t="str">
        <x:v>22851</x:v>
      </x:c>
      <x:c r="C947" s="3" t="str">
        <x:v>SET 20 NAPKINS FAIRY CAKES DESIGN</x:v>
      </x:c>
      <x:c r="D947" s="13" t="n">
        <x:v>2375.44</x:v>
      </x:c>
      <x:c r="E947" s="13" t="n">
        <x:v>11.05</x:v>
      </x:c>
      <x:c r="F947" s="13" t="n">
        <x:f>D947-E947</x:f>
        <x:v>2364.39</x:v>
      </x:c>
      <x:c r="G947" s="3" t="n">
        <x:v>2749</x:v>
      </x:c>
      <x:c r="H947" s="3" t="n">
        <x:v>13</x:v>
      </x:c>
      <x:c r="I947" s="3" t="n">
        <x:v>350</x:v>
      </x:c>
      <x:c r="J947" s="15" t="n">
        <x:f>IF(D947=0,"n.a.",E947/D947)</x:f>
        <x:v>0.00465176977738861</x:v>
      </x:c>
      <x:c r="K947" s="15" t="n">
        <x:f>F947/'Datos'!$F$7</x:f>
        <x:v>0.00024144391794435414</x:v>
      </x:c>
      <x:c r="L947" s="3"/>
    </x:row>
    <x:row r="948" ht="22" customHeight="1">
      <x:c r="A948" s="3"/>
      <x:c r="B948" s="3" t="str">
        <x:v>22548</x:v>
      </x:c>
      <x:c r="C948" s="3" t="str">
        <x:v>HEADS AND TAILS SPORTING FUN</x:v>
      </x:c>
      <x:c r="D948" s="13" t="n">
        <x:v>2351.44</x:v>
      </x:c>
      <x:c r="E948" s="13" t="n">
        <x:v>0</x:v>
      </x:c>
      <x:c r="F948" s="13" t="n">
        <x:f>D948-E948</x:f>
        <x:v>2351.44</x:v>
      </x:c>
      <x:c r="G948" s="3" t="n">
        <x:v>1977</x:v>
      </x:c>
      <x:c r="H948" s="3" t="n">
        <x:v>0</x:v>
      </x:c>
      <x:c r="I948" s="3" t="n">
        <x:v>209</x:v>
      </x:c>
      <x:c r="J948" s="15" t="n">
        <x:f>IF(D948=0,"n.a.",E948/D948)</x:f>
        <x:v>0</x:v>
      </x:c>
      <x:c r="K948" s="15" t="n">
        <x:f>F948/'Datos'!$F$7</x:f>
        <x:v>0.0002401215055092739</x:v>
      </x:c>
      <x:c r="L948" s="3"/>
    </x:row>
    <x:row r="949" ht="22" customHeight="1">
      <x:c r="A949" s="3"/>
      <x:c r="B949" s="3" t="str">
        <x:v>22167</x:v>
      </x:c>
      <x:c r="C949" s="3" t="str">
        <x:v>OVAL WALL MIRROR DIAMANTE</x:v>
      </x:c>
      <x:c r="D949" s="13" t="n">
        <x:v>2401.07</x:v>
      </x:c>
      <x:c r="E949" s="13" t="n">
        <x:v>49.75</x:v>
      </x:c>
      <x:c r="F949" s="13" t="n">
        <x:f>D949-E949</x:f>
        <x:v>2351.32</x:v>
      </x:c>
      <x:c r="G949" s="3" t="n">
        <x:v>237</x:v>
      </x:c>
      <x:c r="H949" s="3" t="n">
        <x:v>5</x:v>
      </x:c>
      <x:c r="I949" s="3" t="n">
        <x:v>156</x:v>
      </x:c>
      <x:c r="J949" s="15" t="n">
        <x:f>IF(D949=0,"n.a.",E949/D949)</x:f>
        <x:v>0.02071992903164006</x:v>
      </x:c>
      <x:c r="K949" s="15" t="n">
        <x:f>F949/'Datos'!$F$7</x:f>
        <x:v>0.0002401092514944315</x:v>
      </x:c>
      <x:c r="L949" s="3"/>
    </x:row>
    <x:row r="950" ht="22" customHeight="1">
      <x:c r="A950" s="3"/>
      <x:c r="B950" s="3" t="str">
        <x:v>23436</x:v>
      </x:c>
      <x:c r="C950" s="3" t="str">
        <x:v>VINTAGE CHRISTMAS GIFT BAG LARGE</x:v>
      </x:c>
      <x:c r="D950" s="13" t="n">
        <x:v>2367.39</x:v>
      </x:c>
      <x:c r="E950" s="13" t="n">
        <x:v>18.75</x:v>
      </x:c>
      <x:c r="F950" s="13" t="n">
        <x:f>D950-E950</x:f>
        <x:v>2348.64</x:v>
      </x:c>
      <x:c r="G950" s="3" t="n">
        <x:v>1979</x:v>
      </x:c>
      <x:c r="H950" s="3" t="n">
        <x:v>15</x:v>
      </x:c>
      <x:c r="I950" s="3" t="n">
        <x:v>114</x:v>
      </x:c>
      <x:c r="J950" s="15" t="n">
        <x:f>IF(D950=0,"n.a.",E950/D950)</x:f>
        <x:v>0.007920114556536946</x:v>
      </x:c>
      <x:c r="K950" s="15" t="n">
        <x:f>F950/'Datos'!$F$7</x:f>
        <x:v>0.00023983557849628357</x:v>
      </x:c>
      <x:c r="L950" s="3"/>
    </x:row>
    <x:row r="951" ht="22" customHeight="1">
      <x:c r="A951" s="3"/>
      <x:c r="B951" s="3" t="str">
        <x:v>21495</x:v>
      </x:c>
      <x:c r="C951" s="3" t="str">
        <x:v>SKULLS AND CROSSBONES WRAP</x:v>
      </x:c>
      <x:c r="D951" s="13" t="n">
        <x:v>2356</x:v>
      </x:c>
      <x:c r="E951" s="13" t="n">
        <x:v>10.5</x:v>
      </x:c>
      <x:c r="F951" s="13" t="n">
        <x:f>D951-E951</x:f>
        <x:v>2345.5</x:v>
      </x:c>
      <x:c r="G951" s="3" t="n">
        <x:v>5800</x:v>
      </x:c>
      <x:c r="H951" s="3" t="n">
        <x:v>25</x:v>
      </x:c>
      <x:c r="I951" s="3" t="n">
        <x:v>165</x:v>
      </x:c>
      <x:c r="J951" s="15" t="n">
        <x:f>IF(D951=0,"n.a.",E951/D951)</x:f>
        <x:v>0.004456706281833617</x:v>
      </x:c>
      <x:c r="K951" s="15" t="n">
        <x:f>F951/'Datos'!$F$7</x:f>
        <x:v>0.00023951493177457302</x:v>
      </x:c>
      <x:c r="L951" s="3"/>
    </x:row>
    <x:row r="952" ht="22" customHeight="1">
      <x:c r="A952" s="3"/>
      <x:c r="B952" s="3" t="str">
        <x:v>23412</x:v>
      </x:c>
      <x:c r="C952" s="3" t="str">
        <x:v>HEART MIRROR ANTIQUE WHITE</x:v>
      </x:c>
      <x:c r="D952" s="13" t="n">
        <x:v>2354.8</x:v>
      </x:c>
      <x:c r="E952" s="13" t="n">
        <x:v>15</x:v>
      </x:c>
      <x:c r="F952" s="13" t="n">
        <x:f>D952-E952</x:f>
        <x:v>2339.8</x:v>
      </x:c>
      <x:c r="G952" s="3" t="n">
        <x:v>358</x:v>
      </x:c>
      <x:c r="H952" s="3" t="n">
        <x:v>2</x:v>
      </x:c>
      <x:c r="I952" s="3" t="n">
        <x:v>76</x:v>
      </x:c>
      <x:c r="J952" s="15" t="n">
        <x:f>IF(D952=0,"n.a.",E952/D952)</x:f>
        <x:v>0.006369967725496857</x:v>
      </x:c>
      <x:c r="K952" s="15" t="n">
        <x:f>F952/'Datos'!$F$7</x:f>
        <x:v>0.00023893286606955702</x:v>
      </x:c>
      <x:c r="L952" s="3"/>
    </x:row>
    <x:row r="953" ht="22" customHeight="1">
      <x:c r="A953" s="3"/>
      <x:c r="B953" s="3" t="str">
        <x:v>22939</x:v>
      </x:c>
      <x:c r="C953" s="3" t="str">
        <x:v>APRON APPLE DELIGHT</x:v>
      </x:c>
      <x:c r="D953" s="13" t="n">
        <x:v>2407.52</x:v>
      </x:c>
      <x:c r="E953" s="13" t="n">
        <x:v>69.3</x:v>
      </x:c>
      <x:c r="F953" s="13" t="n">
        <x:f>D953-E953</x:f>
        <x:v>2338.22</x:v>
      </x:c>
      <x:c r="G953" s="3" t="n">
        <x:v>472</x:v>
      </x:c>
      <x:c r="H953" s="3" t="n">
        <x:v>14</x:v>
      </x:c>
      <x:c r="I953" s="3" t="n">
        <x:v>125</x:v>
      </x:c>
      <x:c r="J953" s="15" t="n">
        <x:f>IF(D953=0,"n.a.",E953/D953)</x:f>
        <x:v>0.02878480760284442</x:v>
      </x:c>
      <x:c r="K953" s="15" t="n">
        <x:f>F953/'Datos'!$F$7</x:f>
        <x:v>0.00023877152154079816</x:v>
      </x:c>
      <x:c r="L953" s="3"/>
    </x:row>
    <x:row r="954" ht="22" customHeight="1">
      <x:c r="A954" s="3"/>
      <x:c r="B954" s="3" t="str">
        <x:v>23401</x:v>
      </x:c>
      <x:c r="C954" s="3" t="str">
        <x:v>RUSTIC MIRROR WITH LACE HEART</x:v>
      </x:c>
      <x:c r="D954" s="13" t="n">
        <x:v>2354.87</x:v>
      </x:c>
      <x:c r="E954" s="13" t="n">
        <x:v>18.75</x:v>
      </x:c>
      <x:c r="F954" s="13" t="n">
        <x:f>D954-E954</x:f>
        <x:v>2336.12</x:v>
      </x:c>
      <x:c r="G954" s="3" t="n">
        <x:v>459</x:v>
      </x:c>
      <x:c r="H954" s="3" t="n">
        <x:v>3</x:v>
      </x:c>
      <x:c r="I954" s="3" t="n">
        <x:v>83</x:v>
      </x:c>
      <x:c r="J954" s="15" t="n">
        <x:f>IF(D954=0,"n.a.",E954/D954)</x:f>
        <x:v>0.00796222296772221</x:v>
      </x:c>
      <x:c r="K954" s="15" t="n">
        <x:f>F954/'Datos'!$F$7</x:f>
        <x:v>0.00023855707628105542</x:v>
      </x:c>
      <x:c r="L954" s="3"/>
    </x:row>
    <x:row r="955" ht="22" customHeight="1">
      <x:c r="A955" s="3"/>
      <x:c r="B955" s="3" t="str">
        <x:v>37500</x:v>
      </x:c>
      <x:c r="C955" s="3" t="str">
        <x:v>TEA TIME TEAPOT IN GIFT BOX</x:v>
      </x:c>
      <x:c r="D955" s="13" t="n">
        <x:v>2360.68</x:v>
      </x:c>
      <x:c r="E955" s="13" t="n">
        <x:v>24.85</x:v>
      </x:c>
      <x:c r="F955" s="13" t="n">
        <x:f>D955-E955</x:f>
        <x:v>2335.83</x:v>
      </x:c>
      <x:c r="G955" s="3" t="n">
        <x:v>380</x:v>
      </x:c>
      <x:c r="H955" s="3" t="n">
        <x:v>3</x:v>
      </x:c>
      <x:c r="I955" s="3" t="n">
        <x:v>113</x:v>
      </x:c>
      <x:c r="J955" s="15" t="n">
        <x:f>IF(D955=0,"n.a.",E955/D955)</x:f>
        <x:v>0.010526627920768594</x:v>
      </x:c>
      <x:c r="K955" s="15" t="n">
        <x:f>F955/'Datos'!$F$7</x:f>
        <x:v>0.00023852746241185286</x:v>
      </x:c>
      <x:c r="L955" s="3"/>
    </x:row>
    <x:row r="956" ht="22" customHeight="1">
      <x:c r="A956" s="3"/>
      <x:c r="B956" s="3" t="str">
        <x:v>16156S</x:v>
      </x:c>
      <x:c r="C956" s="3" t="str">
        <x:v>WRAP PINK FAIRY CAKES</x:v>
      </x:c>
      <x:c r="D956" s="13" t="n">
        <x:v>2331</x:v>
      </x:c>
      <x:c r="E956" s="13" t="n">
        <x:v>0</x:v>
      </x:c>
      <x:c r="F956" s="13" t="n">
        <x:f>D956-E956</x:f>
        <x:v>2331</x:v>
      </x:c>
      <x:c r="G956" s="3" t="n">
        <x:v>5800</x:v>
      </x:c>
      <x:c r="H956" s="3" t="n">
        <x:v>0</x:v>
      </x:c>
      <x:c r="I956" s="3" t="n">
        <x:v>167</x:v>
      </x:c>
      <x:c r="J956" s="15" t="n">
        <x:f>IF(D956=0,"n.a.",E956/D956)</x:f>
        <x:v>0</x:v>
      </x:c>
      <x:c r="K956" s="15" t="n">
        <x:f>F956/'Datos'!$F$7</x:f>
        <x:v>0.00023803423831444455</x:v>
      </x:c>
      <x:c r="L956" s="3"/>
    </x:row>
    <x:row r="957" ht="22" customHeight="1">
      <x:c r="A957" s="3"/>
      <x:c r="B957" s="3" t="str">
        <x:v>22425</x:v>
      </x:c>
      <x:c r="C957" s="3" t="str">
        <x:v>ENAMEL COLANDER CREAM</x:v>
      </x:c>
      <x:c r="D957" s="13" t="n">
        <x:v>2346.12</x:v>
      </x:c>
      <x:c r="E957" s="13" t="n">
        <x:v>29.7</x:v>
      </x:c>
      <x:c r="F957" s="13" t="n">
        <x:f>D957-E957</x:f>
        <x:v>2316.42</x:v>
      </x:c>
      <x:c r="G957" s="3" t="n">
        <x:v>460</x:v>
      </x:c>
      <x:c r="H957" s="3" t="n">
        <x:v>6</x:v>
      </x:c>
      <x:c r="I957" s="3" t="n">
        <x:v>166</x:v>
      </x:c>
      <x:c r="J957" s="15" t="n">
        <x:f>IF(D957=0,"n.a.",E957/D957)</x:f>
        <x:v>0.012659199017953046</x:v>
      </x:c>
      <x:c r="K957" s="15" t="n">
        <x:f>F957/'Datos'!$F$7</x:f>
        <x:v>0.0002365453755110878</x:v>
      </x:c>
      <x:c r="L957" s="3"/>
    </x:row>
    <x:row r="958" ht="22" customHeight="1">
      <x:c r="A958" s="3"/>
      <x:c r="B958" s="3" t="str">
        <x:v>23371</x:v>
      </x:c>
      <x:c r="C958" s="3" t="str">
        <x:v>SET 36 COLOUR PENCILS SPACEBOY</x:v>
      </x:c>
      <x:c r="D958" s="13" t="n">
        <x:v>2313.53</x:v>
      </x:c>
      <x:c r="E958" s="13" t="n">
        <x:v>0</x:v>
      </x:c>
      <x:c r="F958" s="13" t="n">
        <x:f>D958-E958</x:f>
        <x:v>2313.53</x:v>
      </x:c>
      <x:c r="G958" s="3" t="n">
        <x:v>1712</x:v>
      </x:c>
      <x:c r="H958" s="3" t="n">
        <x:v>0</x:v>
      </x:c>
      <x:c r="I958" s="3" t="n">
        <x:v>185</x:v>
      </x:c>
      <x:c r="J958" s="15" t="n">
        <x:f>IF(D958=0,"n.a.",E958/D958)</x:f>
        <x:v>0</x:v>
      </x:c>
      <x:c r="K958" s="15" t="n">
        <x:f>F958/'Datos'!$F$7</x:f>
        <x:v>0.00023625025798696566</x:v>
      </x:c>
      <x:c r="L958" s="3"/>
    </x:row>
    <x:row r="959" ht="22" customHeight="1">
      <x:c r="A959" s="3"/>
      <x:c r="B959" s="3" t="str">
        <x:v>22483</x:v>
      </x:c>
      <x:c r="C959" s="3" t="str">
        <x:v>RED GINGHAM TEDDY BEAR</x:v>
      </x:c>
      <x:c r="D959" s="13" t="n">
        <x:v>2314.74</x:v>
      </x:c>
      <x:c r="E959" s="13" t="n">
        <x:v>2.95</x:v>
      </x:c>
      <x:c r="F959" s="13" t="n">
        <x:f>D959-E959</x:f>
        <x:v>2311.79</x:v>
      </x:c>
      <x:c r="G959" s="3" t="n">
        <x:v>774</x:v>
      </x:c>
      <x:c r="H959" s="3" t="n">
        <x:v>1</x:v>
      </x:c>
      <x:c r="I959" s="3" t="n">
        <x:v>169</x:v>
      </x:c>
      <x:c r="J959" s="15" t="n">
        <x:f>IF(D959=0,"n.a.",E959/D959)</x:f>
        <x:v>0.001274441189939259</x:v>
      </x:c>
      <x:c r="K959" s="15" t="n">
        <x:f>F959/'Datos'!$F$7</x:f>
        <x:v>0.00023607257477175023</x:v>
      </x:c>
      <x:c r="L959" s="3"/>
    </x:row>
    <x:row r="960" ht="22" customHeight="1">
      <x:c r="A960" s="3"/>
      <x:c r="B960" s="3" t="str">
        <x:v>21700</x:v>
      </x:c>
      <x:c r="C960" s="3" t="str">
        <x:v>BIG DOUGHNUT FRIDGE MAGNETS</x:v>
      </x:c>
      <x:c r="D960" s="13" t="n">
        <x:v>2334.94</x:v>
      </x:c>
      <x:c r="E960" s="13" t="n">
        <x:v>30.6</x:v>
      </x:c>
      <x:c r="F960" s="13" t="n">
        <x:f>D960-E960</x:f>
        <x:v>2304.34</x:v>
      </x:c>
      <x:c r="G960" s="3" t="n">
        <x:v>1726</x:v>
      </x:c>
      <x:c r="H960" s="3" t="n">
        <x:v>36</x:v>
      </x:c>
      <x:c r="I960" s="3" t="n">
        <x:v>198</x:v>
      </x:c>
      <x:c r="J960" s="15" t="n">
        <x:f>IF(D960=0,"n.a.",E960/D960)</x:f>
        <x:v>0.013105261805442539</x:v>
      </x:c>
      <x:c r="K960" s="15" t="n">
        <x:f>F960/'Datos'!$F$7</x:f>
        <x:v>0.00023531180468361527</x:v>
      </x:c>
      <x:c r="L960" s="3"/>
    </x:row>
    <x:row r="961" ht="22" customHeight="1">
      <x:c r="A961" s="3"/>
      <x:c r="B961" s="3" t="str">
        <x:v>21982</x:v>
      </x:c>
      <x:c r="C961" s="3" t="str">
        <x:v>PACK OF 12 SUKI TISSUES</x:v>
      </x:c>
      <x:c r="D961" s="13" t="n">
        <x:v>2304.14</x:v>
      </x:c>
      <x:c r="E961" s="13" t="n">
        <x:v>0.39</x:v>
      </x:c>
      <x:c r="F961" s="13" t="n">
        <x:f>D961-E961</x:f>
        <x:v>2303.75</x:v>
      </x:c>
      <x:c r="G961" s="3" t="n">
        <x:v>7612</x:v>
      </x:c>
      <x:c r="H961" s="3" t="n">
        <x:v>1</x:v>
      </x:c>
      <x:c r="I961" s="3" t="n">
        <x:v>359</x:v>
      </x:c>
      <x:c r="J961" s="15" t="n">
        <x:f>IF(D961=0,"n.a.",E961/D961)</x:f>
        <x:v>0.00016926054840417685</x:v>
      </x:c>
      <x:c r="K961" s="15" t="n">
        <x:f>F961/'Datos'!$F$7</x:f>
        <x:v>0.00023525155577730657</x:v>
      </x:c>
      <x:c r="L961" s="3"/>
    </x:row>
    <x:row r="962" ht="22" customHeight="1">
      <x:c r="A962" s="3"/>
      <x:c r="B962" s="3" t="str">
        <x:v>84950</x:v>
      </x:c>
      <x:c r="C962" s="3" t="str">
        <x:v>ASSORTED COLOUR T-LIGHT HOLDER</x:v>
      </x:c>
      <x:c r="D962" s="13" t="n">
        <x:v>2304.83</x:v>
      </x:c>
      <x:c r="E962" s="13" t="n">
        <x:v>6.1</x:v>
      </x:c>
      <x:c r="F962" s="13" t="n">
        <x:f>D962-E962</x:f>
        <x:v>2298.73</x:v>
      </x:c>
      <x:c r="G962" s="3" t="n">
        <x:v>3631</x:v>
      </x:c>
      <x:c r="H962" s="3" t="n">
        <x:v>10</x:v>
      </x:c>
      <x:c r="I962" s="3" t="n">
        <x:v>120</x:v>
      </x:c>
      <x:c r="J962" s="15" t="n">
        <x:f>IF(D962=0,"n.a.",E962/D962)</x:f>
        <x:v>0.0026466160194027325</x:v>
      </x:c>
      <x:c r="K962" s="15" t="n">
        <x:f>F962/'Datos'!$F$7</x:f>
        <x:v>0.00023473892948973107</x:v>
      </x:c>
      <x:c r="L962" s="3"/>
    </x:row>
    <x:row r="963" ht="22" customHeight="1">
      <x:c r="A963" s="3"/>
      <x:c r="B963" s="3" t="str">
        <x:v>84032B</x:v>
      </x:c>
      <x:c r="C963" s="3" t="str">
        <x:v>CHARLIE + LOLA RED HOT WATER BOTTLE</x:v>
      </x:c>
      <x:c r="D963" s="13" t="n">
        <x:v>2430.44</x:v>
      </x:c>
      <x:c r="E963" s="13" t="n">
        <x:v>133.5</x:v>
      </x:c>
      <x:c r="F963" s="13" t="n">
        <x:f>D963-E963</x:f>
        <x:v>2296.94</x:v>
      </x:c>
      <x:c r="G963" s="3" t="n">
        <x:v>939</x:v>
      </x:c>
      <x:c r="H963" s="3" t="n">
        <x:v>66</x:v>
      </x:c>
      <x:c r="I963" s="3" t="n">
        <x:v>255</x:v>
      </x:c>
      <x:c r="J963" s="15" t="n">
        <x:f>IF(D963=0,"n.a.",E963/D963)</x:f>
        <x:v>0.05492832573525781</x:v>
      </x:c>
      <x:c r="K963" s="15" t="n">
        <x:f>F963/'Datos'!$F$7</x:f>
        <x:v>0.000234556140434998</x:v>
      </x:c>
      <x:c r="L963" s="3"/>
    </x:row>
    <x:row r="964" ht="22" customHeight="1">
      <x:c r="A964" s="3"/>
      <x:c r="B964" s="3" t="str">
        <x:v>23360</x:v>
      </x:c>
      <x:c r="C964" s="3" t="str">
        <x:v>SET 8 CANDLES VINTAGE DOILY</x:v>
      </x:c>
      <x:c r="D964" s="13" t="n">
        <x:v>2296.15</x:v>
      </x:c>
      <x:c r="E964" s="13" t="n">
        <x:v>0</x:v>
      </x:c>
      <x:c r="F964" s="13" t="n">
        <x:f>D964-E964</x:f>
        <x:v>2296.15</x:v>
      </x:c>
      <x:c r="G964" s="3" t="n">
        <x:v>1187</x:v>
      </x:c>
      <x:c r="H964" s="3" t="n">
        <x:v>0</x:v>
      </x:c>
      <x:c r="I964" s="3" t="n">
        <x:v>114</x:v>
      </x:c>
      <x:c r="J964" s="15" t="n">
        <x:f>IF(D964=0,"n.a.",E964/D964)</x:f>
        <x:v>0</x:v>
      </x:c>
      <x:c r="K964" s="15" t="n">
        <x:f>F964/'Datos'!$F$7</x:f>
        <x:v>0.00023447546817061856</x:v>
      </x:c>
      <x:c r="L964" s="3"/>
    </x:row>
    <x:row r="965" ht="22" customHeight="1">
      <x:c r="A965" s="3"/>
      <x:c r="B965" s="3" t="str">
        <x:v>22441</x:v>
      </x:c>
      <x:c r="C965" s="3" t="str">
        <x:v>GROW YOUR OWN BASIL IN ENAMEL MUG</x:v>
      </x:c>
      <x:c r="D965" s="13" t="n">
        <x:v>2301.31</x:v>
      </x:c>
      <x:c r="E965" s="13" t="n">
        <x:v>6.3</x:v>
      </x:c>
      <x:c r="F965" s="13" t="n">
        <x:f>D965-E965</x:f>
        <x:v>2295.0099999999998</x:v>
      </x:c>
      <x:c r="G965" s="3" t="n">
        <x:v>1051</x:v>
      </x:c>
      <x:c r="H965" s="3" t="n">
        <x:v>3</x:v>
      </x:c>
      <x:c r="I965" s="3" t="n">
        <x:v>219</x:v>
      </x:c>
      <x:c r="J965" s="15" t="n">
        <x:f>IF(D965=0,"n.a.",E965/D965)</x:f>
        <x:v>0.002737571209441579</x:v>
      </x:c>
      <x:c r="K965" s="15" t="n">
        <x:f>F965/'Datos'!$F$7</x:f>
        <x:v>0.00023435905502961534</x:v>
      </x:c>
      <x:c r="L965" s="3"/>
    </x:row>
    <x:row r="966" ht="22" customHeight="1">
      <x:c r="A966" s="3"/>
      <x:c r="B966" s="3" t="str">
        <x:v>22736</x:v>
      </x:c>
      <x:c r="C966" s="3" t="str">
        <x:v>RIBBON REEL MAKING SNOWMEN</x:v>
      </x:c>
      <x:c r="D966" s="13" t="n">
        <x:v>2315.25</x:v>
      </x:c>
      <x:c r="E966" s="13" t="n">
        <x:v>21.45</x:v>
      </x:c>
      <x:c r="F966" s="13" t="n">
        <x:f>D966-E966</x:f>
        <x:v>2293.8</x:v>
      </x:c>
      <x:c r="G966" s="3" t="n">
        <x:v>1233</x:v>
      </x:c>
      <x:c r="H966" s="3" t="n">
        <x:v>13</x:v>
      </x:c>
      <x:c r="I966" s="3" t="n">
        <x:v>223</x:v>
      </x:c>
      <x:c r="J966" s="15" t="n">
        <x:f>IF(D966=0,"n.a.",E966/D966)</x:f>
        <x:v>0.00926465824425008</x:v>
      </x:c>
      <x:c r="K966" s="15" t="n">
        <x:f>F966/'Datos'!$F$7</x:f>
        <x:v>0.0002342354937132874</x:v>
      </x:c>
      <x:c r="L966" s="3"/>
    </x:row>
    <x:row r="967" ht="22" customHeight="1">
      <x:c r="A967" s="3"/>
      <x:c r="B967" s="3" t="str">
        <x:v>23330</x:v>
      </x:c>
      <x:c r="C967" s="3" t="str">
        <x:v>DECORATIVE WICKER HEART MEDIUM</x:v>
      </x:c>
      <x:c r="D967" s="13" t="n">
        <x:v>2299.47</x:v>
      </x:c>
      <x:c r="E967" s="13" t="n">
        <x:v>7.5</x:v>
      </x:c>
      <x:c r="F967" s="13" t="n">
        <x:f>D967-E967</x:f>
        <x:v>2291.97</x:v>
      </x:c>
      <x:c r="G967" s="3" t="n">
        <x:v>1804</x:v>
      </x:c>
      <x:c r="H967" s="3" t="n">
        <x:v>6</x:v>
      </x:c>
      <x:c r="I967" s="3" t="n">
        <x:v>216</x:v>
      </x:c>
      <x:c r="J967" s="15" t="n">
        <x:f>IF(D967=0,"n.a.",E967/D967)</x:f>
        <x:v>0.003261621156179468</x:v>
      </x:c>
      <x:c r="K967" s="15" t="n">
        <x:f>F967/'Datos'!$F$7</x:f>
        <x:v>0.00023404861998694012</x:v>
      </x:c>
      <x:c r="L967" s="3"/>
    </x:row>
    <x:row r="968" ht="22" customHeight="1">
      <x:c r="A968" s="3"/>
      <x:c r="B968" s="3" t="str">
        <x:v>22185</x:v>
      </x:c>
      <x:c r="C968" s="3" t="str">
        <x:v>SLATE TILE NATURAL HANGING</x:v>
      </x:c>
      <x:c r="D968" s="13" t="n">
        <x:v>2291.44</x:v>
      </x:c>
      <x:c r="E968" s="13" t="n">
        <x:v>0</x:v>
      </x:c>
      <x:c r="F968" s="13" t="n">
        <x:f>D968-E968</x:f>
        <x:v>2291.44</x:v>
      </x:c>
      <x:c r="G968" s="3" t="n">
        <x:v>1510</x:v>
      </x:c>
      <x:c r="H968" s="3" t="n">
        <x:v>0</x:v>
      </x:c>
      <x:c r="I968" s="3" t="n">
        <x:v>162</x:v>
      </x:c>
      <x:c r="J968" s="15" t="n">
        <x:f>IF(D968=0,"n.a.",E968/D968)</x:f>
        <x:v>0</x:v>
      </x:c>
      <x:c r="K968" s="15" t="n">
        <x:f>F968/'Datos'!$F$7</x:f>
        <x:v>0.0002339944980880527</x:v>
      </x:c>
      <x:c r="L968" s="3"/>
    </x:row>
    <x:row r="969" ht="22" customHeight="1">
      <x:c r="A969" s="3"/>
      <x:c r="B969" s="3" t="str">
        <x:v>23197</x:v>
      </x:c>
      <x:c r="C969" s="3" t="str">
        <x:v>SKETCHBOOK MAGNETIC SHOPPING LIST</x:v>
      </x:c>
      <x:c r="D969" s="13" t="n">
        <x:v>2323.8</x:v>
      </x:c>
      <x:c r="E969" s="13" t="n">
        <x:v>36.25</x:v>
      </x:c>
      <x:c r="F969" s="13" t="n">
        <x:f>D969-E969</x:f>
        <x:v>2287.55</x:v>
      </x:c>
      <x:c r="G969" s="3" t="n">
        <x:v>1492</x:v>
      </x:c>
      <x:c r="H969" s="3" t="n">
        <x:v>25</x:v>
      </x:c>
      <x:c r="I969" s="3" t="n">
        <x:v>249</x:v>
      </x:c>
      <x:c r="J969" s="15" t="n">
        <x:f>IF(D969=0,"n.a.",E969/D969)</x:f>
        <x:v>0.0155994491780704</x:v>
      </x:c>
      <x:c r="K969" s="15" t="n">
        <x:f>F969/'Datos'!$F$7</x:f>
        <x:v>0.00023359726377357687</x:v>
      </x:c>
      <x:c r="L969" s="3"/>
    </x:row>
    <x:row r="970" ht="22" customHeight="1">
      <x:c r="A970" s="3"/>
      <x:c r="B970" s="3" t="str">
        <x:v>21896</x:v>
      </x:c>
      <x:c r="C970" s="3" t="str">
        <x:v>POTTING SHED TWINE</x:v>
      </x:c>
      <x:c r="D970" s="13" t="n">
        <x:v>2279.09</x:v>
      </x:c>
      <x:c r="E970" s="13" t="n">
        <x:v>9.75</x:v>
      </x:c>
      <x:c r="F970" s="13" t="n">
        <x:f>D970-E970</x:f>
        <x:v>2269.34</x:v>
      </x:c>
      <x:c r="G970" s="3" t="n">
        <x:v>983</x:v>
      </x:c>
      <x:c r="H970" s="3" t="n">
        <x:v>5</x:v>
      </x:c>
      <x:c r="I970" s="3" t="n">
        <x:v>110</x:v>
      </x:c>
      <x:c r="J970" s="15" t="n">
        <x:f>IF(D970=0,"n.a.",E970/D970)</x:f>
        <x:v>0.004278023246120161</x:v>
      </x:c>
      <x:c r="K970" s="15" t="n">
        <x:f>F970/'Datos'!$F$7</x:f>
        <x:v>0.00023173771702123623</x:v>
      </x:c>
      <x:c r="L970" s="3"/>
    </x:row>
    <x:row r="971" ht="22" customHeight="1">
      <x:c r="A971" s="3"/>
      <x:c r="B971" s="3" t="str">
        <x:v>85049G</x:v>
      </x:c>
      <x:c r="C971" s="3" t="str">
        <x:v>CHOCOLATE BOX RIBBONS</x:v>
      </x:c>
      <x:c r="D971" s="13" t="n">
        <x:v>2284.36</x:v>
      </x:c>
      <x:c r="E971" s="13" t="n">
        <x:v>17.5</x:v>
      </x:c>
      <x:c r="F971" s="13" t="n">
        <x:f>D971-E971</x:f>
        <x:v>2266.86</x:v>
      </x:c>
      <x:c r="G971" s="3" t="n">
        <x:v>1728</x:v>
      </x:c>
      <x:c r="H971" s="3" t="n">
        <x:v>14</x:v>
      </x:c>
      <x:c r="I971" s="3" t="n">
        <x:v>309</x:v>
      </x:c>
      <x:c r="J971" s="15" t="n">
        <x:f>IF(D971=0,"n.a.",E971/D971)</x:f>
        <x:v>0.007660789017492864</x:v>
      </x:c>
      <x:c r="K971" s="15" t="n">
        <x:f>F971/'Datos'!$F$7</x:f>
        <x:v>0.00023148446738115907</x:v>
      </x:c>
      <x:c r="L971" s="3"/>
    </x:row>
    <x:row r="972" ht="22" customHeight="1">
      <x:c r="A972" s="3"/>
      <x:c r="B972" s="3" t="str">
        <x:v>23029</x:v>
      </x:c>
      <x:c r="C972" s="3" t="str">
        <x:v>DRAWER KNOB CRACKLE GLAZE GREEN</x:v>
      </x:c>
      <x:c r="D972" s="13" t="n">
        <x:v>2303.92</x:v>
      </x:c>
      <x:c r="E972" s="13" t="n">
        <x:v>46.2</x:v>
      </x:c>
      <x:c r="F972" s="13" t="n">
        <x:f>D972-E972</x:f>
        <x:v>2257.7200000000003</x:v>
      </x:c>
      <x:c r="G972" s="3" t="n">
        <x:v>1352</x:v>
      </x:c>
      <x:c r="H972" s="3" t="n">
        <x:v>28</x:v>
      </x:c>
      <x:c r="I972" s="3" t="n">
        <x:v>156</x:v>
      </x:c>
      <x:c r="J972" s="15" t="n">
        <x:f>IF(D972=0,"n.a.",E972/D972)</x:f>
        <x:v>0.02005277961040314</x:v>
      </x:c>
      <x:c r="K972" s="15" t="n">
        <x:f>F972/'Datos'!$F$7</x:f>
        <x:v>0.0002305511199173264</x:v>
      </x:c>
      <x:c r="L972" s="3"/>
    </x:row>
    <x:row r="973" ht="22" customHeight="1">
      <x:c r="A973" s="3"/>
      <x:c r="B973" s="3" t="str">
        <x:v>85175</x:v>
      </x:c>
      <x:c r="C973" s="3" t="str">
        <x:v>CACTI T-LIGHT CANDLES</x:v>
      </x:c>
      <x:c r="D973" s="13" t="n">
        <x:v>2292.34</x:v>
      </x:c>
      <x:c r="E973" s="13" t="n">
        <x:v>41.16</x:v>
      </x:c>
      <x:c r="F973" s="13" t="n">
        <x:f>D973-E973</x:f>
        <x:v>2251.1800000000003</x:v>
      </x:c>
      <x:c r="G973" s="3" t="n">
        <x:v>5353</x:v>
      </x:c>
      <x:c r="H973" s="3" t="n">
        <x:v>98</x:v>
      </x:c>
      <x:c r="I973" s="3" t="n">
        <x:v>143</x:v>
      </x:c>
      <x:c r="J973" s="15" t="n">
        <x:f>IF(D973=0,"n.a.",E973/D973)</x:f>
        <x:v>0.017955451634574276</x:v>
      </x:c>
      <x:c r="K973" s="15" t="n">
        <x:f>F973/'Datos'!$F$7</x:f>
        <x:v>0.0002298832761084133</x:v>
      </x:c>
      <x:c r="L973" s="3"/>
    </x:row>
    <x:row r="974" ht="22" customHeight="1">
      <x:c r="A974" s="3"/>
      <x:c r="B974" s="3" t="str">
        <x:v>23128</x:v>
      </x:c>
      <x:c r="C974" s="3" t="str">
        <x:v>FELTCRAFT BOY JEAN-PAUL KIT</x:v>
      </x:c>
      <x:c r="D974" s="13" t="n">
        <x:v>2283.41</x:v>
      </x:c>
      <x:c r="E974" s="13" t="n">
        <x:v>34.65</x:v>
      </x:c>
      <x:c r="F974" s="13" t="n">
        <x:f>D974-E974</x:f>
        <x:v>2248.7599999999998</x:v>
      </x:c>
      <x:c r="G974" s="3" t="n">
        <x:v>453</x:v>
      </x:c>
      <x:c r="H974" s="3" t="n">
        <x:v>7</x:v>
      </x:c>
      <x:c r="I974" s="3" t="n">
        <x:v>139</x:v>
      </x:c>
      <x:c r="J974" s="15" t="n">
        <x:f>IF(D974=0,"n.a.",E974/D974)</x:f>
        <x:v>0.015174672967185044</x:v>
      </x:c>
      <x:c r="K974" s="15" t="n">
        <x:f>F974/'Datos'!$F$7</x:f>
        <x:v>0.0002296361534757573</x:v>
      </x:c>
      <x:c r="L974" s="3"/>
    </x:row>
    <x:row r="975" ht="22" customHeight="1">
      <x:c r="A975" s="3"/>
      <x:c r="B975" s="3" t="str">
        <x:v>22933</x:v>
      </x:c>
      <x:c r="C975" s="3" t="str">
        <x:v>BAKING MOULD EASTER EGG MILK CHOC</x:v>
      </x:c>
      <x:c r="D975" s="13" t="n">
        <x:v>2585.92</x:v>
      </x:c>
      <x:c r="E975" s="13" t="n">
        <x:v>337.8</x:v>
      </x:c>
      <x:c r="F975" s="13" t="n">
        <x:f>D975-E975</x:f>
        <x:v>2248.12</x:v>
      </x:c>
      <x:c r="G975" s="3" t="n">
        <x:v>940</x:v>
      </x:c>
      <x:c r="H975" s="3" t="n">
        <x:v>156</x:v>
      </x:c>
      <x:c r="I975" s="3" t="n">
        <x:v>122</x:v>
      </x:c>
      <x:c r="J975" s="15" t="n">
        <x:f>IF(D975=0,"n.a.",E975/D975)</x:f>
        <x:v>0.1306304912758322</x:v>
      </x:c>
      <x:c r="K975" s="15" t="n">
        <x:f>F975/'Datos'!$F$7</x:f>
        <x:v>0.00022957079872993095</x:v>
      </x:c>
      <x:c r="L975" s="3"/>
    </x:row>
    <x:row r="976" ht="22" customHeight="1">
      <x:c r="A976" s="3"/>
      <x:c r="B976" s="3" t="str">
        <x:v>23048</x:v>
      </x:c>
      <x:c r="C976" s="3" t="str">
        <x:v>SET OF 10 LANTERNS FAIRY LIGHT STAR</x:v>
      </x:c>
      <x:c r="D976" s="13" t="n">
        <x:v>2384.97</x:v>
      </x:c>
      <x:c r="E976" s="13" t="n">
        <x:v>136.95</x:v>
      </x:c>
      <x:c r="F976" s="13" t="n">
        <x:f>D976-E976</x:f>
        <x:v>2248.02</x:v>
      </x:c>
      <x:c r="G976" s="3" t="n">
        <x:v>581</x:v>
      </x:c>
      <x:c r="H976" s="3" t="n">
        <x:v>33</x:v>
      </x:c>
      <x:c r="I976" s="3" t="n">
        <x:v>99</x:v>
      </x:c>
      <x:c r="J976" s="15" t="n">
        <x:f>IF(D976=0,"n.a.",E976/D976)</x:f>
        <x:v>0.05742210593843948</x:v>
      </x:c>
      <x:c r="K976" s="15" t="n">
        <x:f>F976/'Datos'!$F$7</x:f>
        <x:v>0.0002295605870508956</x:v>
      </x:c>
      <x:c r="L976" s="3"/>
    </x:row>
    <x:row r="977" ht="22" customHeight="1">
      <x:c r="A977" s="3"/>
      <x:c r="B977" s="3" t="str">
        <x:v>22030</x:v>
      </x:c>
      <x:c r="C977" s="3" t="str">
        <x:v>SWALLOWS GREETING CARD</x:v>
      </x:c>
      <x:c r="D977" s="13" t="n">
        <x:v>2247.97</x:v>
      </x:c>
      <x:c r="E977" s="13" t="n">
        <x:v>0</x:v>
      </x:c>
      <x:c r="F977" s="13" t="n">
        <x:f>D977-E977</x:f>
        <x:v>2247.97</x:v>
      </x:c>
      <x:c r="G977" s="3" t="n">
        <x:v>5551</x:v>
      </x:c>
      <x:c r="H977" s="3" t="n">
        <x:v>0</x:v>
      </x:c>
      <x:c r="I977" s="3" t="n">
        <x:v>274</x:v>
      </x:c>
      <x:c r="J977" s="15" t="n">
        <x:f>IF(D977=0,"n.a.",E977/D977)</x:f>
        <x:v>0</x:v>
      </x:c>
      <x:c r="K977" s="15" t="n">
        <x:f>F977/'Datos'!$F$7</x:f>
        <x:v>0.0002295554812113779</x:v>
      </x:c>
      <x:c r="L977" s="3"/>
    </x:row>
    <x:row r="978" ht="22" customHeight="1">
      <x:c r="A978" s="3"/>
      <x:c r="B978" s="3" t="str">
        <x:v>21813</x:v>
      </x:c>
      <x:c r="C978" s="3" t="str">
        <x:v>GARLAND WITH STARS AND BELLS</x:v>
      </x:c>
      <x:c r="D978" s="13" t="n">
        <x:v>2280.47</x:v>
      </x:c>
      <x:c r="E978" s="13" t="n">
        <x:v>34.65</x:v>
      </x:c>
      <x:c r="F978" s="13" t="n">
        <x:f>D978-E978</x:f>
        <x:v>2245.8199999999997</x:v>
      </x:c>
      <x:c r="G978" s="3" t="n">
        <x:v>549</x:v>
      </x:c>
      <x:c r="H978" s="3" t="n">
        <x:v>7</x:v>
      </x:c>
      <x:c r="I978" s="3" t="n">
        <x:v>112</x:v>
      </x:c>
      <x:c r="J978" s="15" t="n">
        <x:f>IF(D978=0,"n.a.",E978/D978)</x:f>
        <x:v>0.015194236275855416</x:v>
      </x:c>
      <x:c r="K978" s="15" t="n">
        <x:f>F978/'Datos'!$F$7</x:f>
        <x:v>0.00022933593011211745</x:v>
      </x:c>
      <x:c r="L978" s="3"/>
    </x:row>
    <x:row r="979" ht="22" customHeight="1">
      <x:c r="A979" s="3"/>
      <x:c r="B979" s="3" t="str">
        <x:v>22914</x:v>
      </x:c>
      <x:c r="C979" s="3" t="str">
        <x:v>BLUE COAT RACK PARIS FASHION</x:v>
      </x:c>
      <x:c r="D979" s="13" t="n">
        <x:v>2266.16</x:v>
      </x:c>
      <x:c r="E979" s="13" t="n">
        <x:v>24.75</x:v>
      </x:c>
      <x:c r="F979" s="13" t="n">
        <x:f>D979-E979</x:f>
        <x:v>2241.41</x:v>
      </x:c>
      <x:c r="G979" s="3" t="n">
        <x:v>468</x:v>
      </x:c>
      <x:c r="H979" s="3" t="n">
        <x:v>5</x:v>
      </x:c>
      <x:c r="I979" s="3" t="n">
        <x:v>154</x:v>
      </x:c>
      <x:c r="J979" s="15" t="n">
        <x:f>IF(D979=0,"n.a.",E979/D979)</x:f>
        <x:v>0.010921558936703499</x:v>
      </x:c>
      <x:c r="K979" s="15" t="n">
        <x:f>F979/'Datos'!$F$7</x:f>
        <x:v>0.00022888559506665772</x:v>
      </x:c>
      <x:c r="L979" s="3"/>
    </x:row>
    <x:row r="980" ht="22" customHeight="1">
      <x:c r="A980" s="3"/>
      <x:c r="B980" s="3" t="str">
        <x:v>23326</x:v>
      </x:c>
      <x:c r="C980" s="3" t="str">
        <x:v>HANGING MINI COLOURED BOTTLES</x:v>
      </x:c>
      <x:c r="D980" s="13" t="n">
        <x:v>2237.71</x:v>
      </x:c>
      <x:c r="E980" s="13" t="n">
        <x:v>0</x:v>
      </x:c>
      <x:c r="F980" s="13" t="n">
        <x:f>D980-E980</x:f>
        <x:v>2237.71</x:v>
      </x:c>
      <x:c r="G980" s="3" t="n">
        <x:v>3443</x:v>
      </x:c>
      <x:c r="H980" s="3" t="n">
        <x:v>0</x:v>
      </x:c>
      <x:c r="I980" s="3" t="n">
        <x:v>76</x:v>
      </x:c>
      <x:c r="J980" s="15" t="n">
        <x:f>IF(D980=0,"n.a.",E980/D980)</x:f>
        <x:v>0</x:v>
      </x:c>
      <x:c r="K980" s="15" t="n">
        <x:f>F980/'Datos'!$F$7</x:f>
        <x:v>0.00022850776294234908</x:v>
      </x:c>
      <x:c r="L980" s="3"/>
    </x:row>
    <x:row r="981" ht="22" customHeight="1">
      <x:c r="A981" s="3"/>
      <x:c r="B981" s="3" t="str">
        <x:v>20977</x:v>
      </x:c>
      <x:c r="C981" s="3" t="str">
        <x:v>36 PENCILS TUBE WOODLAND</x:v>
      </x:c>
      <x:c r="D981" s="13" t="n">
        <x:v>2331.14</x:v>
      </x:c>
      <x:c r="E981" s="13" t="n">
        <x:v>93.75</x:v>
      </x:c>
      <x:c r="F981" s="13" t="n">
        <x:f>D981-E981</x:f>
        <x:v>2237.39</x:v>
      </x:c>
      <x:c r="G981" s="3" t="n">
        <x:v>1741</x:v>
      </x:c>
      <x:c r="H981" s="3" t="n">
        <x:v>75</x:v>
      </x:c>
      <x:c r="I981" s="3" t="n">
        <x:v>185</x:v>
      </x:c>
      <x:c r="J981" s="15" t="n">
        <x:f>IF(D981=0,"n.a.",E981/D981)</x:f>
        <x:v>0.04021637482090308</x:v>
      </x:c>
      <x:c r="K981" s="15" t="n">
        <x:f>F981/'Datos'!$F$7</x:f>
        <x:v>0.0002284750855694359</x:v>
      </x:c>
      <x:c r="L981" s="3"/>
    </x:row>
    <x:row r="982" ht="22" customHeight="1">
      <x:c r="A982" s="3"/>
      <x:c r="B982" s="3" t="str">
        <x:v>23093</x:v>
      </x:c>
      <x:c r="C982" s="3" t="str">
        <x:v>SMALL PARISIENNE HEART PHOTO FRAME</x:v>
      </x:c>
      <x:c r="D982" s="13" t="n">
        <x:v>2244.22</x:v>
      </x:c>
      <x:c r="E982" s="13" t="n">
        <x:v>7.47</x:v>
      </x:c>
      <x:c r="F982" s="13" t="n">
        <x:f>D982-E982</x:f>
        <x:v>2236.75</x:v>
      </x:c>
      <x:c r="G982" s="3" t="n">
        <x:v>941</x:v>
      </x:c>
      <x:c r="H982" s="3" t="n">
        <x:v>3</x:v>
      </x:c>
      <x:c r="I982" s="3" t="n">
        <x:v>142</x:v>
      </x:c>
      <x:c r="J982" s="15" t="n">
        <x:f>IF(D982=0,"n.a.",E982/D982)</x:f>
        <x:v>0.0033285506768498635</x:v>
      </x:c>
      <x:c r="K982" s="15" t="n">
        <x:f>F982/'Datos'!$F$7</x:f>
        <x:v>0.00022840973082360956</x:v>
      </x:c>
      <x:c r="L982" s="3"/>
    </x:row>
    <x:row r="983" ht="22" customHeight="1">
      <x:c r="A983" s="3"/>
      <x:c r="B983" s="3" t="str">
        <x:v>21989</x:v>
      </x:c>
      <x:c r="C983" s="3" t="str">
        <x:v>PACK OF 20 SKULL PAPER NAPKINS</x:v>
      </x:c>
      <x:c r="D983" s="13" t="n">
        <x:v>2235.65</x:v>
      </x:c>
      <x:c r="E983" s="13" t="n">
        <x:v>0</x:v>
      </x:c>
      <x:c r="F983" s="13" t="n">
        <x:f>D983-E983</x:f>
        <x:v>2235.65</x:v>
      </x:c>
      <x:c r="G983" s="3" t="n">
        <x:v>2412</x:v>
      </x:c>
      <x:c r="H983" s="3" t="n">
        <x:v>0</x:v>
      </x:c>
      <x:c r="I983" s="3" t="n">
        <x:v>335</x:v>
      </x:c>
      <x:c r="J983" s="15" t="n">
        <x:f>IF(D983=0,"n.a.",E983/D983)</x:f>
        <x:v>0</x:v>
      </x:c>
      <x:c r="K983" s="15" t="n">
        <x:f>F983/'Datos'!$F$7</x:f>
        <x:v>0.0002282974023542205</x:v>
      </x:c>
      <x:c r="L983" s="3"/>
    </x:row>
    <x:row r="984" ht="22" customHeight="1">
      <x:c r="A984" s="3"/>
      <x:c r="B984" s="3" t="str">
        <x:v>22829</x:v>
      </x:c>
      <x:c r="C984" s="3" t="str">
        <x:v>SWEETHEART WIRE WALL TIDY</x:v>
      </x:c>
      <x:c r="D984" s="13" t="n">
        <x:v>2315.33</x:v>
      </x:c>
      <x:c r="E984" s="13" t="n">
        <x:v>87.9</x:v>
      </x:c>
      <x:c r="F984" s="13" t="n">
        <x:f>D984-E984</x:f>
        <x:v>2227.43</x:v>
      </x:c>
      <x:c r="G984" s="3" t="n">
        <x:v>229</x:v>
      </x:c>
      <x:c r="H984" s="3" t="n">
        <x:v>10</x:v>
      </x:c>
      <x:c r="I984" s="3" t="n">
        <x:v>109</x:v>
      </x:c>
      <x:c r="J984" s="15" t="n">
        <x:f>IF(D984=0,"n.a.",E984/D984)</x:f>
        <x:v>0.03796435065411842</x:v>
      </x:c>
      <x:c r="K984" s="15" t="n">
        <x:f>F984/'Datos'!$F$7</x:f>
        <x:v>0.00022745800233751318</x:v>
      </x:c>
      <x:c r="L984" s="3"/>
    </x:row>
    <x:row r="985" ht="22" customHeight="1">
      <x:c r="A985" s="3"/>
      <x:c r="B985" s="3" t="str">
        <x:v>23438</x:v>
      </x:c>
      <x:c r="C985" s="3" t="str">
        <x:v>RED SPOT GIFT BAG LARGE</x:v>
      </x:c>
      <x:c r="D985" s="13" t="n">
        <x:v>2227.42</x:v>
      </x:c>
      <x:c r="E985" s="13" t="n">
        <x:v>0</x:v>
      </x:c>
      <x:c r="F985" s="13" t="n">
        <x:f>D985-E985</x:f>
        <x:v>2227.42</x:v>
      </x:c>
      <x:c r="G985" s="3" t="n">
        <x:v>1823</x:v>
      </x:c>
      <x:c r="H985" s="3" t="n">
        <x:v>0</x:v>
      </x:c>
      <x:c r="I985" s="3" t="n">
        <x:v>109</x:v>
      </x:c>
      <x:c r="J985" s="15" t="n">
        <x:f>IF(D985=0,"n.a.",E985/D985)</x:f>
        <x:v>0</x:v>
      </x:c>
      <x:c r="K985" s="15" t="n">
        <x:f>F985/'Datos'!$F$7</x:f>
        <x:v>0.00022745698116960966</x:v>
      </x:c>
      <x:c r="L985" s="3"/>
    </x:row>
    <x:row r="986" ht="22" customHeight="1">
      <x:c r="A986" s="3"/>
      <x:c r="B986" s="3" t="str">
        <x:v>23501</x:v>
      </x:c>
      <x:c r="C986" s="3" t="str">
        <x:v>KEY RING BASEBALL BOOT UNION JACK</x:v>
      </x:c>
      <x:c r="D986" s="13" t="n">
        <x:v>2220.37</x:v>
      </x:c>
      <x:c r="E986" s="13" t="n">
        <x:v>0</x:v>
      </x:c>
      <x:c r="F986" s="13" t="n">
        <x:f>D986-E986</x:f>
        <x:v>2220.37</x:v>
      </x:c>
      <x:c r="G986" s="3" t="n">
        <x:v>1823</x:v>
      </x:c>
      <x:c r="H986" s="3" t="n">
        <x:v>0</x:v>
      </x:c>
      <x:c r="I986" s="3" t="n">
        <x:v>112</x:v>
      </x:c>
      <x:c r="J986" s="15" t="n">
        <x:f>IF(D986=0,"n.a.",E986/D986)</x:f>
        <x:v>0</x:v>
      </x:c>
      <x:c r="K986" s="15" t="n">
        <x:f>F986/'Datos'!$F$7</x:f>
        <x:v>0.00022673705779761613</x:v>
      </x:c>
      <x:c r="L986" s="3"/>
    </x:row>
    <x:row r="987" ht="22" customHeight="1">
      <x:c r="A987" s="3"/>
      <x:c r="B987" s="3" t="str">
        <x:v>22601</x:v>
      </x:c>
      <x:c r="C987" s="3" t="str">
        <x:v>CHRISTMAS RETROSPOT ANGEL WOOD</x:v>
      </x:c>
      <x:c r="D987" s="13" t="n">
        <x:v>2222.38</x:v>
      </x:c>
      <x:c r="E987" s="13" t="n">
        <x:v>3.4</x:v>
      </x:c>
      <x:c r="F987" s="13" t="n">
        <x:f>D987-E987</x:f>
        <x:v>2218.98</x:v>
      </x:c>
      <x:c r="G987" s="3" t="n">
        <x:v>2482</x:v>
      </x:c>
      <x:c r="H987" s="3" t="n">
        <x:v>4</x:v>
      </x:c>
      <x:c r="I987" s="3" t="n">
        <x:v>200</x:v>
      </x:c>
      <x:c r="J987" s="15" t="n">
        <x:f>IF(D987=0,"n.a.",E987/D987)</x:f>
        <x:v>0.0015298913777121823</x:v>
      </x:c>
      <x:c r="K987" s="15" t="n">
        <x:f>F987/'Datos'!$F$7</x:f>
        <x:v>0.00022659511545902454</x:v>
      </x:c>
      <x:c r="L987" s="3"/>
    </x:row>
    <x:row r="988" ht="22" customHeight="1">
      <x:c r="A988" s="3"/>
      <x:c r="B988" s="3" t="str">
        <x:v>22478</x:v>
      </x:c>
      <x:c r="C988" s="3" t="str">
        <x:v>BIRDHOUSE GARDEN MARKER</x:v>
      </x:c>
      <x:c r="D988" s="13" t="n">
        <x:v>2218.12</x:v>
      </x:c>
      <x:c r="E988" s="13" t="n">
        <x:v>0</x:v>
      </x:c>
      <x:c r="F988" s="13" t="n">
        <x:f>D988-E988</x:f>
        <x:v>2218.12</x:v>
      </x:c>
      <x:c r="G988" s="3" t="n">
        <x:v>1543</x:v>
      </x:c>
      <x:c r="H988" s="3" t="n">
        <x:v>0</x:v>
      </x:c>
      <x:c r="I988" s="3" t="n">
        <x:v>140</x:v>
      </x:c>
      <x:c r="J988" s="15" t="n">
        <x:f>IF(D988=0,"n.a.",E988/D988)</x:f>
        <x:v>0</x:v>
      </x:c>
      <x:c r="K988" s="15" t="n">
        <x:f>F988/'Datos'!$F$7</x:f>
        <x:v>0.00022650729501932034</x:v>
      </x:c>
      <x:c r="L988" s="3"/>
    </x:row>
    <x:row r="989" ht="22" customHeight="1">
      <x:c r="A989" s="3"/>
      <x:c r="B989" s="3" t="str">
        <x:v>21471</x:v>
      </x:c>
      <x:c r="C989" s="3" t="str">
        <x:v>STRAWBERRY RAFFIA FOOD COVER</x:v>
      </x:c>
      <x:c r="D989" s="13" t="n">
        <x:v>2228.09</x:v>
      </x:c>
      <x:c r="E989" s="13" t="n">
        <x:v>15</x:v>
      </x:c>
      <x:c r="F989" s="13" t="n">
        <x:f>D989-E989</x:f>
        <x:v>2213.09</x:v>
      </x:c>
      <x:c r="G989" s="3" t="n">
        <x:v>641</x:v>
      </x:c>
      <x:c r="H989" s="3" t="n">
        <x:v>4</x:v>
      </x:c>
      <x:c r="I989" s="3" t="n">
        <x:v>163</x:v>
      </x:c>
      <x:c r="J989" s="15" t="n">
        <x:f>IF(D989=0,"n.a.",E989/D989)</x:f>
        <x:v>0.0067322235636801024</x:v>
      </x:c>
      <x:c r="K989" s="15" t="n">
        <x:f>F989/'Datos'!$F$7</x:f>
        <x:v>0.00022599364756384132</x:v>
      </x:c>
      <x:c r="L989" s="3"/>
    </x:row>
    <x:row r="990" ht="22" customHeight="1">
      <x:c r="A990" s="3"/>
      <x:c r="B990" s="3" t="str">
        <x:v>10135</x:v>
      </x:c>
      <x:c r="C990" s="3" t="str">
        <x:v>COLOURING PENCILS BROWN TUBE</x:v>
      </x:c>
      <x:c r="D990" s="13" t="n">
        <x:v>2207.39</x:v>
      </x:c>
      <x:c r="E990" s="13" t="n">
        <x:v>1.25</x:v>
      </x:c>
      <x:c r="F990" s="13" t="n">
        <x:f>D990-E990</x:f>
        <x:v>2206.14</x:v>
      </x:c>
      <x:c r="G990" s="3" t="n">
        <x:v>2231</x:v>
      </x:c>
      <x:c r="H990" s="3" t="n">
        <x:v>1</x:v>
      </x:c>
      <x:c r="I990" s="3" t="n">
        <x:v>175</x:v>
      </x:c>
      <x:c r="J990" s="15" t="n">
        <x:f>IF(D990=0,"n.a.",E990/D990)</x:f>
        <x:v>0.0005662796334132166</x:v>
      </x:c>
      <x:c r="K990" s="15" t="n">
        <x:f>F990/'Datos'!$F$7</x:f>
        <x:v>0.00022528393587088318</x:v>
      </x:c>
      <x:c r="L990" s="3"/>
    </x:row>
    <x:row r="991" ht="22" customHeight="1">
      <x:c r="A991" s="3"/>
      <x:c r="B991" s="3" t="str">
        <x:v>23064</x:v>
      </x:c>
      <x:c r="C991" s="3" t="str">
        <x:v>CINDERELLA CHANDELIER</x:v>
      </x:c>
      <x:c r="D991" s="13" t="n">
        <x:v>3717.56</x:v>
      </x:c>
      <x:c r="E991" s="13" t="n">
        <x:v>1514.05</x:v>
      </x:c>
      <x:c r="F991" s="13" t="n">
        <x:f>D991-E991</x:f>
        <x:v>2203.51</x:v>
      </x:c>
      <x:c r="G991" s="3" t="n">
        <x:v>221</x:v>
      </x:c>
      <x:c r="H991" s="3" t="n">
        <x:v>71</x:v>
      </x:c>
      <x:c r="I991" s="3" t="n">
        <x:v>23</x:v>
      </x:c>
      <x:c r="J991" s="15" t="n">
        <x:f>IF(D991=0,"n.a.",E991/D991)</x:f>
        <x:v>0.40726982214140456</x:v>
      </x:c>
      <x:c r="K991" s="15" t="n">
        <x:f>F991/'Datos'!$F$7</x:f>
        <x:v>0.00022501536871225302</x:v>
      </x:c>
      <x:c r="L991" s="3"/>
    </x:row>
    <x:row r="992" ht="22" customHeight="1">
      <x:c r="A992" s="3"/>
      <x:c r="B992" s="3" t="str">
        <x:v>21794</x:v>
      </x:c>
      <x:c r="C992" s="3" t="str">
        <x:v>CLASSIC FRENCH STYLE BASKET NATURAL</x:v>
      </x:c>
      <x:c r="D992" s="13" t="n">
        <x:v>2213.42</x:v>
      </x:c>
      <x:c r="E992" s="13" t="n">
        <x:v>11.85</x:v>
      </x:c>
      <x:c r="F992" s="13" t="n">
        <x:f>D992-E992</x:f>
        <x:v>2201.57</x:v>
      </x:c>
      <x:c r="G992" s="3" t="n">
        <x:v>522</x:v>
      </x:c>
      <x:c r="H992" s="3" t="n">
        <x:v>3</x:v>
      </x:c>
      <x:c r="I992" s="3" t="n">
        <x:v>106</x:v>
      </x:c>
      <x:c r="J992" s="15" t="n">
        <x:f>IF(D992=0,"n.a.",E992/D992)</x:f>
        <x:v>0.0053537060295831785</x:v>
      </x:c>
      <x:c r="K992" s="15" t="n">
        <x:f>F992/'Datos'!$F$7</x:f>
        <x:v>0.00022481726213896685</x:v>
      </x:c>
      <x:c r="L992" s="3"/>
    </x:row>
    <x:row r="993" ht="22" customHeight="1">
      <x:c r="A993" s="3"/>
      <x:c r="B993" s="3" t="str">
        <x:v>21900</x:v>
      </x:c>
      <x:c r="C993" s="3" t="str">
        <x:v>KEY FOB , SHED</x:v>
      </x:c>
      <x:c r="D993" s="13" t="n">
        <x:v>2201.07</x:v>
      </x:c>
      <x:c r="E993" s="13" t="n">
        <x:v>3.25</x:v>
      </x:c>
      <x:c r="F993" s="13" t="n">
        <x:f>D993-E993</x:f>
        <x:v>2197.82</x:v>
      </x:c>
      <x:c r="G993" s="3" t="n">
        <x:v>3234</x:v>
      </x:c>
      <x:c r="H993" s="3" t="n">
        <x:v>5</x:v>
      </x:c>
      <x:c r="I993" s="3" t="n">
        <x:v>372</x:v>
      </x:c>
      <x:c r="J993" s="15" t="n">
        <x:f>IF(D993=0,"n.a.",E993/D993)</x:f>
        <x:v>0.0014765545848155668</x:v>
      </x:c>
      <x:c r="K993" s="15" t="n">
        <x:f>F993/'Datos'!$F$7</x:f>
        <x:v>0.00022443432417514053</x:v>
      </x:c>
      <x:c r="L993" s="3"/>
    </x:row>
    <x:row r="994" ht="22" customHeight="1">
      <x:c r="A994" s="3"/>
      <x:c r="B994" s="3" t="str">
        <x:v>23403</x:v>
      </x:c>
      <x:c r="C994" s="3" t="str">
        <x:v>LETTER HOLDER HOME SWEET HOME</x:v>
      </x:c>
      <x:c r="D994" s="13" t="n">
        <x:v>2207.86</x:v>
      </x:c>
      <x:c r="E994" s="13" t="n">
        <x:v>11.25</x:v>
      </x:c>
      <x:c r="F994" s="13" t="n">
        <x:f>D994-E994</x:f>
        <x:v>2196.61</x:v>
      </x:c>
      <x:c r="G994" s="3" t="n">
        <x:v>626</x:v>
      </x:c>
      <x:c r="H994" s="3" t="n">
        <x:v>3</x:v>
      </x:c>
      <x:c r="I994" s="3" t="n">
        <x:v>134</x:v>
      </x:c>
      <x:c r="J994" s="15" t="n">
        <x:f>IF(D994=0,"n.a.",E994/D994)</x:f>
        <x:v>0.005095431775565479</x:v>
      </x:c>
      <x:c r="K994" s="15" t="n">
        <x:f>F994/'Datos'!$F$7</x:f>
        <x:v>0.00022431076285881255</x:v>
      </x:c>
      <x:c r="L994" s="3"/>
    </x:row>
    <x:row r="995" ht="22" customHeight="1">
      <x:c r="A995" s="3"/>
      <x:c r="B995" s="3" t="str">
        <x:v>21735</x:v>
      </x:c>
      <x:c r="C995" s="3" t="str">
        <x:v>TWO DOOR CURIO CABINET</x:v>
      </x:c>
      <x:c r="D995" s="13" t="n">
        <x:v>2577.45</x:v>
      </x:c>
      <x:c r="E995" s="13" t="n">
        <x:v>382.95</x:v>
      </x:c>
      <x:c r="F995" s="13" t="n">
        <x:f>D995-E995</x:f>
        <x:v>2194.5</x:v>
      </x:c>
      <x:c r="G995" s="3" t="n">
        <x:v>212</x:v>
      </x:c>
      <x:c r="H995" s="3" t="n">
        <x:v>33</x:v>
      </x:c>
      <x:c r="I995" s="3" t="n">
        <x:v>83</x:v>
      </x:c>
      <x:c r="J995" s="15" t="n">
        <x:f>IF(D995=0,"n.a.",E995/D995)</x:f>
        <x:v>0.14857708199965083</x:v>
      </x:c>
      <x:c r="K995" s="15" t="n">
        <x:f>F995/'Datos'!$F$7</x:f>
        <x:v>0.00022409529643116626</x:v>
      </x:c>
      <x:c r="L995" s="3"/>
    </x:row>
    <x:row r="996" ht="22" customHeight="1">
      <x:c r="A996" s="3"/>
      <x:c r="B996" s="3" t="str">
        <x:v>22983</x:v>
      </x:c>
      <x:c r="C996" s="3" t="str">
        <x:v>CARD BILLBOARD FONT</x:v>
      </x:c>
      <x:c r="D996" s="13" t="n">
        <x:v>2261.6</x:v>
      </x:c>
      <x:c r="E996" s="13" t="n">
        <x:v>68.76</x:v>
      </x:c>
      <x:c r="F996" s="13" t="n">
        <x:f>D996-E996</x:f>
        <x:v>2192.8399999999997</x:v>
      </x:c>
      <x:c r="G996" s="3" t="n">
        <x:v>5302</x:v>
      </x:c>
      <x:c r="H996" s="3" t="n">
        <x:v>181</x:v>
      </x:c>
      <x:c r="I996" s="3" t="n">
        <x:v>443</x:v>
      </x:c>
      <x:c r="J996" s="15" t="n">
        <x:f>IF(D996=0,"n.a.",E996/D996)</x:f>
        <x:v>0.030403254333215425</x:v>
      </x:c>
      <x:c r="K996" s="15" t="n">
        <x:f>F996/'Datos'!$F$7</x:f>
        <x:v>0.00022392578255917911</x:v>
      </x:c>
      <x:c r="L996" s="3"/>
    </x:row>
    <x:row r="997" ht="22" customHeight="1">
      <x:c r="A997" s="3"/>
      <x:c r="B997" s="3" t="str">
        <x:v>46000S</x:v>
      </x:c>
      <x:c r="C997" s="3" t="str">
        <x:v>POLYESTER FILLER PAD 40x40cm</x:v>
      </x:c>
      <x:c r="D997" s="13" t="n">
        <x:v>2256.2</x:v>
      </x:c>
      <x:c r="E997" s="13" t="n">
        <x:v>63.8</x:v>
      </x:c>
      <x:c r="F997" s="13" t="n">
        <x:f>D997-E997</x:f>
        <x:v>2192.3999999999996</x:v>
      </x:c>
      <x:c r="G997" s="3" t="n">
        <x:v>1556</x:v>
      </x:c>
      <x:c r="H997" s="3" t="n">
        <x:v>44</x:v>
      </x:c>
      <x:c r="I997" s="3" t="n">
        <x:v>185</x:v>
      </x:c>
      <x:c r="J997" s="15" t="n">
        <x:f>IF(D997=0,"n.a.",E997/D997)</x:f>
        <x:v>0.02827763496143959</x:v>
      </x:c>
      <x:c r="K997" s="15" t="n">
        <x:f>F997/'Datos'!$F$7</x:f>
        <x:v>0.0002238808511714235</x:v>
      </x:c>
      <x:c r="L997" s="3"/>
    </x:row>
    <x:row r="998" ht="22" customHeight="1">
      <x:c r="A998" s="3"/>
      <x:c r="B998" s="3" t="str">
        <x:v>85038</x:v>
      </x:c>
      <x:c r="C998" s="3" t="str">
        <x:v>6 CHOCOLATE LOVE HEART T-LIGHTS</x:v>
      </x:c>
      <x:c r="D998" s="13" t="n">
        <x:v>2179.66</x:v>
      </x:c>
      <x:c r="E998" s="13" t="n">
        <x:v>0</x:v>
      </x:c>
      <x:c r="F998" s="13" t="n">
        <x:f>D998-E998</x:f>
        <x:v>2179.66</x:v>
      </x:c>
      <x:c r="G998" s="3" t="n">
        <x:v>1065</x:v>
      </x:c>
      <x:c r="H998" s="3" t="n">
        <x:v>0</x:v>
      </x:c>
      <x:c r="I998" s="3" t="n">
        <x:v>142</x:v>
      </x:c>
      <x:c r="J998" s="15" t="n">
        <x:f>IF(D998=0,"n.a.",E998/D998)</x:f>
        <x:v>0</x:v>
      </x:c>
      <x:c r="K998" s="15" t="n">
        <x:f>F998/'Datos'!$F$7</x:f>
        <x:v>0.00022257988326231755</x:v>
      </x:c>
      <x:c r="L998" s="3"/>
    </x:row>
    <x:row r="999" ht="22" customHeight="1">
      <x:c r="A999" s="3"/>
      <x:c r="B999" s="3" t="str">
        <x:v>21042</x:v>
      </x:c>
      <x:c r="C999" s="3" t="str">
        <x:v>RED RETROSPOT APRON</x:v>
      </x:c>
      <x:c r="D999" s="13" t="n">
        <x:v>2205.47</x:v>
      </x:c>
      <x:c r="E999" s="13" t="n">
        <x:v>34.4</x:v>
      </x:c>
      <x:c r="F999" s="13" t="n">
        <x:f>D999-E999</x:f>
        <x:v>2171.0699999999997</x:v>
      </x:c>
      <x:c r="G999" s="3" t="n">
        <x:v>335</x:v>
      </x:c>
      <x:c r="H999" s="3" t="n">
        <x:v>6</x:v>
      </x:c>
      <x:c r="I999" s="3" t="n">
        <x:v>131</x:v>
      </x:c>
      <x:c r="J999" s="15" t="n">
        <x:f>IF(D999=0,"n.a.",E999/D999)</x:f>
        <x:v>0.015597582374731918</x:v>
      </x:c>
      <x:c r="K999" s="15" t="n">
        <x:f>F999/'Datos'!$F$7</x:f>
        <x:v>0.00022170270003317935</x:v>
      </x:c>
      <x:c r="L999" s="3"/>
    </x:row>
    <x:row r="1000" ht="22" customHeight="1">
      <x:c r="A1000" s="3"/>
      <x:c r="B1000" s="3" t="str">
        <x:v>21592</x:v>
      </x:c>
      <x:c r="C1000" s="3" t="str">
        <x:v>RETROSPOT CIGAR BOX MATCHES</x:v>
      </x:c>
      <x:c r="D1000" s="13" t="n">
        <x:v>2164.46</x:v>
      </x:c>
      <x:c r="E1000" s="13" t="n">
        <x:v>0</x:v>
      </x:c>
      <x:c r="F1000" s="13" t="n">
        <x:f>D1000-E1000</x:f>
        <x:v>2164.46</x:v>
      </x:c>
      <x:c r="G1000" s="3" t="n">
        <x:v>2162</x:v>
      </x:c>
      <x:c r="H1000" s="3" t="n">
        <x:v>0</x:v>
      </x:c>
      <x:c r="I1000" s="3" t="n">
        <x:v>216</x:v>
      </x:c>
      <x:c r="J1000" s="15" t="n">
        <x:f>IF(D1000=0,"n.a.",E1000/D1000)</x:f>
        <x:v>0</x:v>
      </x:c>
      <x:c r="K1000" s="15" t="n">
        <x:f>F1000/'Datos'!$F$7</x:f>
        <x:v>0.00022102770804894152</x:v>
      </x:c>
      <x:c r="L1000" s="3"/>
    </x:row>
    <x:row r="1001" ht="22" customHeight="1">
      <x:c r="A1001" s="3"/>
      <x:c r="B1001" s="3" t="str">
        <x:v>22732</x:v>
      </x:c>
      <x:c r="C1001" s="3" t="str">
        <x:v>3D VINTAGE CHRISTMAS STICKERS</x:v>
      </x:c>
      <x:c r="D1001" s="13" t="n">
        <x:v>2162.75</x:v>
      </x:c>
      <x:c r="E1001" s="13" t="n">
        <x:v>0</x:v>
      </x:c>
      <x:c r="F1001" s="13" t="n">
        <x:f>D1001-E1001</x:f>
        <x:v>2162.75</x:v>
      </x:c>
      <x:c r="G1001" s="3" t="n">
        <x:v>1645</x:v>
      </x:c>
      <x:c r="H1001" s="3" t="n">
        <x:v>0</x:v>
      </x:c>
      <x:c r="I1001" s="3" t="n">
        <x:v>188</x:v>
      </x:c>
      <x:c r="J1001" s="15" t="n">
        <x:f>IF(D1001=0,"n.a.",E1001/D1001)</x:f>
        <x:v>0</x:v>
      </x:c>
      <x:c r="K1001" s="15" t="n">
        <x:f>F1001/'Datos'!$F$7</x:f>
        <x:v>0.0002208530883374367</x:v>
      </x:c>
      <x:c r="L1001" s="3"/>
    </x:row>
    <x:row r="1002" ht="22" customHeight="1">
      <x:c r="A1002" s="3"/>
      <x:c r="B1002" s="3" t="str">
        <x:v>21878</x:v>
      </x:c>
      <x:c r="C1002" s="3" t="str">
        <x:v>PACK OF 6 SANDCASTLE FLAGS ASSORTED</x:v>
      </x:c>
      <x:c r="D1002" s="13" t="n">
        <x:v>2173.05</x:v>
      </x:c>
      <x:c r="E1002" s="13" t="n">
        <x:v>11.05</x:v>
      </x:c>
      <x:c r="F1002" s="13" t="n">
        <x:f>D1002-E1002</x:f>
        <x:v>2162</x:v>
      </x:c>
      <x:c r="G1002" s="3" t="n">
        <x:v>2524</x:v>
      </x:c>
      <x:c r="H1002" s="3" t="n">
        <x:v>13</x:v>
      </x:c>
      <x:c r="I1002" s="3" t="n">
        <x:v>224</x:v>
      </x:c>
      <x:c r="J1002" s="15" t="n">
        <x:f>IF(D1002=0,"n.a.",E1002/D1002)</x:f>
        <x:v>0.00508501875244472</x:v>
      </x:c>
      <x:c r="K1002" s="15" t="n">
        <x:f>F1002/'Datos'!$F$7</x:f>
        <x:v>0.00022077650074467145</x:v>
      </x:c>
      <x:c r="L1002" s="3"/>
    </x:row>
    <x:row r="1003" ht="22" customHeight="1">
      <x:c r="A1003" s="3"/>
      <x:c r="B1003" s="3" t="str">
        <x:v>23445</x:v>
      </x:c>
      <x:c r="C1003" s="3" t="str">
        <x:v>ICE CREAM BUBBLES</x:v>
      </x:c>
      <x:c r="D1003" s="13" t="n">
        <x:v>2177.84</x:v>
      </x:c>
      <x:c r="E1003" s="13" t="n">
        <x:v>16.6</x:v>
      </x:c>
      <x:c r="F1003" s="13" t="n">
        <x:f>D1003-E1003</x:f>
        <x:v>2161.2400000000002</x:v>
      </x:c>
      <x:c r="G1003" s="3" t="n">
        <x:v>2688</x:v>
      </x:c>
      <x:c r="H1003" s="3" t="n">
        <x:v>20</x:v>
      </x:c>
      <x:c r="I1003" s="3" t="n">
        <x:v>101</x:v>
      </x:c>
      <x:c r="J1003" s="15" t="n">
        <x:f>IF(D1003=0,"n.a.",E1003/D1003)</x:f>
        <x:v>0.007622231201557507</x:v>
      </x:c>
      <x:c r="K1003" s="15" t="n">
        <x:f>F1003/'Datos'!$F$7</x:f>
        <x:v>0.00022069889198400266</x:v>
      </x:c>
      <x:c r="L1003" s="3"/>
    </x:row>
    <x:row r="1004" ht="22" customHeight="1">
      <x:c r="A1004" s="3"/>
      <x:c r="B1004" s="3" t="str">
        <x:v>21249</x:v>
      </x:c>
      <x:c r="C1004" s="3" t="str">
        <x:v>WOODLAND HEIGHT CHART STICKERS</x:v>
      </x:c>
      <x:c r="D1004" s="13" t="n">
        <x:v>2160</x:v>
      </x:c>
      <x:c r="E1004" s="13" t="n">
        <x:v>0</x:v>
      </x:c>
      <x:c r="F1004" s="13" t="n">
        <x:f>D1004-E1004</x:f>
        <x:v>2160</x:v>
      </x:c>
      <x:c r="G1004" s="3" t="n">
        <x:v>724</x:v>
      </x:c>
      <x:c r="H1004" s="3" t="n">
        <x:v>0</x:v>
      </x:c>
      <x:c r="I1004" s="3" t="n">
        <x:v>119</x:v>
      </x:c>
      <x:c r="J1004" s="15" t="n">
        <x:f>IF(D1004=0,"n.a.",E1004/D1004)</x:f>
        <x:v>0</x:v>
      </x:c>
      <x:c r="K1004" s="15" t="n">
        <x:f>F1004/'Datos'!$F$7</x:f>
        <x:v>0.00022057226716396406</x:v>
      </x:c>
      <x:c r="L1004" s="3"/>
    </x:row>
    <x:row r="1005" ht="22" customHeight="1">
      <x:c r="A1005" s="3"/>
      <x:c r="B1005" s="3" t="str">
        <x:v>22121</x:v>
      </x:c>
      <x:c r="C1005" s="3" t="str">
        <x:v>NOEL WOODEN BLOCK LETTERS</x:v>
      </x:c>
      <x:c r="D1005" s="13" t="n">
        <x:v>2165.65</x:v>
      </x:c>
      <x:c r="E1005" s="13" t="n">
        <x:v>5.95</x:v>
      </x:c>
      <x:c r="F1005" s="13" t="n">
        <x:f>D1005-E1005</x:f>
        <x:v>2159.7000000000003</x:v>
      </x:c>
      <x:c r="G1005" s="3" t="n">
        <x:v>353</x:v>
      </x:c>
      <x:c r="H1005" s="3" t="n">
        <x:v>1</x:v>
      </x:c>
      <x:c r="I1005" s="3" t="n">
        <x:v>133</x:v>
      </x:c>
      <x:c r="J1005" s="15" t="n">
        <x:f>IF(D1005=0,"n.a.",E1005/D1005)</x:f>
        <x:v>0.0027474430309606815</x:v>
      </x:c>
      <x:c r="K1005" s="15" t="n">
        <x:f>F1005/'Datos'!$F$7</x:f>
        <x:v>0.00022054163212685798</x:v>
      </x:c>
      <x:c r="L1005" s="3"/>
    </x:row>
    <x:row r="1006" ht="22" customHeight="1">
      <x:c r="A1006" s="3"/>
      <x:c r="B1006" s="3" t="str">
        <x:v>23370</x:v>
      </x:c>
      <x:c r="C1006" s="3" t="str">
        <x:v>SET 36 COLOURING PENCILS DOILY</x:v>
      </x:c>
      <x:c r="D1006" s="13" t="n">
        <x:v>2157.85</x:v>
      </x:c>
      <x:c r="E1006" s="13" t="n">
        <x:v>1.25</x:v>
      </x:c>
      <x:c r="F1006" s="13" t="n">
        <x:f>D1006-E1006</x:f>
        <x:v>2156.6</x:v>
      </x:c>
      <x:c r="G1006" s="3" t="n">
        <x:v>1555</x:v>
      </x:c>
      <x:c r="H1006" s="3" t="n">
        <x:v>1</x:v>
      </x:c>
      <x:c r="I1006" s="3" t="n">
        <x:v>151</x:v>
      </x:c>
      <x:c r="J1006" s="15" t="n">
        <x:f>IF(D1006=0,"n.a.",E1006/D1006)</x:f>
        <x:v>0.0005792803021526056</x:v>
      </x:c>
      <x:c r="K1006" s="15" t="n">
        <x:f>F1006/'Datos'!$F$7</x:f>
        <x:v>0.00022022507007676153</x:v>
      </x:c>
      <x:c r="L1006" s="3"/>
    </x:row>
    <x:row r="1007" ht="22" customHeight="1">
      <x:c r="A1007" s="3"/>
      <x:c r="B1007" s="3" t="str">
        <x:v>22377</x:v>
      </x:c>
      <x:c r="C1007" s="3" t="str">
        <x:v>BOTTLE BAG RETROSPOT</x:v>
      </x:c>
      <x:c r="D1007" s="13" t="n">
        <x:v>2171.53</x:v>
      </x:c>
      <x:c r="E1007" s="13" t="n">
        <x:v>18.45</x:v>
      </x:c>
      <x:c r="F1007" s="13" t="n">
        <x:f>D1007-E1007</x:f>
        <x:v>2153.0800000000004</x:v>
      </x:c>
      <x:c r="G1007" s="3" t="n">
        <x:v>1330</x:v>
      </x:c>
      <x:c r="H1007" s="3" t="n">
        <x:v>9</x:v>
      </x:c>
      <x:c r="I1007" s="3" t="n">
        <x:v>207</x:v>
      </x:c>
      <x:c r="J1007" s="15" t="n">
        <x:f>IF(D1007=0,"n.a.",E1007/D1007)</x:f>
        <x:v>0.008496313659033031</x:v>
      </x:c>
      <x:c r="K1007" s="15" t="n">
        <x:f>F1007/'Datos'!$F$7</x:f>
        <x:v>0.00021986561897471658</x:v>
      </x:c>
      <x:c r="L1007" s="3"/>
    </x:row>
    <x:row r="1008" ht="22" customHeight="1">
      <x:c r="A1008" s="3"/>
      <x:c r="B1008" s="3" t="str">
        <x:v>23252</x:v>
      </x:c>
      <x:c r="C1008" s="3" t="str">
        <x:v>VINTAGE RED ENAMEL TRIM JUG</x:v>
      </x:c>
      <x:c r="D1008" s="13" t="n">
        <x:v>2276.61</x:v>
      </x:c>
      <x:c r="E1008" s="13" t="n">
        <x:v>123.75</x:v>
      </x:c>
      <x:c r="F1008" s="13" t="n">
        <x:f>D1008-E1008</x:f>
        <x:v>2152.86</x:v>
      </x:c>
      <x:c r="G1008" s="3" t="n">
        <x:v>607</x:v>
      </x:c>
      <x:c r="H1008" s="3" t="n">
        <x:v>33</x:v>
      </x:c>
      <x:c r="I1008" s="3" t="n">
        <x:v>138</x:v>
      </x:c>
      <x:c r="J1008" s="15" t="n">
        <x:f>IF(D1008=0,"n.a.",E1008/D1008)</x:f>
        <x:v>0.05435713626839907</x:v>
      </x:c>
      <x:c r="K1008" s="15" t="n">
        <x:f>F1008/'Datos'!$F$7</x:f>
        <x:v>0.00021984315328083876</x:v>
      </x:c>
      <x:c r="L1008" s="3"/>
    </x:row>
    <x:row r="1009" ht="22" customHeight="1">
      <x:c r="A1009" s="3"/>
      <x:c r="B1009" s="3" t="str">
        <x:v>11001</x:v>
      </x:c>
      <x:c r="C1009" s="3" t="str">
        <x:v>ASSTD DESIGN RACING CAR PEN</x:v>
      </x:c>
      <x:c r="D1009" s="13" t="n">
        <x:v>2389.44</x:v>
      </x:c>
      <x:c r="E1009" s="13" t="n">
        <x:v>237.05</x:v>
      </x:c>
      <x:c r="F1009" s="13" t="n">
        <x:f>D1009-E1009</x:f>
        <x:v>2152.39</x:v>
      </x:c>
      <x:c r="G1009" s="3" t="n">
        <x:v>1615</x:v>
      </x:c>
      <x:c r="H1009" s="3" t="n">
        <x:v>185</x:v>
      </x:c>
      <x:c r="I1009" s="3" t="n">
        <x:v>113</x:v>
      </x:c>
      <x:c r="J1009" s="15" t="n">
        <x:f>IF(D1009=0,"n.a.",E1009/D1009)</x:f>
        <x:v>0.09920734565421187</x:v>
      </x:c>
      <x:c r="K1009" s="15" t="n">
        <x:f>F1009/'Datos'!$F$7</x:f>
        <x:v>0.0002197951583893725</x:v>
      </x:c>
      <x:c r="L1009" s="3"/>
    </x:row>
    <x:row r="1010" ht="22" customHeight="1">
      <x:c r="A1010" s="3"/>
      <x:c r="B1010" s="3" t="str">
        <x:v>72349B</x:v>
      </x:c>
      <x:c r="C1010" s="3" t="str">
        <x:v>SET/6 PURPLE BUTTERFLY T-LIGHTS</x:v>
      </x:c>
      <x:c r="D1010" s="13" t="n">
        <x:v>2149.4</x:v>
      </x:c>
      <x:c r="E1010" s="13" t="n">
        <x:v>0</x:v>
      </x:c>
      <x:c r="F1010" s="13" t="n">
        <x:f>D1010-E1010</x:f>
        <x:v>2149.4</x:v>
      </x:c>
      <x:c r="G1010" s="3" t="n">
        <x:v>890</x:v>
      </x:c>
      <x:c r="H1010" s="3" t="n">
        <x:v>0</x:v>
      </x:c>
      <x:c r="I1010" s="3" t="n">
        <x:v>196</x:v>
      </x:c>
      <x:c r="J1010" s="15" t="n">
        <x:f>IF(D1010=0,"n.a.",E1010/D1010)</x:f>
        <x:v>0</x:v>
      </x:c>
      <x:c r="K1010" s="15" t="n">
        <x:f>F1010/'Datos'!$F$7</x:f>
        <x:v>0.00021948982918621498</x:v>
      </x:c>
      <x:c r="L1010" s="3"/>
    </x:row>
    <x:row r="1011" ht="22" customHeight="1">
      <x:c r="A1011" s="3"/>
      <x:c r="B1011" s="3" t="str">
        <x:v>23031</x:v>
      </x:c>
      <x:c r="C1011" s="3" t="str">
        <x:v>DRAWER KNOB CRACKLE GLAZE PINK</x:v>
      </x:c>
      <x:c r="D1011" s="13" t="n">
        <x:v>2182</x:v>
      </x:c>
      <x:c r="E1011" s="13" t="n">
        <x:v>33</x:v>
      </x:c>
      <x:c r="F1011" s="13" t="n">
        <x:f>D1011-E1011</x:f>
        <x:v>2149</x:v>
      </x:c>
      <x:c r="G1011" s="3" t="n">
        <x:v>1296</x:v>
      </x:c>
      <x:c r="H1011" s="3" t="n">
        <x:v>20</x:v>
      </x:c>
      <x:c r="I1011" s="3" t="n">
        <x:v>155</x:v>
      </x:c>
      <x:c r="J1011" s="15" t="n">
        <x:f>IF(D1011=0,"n.a.",E1011/D1011)</x:f>
        <x:v>0.015123739688359304</x:v>
      </x:c>
      <x:c r="K1011" s="15" t="n">
        <x:f>F1011/'Datos'!$F$7</x:f>
        <x:v>0.00021944898247007352</x:v>
      </x:c>
      <x:c r="L1011" s="3"/>
    </x:row>
    <x:row r="1012" ht="22" customHeight="1">
      <x:c r="A1012" s="3"/>
      <x:c r="B1012" s="3" t="str">
        <x:v>22704</x:v>
      </x:c>
      <x:c r="C1012" s="3" t="str">
        <x:v>WRAP RED APPLES</x:v>
      </x:c>
      <x:c r="D1012" s="13" t="n">
        <x:v>2168.76</x:v>
      </x:c>
      <x:c r="E1012" s="13" t="n">
        <x:v>21</x:v>
      </x:c>
      <x:c r="F1012" s="13" t="n">
        <x:f>D1012-E1012</x:f>
        <x:v>2147.76</x:v>
      </x:c>
      <x:c r="G1012" s="3" t="n">
        <x:v>5278</x:v>
      </x:c>
      <x:c r="H1012" s="3" t="n">
        <x:v>50</x:v>
      </x:c>
      <x:c r="I1012" s="3" t="n">
        <x:v>174</x:v>
      </x:c>
      <x:c r="J1012" s="15" t="n">
        <x:f>IF(D1012=0,"n.a.",E1012/D1012)</x:f>
        <x:v>0.009682952470536159</x:v>
      </x:c>
      <x:c r="K1012" s="15" t="n">
        <x:f>F1012/'Datos'!$F$7</x:f>
        <x:v>0.00021932235765003495</x:v>
      </x:c>
      <x:c r="L1012" s="3"/>
    </x:row>
    <x:row r="1013" ht="22" customHeight="1">
      <x:c r="A1013" s="3"/>
      <x:c r="B1013" s="3" t="str">
        <x:v>23005</x:v>
      </x:c>
      <x:c r="C1013" s="3" t="str">
        <x:v>TRAVEL CARD WALLET I LOVE LONDON</x:v>
      </x:c>
      <x:c r="D1013" s="13" t="n">
        <x:v>2147.55</x:v>
      </x:c>
      <x:c r="E1013" s="13" t="n">
        <x:v>0.42</x:v>
      </x:c>
      <x:c r="F1013" s="13" t="n">
        <x:f>D1013-E1013</x:f>
        <x:v>2147.13</x:v>
      </x:c>
      <x:c r="G1013" s="3" t="n">
        <x:v>4783</x:v>
      </x:c>
      <x:c r="H1013" s="3" t="n">
        <x:v>1</x:v>
      </x:c>
      <x:c r="I1013" s="3" t="n">
        <x:v>241</x:v>
      </x:c>
      <x:c r="J1013" s="15" t="n">
        <x:f>IF(D1013=0,"n.a.",E1013/D1013)</x:f>
        <x:v>0.00019557169798142067</x:v>
      </x:c>
      <x:c r="K1013" s="15" t="n">
        <x:f>F1013/'Datos'!$F$7</x:f>
        <x:v>0.00021925802407211212</x:v>
      </x:c>
      <x:c r="L1013" s="3"/>
    </x:row>
    <x:row r="1014" ht="22" customHeight="1">
      <x:c r="A1014" s="3"/>
      <x:c r="B1014" s="3" t="str">
        <x:v>37448</x:v>
      </x:c>
      <x:c r="C1014" s="3" t="str">
        <x:v>CERAMIC CAKE DESIGN SPOTTED MUG</x:v>
      </x:c>
      <x:c r="D1014" s="13" t="n">
        <x:v>2214.08</x:v>
      </x:c>
      <x:c r="E1014" s="13" t="n">
        <x:v>67.05</x:v>
      </x:c>
      <x:c r="F1014" s="13" t="n">
        <x:f>D1014-E1014</x:f>
        <x:v>2147.0299999999997</x:v>
      </x:c>
      <x:c r="G1014" s="3" t="n">
        <x:v>1456</x:v>
      </x:c>
      <x:c r="H1014" s="3" t="n">
        <x:v>45</x:v>
      </x:c>
      <x:c r="I1014" s="3" t="n">
        <x:v>187</x:v>
      </x:c>
      <x:c r="J1014" s="15" t="n">
        <x:f>IF(D1014=0,"n.a.",E1014/D1014)</x:f>
        <x:v>0.030283458592282122</x:v>
      </x:c>
      <x:c r="K1014" s="15" t="n">
        <x:f>F1014/'Datos'!$F$7</x:f>
        <x:v>0.00021924781239307672</x:v>
      </x:c>
      <x:c r="L1014" s="3"/>
    </x:row>
    <x:row r="1015" ht="22" customHeight="1">
      <x:c r="A1015" s="3"/>
      <x:c r="B1015" s="3" t="str">
        <x:v>82581</x:v>
      </x:c>
      <x:c r="C1015" s="3" t="str">
        <x:v>TOILET METAL SIGN</x:v>
      </x:c>
      <x:c r="D1015" s="13" t="n">
        <x:v>2155.89</x:v>
      </x:c>
      <x:c r="E1015" s="13" t="n">
        <x:v>11.16</x:v>
      </x:c>
      <x:c r="F1015" s="13" t="n">
        <x:f>D1015-E1015</x:f>
        <x:v>2144.73</x:v>
      </x:c>
      <x:c r="G1015" s="3" t="n">
        <x:v>3883</x:v>
      </x:c>
      <x:c r="H1015" s="3" t="n">
        <x:v>21</x:v>
      </x:c>
      <x:c r="I1015" s="3" t="n">
        <x:v>405</x:v>
      </x:c>
      <x:c r="J1015" s="15" t="n">
        <x:f>IF(D1015=0,"n.a.",E1015/D1015)</x:f>
        <x:v>0.005176516427090437</x:v>
      </x:c>
      <x:c r="K1015" s="15" t="n">
        <x:f>F1015/'Datos'!$F$7</x:f>
        <x:v>0.00021901294377526327</x:v>
      </x:c>
      <x:c r="L1015" s="3"/>
    </x:row>
    <x:row r="1016" ht="22" customHeight="1">
      <x:c r="A1016" s="3"/>
      <x:c r="B1016" s="3" t="str">
        <x:v>23302</x:v>
      </x:c>
      <x:c r="C1016" s="3" t="str">
        <x:v>KNEELING MAT HOUSEWORK DESIGN</x:v>
      </x:c>
      <x:c r="D1016" s="13" t="n">
        <x:v>2194.62</x:v>
      </x:c>
      <x:c r="E1016" s="13" t="n">
        <x:v>54.24</x:v>
      </x:c>
      <x:c r="F1016" s="13" t="n">
        <x:f>D1016-E1016</x:f>
        <x:v>2140.38</x:v>
      </x:c>
      <x:c r="G1016" s="3" t="n">
        <x:v>1544</x:v>
      </x:c>
      <x:c r="H1016" s="3" t="n">
        <x:v>36</x:v>
      </x:c>
      <x:c r="I1016" s="3" t="n">
        <x:v>230</x:v>
      </x:c>
      <x:c r="J1016" s="15" t="n">
        <x:f>IF(D1016=0,"n.a.",E1016/D1016)</x:f>
        <x:v>0.024714984826530336</x:v>
      </x:c>
      <x:c r="K1016" s="15" t="n">
        <x:f>F1016/'Datos'!$F$7</x:f>
        <x:v>0.00021856873573722474</x:v>
      </x:c>
      <x:c r="L1016" s="3"/>
    </x:row>
    <x:row r="1017" ht="22" customHeight="1">
      <x:c r="A1017" s="3"/>
      <x:c r="B1017" s="3" t="str">
        <x:v>22763</x:v>
      </x:c>
      <x:c r="C1017" s="3" t="str">
        <x:v>KEY CABINET MA CAMPAGNE</x:v>
      </x:c>
      <x:c r="D1017" s="13" t="n">
        <x:v>2186.27</x:v>
      </x:c>
      <x:c r="E1017" s="13" t="n">
        <x:v>49.75</x:v>
      </x:c>
      <x:c r="F1017" s="13" t="n">
        <x:f>D1017-E1017</x:f>
        <x:v>2136.52</x:v>
      </x:c>
      <x:c r="G1017" s="3" t="n">
        <x:v>207</x:v>
      </x:c>
      <x:c r="H1017" s="3" t="n">
        <x:v>5</x:v>
      </x:c>
      <x:c r="I1017" s="3" t="n">
        <x:v>108</x:v>
      </x:c>
      <x:c r="J1017" s="15" t="n">
        <x:f>IF(D1017=0,"n.a.",E1017/D1017)</x:f>
        <x:v>0.022755652321076538</x:v>
      </x:c>
      <x:c r="K1017" s="15" t="n">
        <x:f>F1017/'Datos'!$F$7</x:f>
        <x:v>0.0002181745649264595</x:v>
      </x:c>
      <x:c r="L1017" s="3"/>
    </x:row>
    <x:row r="1018" ht="22" customHeight="1">
      <x:c r="A1018" s="3"/>
      <x:c r="B1018" s="3" t="str">
        <x:v>40016</x:v>
      </x:c>
      <x:c r="C1018" s="3" t="str">
        <x:v>CHINESE DRAGON PAPER LANTERNS</x:v>
      </x:c>
      <x:c r="D1018" s="13" t="n">
        <x:v>2136.34</x:v>
      </x:c>
      <x:c r="E1018" s="13" t="n">
        <x:v>0</x:v>
      </x:c>
      <x:c r="F1018" s="13" t="n">
        <x:f>D1018-E1018</x:f>
        <x:v>2136.34</x:v>
      </x:c>
      <x:c r="G1018" s="3" t="n">
        <x:v>5556</x:v>
      </x:c>
      <x:c r="H1018" s="3" t="n">
        <x:v>0</x:v>
      </x:c>
      <x:c r="I1018" s="3" t="n">
        <x:v>97</x:v>
      </x:c>
      <x:c r="J1018" s="15" t="n">
        <x:f>IF(D1018=0,"n.a.",E1018/D1018)</x:f>
        <x:v>0</x:v>
      </x:c>
      <x:c r="K1018" s="15" t="n">
        <x:f>F1018/'Datos'!$F$7</x:f>
        <x:v>0.00021815618390419586</x:v>
      </x:c>
      <x:c r="L1018" s="3"/>
    </x:row>
    <x:row r="1019" ht="22" customHeight="1">
      <x:c r="A1019" s="3"/>
      <x:c r="B1019" s="3" t="str">
        <x:v>23161</x:v>
      </x:c>
      <x:c r="C1019" s="3" t="str">
        <x:v>REGENCY CAKE FORK</x:v>
      </x:c>
      <x:c r="D1019" s="13" t="n">
        <x:v>2145.3</x:v>
      </x:c>
      <x:c r="E1019" s="13" t="n">
        <x:v>15</x:v>
      </x:c>
      <x:c r="F1019" s="13" t="n">
        <x:f>D1019-E1019</x:f>
        <x:v>2130.3</x:v>
      </x:c>
      <x:c r="G1019" s="3" t="n">
        <x:v>1715</x:v>
      </x:c>
      <x:c r="H1019" s="3" t="n">
        <x:v>12</x:v>
      </x:c>
      <x:c r="I1019" s="3" t="n">
        <x:v>98</x:v>
      </x:c>
      <x:c r="J1019" s="15" t="n">
        <x:f>IF(D1019=0,"n.a.",E1019/D1019)</x:f>
        <x:v>0.006992029086841001</x:v>
      </x:c>
      <x:c r="K1019" s="15" t="n">
        <x:f>F1019/'Datos'!$F$7</x:f>
        <x:v>0.0002175393984904596</x:v>
      </x:c>
      <x:c r="L1019" s="3"/>
    </x:row>
    <x:row r="1020" ht="22" customHeight="1">
      <x:c r="A1020" s="3"/>
      <x:c r="B1020" s="3" t="str">
        <x:v>23066</x:v>
      </x:c>
      <x:c r="C1020" s="3" t="str">
        <x:v>SMALL DECO JEWELLERY STAND</x:v>
      </x:c>
      <x:c r="D1020" s="13" t="n">
        <x:v>2137.81</x:v>
      </x:c>
      <x:c r="E1020" s="13" t="n">
        <x:v>8.25</x:v>
      </x:c>
      <x:c r="F1020" s="13" t="n">
        <x:f>D1020-E1020</x:f>
        <x:v>2129.56</x:v>
      </x:c>
      <x:c r="G1020" s="3" t="n">
        <x:v>259</x:v>
      </x:c>
      <x:c r="H1020" s="3" t="n">
        <x:v>1</x:v>
      </x:c>
      <x:c r="I1020" s="3" t="n">
        <x:v>85</x:v>
      </x:c>
      <x:c r="J1020" s="15" t="n">
        <x:f>IF(D1020=0,"n.a.",E1020/D1020)</x:f>
        <x:v>0.0038590894419990554</x:v>
      </x:c>
      <x:c r="K1020" s="15" t="n">
        <x:f>F1020/'Datos'!$F$7</x:f>
        <x:v>0.00021746383206559783</x:v>
      </x:c>
      <x:c r="L1020" s="3"/>
    </x:row>
    <x:row r="1021" ht="22" customHeight="1">
      <x:c r="A1021" s="3"/>
      <x:c r="B1021" s="3" t="str">
        <x:v>23213</x:v>
      </x:c>
      <x:c r="C1021" s="3" t="str">
        <x:v>STAR WREATH DECORATION WITH BELL</x:v>
      </x:c>
      <x:c r="D1021" s="13" t="n">
        <x:v>2139.67</x:v>
      </x:c>
      <x:c r="E1021" s="13" t="n">
        <x:v>15</x:v>
      </x:c>
      <x:c r="F1021" s="13" t="n">
        <x:f>D1021-E1021</x:f>
        <x:v>2124.67</x:v>
      </x:c>
      <x:c r="G1021" s="3" t="n">
        <x:v>1683</x:v>
      </x:c>
      <x:c r="H1021" s="3" t="n">
        <x:v>12</x:v>
      </x:c>
      <x:c r="I1021" s="3" t="n">
        <x:v>152</x:v>
      </x:c>
      <x:c r="J1021" s="15" t="n">
        <x:f>IF(D1021=0,"n.a.",E1021/D1021)</x:f>
        <x:v>0.00701042684152229</x:v>
      </x:c>
      <x:c r="K1021" s="15" t="n">
        <x:f>F1021/'Datos'!$F$7</x:f>
        <x:v>0.0002169644809607683</x:v>
      </x:c>
      <x:c r="L1021" s="3"/>
    </x:row>
    <x:row r="1022" ht="22" customHeight="1">
      <x:c r="A1022" s="3"/>
      <x:c r="B1022" s="3" t="str">
        <x:v>84356</x:v>
      </x:c>
      <x:c r="C1022" s="3" t="str">
        <x:v>POMPOM CURTAIN</x:v>
      </x:c>
      <x:c r="D1022" s="13" t="n">
        <x:v>2124.15</x:v>
      </x:c>
      <x:c r="E1022" s="13" t="n">
        <x:v>0</x:v>
      </x:c>
      <x:c r="F1022" s="13" t="n">
        <x:f>D1022-E1022</x:f>
        <x:v>2124.15</x:v>
      </x:c>
      <x:c r="G1022" s="3" t="n">
        <x:v>424</x:v>
      </x:c>
      <x:c r="H1022" s="3" t="n">
        <x:v>0</x:v>
      </x:c>
      <x:c r="I1022" s="3" t="n">
        <x:v>82</x:v>
      </x:c>
      <x:c r="J1022" s="15" t="n">
        <x:f>IF(D1022=0,"n.a.",E1022/D1022)</x:f>
        <x:v>0</x:v>
      </x:c>
      <x:c r="K1022" s="15" t="n">
        <x:f>F1022/'Datos'!$F$7</x:f>
        <x:v>0.0002169113802297844</x:v>
      </x:c>
      <x:c r="L1022" s="3"/>
    </x:row>
    <x:row r="1023" ht="22" customHeight="1">
      <x:c r="A1023" s="3"/>
      <x:c r="B1023" s="3" t="str">
        <x:v>22498</x:v>
      </x:c>
      <x:c r="C1023" s="3" t="str">
        <x:v>WOODEN REGATTA BUNTING</x:v>
      </x:c>
      <x:c r="D1023" s="13" t="n">
        <x:v>2121.99</x:v>
      </x:c>
      <x:c r="E1023" s="13" t="n">
        <x:v>0</x:v>
      </x:c>
      <x:c r="F1023" s="13" t="n">
        <x:f>D1023-E1023</x:f>
        <x:v>2121.99</x:v>
      </x:c>
      <x:c r="G1023" s="3" t="n">
        <x:v>334</x:v>
      </x:c>
      <x:c r="H1023" s="3" t="n">
        <x:v>0</x:v>
      </x:c>
      <x:c r="I1023" s="3" t="n">
        <x:v>150</x:v>
      </x:c>
      <x:c r="J1023" s="15" t="n">
        <x:f>IF(D1023=0,"n.a.",E1023/D1023)</x:f>
        <x:v>0</x:v>
      </x:c>
      <x:c r="K1023" s="15" t="n">
        <x:f>F1023/'Datos'!$F$7</x:f>
        <x:v>0.0002166908079626204</x:v>
      </x:c>
      <x:c r="L1023" s="3"/>
    </x:row>
    <x:row r="1024" ht="22" customHeight="1">
      <x:c r="A1024" s="3"/>
      <x:c r="B1024" s="3" t="str">
        <x:v>72802C</x:v>
      </x:c>
      <x:c r="C1024" s="3" t="str">
        <x:v>VANILLA SCENT CANDLE JEWELLED BOX</x:v>
      </x:c>
      <x:c r="D1024" s="13" t="n">
        <x:v>2700.73</x:v>
      </x:c>
      <x:c r="E1024" s="13" t="n">
        <x:v>579.81</x:v>
      </x:c>
      <x:c r="F1024" s="13" t="n">
        <x:f>D1024-E1024</x:f>
        <x:v>2120.92</x:v>
      </x:c>
      <x:c r="G1024" s="3" t="n">
        <x:v>1397</x:v>
      </x:c>
      <x:c r="H1024" s="3" t="n">
        <x:v>505</x:v>
      </x:c>
      <x:c r="I1024" s="3" t="n">
        <x:v>106</x:v>
      </x:c>
      <x:c r="J1024" s="15" t="n">
        <x:f>IF(D1024=0,"n.a.",E1024/D1024)</x:f>
        <x:v>0.21468639960307026</x:v>
      </x:c>
      <x:c r="K1024" s="15" t="n">
        <x:f>F1024/'Datos'!$F$7</x:f>
        <x:v>0.00021658154299694198</x:v>
      </x:c>
      <x:c r="L1024" s="3"/>
    </x:row>
    <x:row r="1025" ht="22" customHeight="1">
      <x:c r="A1025" s="3"/>
      <x:c r="B1025" s="3" t="str">
        <x:v>23020</x:v>
      </x:c>
      <x:c r="C1025" s="3" t="str">
        <x:v>GLASS SONGBIRD STORAGE JAR</x:v>
      </x:c>
      <x:c r="D1025" s="13" t="n">
        <x:v>2191.84</x:v>
      </x:c>
      <x:c r="E1025" s="13" t="n">
        <x:v>73.65</x:v>
      </x:c>
      <x:c r="F1025" s="13" t="n">
        <x:f>D1025-E1025</x:f>
        <x:v>2118.19</x:v>
      </x:c>
      <x:c r="G1025" s="3" t="n">
        <x:v>180</x:v>
      </x:c>
      <x:c r="H1025" s="3" t="n">
        <x:v>6</x:v>
      </x:c>
      <x:c r="I1025" s="3" t="n">
        <x:v>76</x:v>
      </x:c>
      <x:c r="J1025" s="15" t="n">
        <x:f>IF(D1025=0,"n.a.",E1025/D1025)</x:f>
        <x:v>0.033601905248558286</x:v>
      </x:c>
      <x:c r="K1025" s="15" t="n">
        <x:f>F1025/'Datos'!$F$7</x:f>
        <x:v>0.00021630276415927641</x:v>
      </x:c>
      <x:c r="L1025" s="3"/>
    </x:row>
    <x:row r="1026" ht="22" customHeight="1">
      <x:c r="A1026" s="3"/>
      <x:c r="B1026" s="3" t="str">
        <x:v>23079</x:v>
      </x:c>
      <x:c r="C1026" s="3" t="str">
        <x:v>TOADSTOOL BEDSIDE LIGHT</x:v>
      </x:c>
      <x:c r="D1026" s="13" t="n">
        <x:v>2243.35</x:v>
      </x:c>
      <x:c r="E1026" s="13" t="n">
        <x:v>125.3</x:v>
      </x:c>
      <x:c r="F1026" s="13" t="n">
        <x:f>D1026-E1026</x:f>
        <x:v>2118.0499999999997</x:v>
      </x:c>
      <x:c r="G1026" s="3" t="n">
        <x:v>253</x:v>
      </x:c>
      <x:c r="H1026" s="3" t="n">
        <x:v>14</x:v>
      </x:c>
      <x:c r="I1026" s="3" t="n">
        <x:v>106</x:v>
      </x:c>
      <x:c r="J1026" s="15" t="n">
        <x:f>IF(D1026=0,"n.a.",E1026/D1026)</x:f>
        <x:v>0.05585396839547997</x:v>
      </x:c>
      <x:c r="K1026" s="15" t="n">
        <x:f>F1026/'Datos'!$F$7</x:f>
        <x:v>0.00021628846780862688</x:v>
      </x:c>
      <x:c r="L1026" s="3"/>
    </x:row>
    <x:row r="1027" ht="22" customHeight="1">
      <x:c r="A1027" s="3"/>
      <x:c r="B1027" s="3" t="str">
        <x:v>21718</x:v>
      </x:c>
      <x:c r="C1027" s="3" t="str">
        <x:v>RED METAL BEACH SPADE</x:v>
      </x:c>
      <x:c r="D1027" s="13" t="n">
        <x:v>2114.64</x:v>
      </x:c>
      <x:c r="E1027" s="13" t="n">
        <x:v>1.25</x:v>
      </x:c>
      <x:c r="F1027" s="13" t="n">
        <x:f>D1027-E1027</x:f>
        <x:v>2113.39</x:v>
      </x:c>
      <x:c r="G1027" s="3" t="n">
        <x:v>1494</x:v>
      </x:c>
      <x:c r="H1027" s="3" t="n">
        <x:v>1</x:v>
      </x:c>
      <x:c r="I1027" s="3" t="n">
        <x:v>229</x:v>
      </x:c>
      <x:c r="J1027" s="15" t="n">
        <x:f>IF(D1027=0,"n.a.",E1027/D1027)</x:f>
        <x:v>0.0005911171641508721</x:v>
      </x:c>
      <x:c r="K1027" s="15" t="n">
        <x:f>F1027/'Datos'!$F$7</x:f>
        <x:v>0.0002158126035655787</x:v>
      </x:c>
      <x:c r="L1027" s="3"/>
    </x:row>
    <x:row r="1028" ht="22" customHeight="1">
      <x:c r="A1028" s="3"/>
      <x:c r="B1028" s="3" t="str">
        <x:v>23046</x:v>
      </x:c>
      <x:c r="C1028" s="3" t="str">
        <x:v>PAPER LANTERN 9 POINT DELUXE STAR</x:v>
      </x:c>
      <x:c r="D1028" s="13" t="n">
        <x:v>2111.49</x:v>
      </x:c>
      <x:c r="E1028" s="13" t="n">
        <x:v>0</x:v>
      </x:c>
      <x:c r="F1028" s="13" t="n">
        <x:f>D1028-E1028</x:f>
        <x:v>2111.49</x:v>
      </x:c>
      <x:c r="G1028" s="3" t="n">
        <x:v>349</x:v>
      </x:c>
      <x:c r="H1028" s="3" t="n">
        <x:v>0</x:v>
      </x:c>
      <x:c r="I1028" s="3" t="n">
        <x:v>36</x:v>
      </x:c>
      <x:c r="J1028" s="15" t="n">
        <x:f>IF(D1028=0,"n.a.",E1028/D1028)</x:f>
        <x:v>0</x:v>
      </x:c>
      <x:c r="K1028" s="15" t="n">
        <x:f>F1028/'Datos'!$F$7</x:f>
        <x:v>0.00021561858166390668</x:v>
      </x:c>
      <x:c r="L1028" s="3"/>
    </x:row>
    <x:row r="1029" ht="22" customHeight="1">
      <x:c r="A1029" s="3"/>
      <x:c r="B1029" s="3" t="str">
        <x:v>22571</x:v>
      </x:c>
      <x:c r="C1029" s="3" t="str">
        <x:v>ROCKING HORSE RED CHRISTMAS</x:v>
      </x:c>
      <x:c r="D1029" s="13" t="n">
        <x:v>2191.43</x:v>
      </x:c>
      <x:c r="E1029" s="13" t="n">
        <x:v>80.17</x:v>
      </x:c>
      <x:c r="F1029" s="13" t="n">
        <x:f>D1029-E1029</x:f>
        <x:v>2111.2599999999998</x:v>
      </x:c>
      <x:c r="G1029" s="3" t="n">
        <x:v>2441</x:v>
      </x:c>
      <x:c r="H1029" s="3" t="n">
        <x:v>109</x:v>
      </x:c>
      <x:c r="I1029" s="3" t="n">
        <x:v>254</x:v>
      </x:c>
      <x:c r="J1029" s="15" t="n">
        <x:f>IF(D1029=0,"n.a.",E1029/D1029)</x:f>
        <x:v>0.03658341813336498</x:v>
      </x:c>
      <x:c r="K1029" s="15" t="n">
        <x:f>F1029/'Datos'!$F$7</x:f>
        <x:v>0.00021559509480212534</x:v>
      </x:c>
      <x:c r="L1029" s="3"/>
    </x:row>
    <x:row r="1030" ht="22" customHeight="1">
      <x:c r="A1030" s="3"/>
      <x:c r="B1030" s="3" t="str">
        <x:v>22973</x:v>
      </x:c>
      <x:c r="C1030" s="3" t="str">
        <x:v>CHILDREN'S CIRCUS PARADE MUG</x:v>
      </x:c>
      <x:c r="D1030" s="13" t="n">
        <x:v>2145.91</x:v>
      </x:c>
      <x:c r="E1030" s="13" t="n">
        <x:v>36.3</x:v>
      </x:c>
      <x:c r="F1030" s="13" t="n">
        <x:f>D1030-E1030</x:f>
        <x:v>2109.6099999999997</x:v>
      </x:c>
      <x:c r="G1030" s="3" t="n">
        <x:v>1261</x:v>
      </x:c>
      <x:c r="H1030" s="3" t="n">
        <x:v>22</x:v>
      </x:c>
      <x:c r="I1030" s="3" t="n">
        <x:v>144</x:v>
      </x:c>
      <x:c r="J1030" s="15" t="n">
        <x:f>IF(D1030=0,"n.a.",E1030/D1030)</x:f>
        <x:v>0.016915900480448855</x:v>
      </x:c>
      <x:c r="K1030" s="15" t="n">
        <x:f>F1030/'Datos'!$F$7</x:f>
        <x:v>0.00021542660209804173</x:v>
      </x:c>
      <x:c r="L1030" s="3"/>
    </x:row>
    <x:row r="1031" ht="22" customHeight="1">
      <x:c r="A1031" s="3"/>
      <x:c r="B1031" s="3" t="str">
        <x:v>20751</x:v>
      </x:c>
      <x:c r="C1031" s="3" t="str">
        <x:v>FUNKY WASHING UP GLOVES ASSORTED</x:v>
      </x:c>
      <x:c r="D1031" s="13" t="n">
        <x:v>2108.72</x:v>
      </x:c>
      <x:c r="E1031" s="13" t="n">
        <x:v>2.1</x:v>
      </x:c>
      <x:c r="F1031" s="13" t="n">
        <x:f>D1031-E1031</x:f>
        <x:v>2106.62</x:v>
      </x:c>
      <x:c r="G1031" s="3" t="n">
        <x:v>1003</x:v>
      </x:c>
      <x:c r="H1031" s="3" t="n">
        <x:v>1</x:v>
      </x:c>
      <x:c r="I1031" s="3" t="n">
        <x:v>198</x:v>
      </x:c>
      <x:c r="J1031" s="15" t="n">
        <x:f>IF(D1031=0,"n.a.",E1031/D1031)</x:f>
        <x:v>0.000995864790014796</x:v>
      </x:c>
      <x:c r="K1031" s="15" t="n">
        <x:f>F1031/'Datos'!$F$7</x:f>
        <x:v>0.00021512127289488424</x:v>
      </x:c>
      <x:c r="L1031" s="3"/>
    </x:row>
    <x:row r="1032" ht="22" customHeight="1">
      <x:c r="A1032" s="3"/>
      <x:c r="B1032" s="3" t="str">
        <x:v>22357</x:v>
      </x:c>
      <x:c r="C1032" s="3" t="str">
        <x:v>KINGS CHOICE BISCUIT TIN</x:v>
      </x:c>
      <x:c r="D1032" s="13" t="n">
        <x:v>2175.04</x:v>
      </x:c>
      <x:c r="E1032" s="13" t="n">
        <x:v>76.5</x:v>
      </x:c>
      <x:c r="F1032" s="13" t="n">
        <x:f>D1032-E1032</x:f>
        <x:v>2098.54</x:v>
      </x:c>
      <x:c r="G1032" s="3" t="n">
        <x:v>468</x:v>
      </x:c>
      <x:c r="H1032" s="3" t="n">
        <x:v>18</x:v>
      </x:c>
      <x:c r="I1032" s="3" t="n">
        <x:v>180</x:v>
      </x:c>
      <x:c r="J1032" s="15" t="n">
        <x:f>IF(D1032=0,"n.a.",E1032/D1032)</x:f>
        <x:v>0.03517176695601001</x:v>
      </x:c>
      <x:c r="K1032" s="15" t="n">
        <x:f>F1032/'Datos'!$F$7</x:f>
        <x:v>0.00021429616922882645</x:v>
      </x:c>
      <x:c r="L1032" s="3"/>
    </x:row>
    <x:row r="1033" ht="22" customHeight="1">
      <x:c r="A1033" s="3"/>
      <x:c r="B1033" s="3" t="str">
        <x:v>21506</x:v>
      </x:c>
      <x:c r="C1033" s="3" t="str">
        <x:v>FANCY FONT BIRTHDAY CARD,</x:v>
      </x:c>
      <x:c r="D1033" s="13" t="n">
        <x:v>2101.01</x:v>
      </x:c>
      <x:c r="E1033" s="13" t="n">
        <x:v>5.04</x:v>
      </x:c>
      <x:c r="F1033" s="13" t="n">
        <x:f>D1033-E1033</x:f>
        <x:v>2095.9700000000003</x:v>
      </x:c>
      <x:c r="G1033" s="3" t="n">
        <x:v>4958</x:v>
      </x:c>
      <x:c r="H1033" s="3" t="n">
        <x:v>12</x:v>
      </x:c>
      <x:c r="I1033" s="3" t="n">
        <x:v>323</x:v>
      </x:c>
      <x:c r="J1033" s="15" t="n">
        <x:f>IF(D1033=0,"n.a.",E1033/D1033)</x:f>
        <x:v>0.002398846269175301</x:v>
      </x:c>
      <x:c r="K1033" s="15" t="n">
        <x:f>F1033/'Datos'!$F$7</x:f>
        <x:v>0.0002140337290776175</x:v>
      </x:c>
      <x:c r="L1033" s="3"/>
    </x:row>
    <x:row r="1034" ht="22" customHeight="1">
      <x:c r="A1034" s="3"/>
      <x:c r="B1034" s="3" t="str">
        <x:v>22733</x:v>
      </x:c>
      <x:c r="C1034" s="3" t="str">
        <x:v>3D TRADITIONAL CHRISTMAS STICKERS</x:v>
      </x:c>
      <x:c r="D1034" s="13" t="n">
        <x:v>2095.08</x:v>
      </x:c>
      <x:c r="E1034" s="13" t="n">
        <x:v>0</x:v>
      </x:c>
      <x:c r="F1034" s="13" t="n">
        <x:f>D1034-E1034</x:f>
        <x:v>2095.08</x:v>
      </x:c>
      <x:c r="G1034" s="3" t="n">
        <x:v>1583</x:v>
      </x:c>
      <x:c r="H1034" s="3" t="n">
        <x:v>0</x:v>
      </x:c>
      <x:c r="I1034" s="3" t="n">
        <x:v>197</x:v>
      </x:c>
      <x:c r="J1034" s="15" t="n">
        <x:f>IF(D1034=0,"n.a.",E1034/D1034)</x:f>
        <x:v>0</x:v>
      </x:c>
      <x:c r="K1034" s="15" t="n">
        <x:f>F1034/'Datos'!$F$7</x:f>
        <x:v>0.0002139428451342027</x:v>
      </x:c>
      <x:c r="L1034" s="3"/>
    </x:row>
    <x:row r="1035" ht="22" customHeight="1">
      <x:c r="A1035" s="3"/>
      <x:c r="B1035" s="3" t="str">
        <x:v>23233</x:v>
      </x:c>
      <x:c r="C1035" s="3" t="str">
        <x:v>WRAP POPPIES DESIGN</x:v>
      </x:c>
      <x:c r="D1035" s="13" t="n">
        <x:v>2105.5</x:v>
      </x:c>
      <x:c r="E1035" s="13" t="n">
        <x:v>10.5</x:v>
      </x:c>
      <x:c r="F1035" s="13" t="n">
        <x:f>D1035-E1035</x:f>
        <x:v>2095</x:v>
      </x:c>
      <x:c r="G1035" s="3" t="n">
        <x:v>5175</x:v>
      </x:c>
      <x:c r="H1035" s="3" t="n">
        <x:v>25</x:v>
      </x:c>
      <x:c r="I1035" s="3" t="n">
        <x:v>158</x:v>
      </x:c>
      <x:c r="J1035" s="15" t="n">
        <x:f>IF(D1035=0,"n.a.",E1035/D1035)</x:f>
        <x:v>0.004986938969365947</x:v>
      </x:c>
      <x:c r="K1035" s="15" t="n">
        <x:f>F1035/'Datos'!$F$7</x:f>
        <x:v>0.0002139346757909744</x:v>
      </x:c>
      <x:c r="L1035" s="3"/>
    </x:row>
    <x:row r="1036" ht="22" customHeight="1">
      <x:c r="A1036" s="3"/>
      <x:c r="B1036" s="3" t="str">
        <x:v>21609</x:v>
      </x:c>
      <x:c r="C1036" s="3" t="str">
        <x:v>SET 12 LAVENDER BOTANICAL T-LIGHTS</x:v>
      </x:c>
      <x:c r="D1036" s="13" t="n">
        <x:v>2089.64</x:v>
      </x:c>
      <x:c r="E1036" s="13" t="n">
        <x:v>0</x:v>
      </x:c>
      <x:c r="F1036" s="13" t="n">
        <x:f>D1036-E1036</x:f>
        <x:v>2089.64</x:v>
      </x:c>
      <x:c r="G1036" s="3" t="n">
        <x:v>764</x:v>
      </x:c>
      <x:c r="H1036" s="3" t="n">
        <x:v>0</x:v>
      </x:c>
      <x:c r="I1036" s="3" t="n">
        <x:v>76</x:v>
      </x:c>
      <x:c r="J1036" s="15" t="n">
        <x:f>IF(D1036=0,"n.a.",E1036/D1036)</x:f>
        <x:v>0</x:v>
      </x:c>
      <x:c r="K1036" s="15" t="n">
        <x:f>F1036/'Datos'!$F$7</x:f>
        <x:v>0.00021338732979467862</x:v>
      </x:c>
      <x:c r="L1036" s="3"/>
    </x:row>
    <x:row r="1037" ht="22" customHeight="1">
      <x:c r="A1037" s="3"/>
      <x:c r="B1037" s="3" t="str">
        <x:v>22996</x:v>
      </x:c>
      <x:c r="C1037" s="3" t="str">
        <x:v>TRAVEL CARD WALLET VINTAGE TICKET</x:v>
      </x:c>
      <x:c r="D1037" s="13" t="n">
        <x:v>2099.97</x:v>
      </x:c>
      <x:c r="E1037" s="13" t="n">
        <x:v>10.92</x:v>
      </x:c>
      <x:c r="F1037" s="13" t="n">
        <x:f>D1037-E1037</x:f>
        <x:v>2089.0499999999997</x:v>
      </x:c>
      <x:c r="G1037" s="3" t="n">
        <x:v>4813</x:v>
      </x:c>
      <x:c r="H1037" s="3" t="n">
        <x:v>26</x:v>
      </x:c>
      <x:c r="I1037" s="3" t="n">
        <x:v>408</x:v>
      </x:c>
      <x:c r="J1037" s="15" t="n">
        <x:f>IF(D1037=0,"n.a.",E1037/D1037)</x:f>
        <x:v>0.005200074286775526</x:v>
      </x:c>
      <x:c r="K1037" s="15" t="n">
        <x:f>F1037/'Datos'!$F$7</x:f>
        <x:v>0.00021332708088836995</x:v>
      </x:c>
      <x:c r="L1037" s="3"/>
    </x:row>
    <x:row r="1038" ht="22" customHeight="1">
      <x:c r="A1038" s="3"/>
      <x:c r="B1038" s="3" t="str">
        <x:v>21980</x:v>
      </x:c>
      <x:c r="C1038" s="3" t="str">
        <x:v>PACK OF 12 RED RETROSPOT TISSUES</x:v>
      </x:c>
      <x:c r="D1038" s="13" t="n">
        <x:v>2121.76</x:v>
      </x:c>
      <x:c r="E1038" s="13" t="n">
        <x:v>38.28</x:v>
      </x:c>
      <x:c r="F1038" s="13" t="n">
        <x:f>D1038-E1038</x:f>
        <x:v>2083.48</x:v>
      </x:c>
      <x:c r="G1038" s="3" t="n">
        <x:v>6687</x:v>
      </x:c>
      <x:c r="H1038" s="3" t="n">
        <x:v>132</x:v>
      </x:c>
      <x:c r="I1038" s="3" t="n">
        <x:v>297</x:v>
      </x:c>
      <x:c r="J1038" s="15" t="n">
        <x:f>IF(D1038=0,"n.a.",E1038/D1038)</x:f>
        <x:v>0.0180416258200739</x:v>
      </x:c>
      <x:c r="K1038" s="15" t="n">
        <x:f>F1038/'Datos'!$F$7</x:f>
        <x:v>0.00021275829036609994</x:v>
      </x:c>
      <x:c r="L1038" s="3"/>
    </x:row>
    <x:row r="1039" ht="22" customHeight="1">
      <x:c r="A1039" s="3"/>
      <x:c r="B1039" s="3" t="str">
        <x:v>22107</x:v>
      </x:c>
      <x:c r="C1039" s="3" t="str">
        <x:v>PIZZA PLATE IN BOX</x:v>
      </x:c>
      <x:c r="D1039" s="13" t="n">
        <x:v>2158.06</x:v>
      </x:c>
      <x:c r="E1039" s="13" t="n">
        <x:v>76.25</x:v>
      </x:c>
      <x:c r="F1039" s="13" t="n">
        <x:f>D1039-E1039</x:f>
        <x:v>2081.81</x:v>
      </x:c>
      <x:c r="G1039" s="3" t="n">
        <x:v>594</x:v>
      </x:c>
      <x:c r="H1039" s="3" t="n">
        <x:v>21</x:v>
      </x:c>
      <x:c r="I1039" s="3" t="n">
        <x:v>179</x:v>
      </x:c>
      <x:c r="J1039" s="15" t="n">
        <x:f>IF(D1039=0,"n.a.",E1039/D1039)</x:f>
        <x:v>0.035332659888974355</x:v>
      </x:c>
      <x:c r="K1039" s="15" t="n">
        <x:f>F1039/'Datos'!$F$7</x:f>
        <x:v>0.00021258775532620927</x:v>
      </x:c>
      <x:c r="L1039" s="3"/>
    </x:row>
    <x:row r="1040" ht="22" customHeight="1">
      <x:c r="A1040" s="3"/>
      <x:c r="B1040" s="3" t="str">
        <x:v>22747</x:v>
      </x:c>
      <x:c r="C1040" s="3" t="str">
        <x:v>POPPY'S PLAYHOUSE BATHROOM</x:v>
      </x:c>
      <x:c r="D1040" s="13" t="n">
        <x:v>2087.15</x:v>
      </x:c>
      <x:c r="E1040" s="13" t="n">
        <x:v>12.6</x:v>
      </x:c>
      <x:c r="F1040" s="13" t="n">
        <x:f>D1040-E1040</x:f>
        <x:v>2074.55</x:v>
      </x:c>
      <x:c r="G1040" s="3" t="n">
        <x:v>957</x:v>
      </x:c>
      <x:c r="H1040" s="3" t="n">
        <x:v>6</x:v>
      </x:c>
      <x:c r="I1040" s="3" t="n">
        <x:v>227</x:v>
      </x:c>
      <x:c r="J1040" s="15" t="n">
        <x:f>IF(D1040=0,"n.a.",E1040/D1040)</x:f>
        <x:v>0.006036940325324006</x:v>
      </x:c>
      <x:c r="K1040" s="15" t="n">
        <x:f>F1040/'Datos'!$F$7</x:f>
        <x:v>0.00021184638742824152</x:v>
      </x:c>
      <x:c r="L1040" s="3"/>
    </x:row>
    <x:row r="1041" ht="22" customHeight="1">
      <x:c r="A1041" s="3"/>
      <x:c r="B1041" s="3" t="str">
        <x:v>22831</x:v>
      </x:c>
      <x:c r="C1041" s="3" t="str">
        <x:v>WHITE BROCANTE SOAP DISH</x:v>
      </x:c>
      <x:c r="D1041" s="13" t="n">
        <x:v>2070.9</x:v>
      </x:c>
      <x:c r="E1041" s="13" t="n">
        <x:v>0</x:v>
      </x:c>
      <x:c r="F1041" s="13" t="n">
        <x:f>D1041-E1041</x:f>
        <x:v>2070.9</x:v>
      </x:c>
      <x:c r="G1041" s="3" t="n">
        <x:v>706</x:v>
      </x:c>
      <x:c r="H1041" s="3" t="n">
        <x:v>0</x:v>
      </x:c>
      <x:c r="I1041" s="3" t="n">
        <x:v>121</x:v>
      </x:c>
      <x:c r="J1041" s="15" t="n">
        <x:f>IF(D1041=0,"n.a.",E1041/D1041)</x:f>
        <x:v>0</x:v>
      </x:c>
      <x:c r="K1041" s="15" t="n">
        <x:f>F1041/'Datos'!$F$7</x:f>
        <x:v>0.00021147366114345056</x:v>
      </x:c>
      <x:c r="L1041" s="3"/>
    </x:row>
    <x:row r="1042" ht="22" customHeight="1">
      <x:c r="A1042" s="3"/>
      <x:c r="B1042" s="3" t="str">
        <x:v>22955</x:v>
      </x:c>
      <x:c r="C1042" s="3" t="str">
        <x:v>36 FOIL STAR CAKE CASES</x:v>
      </x:c>
      <x:c r="D1042" s="13" t="n">
        <x:v>2070.15</x:v>
      </x:c>
      <x:c r="E1042" s="13" t="n">
        <x:v>0</x:v>
      </x:c>
      <x:c r="F1042" s="13" t="n">
        <x:f>D1042-E1042</x:f>
        <x:v>2070.15</x:v>
      </x:c>
      <x:c r="G1042" s="3" t="n">
        <x:v>1048</x:v>
      </x:c>
      <x:c r="H1042" s="3" t="n">
        <x:v>0</x:v>
      </x:c>
      <x:c r="I1042" s="3" t="n">
        <x:v>134</x:v>
      </x:c>
      <x:c r="J1042" s="15" t="n">
        <x:f>IF(D1042=0,"n.a.",E1042/D1042)</x:f>
        <x:v>0</x:v>
      </x:c>
      <x:c r="K1042" s="15" t="n">
        <x:f>F1042/'Datos'!$F$7</x:f>
        <x:v>0.00021139707355068529</x:v>
      </x:c>
      <x:c r="L1042" s="3"/>
    </x:row>
    <x:row r="1043" ht="22" customHeight="1">
      <x:c r="A1043" s="3"/>
      <x:c r="B1043" s="3" t="str">
        <x:v>23152</x:v>
      </x:c>
      <x:c r="C1043" s="3" t="str">
        <x:v>IVORY SWEETHEART WIRE LETTER RACK</x:v>
      </x:c>
      <x:c r="D1043" s="13" t="n">
        <x:v>2095.65</x:v>
      </x:c>
      <x:c r="E1043" s="13" t="n">
        <x:v>26.25</x:v>
      </x:c>
      <x:c r="F1043" s="13" t="n">
        <x:f>D1043-E1043</x:f>
        <x:v>2069.4</x:v>
      </x:c>
      <x:c r="G1043" s="3" t="n">
        <x:v>558</x:v>
      </x:c>
      <x:c r="H1043" s="3" t="n">
        <x:v>7</x:v>
      </x:c>
      <x:c r="I1043" s="3" t="n">
        <x:v>159</x:v>
      </x:c>
      <x:c r="J1043" s="15" t="n">
        <x:f>IF(D1043=0,"n.a.",E1043/D1043)</x:f>
        <x:v>0.012525946603679049</x:v>
      </x:c>
      <x:c r="K1043" s="15" t="n">
        <x:f>F1043/'Datos'!$F$7</x:f>
        <x:v>0.00021132048595792004</x:v>
      </x:c>
      <x:c r="L1043" s="3"/>
    </x:row>
    <x:row r="1044" ht="22" customHeight="1">
      <x:c r="A1044" s="3"/>
      <x:c r="B1044" s="3" t="str">
        <x:v>22744</x:v>
      </x:c>
      <x:c r="C1044" s="3" t="str">
        <x:v>MAKE YOUR OWN MONSOON CARD KIT</x:v>
      </x:c>
      <x:c r="D1044" s="13" t="n">
        <x:v>2091.54</x:v>
      </x:c>
      <x:c r="E1044" s="13" t="n">
        <x:v>23.6</x:v>
      </x:c>
      <x:c r="F1044" s="13" t="n">
        <x:f>D1044-E1044</x:f>
        <x:v>2067.94</x:v>
      </x:c>
      <x:c r="G1044" s="3" t="n">
        <x:v>870</x:v>
      </x:c>
      <x:c r="H1044" s="3" t="n">
        <x:v>8</x:v>
      </x:c>
      <x:c r="I1044" s="3" t="n">
        <x:v>172</x:v>
      </x:c>
      <x:c r="J1044" s="15" t="n">
        <x:f>IF(D1044=0,"n.a.",E1044/D1044)</x:f>
        <x:v>0.01128355183262094</x:v>
      </x:c>
      <x:c r="K1044" s="15" t="n">
        <x:f>F1044/'Datos'!$F$7</x:f>
        <x:v>0.00021117139544400365</x:v>
      </x:c>
      <x:c r="L1044" s="3"/>
    </x:row>
    <x:row r="1045" ht="22" customHeight="1">
      <x:c r="A1045" s="3"/>
      <x:c r="B1045" s="3" t="str">
        <x:v>22574</x:v>
      </x:c>
      <x:c r="C1045" s="3" t="str">
        <x:v>HEART WOODEN CHRISTMAS DECORATION</x:v>
      </x:c>
      <x:c r="D1045" s="13" t="n">
        <x:v>2202.14</x:v>
      </x:c>
      <x:c r="E1045" s="13" t="n">
        <x:v>138.24</x:v>
      </x:c>
      <x:c r="F1045" s="13" t="n">
        <x:f>D1045-E1045</x:f>
        <x:v>2063.8999999999996</x:v>
      </x:c>
      <x:c r="G1045" s="3" t="n">
        <x:v>2336</x:v>
      </x:c>
      <x:c r="H1045" s="3" t="n">
        <x:v>192</x:v>
      </x:c>
      <x:c r="I1045" s="3" t="n">
        <x:v>222</x:v>
      </x:c>
      <x:c r="J1045" s="15" t="n">
        <x:f>IF(D1045=0,"n.a.",E1045/D1045)</x:f>
        <x:v>0.06277530038962101</x:v>
      </x:c>
      <x:c r="K1045" s="15" t="n">
        <x:f>F1045/'Datos'!$F$7</x:f>
        <x:v>0.00021075884361097471</x:v>
      </x:c>
      <x:c r="L1045" s="3"/>
    </x:row>
    <x:row r="1046" ht="22" customHeight="1">
      <x:c r="A1046" s="3"/>
      <x:c r="B1046" s="3" t="str">
        <x:v>23227</x:v>
      </x:c>
      <x:c r="C1046" s="3" t="str">
        <x:v>FILIGREE HEART BUTTERFLY WHITE</x:v>
      </x:c>
      <x:c r="D1046" s="13" t="n">
        <x:v>2070.06</x:v>
      </x:c>
      <x:c r="E1046" s="13" t="n">
        <x:v>7.5</x:v>
      </x:c>
      <x:c r="F1046" s="13" t="n">
        <x:f>D1046-E1046</x:f>
        <x:v>2062.56</x:v>
      </x:c>
      <x:c r="G1046" s="3" t="n">
        <x:v>1642</x:v>
      </x:c>
      <x:c r="H1046" s="3" t="n">
        <x:v>6</x:v>
      </x:c>
      <x:c r="I1046" s="3" t="n">
        <x:v>117</x:v>
      </x:c>
      <x:c r="J1046" s="15" t="n">
        <x:f>IF(D1046=0,"n.a.",E1046/D1046)</x:f>
        <x:v>0.0036230833888872787</x:v>
      </x:c>
      <x:c r="K1046" s="15" t="n">
        <x:f>F1046/'Datos'!$F$7</x:f>
        <x:v>0.0002106220071119008</x:v>
      </x:c>
      <x:c r="L1046" s="3"/>
    </x:row>
    <x:row r="1047" ht="22" customHeight="1">
      <x:c r="A1047" s="3"/>
      <x:c r="B1047" s="3" t="str">
        <x:v>22059</x:v>
      </x:c>
      <x:c r="C1047" s="3" t="str">
        <x:v>CERAMIC STRAWBERRY DESIGN MUG</x:v>
      </x:c>
      <x:c r="D1047" s="13" t="n">
        <x:v>2094.24</x:v>
      </x:c>
      <x:c r="E1047" s="13" t="n">
        <x:v>35.76</x:v>
      </x:c>
      <x:c r="F1047" s="13" t="n">
        <x:f>D1047-E1047</x:f>
        <x:v>2058.4799999999996</x:v>
      </x:c>
      <x:c r="G1047" s="3" t="n">
        <x:v>1790</x:v>
      </x:c>
      <x:c r="H1047" s="3" t="n">
        <x:v>24</x:v>
      </x:c>
      <x:c r="I1047" s="3" t="n">
        <x:v>173</x:v>
      </x:c>
      <x:c r="J1047" s="15" t="n">
        <x:f>IF(D1047=0,"n.a.",E1047/D1047)</x:f>
        <x:v>0.01707540683016273</x:v>
      </x:c>
      <x:c r="K1047" s="15" t="n">
        <x:f>F1047/'Datos'!$F$7</x:f>
        <x:v>0.0002102053706072577</x:v>
      </x:c>
      <x:c r="L1047" s="3"/>
    </x:row>
    <x:row r="1048" ht="22" customHeight="1">
      <x:c r="A1048" s="3"/>
      <x:c r="B1048" s="3" t="str">
        <x:v>22128</x:v>
      </x:c>
      <x:c r="C1048" s="3" t="str">
        <x:v>PARTY CONES CANDY ASSORTED</x:v>
      </x:c>
      <x:c r="D1048" s="13" t="n">
        <x:v>2127.53</x:v>
      </x:c>
      <x:c r="E1048" s="13" t="n">
        <x:v>70</x:v>
      </x:c>
      <x:c r="F1048" s="13" t="n">
        <x:f>D1048-E1048</x:f>
        <x:v>2057.53</x:v>
      </x:c>
      <x:c r="G1048" s="3" t="n">
        <x:v>1762</x:v>
      </x:c>
      <x:c r="H1048" s="3" t="n">
        <x:v>56</x:v>
      </x:c>
      <x:c r="I1048" s="3" t="n">
        <x:v>76</x:v>
      </x:c>
      <x:c r="J1048" s="15" t="n">
        <x:f>IF(D1048=0,"n.a.",E1048/D1048)</x:f>
        <x:v>0.03290200373202728</x:v>
      </x:c>
      <x:c r="K1048" s="15" t="n">
        <x:f>F1048/'Datos'!$F$7</x:f>
        <x:v>0.00021010835965642178</x:v>
      </x:c>
      <x:c r="L1048" s="3"/>
    </x:row>
    <x:row r="1049" ht="22" customHeight="1">
      <x:c r="A1049" s="3"/>
      <x:c r="B1049" s="3" t="str">
        <x:v>22055</x:v>
      </x:c>
      <x:c r="C1049" s="3" t="str">
        <x:v>MINI CAKE STAND HANGING STRAWBERY</x:v>
      </x:c>
      <x:c r="D1049" s="13" t="n">
        <x:v>2086.49</x:v>
      </x:c>
      <x:c r="E1049" s="13" t="n">
        <x:v>37.75</x:v>
      </x:c>
      <x:c r="F1049" s="13" t="n">
        <x:f>D1049-E1049</x:f>
        <x:v>2048.74</x:v>
      </x:c>
      <x:c r="G1049" s="3" t="n">
        <x:v>1377</x:v>
      </x:c>
      <x:c r="H1049" s="3" t="n">
        <x:v>23</x:v>
      </x:c>
      <x:c r="I1049" s="3" t="n">
        <x:v>220</x:v>
      </x:c>
      <x:c r="J1049" s="15" t="n">
        <x:f>IF(D1049=0,"n.a.",E1049/D1049)</x:f>
        <x:v>0.018092586113520794</x:v>
      </x:c>
      <x:c r="K1049" s="15" t="n">
        <x:f>F1049/'Datos'!$F$7</x:f>
        <x:v>0.00020921075306921282</x:v>
      </x:c>
      <x:c r="L1049" s="3"/>
    </x:row>
    <x:row r="1050" ht="22" customHeight="1">
      <x:c r="A1050" s="3"/>
      <x:c r="B1050" s="3" t="str">
        <x:v>23291</x:v>
      </x:c>
      <x:c r="C1050" s="3" t="str">
        <x:v>DOLLY GIRL CHILDRENS CUP</x:v>
      </x:c>
      <x:c r="D1050" s="13" t="n">
        <x:v>2060.28</x:v>
      </x:c>
      <x:c r="E1050" s="13" t="n">
        <x:v>12.5</x:v>
      </x:c>
      <x:c r="F1050" s="13" t="n">
        <x:f>D1050-E1050</x:f>
        <x:v>2047.7800000000002</x:v>
      </x:c>
      <x:c r="G1050" s="3" t="n">
        <x:v>1635</x:v>
      </x:c>
      <x:c r="H1050" s="3" t="n">
        <x:v>10</x:v>
      </x:c>
      <x:c r="I1050" s="3" t="n">
        <x:v>195</x:v>
      </x:c>
      <x:c r="J1050" s="15" t="n">
        <x:f>IF(D1050=0,"n.a.",E1050/D1050)</x:f>
        <x:v>0.006067136505717669</x:v>
      </x:c>
      <x:c r="K1050" s="15" t="n">
        <x:f>F1050/'Datos'!$F$7</x:f>
        <x:v>0.00020911272095047332</x:v>
      </x:c>
      <x:c r="L1050" s="3"/>
    </x:row>
    <x:row r="1051" ht="22" customHeight="1">
      <x:c r="A1051" s="3"/>
      <x:c r="B1051" s="3" t="str">
        <x:v>23500</x:v>
      </x:c>
      <x:c r="C1051" s="3" t="str">
        <x:v>KEY RING BASEBALL BOOT ASSORTED</x:v>
      </x:c>
      <x:c r="D1051" s="13" t="n">
        <x:v>2044.58</x:v>
      </x:c>
      <x:c r="E1051" s="13" t="n">
        <x:v>0</x:v>
      </x:c>
      <x:c r="F1051" s="13" t="n">
        <x:f>D1051-E1051</x:f>
        <x:v>2044.58</x:v>
      </x:c>
      <x:c r="G1051" s="3" t="n">
        <x:v>1631</x:v>
      </x:c>
      <x:c r="H1051" s="3" t="n">
        <x:v>0</x:v>
      </x:c>
      <x:c r="I1051" s="3" t="n">
        <x:v>98</x:v>
      </x:c>
      <x:c r="J1051" s="15" t="n">
        <x:f>IF(D1051=0,"n.a.",E1051/D1051)</x:f>
        <x:v>0</x:v>
      </x:c>
      <x:c r="K1051" s="15" t="n">
        <x:f>F1051/'Datos'!$F$7</x:f>
        <x:v>0.0002087859472213415</x:v>
      </x:c>
      <x:c r="L1051" s="3"/>
    </x:row>
    <x:row r="1052" ht="22" customHeight="1">
      <x:c r="A1052" s="3"/>
      <x:c r="B1052" s="3" t="str">
        <x:v>23490</x:v>
      </x:c>
      <x:c r="C1052" s="3" t="str">
        <x:v>T-LIGHT HOLDER HANGING LOVE BIRD</x:v>
      </x:c>
      <x:c r="D1052" s="13" t="n">
        <x:v>2055.27</x:v>
      </x:c>
      <x:c r="E1052" s="13" t="n">
        <x:v>11.25</x:v>
      </x:c>
      <x:c r="F1052" s="13" t="n">
        <x:f>D1052-E1052</x:f>
        <x:v>2044.02</x:v>
      </x:c>
      <x:c r="G1052" s="3" t="n">
        <x:v>548</x:v>
      </x:c>
      <x:c r="H1052" s="3" t="n">
        <x:v>3</x:v>
      </x:c>
      <x:c r="I1052" s="3" t="n">
        <x:v>101</x:v>
      </x:c>
      <x:c r="J1052" s="15" t="n">
        <x:f>IF(D1052=0,"n.a.",E1052/D1052)</x:f>
        <x:v>0.005473733378096308</x:v>
      </x:c>
      <x:c r="K1052" s="15" t="n">
        <x:f>F1052/'Datos'!$F$7</x:f>
        <x:v>0.00020872876181874344</x:v>
      </x:c>
      <x:c r="L1052" s="3"/>
    </x:row>
    <x:row r="1053" ht="22" customHeight="1">
      <x:c r="A1053" s="3"/>
      <x:c r="B1053" s="3" t="str">
        <x:v>47504K</x:v>
      </x:c>
      <x:c r="C1053" s="3" t="str">
        <x:v>ENGLISH ROSE GARDEN SECATEURS</x:v>
      </x:c>
      <x:c r="D1053" s="13" t="n">
        <x:v>2049.45</x:v>
      </x:c>
      <x:c r="E1053" s="13" t="n">
        <x:v>9.48</x:v>
      </x:c>
      <x:c r="F1053" s="13" t="n">
        <x:f>D1053-E1053</x:f>
        <x:v>2039.9699999999998</x:v>
      </x:c>
      <x:c r="G1053" s="3" t="n">
        <x:v>2019</x:v>
      </x:c>
      <x:c r="H1053" s="3" t="n">
        <x:v>12</x:v>
      </x:c>
      <x:c r="I1053" s="3" t="n">
        <x:v>212</x:v>
      </x:c>
      <x:c r="J1053" s="15" t="n">
        <x:f>IF(D1053=0,"n.a.",E1053/D1053)</x:f>
        <x:v>0.004625631266925273</x:v>
      </x:c>
      <x:c r="K1053" s="15" t="n">
        <x:f>F1053/'Datos'!$F$7</x:f>
        <x:v>0.00020831518881781098</x:v>
      </x:c>
      <x:c r="L1053" s="3"/>
    </x:row>
    <x:row r="1054" ht="22" customHeight="1">
      <x:c r="A1054" s="3"/>
      <x:c r="B1054" s="3" t="str">
        <x:v>22863</x:v>
      </x:c>
      <x:c r="C1054" s="3" t="str">
        <x:v>SOAP DISH BROCANTE</x:v>
      </x:c>
      <x:c r="D1054" s="13" t="n">
        <x:v>2076.63</x:v>
      </x:c>
      <x:c r="E1054" s="13" t="n">
        <x:v>38.35</x:v>
      </x:c>
      <x:c r="F1054" s="13" t="n">
        <x:f>D1054-E1054</x:f>
        <x:v>2038.2800000000002</x:v>
      </x:c>
      <x:c r="G1054" s="3" t="n">
        <x:v>721</x:v>
      </x:c>
      <x:c r="H1054" s="3" t="n">
        <x:v>13</x:v>
      </x:c>
      <x:c r="I1054" s="3" t="n">
        <x:v>110</x:v>
      </x:c>
      <x:c r="J1054" s="15" t="n">
        <x:f>IF(D1054=0,"n.a.",E1054/D1054)</x:f>
        <x:v>0.01846742077307946</x:v>
      </x:c>
      <x:c r="K1054" s="15" t="n">
        <x:f>F1054/'Datos'!$F$7</x:f>
        <x:v>0.0002081426114421133</x:v>
      </x:c>
      <x:c r="L1054" s="3"/>
    </x:row>
    <x:row r="1055" ht="22" customHeight="1">
      <x:c r="A1055" s="3"/>
      <x:c r="B1055" s="3" t="str">
        <x:v>22803</x:v>
      </x:c>
      <x:c r="C1055" s="3" t="str">
        <x:v>IVORY EMBROIDERED QUILT</x:v>
      </x:c>
      <x:c r="D1055" s="13" t="n">
        <x:v>2038.09</x:v>
      </x:c>
      <x:c r="E1055" s="13" t="n">
        <x:v>0</x:v>
      </x:c>
      <x:c r="F1055" s="13" t="n">
        <x:f>D1055-E1055</x:f>
        <x:v>2038.09</x:v>
      </x:c>
      <x:c r="G1055" s="3" t="n">
        <x:v>54</x:v>
      </x:c>
      <x:c r="H1055" s="3" t="n">
        <x:v>0</x:v>
      </x:c>
      <x:c r="I1055" s="3" t="n">
        <x:v>31</x:v>
      </x:c>
      <x:c r="J1055" s="15" t="n">
        <x:f>IF(D1055=0,"n.a.",E1055/D1055)</x:f>
        <x:v>0</x:v>
      </x:c>
      <x:c r="K1055" s="15" t="n">
        <x:f>F1055/'Datos'!$F$7</x:f>
        <x:v>0.00020812320925194607</x:v>
      </x:c>
      <x:c r="L1055" s="3"/>
    </x:row>
    <x:row r="1056" ht="22" customHeight="1">
      <x:c r="A1056" s="3"/>
      <x:c r="B1056" s="3" t="str">
        <x:v>23251</x:v>
      </x:c>
      <x:c r="C1056" s="3" t="str">
        <x:v>VINTAGE RED ENAMEL TRIM MUG</x:v>
      </x:c>
      <x:c r="D1056" s="13" t="n">
        <x:v>2107</x:v>
      </x:c>
      <x:c r="E1056" s="13" t="n">
        <x:v>72.5</x:v>
      </x:c>
      <x:c r="F1056" s="13" t="n">
        <x:f>D1056-E1056</x:f>
        <x:v>2034.5</x:v>
      </x:c>
      <x:c r="G1056" s="3" t="n">
        <x:v>1713</x:v>
      </x:c>
      <x:c r="H1056" s="3" t="n">
        <x:v>58</x:v>
      </x:c>
      <x:c r="I1056" s="3" t="n">
        <x:v>120</x:v>
      </x:c>
      <x:c r="J1056" s="15" t="n">
        <x:f>IF(D1056=0,"n.a.",E1056/D1056)</x:f>
        <x:v>0.03440911248220219</x:v>
      </x:c>
      <x:c r="K1056" s="15" t="n">
        <x:f>F1056/'Datos'!$F$7</x:f>
        <x:v>0.00020775660997457635</x:v>
      </x:c>
      <x:c r="L1056" s="3"/>
    </x:row>
    <x:row r="1057" ht="22" customHeight="1">
      <x:c r="A1057" s="3"/>
      <x:c r="B1057" s="3" t="str">
        <x:v>37450</x:v>
      </x:c>
      <x:c r="C1057" s="3" t="str">
        <x:v>CERAMIC CAKE BOWL + HANGING CAKES</x:v>
      </x:c>
      <x:c r="D1057" s="13" t="n">
        <x:v>2126.39</x:v>
      </x:c>
      <x:c r="E1057" s="13" t="n">
        <x:v>96.2</x:v>
      </x:c>
      <x:c r="F1057" s="13" t="n">
        <x:f>D1057-E1057</x:f>
        <x:v>2030.1899999999998</x:v>
      </x:c>
      <x:c r="G1057" s="3" t="n">
        <x:v>717</x:v>
      </x:c>
      <x:c r="H1057" s="3" t="n">
        <x:v>36</x:v>
      </x:c>
      <x:c r="I1057" s="3" t="n">
        <x:v>134</x:v>
      </x:c>
      <x:c r="J1057" s="15" t="n">
        <x:f>IF(D1057=0,"n.a.",E1057/D1057)</x:f>
        <x:v>0.045240995301896646</x:v>
      </x:c>
      <x:c r="K1057" s="15" t="n">
        <x:f>F1057/'Datos'!$F$7</x:f>
        <x:v>0.00020731648660815192</x:v>
      </x:c>
      <x:c r="L1057" s="3"/>
    </x:row>
    <x:row r="1058" ht="22" customHeight="1">
      <x:c r="A1058" s="3"/>
      <x:c r="B1058" s="3" t="str">
        <x:v>22156</x:v>
      </x:c>
      <x:c r="C1058" s="3" t="str">
        <x:v>HEART DECORATION WITH PEARLS</x:v>
      </x:c>
      <x:c r="D1058" s="13" t="n">
        <x:v>2114.83</x:v>
      </x:c>
      <x:c r="E1058" s="13" t="n">
        <x:v>88.21</x:v>
      </x:c>
      <x:c r="F1058" s="13" t="n">
        <x:f>D1058-E1058</x:f>
        <x:v>2026.62</x:v>
      </x:c>
      <x:c r="G1058" s="3" t="n">
        <x:v>2198</x:v>
      </x:c>
      <x:c r="H1058" s="3" t="n">
        <x:v>105</x:v>
      </x:c>
      <x:c r="I1058" s="3" t="n">
        <x:v>256</x:v>
      </x:c>
      <x:c r="J1058" s="15" t="n">
        <x:f>IF(D1058=0,"n.a.",E1058/D1058)</x:f>
        <x:v>0.04171020838554399</x:v>
      </x:c>
      <x:c r="K1058" s="15" t="n">
        <x:f>F1058/'Datos'!$F$7</x:f>
        <x:v>0.00020695192966658927</x:v>
      </x:c>
      <x:c r="L1058" s="3"/>
    </x:row>
    <x:row r="1059" ht="22" customHeight="1">
      <x:c r="A1059" s="3"/>
      <x:c r="B1059" s="3" t="str">
        <x:v>20674</x:v>
      </x:c>
      <x:c r="C1059" s="3" t="str">
        <x:v>GREEN POLKADOT BOWL</x:v>
      </x:c>
      <x:c r="D1059" s="13" t="n">
        <x:v>2032.48</x:v>
      </x:c>
      <x:c r="E1059" s="13" t="n">
        <x:v>7.5</x:v>
      </x:c>
      <x:c r="F1059" s="13" t="n">
        <x:f>D1059-E1059</x:f>
        <x:v>2024.98</x:v>
      </x:c>
      <x:c r="G1059" s="3" t="n">
        <x:v>1576</x:v>
      </x:c>
      <x:c r="H1059" s="3" t="n">
        <x:v>6</x:v>
      </x:c>
      <x:c r="I1059" s="3" t="n">
        <x:v>205</x:v>
      </x:c>
      <x:c r="J1059" s="15" t="n">
        <x:f>IF(D1059=0,"n.a.",E1059/D1059)</x:f>
        <x:v>0.0036900732110525074</x:v>
      </x:c>
      <x:c r="K1059" s="15" t="n">
        <x:f>F1059/'Datos'!$F$7</x:f>
        <x:v>0.00020678445813040924</x:v>
      </x:c>
      <x:c r="L1059" s="3"/>
    </x:row>
    <x:row r="1060" ht="22" customHeight="1">
      <x:c r="A1060" s="3"/>
      <x:c r="B1060" s="3" t="str">
        <x:v>22414</x:v>
      </x:c>
      <x:c r="C1060" s="3" t="str">
        <x:v>DOORMAT NEIGHBOURHOOD WITCH</x:v>
      </x:c>
      <x:c r="D1060" s="13" t="n">
        <x:v>2038.39</x:v>
      </x:c>
      <x:c r="E1060" s="13" t="n">
        <x:v>16.2</x:v>
      </x:c>
      <x:c r="F1060" s="13" t="n">
        <x:f>D1060-E1060</x:f>
        <x:v>2022.19</x:v>
      </x:c>
      <x:c r="G1060" s="3" t="n">
        <x:v>279</x:v>
      </x:c>
      <x:c r="H1060" s="3" t="n">
        <x:v>2</x:v>
      </x:c>
      <x:c r="I1060" s="3" t="n">
        <x:v>95</x:v>
      </x:c>
      <x:c r="J1060" s="15" t="n">
        <x:f>IF(D1060=0,"n.a.",E1060/D1060)</x:f>
        <x:v>0.00794744872178533</x:v>
      </x:c>
      <x:c r="K1060" s="15" t="n">
        <x:f>F1060/'Datos'!$F$7</x:f>
        <x:v>0.00020649955228532244</x:v>
      </x:c>
      <x:c r="L1060" s="3"/>
    </x:row>
    <x:row r="1061" ht="22" customHeight="1">
      <x:c r="A1061" s="3"/>
      <x:c r="B1061" s="3" t="str">
        <x:v>22070</x:v>
      </x:c>
      <x:c r="C1061" s="3" t="str">
        <x:v>SMALL RED RETROSPOT MUG IN BOX</x:v>
      </x:c>
      <x:c r="D1061" s="13" t="n">
        <x:v>2358.15</x:v>
      </x:c>
      <x:c r="E1061" s="13" t="n">
        <x:v>336.54</x:v>
      </x:c>
      <x:c r="F1061" s="13" t="n">
        <x:f>D1061-E1061</x:f>
        <x:v>2021.6100000000001</x:v>
      </x:c>
      <x:c r="G1061" s="3" t="n">
        <x:v>949</x:v>
      </x:c>
      <x:c r="H1061" s="3" t="n">
        <x:v>296</x:v>
      </x:c>
      <x:c r="I1061" s="3" t="n">
        <x:v>116</x:v>
      </x:c>
      <x:c r="J1061" s="15" t="n">
        <x:f>IF(D1061=0,"n.a.",E1061/D1061)</x:f>
        <x:v>0.14271356783919598</x:v>
      </x:c>
      <x:c r="K1061" s="15" t="n">
        <x:f>F1061/'Datos'!$F$7</x:f>
        <x:v>0.00020644032454691732</x:v>
      </x:c>
      <x:c r="L1061" s="3"/>
    </x:row>
    <x:row r="1062" ht="22" customHeight="1">
      <x:c r="A1062" s="3"/>
      <x:c r="B1062" s="3" t="str">
        <x:v>22115</x:v>
      </x:c>
      <x:c r="C1062" s="3" t="str">
        <x:v>METAL SIGN EMPIRE TEA</x:v>
      </x:c>
      <x:c r="D1062" s="13" t="n">
        <x:v>2020.91</x:v>
      </x:c>
      <x:c r="E1062" s="13" t="n">
        <x:v>0</x:v>
      </x:c>
      <x:c r="F1062" s="13" t="n">
        <x:f>D1062-E1062</x:f>
        <x:v>2020.91</x:v>
      </x:c>
      <x:c r="G1062" s="3" t="n">
        <x:v>1549</x:v>
      </x:c>
      <x:c r="H1062" s="3" t="n">
        <x:v>0</x:v>
      </x:c>
      <x:c r="I1062" s="3" t="n">
        <x:v>228</x:v>
      </x:c>
      <x:c r="J1062" s="15" t="n">
        <x:f>IF(D1062=0,"n.a.",E1062/D1062)</x:f>
        <x:v>0</x:v>
      </x:c>
      <x:c r="K1062" s="15" t="n">
        <x:f>F1062/'Datos'!$F$7</x:f>
        <x:v>0.00020636884279366975</x:v>
      </x:c>
      <x:c r="L1062" s="3"/>
    </x:row>
    <x:row r="1063" ht="22" customHeight="1">
      <x:c r="A1063" s="3"/>
      <x:c r="B1063" s="3" t="str">
        <x:v>23529</x:v>
      </x:c>
      <x:c r="C1063" s="3" t="str">
        <x:v>WALL ART DOLLY GIRL</x:v>
      </x:c>
      <x:c r="D1063" s="13" t="n">
        <x:v>2011.99</x:v>
      </x:c>
      <x:c r="E1063" s="13" t="n">
        <x:v>0</x:v>
      </x:c>
      <x:c r="F1063" s="13" t="n">
        <x:f>D1063-E1063</x:f>
        <x:v>2011.99</x:v>
      </x:c>
      <x:c r="G1063" s="3" t="n">
        <x:v>637</x:v>
      </x:c>
      <x:c r="H1063" s="3" t="n">
        <x:v>0</x:v>
      </x:c>
      <x:c r="I1063" s="3" t="n">
        <x:v>37</x:v>
      </x:c>
      <x:c r="J1063" s="15" t="n">
        <x:f>IF(D1063=0,"n.a.",E1063/D1063)</x:f>
        <x:v>0</x:v>
      </x:c>
      <x:c r="K1063" s="15" t="n">
        <x:f>F1063/'Datos'!$F$7</x:f>
        <x:v>0.00020545796102371485</x:v>
      </x:c>
      <x:c r="L1063" s="3"/>
    </x:row>
    <x:row r="1064" ht="22" customHeight="1">
      <x:c r="A1064" s="3"/>
      <x:c r="B1064" s="3" t="str">
        <x:v>22080</x:v>
      </x:c>
      <x:c r="C1064" s="3" t="str">
        <x:v>RIBBON REEL POLKADOTS</x:v>
      </x:c>
      <x:c r="D1064" s="13" t="n">
        <x:v>2028.23</x:v>
      </x:c>
      <x:c r="E1064" s="13" t="n">
        <x:v>16.5</x:v>
      </x:c>
      <x:c r="F1064" s="13" t="n">
        <x:f>D1064-E1064</x:f>
        <x:v>2011.73</x:v>
      </x:c>
      <x:c r="G1064" s="3" t="n">
        <x:v>1221</x:v>
      </x:c>
      <x:c r="H1064" s="3" t="n">
        <x:v>10</x:v>
      </x:c>
      <x:c r="I1064" s="3" t="n">
        <x:v>155</x:v>
      </x:c>
      <x:c r="J1064" s="15" t="n">
        <x:f>IF(D1064=0,"n.a.",E1064/D1064)</x:f>
        <x:v>0.008135172046562767</x:v>
      </x:c>
      <x:c r="K1064" s="15" t="n">
        <x:f>F1064/'Datos'!$F$7</x:f>
        <x:v>0.00020543141065822287</x:v>
      </x:c>
      <x:c r="L1064" s="3"/>
    </x:row>
    <x:row r="1065" ht="22" customHeight="1">
      <x:c r="A1065" s="3"/>
      <x:c r="B1065" s="3" t="str">
        <x:v>23274</x:v>
      </x:c>
      <x:c r="C1065" s="3" t="str">
        <x:v>STAR T-LIGHT HOLDER WILLIE WINKIE</x:v>
      </x:c>
      <x:c r="D1065" s="13" t="n">
        <x:v>2009.95</x:v>
      </x:c>
      <x:c r="E1065" s="13" t="n">
        <x:v>4.95</x:v>
      </x:c>
      <x:c r="F1065" s="13" t="n">
        <x:f>D1065-E1065</x:f>
        <x:v>2005</x:v>
      </x:c>
      <x:c r="G1065" s="3" t="n">
        <x:v>1183</x:v>
      </x:c>
      <x:c r="H1065" s="3" t="n">
        <x:v>3</x:v>
      </x:c>
      <x:c r="I1065" s="3" t="n">
        <x:v>119</x:v>
      </x:c>
      <x:c r="J1065" s="15" t="n">
        <x:f>IF(D1065=0,"n.a.",E1065/D1065)</x:f>
        <x:v>0.002462747829547999</x:v>
      </x:c>
      <x:c r="K1065" s="15" t="n">
        <x:f>F1065/'Datos'!$F$7</x:f>
        <x:v>0.00020474416465914258</x:v>
      </x:c>
      <x:c r="L1065" s="3"/>
    </x:row>
    <x:row r="1066" ht="22" customHeight="1">
      <x:c r="A1066" s="3"/>
      <x:c r="B1066" s="3" t="str">
        <x:v>23268</x:v>
      </x:c>
      <x:c r="C1066" s="3" t="str">
        <x:v>SET OF 2 CERAMIC CHRISTMAS REINDEER</x:v>
      </x:c>
      <x:c r="D1066" s="13" t="n">
        <x:v>2019.59</x:v>
      </x:c>
      <x:c r="E1066" s="13" t="n">
        <x:v>17.4</x:v>
      </x:c>
      <x:c r="F1066" s="13" t="n">
        <x:f>D1066-E1066</x:f>
        <x:v>2002.1899999999998</x:v>
      </x:c>
      <x:c r="G1066" s="3" t="n">
        <x:v>1448</x:v>
      </x:c>
      <x:c r="H1066" s="3" t="n">
        <x:v>12</x:v>
      </x:c>
      <x:c r="I1066" s="3" t="n">
        <x:v>89</x:v>
      </x:c>
      <x:c r="J1066" s="15" t="n">
        <x:f>IF(D1066=0,"n.a.",E1066/D1066)</x:f>
        <x:v>0.008615610099079516</x:v>
      </x:c>
      <x:c r="K1066" s="15" t="n">
        <x:f>F1066/'Datos'!$F$7</x:f>
        <x:v>0.0002044572164782487</x:v>
      </x:c>
      <x:c r="L1066" s="3"/>
    </x:row>
    <x:row r="1067" ht="22" customHeight="1">
      <x:c r="A1067" s="3"/>
      <x:c r="B1067" s="3" t="str">
        <x:v>21864</x:v>
      </x:c>
      <x:c r="C1067" s="3" t="str">
        <x:v>UNION JACK FLAG PASSPORT COVER</x:v>
      </x:c>
      <x:c r="D1067" s="13" t="n">
        <x:v>2043.79</x:v>
      </x:c>
      <x:c r="E1067" s="13" t="n">
        <x:v>42</x:v>
      </x:c>
      <x:c r="F1067" s="13" t="n">
        <x:f>D1067-E1067</x:f>
        <x:v>2001.79</x:v>
      </x:c>
      <x:c r="G1067" s="3" t="n">
        <x:v>829</x:v>
      </x:c>
      <x:c r="H1067" s="3" t="n">
        <x:v>20</x:v>
      </x:c>
      <x:c r="I1067" s="3" t="n">
        <x:v>184</x:v>
      </x:c>
      <x:c r="J1067" s="15" t="n">
        <x:f>IF(D1067=0,"n.a.",E1067/D1067)</x:f>
        <x:v>0.020550056512655412</x:v>
      </x:c>
      <x:c r="K1067" s="15" t="n">
        <x:f>F1067/'Datos'!$F$7</x:f>
        <x:v>0.00020441636976210723</x:v>
      </x:c>
      <x:c r="L1067" s="3"/>
    </x:row>
    <x:row r="1068" ht="22" customHeight="1">
      <x:c r="A1068" s="3"/>
      <x:c r="B1068" s="3" t="str">
        <x:v>23289</x:v>
      </x:c>
      <x:c r="C1068" s="3" t="str">
        <x:v>DOLLY GIRL CHILDRENS BOWL</x:v>
      </x:c>
      <x:c r="D1068" s="13" t="n">
        <x:v>2013.7</x:v>
      </x:c>
      <x:c r="E1068" s="13" t="n">
        <x:v>15</x:v>
      </x:c>
      <x:c r="F1068" s="13" t="n">
        <x:f>D1068-E1068</x:f>
        <x:v>1998.7</x:v>
      </x:c>
      <x:c r="G1068" s="3" t="n">
        <x:v>1622</x:v>
      </x:c>
      <x:c r="H1068" s="3" t="n">
        <x:v>12</x:v>
      </x:c>
      <x:c r="I1068" s="3" t="n">
        <x:v>191</x:v>
      </x:c>
      <x:c r="J1068" s="15" t="n">
        <x:f>IF(D1068=0,"n.a.",E1068/D1068)</x:f>
        <x:v>0.007448974524507126</x:v>
      </x:c>
      <x:c r="K1068" s="15" t="n">
        <x:f>F1068/'Datos'!$F$7</x:f>
        <x:v>0.00020410082887991436</x:v>
      </x:c>
      <x:c r="L1068" s="3"/>
    </x:row>
    <x:row r="1069" ht="22" customHeight="1">
      <x:c r="A1069" s="3"/>
      <x:c r="B1069" s="3" t="str">
        <x:v>22891</x:v>
      </x:c>
      <x:c r="C1069" s="3" t="str">
        <x:v>TEA FOR ONE POLKADOT</x:v>
      </x:c>
      <x:c r="D1069" s="13" t="n">
        <x:v>2125.18</x:v>
      </x:c>
      <x:c r="E1069" s="13" t="n">
        <x:v>127.5</x:v>
      </x:c>
      <x:c r="F1069" s="13" t="n">
        <x:f>D1069-E1069</x:f>
        <x:v>1997.6799999999998</x:v>
      </x:c>
      <x:c r="G1069" s="3" t="n">
        <x:v>424</x:v>
      </x:c>
      <x:c r="H1069" s="3" t="n">
        <x:v>30</x:v>
      </x:c>
      <x:c r="I1069" s="3" t="n">
        <x:v>168</x:v>
      </x:c>
      <x:c r="J1069" s="15" t="n">
        <x:f>IF(D1069=0,"n.a.",E1069/D1069)</x:f>
        <x:v>0.059994918077527555</x:v>
      </x:c>
      <x:c r="K1069" s="15" t="n">
        <x:f>F1069/'Datos'!$F$7</x:f>
        <x:v>0.00020399666975375356</x:v>
      </x:c>
      <x:c r="L1069" s="3"/>
    </x:row>
    <x:row r="1070" ht="22" customHeight="1">
      <x:c r="A1070" s="3"/>
      <x:c r="B1070" s="3" t="str">
        <x:v>23315</x:v>
      </x:c>
      <x:c r="C1070" s="3" t="str">
        <x:v>IVORY REFECTORY CLOCK</x:v>
      </x:c>
      <x:c r="D1070" s="13" t="n">
        <x:v>2094.24</x:v>
      </x:c>
      <x:c r="E1070" s="13" t="n">
        <x:v>97.8</x:v>
      </x:c>
      <x:c r="F1070" s="13" t="n">
        <x:f>D1070-E1070</x:f>
        <x:v>1996.4399999999998</x:v>
      </x:c>
      <x:c r="G1070" s="3" t="n">
        <x:v>213</x:v>
      </x:c>
      <x:c r="H1070" s="3" t="n">
        <x:v>12</x:v>
      </x:c>
      <x:c r="I1070" s="3" t="n">
        <x:v>86</x:v>
      </x:c>
      <x:c r="J1070" s="15" t="n">
        <x:f>IF(D1070=0,"n.a.",E1070/D1070)</x:f>
        <x:v>0.04669951867980748</x:v>
      </x:c>
      <x:c r="K1070" s="15" t="n">
        <x:f>F1070/'Datos'!$F$7</x:f>
        <x:v>0.000203870044933715</x:v>
      </x:c>
      <x:c r="L1070" s="3"/>
    </x:row>
    <x:row r="1071" ht="22" customHeight="1">
      <x:c r="A1071" s="3"/>
      <x:c r="B1071" s="3" t="str">
        <x:v>23357</x:v>
      </x:c>
      <x:c r="C1071" s="3" t="str">
        <x:v>HOT WATER BOTTLE SEX BOMB</x:v>
      </x:c>
      <x:c r="D1071" s="13" t="n">
        <x:v>1993.6</x:v>
      </x:c>
      <x:c r="E1071" s="13" t="n">
        <x:v>0</x:v>
      </x:c>
      <x:c r="F1071" s="13" t="n">
        <x:f>D1071-E1071</x:f>
        <x:v>1993.6</x:v>
      </x:c>
      <x:c r="G1071" s="3" t="n">
        <x:v>453</x:v>
      </x:c>
      <x:c r="H1071" s="3" t="n">
        <x:v>0</x:v>
      </x:c>
      <x:c r="I1071" s="3" t="n">
        <x:v>102</x:v>
      </x:c>
      <x:c r="J1071" s="15" t="n">
        <x:f>IF(D1071=0,"n.a.",E1071/D1071)</x:f>
        <x:v>0</x:v>
      </x:c>
      <x:c r="K1071" s="15" t="n">
        <x:f>F1071/'Datos'!$F$7</x:f>
        <x:v>0.00020358003324911052</x:v>
      </x:c>
      <x:c r="L1071" s="3"/>
    </x:row>
    <x:row r="1072" ht="22" customHeight="1">
      <x:c r="A1072" s="3"/>
      <x:c r="B1072" s="3" t="str">
        <x:v>22602</x:v>
      </x:c>
      <x:c r="C1072" s="3" t="str">
        <x:v>RETROSPOT WOODEN HEART DECORATION</x:v>
      </x:c>
      <x:c r="D1072" s="13" t="n">
        <x:v>2025.57</x:v>
      </x:c>
      <x:c r="E1072" s="13" t="n">
        <x:v>34</x:v>
      </x:c>
      <x:c r="F1072" s="13" t="n">
        <x:f>D1072-E1072</x:f>
        <x:v>1991.57</x:v>
      </x:c>
      <x:c r="G1072" s="3" t="n">
        <x:v>2217</x:v>
      </x:c>
      <x:c r="H1072" s="3" t="n">
        <x:v>40</x:v>
      </x:c>
      <x:c r="I1072" s="3" t="n">
        <x:v>273</x:v>
      </x:c>
      <x:c r="J1072" s="15" t="n">
        <x:f>IF(D1072=0,"n.a.",E1072/D1072)</x:f>
        <x:v>0.01678539867790301</x:v>
      </x:c>
      <x:c r="K1072" s="15" t="n">
        <x:f>F1072/'Datos'!$F$7</x:f>
        <x:v>0.00020337273616469255</x:v>
      </x:c>
      <x:c r="L1072" s="3"/>
    </x:row>
    <x:row r="1073" ht="22" customHeight="1">
      <x:c r="A1073" s="3"/>
      <x:c r="B1073" s="3" t="str">
        <x:v>84596F</x:v>
      </x:c>
      <x:c r="C1073" s="3" t="str">
        <x:v>SMALL MARSHMALLOWS PINK BOWL</x:v>
      </x:c>
      <x:c r="D1073" s="13" t="n">
        <x:v>1991.36</x:v>
      </x:c>
      <x:c r="E1073" s="13" t="n">
        <x:v>6.72</x:v>
      </x:c>
      <x:c r="F1073" s="13" t="n">
        <x:f>D1073-E1073</x:f>
        <x:v>1984.6399999999999</x:v>
      </x:c>
      <x:c r="G1073" s="3" t="n">
        <x:v>3764</x:v>
      </x:c>
      <x:c r="H1073" s="3" t="n">
        <x:v>16</x:v>
      </x:c>
      <x:c r="I1073" s="3" t="n">
        <x:v>447</x:v>
      </x:c>
      <x:c r="J1073" s="15" t="n">
        <x:f>IF(D1073=0,"n.a.",E1073/D1073)</x:f>
        <x:v>0.003374578177727784</x:v>
      </x:c>
      <x:c r="K1073" s="15" t="n">
        <x:f>F1073/'Datos'!$F$7</x:f>
        <x:v>0.0002026650668075415</x:v>
      </x:c>
      <x:c r="L1073" s="3"/>
    </x:row>
    <x:row r="1074" ht="22" customHeight="1">
      <x:c r="A1074" s="3"/>
      <x:c r="B1074" s="3" t="str">
        <x:v>22593</x:v>
      </x:c>
      <x:c r="C1074" s="3" t="str">
        <x:v>CHRISTMAS GINGHAM STAR</x:v>
      </x:c>
      <x:c r="D1074" s="13" t="n">
        <x:v>2087.34</x:v>
      </x:c>
      <x:c r="E1074" s="13" t="n">
        <x:v>103.68</x:v>
      </x:c>
      <x:c r="F1074" s="13" t="n">
        <x:f>D1074-E1074</x:f>
        <x:v>1983.66</x:v>
      </x:c>
      <x:c r="G1074" s="3" t="n">
        <x:v>2265</x:v>
      </x:c>
      <x:c r="H1074" s="3" t="n">
        <x:v>144</x:v>
      </x:c>
      <x:c r="I1074" s="3" t="n">
        <x:v>198</x:v>
      </x:c>
      <x:c r="J1074" s="15" t="n">
        <x:f>IF(D1074=0,"n.a.",E1074/D1074)</x:f>
        <x:v>0.04967087297709046</x:v>
      </x:c>
      <x:c r="K1074" s="15" t="n">
        <x:f>F1074/'Datos'!$F$7</x:f>
        <x:v>0.00020256499235299488</x:v>
      </x:c>
      <x:c r="L1074" s="3"/>
    </x:row>
    <x:row r="1075" ht="22" customHeight="1">
      <x:c r="A1075" s="3"/>
      <x:c r="B1075" s="3" t="str">
        <x:v>22477</x:v>
      </x:c>
      <x:c r="C1075" s="3" t="str">
        <x:v>WATERING CAN GARDEN MARKER</x:v>
      </x:c>
      <x:c r="D1075" s="13" t="n">
        <x:v>1980.4</x:v>
      </x:c>
      <x:c r="E1075" s="13" t="n">
        <x:v>1.25</x:v>
      </x:c>
      <x:c r="F1075" s="13" t="n">
        <x:f>D1075-E1075</x:f>
        <x:v>1979.15</x:v>
      </x:c>
      <x:c r="G1075" s="3" t="n">
        <x:v>1374</x:v>
      </x:c>
      <x:c r="H1075" s="3" t="n">
        <x:v>1</x:v>
      </x:c>
      <x:c r="I1075" s="3" t="n">
        <x:v>127</x:v>
      </x:c>
      <x:c r="J1075" s="15" t="n">
        <x:f>IF(D1075=0,"n.a.",E1075/D1075)</x:f>
        <x:v>0.0006311856190668551</x:v>
      </x:c>
      <x:c r="K1075" s="15" t="n">
        <x:f>F1075/'Datos'!$F$7</x:f>
        <x:v>0.00020210444562849977</x:v>
      </x:c>
      <x:c r="L1075" s="3"/>
    </x:row>
    <x:row r="1076" ht="22" customHeight="1">
      <x:c r="A1076" s="3"/>
      <x:c r="B1076" s="3" t="str">
        <x:v>23068</x:v>
      </x:c>
      <x:c r="C1076" s="3" t="str">
        <x:v>ALUMINIUM STAMPED HEART</x:v>
      </x:c>
      <x:c r="D1076" s="13" t="n">
        <x:v>1976.89</x:v>
      </x:c>
      <x:c r="E1076" s="13" t="n">
        <x:v>0</x:v>
      </x:c>
      <x:c r="F1076" s="13" t="n">
        <x:f>D1076-E1076</x:f>
        <x:v>1976.89</x:v>
      </x:c>
      <x:c r="G1076" s="3" t="n">
        <x:v>813</x:v>
      </x:c>
      <x:c r="H1076" s="3" t="n">
        <x:v>0</x:v>
      </x:c>
      <x:c r="I1076" s="3" t="n">
        <x:v>136</x:v>
      </x:c>
      <x:c r="J1076" s="15" t="n">
        <x:f>IF(D1076=0,"n.a.",E1076/D1076)</x:f>
        <x:v>0</x:v>
      </x:c>
      <x:c r="K1076" s="15" t="n">
        <x:f>F1076/'Datos'!$F$7</x:f>
        <x:v>0.00020187366168230043</x:v>
      </x:c>
      <x:c r="L1076" s="3"/>
    </x:row>
    <x:row r="1077" ht="22" customHeight="1">
      <x:c r="A1077" s="3"/>
      <x:c r="B1077" s="3" t="str">
        <x:v>84880</x:v>
      </x:c>
      <x:c r="C1077" s="3" t="str">
        <x:v>WHITE WIRE EGG HOLDER</x:v>
      </x:c>
      <x:c r="D1077" s="13" t="n">
        <x:v>2027.74</x:v>
      </x:c>
      <x:c r="E1077" s="13" t="n">
        <x:v>55.1</x:v>
      </x:c>
      <x:c r="F1077" s="13" t="n">
        <x:f>D1077-E1077</x:f>
        <x:v>1972.64</x:v>
      </x:c>
      <x:c r="G1077" s="3" t="n">
        <x:v>314</x:v>
      </x:c>
      <x:c r="H1077" s="3" t="n">
        <x:v>9</x:v>
      </x:c>
      <x:c r="I1077" s="3" t="n">
        <x:v>76</x:v>
      </x:c>
      <x:c r="J1077" s="15" t="n">
        <x:f>IF(D1077=0,"n.a.",E1077/D1077)</x:f>
        <x:v>0.02717310897846864</x:v>
      </x:c>
      <x:c r="K1077" s="15" t="n">
        <x:f>F1077/'Datos'!$F$7</x:f>
        <x:v>0.00020143966532329728</x:v>
      </x:c>
      <x:c r="L1077" s="3"/>
    </x:row>
    <x:row r="1078" ht="22" customHeight="1">
      <x:c r="A1078" s="3"/>
      <x:c r="B1078" s="3" t="str">
        <x:v>22788</x:v>
      </x:c>
      <x:c r="C1078" s="3" t="str">
        <x:v>BROCANTE COAT RACK</x:v>
      </x:c>
      <x:c r="D1078" s="13" t="n">
        <x:v>2025.96</x:v>
      </x:c>
      <x:c r="E1078" s="13" t="n">
        <x:v>56.8</x:v>
      </x:c>
      <x:c r="F1078" s="13" t="n">
        <x:f>D1078-E1078</x:f>
        <x:v>1969.16</x:v>
      </x:c>
      <x:c r="G1078" s="3" t="n">
        <x:v>220</x:v>
      </x:c>
      <x:c r="H1078" s="3" t="n">
        <x:v>6</x:v>
      </x:c>
      <x:c r="I1078" s="3" t="n">
        <x:v>60</x:v>
      </x:c>
      <x:c r="J1078" s="15" t="n">
        <x:f>IF(D1078=0,"n.a.",E1078/D1078)</x:f>
        <x:v>0.028036091531915733</x:v>
      </x:c>
      <x:c r="K1078" s="15" t="n">
        <x:f>F1078/'Datos'!$F$7</x:f>
        <x:v>0.00020108429889286643</x:v>
      </x:c>
      <x:c r="L1078" s="3"/>
    </x:row>
    <x:row r="1079" ht="22" customHeight="1">
      <x:c r="A1079" s="3"/>
      <x:c r="B1079" s="3" t="str">
        <x:v>23145</x:v>
      </x:c>
      <x:c r="C1079" s="3" t="str">
        <x:v>ZINC T-LIGHT HOLDER STAR LARGE</x:v>
      </x:c>
      <x:c r="D1079" s="13" t="n">
        <x:v>1979.48</x:v>
      </x:c>
      <x:c r="E1079" s="13" t="n">
        <x:v>10.45</x:v>
      </x:c>
      <x:c r="F1079" s="13" t="n">
        <x:f>D1079-E1079</x:f>
        <x:v>1969.03</x:v>
      </x:c>
      <x:c r="G1079" s="3" t="n">
        <x:v>2084</x:v>
      </x:c>
      <x:c r="H1079" s="3" t="n">
        <x:v>11</x:v>
      </x:c>
      <x:c r="I1079" s="3" t="n">
        <x:v>169</x:v>
      </x:c>
      <x:c r="J1079" s="15" t="n">
        <x:f>IF(D1079=0,"n.a.",E1079/D1079)</x:f>
        <x:v>0.005279164224947966</x:v>
      </x:c>
      <x:c r="K1079" s="15" t="n">
        <x:f>F1079/'Datos'!$F$7</x:f>
        <x:v>0.00020107102371012044</x:v>
      </x:c>
      <x:c r="L1079" s="3"/>
    </x:row>
    <x:row r="1080" ht="22" customHeight="1">
      <x:c r="A1080" s="3"/>
      <x:c r="B1080" s="3" t="str">
        <x:v>22931</x:v>
      </x:c>
      <x:c r="C1080" s="3" t="str">
        <x:v>BAKING MOULD HEART WHITE CHOCOLATE</x:v>
      </x:c>
      <x:c r="D1080" s="13" t="n">
        <x:v>1968.4</x:v>
      </x:c>
      <x:c r="E1080" s="13" t="n">
        <x:v>0</x:v>
      </x:c>
      <x:c r="F1080" s="13" t="n">
        <x:f>D1080-E1080</x:f>
        <x:v>1968.4</x:v>
      </x:c>
      <x:c r="G1080" s="3" t="n">
        <x:v>815</x:v>
      </x:c>
      <x:c r="H1080" s="3" t="n">
        <x:v>0</x:v>
      </x:c>
      <x:c r="I1080" s="3" t="n">
        <x:v>129</x:v>
      </x:c>
      <x:c r="J1080" s="15" t="n">
        <x:f>IF(D1080=0,"n.a.",E1080/D1080)</x:f>
        <x:v>0</x:v>
      </x:c>
      <x:c r="K1080" s="15" t="n">
        <x:f>F1080/'Datos'!$F$7</x:f>
        <x:v>0.00020100669013219764</x:v>
      </x:c>
      <x:c r="L1080" s="3"/>
    </x:row>
    <x:row r="1081" ht="22" customHeight="1">
      <x:c r="A1081" s="3"/>
      <x:c r="B1081" s="3" t="str">
        <x:v>20992</x:v>
      </x:c>
      <x:c r="C1081" s="3" t="str">
        <x:v>JAZZ HEARTS PURSE NOTEBOOK</x:v>
      </x:c>
      <x:c r="D1081" s="13" t="n">
        <x:v>1965.81</x:v>
      </x:c>
      <x:c r="E1081" s="13" t="n">
        <x:v>0</x:v>
      </x:c>
      <x:c r="F1081" s="13" t="n">
        <x:f>D1081-E1081</x:f>
        <x:v>1965.81</x:v>
      </x:c>
      <x:c r="G1081" s="3" t="n">
        <x:v>4451</x:v>
      </x:c>
      <x:c r="H1081" s="3" t="n">
        <x:v>0</x:v>
      </x:c>
      <x:c r="I1081" s="3" t="n">
        <x:v>277</x:v>
      </x:c>
      <x:c r="J1081" s="15" t="n">
        <x:f>IF(D1081=0,"n.a.",E1081/D1081)</x:f>
        <x:v>0</x:v>
      </x:c>
      <x:c r="K1081" s="15" t="n">
        <x:f>F1081/'Datos'!$F$7</x:f>
        <x:v>0.00020074220764518158</x:v>
      </x:c>
      <x:c r="L1081" s="3"/>
    </x:row>
    <x:row r="1082" ht="22" customHeight="1">
      <x:c r="A1082" s="3"/>
      <x:c r="B1082" s="3" t="str">
        <x:v>21916</x:v>
      </x:c>
      <x:c r="C1082" s="3" t="str">
        <x:v>SET 12 RETRO WHITE CHALK STICKS</x:v>
      </x:c>
      <x:c r="D1082" s="13" t="n">
        <x:v>1973.91</x:v>
      </x:c>
      <x:c r="E1082" s="13" t="n">
        <x:v>10.08</x:v>
      </x:c>
      <x:c r="F1082" s="13" t="n">
        <x:f>D1082-E1082</x:f>
        <x:v>1963.8300000000002</x:v>
      </x:c>
      <x:c r="G1082" s="3" t="n">
        <x:v>4600</x:v>
      </x:c>
      <x:c r="H1082" s="3" t="n">
        <x:v>24</x:v>
      </x:c>
      <x:c r="I1082" s="3" t="n">
        <x:v>359</x:v>
      </x:c>
      <x:c r="J1082" s="15" t="n">
        <x:f>IF(D1082=0,"n.a.",E1082/D1082)</x:f>
        <x:v>0.00510661580315212</x:v>
      </x:c>
      <x:c r="K1082" s="15" t="n">
        <x:f>F1082/'Datos'!$F$7</x:f>
        <x:v>0.00020054001640028128</x:v>
      </x:c>
      <x:c r="L1082" s="3"/>
    </x:row>
    <x:row r="1083" ht="22" customHeight="1">
      <x:c r="A1083" s="3"/>
      <x:c r="B1083" s="3" t="str">
        <x:v>22859</x:v>
      </x:c>
      <x:c r="C1083" s="3" t="str">
        <x:v>EASTER TIN BUNNY BOUQUET</x:v>
      </x:c>
      <x:c r="D1083" s="13" t="n">
        <x:v>2012.97</x:v>
      </x:c>
      <x:c r="E1083" s="13" t="n">
        <x:v>52.8</x:v>
      </x:c>
      <x:c r="F1083" s="13" t="n">
        <x:f>D1083-E1083</x:f>
        <x:v>1960.17</x:v>
      </x:c>
      <x:c r="G1083" s="3" t="n">
        <x:v>1209</x:v>
      </x:c>
      <x:c r="H1083" s="3" t="n">
        <x:v>32</x:v>
      </x:c>
      <x:c r="I1083" s="3" t="n">
        <x:v>158</x:v>
      </x:c>
      <x:c r="J1083" s="15" t="n">
        <x:f>IF(D1083=0,"n.a.",E1083/D1083)</x:f>
        <x:v>0.026229899104308556</x:v>
      </x:c>
      <x:c r="K1083" s="15" t="n">
        <x:f>F1083/'Datos'!$F$7</x:f>
        <x:v>0.0002001662689475868</x:v>
      </x:c>
      <x:c r="L1083" s="3"/>
    </x:row>
    <x:row r="1084" ht="22" customHeight="1">
      <x:c r="A1084" s="3"/>
      <x:c r="B1084" s="3" t="str">
        <x:v>22928</x:v>
      </x:c>
      <x:c r="C1084" s="3" t="str">
        <x:v>YELLOW GIANT GARDEN THERMOMETER</x:v>
      </x:c>
      <x:c r="D1084" s="13" t="n">
        <x:v>1993.75</x:v>
      </x:c>
      <x:c r="E1084" s="13" t="n">
        <x:v>35.7</x:v>
      </x:c>
      <x:c r="F1084" s="13" t="n">
        <x:f>D1084-E1084</x:f>
        <x:v>1958.05</x:v>
      </x:c>
      <x:c r="G1084" s="3" t="n">
        <x:v>288</x:v>
      </x:c>
      <x:c r="H1084" s="3" t="n">
        <x:v>6</x:v>
      </x:c>
      <x:c r="I1084" s="3" t="n">
        <x:v>115</x:v>
      </x:c>
      <x:c r="J1084" s="15" t="n">
        <x:f>IF(D1084=0,"n.a.",E1084/D1084)</x:f>
        <x:v>0.017905956112852665</x:v>
      </x:c>
      <x:c r="K1084" s="15" t="n">
        <x:f>F1084/'Datos'!$F$7</x:f>
        <x:v>0.00019994978135203696</x:v>
      </x:c>
      <x:c r="L1084" s="3"/>
    </x:row>
    <x:row r="1085" ht="22" customHeight="1">
      <x:c r="A1085" s="3"/>
      <x:c r="B1085" s="3" t="str">
        <x:v>51014A</x:v>
      </x:c>
      <x:c r="C1085" s="3" t="str">
        <x:v>FEATHER PEN,HOT PINK</x:v>
      </x:c>
      <x:c r="D1085" s="13" t="n">
        <x:v>2018.78</x:v>
      </x:c>
      <x:c r="E1085" s="13" t="n">
        <x:v>61.2</x:v>
      </x:c>
      <x:c r="F1085" s="13" t="n">
        <x:f>D1085-E1085</x:f>
        <x:v>1957.58</x:v>
      </x:c>
      <x:c r="G1085" s="3" t="n">
        <x:v>3890</x:v>
      </x:c>
      <x:c r="H1085" s="3" t="n">
        <x:v>72</x:v>
      </x:c>
      <x:c r="I1085" s="3" t="n">
        <x:v>239</x:v>
      </x:c>
      <x:c r="J1085" s="15" t="n">
        <x:f>IF(D1085=0,"n.a.",E1085/D1085)</x:f>
        <x:v>0.030315338967098943</x:v>
      </x:c>
      <x:c r="K1085" s="15" t="n">
        <x:f>F1085/'Datos'!$F$7</x:f>
        <x:v>0.0001999017864605707</x:v>
      </x:c>
      <x:c r="L1085" s="3"/>
    </x:row>
    <x:row r="1086" ht="22" customHeight="1">
      <x:c r="A1086" s="3"/>
      <x:c r="B1086" s="3" t="str">
        <x:v>15039</x:v>
      </x:c>
      <x:c r="C1086" s="3" t="str">
        <x:v>SANDALWOOD FAN</x:v>
      </x:c>
      <x:c r="D1086" s="13" t="n">
        <x:v>1979.49</x:v>
      </x:c>
      <x:c r="E1086" s="13" t="n">
        <x:v>22.1</x:v>
      </x:c>
      <x:c r="F1086" s="13" t="n">
        <x:f>D1086-E1086</x:f>
        <x:v>1957.39</x:v>
      </x:c>
      <x:c r="G1086" s="3" t="n">
        <x:v>2091</x:v>
      </x:c>
      <x:c r="H1086" s="3" t="n">
        <x:v>26</x:v>
      </x:c>
      <x:c r="I1086" s="3" t="n">
        <x:v>145</x:v>
      </x:c>
      <x:c r="J1086" s="15" t="n">
        <x:f>IF(D1086=0,"n.a.",E1086/D1086)</x:f>
        <x:v>0.011164491864065998</x:v>
      </x:c>
      <x:c r="K1086" s="15" t="n">
        <x:f>F1086/'Datos'!$F$7</x:f>
        <x:v>0.00019988238427040355</x:v>
      </x:c>
      <x:c r="L1086" s="3"/>
    </x:row>
    <x:row r="1087" ht="22" customHeight="1">
      <x:c r="A1087" s="3"/>
      <x:c r="B1087" s="3" t="str">
        <x:v>22897</x:v>
      </x:c>
      <x:c r="C1087" s="3" t="str">
        <x:v>OVEN MITT APPLES DESIGN</x:v>
      </x:c>
      <x:c r="D1087" s="13" t="n">
        <x:v>2016</x:v>
      </x:c>
      <x:c r="E1087" s="13" t="n">
        <x:v>60.9</x:v>
      </x:c>
      <x:c r="F1087" s="13" t="n">
        <x:f>D1087-E1087</x:f>
        <x:v>1955.1</x:v>
      </x:c>
      <x:c r="G1087" s="3" t="n">
        <x:v>1352</x:v>
      </x:c>
      <x:c r="H1087" s="3" t="n">
        <x:v>42</x:v>
      </x:c>
      <x:c r="I1087" s="3" t="n">
        <x:v>211</x:v>
      </x:c>
      <x:c r="J1087" s="15" t="n">
        <x:f>IF(D1087=0,"n.a.",E1087/D1087)</x:f>
        <x:v>0.030208333333333334</x:v>
      </x:c>
      <x:c r="K1087" s="15" t="n">
        <x:f>F1087/'Datos'!$F$7</x:f>
        <x:v>0.00019964853682049357</x:v>
      </x:c>
      <x:c r="L1087" s="3"/>
    </x:row>
    <x:row r="1088" ht="22" customHeight="1">
      <x:c r="A1088" s="3"/>
      <x:c r="B1088" s="3" t="str">
        <x:v>23374</x:v>
      </x:c>
      <x:c r="C1088" s="3" t="str">
        <x:v>RED SPOT PAPER GIFT BAG</x:v>
      </x:c>
      <x:c r="D1088" s="13" t="n">
        <x:v>1962.83</x:v>
      </x:c>
      <x:c r="E1088" s="13" t="n">
        <x:v>13.12</x:v>
      </x:c>
      <x:c r="F1088" s="13" t="n">
        <x:f>D1088-E1088</x:f>
        <x:v>1949.71</x:v>
      </x:c>
      <x:c r="G1088" s="3" t="n">
        <x:v>2456</x:v>
      </x:c>
      <x:c r="H1088" s="3" t="n">
        <x:v>16</x:v>
      </x:c>
      <x:c r="I1088" s="3" t="n">
        <x:v>131</x:v>
      </x:c>
      <x:c r="J1088" s="15" t="n">
        <x:f>IF(D1088=0,"n.a.",E1088/D1088)</x:f>
        <x:v>0.006684226346652537</x:v>
      </x:c>
      <x:c r="K1088" s="15" t="n">
        <x:f>F1088/'Datos'!$F$7</x:f>
        <x:v>0.00019909812732048723</x:v>
      </x:c>
      <x:c r="L1088" s="3"/>
    </x:row>
    <x:row r="1089" ht="22" customHeight="1">
      <x:c r="A1089" s="3"/>
      <x:c r="B1089" s="3" t="str">
        <x:v>84031A</x:v>
      </x:c>
      <x:c r="C1089" s="3" t="str">
        <x:v>CHARLIE+LOLA RED HOT WATER BOTTLE</x:v>
      </x:c>
      <x:c r="D1089" s="13" t="n">
        <x:v>1977.79</x:v>
      </x:c>
      <x:c r="E1089" s="13" t="n">
        <x:v>39</x:v>
      </x:c>
      <x:c r="F1089" s="13" t="n">
        <x:f>D1089-E1089</x:f>
        <x:v>1938.79</x:v>
      </x:c>
      <x:c r="G1089" s="3" t="n">
        <x:v>432</x:v>
      </x:c>
      <x:c r="H1089" s="3" t="n">
        <x:v>20</x:v>
      </x:c>
      <x:c r="I1089" s="3" t="n">
        <x:v>165</x:v>
      </x:c>
      <x:c r="J1089" s="15" t="n">
        <x:f>IF(D1089=0,"n.a.",E1089/D1089)</x:f>
        <x:v>0.01971897926473488</x:v>
      </x:c>
      <x:c r="K1089" s="15" t="n">
        <x:f>F1089/'Datos'!$F$7</x:f>
        <x:v>0.00019798301196982494</x:v>
      </x:c>
      <x:c r="L1089" s="3"/>
    </x:row>
    <x:row r="1090" ht="22" customHeight="1">
      <x:c r="A1090" s="3"/>
      <x:c r="B1090" s="3" t="str">
        <x:v>22639</x:v>
      </x:c>
      <x:c r="C1090" s="3" t="str">
        <x:v>SET OF 4 NAPKIN CHARMS HEARTS</x:v>
      </x:c>
      <x:c r="D1090" s="13" t="n">
        <x:v>1937.71</x:v>
      </x:c>
      <x:c r="E1090" s="13" t="n">
        <x:v>0</x:v>
      </x:c>
      <x:c r="F1090" s="13" t="n">
        <x:f>D1090-E1090</x:f>
        <x:v>1937.71</x:v>
      </x:c>
      <x:c r="G1090" s="3" t="n">
        <x:v>806</x:v>
      </x:c>
      <x:c r="H1090" s="3" t="n">
        <x:v>0</x:v>
      </x:c>
      <x:c r="I1090" s="3" t="n">
        <x:v>148</x:v>
      </x:c>
      <x:c r="J1090" s="15" t="n">
        <x:f>IF(D1090=0,"n.a.",E1090/D1090)</x:f>
        <x:v>0</x:v>
      </x:c>
      <x:c r="K1090" s="15" t="n">
        <x:f>F1090/'Datos'!$F$7</x:f>
        <x:v>0.00019787272583624298</x:v>
      </x:c>
      <x:c r="L1090" s="3"/>
    </x:row>
    <x:row r="1091" ht="22" customHeight="1">
      <x:c r="A1091" s="3"/>
      <x:c r="B1091" s="3" t="str">
        <x:v>22412</x:v>
      </x:c>
      <x:c r="C1091" s="3" t="str">
        <x:v>METAL SIGN NEIGHBOURHOOD WITCH</x:v>
      </x:c>
      <x:c r="D1091" s="13" t="n">
        <x:v>1938.15</x:v>
      </x:c>
      <x:c r="E1091" s="13" t="n">
        <x:v>4.2</x:v>
      </x:c>
      <x:c r="F1091" s="13" t="n">
        <x:f>D1091-E1091</x:f>
        <x:v>1933.95</x:v>
      </x:c>
      <x:c r="G1091" s="3" t="n">
        <x:v>914</x:v>
      </x:c>
      <x:c r="H1091" s="3" t="n">
        <x:v>2</x:v>
      </x:c>
      <x:c r="I1091" s="3" t="n">
        <x:v>147</x:v>
      </x:c>
      <x:c r="J1091" s="15" t="n">
        <x:f>IF(D1091=0,"n.a.",E1091/D1091)</x:f>
        <x:v>0.0021670149369243867</x:v>
      </x:c>
      <x:c r="K1091" s="15" t="n">
        <x:f>F1091/'Datos'!$F$7</x:f>
        <x:v>0.00019748876670451311</x:v>
      </x:c>
      <x:c r="L1091" s="3"/>
    </x:row>
    <x:row r="1092" ht="22" customHeight="1">
      <x:c r="A1092" s="3"/>
      <x:c r="B1092" s="3" t="str">
        <x:v>21591</x:v>
      </x:c>
      <x:c r="C1092" s="3" t="str">
        <x:v>COSY HOUR CIGAR BOX MATCHES</x:v>
      </x:c>
      <x:c r="D1092" s="13" t="n">
        <x:v>2001.14</x:v>
      </x:c>
      <x:c r="E1092" s="13" t="n">
        <x:v>67.5</x:v>
      </x:c>
      <x:c r="F1092" s="13" t="n">
        <x:f>D1092-E1092</x:f>
        <x:v>1933.64</x:v>
      </x:c>
      <x:c r="G1092" s="3" t="n">
        <x:v>1378</x:v>
      </x:c>
      <x:c r="H1092" s="3" t="n">
        <x:v>54</x:v>
      </x:c>
      <x:c r="I1092" s="3" t="n">
        <x:v>146</x:v>
      </x:c>
      <x:c r="J1092" s="15" t="n">
        <x:f>IF(D1092=0,"n.a.",E1092/D1092)</x:f>
        <x:v>0.033730773459128296</x:v>
      </x:c>
      <x:c r="K1092" s="15" t="n">
        <x:f>F1092/'Datos'!$F$7</x:f>
        <x:v>0.00019745711049950346</x:v>
      </x:c>
      <x:c r="L1092" s="3"/>
    </x:row>
    <x:row r="1093" ht="22" customHeight="1">
      <x:c r="A1093" s="3"/>
      <x:c r="B1093" s="3" t="str">
        <x:v>84968F</x:v>
      </x:c>
      <x:c r="C1093" s="3" t="str">
        <x:v>SET OF 16 VINTAGE SKY BLUE CUTLERY</x:v>
      </x:c>
      <x:c r="D1093" s="13" t="n">
        <x:v>1931.17</x:v>
      </x:c>
      <x:c r="E1093" s="13" t="n">
        <x:v>0</x:v>
      </x:c>
      <x:c r="F1093" s="13" t="n">
        <x:f>D1093-E1093</x:f>
        <x:v>1931.17</x:v>
      </x:c>
      <x:c r="G1093" s="3" t="n">
        <x:v>178</x:v>
      </x:c>
      <x:c r="H1093" s="3" t="n">
        <x:v>0</x:v>
      </x:c>
      <x:c r="I1093" s="3" t="n">
        <x:v>66</x:v>
      </x:c>
      <x:c r="J1093" s="15" t="n">
        <x:f>IF(D1093=0,"n.a.",E1093/D1093)</x:f>
        <x:v>0</x:v>
      </x:c>
      <x:c r="K1093" s="15" t="n">
        <x:f>F1093/'Datos'!$F$7</x:f>
        <x:v>0.00019720488202732987</x:v>
      </x:c>
      <x:c r="L1093" s="3"/>
    </x:row>
    <x:row r="1094" ht="22" customHeight="1">
      <x:c r="A1094" s="3"/>
      <x:c r="B1094" s="3" t="str">
        <x:v>22101</x:v>
      </x:c>
      <x:c r="C1094" s="3" t="str">
        <x:v>MIRROR MOSAIC VOTIVE HOLDER</x:v>
      </x:c>
      <x:c r="D1094" s="13" t="n">
        <x:v>2053.17</x:v>
      </x:c>
      <x:c r="E1094" s="13" t="n">
        <x:v>126.36</x:v>
      </x:c>
      <x:c r="F1094" s="13" t="n">
        <x:f>D1094-E1094</x:f>
        <x:v>1926.8100000000002</x:v>
      </x:c>
      <x:c r="G1094" s="3" t="n">
        <x:v>1438</x:v>
      </x:c>
      <x:c r="H1094" s="3" t="n">
        <x:v>324</x:v>
      </x:c>
      <x:c r="I1094" s="3" t="n">
        <x:v>69</x:v>
      </x:c>
      <x:c r="J1094" s="15" t="n">
        <x:f>IF(D1094=0,"n.a.",E1094/D1094)</x:f>
        <x:v>0.061543856573006615</x:v>
      </x:c>
      <x:c r="K1094" s="15" t="n">
        <x:f>F1094/'Datos'!$F$7</x:f>
        <x:v>0.00019675965282138779</x:v>
      </x:c>
      <x:c r="L1094" s="3"/>
    </x:row>
    <x:row r="1095" ht="22" customHeight="1">
      <x:c r="A1095" s="3"/>
      <x:c r="B1095" s="3" t="str">
        <x:v>21192</x:v>
      </x:c>
      <x:c r="C1095" s="3" t="str">
        <x:v>WHITE BELL HONEYCOMB PAPER</x:v>
      </x:c>
      <x:c r="D1095" s="13" t="n">
        <x:v>1924.94</x:v>
      </x:c>
      <x:c r="E1095" s="13" t="n">
        <x:v>0</x:v>
      </x:c>
      <x:c r="F1095" s="13" t="n">
        <x:f>D1095-E1095</x:f>
        <x:v>1924.94</x:v>
      </x:c>
      <x:c r="G1095" s="3" t="n">
        <x:v>1093</x:v>
      </x:c>
      <x:c r="H1095" s="3" t="n">
        <x:v>0</x:v>
      </x:c>
      <x:c r="I1095" s="3" t="n">
        <x:v>88</x:v>
      </x:c>
      <x:c r="J1095" s="15" t="n">
        <x:f>IF(D1095=0,"n.a.",E1095/D1095)</x:f>
        <x:v>0</x:v>
      </x:c>
      <x:c r="K1095" s="15" t="n">
        <x:f>F1095/'Datos'!$F$7</x:f>
        <x:v>0.0001965686944234264</x:v>
      </x:c>
      <x:c r="L1095" s="3"/>
    </x:row>
    <x:row r="1096" ht="22" customHeight="1">
      <x:c r="A1096" s="3"/>
      <x:c r="B1096" s="3" t="str">
        <x:v>21622</x:v>
      </x:c>
      <x:c r="C1096" s="3" t="str">
        <x:v>VINTAGE UNION JACK CUSHION COVER</x:v>
      </x:c>
      <x:c r="D1096" s="13" t="n">
        <x:v>2012.34</x:v>
      </x:c>
      <x:c r="E1096" s="13" t="n">
        <x:v>89.1</x:v>
      </x:c>
      <x:c r="F1096" s="13" t="n">
        <x:f>D1096-E1096</x:f>
        <x:v>1923.24</x:v>
      </x:c>
      <x:c r="G1096" s="3" t="n">
        <x:v>386</x:v>
      </x:c>
      <x:c r="H1096" s="3" t="n">
        <x:v>18</x:v>
      </x:c>
      <x:c r="I1096" s="3" t="n">
        <x:v>104</x:v>
      </x:c>
      <x:c r="J1096" s="15" t="n">
        <x:f>IF(D1096=0,"n.a.",E1096/D1096)</x:f>
        <x:v>0.04427681206953099</x:v>
      </x:c>
      <x:c r="K1096" s="15" t="n">
        <x:f>F1096/'Datos'!$F$7</x:f>
        <x:v>0.0001963950958798251</x:v>
      </x:c>
      <x:c r="L1096" s="3"/>
    </x:row>
    <x:row r="1097" ht="22" customHeight="1">
      <x:c r="A1097" s="3"/>
      <x:c r="B1097" s="3" t="str">
        <x:v>23235</x:v>
      </x:c>
      <x:c r="C1097" s="3" t="str">
        <x:v>STORAGE TIN VINTAGE LEAF</x:v>
      </x:c>
      <x:c r="D1097" s="13" t="n">
        <x:v>1957.69</x:v>
      </x:c>
      <x:c r="E1097" s="13" t="n">
        <x:v>40.46</x:v>
      </x:c>
      <x:c r="F1097" s="13" t="n">
        <x:f>D1097-E1097</x:f>
        <x:v>1917.23</x:v>
      </x:c>
      <x:c r="G1097" s="3" t="n">
        <x:v>739</x:v>
      </x:c>
      <x:c r="H1097" s="3" t="n">
        <x:v>14</x:v>
      </x:c>
      <x:c r="I1097" s="3" t="n">
        <x:v>105</x:v>
      </x:c>
      <x:c r="J1097" s="15" t="n">
        <x:f>IF(D1097=0,"n.a.",E1097/D1097)</x:f>
        <x:v>0.020667214931884007</x:v>
      </x:c>
      <x:c r="K1097" s="15" t="n">
        <x:f>F1097/'Datos'!$F$7</x:f>
        <x:v>0.00019578137396979945</x:v>
      </x:c>
      <x:c r="L1097" s="3"/>
    </x:row>
    <x:row r="1098" ht="22" customHeight="1">
      <x:c r="A1098" s="3"/>
      <x:c r="B1098" s="3" t="str">
        <x:v>20963</x:v>
      </x:c>
      <x:c r="C1098" s="3" t="str">
        <x:v>APPLE BATH SPONGE</x:v>
      </x:c>
      <x:c r="D1098" s="13" t="n">
        <x:v>1913.67</x:v>
      </x:c>
      <x:c r="E1098" s="13" t="n">
        <x:v>0</x:v>
      </x:c>
      <x:c r="F1098" s="13" t="n">
        <x:f>D1098-E1098</x:f>
        <x:v>1913.67</x:v>
      </x:c>
      <x:c r="G1098" s="3" t="n">
        <x:v>1338</x:v>
      </x:c>
      <x:c r="H1098" s="3" t="n">
        <x:v>0</x:v>
      </x:c>
      <x:c r="I1098" s="3" t="n">
        <x:v>229</x:v>
      </x:c>
      <x:c r="J1098" s="15" t="n">
        <x:f>IF(D1098=0,"n.a.",E1098/D1098)</x:f>
        <x:v>0</x:v>
      </x:c>
      <x:c r="K1098" s="15" t="n">
        <x:f>F1098/'Datos'!$F$7</x:f>
        <x:v>0.00019541783819614035</x:v>
      </x:c>
      <x:c r="L1098" s="3"/>
    </x:row>
    <x:row r="1099" ht="22" customHeight="1">
      <x:c r="A1099" s="3"/>
      <x:c r="B1099" s="3" t="str">
        <x:v>22291</x:v>
      </x:c>
      <x:c r="C1099" s="3" t="str">
        <x:v>HANGING CHICK CREAM DECORATION</x:v>
      </x:c>
      <x:c r="D1099" s="13" t="n">
        <x:v>1946.62</x:v>
      </x:c>
      <x:c r="E1099" s="13" t="n">
        <x:v>34.8</x:v>
      </x:c>
      <x:c r="F1099" s="13" t="n">
        <x:f>D1099-E1099</x:f>
        <x:v>1911.82</x:v>
      </x:c>
      <x:c r="G1099" s="3" t="n">
        <x:v>1317</x:v>
      </x:c>
      <x:c r="H1099" s="3" t="n">
        <x:v>24</x:v>
      </x:c>
      <x:c r="I1099" s="3" t="n">
        <x:v>120</x:v>
      </x:c>
      <x:c r="J1099" s="15" t="n">
        <x:f>IF(D1099=0,"n.a.",E1099/D1099)</x:f>
        <x:v>0.01787714089036381</x:v>
      </x:c>
      <x:c r="K1099" s="15" t="n">
        <x:f>F1099/'Datos'!$F$7</x:f>
        <x:v>0.000195228922133986</x:v>
      </x:c>
      <x:c r="L1099" s="3"/>
    </x:row>
    <x:row r="1100" ht="22" customHeight="1">
      <x:c r="A1100" s="3"/>
      <x:c r="B1100" s="3" t="str">
        <x:v>22579</x:v>
      </x:c>
      <x:c r="C1100" s="3" t="str">
        <x:v>WOODEN TREE CHRISTMAS SCANDINAVIAN</x:v>
      </x:c>
      <x:c r="D1100" s="13" t="n">
        <x:v>1988.89</x:v>
      </x:c>
      <x:c r="E1100" s="13" t="n">
        <x:v>81.6</x:v>
      </x:c>
      <x:c r="F1100" s="13" t="n">
        <x:f>D1100-E1100</x:f>
        <x:v>1907.2900000000002</x:v>
      </x:c>
      <x:c r="G1100" s="3" t="n">
        <x:v>5170</x:v>
      </x:c>
      <x:c r="H1100" s="3" t="n">
        <x:v>96</x:v>
      </x:c>
      <x:c r="I1100" s="3" t="n">
        <x:v>338</x:v>
      </x:c>
      <x:c r="J1100" s="15" t="n">
        <x:f>IF(D1100=0,"n.a.",E1100/D1100)</x:f>
        <x:v>0.041027910040273716</x:v>
      </x:c>
      <x:c r="K1100" s="15" t="n">
        <x:f>F1100/'Datos'!$F$7</x:f>
        <x:v>0.00019476633307368384</x:v>
      </x:c>
      <x:c r="L1100" s="3"/>
    </x:row>
    <x:row r="1101" ht="22" customHeight="1">
      <x:c r="A1101" s="3"/>
      <x:c r="B1101" s="3" t="str">
        <x:v>22183</x:v>
      </x:c>
      <x:c r="C1101" s="3" t="str">
        <x:v>CAKE STAND VICTORIAN FILIGREE MED</x:v>
      </x:c>
      <x:c r="D1101" s="13" t="n">
        <x:v>1916.01</x:v>
      </x:c>
      <x:c r="E1101" s="13" t="n">
        <x:v>8.95</x:v>
      </x:c>
      <x:c r="F1101" s="13" t="n">
        <x:f>D1101-E1101</x:f>
        <x:v>1907.06</x:v>
      </x:c>
      <x:c r="G1101" s="3" t="n">
        <x:v>322</x:v>
      </x:c>
      <x:c r="H1101" s="3" t="n">
        <x:v>2</x:v>
      </x:c>
      <x:c r="I1101" s="3" t="n">
        <x:v>129</x:v>
      </x:c>
      <x:c r="J1101" s="15" t="n">
        <x:f>IF(D1101=0,"n.a.",E1101/D1101)</x:f>
        <x:v>0.0046711655993444704</x:v>
      </x:c>
      <x:c r="K1101" s="15" t="n">
        <x:f>F1101/'Datos'!$F$7</x:f>
        <x:v>0.00019474284621190244</x:v>
      </x:c>
      <x:c r="L1101" s="3"/>
    </x:row>
    <x:row r="1102" ht="22" customHeight="1">
      <x:c r="A1102" s="3"/>
      <x:c r="B1102" s="3" t="str">
        <x:v>22594</x:v>
      </x:c>
      <x:c r="C1102" s="3" t="str">
        <x:v>CHRISTMAS GINGHAM TREE</x:v>
      </x:c>
      <x:c r="D1102" s="13" t="n">
        <x:v>1905.77</x:v>
      </x:c>
      <x:c r="E1102" s="13" t="n">
        <x:v>0.85</x:v>
      </x:c>
      <x:c r="F1102" s="13" t="n">
        <x:f>D1102-E1102</x:f>
        <x:v>1904.92</x:v>
      </x:c>
      <x:c r="G1102" s="3" t="n">
        <x:v>2006</x:v>
      </x:c>
      <x:c r="H1102" s="3" t="n">
        <x:v>1</x:v>
      </x:c>
      <x:c r="I1102" s="3" t="n">
        <x:v>196</x:v>
      </x:c>
      <x:c r="J1102" s="15" t="n">
        <x:f>IF(D1102=0,"n.a.",E1102/D1102)</x:f>
        <x:v>0.0004460139471184875</x:v>
      </x:c>
      <x:c r="K1102" s="15" t="n">
        <x:f>F1102/'Datos'!$F$7</x:f>
        <x:v>0.00019452431628054557</x:v>
      </x:c>
      <x:c r="L1102" s="3"/>
    </x:row>
    <x:row r="1103" ht="22" customHeight="1">
      <x:c r="A1103" s="3"/>
      <x:c r="B1103" s="3" t="str">
        <x:v>22824</x:v>
      </x:c>
      <x:c r="C1103" s="3" t="str">
        <x:v>3 TIER SWEETHEART GARDEN SHELF</x:v>
      </x:c>
      <x:c r="D1103" s="13" t="n">
        <x:v>1938.25</x:v>
      </x:c>
      <x:c r="E1103" s="13" t="n">
        <x:v>35.95</x:v>
      </x:c>
      <x:c r="F1103" s="13" t="n">
        <x:f>D1103-E1103</x:f>
        <x:v>1902.3</x:v>
      </x:c>
      <x:c r="G1103" s="3" t="n">
        <x:v>55</x:v>
      </x:c>
      <x:c r="H1103" s="3" t="n">
        <x:v>1</x:v>
      </x:c>
      <x:c r="I1103" s="3" t="n">
        <x:v>43</x:v>
      </x:c>
      <x:c r="J1103" s="15" t="n">
        <x:f>IF(D1103=0,"n.a.",E1103/D1103)</x:f>
        <x:v>0.018547658970721012</x:v>
      </x:c>
      <x:c r="K1103" s="15" t="n">
        <x:f>F1103/'Datos'!$F$7</x:f>
        <x:v>0.0001942567702898189</x:v>
      </x:c>
      <x:c r="L1103" s="3"/>
    </x:row>
    <x:row r="1104" ht="22" customHeight="1">
      <x:c r="A1104" s="3"/>
      <x:c r="B1104" s="3" t="str">
        <x:v>23094</x:v>
      </x:c>
      <x:c r="C1104" s="3" t="str">
        <x:v>LE GRAND TRAY CHIC SET</x:v>
      </x:c>
      <x:c r="D1104" s="13" t="n">
        <x:v>1924.92</x:v>
      </x:c>
      <x:c r="E1104" s="13" t="n">
        <x:v>25</x:v>
      </x:c>
      <x:c r="F1104" s="13" t="n">
        <x:f>D1104-E1104</x:f>
        <x:v>1899.92</x:v>
      </x:c>
      <x:c r="G1104" s="3" t="n">
        <x:v>152</x:v>
      </x:c>
      <x:c r="H1104" s="3" t="n">
        <x:v>2</x:v>
      </x:c>
      <x:c r="I1104" s="3" t="n">
        <x:v>79</x:v>
      </x:c>
      <x:c r="J1104" s="15" t="n">
        <x:f>IF(D1104=0,"n.a.",E1104/D1104)</x:f>
        <x:v>0.01298755272946408</x:v>
      </x:c>
      <x:c r="K1104" s="15" t="n">
        <x:f>F1104/'Datos'!$F$7</x:f>
        <x:v>0.00019401373232877714</x:v>
      </x:c>
      <x:c r="L1104" s="3"/>
    </x:row>
    <x:row r="1105" ht="22" customHeight="1">
      <x:c r="A1105" s="3"/>
      <x:c r="B1105" s="3" t="str">
        <x:v>37446</x:v>
      </x:c>
      <x:c r="C1105" s="3" t="str">
        <x:v>MINI CAKE STAND WITH HANGING CAKES</x:v>
      </x:c>
      <x:c r="D1105" s="13" t="n">
        <x:v>1986.24</x:v>
      </x:c>
      <x:c r="E1105" s="13" t="n">
        <x:v>88.85</x:v>
      </x:c>
      <x:c r="F1105" s="13" t="n">
        <x:f>D1105-E1105</x:f>
        <x:v>1897.39</x:v>
      </x:c>
      <x:c r="G1105" s="3" t="n">
        <x:v>1361</x:v>
      </x:c>
      <x:c r="H1105" s="3" t="n">
        <x:v>69</x:v>
      </x:c>
      <x:c r="I1105" s="3" t="n">
        <x:v>183</x:v>
      </x:c>
      <x:c r="J1105" s="15" t="n">
        <x:f>IF(D1105=0,"n.a.",E1105/D1105)</x:f>
        <x:v>0.04473276139842113</x:v>
      </x:c>
      <x:c r="K1105" s="15" t="n">
        <x:f>F1105/'Datos'!$F$7</x:f>
        <x:v>0.0001937553768491823</x:v>
      </x:c>
      <x:c r="L1105" s="3"/>
    </x:row>
    <x:row r="1106" ht="22" customHeight="1">
      <x:c r="A1106" s="3"/>
      <x:c r="B1106" s="3" t="str">
        <x:v>22199</x:v>
      </x:c>
      <x:c r="C1106" s="3" t="str">
        <x:v>FRYING PAN RED RETROSPOT</x:v>
      </x:c>
      <x:c r="D1106" s="13" t="n">
        <x:v>1927.84</x:v>
      </x:c>
      <x:c r="E1106" s="13" t="n">
        <x:v>34</x:v>
      </x:c>
      <x:c r="F1106" s="13" t="n">
        <x:f>D1106-E1106</x:f>
        <x:v>1893.84</x:v>
      </x:c>
      <x:c r="G1106" s="3" t="n">
        <x:v>468</x:v>
      </x:c>
      <x:c r="H1106" s="3" t="n">
        <x:v>8</x:v>
      </x:c>
      <x:c r="I1106" s="3" t="n">
        <x:v>167</x:v>
      </x:c>
      <x:c r="J1106" s="15" t="n">
        <x:f>IF(D1106=0,"n.a.",E1106/D1106)</x:f>
        <x:v>0.017636318366669432</x:v>
      </x:c>
      <x:c r="K1106" s="15" t="n">
        <x:f>F1106/'Datos'!$F$7</x:f>
        <x:v>0.00019339286224342672</x:v>
      </x:c>
      <x:c r="L1106" s="3"/>
    </x:row>
    <x:row r="1107" ht="22" customHeight="1">
      <x:c r="A1107" s="3"/>
      <x:c r="B1107" s="3" t="str">
        <x:v>22509</x:v>
      </x:c>
      <x:c r="C1107" s="3" t="str">
        <x:v>SEWING BOX RETROSPOT DESIGN</x:v>
      </x:c>
      <x:c r="D1107" s="13" t="n">
        <x:v>2132.44</x:v>
      </x:c>
      <x:c r="E1107" s="13" t="n">
        <x:v>239.2</x:v>
      </x:c>
      <x:c r="F1107" s="13" t="n">
        <x:f>D1107-E1107</x:f>
        <x:v>1893.24</x:v>
      </x:c>
      <x:c r="G1107" s="3" t="n">
        <x:v>211</x:v>
      </x:c>
      <x:c r="H1107" s="3" t="n">
        <x:v>16</x:v>
      </x:c>
      <x:c r="I1107" s="3" t="n">
        <x:v>86</x:v>
      </x:c>
      <x:c r="J1107" s="15" t="n">
        <x:f>IF(D1107=0,"n.a.",E1107/D1107)</x:f>
        <x:v>0.11217197201328055</x:v>
      </x:c>
      <x:c r="K1107" s="15" t="n">
        <x:f>F1107/'Datos'!$F$7</x:f>
        <x:v>0.0001933315921692145</x:v>
      </x:c>
      <x:c r="L1107" s="3"/>
    </x:row>
    <x:row r="1108" ht="22" customHeight="1">
      <x:c r="A1108" s="3"/>
      <x:c r="B1108" s="3" t="str">
        <x:v>85061W</x:v>
      </x:c>
      <x:c r="C1108" s="3" t="str">
        <x:v>WHITE JEWELLED HEART DECORATION</x:v>
      </x:c>
      <x:c r="D1108" s="13" t="n">
        <x:v>1897.45</x:v>
      </x:c>
      <x:c r="E1108" s="13" t="n">
        <x:v>5.95</x:v>
      </x:c>
      <x:c r="F1108" s="13" t="n">
        <x:f>D1108-E1108</x:f>
        <x:v>1891.5</x:v>
      </x:c>
      <x:c r="G1108" s="3" t="n">
        <x:v>2164</x:v>
      </x:c>
      <x:c r="H1108" s="3" t="n">
        <x:v>7</x:v>
      </x:c>
      <x:c r="I1108" s="3" t="n">
        <x:v>162</x:v>
      </x:c>
      <x:c r="J1108" s="15" t="n">
        <x:f>IF(D1108=0,"n.a.",E1108/D1108)</x:f>
        <x:v>0.003135787504282063</x:v>
      </x:c>
      <x:c r="K1108" s="15" t="n">
        <x:f>F1108/'Datos'!$F$7</x:f>
        <x:v>0.0001931539089539991</x:v>
      </x:c>
      <x:c r="L1108" s="3"/>
    </x:row>
    <x:row r="1109" ht="22" customHeight="1">
      <x:c r="A1109" s="3"/>
      <x:c r="B1109" s="3" t="str">
        <x:v>23491</x:v>
      </x:c>
      <x:c r="C1109" s="3" t="str">
        <x:v>VINTAGE JINGLE BELLS HEART</x:v>
      </x:c>
      <x:c r="D1109" s="13" t="n">
        <x:v>1897.76</x:v>
      </x:c>
      <x:c r="E1109" s="13" t="n">
        <x:v>8.25</x:v>
      </x:c>
      <x:c r="F1109" s="13" t="n">
        <x:f>D1109-E1109</x:f>
        <x:v>1889.51</x:v>
      </x:c>
      <x:c r="G1109" s="3" t="n">
        <x:v>228</x:v>
      </x:c>
      <x:c r="H1109" s="3" t="n">
        <x:v>1</x:v>
      </x:c>
      <x:c r="I1109" s="3" t="n">
        <x:v>78</x:v>
      </x:c>
      <x:c r="J1109" s="15" t="n">
        <x:f>IF(D1109=0,"n.a.",E1109/D1109)</x:f>
        <x:v>0.004347230419020319</x:v>
      </x:c>
      <x:c r="K1109" s="15" t="n">
        <x:f>F1109/'Datos'!$F$7</x:f>
        <x:v>0.00019295069654119525</x:v>
      </x:c>
      <x:c r="L1109" s="3"/>
    </x:row>
    <x:row r="1110" ht="22" customHeight="1">
      <x:c r="A1110" s="3"/>
      <x:c r="B1110" s="3" t="str">
        <x:v>23394</x:v>
      </x:c>
      <x:c r="C1110" s="3" t="str">
        <x:v>POSTE FRANCE CUSHION COVER</x:v>
      </x:c>
      <x:c r="D1110" s="13" t="n">
        <x:v>1888.9</x:v>
      </x:c>
      <x:c r="E1110" s="13" t="n">
        <x:v>0</x:v>
      </x:c>
      <x:c r="F1110" s="13" t="n">
        <x:f>D1110-E1110</x:f>
        <x:v>1888.9</x:v>
      </x:c>
      <x:c r="G1110" s="3" t="n">
        <x:v>438</x:v>
      </x:c>
      <x:c r="H1110" s="3" t="n">
        <x:v>0</x:v>
      </x:c>
      <x:c r="I1110" s="3" t="n">
        <x:v>150</x:v>
      </x:c>
      <x:c r="J1110" s="15" t="n">
        <x:f>IF(D1110=0,"n.a.",E1110/D1110)</x:f>
        <x:v>0</x:v>
      </x:c>
      <x:c r="K1110" s="15" t="n">
        <x:f>F1110/'Datos'!$F$7</x:f>
        <x:v>0.0001928884052990795</x:v>
      </x:c>
      <x:c r="L1110" s="3"/>
    </x:row>
    <x:row r="1111" ht="22" customHeight="1">
      <x:c r="A1111" s="3"/>
      <x:c r="B1111" s="3" t="str">
        <x:v>22959</x:v>
      </x:c>
      <x:c r="C1111" s="3" t="str">
        <x:v>WRAP CHRISTMAS VILLAGE</x:v>
      </x:c>
      <x:c r="D1111" s="13" t="n">
        <x:v>2014.42</x:v>
      </x:c>
      <x:c r="E1111" s="13" t="n">
        <x:v>126</x:v>
      </x:c>
      <x:c r="F1111" s="13" t="n">
        <x:f>D1111-E1111</x:f>
        <x:v>1888.42</x:v>
      </x:c>
      <x:c r="G1111" s="3" t="n">
        <x:v>4901</x:v>
      </x:c>
      <x:c r="H1111" s="3" t="n">
        <x:v>300</x:v>
      </x:c>
      <x:c r="I1111" s="3" t="n">
        <x:v>142</x:v>
      </x:c>
      <x:c r="J1111" s="15" t="n">
        <x:f>IF(D1111=0,"n.a.",E1111/D1111)</x:f>
        <x:v>0.0625490215545914</x:v>
      </x:c>
      <x:c r="K1111" s="15" t="n">
        <x:f>F1111/'Datos'!$F$7</x:f>
        <x:v>0.00019283938923970973</x:v>
      </x:c>
      <x:c r="L1111" s="3"/>
    </x:row>
    <x:row r="1112" ht="22" customHeight="1">
      <x:c r="A1112" s="3"/>
      <x:c r="B1112" s="3" t="str">
        <x:v>23358</x:v>
      </x:c>
      <x:c r="C1112" s="3" t="str">
        <x:v>HOT STUFF HOT WATER BOTTLE</x:v>
      </x:c>
      <x:c r="D1112" s="13" t="n">
        <x:v>2012.13</x:v>
      </x:c>
      <x:c r="E1112" s="13" t="n">
        <x:v>125.94</x:v>
      </x:c>
      <x:c r="F1112" s="13" t="n">
        <x:f>D1112-E1112</x:f>
        <x:v>1886.19</x:v>
      </x:c>
      <x:c r="G1112" s="3" t="n">
        <x:v>595</x:v>
      </x:c>
      <x:c r="H1112" s="3" t="n">
        <x:v>38</x:v>
      </x:c>
      <x:c r="I1112" s="3" t="n">
        <x:v>89</x:v>
      </x:c>
      <x:c r="J1112" s="15" t="n">
        <x:f>IF(D1112=0,"n.a.",E1112/D1112)</x:f>
        <x:v>0.06259038928896243</x:v>
      </x:c>
      <x:c r="K1112" s="15" t="n">
        <x:f>F1112/'Datos'!$F$7</x:f>
        <x:v>0.000192611668797221</x:v>
      </x:c>
      <x:c r="L1112" s="3"/>
    </x:row>
    <x:row r="1113" ht="22" customHeight="1">
      <x:c r="A1113" s="3"/>
      <x:c r="B1113" s="3" t="str">
        <x:v>22312</x:v>
      </x:c>
      <x:c r="C1113" s="3" t="str">
        <x:v>OFFICE MUG WARMER POLKADOT</x:v>
      </x:c>
      <x:c r="D1113" s="13" t="n">
        <x:v>1962.29</x:v>
      </x:c>
      <x:c r="E1113" s="13" t="n">
        <x:v>76.7</x:v>
      </x:c>
      <x:c r="F1113" s="13" t="n">
        <x:f>D1113-E1113</x:f>
        <x:v>1885.59</x:v>
      </x:c>
      <x:c r="G1113" s="3" t="n">
        <x:v>649</x:v>
      </x:c>
      <x:c r="H1113" s="3" t="n">
        <x:v>26</x:v>
      </x:c>
      <x:c r="I1113" s="3" t="n">
        <x:v>131</x:v>
      </x:c>
      <x:c r="J1113" s="15" t="n">
        <x:f>IF(D1113=0,"n.a.",E1113/D1113)</x:f>
        <x:v>0.039086985104138536</x:v>
      </x:c>
      <x:c r="K1113" s="15" t="n">
        <x:f>F1113/'Datos'!$F$7</x:f>
        <x:v>0.00019255039872300878</x:v>
      </x:c>
      <x:c r="L1113" s="3"/>
    </x:row>
    <x:row r="1114" ht="22" customHeight="1">
      <x:c r="A1114" s="3"/>
      <x:c r="B1114" s="3" t="str">
        <x:v>23434</x:v>
      </x:c>
      <x:c r="C1114" s="3" t="str">
        <x:v>3 RAFFIA RIBBONS 50'S CHRISTMAS</x:v>
      </x:c>
      <x:c r="D1114" s="13" t="n">
        <x:v>1892.07</x:v>
      </x:c>
      <x:c r="E1114" s="13" t="n">
        <x:v>7.9</x:v>
      </x:c>
      <x:c r="F1114" s="13" t="n">
        <x:f>D1114-E1114</x:f>
        <x:v>1884.1699999999998</x:v>
      </x:c>
      <x:c r="G1114" s="3" t="n">
        <x:v>2105</x:v>
      </x:c>
      <x:c r="H1114" s="3" t="n">
        <x:v>10</x:v>
      </x:c>
      <x:c r="I1114" s="3" t="n">
        <x:v>199</x:v>
      </x:c>
      <x:c r="J1114" s="15" t="n">
        <x:f>IF(D1114=0,"n.a.",E1114/D1114)</x:f>
        <x:v>0.004175321209046177</x:v>
      </x:c>
      <x:c r="K1114" s="15" t="n">
        <x:f>F1114/'Datos'!$F$7</x:f>
        <x:v>0.00019240539288070655</x:v>
      </x:c>
      <x:c r="L1114" s="3"/>
    </x:row>
    <x:row r="1115" ht="22" customHeight="1">
      <x:c r="A1115" s="3"/>
      <x:c r="B1115" s="3" t="str">
        <x:v>20982</x:v>
      </x:c>
      <x:c r="C1115" s="3" t="str">
        <x:v>12 PENCILS TALL TUBE SKULLS</x:v>
      </x:c>
      <x:c r="D1115" s="13" t="n">
        <x:v>1884.92</x:v>
      </x:c>
      <x:c r="E1115" s="13" t="n">
        <x:v>3.4</x:v>
      </x:c>
      <x:c r="F1115" s="13" t="n">
        <x:f>D1115-E1115</x:f>
        <x:v>1881.52</x:v>
      </x:c>
      <x:c r="G1115" s="3" t="n">
        <x:v>2156</x:v>
      </x:c>
      <x:c r="H1115" s="3" t="n">
        <x:v>4</x:v>
      </x:c>
      <x:c r="I1115" s="3" t="n">
        <x:v>256</x:v>
      </x:c>
      <x:c r="J1115" s="15" t="n">
        <x:f>IF(D1115=0,"n.a.",E1115/D1115)</x:f>
        <x:v>0.0018037900812766588</x:v>
      </x:c>
      <x:c r="K1115" s="15" t="n">
        <x:f>F1115/'Datos'!$F$7</x:f>
        <x:v>0.0001921347833862693</x:v>
      </x:c>
      <x:c r="L1115" s="3"/>
    </x:row>
    <x:row r="1116" ht="22" customHeight="1">
      <x:c r="A1116" s="3"/>
      <x:c r="B1116" s="3" t="str">
        <x:v>72807A</x:v>
      </x:c>
      <x:c r="C1116" s="3" t="str">
        <x:v>SET/3 ROSE CANDLE IN JEWELLED BOX</x:v>
      </x:c>
      <x:c r="D1116" s="13" t="n">
        <x:v>1916.14</x:v>
      </x:c>
      <x:c r="E1116" s="13" t="n">
        <x:v>38.25</x:v>
      </x:c>
      <x:c r="F1116" s="13" t="n">
        <x:f>D1116-E1116</x:f>
        <x:v>1877.89</x:v>
      </x:c>
      <x:c r="G1116" s="3" t="n">
        <x:v>402</x:v>
      </x:c>
      <x:c r="H1116" s="3" t="n">
        <x:v>9</x:v>
      </x:c>
      <x:c r="I1116" s="3" t="n">
        <x:v>112</x:v>
      </x:c>
      <x:c r="J1116" s="15" t="n">
        <x:f>IF(D1116=0,"n.a.",E1116/D1116)</x:f>
        <x:v>0.01996200695147536</x:v>
      </x:c>
      <x:c r="K1116" s="15" t="n">
        <x:f>F1116/'Datos'!$F$7</x:f>
        <x:v>0.00019176409943728542</x:v>
      </x:c>
      <x:c r="L1116" s="3"/>
    </x:row>
    <x:row r="1117" ht="22" customHeight="1">
      <x:c r="A1117" s="3"/>
      <x:c r="B1117" s="3" t="str">
        <x:v>23359</x:v>
      </x:c>
      <x:c r="C1117" s="3" t="str">
        <x:v>SET OF 12 T-LIGHTS VINTAGE DOILY</x:v>
      </x:c>
      <x:c r="D1117" s="13" t="n">
        <x:v>1872.31</x:v>
      </x:c>
      <x:c r="E1117" s="13" t="n">
        <x:v>0</x:v>
      </x:c>
      <x:c r="F1117" s="13" t="n">
        <x:f>D1117-E1117</x:f>
        <x:v>1872.31</x:v>
      </x:c>
      <x:c r="G1117" s="3" t="n">
        <x:v>993</x:v>
      </x:c>
      <x:c r="H1117" s="3" t="n">
        <x:v>0</x:v>
      </x:c>
      <x:c r="I1117" s="3" t="n">
        <x:v>79</x:v>
      </x:c>
      <x:c r="J1117" s="15" t="n">
        <x:f>IF(D1117=0,"n.a.",E1117/D1117)</x:f>
        <x:v>0</x:v>
      </x:c>
      <x:c r="K1117" s="15" t="n">
        <x:f>F1117/'Datos'!$F$7</x:f>
        <x:v>0.00019119428774711184</x:v>
      </x:c>
      <x:c r="L1117" s="3"/>
    </x:row>
    <x:row r="1118" ht="22" customHeight="1">
      <x:c r="A1118" s="3"/>
      <x:c r="B1118" s="3" t="str">
        <x:v>22534</x:v>
      </x:c>
      <x:c r="C1118" s="3" t="str">
        <x:v>MAGIC DRAWING SLATE SPACEBOY</x:v>
      </x:c>
      <x:c r="D1118" s="13" t="n">
        <x:v>1871.12</x:v>
      </x:c>
      <x:c r="E1118" s="13" t="n">
        <x:v>0.84</x:v>
      </x:c>
      <x:c r="F1118" s="13" t="n">
        <x:f>D1118-E1118</x:f>
        <x:v>1870.28</x:v>
      </x:c>
      <x:c r="G1118" s="3" t="n">
        <x:v>4496</x:v>
      </x:c>
      <x:c r="H1118" s="3" t="n">
        <x:v>2</x:v>
      </x:c>
      <x:c r="I1118" s="3" t="n">
        <x:v>261</x:v>
      </x:c>
      <x:c r="J1118" s="15" t="n">
        <x:f>IF(D1118=0,"n.a.",E1118/D1118)</x:f>
        <x:v>0.0004489289837102912</x:v>
      </x:c>
      <x:c r="K1118" s="15" t="n">
        <x:f>F1118/'Datos'!$F$7</x:f>
        <x:v>0.00019098699066269384</x:v>
      </x:c>
      <x:c r="L1118" s="3"/>
    </x:row>
    <x:row r="1119" ht="22" customHeight="1">
      <x:c r="A1119" s="3"/>
      <x:c r="B1119" s="3" t="str">
        <x:v>22935</x:v>
      </x:c>
      <x:c r="C1119" s="3" t="str">
        <x:v>BAKING MOULD ROSE MILK CHOCOLATE</x:v>
      </x:c>
      <x:c r="D1119" s="13" t="n">
        <x:v>2066.82</x:v>
      </x:c>
      <x:c r="E1119" s="13" t="n">
        <x:v>198</x:v>
      </x:c>
      <x:c r="F1119" s="13" t="n">
        <x:f>D1119-E1119</x:f>
        <x:v>1868.8200000000002</x:v>
      </x:c>
      <x:c r="G1119" s="3" t="n">
        <x:v>690</x:v>
      </x:c>
      <x:c r="H1119" s="3" t="n">
        <x:v>72</x:v>
      </x:c>
      <x:c r="I1119" s="3" t="n">
        <x:v>65</x:v>
      </x:c>
      <x:c r="J1119" s="15" t="n">
        <x:f>IF(D1119=0,"n.a.",E1119/D1119)</x:f>
        <x:v>0.09579934391964466</x:v>
      </x:c>
      <x:c r="K1119" s="15" t="n">
        <x:f>F1119/'Datos'!$F$7</x:f>
        <x:v>0.00019083790014877747</x:v>
      </x:c>
      <x:c r="L1119" s="3"/>
    </x:row>
    <x:row r="1120" ht="22" customHeight="1">
      <x:c r="A1120" s="3"/>
      <x:c r="B1120" s="3" t="str">
        <x:v>70006</x:v>
      </x:c>
      <x:c r="C1120" s="3" t="str">
        <x:v>LOVE HEART POCKET WARMER</x:v>
      </x:c>
      <x:c r="D1120" s="13" t="n">
        <x:v>1865.63</x:v>
      </x:c>
      <x:c r="E1120" s="13" t="n">
        <x:v>0</x:v>
      </x:c>
      <x:c r="F1120" s="13" t="n">
        <x:f>D1120-E1120</x:f>
        <x:v>1865.63</x:v>
      </x:c>
      <x:c r="G1120" s="3" t="n">
        <x:v>2703</x:v>
      </x:c>
      <x:c r="H1120" s="3" t="n">
        <x:v>0</x:v>
      </x:c>
      <x:c r="I1120" s="3" t="n">
        <x:v>120</x:v>
      </x:c>
      <x:c r="J1120" s="15" t="n">
        <x:f>IF(D1120=0,"n.a.",E1120/D1120)</x:f>
        <x:v>0</x:v>
      </x:c>
      <x:c r="K1120" s="15" t="n">
        <x:f>F1120/'Datos'!$F$7</x:f>
        <x:v>0.00019051214758754922</x:v>
      </x:c>
      <x:c r="L1120" s="3"/>
    </x:row>
    <x:row r="1121" ht="22" customHeight="1">
      <x:c r="A1121" s="3"/>
      <x:c r="B1121" s="3" t="str">
        <x:v>22186</x:v>
      </x:c>
      <x:c r="C1121" s="3" t="str">
        <x:v>RED STAR CARD HOLDER</x:v>
      </x:c>
      <x:c r="D1121" s="13" t="n">
        <x:v>1997.48</x:v>
      </x:c>
      <x:c r="E1121" s="13" t="n">
        <x:v>132.15</x:v>
      </x:c>
      <x:c r="F1121" s="13" t="n">
        <x:f>D1121-E1121</x:f>
        <x:v>1865.33</x:v>
      </x:c>
      <x:c r="G1121" s="3" t="n">
        <x:v>848</x:v>
      </x:c>
      <x:c r="H1121" s="3" t="n">
        <x:v>53</x:v>
      </x:c>
      <x:c r="I1121" s="3" t="n">
        <x:v>149</x:v>
      </x:c>
      <x:c r="J1121" s="15" t="n">
        <x:f>IF(D1121=0,"n.a.",E1121/D1121)</x:f>
        <x:v>0.0661583595330116</x:v>
      </x:c>
      <x:c r="K1121" s="15" t="n">
        <x:f>F1121/'Datos'!$F$7</x:f>
        <x:v>0.00019048151255044308</x:v>
      </x:c>
      <x:c r="L1121" s="3"/>
    </x:row>
    <x:row r="1122" ht="22" customHeight="1">
      <x:c r="A1122" s="3"/>
      <x:c r="B1122" s="3" t="str">
        <x:v>23090</x:v>
      </x:c>
      <x:c r="C1122" s="3" t="str">
        <x:v>VINTAGE GLASS T-LIGHT HOLDER</x:v>
      </x:c>
      <x:c r="D1122" s="13" t="n">
        <x:v>1870.86</x:v>
      </x:c>
      <x:c r="E1122" s="13" t="n">
        <x:v>7.47</x:v>
      </x:c>
      <x:c r="F1122" s="13" t="n">
        <x:f>D1122-E1122</x:f>
        <x:v>1863.3899999999999</x:v>
      </x:c>
      <x:c r="G1122" s="3" t="n">
        <x:v>2238</x:v>
      </x:c>
      <x:c r="H1122" s="3" t="n">
        <x:v>9</x:v>
      </x:c>
      <x:c r="I1122" s="3" t="n">
        <x:v>149</x:v>
      </x:c>
      <x:c r="J1122" s="15" t="n">
        <x:f>IF(D1122=0,"n.a.",E1122/D1122)</x:f>
        <x:v>0.003992816138032777</x:v>
      </x:c>
      <x:c r="K1122" s="15" t="n">
        <x:f>F1122/'Datos'!$F$7</x:f>
        <x:v>0.00019028340597715694</x:v>
      </x:c>
      <x:c r="L1122" s="3"/>
    </x:row>
    <x:row r="1123" ht="22" customHeight="1">
      <x:c r="A1123" s="3"/>
      <x:c r="B1123" s="3" t="str">
        <x:v>21988</x:v>
      </x:c>
      <x:c r="C1123" s="3" t="str">
        <x:v>PACK OF 6 SKULL PAPER PLATES</x:v>
      </x:c>
      <x:c r="D1123" s="13" t="n">
        <x:v>1862.75</x:v>
      </x:c>
      <x:c r="E1123" s="13" t="n">
        <x:v>0</x:v>
      </x:c>
      <x:c r="F1123" s="13" t="n">
        <x:f>D1123-E1123</x:f>
        <x:v>1862.75</x:v>
      </x:c>
      <x:c r="G1123" s="3" t="n">
        <x:v>2321</x:v>
      </x:c>
      <x:c r="H1123" s="3" t="n">
        <x:v>0</x:v>
      </x:c>
      <x:c r="I1123" s="3" t="n">
        <x:v>193</x:v>
      </x:c>
      <x:c r="J1123" s="15" t="n">
        <x:f>IF(D1123=0,"n.a.",E1123/D1123)</x:f>
        <x:v>0</x:v>
      </x:c>
      <x:c r="K1123" s="15" t="n">
        <x:f>F1123/'Datos'!$F$7</x:f>
        <x:v>0.0001902180512313306</x:v>
      </x:c>
      <x:c r="L1123" s="3"/>
    </x:row>
    <x:row r="1124" ht="22" customHeight="1">
      <x:c r="A1124" s="3"/>
      <x:c r="B1124" s="3" t="str">
        <x:v>72807B</x:v>
      </x:c>
      <x:c r="C1124" s="3" t="str">
        <x:v>SET/3 OCEAN SCENT CANDLE JEWEL BOX</x:v>
      </x:c>
      <x:c r="D1124" s="13" t="n">
        <x:v>1863.87</x:v>
      </x:c>
      <x:c r="E1124" s="13" t="n">
        <x:v>12.75</x:v>
      </x:c>
      <x:c r="F1124" s="13" t="n">
        <x:f>D1124-E1124</x:f>
        <x:v>1851.12</x:v>
      </x:c>
      <x:c r="G1124" s="3" t="n">
        <x:v>401</x:v>
      </x:c>
      <x:c r="H1124" s="3" t="n">
        <x:v>3</x:v>
      </x:c>
      <x:c r="I1124" s="3" t="n">
        <x:v>114</x:v>
      </x:c>
      <x:c r="J1124" s="15" t="n">
        <x:f>IF(D1124=0,"n.a.",E1124/D1124)</x:f>
        <x:v>0.006840605836243944</x:v>
      </x:c>
      <x:c r="K1124" s="15" t="n">
        <x:f>F1124/'Datos'!$F$7</x:f>
        <x:v>0.0001890304329595172</x:v>
      </x:c>
      <x:c r="L1124" s="3"/>
    </x:row>
    <x:row r="1125" ht="22" customHeight="1">
      <x:c r="A1125" s="3"/>
      <x:c r="B1125" s="3" t="str">
        <x:v>22858</x:v>
      </x:c>
      <x:c r="C1125" s="3" t="str">
        <x:v>EASTER TIN KEEPSAKE</x:v>
      </x:c>
      <x:c r="D1125" s="13" t="n">
        <x:v>1865.73</x:v>
      </x:c>
      <x:c r="E1125" s="13" t="n">
        <x:v>16.5</x:v>
      </x:c>
      <x:c r="F1125" s="13" t="n">
        <x:f>D1125-E1125</x:f>
        <x:v>1849.23</x:v>
      </x:c>
      <x:c r="G1125" s="3" t="n">
        <x:v>1129</x:v>
      </x:c>
      <x:c r="H1125" s="3" t="n">
        <x:v>10</x:v>
      </x:c>
      <x:c r="I1125" s="3" t="n">
        <x:v>136</x:v>
      </x:c>
      <x:c r="J1125" s="15" t="n">
        <x:f>IF(D1125=0,"n.a.",E1125/D1125)</x:f>
        <x:v>0.008843723368333039</x:v>
      </x:c>
      <x:c r="K1125" s="15" t="n">
        <x:f>F1125/'Datos'!$F$7</x:f>
        <x:v>0.00018883743222574873</x:v>
      </x:c>
      <x:c r="L1125" s="3"/>
    </x:row>
    <x:row r="1126" ht="22" customHeight="1">
      <x:c r="A1126" s="3"/>
      <x:c r="B1126" s="3" t="str">
        <x:v>15058B</x:v>
      </x:c>
      <x:c r="C1126" s="3" t="str">
        <x:v>PINK POLKADOT GARDEN PARASOL</x:v>
      </x:c>
      <x:c r="D1126" s="13" t="n">
        <x:v>1885.27</x:v>
      </x:c>
      <x:c r="E1126" s="13" t="n">
        <x:v>37.35</x:v>
      </x:c>
      <x:c r="F1126" s="13" t="n">
        <x:f>D1126-E1126</x:f>
        <x:v>1847.92</x:v>
      </x:c>
      <x:c r="G1126" s="3" t="n">
        <x:v>228</x:v>
      </x:c>
      <x:c r="H1126" s="3" t="n">
        <x:v>5</x:v>
      </x:c>
      <x:c r="I1126" s="3" t="n">
        <x:v>97</x:v>
      </x:c>
      <x:c r="J1126" s="15" t="n">
        <x:f>IF(D1126=0,"n.a.",E1126/D1126)</x:f>
        <x:v>0.019811485887963</x:v>
      </x:c>
      <x:c r="K1126" s="15" t="n">
        <x:f>F1126/'Datos'!$F$7</x:f>
        <x:v>0.00018870365923038542</x:v>
      </x:c>
      <x:c r="L1126" s="3"/>
    </x:row>
    <x:row r="1127" ht="22" customHeight="1">
      <x:c r="A1127" s="3"/>
      <x:c r="B1127" s="3" t="str">
        <x:v>23525</x:v>
      </x:c>
      <x:c r="C1127" s="3" t="str">
        <x:v>WALL ART BUFFALO BILL</x:v>
      </x:c>
      <x:c r="D1127" s="13" t="n">
        <x:v>1867.57</x:v>
      </x:c>
      <x:c r="E1127" s="13" t="n">
        <x:v>22.5</x:v>
      </x:c>
      <x:c r="F1127" s="13" t="n">
        <x:f>D1127-E1127</x:f>
        <x:v>1845.07</x:v>
      </x:c>
      <x:c r="G1127" s="3" t="n">
        <x:v>583</x:v>
      </x:c>
      <x:c r="H1127" s="3" t="n">
        <x:v>6</x:v>
      </x:c>
      <x:c r="I1127" s="3" t="n">
        <x:v>53</x:v>
      </x:c>
      <x:c r="J1127" s="15" t="n">
        <x:f>IF(D1127=0,"n.a.",E1127/D1127)</x:f>
        <x:v>0.012047741182392093</x:v>
      </x:c>
      <x:c r="K1127" s="15" t="n">
        <x:f>F1127/'Datos'!$F$7</x:f>
        <x:v>0.00018841262637787738</x:v>
      </x:c>
      <x:c r="L1127" s="3"/>
    </x:row>
    <x:row r="1128" ht="22" customHeight="1">
      <x:c r="A1128" s="3"/>
      <x:c r="B1128" s="3" t="str">
        <x:v>21068</x:v>
      </x:c>
      <x:c r="C1128" s="3" t="str">
        <x:v>VINTAGE BILLBOARD LOVE/HATE MUG</x:v>
      </x:c>
      <x:c r="D1128" s="13" t="n">
        <x:v>1890.33</x:v>
      </x:c>
      <x:c r="E1128" s="13" t="n">
        <x:v>45.66</x:v>
      </x:c>
      <x:c r="F1128" s="13" t="n">
        <x:f>D1128-E1128</x:f>
        <x:v>1844.6699999999998</x:v>
      </x:c>
      <x:c r="G1128" s="3" t="n">
        <x:v>1638</x:v>
      </x:c>
      <x:c r="H1128" s="3" t="n">
        <x:v>42</x:v>
      </x:c>
      <x:c r="I1128" s="3" t="n">
        <x:v>198</x:v>
      </x:c>
      <x:c r="J1128" s="15" t="n">
        <x:f>IF(D1128=0,"n.a.",E1128/D1128)</x:f>
        <x:v>0.024154512704131024</x:v>
      </x:c>
      <x:c r="K1128" s="15" t="n">
        <x:f>F1128/'Datos'!$F$7</x:f>
        <x:v>0.00018837177966173592</x:v>
      </x:c>
      <x:c r="L1128" s="3"/>
    </x:row>
    <x:row r="1129" ht="22" customHeight="1">
      <x:c r="A1129" s="3"/>
      <x:c r="B1129" s="3" t="str">
        <x:v>21534</x:v>
      </x:c>
      <x:c r="C1129" s="3" t="str">
        <x:v>DAIRY MAID LARGE MILK JUG</x:v>
      </x:c>
      <x:c r="D1129" s="13" t="n">
        <x:v>1908.88</x:v>
      </x:c>
      <x:c r="E1129" s="13" t="n">
        <x:v>64.35</x:v>
      </x:c>
      <x:c r="F1129" s="13" t="n">
        <x:f>D1129-E1129</x:f>
        <x:v>1844.5300000000002</x:v>
      </x:c>
      <x:c r="G1129" s="3" t="n">
        <x:v>376</x:v>
      </x:c>
      <x:c r="H1129" s="3" t="n">
        <x:v>13</x:v>
      </x:c>
      <x:c r="I1129" s="3" t="n">
        <x:v>155</x:v>
      </x:c>
      <x:c r="J1129" s="15" t="n">
        <x:f>IF(D1129=0,"n.a.",E1129/D1129)</x:f>
        <x:v>0.033710867105318294</x:v>
      </x:c>
      <x:c r="K1129" s="15" t="n">
        <x:f>F1129/'Datos'!$F$7</x:f>
        <x:v>0.00018835748331108644</x:v>
      </x:c>
      <x:c r="L1129" s="3"/>
    </x:row>
    <x:row r="1130" ht="22" customHeight="1">
      <x:c r="A1130" s="3"/>
      <x:c r="B1130" s="3" t="str">
        <x:v>21557</x:v>
      </x:c>
      <x:c r="C1130" s="3" t="str">
        <x:v>SET OF 6 FUNKY BEAKERS</x:v>
      </x:c>
      <x:c r="D1130" s="13" t="n">
        <x:v>1843.61</x:v>
      </x:c>
      <x:c r="E1130" s="13" t="n">
        <x:v>0</x:v>
      </x:c>
      <x:c r="F1130" s="13" t="n">
        <x:f>D1130-E1130</x:f>
        <x:v>1843.61</x:v>
      </x:c>
      <x:c r="G1130" s="3" t="n">
        <x:v>551</x:v>
      </x:c>
      <x:c r="H1130" s="3" t="n">
        <x:v>0</x:v>
      </x:c>
      <x:c r="I1130" s="3" t="n">
        <x:v>162</x:v>
      </x:c>
      <x:c r="J1130" s="15" t="n">
        <x:f>IF(D1130=0,"n.a.",E1130/D1130)</x:f>
        <x:v>0</x:v>
      </x:c>
      <x:c r="K1130" s="15" t="n">
        <x:f>F1130/'Datos'!$F$7</x:f>
        <x:v>0.00018826353586396102</x:v>
      </x:c>
      <x:c r="L1130" s="3"/>
    </x:row>
    <x:row r="1131" ht="22" customHeight="1">
      <x:c r="A1131" s="3"/>
      <x:c r="B1131" s="3" t="str">
        <x:v>23378</x:v>
      </x:c>
      <x:c r="C1131" s="3" t="str">
        <x:v>PACK OF 12 50'S CHRISTMAS TISSUES</x:v>
      </x:c>
      <x:c r="D1131" s="13" t="n">
        <x:v>1842.42</x:v>
      </x:c>
      <x:c r="E1131" s="13" t="n">
        <x:v>0</x:v>
      </x:c>
      <x:c r="F1131" s="13" t="n">
        <x:f>D1131-E1131</x:f>
        <x:v>1842.42</x:v>
      </x:c>
      <x:c r="G1131" s="3" t="n">
        <x:v>4003</x:v>
      </x:c>
      <x:c r="H1131" s="3" t="n">
        <x:v>0</x:v>
      </x:c>
      <x:c r="I1131" s="3" t="n">
        <x:v>176</x:v>
      </x:c>
      <x:c r="J1131" s="15" t="n">
        <x:f>IF(D1131=0,"n.a.",E1131/D1131)</x:f>
        <x:v>0</x:v>
      </x:c>
      <x:c r="K1131" s="15" t="n">
        <x:f>F1131/'Datos'!$F$7</x:f>
        <x:v>0.00018814201688344012</x:v>
      </x:c>
      <x:c r="L1131" s="3"/>
    </x:row>
    <x:row r="1132" ht="22" customHeight="1">
      <x:c r="A1132" s="3"/>
      <x:c r="B1132" s="3" t="str">
        <x:v>16169E</x:v>
      </x:c>
      <x:c r="C1132" s="3" t="str">
        <x:v>WRAP 50'S CHRISTMAS</x:v>
      </x:c>
      <x:c r="D1132" s="13" t="n">
        <x:v>1892.46</x:v>
      </x:c>
      <x:c r="E1132" s="13" t="n">
        <x:v>52.5</x:v>
      </x:c>
      <x:c r="F1132" s="13" t="n">
        <x:f>D1132-E1132</x:f>
        <x:v>1839.96</x:v>
      </x:c>
      <x:c r="G1132" s="3" t="n">
        <x:v>4563</x:v>
      </x:c>
      <x:c r="H1132" s="3" t="n">
        <x:v>125</x:v>
      </x:c>
      <x:c r="I1132" s="3" t="n">
        <x:v>149</x:v>
      </x:c>
      <x:c r="J1132" s="15" t="n">
        <x:f>IF(D1132=0,"n.a.",E1132/D1132)</x:f>
        <x:v>0.027741669572936813</x:v>
      </x:c>
      <x:c r="K1132" s="15" t="n">
        <x:f>F1132/'Datos'!$F$7</x:f>
        <x:v>0.00018789080957917005</x:v>
      </x:c>
      <x:c r="L1132" s="3"/>
    </x:row>
    <x:row r="1133" ht="22" customHeight="1">
      <x:c r="A1133" s="3"/>
      <x:c r="B1133" s="3" t="str">
        <x:v>23075</x:v>
      </x:c>
      <x:c r="C1133" s="3" t="str">
        <x:v>PARLOUR CERAMIC WALL HOOK</x:v>
      </x:c>
      <x:c r="D1133" s="13" t="n">
        <x:v>1981.05</x:v>
      </x:c>
      <x:c r="E1133" s="13" t="n">
        <x:v>141.1</x:v>
      </x:c>
      <x:c r="F1133" s="13" t="n">
        <x:f>D1133-E1133</x:f>
        <x:v>1839.95</x:v>
      </x:c>
      <x:c r="G1133" s="3" t="n">
        <x:v>477</x:v>
      </x:c>
      <x:c r="H1133" s="3" t="n">
        <x:v>34</x:v>
      </x:c>
      <x:c r="I1133" s="3" t="n">
        <x:v>80</x:v>
      </x:c>
      <x:c r="J1133" s="15" t="n">
        <x:f>IF(D1133=0,"n.a.",E1133/D1133)</x:f>
        <x:v>0.07122485550591857</x:v>
      </x:c>
      <x:c r="K1133" s="15" t="n">
        <x:f>F1133/'Datos'!$F$7</x:f>
        <x:v>0.00018788978841126653</x:v>
      </x:c>
      <x:c r="L1133" s="3"/>
    </x:row>
    <x:row r="1134" ht="22" customHeight="1">
      <x:c r="A1134" s="3"/>
      <x:c r="B1134" s="3" t="str">
        <x:v>22944</x:v>
      </x:c>
      <x:c r="C1134" s="3" t="str">
        <x:v>CHRISTMAS METAL POSTCARD WITH BELLS</x:v>
      </x:c>
      <x:c r="D1134" s="13" t="n">
        <x:v>1843.64</x:v>
      </x:c>
      <x:c r="E1134" s="13" t="n">
        <x:v>5.93</x:v>
      </x:c>
      <x:c r="F1134" s="13" t="n">
        <x:f>D1134-E1134</x:f>
        <x:v>1837.71</x:v>
      </x:c>
      <x:c r="G1134" s="3" t="n">
        <x:v>3375</x:v>
      </x:c>
      <x:c r="H1134" s="3" t="n">
        <x:v>13</x:v>
      </x:c>
      <x:c r="I1134" s="3" t="n">
        <x:v>111</x:v>
      </x:c>
      <x:c r="J1134" s="15" t="n">
        <x:f>IF(D1134=0,"n.a.",E1134/D1134)</x:f>
        <x:v>0.0032164630838992423</x:v>
      </x:c>
      <x:c r="K1134" s="15" t="n">
        <x:f>F1134/'Datos'!$F$7</x:f>
        <x:v>0.00018766104680087426</x:v>
      </x:c>
      <x:c r="L1134" s="3"/>
    </x:row>
    <x:row r="1135" ht="22" customHeight="1">
      <x:c r="A1135" s="3"/>
      <x:c r="B1135" s="3" t="str">
        <x:v>22651</x:v>
      </x:c>
      <x:c r="C1135" s="3" t="str">
        <x:v>GENTLEMAN SHIRT REPAIR KIT</x:v>
      </x:c>
      <x:c r="D1135" s="13" t="n">
        <x:v>1837.47</x:v>
      </x:c>
      <x:c r="E1135" s="13" t="n">
        <x:v>0</x:v>
      </x:c>
      <x:c r="F1135" s="13" t="n">
        <x:f>D1135-E1135</x:f>
        <x:v>1837.47</x:v>
      </x:c>
      <x:c r="G1135" s="3" t="n">
        <x:v>2166</x:v>
      </x:c>
      <x:c r="H1135" s="3" t="n">
        <x:v>0</x:v>
      </x:c>
      <x:c r="I1135" s="3" t="n">
        <x:v>170</x:v>
      </x:c>
      <x:c r="J1135" s="15" t="n">
        <x:f>IF(D1135=0,"n.a.",E1135/D1135)</x:f>
        <x:v>0</x:v>
      </x:c>
      <x:c r="K1135" s="15" t="n">
        <x:f>F1135/'Datos'!$F$7</x:f>
        <x:v>0.00018763653877118937</x:v>
      </x:c>
      <x:c r="L1135" s="3"/>
    </x:row>
    <x:row r="1136" ht="22" customHeight="1">
      <x:c r="A1136" s="3"/>
      <x:c r="B1136" s="3" t="str">
        <x:v>22428</x:v>
      </x:c>
      <x:c r="C1136" s="3" t="str">
        <x:v>ENAMEL FIRE BUCKET CREAM</x:v>
      </x:c>
      <x:c r="D1136" s="13" t="n">
        <x:v>1854.76</x:v>
      </x:c>
      <x:c r="E1136" s="13" t="n">
        <x:v>20.85</x:v>
      </x:c>
      <x:c r="F1136" s="13" t="n">
        <x:f>D1136-E1136</x:f>
        <x:v>1833.91</x:v>
      </x:c>
      <x:c r="G1136" s="3" t="n">
        <x:v>246</x:v>
      </x:c>
      <x:c r="H1136" s="3" t="n">
        <x:v>3</x:v>
      </x:c>
      <x:c r="I1136" s="3" t="n">
        <x:v>114</x:v>
      </x:c>
      <x:c r="J1136" s="15" t="n">
        <x:f>IF(D1136=0,"n.a.",E1136/D1136)</x:f>
        <x:v>0.011241346589316139</x:v>
      </x:c>
      <x:c r="K1136" s="15" t="n">
        <x:f>F1136/'Datos'!$F$7</x:f>
        <x:v>0.00018727300299753026</x:v>
      </x:c>
      <x:c r="L1136" s="3"/>
    </x:row>
    <x:row r="1137" ht="22" customHeight="1">
      <x:c r="A1137" s="3"/>
      <x:c r="B1137" s="3" t="str">
        <x:v>22712</x:v>
      </x:c>
      <x:c r="C1137" s="3" t="str">
        <x:v>CARD DOLLY GIRL</x:v>
      </x:c>
      <x:c r="D1137" s="13" t="n">
        <x:v>1842.36</x:v>
      </x:c>
      <x:c r="E1137" s="13" t="n">
        <x:v>10.5</x:v>
      </x:c>
      <x:c r="F1137" s="13" t="n">
        <x:f>D1137-E1137</x:f>
        <x:v>1831.86</x:v>
      </x:c>
      <x:c r="G1137" s="3" t="n">
        <x:v>4483</x:v>
      </x:c>
      <x:c r="H1137" s="3" t="n">
        <x:v>25</x:v>
      </x:c>
      <x:c r="I1137" s="3" t="n">
        <x:v>312</x:v>
      </x:c>
      <x:c r="J1137" s="15" t="n">
        <x:f>IF(D1137=0,"n.a.",E1137/D1137)</x:f>
        <x:v>0.005699211880414252</x:v>
      </x:c>
      <x:c r="K1137" s="15" t="n">
        <x:f>F1137/'Datos'!$F$7</x:f>
        <x:v>0.00018706366357730517</x:v>
      </x:c>
      <x:c r="L1137" s="3"/>
    </x:row>
    <x:row r="1138" ht="22" customHeight="1">
      <x:c r="A1138" s="3"/>
      <x:c r="B1138" s="3" t="str">
        <x:v>21870</x:v>
      </x:c>
      <x:c r="C1138" s="3" t="str">
        <x:v>I CAN ONLY PLEASE ONE PERSON MUG</x:v>
      </x:c>
      <x:c r="D1138" s="13" t="n">
        <x:v>1861.46</x:v>
      </x:c>
      <x:c r="E1138" s="13" t="n">
        <x:v>32.5</x:v>
      </x:c>
      <x:c r="F1138" s="13" t="n">
        <x:f>D1138-E1138</x:f>
        <x:v>1828.96</x:v>
      </x:c>
      <x:c r="G1138" s="3" t="n">
        <x:v>1415</x:v>
      </x:c>
      <x:c r="H1138" s="3" t="n">
        <x:v>26</x:v>
      </x:c>
      <x:c r="I1138" s="3" t="n">
        <x:v>163</x:v>
      </x:c>
      <x:c r="J1138" s="15" t="n">
        <x:f>IF(D1138=0,"n.a.",E1138/D1138)</x:f>
        <x:v>0.01745941357858885</x:v>
      </x:c>
      <x:c r="K1138" s="15" t="n">
        <x:f>F1138/'Datos'!$F$7</x:f>
        <x:v>0.0001867675248852795</x:v>
      </x:c>
      <x:c r="L1138" s="3"/>
    </x:row>
    <x:row r="1139" ht="22" customHeight="1">
      <x:c r="A1139" s="3"/>
      <x:c r="B1139" s="3" t="str">
        <x:v>15060B</x:v>
      </x:c>
      <x:c r="C1139" s="3" t="str">
        <x:v>FAIRY CAKE DESIGN UMBRELLA</x:v>
      </x:c>
      <x:c r="D1139" s="13" t="n">
        <x:v>1832.42</x:v>
      </x:c>
      <x:c r="E1139" s="13" t="n">
        <x:v>3.75</x:v>
      </x:c>
      <x:c r="F1139" s="13" t="n">
        <x:f>D1139-E1139</x:f>
        <x:v>1828.67</x:v>
      </x:c>
      <x:c r="G1139" s="3" t="n">
        <x:v>454</x:v>
      </x:c>
      <x:c r="H1139" s="3" t="n">
        <x:v>1</x:v>
      </x:c>
      <x:c r="I1139" s="3" t="n">
        <x:v>134</x:v>
      </x:c>
      <x:c r="J1139" s="15" t="n">
        <x:f>IF(D1139=0,"n.a.",E1139/D1139)</x:f>
        <x:v>0.002046474061623427</x:v>
      </x:c>
      <x:c r="K1139" s="15" t="n">
        <x:f>F1139/'Datos'!$F$7</x:f>
        <x:v>0.00018673791101607695</x:v>
      </x:c>
      <x:c r="L1139" s="3"/>
    </x:row>
    <x:row r="1140" ht="22" customHeight="1">
      <x:c r="A1140" s="3"/>
      <x:c r="B1140" s="3" t="str">
        <x:v>22452</x:v>
      </x:c>
      <x:c r="C1140" s="3" t="str">
        <x:v>MEASURING TAPE BABUSHKA PINK</x:v>
      </x:c>
      <x:c r="D1140" s="13" t="n">
        <x:v>1831.11</x:v>
      </x:c>
      <x:c r="E1140" s="13" t="n">
        <x:v>2.95</x:v>
      </x:c>
      <x:c r="F1140" s="13" t="n">
        <x:f>D1140-E1140</x:f>
        <x:v>1828.1599999999999</x:v>
      </x:c>
      <x:c r="G1140" s="3" t="n">
        <x:v>746</x:v>
      </x:c>
      <x:c r="H1140" s="3" t="n">
        <x:v>1</x:v>
      </x:c>
      <x:c r="I1140" s="3" t="n">
        <x:v>144</x:v>
      </x:c>
      <x:c r="J1140" s="15" t="n">
        <x:f>IF(D1140=0,"n.a.",E1140/D1140)</x:f>
        <x:v>0.0016110446668960359</x:v>
      </x:c>
      <x:c r="K1140" s="15" t="n">
        <x:f>F1140/'Datos'!$F$7</x:f>
        <x:v>0.00018668583145299653</x:v>
      </x:c>
      <x:c r="L1140" s="3"/>
    </x:row>
    <x:row r="1141" ht="22" customHeight="1">
      <x:c r="A1141" s="3"/>
      <x:c r="B1141" s="3" t="str">
        <x:v>22364</x:v>
      </x:c>
      <x:c r="C1141" s="3" t="str">
        <x:v>GLASS JAR DIGESTIVE BISCUITS</x:v>
      </x:c>
      <x:c r="D1141" s="13" t="n">
        <x:v>2010.17</x:v>
      </x:c>
      <x:c r="E1141" s="13" t="n">
        <x:v>182.45</x:v>
      </x:c>
      <x:c r="F1141" s="13" t="n">
        <x:f>D1141-E1141</x:f>
        <x:v>1827.72</x:v>
      </x:c>
      <x:c r="G1141" s="3" t="n">
        <x:v>619</x:v>
      </x:c>
      <x:c r="H1141" s="3" t="n">
        <x:v>67</x:v>
      </x:c>
      <x:c r="I1141" s="3" t="n">
        <x:v>164</x:v>
      </x:c>
      <x:c r="J1141" s="15" t="n">
        <x:f>IF(D1141=0,"n.a.",E1141/D1141)</x:f>
        <x:v>0.09076346776640781</x:v>
      </x:c>
      <x:c r="K1141" s="15" t="n">
        <x:f>F1141/'Datos'!$F$7</x:f>
        <x:v>0.00018664090006524094</x:v>
      </x:c>
      <x:c r="L1141" s="3"/>
    </x:row>
    <x:row r="1142" ht="22" customHeight="1">
      <x:c r="A1142" s="3"/>
      <x:c r="B1142" s="3" t="str">
        <x:v>21564</x:v>
      </x:c>
      <x:c r="C1142" s="3" t="str">
        <x:v>PINK HEART SHAPE LOVE BUCKET</x:v>
      </x:c>
      <x:c r="D1142" s="13" t="n">
        <x:v>1831.62</x:v>
      </x:c>
      <x:c r="E1142" s="13" t="n">
        <x:v>8.05</x:v>
      </x:c>
      <x:c r="F1142" s="13" t="n">
        <x:f>D1142-E1142</x:f>
        <x:v>1823.57</x:v>
      </x:c>
      <x:c r="G1142" s="3" t="n">
        <x:v>1042</x:v>
      </x:c>
      <x:c r="H1142" s="3" t="n">
        <x:v>3</x:v>
      </x:c>
      <x:c r="I1142" s="3" t="n">
        <x:v>123</x:v>
      </x:c>
      <x:c r="J1142" s="15" t="n">
        <x:f>IF(D1142=0,"n.a.",E1142/D1142)</x:f>
        <x:v>0.004395016433539708</x:v>
      </x:c>
      <x:c r="K1142" s="15" t="n">
        <x:f>F1142/'Datos'!$F$7</x:f>
        <x:v>0.0001862171153852731</x:v>
      </x:c>
      <x:c r="L1142" s="3"/>
    </x:row>
    <x:row r="1143" ht="22" customHeight="1">
      <x:c r="A1143" s="3"/>
      <x:c r="B1143" s="3" t="str">
        <x:v>21034</x:v>
      </x:c>
      <x:c r="C1143" s="3" t="str">
        <x:v>REX CASH+CARRY JUMBO SHOPPER</x:v>
      </x:c>
      <x:c r="D1143" s="13" t="n">
        <x:v>1842.05</x:v>
      </x:c>
      <x:c r="E1143" s="13" t="n">
        <x:v>19.95</x:v>
      </x:c>
      <x:c r="F1143" s="13" t="n">
        <x:f>D1143-E1143</x:f>
        <x:v>1822.1</x:v>
      </x:c>
      <x:c r="G1143" s="3" t="n">
        <x:v>1939</x:v>
      </x:c>
      <x:c r="H1143" s="3" t="n">
        <x:v>21</x:v>
      </x:c>
      <x:c r="I1143" s="3" t="n">
        <x:v>871</x:v>
      </x:c>
      <x:c r="J1143" s="15" t="n">
        <x:f>IF(D1143=0,"n.a.",E1143/D1143)</x:f>
        <x:v>0.010830324909747292</x:v>
      </x:c>
      <x:c r="K1143" s="15" t="n">
        <x:f>F1143/'Datos'!$F$7</x:f>
        <x:v>0.0001860670037034532</x:v>
      </x:c>
      <x:c r="L1143" s="3"/>
    </x:row>
    <x:row r="1144" ht="22" customHeight="1">
      <x:c r="A1144" s="3"/>
      <x:c r="B1144" s="3" t="str">
        <x:v>22027</x:v>
      </x:c>
      <x:c r="C1144" s="3" t="str">
        <x:v>TEA PARTY BIRTHDAY CARD</x:v>
      </x:c>
      <x:c r="D1144" s="13" t="n">
        <x:v>1883.79</x:v>
      </x:c>
      <x:c r="E1144" s="13" t="n">
        <x:v>61.92</x:v>
      </x:c>
      <x:c r="F1144" s="13" t="n">
        <x:f>D1144-E1144</x:f>
        <x:v>1821.87</x:v>
      </x:c>
      <x:c r="G1144" s="3" t="n">
        <x:v>4392</x:v>
      </x:c>
      <x:c r="H1144" s="3" t="n">
        <x:v>168</x:v>
      </x:c>
      <x:c r="I1144" s="3" t="n">
        <x:v>362</x:v>
      </x:c>
      <x:c r="J1144" s="15" t="n">
        <x:f>IF(D1144=0,"n.a.",E1144/D1144)</x:f>
        <x:v>0.0328699058812288</x:v>
      </x:c>
      <x:c r="K1144" s="15" t="n">
        <x:f>F1144/'Datos'!$F$7</x:f>
        <x:v>0.00018604351684167186</x:v>
      </x:c>
      <x:c r="L1144" s="3"/>
    </x:row>
    <x:row r="1145" ht="22" customHeight="1">
      <x:c r="A1145" s="3"/>
      <x:c r="B1145" s="3" t="str">
        <x:v>22223</x:v>
      </x:c>
      <x:c r="C1145" s="3" t="str">
        <x:v>CAKE PLATE LOVEBIRD PINK</x:v>
      </x:c>
      <x:c r="D1145" s="13" t="n">
        <x:v>1821.61</x:v>
      </x:c>
      <x:c r="E1145" s="13" t="n">
        <x:v>0</x:v>
      </x:c>
      <x:c r="F1145" s="13" t="n">
        <x:f>D1145-E1145</x:f>
        <x:v>1821.61</x:v>
      </x:c>
      <x:c r="G1145" s="3" t="n">
        <x:v>441</x:v>
      </x:c>
      <x:c r="H1145" s="3" t="n">
        <x:v>0</x:v>
      </x:c>
      <x:c r="I1145" s="3" t="n">
        <x:v>78</x:v>
      </x:c>
      <x:c r="J1145" s="15" t="n">
        <x:f>IF(D1145=0,"n.a.",E1145/D1145)</x:f>
        <x:v>0</x:v>
      </x:c>
      <x:c r="K1145" s="15" t="n">
        <x:f>F1145/'Datos'!$F$7</x:f>
        <x:v>0.00018601696647617988</x:v>
      </x:c>
      <x:c r="L1145" s="3"/>
    </x:row>
    <x:row r="1146" ht="22" customHeight="1">
      <x:c r="A1146" s="3"/>
      <x:c r="B1146" s="3" t="str">
        <x:v>15044D</x:v>
      </x:c>
      <x:c r="C1146" s="3" t="str">
        <x:v>RED PAPER PARASOL</x:v>
      </x:c>
      <x:c r="D1146" s="13" t="n">
        <x:v>1822.71</x:v>
      </x:c>
      <x:c r="E1146" s="13" t="n">
        <x:v>5.5</x:v>
      </x:c>
      <x:c r="F1146" s="13" t="n">
        <x:f>D1146-E1146</x:f>
        <x:v>1817.21</x:v>
      </x:c>
      <x:c r="G1146" s="3" t="n">
        <x:v>645</x:v>
      </x:c>
      <x:c r="H1146" s="3" t="n">
        <x:v>2</x:v>
      </x:c>
      <x:c r="I1146" s="3" t="n">
        <x:v>84</x:v>
      </x:c>
      <x:c r="J1146" s="15" t="n">
        <x:f>IF(D1146=0,"n.a.",E1146/D1146)</x:f>
        <x:v>0.0030174849537227535</x:v>
      </x:c>
      <x:c r="K1146" s="15" t="n">
        <x:f>F1146/'Datos'!$F$7</x:f>
        <x:v>0.00018556765259862367</x:v>
      </x:c>
      <x:c r="L1146" s="3"/>
    </x:row>
    <x:row r="1147" ht="22" customHeight="1">
      <x:c r="A1147" s="3"/>
      <x:c r="B1147" s="3" t="str">
        <x:v>23228</x:v>
      </x:c>
      <x:c r="C1147" s="3" t="str">
        <x:v>FILIGREE HEART BIRD WHITE</x:v>
      </x:c>
      <x:c r="D1147" s="13" t="n">
        <x:v>1960</x:v>
      </x:c>
      <x:c r="E1147" s="13" t="n">
        <x:v>149.76</x:v>
      </x:c>
      <x:c r="F1147" s="13" t="n">
        <x:f>D1147-E1147</x:f>
        <x:v>1810.24</x:v>
      </x:c>
      <x:c r="G1147" s="3" t="n">
        <x:v>1492</x:v>
      </x:c>
      <x:c r="H1147" s="3" t="n">
        <x:v>144</x:v>
      </x:c>
      <x:c r="I1147" s="3" t="n">
        <x:v>125</x:v>
      </x:c>
      <x:c r="J1147" s="15" t="n">
        <x:f>IF(D1147=0,"n.a.",E1147/D1147)</x:f>
        <x:v>0.07640816326530611</x:v>
      </x:c>
      <x:c r="K1147" s="15" t="n">
        <x:f>F1147/'Datos'!$F$7</x:f>
        <x:v>0.00018485589856985849</x:v>
      </x:c>
      <x:c r="L1147" s="3"/>
    </x:row>
    <x:row r="1148" ht="22" customHeight="1">
      <x:c r="A1148" s="3"/>
      <x:c r="B1148" s="3" t="str">
        <x:v>23148</x:v>
      </x:c>
      <x:c r="C1148" s="3" t="str">
        <x:v>MINIATURE ANTIQUE ROSE HOOK IVORY</x:v>
      </x:c>
      <x:c r="D1148" s="13" t="n">
        <x:v>1820.46</x:v>
      </x:c>
      <x:c r="E1148" s="13" t="n">
        <x:v>10.79</x:v>
      </x:c>
      <x:c r="F1148" s="13" t="n">
        <x:f>D1148-E1148</x:f>
        <x:v>1809.67</x:v>
      </x:c>
      <x:c r="G1148" s="3" t="n">
        <x:v>2144</x:v>
      </x:c>
      <x:c r="H1148" s="3" t="n">
        <x:v>13</x:v>
      </x:c>
      <x:c r="I1148" s="3" t="n">
        <x:v>247</x:v>
      </x:c>
      <x:c r="J1148" s="15" t="n">
        <x:f>IF(D1148=0,"n.a.",E1148/D1148)</x:f>
        <x:v>0.005927073377058545</x:v>
      </x:c>
      <x:c r="K1148" s="15" t="n">
        <x:f>F1148/'Datos'!$F$7</x:f>
        <x:v>0.00018479769199935688</x:v>
      </x:c>
      <x:c r="L1148" s="3"/>
    </x:row>
    <x:row r="1149" ht="22" customHeight="1">
      <x:c r="A1149" s="3"/>
      <x:c r="B1149" s="3" t="str">
        <x:v>21713</x:v>
      </x:c>
      <x:c r="C1149" s="3" t="str">
        <x:v>CITRONELLA CANDLE FLOWERPOT</x:v>
      </x:c>
      <x:c r="D1149" s="13" t="n">
        <x:v>1836.64</x:v>
      </x:c>
      <x:c r="E1149" s="13" t="n">
        <x:v>32.35</x:v>
      </x:c>
      <x:c r="F1149" s="13" t="n">
        <x:f>D1149-E1149</x:f>
        <x:v>1804.2900000000002</x:v>
      </x:c>
      <x:c r="G1149" s="3" t="n">
        <x:v>795</x:v>
      </x:c>
      <x:c r="H1149" s="3" t="n">
        <x:v>16</x:v>
      </x:c>
      <x:c r="I1149" s="3" t="n">
        <x:v>157</x:v>
      </x:c>
      <x:c r="J1149" s="15" t="n">
        <x:f>IF(D1149=0,"n.a.",E1149/D1149)</x:f>
        <x:v>0.01761368586113773</x:v>
      </x:c>
      <x:c r="K1149" s="15" t="n">
        <x:f>F1149/'Datos'!$F$7</x:f>
        <x:v>0.00018424830366725405</x:v>
      </x:c>
      <x:c r="L1149" s="3"/>
    </x:row>
    <x:row r="1150" ht="22" customHeight="1">
      <x:c r="A1150" s="3"/>
      <x:c r="B1150" s="3" t="str">
        <x:v>23160</x:v>
      </x:c>
      <x:c r="C1150" s="3" t="str">
        <x:v>REGENCY TEA SPOON</x:v>
      </x:c>
      <x:c r="D1150" s="13" t="n">
        <x:v>1809.48</x:v>
      </x:c>
      <x:c r="E1150" s="13" t="n">
        <x:v>7.5</x:v>
      </x:c>
      <x:c r="F1150" s="13" t="n">
        <x:f>D1150-E1150</x:f>
        <x:v>1801.98</x:v>
      </x:c>
      <x:c r="G1150" s="3" t="n">
        <x:v>1462</x:v>
      </x:c>
      <x:c r="H1150" s="3" t="n">
        <x:v>6</x:v>
      </x:c>
      <x:c r="I1150" s="3" t="n">
        <x:v>76</x:v>
      </x:c>
      <x:c r="J1150" s="15" t="n">
        <x:f>IF(D1150=0,"n.a.",E1150/D1150)</x:f>
        <x:v>0.0041448371907951455</x:v>
      </x:c>
      <x:c r="K1150" s="15" t="n">
        <x:f>F1150/'Datos'!$F$7</x:f>
        <x:v>0.00018401241388153703</x:v>
      </x:c>
      <x:c r="L1150" s="3"/>
    </x:row>
    <x:row r="1151" ht="22" customHeight="1">
      <x:c r="A1151" s="3"/>
      <x:c r="B1151" s="3" t="str">
        <x:v>22198</x:v>
      </x:c>
      <x:c r="C1151" s="3" t="str">
        <x:v>LARGE POPCORN HOLDER</x:v>
      </x:c>
      <x:c r="D1151" s="13" t="n">
        <x:v>1870.91</x:v>
      </x:c>
      <x:c r="E1151" s="13" t="n">
        <x:v>69.35</x:v>
      </x:c>
      <x:c r="F1151" s="13" t="n">
        <x:f>D1151-E1151</x:f>
        <x:v>1801.5600000000002</x:v>
      </x:c>
      <x:c r="G1151" s="3" t="n">
        <x:v>1025</x:v>
      </x:c>
      <x:c r="H1151" s="3" t="n">
        <x:v>43</x:v>
      </x:c>
      <x:c r="I1151" s="3" t="n">
        <x:v>86</x:v>
      </x:c>
      <x:c r="J1151" s="15" t="n">
        <x:f>IF(D1151=0,"n.a.",E1151/D1151)</x:f>
        <x:v>0.037067523290805</x:v>
      </x:c>
      <x:c r="K1151" s="15" t="n">
        <x:f>F1151/'Datos'!$F$7</x:f>
        <x:v>0.00018396952482958848</x:v>
      </x:c>
      <x:c r="L1151" s="3"/>
    </x:row>
    <x:row r="1152" ht="22" customHeight="1">
      <x:c r="A1152" s="3"/>
      <x:c r="B1152" s="3" t="str">
        <x:v>21114</x:v>
      </x:c>
      <x:c r="C1152" s="3" t="str">
        <x:v>LAVENDER SCENTED FABRIC HEART</x:v>
      </x:c>
      <x:c r="D1152" s="13" t="n">
        <x:v>1809.33</x:v>
      </x:c>
      <x:c r="E1152" s="13" t="n">
        <x:v>12.5</x:v>
      </x:c>
      <x:c r="F1152" s="13" t="n">
        <x:f>D1152-E1152</x:f>
        <x:v>1796.83</x:v>
      </x:c>
      <x:c r="G1152" s="3" t="n">
        <x:v>1366</x:v>
      </x:c>
      <x:c r="H1152" s="3" t="n">
        <x:v>10</x:v>
      </x:c>
      <x:c r="I1152" s="3" t="n">
        <x:v>138</x:v>
      </x:c>
      <x:c r="J1152" s="15" t="n">
        <x:f>IF(D1152=0,"n.a.",E1152/D1152)</x:f>
        <x:v>0.006908634687978423</x:v>
      </x:c>
      <x:c r="K1152" s="15" t="n">
        <x:f>F1152/'Datos'!$F$7</x:f>
        <x:v>0.00018348651241121552</x:v>
      </x:c>
      <x:c r="L1152" s="3"/>
    </x:row>
    <x:row r="1153" ht="22" customHeight="1">
      <x:c r="A1153" s="3"/>
      <x:c r="B1153" s="3" t="str">
        <x:v>22200</x:v>
      </x:c>
      <x:c r="C1153" s="3" t="str">
        <x:v>FRYING PAN PINK POLKADOT</x:v>
      </x:c>
      <x:c r="D1153" s="13" t="n">
        <x:v>1809.48</x:v>
      </x:c>
      <x:c r="E1153" s="13" t="n">
        <x:v>15</x:v>
      </x:c>
      <x:c r="F1153" s="13" t="n">
        <x:f>D1153-E1153</x:f>
        <x:v>1794.48</x:v>
      </x:c>
      <x:c r="G1153" s="3" t="n">
        <x:v>398</x:v>
      </x:c>
      <x:c r="H1153" s="3" t="n">
        <x:v>4</x:v>
      </x:c>
      <x:c r="I1153" s="3" t="n">
        <x:v>140</x:v>
      </x:c>
      <x:c r="J1153" s="15" t="n">
        <x:f>IF(D1153=0,"n.a.",E1153/D1153)</x:f>
        <x:v>0.008289674381590291</x:v>
      </x:c>
      <x:c r="K1153" s="15" t="n">
        <x:f>F1153/'Datos'!$F$7</x:f>
        <x:v>0.00018324653795388437</x:v>
      </x:c>
      <x:c r="L1153" s="3"/>
    </x:row>
    <x:row r="1154" ht="22" customHeight="1">
      <x:c r="A1154" s="3"/>
      <x:c r="B1154" s="3" t="str">
        <x:v>21245</x:v>
      </x:c>
      <x:c r="C1154" s="3" t="str">
        <x:v>GREEN POLKADOT PLATE</x:v>
      </x:c>
      <x:c r="D1154" s="13" t="n">
        <x:v>1792.27</x:v>
      </x:c>
      <x:c r="E1154" s="13" t="n">
        <x:v>0</x:v>
      </x:c>
      <x:c r="F1154" s="13" t="n">
        <x:f>D1154-E1154</x:f>
        <x:v>1792.27</x:v>
      </x:c>
      <x:c r="G1154" s="3" t="n">
        <x:v>1078</x:v>
      </x:c>
      <x:c r="H1154" s="3" t="n">
        <x:v>0</x:v>
      </x:c>
      <x:c r="I1154" s="3" t="n">
        <x:v>128</x:v>
      </x:c>
      <x:c r="J1154" s="15" t="n">
        <x:f>IF(D1154=0,"n.a.",E1154/D1154)</x:f>
        <x:v>0</x:v>
      </x:c>
      <x:c r="K1154" s="15" t="n">
        <x:f>F1154/'Datos'!$F$7</x:f>
        <x:v>0.0001830208598472027</x:v>
      </x:c>
      <x:c r="L1154" s="3"/>
    </x:row>
    <x:row r="1155" ht="22" customHeight="1">
      <x:c r="A1155" s="3"/>
      <x:c r="B1155" s="3" t="str">
        <x:v>85035C</x:v>
      </x:c>
      <x:c r="C1155" s="3" t="str">
        <x:v>ROSE 3 WICK MORRIS BOX CANDLE</x:v>
      </x:c>
      <x:c r="D1155" s="13" t="n">
        <x:v>1787.88</x:v>
      </x:c>
      <x:c r="E1155" s="13" t="n">
        <x:v>0</x:v>
      </x:c>
      <x:c r="F1155" s="13" t="n">
        <x:f>D1155-E1155</x:f>
        <x:v>1787.88</x:v>
      </x:c>
      <x:c r="G1155" s="3" t="n">
        <x:v>1153</x:v>
      </x:c>
      <x:c r="H1155" s="3" t="n">
        <x:v>0</x:v>
      </x:c>
      <x:c r="I1155" s="3" t="n">
        <x:v>131</x:v>
      </x:c>
      <x:c r="J1155" s="15" t="n">
        <x:f>IF(D1155=0,"n.a.",E1155/D1155)</x:f>
        <x:v>0</x:v>
      </x:c>
      <x:c r="K1155" s="15" t="n">
        <x:f>F1155/'Datos'!$F$7</x:f>
        <x:v>0.00018257256713755004</x:v>
      </x:c>
      <x:c r="L1155" s="3"/>
    </x:row>
    <x:row r="1156" ht="22" customHeight="1">
      <x:c r="A1156" s="3"/>
      <x:c r="B1156" s="3" t="str">
        <x:v>23317</x:v>
      </x:c>
      <x:c r="C1156" s="3" t="str">
        <x:v>BLUE REFECTORY CLOCK</x:v>
      </x:c>
      <x:c r="D1156" s="13" t="n">
        <x:v>1787.41</x:v>
      </x:c>
      <x:c r="E1156" s="13" t="n">
        <x:v>0</x:v>
      </x:c>
      <x:c r="F1156" s="13" t="n">
        <x:f>D1156-E1156</x:f>
        <x:v>1787.41</x:v>
      </x:c>
      <x:c r="G1156" s="3" t="n">
        <x:v>174</x:v>
      </x:c>
      <x:c r="H1156" s="3" t="n">
        <x:v>0</x:v>
      </x:c>
      <x:c r="I1156" s="3" t="n">
        <x:v>82</x:v>
      </x:c>
      <x:c r="J1156" s="15" t="n">
        <x:f>IF(D1156=0,"n.a.",E1156/D1156)</x:f>
        <x:v>0</x:v>
      </x:c>
      <x:c r="K1156" s="15" t="n">
        <x:f>F1156/'Datos'!$F$7</x:f>
        <x:v>0.00018252457224608381</x:v>
      </x:c>
      <x:c r="L1156" s="3"/>
    </x:row>
    <x:row r="1157" ht="22" customHeight="1">
      <x:c r="A1157" s="3"/>
      <x:c r="B1157" s="3" t="str">
        <x:v>23155</x:v>
      </x:c>
      <x:c r="C1157" s="3" t="str">
        <x:v>KNICKERBOCKERGLORY MAGNET ASSORTED</x:v>
      </x:c>
      <x:c r="D1157" s="13" t="n">
        <x:v>1914.73</x:v>
      </x:c>
      <x:c r="E1157" s="13" t="n">
        <x:v>129.71</x:v>
      </x:c>
      <x:c r="F1157" s="13" t="n">
        <x:f>D1157-E1157</x:f>
        <x:v>1785.02</x:v>
      </x:c>
      <x:c r="G1157" s="3" t="n">
        <x:v>2233</x:v>
      </x:c>
      <x:c r="H1157" s="3" t="n">
        <x:v>169</x:v>
      </x:c>
      <x:c r="I1157" s="3" t="n">
        <x:v>135</x:v>
      </x:c>
      <x:c r="J1157" s="15" t="n">
        <x:f>IF(D1157=0,"n.a.",E1157/D1157)</x:f>
        <x:v>0.06774323272732971</x:v>
      </x:c>
      <x:c r="K1157" s="15" t="n">
        <x:f>F1157/'Datos'!$F$7</x:f>
        <x:v>0.00018228051311713848</x:v>
      </x:c>
      <x:c r="L1157" s="3"/>
    </x:row>
    <x:row r="1158" ht="22" customHeight="1">
      <x:c r="A1158" s="3"/>
      <x:c r="B1158" s="3" t="str">
        <x:v>22562</x:v>
      </x:c>
      <x:c r="C1158" s="3" t="str">
        <x:v>MONSTERS STENCIL CRAFT</x:v>
      </x:c>
      <x:c r="D1158" s="13" t="n">
        <x:v>1773.37</x:v>
      </x:c>
      <x:c r="E1158" s="13" t="n">
        <x:v>0</x:v>
      </x:c>
      <x:c r="F1158" s="13" t="n">
        <x:f>D1158-E1158</x:f>
        <x:v>1773.37</x:v>
      </x:c>
      <x:c r="G1158" s="3" t="n">
        <x:v>1421</x:v>
      </x:c>
      <x:c r="H1158" s="3" t="n">
        <x:v>0</x:v>
      </x:c>
      <x:c r="I1158" s="3" t="n">
        <x:v>211</x:v>
      </x:c>
      <x:c r="J1158" s="15" t="n">
        <x:f>IF(D1158=0,"n.a.",E1158/D1158)</x:f>
        <x:v>0</x:v>
      </x:c>
      <x:c r="K1158" s="15" t="n">
        <x:f>F1158/'Datos'!$F$7</x:f>
        <x:v>0.00018109085250951802</x:v>
      </x:c>
      <x:c r="L1158" s="3"/>
    </x:row>
    <x:row r="1159" ht="22" customHeight="1">
      <x:c r="A1159" s="3"/>
      <x:c r="B1159" s="3" t="str">
        <x:v>47570B</x:v>
      </x:c>
      <x:c r="C1159" s="3" t="str">
        <x:v>TEA TIME TABLE CLOTH</x:v>
      </x:c>
      <x:c r="D1159" s="13" t="n">
        <x:v>1769.25</x:v>
      </x:c>
      <x:c r="E1159" s="13" t="n">
        <x:v>0</x:v>
      </x:c>
      <x:c r="F1159" s="13" t="n">
        <x:f>D1159-E1159</x:f>
        <x:v>1769.25</x:v>
      </x:c>
      <x:c r="G1159" s="3" t="n">
        <x:v>187</x:v>
      </x:c>
      <x:c r="H1159" s="3" t="n">
        <x:v>0</x:v>
      </x:c>
      <x:c r="I1159" s="3" t="n">
        <x:v>33</x:v>
      </x:c>
      <x:c r="J1159" s="15" t="n">
        <x:f>IF(D1159=0,"n.a.",E1159/D1159)</x:f>
        <x:v>0</x:v>
      </x:c>
      <x:c r="K1159" s="15" t="n">
        <x:f>F1159/'Datos'!$F$7</x:f>
        <x:v>0.00018067013133326085</x:v>
      </x:c>
      <x:c r="L1159" s="3"/>
    </x:row>
    <x:row r="1160" ht="22" customHeight="1">
      <x:c r="A1160" s="3"/>
      <x:c r="B1160" s="3" t="str">
        <x:v>84510A</x:v>
      </x:c>
      <x:c r="C1160" s="3" t="str">
        <x:v>SET OF 4 ENGLISH ROSE COASTERS</x:v>
      </x:c>
      <x:c r="D1160" s="13" t="n">
        <x:v>1767.05</x:v>
      </x:c>
      <x:c r="E1160" s="13" t="n">
        <x:v>1.25</x:v>
      </x:c>
      <x:c r="F1160" s="13" t="n">
        <x:f>D1160-E1160</x:f>
        <x:v>1765.8</x:v>
      </x:c>
      <x:c r="G1160" s="3" t="n">
        <x:v>1254</x:v>
      </x:c>
      <x:c r="H1160" s="3" t="n">
        <x:v>1</x:v>
      </x:c>
      <x:c r="I1160" s="3" t="n">
        <x:v>279</x:v>
      </x:c>
      <x:c r="J1160" s="15" t="n">
        <x:f>IF(D1160=0,"n.a.",E1160/D1160)</x:f>
        <x:v>0.0007073936787300868</x:v>
      </x:c>
      <x:c r="K1160" s="15" t="n">
        <x:f>F1160/'Datos'!$F$7</x:f>
        <x:v>0.00018031782840654062</x:v>
      </x:c>
      <x:c r="L1160" s="3"/>
    </x:row>
    <x:row r="1161" ht="22" customHeight="1">
      <x:c r="A1161" s="3"/>
      <x:c r="B1161" s="3" t="str">
        <x:v>23096</x:v>
      </x:c>
      <x:c r="C1161" s="3" t="str">
        <x:v>PETIT TRAY CHIC</x:v>
      </x:c>
      <x:c r="D1161" s="13" t="n">
        <x:v>1759.79</x:v>
      </x:c>
      <x:c r="E1161" s="13" t="n">
        <x:v>0</x:v>
      </x:c>
      <x:c r="F1161" s="13" t="n">
        <x:f>D1161-E1161</x:f>
        <x:v>1759.79</x:v>
      </x:c>
      <x:c r="G1161" s="3" t="n">
        <x:v>1047</x:v>
      </x:c>
      <x:c r="H1161" s="3" t="n">
        <x:v>0</x:v>
      </x:c>
      <x:c r="I1161" s="3" t="n">
        <x:v>146</x:v>
      </x:c>
      <x:c r="J1161" s="15" t="n">
        <x:f>IF(D1161=0,"n.a.",E1161/D1161)</x:f>
        <x:v>0</x:v>
      </x:c>
      <x:c r="K1161" s="15" t="n">
        <x:f>F1161/'Datos'!$F$7</x:f>
        <x:v>0.00017970410649651496</x:v>
      </x:c>
      <x:c r="L1161" s="3"/>
    </x:row>
    <x:row r="1162" ht="22" customHeight="1">
      <x:c r="A1162" s="3"/>
      <x:c r="B1162" s="3" t="str">
        <x:v>22119</x:v>
      </x:c>
      <x:c r="C1162" s="3" t="str">
        <x:v>PEACE WOODEN BLOCK LETTERS</x:v>
      </x:c>
      <x:c r="D1162" s="13" t="n">
        <x:v>1766.57</x:v>
      </x:c>
      <x:c r="E1162" s="13" t="n">
        <x:v>6.95</x:v>
      </x:c>
      <x:c r="F1162" s="13" t="n">
        <x:f>D1162-E1162</x:f>
        <x:v>1759.62</x:v>
      </x:c>
      <x:c r="G1162" s="3" t="n">
        <x:v>351</x:v>
      </x:c>
      <x:c r="H1162" s="3" t="n">
        <x:v>1</x:v>
      </x:c>
      <x:c r="I1162" s="3" t="n">
        <x:v>106</x:v>
      </x:c>
      <x:c r="J1162" s="15" t="n">
        <x:f>IF(D1162=0,"n.a.",E1162/D1162)</x:f>
        <x:v>0.003934177530468649</x:v>
      </x:c>
      <x:c r="K1162" s="15" t="n">
        <x:f>F1162/'Datos'!$F$7</x:f>
        <x:v>0.00017968674664215481</x:v>
      </x:c>
      <x:c r="L1162" s="3"/>
    </x:row>
    <x:row r="1163" ht="22" customHeight="1">
      <x:c r="A1163" s="3"/>
      <x:c r="B1163" s="3" t="str">
        <x:v>21832</x:v>
      </x:c>
      <x:c r="C1163" s="3" t="str">
        <x:v>CHOCOLATE CALCULATOR</x:v>
      </x:c>
      <x:c r="D1163" s="13" t="n">
        <x:v>1800</x:v>
      </x:c>
      <x:c r="E1163" s="13" t="n">
        <x:v>41.25</x:v>
      </x:c>
      <x:c r="F1163" s="13" t="n">
        <x:f>D1163-E1163</x:f>
        <x:v>1758.75</x:v>
      </x:c>
      <x:c r="G1163" s="3" t="n">
        <x:v>960</x:v>
      </x:c>
      <x:c r="H1163" s="3" t="n">
        <x:v>25</x:v>
      </x:c>
      <x:c r="I1163" s="3" t="n">
        <x:v>198</x:v>
      </x:c>
      <x:c r="J1163" s="15" t="n">
        <x:f>IF(D1163=0,"n.a.",E1163/D1163)</x:f>
        <x:v>0.022916666666666665</x:v>
      </x:c>
      <x:c r="K1163" s="15" t="n">
        <x:f>F1163/'Datos'!$F$7</x:f>
        <x:v>0.00017959790503454712</x:v>
      </x:c>
      <x:c r="L1163" s="3"/>
    </x:row>
    <x:row r="1164" ht="22" customHeight="1">
      <x:c r="A1164" s="3"/>
      <x:c r="B1164" s="3" t="str">
        <x:v>22536</x:v>
      </x:c>
      <x:c r="C1164" s="3" t="str">
        <x:v>MAGIC DRAWING SLATE PURDEY</x:v>
      </x:c>
      <x:c r="D1164" s="13" t="n">
        <x:v>1805.21</x:v>
      </x:c>
      <x:c r="E1164" s="13" t="n">
        <x:v>47.82</x:v>
      </x:c>
      <x:c r="F1164" s="13" t="n">
        <x:f>D1164-E1164</x:f>
        <x:v>1757.39</x:v>
      </x:c>
      <x:c r="G1164" s="3" t="n">
        <x:v>4755</x:v>
      </x:c>
      <x:c r="H1164" s="3" t="n">
        <x:v>131</x:v>
      </x:c>
      <x:c r="I1164" s="3" t="n">
        <x:v>156</x:v>
      </x:c>
      <x:c r="J1164" s="15" t="n">
        <x:f>IF(D1164=0,"n.a.",E1164/D1164)</x:f>
        <x:v>0.026489992854016983</x:v>
      </x:c>
      <x:c r="K1164" s="15" t="n">
        <x:f>F1164/'Datos'!$F$7</x:f>
        <x:v>0.00017945902619966614</x:v>
      </x:c>
      <x:c r="L1164" s="3"/>
    </x:row>
    <x:row r="1165" ht="22" customHeight="1">
      <x:c r="A1165" s="3"/>
      <x:c r="B1165" s="3" t="str">
        <x:v>22314</x:v>
      </x:c>
      <x:c r="C1165" s="3" t="str">
        <x:v>OFFICE MUG WARMER CHOC+BLUE</x:v>
      </x:c>
      <x:c r="D1165" s="13" t="n">
        <x:v>1762.07</x:v>
      </x:c>
      <x:c r="E1165" s="13" t="n">
        <x:v>5.9</x:v>
      </x:c>
      <x:c r="F1165" s="13" t="n">
        <x:f>D1165-E1165</x:f>
        <x:v>1756.1699999999998</x:v>
      </x:c>
      <x:c r="G1165" s="3" t="n">
        <x:v>571</x:v>
      </x:c>
      <x:c r="H1165" s="3" t="n">
        <x:v>2</x:v>
      </x:c>
      <x:c r="I1165" s="3" t="n">
        <x:v>133</x:v>
      </x:c>
      <x:c r="J1165" s="15" t="n">
        <x:f>IF(D1165=0,"n.a.",E1165/D1165)</x:f>
        <x:v>0.0033483346291577525</x:v>
      </x:c>
      <x:c r="K1165" s="15" t="n">
        <x:f>F1165/'Datos'!$F$7</x:f>
        <x:v>0.0001793344437154346</x:v>
      </x:c>
      <x:c r="L1165" s="3"/>
    </x:row>
    <x:row r="1166" ht="22" customHeight="1">
      <x:c r="A1166" s="3"/>
      <x:c r="B1166" s="3" t="str">
        <x:v>22710</x:v>
      </x:c>
      <x:c r="C1166" s="3" t="str">
        <x:v>WRAP I LOVE LONDON</x:v>
      </x:c>
      <x:c r="D1166" s="13" t="n">
        <x:v>1774.42</x:v>
      </x:c>
      <x:c r="E1166" s="13" t="n">
        <x:v>21</x:v>
      </x:c>
      <x:c r="F1166" s="13" t="n">
        <x:f>D1166-E1166</x:f>
        <x:v>1753.42</x:v>
      </x:c>
      <x:c r="G1166" s="3" t="n">
        <x:v>4501</x:v>
      </x:c>
      <x:c r="H1166" s="3" t="n">
        <x:v>50</x:v>
      </x:c>
      <x:c r="I1166" s="3" t="n">
        <x:v>104</x:v>
      </x:c>
      <x:c r="J1166" s="15" t="n">
        <x:f>IF(D1166=0,"n.a.",E1166/D1166)</x:f>
        <x:v>0.011834853078752493</x:v>
      </x:c>
      <x:c r="K1166" s="15" t="n">
        <x:f>F1166/'Datos'!$F$7</x:f>
        <x:v>0.00017905362254196197</x:v>
      </x:c>
      <x:c r="L1166" s="3"/>
    </x:row>
    <x:row r="1167" ht="22" customHeight="1">
      <x:c r="A1167" s="3"/>
      <x:c r="B1167" s="3" t="str">
        <x:v>21584</x:v>
      </x:c>
      <x:c r="C1167" s="3" t="str">
        <x:v>RETROSPOT SMALL TUBE MATCHES</x:v>
      </x:c>
      <x:c r="D1167" s="13" t="n">
        <x:v>1754.9</x:v>
      </x:c>
      <x:c r="E1167" s="13" t="n">
        <x:v>1.65</x:v>
      </x:c>
      <x:c r="F1167" s="13" t="n">
        <x:f>D1167-E1167</x:f>
        <x:v>1753.25</x:v>
      </x:c>
      <x:c r="G1167" s="3" t="n">
        <x:v>1066</x:v>
      </x:c>
      <x:c r="H1167" s="3" t="n">
        <x:v>1</x:v>
      </x:c>
      <x:c r="I1167" s="3" t="n">
        <x:v>146</x:v>
      </x:c>
      <x:c r="J1167" s="15" t="n">
        <x:f>IF(D1167=0,"n.a.",E1167/D1167)</x:f>
        <x:v>0.0009402245142173342</x:v>
      </x:c>
      <x:c r="K1167" s="15" t="n">
        <x:f>F1167/'Datos'!$F$7</x:f>
        <x:v>0.00017903626268760185</x:v>
      </x:c>
      <x:c r="L1167" s="3"/>
    </x:row>
    <x:row r="1168" ht="22" customHeight="1">
      <x:c r="A1168" s="3"/>
      <x:c r="B1168" s="3" t="str">
        <x:v>23399</x:v>
      </x:c>
      <x:c r="C1168" s="3" t="str">
        <x:v>HOME SWEET HOME HANGING HEART</x:v>
      </x:c>
      <x:c r="D1168" s="13" t="n">
        <x:v>1752.35</x:v>
      </x:c>
      <x:c r="E1168" s="13" t="n">
        <x:v>0</x:v>
      </x:c>
      <x:c r="F1168" s="13" t="n">
        <x:f>D1168-E1168</x:f>
        <x:v>1752.35</x:v>
      </x:c>
      <x:c r="G1168" s="3" t="n">
        <x:v>1922</x:v>
      </x:c>
      <x:c r="H1168" s="3" t="n">
        <x:v>0</x:v>
      </x:c>
      <x:c r="I1168" s="3" t="n">
        <x:v>225</x:v>
      </x:c>
      <x:c r="J1168" s="15" t="n">
        <x:f>IF(D1168=0,"n.a.",E1168/D1168)</x:f>
        <x:v>0</x:v>
      </x:c>
      <x:c r="K1168" s="15" t="n">
        <x:f>F1168/'Datos'!$F$7</x:f>
        <x:v>0.00017894435757628352</x:v>
      </x:c>
      <x:c r="L1168" s="3"/>
    </x:row>
    <x:row r="1169" ht="22" customHeight="1">
      <x:c r="A1169" s="3"/>
      <x:c r="B1169" s="3" t="str">
        <x:v>21056</x:v>
      </x:c>
      <x:c r="C1169" s="3" t="str">
        <x:v>DOCTOR'S BAG SOFT TOY</x:v>
      </x:c>
      <x:c r="D1169" s="13" t="n">
        <x:v>1765.4</x:v>
      </x:c>
      <x:c r="E1169" s="13" t="n">
        <x:v>17.9</x:v>
      </x:c>
      <x:c r="F1169" s="13" t="n">
        <x:f>D1169-E1169</x:f>
        <x:v>1747.5</x:v>
      </x:c>
      <x:c r="G1169" s="3" t="n">
        <x:v>184</x:v>
      </x:c>
      <x:c r="H1169" s="3" t="n">
        <x:v>2</x:v>
      </x:c>
      <x:c r="I1169" s="3" t="n">
        <x:v>72</x:v>
      </x:c>
      <x:c r="J1169" s="15" t="n">
        <x:f>IF(D1169=0,"n.a.",E1169/D1169)</x:f>
        <x:v>0.010139345190891581</x:v>
      </x:c>
      <x:c r="K1169" s="15" t="n">
        <x:f>F1169/'Datos'!$F$7</x:f>
        <x:v>0.00017844909114306815</x:v>
      </x:c>
      <x:c r="L1169" s="3"/>
    </x:row>
    <x:row r="1170" ht="22" customHeight="1">
      <x:c r="A1170" s="3"/>
      <x:c r="B1170" s="3" t="str">
        <x:v>23101</x:v>
      </x:c>
      <x:c r="C1170" s="3" t="str">
        <x:v>SILVER STARS TABLE DECORATION</x:v>
      </x:c>
      <x:c r="D1170" s="13" t="n">
        <x:v>1744.61</x:v>
      </x:c>
      <x:c r="E1170" s="13" t="n">
        <x:v>0</x:v>
      </x:c>
      <x:c r="F1170" s="13" t="n">
        <x:f>D1170-E1170</x:f>
        <x:v>1744.61</x:v>
      </x:c>
      <x:c r="G1170" s="3" t="n">
        <x:v>2037</x:v>
      </x:c>
      <x:c r="H1170" s="3" t="n">
        <x:v>0</x:v>
      </x:c>
      <x:c r="I1170" s="3" t="n">
        <x:v>213</x:v>
      </x:c>
      <x:c r="J1170" s="15" t="n">
        <x:f>IF(D1170=0,"n.a.",E1170/D1170)</x:f>
        <x:v>0</x:v>
      </x:c>
      <x:c r="K1170" s="15" t="n">
        <x:f>F1170/'Datos'!$F$7</x:f>
        <x:v>0.00017815397361894598</x:v>
      </x:c>
      <x:c r="L1170" s="3"/>
    </x:row>
    <x:row r="1171" ht="22" customHeight="1">
      <x:c r="A1171" s="3"/>
      <x:c r="B1171" s="3" t="str">
        <x:v>22932</x:v>
      </x:c>
      <x:c r="C1171" s="3" t="str">
        <x:v>BAKING MOULD TOFFEE CUP CHOCOLATE</x:v>
      </x:c>
      <x:c r="D1171" s="13" t="n">
        <x:v>2000.88</x:v>
      </x:c>
      <x:c r="E1171" s="13" t="n">
        <x:v>262.8</x:v>
      </x:c>
      <x:c r="F1171" s="13" t="n">
        <x:f>D1171-E1171</x:f>
        <x:v>1738.0800000000002</x:v>
      </x:c>
      <x:c r="G1171" s="3" t="n">
        <x:v>884</x:v>
      </x:c>
      <x:c r="H1171" s="3" t="n">
        <x:v>120</x:v>
      </x:c>
      <x:c r="I1171" s="3" t="n">
        <x:v>72</x:v>
      </x:c>
      <x:c r="J1171" s="15" t="n">
        <x:f>IF(D1171=0,"n.a.",E1171/D1171)</x:f>
        <x:v>0.13134220942785174</x:v>
      </x:c>
      <x:c r="K1171" s="15" t="n">
        <x:f>F1171/'Datos'!$F$7</x:f>
        <x:v>0.00017748715097793644</x:v>
      </x:c>
      <x:c r="L1171" s="3"/>
    </x:row>
    <x:row r="1172" ht="22" customHeight="1">
      <x:c r="A1172" s="3"/>
      <x:c r="B1172" s="3" t="str">
        <x:v>21873</x:v>
      </x:c>
      <x:c r="C1172" s="3" t="str">
        <x:v>IF YOU CAN'T STAND THE HEAT MUG</x:v>
      </x:c>
      <x:c r="D1172" s="13" t="n">
        <x:v>1838.05</x:v>
      </x:c>
      <x:c r="E1172" s="13" t="n">
        <x:v>100.07</x:v>
      </x:c>
      <x:c r="F1172" s="13" t="n">
        <x:f>D1172-E1172</x:f>
        <x:v>1737.98</x:v>
      </x:c>
      <x:c r="G1172" s="3" t="n">
        <x:v>1621</x:v>
      </x:c>
      <x:c r="H1172" s="3" t="n">
        <x:v>91</x:v>
      </x:c>
      <x:c r="I1172" s="3" t="n">
        <x:v>116</x:v>
      </x:c>
      <x:c r="J1172" s="15" t="n">
        <x:f>IF(D1172=0,"n.a.",E1172/D1172)</x:f>
        <x:v>0.054443567911645493</x:v>
      </x:c>
      <x:c r="K1172" s="15" t="n">
        <x:f>F1172/'Datos'!$F$7</x:f>
        <x:v>0.00017747693929890106</x:v>
      </x:c>
      <x:c r="L1172" s="3"/>
    </x:row>
    <x:row r="1173" ht="22" customHeight="1">
      <x:c r="A1173" s="3"/>
      <x:c r="B1173" s="3" t="str">
        <x:v>22588</x:v>
      </x:c>
      <x:c r="C1173" s="3" t="str">
        <x:v>CARD HOLDER GINGHAM HEART</x:v>
      </x:c>
      <x:c r="D1173" s="13" t="n">
        <x:v>2149.31</x:v>
      </x:c>
      <x:c r="E1173" s="13" t="n">
        <x:v>411.87</x:v>
      </x:c>
      <x:c r="F1173" s="13" t="n">
        <x:f>D1173-E1173</x:f>
        <x:v>1737.44</x:v>
      </x:c>
      <x:c r="G1173" s="3" t="n">
        <x:v>687</x:v>
      </x:c>
      <x:c r="H1173" s="3" t="n">
        <x:v>195</x:v>
      </x:c>
      <x:c r="I1173" s="3" t="n">
        <x:v>175</x:v>
      </x:c>
      <x:c r="J1173" s="15" t="n">
        <x:f>IF(D1173=0,"n.a.",E1173/D1173)</x:f>
        <x:v>0.19162894138118747</x:v>
      </x:c>
      <x:c r="K1173" s="15" t="n">
        <x:f>F1173/'Datos'!$F$7</x:f>
        <x:v>0.00017742179623211007</x:v>
      </x:c>
      <x:c r="L1173" s="3"/>
    </x:row>
    <x:row r="1174" ht="22" customHeight="1">
      <x:c r="A1174" s="3"/>
      <x:c r="B1174" s="3" t="str">
        <x:v>22852</x:v>
      </x:c>
      <x:c r="C1174" s="3" t="str">
        <x:v>DOG BOWL VINTAGE CREAM</x:v>
      </x:c>
      <x:c r="D1174" s="13" t="n">
        <x:v>1757.88</x:v>
      </x:c>
      <x:c r="E1174" s="13" t="n">
        <x:v>21.25</x:v>
      </x:c>
      <x:c r="F1174" s="13" t="n">
        <x:f>D1174-E1174</x:f>
        <x:v>1736.63</x:v>
      </x:c>
      <x:c r="G1174" s="3" t="n">
        <x:v>390</x:v>
      </x:c>
      <x:c r="H1174" s="3" t="n">
        <x:v>5</x:v>
      </x:c>
      <x:c r="I1174" s="3" t="n">
        <x:v>125</x:v>
      </x:c>
      <x:c r="J1174" s="15" t="n">
        <x:f>IF(D1174=0,"n.a.",E1174/D1174)</x:f>
        <x:v>0.012088424693380662</x:v>
      </x:c>
      <x:c r="K1174" s="15" t="n">
        <x:f>F1174/'Datos'!$F$7</x:f>
        <x:v>0.0001773390816319236</x:v>
      </x:c>
      <x:c r="L1174" s="3"/>
    </x:row>
    <x:row r="1175" ht="22" customHeight="1">
      <x:c r="A1175" s="3"/>
      <x:c r="B1175" s="3" t="str">
        <x:v>21899</x:v>
      </x:c>
      <x:c r="C1175" s="3" t="str">
        <x:v>GARAGE KEY FOB</x:v>
      </x:c>
      <x:c r="D1175" s="13" t="n">
        <x:v>1761.22</x:v>
      </x:c>
      <x:c r="E1175" s="13" t="n">
        <x:v>27.95</x:v>
      </x:c>
      <x:c r="F1175" s="13" t="n">
        <x:f>D1175-E1175</x:f>
        <x:v>1733.27</x:v>
      </x:c>
      <x:c r="G1175" s="3" t="n">
        <x:v>2684</x:v>
      </x:c>
      <x:c r="H1175" s="3" t="n">
        <x:v>43</x:v>
      </x:c>
      <x:c r="I1175" s="3" t="n">
        <x:v>278</x:v>
      </x:c>
      <x:c r="J1175" s="15" t="n">
        <x:f>IF(D1175=0,"n.a.",E1175/D1175)</x:f>
        <x:v>0.015869681243683355</x:v>
      </x:c>
      <x:c r="K1175" s="15" t="n">
        <x:f>F1175/'Datos'!$F$7</x:f>
        <x:v>0.00017699596921633517</x:v>
      </x:c>
      <x:c r="L1175" s="3"/>
    </x:row>
    <x:row r="1176" ht="22" customHeight="1">
      <x:c r="A1176" s="3"/>
      <x:c r="B1176" s="3" t="str">
        <x:v>23372</x:v>
      </x:c>
      <x:c r="C1176" s="3" t="str">
        <x:v>SET 36 COLOUR PENCILS DOLLY GIRL</x:v>
      </x:c>
      <x:c r="D1176" s="13" t="n">
        <x:v>1752.79</x:v>
      </x:c>
      <x:c r="E1176" s="13" t="n">
        <x:v>20</x:v>
      </x:c>
      <x:c r="F1176" s="13" t="n">
        <x:f>D1176-E1176</x:f>
        <x:v>1732.79</x:v>
      </x:c>
      <x:c r="G1176" s="3" t="n">
        <x:v>1391</x:v>
      </x:c>
      <x:c r="H1176" s="3" t="n">
        <x:v>16</x:v>
      </x:c>
      <x:c r="I1176" s="3" t="n">
        <x:v>147</x:v>
      </x:c>
      <x:c r="J1176" s="15" t="n">
        <x:f>IF(D1176=0,"n.a.",E1176/D1176)</x:f>
        <x:v>0.011410380022706657</x:v>
      </x:c>
      <x:c r="K1176" s="15" t="n">
        <x:f>F1176/'Datos'!$F$7</x:f>
        <x:v>0.00017694695315696542</x:v>
      </x:c>
      <x:c r="L1176" s="3"/>
    </x:row>
    <x:row r="1177" ht="22" customHeight="1">
      <x:c r="A1177" s="3"/>
      <x:c r="B1177" s="3" t="str">
        <x:v>85034C</x:v>
      </x:c>
      <x:c r="C1177" s="3" t="str">
        <x:v>3 ROSE MORRIS BOXED CANDLES</x:v>
      </x:c>
      <x:c r="D1177" s="13" t="n">
        <x:v>1805</x:v>
      </x:c>
      <x:c r="E1177" s="13" t="n">
        <x:v>73</x:v>
      </x:c>
      <x:c r="F1177" s="13" t="n">
        <x:f>D1177-E1177</x:f>
        <x:v>1732</x:v>
      </x:c>
      <x:c r="G1177" s="3" t="n">
        <x:v>1133</x:v>
      </x:c>
      <x:c r="H1177" s="3" t="n">
        <x:v>20</x:v>
      </x:c>
      <x:c r="I1177" s="3" t="n">
        <x:v>158</x:v>
      </x:c>
      <x:c r="J1177" s="15" t="n">
        <x:f>IF(D1177=0,"n.a.",E1177/D1177)</x:f>
        <x:v>0.04044321329639889</x:v>
      </x:c>
      <x:c r="K1177" s="15" t="n">
        <x:f>F1177/'Datos'!$F$7</x:f>
        <x:v>0.000176866280892586</x:v>
      </x:c>
      <x:c r="L1177" s="3"/>
    </x:row>
    <x:row r="1178" ht="22" customHeight="1">
      <x:c r="A1178" s="3"/>
      <x:c r="B1178" s="3" t="str">
        <x:v>21055</x:v>
      </x:c>
      <x:c r="C1178" s="3" t="str">
        <x:v>TOOL BOX SOFT TOY</x:v>
      </x:c>
      <x:c r="D1178" s="13" t="n">
        <x:v>1782.54</x:v>
      </x:c>
      <x:c r="E1178" s="13" t="n">
        <x:v>53.7</x:v>
      </x:c>
      <x:c r="F1178" s="13" t="n">
        <x:f>D1178-E1178</x:f>
        <x:v>1728.84</x:v>
      </x:c>
      <x:c r="G1178" s="3" t="n">
        <x:v>180</x:v>
      </x:c>
      <x:c r="H1178" s="3" t="n">
        <x:v>6</x:v>
      </x:c>
      <x:c r="I1178" s="3" t="n">
        <x:v>105</x:v>
      </x:c>
      <x:c r="J1178" s="15" t="n">
        <x:f>IF(D1178=0,"n.a.",E1178/D1178)</x:f>
        <x:v>0.030125551179777173</x:v>
      </x:c>
      <x:c r="K1178" s="15" t="n">
        <x:f>F1178/'Datos'!$F$7</x:f>
        <x:v>0.00017654359183506835</x:v>
      </x:c>
      <x:c r="L1178" s="3"/>
    </x:row>
    <x:row r="1179" ht="22" customHeight="1">
      <x:c r="A1179" s="3"/>
      <x:c r="B1179" s="3" t="str">
        <x:v>21329</x:v>
      </x:c>
      <x:c r="C1179" s="3" t="str">
        <x:v>DINOSAURS WRITING SET</x:v>
      </x:c>
      <x:c r="D1179" s="13" t="n">
        <x:v>1728.64</x:v>
      </x:c>
      <x:c r="E1179" s="13" t="n">
        <x:v>0</x:v>
      </x:c>
      <x:c r="F1179" s="13" t="n">
        <x:f>D1179-E1179</x:f>
        <x:v>1728.64</x:v>
      </x:c>
      <x:c r="G1179" s="3" t="n">
        <x:v>944</x:v>
      </x:c>
      <x:c r="H1179" s="3" t="n">
        <x:v>0</x:v>
      </x:c>
      <x:c r="I1179" s="3" t="n">
        <x:v>287</x:v>
      </x:c>
      <x:c r="J1179" s="15" t="n">
        <x:f>IF(D1179=0,"n.a.",E1179/D1179)</x:f>
        <x:v>0</x:v>
      </x:c>
      <x:c r="K1179" s="15" t="n">
        <x:f>F1179/'Datos'!$F$7</x:f>
        <x:v>0.00017652316847699762</x:v>
      </x:c>
      <x:c r="L1179" s="3"/>
    </x:row>
    <x:row r="1180" ht="22" customHeight="1">
      <x:c r="A1180" s="3"/>
      <x:c r="B1180" s="3" t="str">
        <x:v>20981</x:v>
      </x:c>
      <x:c r="C1180" s="3" t="str">
        <x:v>12 PENCILS TALL TUBE WOODLAND</x:v>
      </x:c>
      <x:c r="D1180" s="13" t="n">
        <x:v>1742.27</x:v>
      </x:c>
      <x:c r="E1180" s="13" t="n">
        <x:v>16.15</x:v>
      </x:c>
      <x:c r="F1180" s="13" t="n">
        <x:f>D1180-E1180</x:f>
        <x:v>1726.12</x:v>
      </x:c>
      <x:c r="G1180" s="3" t="n">
        <x:v>1976</x:v>
      </x:c>
      <x:c r="H1180" s="3" t="n">
        <x:v>19</x:v>
      </x:c>
      <x:c r="I1180" s="3" t="n">
        <x:v>249</x:v>
      </x:c>
      <x:c r="J1180" s="15" t="n">
        <x:f>IF(D1180=0,"n.a.",E1180/D1180)</x:f>
        <x:v>0.009269516205869353</x:v>
      </x:c>
      <x:c r="K1180" s="15" t="n">
        <x:f>F1180/'Datos'!$F$7</x:f>
        <x:v>0.00017626583416530632</x:v>
      </x:c>
      <x:c r="L1180" s="3"/>
    </x:row>
    <x:row r="1181" ht="22" customHeight="1">
      <x:c r="A1181" s="3"/>
      <x:c r="B1181" s="3" t="str">
        <x:v>23122</x:v>
      </x:c>
      <x:c r="C1181" s="3" t="str">
        <x:v>PARTY CHARMS 50 PIECES</x:v>
      </x:c>
      <x:c r="D1181" s="13" t="n">
        <x:v>1727.75</x:v>
      </x:c>
      <x:c r="E1181" s="13" t="n">
        <x:v>2.49</x:v>
      </x:c>
      <x:c r="F1181" s="13" t="n">
        <x:f>D1181-E1181</x:f>
        <x:v>1725.26</x:v>
      </x:c>
      <x:c r="G1181" s="3" t="n">
        <x:v>2253</x:v>
      </x:c>
      <x:c r="H1181" s="3" t="n">
        <x:v>3</x:v>
      </x:c>
      <x:c r="I1181" s="3" t="n">
        <x:v>133</x:v>
      </x:c>
      <x:c r="J1181" s="15" t="n">
        <x:f>IF(D1181=0,"n.a.",E1181/D1181)</x:f>
        <x:v>0.0014411807263782377</x:v>
      </x:c>
      <x:c r="K1181" s="15" t="n">
        <x:f>F1181/'Datos'!$F$7</x:f>
        <x:v>0.00017617801372560215</x:v>
      </x:c>
      <x:c r="L1181" s="3"/>
    </x:row>
    <x:row r="1182" ht="22" customHeight="1">
      <x:c r="A1182" s="3"/>
      <x:c r="B1182" s="3" t="str">
        <x:v>84968D</x:v>
      </x:c>
      <x:c r="C1182" s="3" t="str">
        <x:v>SET OF 16 VINTAGE RED CUTLERY</x:v>
      </x:c>
      <x:c r="D1182" s="13" t="n">
        <x:v>1736.35</x:v>
      </x:c>
      <x:c r="E1182" s="13" t="n">
        <x:v>12.75</x:v>
      </x:c>
      <x:c r="F1182" s="13" t="n">
        <x:f>D1182-E1182</x:f>
        <x:v>1723.6</x:v>
      </x:c>
      <x:c r="G1182" s="3" t="n">
        <x:v>160</x:v>
      </x:c>
      <x:c r="H1182" s="3" t="n">
        <x:v>1</x:v>
      </x:c>
      <x:c r="I1182" s="3" t="n">
        <x:v>58</x:v>
      </x:c>
      <x:c r="J1182" s="15" t="n">
        <x:f>IF(D1182=0,"n.a.",E1182/D1182)</x:f>
        <x:v>0.007342989604630403</x:v>
      </x:c>
      <x:c r="K1182" s="15" t="n">
        <x:f>F1182/'Datos'!$F$7</x:f>
        <x:v>0.00017600849985361503</x:v>
      </x:c>
      <x:c r="L1182" s="3"/>
    </x:row>
    <x:row r="1183" ht="22" customHeight="1">
      <x:c r="A1183" s="3"/>
      <x:c r="B1183" s="3" t="str">
        <x:v>84968E</x:v>
      </x:c>
      <x:c r="C1183" s="3" t="str">
        <x:v>SET OF 16 VINTAGE BLACK CUTLERY</x:v>
      </x:c>
      <x:c r="D1183" s="13" t="n">
        <x:v>1722.74</x:v>
      </x:c>
      <x:c r="E1183" s="13" t="n">
        <x:v>0</x:v>
      </x:c>
      <x:c r="F1183" s="13" t="n">
        <x:f>D1183-E1183</x:f>
        <x:v>1722.74</x:v>
      </x:c>
      <x:c r="G1183" s="3" t="n">
        <x:v>140</x:v>
      </x:c>
      <x:c r="H1183" s="3" t="n">
        <x:v>0</x:v>
      </x:c>
      <x:c r="I1183" s="3" t="n">
        <x:v>50</x:v>
      </x:c>
      <x:c r="J1183" s="15" t="n">
        <x:f>IF(D1183=0,"n.a.",E1183/D1183)</x:f>
        <x:v>0</x:v>
      </x:c>
      <x:c r="K1183" s="15" t="n">
        <x:f>F1183/'Datos'!$F$7</x:f>
        <x:v>0.00017592067941391086</x:v>
      </x:c>
      <x:c r="L1183" s="3"/>
    </x:row>
    <x:row r="1184" ht="22" customHeight="1">
      <x:c r="A1184" s="3"/>
      <x:c r="B1184" s="3" t="str">
        <x:v>85015</x:v>
      </x:c>
      <x:c r="C1184" s="3" t="str">
        <x:v>SET OF 12 VINTAGE POSTCARD SET</x:v>
      </x:c>
      <x:c r="D1184" s="13" t="n">
        <x:v>1719.84</x:v>
      </x:c>
      <x:c r="E1184" s="13" t="n">
        <x:v>0</x:v>
      </x:c>
      <x:c r="F1184" s="13" t="n">
        <x:f>D1184-E1184</x:f>
        <x:v>1719.84</x:v>
      </x:c>
      <x:c r="G1184" s="3" t="n">
        <x:v>2182</x:v>
      </x:c>
      <x:c r="H1184" s="3" t="n">
        <x:v>0</x:v>
      </x:c>
      <x:c r="I1184" s="3" t="n">
        <x:v>143</x:v>
      </x:c>
      <x:c r="J1184" s="15" t="n">
        <x:f>IF(D1184=0,"n.a.",E1184/D1184)</x:f>
        <x:v>0</x:v>
      </x:c>
      <x:c r="K1184" s="15" t="n">
        <x:f>F1184/'Datos'!$F$7</x:f>
        <x:v>0.00017562454072188517</x:v>
      </x:c>
      <x:c r="L1184" s="3"/>
    </x:row>
    <x:row r="1185" ht="22" customHeight="1">
      <x:c r="A1185" s="3"/>
      <x:c r="B1185" s="3" t="str">
        <x:v>35004C</x:v>
      </x:c>
      <x:c r="C1185" s="3" t="str">
        <x:v>SET OF 3 COLOURED FLYING DUCKS</x:v>
      </x:c>
      <x:c r="D1185" s="13" t="n">
        <x:v>1888.1</x:v>
      </x:c>
      <x:c r="E1185" s="13" t="n">
        <x:v>170.6</x:v>
      </x:c>
      <x:c r="F1185" s="13" t="n">
        <x:f>D1185-E1185</x:f>
        <x:v>1717.5</x:v>
      </x:c>
      <x:c r="G1185" s="3" t="n">
        <x:v>394</x:v>
      </x:c>
      <x:c r="H1185" s="3" t="n">
        <x:v>36</x:v>
      </x:c>
      <x:c r="I1185" s="3" t="n">
        <x:v>39</x:v>
      </x:c>
      <x:c r="J1185" s="15" t="n">
        <x:f>IF(D1185=0,"n.a.",E1185/D1185)</x:f>
        <x:v>0.09035538371908268</x:v>
      </x:c>
      <x:c r="K1185" s="15" t="n">
        <x:f>F1185/'Datos'!$F$7</x:f>
        <x:v>0.00017538558743245754</x:v>
      </x:c>
      <x:c r="L1185" s="3"/>
    </x:row>
    <x:row r="1186" ht="22" customHeight="1">
      <x:c r="A1186" s="3"/>
      <x:c r="B1186" s="3" t="str">
        <x:v>23244</x:v>
      </x:c>
      <x:c r="C1186" s="3" t="str">
        <x:v>ROUND STORAGE TIN VINTAGE LEAF</x:v>
      </x:c>
      <x:c r="D1186" s="13" t="n">
        <x:v>1733.98</x:v>
      </x:c>
      <x:c r="E1186" s="13" t="n">
        <x:v>16.95</x:v>
      </x:c>
      <x:c r="F1186" s="13" t="n">
        <x:f>D1186-E1186</x:f>
        <x:v>1717.03</x:v>
      </x:c>
      <x:c r="G1186" s="3" t="n">
        <x:v>936</x:v>
      </x:c>
      <x:c r="H1186" s="3" t="n">
        <x:v>9</x:v>
      </x:c>
      <x:c r="I1186" s="3" t="n">
        <x:v>112</x:v>
      </x:c>
      <x:c r="J1186" s="15" t="n">
        <x:f>IF(D1186=0,"n.a.",E1186/D1186)</x:f>
        <x:v>0.009775199252586535</x:v>
      </x:c>
      <x:c r="K1186" s="15" t="n">
        <x:f>F1186/'Datos'!$F$7</x:f>
        <x:v>0.0001753375925409913</x:v>
      </x:c>
      <x:c r="L1186" s="3"/>
    </x:row>
    <x:row r="1187" ht="22" customHeight="1">
      <x:c r="A1187" s="3"/>
      <x:c r="B1187" s="3" t="str">
        <x:v>22037</x:v>
      </x:c>
      <x:c r="C1187" s="3" t="str">
        <x:v>ROBOT BIRTHDAY CARD</x:v>
      </x:c>
      <x:c r="D1187" s="13" t="n">
        <x:v>1715.48</x:v>
      </x:c>
      <x:c r="E1187" s="13" t="n">
        <x:v>0</x:v>
      </x:c>
      <x:c r="F1187" s="13" t="n">
        <x:f>D1187-E1187</x:f>
        <x:v>1715.48</x:v>
      </x:c>
      <x:c r="G1187" s="3" t="n">
        <x:v>3977</x:v>
      </x:c>
      <x:c r="H1187" s="3" t="n">
        <x:v>0</x:v>
      </x:c>
      <x:c r="I1187" s="3" t="n">
        <x:v>354</x:v>
      </x:c>
      <x:c r="J1187" s="15" t="n">
        <x:f>IF(D1187=0,"n.a.",E1187/D1187)</x:f>
        <x:v>0</x:v>
      </x:c>
      <x:c r="K1187" s="15" t="n">
        <x:f>F1187/'Datos'!$F$7</x:f>
        <x:v>0.00017517931151594308</x:v>
      </x:c>
      <x:c r="L1187" s="3"/>
    </x:row>
    <x:row r="1188" ht="22" customHeight="1">
      <x:c r="A1188" s="3"/>
      <x:c r="B1188" s="3" t="str">
        <x:v>22816</x:v>
      </x:c>
      <x:c r="C1188" s="3" t="str">
        <x:v>CARD MOTORBIKE SANTA</x:v>
      </x:c>
      <x:c r="D1188" s="13" t="n">
        <x:v>1706.88</x:v>
      </x:c>
      <x:c r="E1188" s="13" t="n">
        <x:v>0</x:v>
      </x:c>
      <x:c r="F1188" s="13" t="n">
        <x:f>D1188-E1188</x:f>
        <x:v>1706.88</x:v>
      </x:c>
      <x:c r="G1188" s="3" t="n">
        <x:v>4023</x:v>
      </x:c>
      <x:c r="H1188" s="3" t="n">
        <x:v>0</x:v>
      </x:c>
      <x:c r="I1188" s="3" t="n">
        <x:v>266</x:v>
      </x:c>
      <x:c r="J1188" s="15" t="n">
        <x:f>IF(D1188=0,"n.a.",E1188/D1188)</x:f>
        <x:v>0</x:v>
      </x:c>
      <x:c r="K1188" s="15" t="n">
        <x:f>F1188/'Datos'!$F$7</x:f>
        <x:v>0.0001743011071189014</x:v>
      </x:c>
      <x:c r="L1188" s="3"/>
    </x:row>
    <x:row r="1189" ht="22" customHeight="1">
      <x:c r="A1189" s="3"/>
      <x:c r="B1189" s="3" t="str">
        <x:v>22227</x:v>
      </x:c>
      <x:c r="C1189" s="3" t="str">
        <x:v>HANGING HEART MIRROR DECORATION</x:v>
      </x:c>
      <x:c r="D1189" s="13" t="n">
        <x:v>1708.07</x:v>
      </x:c>
      <x:c r="E1189" s="13" t="n">
        <x:v>1.3</x:v>
      </x:c>
      <x:c r="F1189" s="13" t="n">
        <x:f>D1189-E1189</x:f>
        <x:v>1706.77</x:v>
      </x:c>
      <x:c r="G1189" s="3" t="n">
        <x:v>2341</x:v>
      </x:c>
      <x:c r="H1189" s="3" t="n">
        <x:v>2</x:v>
      </x:c>
      <x:c r="I1189" s="3" t="n">
        <x:v>289</x:v>
      </x:c>
      <x:c r="J1189" s="15" t="n">
        <x:f>IF(D1189=0,"n.a.",E1189/D1189)</x:f>
        <x:v>0.0007610929294466855</x:v>
      </x:c>
      <x:c r="K1189" s="15" t="n">
        <x:f>F1189/'Datos'!$F$7</x:f>
        <x:v>0.00017428987427196247</x:v>
      </x:c>
      <x:c r="L1189" s="3"/>
    </x:row>
    <x:row r="1190" ht="22" customHeight="1">
      <x:c r="A1190" s="3"/>
      <x:c r="B1190" s="3" t="str">
        <x:v>22832</x:v>
      </x:c>
      <x:c r="C1190" s="3" t="str">
        <x:v>BROCANTE SHELF WITH HOOKS</x:v>
      </x:c>
      <x:c r="D1190" s="13" t="n">
        <x:v>1781.82</x:v>
      </x:c>
      <x:c r="E1190" s="13" t="n">
        <x:v>75.25</x:v>
      </x:c>
      <x:c r="F1190" s="13" t="n">
        <x:f>D1190-E1190</x:f>
        <x:v>1706.57</x:v>
      </x:c>
      <x:c r="G1190" s="3" t="n">
        <x:v>162</x:v>
      </x:c>
      <x:c r="H1190" s="3" t="n">
        <x:v>7</x:v>
      </x:c>
      <x:c r="I1190" s="3" t="n">
        <x:v>76</x:v>
      </x:c>
      <x:c r="J1190" s="15" t="n">
        <x:f>IF(D1190=0,"n.a.",E1190/D1190)</x:f>
        <x:v>0.04223209976316351</x:v>
      </x:c>
      <x:c r="K1190" s="15" t="n">
        <x:f>F1190/'Datos'!$F$7</x:f>
        <x:v>0.00017426945091389174</x:v>
      </x:c>
      <x:c r="L1190" s="3"/>
    </x:row>
    <x:row r="1191" ht="22" customHeight="1">
      <x:c r="A1191" s="3"/>
      <x:c r="B1191" s="3" t="str">
        <x:v>23073</x:v>
      </x:c>
      <x:c r="C1191" s="3" t="str">
        <x:v>GEORGIAN TRINKET BOX</x:v>
      </x:c>
      <x:c r="D1191" s="13" t="n">
        <x:v>1719</x:v>
      </x:c>
      <x:c r="E1191" s="13" t="n">
        <x:v>12.5</x:v>
      </x:c>
      <x:c r="F1191" s="13" t="n">
        <x:f>D1191-E1191</x:f>
        <x:v>1706.5</x:v>
      </x:c>
      <x:c r="G1191" s="3" t="n">
        <x:v>144</x:v>
      </x:c>
      <x:c r="H1191" s="3" t="n">
        <x:v>1</x:v>
      </x:c>
      <x:c r="I1191" s="3" t="n">
        <x:v>61</x:v>
      </x:c>
      <x:c r="J1191" s="15" t="n">
        <x:f>IF(D1191=0,"n.a.",E1191/D1191)</x:f>
        <x:v>0.007271669575334497</x:v>
      </x:c>
      <x:c r="K1191" s="15" t="n">
        <x:f>F1191/'Datos'!$F$7</x:f>
        <x:v>0.00017426230273856697</x:v>
      </x:c>
      <x:c r="L1191" s="3"/>
    </x:row>
    <x:row r="1192" ht="22" customHeight="1">
      <x:c r="A1192" s="3"/>
      <x:c r="B1192" s="3" t="str">
        <x:v>23214</x:v>
      </x:c>
      <x:c r="C1192" s="3" t="str">
        <x:v>JINGLE BELL HEART ANTIQUE GOLD</x:v>
      </x:c>
      <x:c r="D1192" s="13" t="n">
        <x:v>1705.44</x:v>
      </x:c>
      <x:c r="E1192" s="13" t="n">
        <x:v>0</x:v>
      </x:c>
      <x:c r="F1192" s="13" t="n">
        <x:f>D1192-E1192</x:f>
        <x:v>1705.44</x:v>
      </x:c>
      <x:c r="G1192" s="3" t="n">
        <x:v>794</x:v>
      </x:c>
      <x:c r="H1192" s="3" t="n">
        <x:v>0</x:v>
      </x:c>
      <x:c r="I1192" s="3" t="n">
        <x:v>103</x:v>
      </x:c>
      <x:c r="J1192" s="15" t="n">
        <x:f>IF(D1192=0,"n.a.",E1192/D1192)</x:f>
        <x:v>0</x:v>
      </x:c>
      <x:c r="K1192" s="15" t="n">
        <x:f>F1192/'Datos'!$F$7</x:f>
        <x:v>0.00017415405894079207</x:v>
      </x:c>
      <x:c r="L1192" s="3"/>
    </x:row>
    <x:row r="1193" ht="22" customHeight="1">
      <x:c r="A1193" s="3"/>
      <x:c r="B1193" s="3" t="str">
        <x:v>22986</x:v>
      </x:c>
      <x:c r="C1193" s="3" t="str">
        <x:v>WRAP GINGHAM ROSE</x:v>
      </x:c>
      <x:c r="D1193" s="13" t="n">
        <x:v>1712.1</x:v>
      </x:c>
      <x:c r="E1193" s="13" t="n">
        <x:v>10.5</x:v>
      </x:c>
      <x:c r="F1193" s="13" t="n">
        <x:f>D1193-E1193</x:f>
        <x:v>1701.6</x:v>
      </x:c>
      <x:c r="G1193" s="3" t="n">
        <x:v>4105</x:v>
      </x:c>
      <x:c r="H1193" s="3" t="n">
        <x:v>25</x:v>
      </x:c>
      <x:c r="I1193" s="3" t="n">
        <x:v>155</x:v>
      </x:c>
      <x:c r="J1193" s="15" t="n">
        <x:f>IF(D1193=0,"n.a.",E1193/D1193)</x:f>
        <x:v>0.0061328193446644474</x:v>
      </x:c>
      <x:c r="K1193" s="15" t="n">
        <x:f>F1193/'Datos'!$F$7</x:f>
        <x:v>0.00017376193046583392</x:v>
      </x:c>
      <x:c r="L1193" s="3"/>
    </x:row>
    <x:row r="1194" ht="22" customHeight="1">
      <x:c r="A1194" s="3"/>
      <x:c r="B1194" s="3" t="str">
        <x:v>23181</x:v>
      </x:c>
      <x:c r="C1194" s="3" t="str">
        <x:v>BULL DOG BOTTLE TOP WALL CLOCK</x:v>
      </x:c>
      <x:c r="D1194" s="13" t="n">
        <x:v>1733.57</x:v>
      </x:c>
      <x:c r="E1194" s="13" t="n">
        <x:v>33</x:v>
      </x:c>
      <x:c r="F1194" s="13" t="n">
        <x:f>D1194-E1194</x:f>
        <x:v>1700.57</x:v>
      </x:c>
      <x:c r="G1194" s="3" t="n">
        <x:v>201</x:v>
      </x:c>
      <x:c r="H1194" s="3" t="n">
        <x:v>4</x:v>
      </x:c>
      <x:c r="I1194" s="3" t="n">
        <x:v>82</x:v>
      </x:c>
      <x:c r="J1194" s="15" t="n">
        <x:f>IF(D1194=0,"n.a.",E1194/D1194)</x:f>
        <x:v>0.01903586241109387</x:v>
      </x:c>
      <x:c r="K1194" s="15" t="n">
        <x:f>F1194/'Datos'!$F$7</x:f>
        <x:v>0.0001736567501717696</x:v>
      </x:c>
      <x:c r="L1194" s="3"/>
    </x:row>
    <x:row r="1195" ht="22" customHeight="1">
      <x:c r="A1195" s="3"/>
      <x:c r="B1195" s="3" t="str">
        <x:v>22934</x:v>
      </x:c>
      <x:c r="C1195" s="3" t="str">
        <x:v>BAKING MOULD EASTER EGG WHITE CHOC</x:v>
      </x:c>
      <x:c r="D1195" s="13" t="n">
        <x:v>1707.47</x:v>
      </x:c>
      <x:c r="E1195" s="13" t="n">
        <x:v>8.85</x:v>
      </x:c>
      <x:c r="F1195" s="13" t="n">
        <x:f>D1195-E1195</x:f>
        <x:v>1698.6200000000001</x:v>
      </x:c>
      <x:c r="G1195" s="3" t="n">
        <x:v>589</x:v>
      </x:c>
      <x:c r="H1195" s="3" t="n">
        <x:v>3</x:v>
      </x:c>
      <x:c r="I1195" s="3" t="n">
        <x:v>78</x:v>
      </x:c>
      <x:c r="J1195" s="15" t="n">
        <x:f>IF(D1195=0,"n.a.",E1195/D1195)</x:f>
        <x:v>0.00518310717025775</x:v>
      </x:c>
      <x:c r="K1195" s="15" t="n">
        <x:f>F1195/'Datos'!$F$7</x:f>
        <x:v>0.00017345762243057994</x:v>
      </x:c>
      <x:c r="L1195" s="3"/>
    </x:row>
    <x:row r="1196" ht="22" customHeight="1">
      <x:c r="A1196" s="3"/>
      <x:c r="B1196" s="3" t="str">
        <x:v>21917</x:v>
      </x:c>
      <x:c r="C1196" s="3" t="str">
        <x:v>SET 12 KIDS WHITE CHALK STICKS</x:v>
      </x:c>
      <x:c r="D1196" s="13" t="n">
        <x:v>1704.03</x:v>
      </x:c>
      <x:c r="E1196" s="13" t="n">
        <x:v>5.46</x:v>
      </x:c>
      <x:c r="F1196" s="13" t="n">
        <x:f>D1196-E1196</x:f>
        <x:v>1698.57</x:v>
      </x:c>
      <x:c r="G1196" s="3" t="n">
        <x:v>4156</x:v>
      </x:c>
      <x:c r="H1196" s="3" t="n">
        <x:v>13</x:v>
      </x:c>
      <x:c r="I1196" s="3" t="n">
        <x:v>225</x:v>
      </x:c>
      <x:c r="J1196" s="15" t="n">
        <x:f>IF(D1196=0,"n.a.",E1196/D1196)</x:f>
        <x:v>0.003204168940687664</x:v>
      </x:c>
      <x:c r="K1196" s="15" t="n">
        <x:f>F1196/'Datos'!$F$7</x:f>
        <x:v>0.00017345251659106224</x:v>
      </x:c>
      <x:c r="L1196" s="3"/>
    </x:row>
    <x:row r="1197" ht="22" customHeight="1">
      <x:c r="A1197" s="3"/>
      <x:c r="B1197" s="3" t="str">
        <x:v>22544</x:v>
      </x:c>
      <x:c r="C1197" s="3" t="str">
        <x:v>MINI JIGSAW SPACEBOY</x:v>
      </x:c>
      <x:c r="D1197" s="13" t="n">
        <x:v>1716.18</x:v>
      </x:c>
      <x:c r="E1197" s="13" t="n">
        <x:v>18.06</x:v>
      </x:c>
      <x:c r="F1197" s="13" t="n">
        <x:f>D1197-E1197</x:f>
        <x:v>1698.1200000000001</x:v>
      </x:c>
      <x:c r="G1197" s="3" t="n">
        <x:v>4521</x:v>
      </x:c>
      <x:c r="H1197" s="3" t="n">
        <x:v>43</x:v>
      </x:c>
      <x:c r="I1197" s="3" t="n">
        <x:v>175</x:v>
      </x:c>
      <x:c r="J1197" s="15" t="n">
        <x:f>IF(D1197=0,"n.a.",E1197/D1197)</x:f>
        <x:v>0.010523371674299897</x:v>
      </x:c>
      <x:c r="K1197" s="15" t="n">
        <x:f>F1197/'Datos'!$F$7</x:f>
        <x:v>0.0001734065640354031</x:v>
      </x:c>
      <x:c r="L1197" s="3"/>
    </x:row>
    <x:row r="1198" ht="22" customHeight="1">
      <x:c r="A1198" s="3"/>
      <x:c r="B1198" s="3" t="str">
        <x:v>37340</x:v>
      </x:c>
      <x:c r="C1198" s="3" t="str">
        <x:v>MULTICOLOUR SPRING FLOWER MUG</x:v>
      </x:c>
      <x:c r="D1198" s="13" t="n">
        <x:v>1695.86</x:v>
      </x:c>
      <x:c r="E1198" s="13" t="n">
        <x:v>1.17</x:v>
      </x:c>
      <x:c r="F1198" s="13" t="n">
        <x:f>D1198-E1198</x:f>
        <x:v>1694.6899999999998</x:v>
      </x:c>
      <x:c r="G1198" s="3" t="n">
        <x:v>2544</x:v>
      </x:c>
      <x:c r="H1198" s="3" t="n">
        <x:v>3</x:v>
      </x:c>
      <x:c r="I1198" s="3" t="n">
        <x:v>135</x:v>
      </x:c>
      <x:c r="J1198" s="15" t="n">
        <x:f>IF(D1198=0,"n.a.",E1198/D1198)</x:f>
        <x:v>0.0006899154411331124</x:v>
      </x:c>
      <x:c r="K1198" s="15" t="n">
        <x:f>F1198/'Datos'!$F$7</x:f>
        <x:v>0.00017305630344448993</x:v>
      </x:c>
      <x:c r="L1198" s="3"/>
    </x:row>
    <x:row r="1199" ht="22" customHeight="1">
      <x:c r="A1199" s="3"/>
      <x:c r="B1199" s="3" t="str">
        <x:v>21544</x:v>
      </x:c>
      <x:c r="C1199" s="3" t="str">
        <x:v>SKULLS WATER TRANSFER TATTOOS</x:v>
      </x:c>
      <x:c r="D1199" s="13" t="n">
        <x:v>1690.23</x:v>
      </x:c>
      <x:c r="E1199" s="13" t="n">
        <x:v>0</x:v>
      </x:c>
      <x:c r="F1199" s="13" t="n">
        <x:f>D1199-E1199</x:f>
        <x:v>1690.23</x:v>
      </x:c>
      <x:c r="G1199" s="3" t="n">
        <x:v>1975</x:v>
      </x:c>
      <x:c r="H1199" s="3" t="n">
        <x:v>0</x:v>
      </x:c>
      <x:c r="I1199" s="3" t="n">
        <x:v>174</x:v>
      </x:c>
      <x:c r="J1199" s="15" t="n">
        <x:f>IF(D1199=0,"n.a.",E1199/D1199)</x:f>
        <x:v>0</x:v>
      </x:c>
      <x:c r="K1199" s="15" t="n">
        <x:f>F1199/'Datos'!$F$7</x:f>
        <x:v>0.0001726008625595125</x:v>
      </x:c>
      <x:c r="L1199" s="3"/>
    </x:row>
    <x:row r="1200" ht="22" customHeight="1">
      <x:c r="A1200" s="3"/>
      <x:c r="B1200" s="3" t="str">
        <x:v>21586</x:v>
      </x:c>
      <x:c r="C1200" s="3" t="str">
        <x:v>KINGS CHOICE GIANT TUBE MATCHES</x:v>
      </x:c>
      <x:c r="D1200" s="13" t="n">
        <x:v>1721.85</x:v>
      </x:c>
      <x:c r="E1200" s="13" t="n">
        <x:v>33.15</x:v>
      </x:c>
      <x:c r="F1200" s="13" t="n">
        <x:f>D1200-E1200</x:f>
        <x:v>1688.6999999999998</x:v>
      </x:c>
      <x:c r="G1200" s="3" t="n">
        <x:v>743</x:v>
      </x:c>
      <x:c r="H1200" s="3" t="n">
        <x:v>13</x:v>
      </x:c>
      <x:c r="I1200" s="3" t="n">
        <x:v>67</x:v>
      </x:c>
      <x:c r="J1200" s="15" t="n">
        <x:f>IF(D1200=0,"n.a.",E1200/D1200)</x:f>
        <x:v>0.01925254813137033</x:v>
      </x:c>
      <x:c r="K1200" s="15" t="n">
        <x:f>F1200/'Datos'!$F$7</x:f>
        <x:v>0.00017244462387027134</x:v>
      </x:c>
      <x:c r="L1200" s="3"/>
    </x:row>
    <x:row r="1201" ht="22" customHeight="1">
      <x:c r="A1201" s="3"/>
      <x:c r="B1201" s="3" t="str">
        <x:v>85040A</x:v>
      </x:c>
      <x:c r="C1201" s="3" t="str">
        <x:v>S/4 PINK FLOWER CANDLES IN BOWL</x:v>
      </x:c>
      <x:c r="D1201" s="13" t="n">
        <x:v>1715.9</x:v>
      </x:c>
      <x:c r="E1201" s="13" t="n">
        <x:v>28.05</x:v>
      </x:c>
      <x:c r="F1201" s="13" t="n">
        <x:f>D1201-E1201</x:f>
        <x:v>1687.8500000000001</x:v>
      </x:c>
      <x:c r="G1201" s="3" t="n">
        <x:v>922</x:v>
      </x:c>
      <x:c r="H1201" s="3" t="n">
        <x:v>17</x:v>
      </x:c>
      <x:c r="I1201" s="3" t="n">
        <x:v>185</x:v>
      </x:c>
      <x:c r="J1201" s="15" t="n">
        <x:f>IF(D1201=0,"n.a.",E1201/D1201)</x:f>
        <x:v>0.01634710647473629</x:v>
      </x:c>
      <x:c r="K1201" s="15" t="n">
        <x:f>F1201/'Datos'!$F$7</x:f>
        <x:v>0.00017235782459847074</x:v>
      </x:c>
      <x:c r="L1201" s="3"/>
    </x:row>
    <x:row r="1202" ht="22" customHeight="1">
      <x:c r="A1202" s="3"/>
      <x:c r="B1202" s="3" t="str">
        <x:v>20961</x:v>
      </x:c>
      <x:c r="C1202" s="3" t="str">
        <x:v>STRAWBERRY BATH SPONGE</x:v>
      </x:c>
      <x:c r="D1202" s="13" t="n">
        <x:v>1749.18</x:v>
      </x:c>
      <x:c r="E1202" s="13" t="n">
        <x:v>62.5</x:v>
      </x:c>
      <x:c r="F1202" s="13" t="n">
        <x:f>D1202-E1202</x:f>
        <x:v>1686.68</x:v>
      </x:c>
      <x:c r="G1202" s="3" t="n">
        <x:v>1235</x:v>
      </x:c>
      <x:c r="H1202" s="3" t="n">
        <x:v>50</x:v>
      </x:c>
      <x:c r="I1202" s="3" t="n">
        <x:v>228</x:v>
      </x:c>
      <x:c r="J1202" s="15" t="n">
        <x:f>IF(D1202=0,"n.a.",E1202/D1202)</x:f>
        <x:v>0.03573102825323866</x:v>
      </x:c>
      <x:c r="K1202" s="15" t="n">
        <x:f>F1202/'Datos'!$F$7</x:f>
        <x:v>0.0001722383479537569</x:v>
      </x:c>
      <x:c r="L1202" s="3"/>
    </x:row>
    <x:row r="1203" ht="22" customHeight="1">
      <x:c r="A1203" s="3"/>
      <x:c r="B1203" s="3" t="str">
        <x:v>21207</x:v>
      </x:c>
      <x:c r="C1203" s="3" t="str">
        <x:v>SKULL AND CROSSBONES GARLAND</x:v>
      </x:c>
      <x:c r="D1203" s="13" t="n">
        <x:v>1686.5</x:v>
      </x:c>
      <x:c r="E1203" s="13" t="n">
        <x:v>0</x:v>
      </x:c>
      <x:c r="F1203" s="13" t="n">
        <x:f>D1203-E1203</x:f>
        <x:v>1686.5</x:v>
      </x:c>
      <x:c r="G1203" s="3" t="n">
        <x:v>1068</x:v>
      </x:c>
      <x:c r="H1203" s="3" t="n">
        <x:v>0</x:v>
      </x:c>
      <x:c r="I1203" s="3" t="n">
        <x:v>132</x:v>
      </x:c>
      <x:c r="J1203" s="15" t="n">
        <x:f>IF(D1203=0,"n.a.",E1203/D1203)</x:f>
        <x:v>0</x:v>
      </x:c>
      <x:c r="K1203" s="15" t="n">
        <x:f>F1203/'Datos'!$F$7</x:f>
        <x:v>0.00017221996693149325</x:v>
      </x:c>
      <x:c r="L1203" s="3"/>
    </x:row>
    <x:row r="1204" ht="22" customHeight="1">
      <x:c r="A1204" s="3"/>
      <x:c r="B1204" s="3" t="str">
        <x:v>22789</x:v>
      </x:c>
      <x:c r="C1204" s="3" t="str">
        <x:v>T-LIGHT HOLDER SWEETHEART HANGING</x:v>
      </x:c>
      <x:c r="D1204" s="13" t="n">
        <x:v>1688.22</x:v>
      </x:c>
      <x:c r="E1204" s="13" t="n">
        <x:v>1.95</x:v>
      </x:c>
      <x:c r="F1204" s="13" t="n">
        <x:f>D1204-E1204</x:f>
        <x:v>1686.27</x:v>
      </x:c>
      <x:c r="G1204" s="3" t="n">
        <x:v>860</x:v>
      </x:c>
      <x:c r="H1204" s="3" t="n">
        <x:v>1</x:v>
      </x:c>
      <x:c r="I1204" s="3" t="n">
        <x:v>138</x:v>
      </x:c>
      <x:c r="J1204" s="15" t="n">
        <x:f>IF(D1204=0,"n.a.",E1204/D1204)</x:f>
        <x:v>0.0011550627287912711</x:v>
      </x:c>
      <x:c r="K1204" s="15" t="n">
        <x:f>F1204/'Datos'!$F$7</x:f>
        <x:v>0.00017219648006971188</x:v>
      </x:c>
      <x:c r="L1204" s="3"/>
    </x:row>
    <x:row r="1205" ht="22" customHeight="1">
      <x:c r="A1205" s="3"/>
      <x:c r="B1205" s="3" t="str">
        <x:v>51008</x:v>
      </x:c>
      <x:c r="C1205" s="3" t="str">
        <x:v>AFGHAN SLIPPER SOCK PAIR</x:v>
      </x:c>
      <x:c r="D1205" s="13" t="n">
        <x:v>1690.55</x:v>
      </x:c>
      <x:c r="E1205" s="13" t="n">
        <x:v>6.9</x:v>
      </x:c>
      <x:c r="F1205" s="13" t="n">
        <x:f>D1205-E1205</x:f>
        <x:v>1683.6499999999999</x:v>
      </x:c>
      <x:c r="G1205" s="3" t="n">
        <x:v>519</x:v>
      </x:c>
      <x:c r="H1205" s="3" t="n">
        <x:v>2</x:v>
      </x:c>
      <x:c r="I1205" s="3" t="n">
        <x:v>22</x:v>
      </x:c>
      <x:c r="J1205" s="15" t="n">
        <x:f>IF(D1205=0,"n.a.",E1205/D1205)</x:f>
        <x:v>0.004081511933985981</x:v>
      </x:c>
      <x:c r="K1205" s="15" t="n">
        <x:f>F1205/'Datos'!$F$7</x:f>
        <x:v>0.0001719289340789852</x:v>
      </x:c>
      <x:c r="L1205" s="3"/>
    </x:row>
    <x:row r="1206" ht="22" customHeight="1">
      <x:c r="A1206" s="3"/>
      <x:c r="B1206" s="3" t="str">
        <x:v>21812</x:v>
      </x:c>
      <x:c r="C1206" s="3" t="str">
        <x:v>GARLAND WITH HEARTS AND BELLS</x:v>
      </x:c>
      <x:c r="D1206" s="13" t="n">
        <x:v>1751.22</x:v>
      </x:c>
      <x:c r="E1206" s="13" t="n">
        <x:v>69.3</x:v>
      </x:c>
      <x:c r="F1206" s="13" t="n">
        <x:f>D1206-E1206</x:f>
        <x:v>1681.92</x:v>
      </x:c>
      <x:c r="G1206" s="3" t="n">
        <x:v>394</x:v>
      </x:c>
      <x:c r="H1206" s="3" t="n">
        <x:v>14</x:v>
      </x:c>
      <x:c r="I1206" s="3" t="n">
        <x:v>100</x:v>
      </x:c>
      <x:c r="J1206" s="15" t="n">
        <x:f>IF(D1206=0,"n.a.",E1206/D1206)</x:f>
        <x:v>0.039572412375372595</x:v>
      </x:c>
      <x:c r="K1206" s="15" t="n">
        <x:f>F1206/'Datos'!$F$7</x:f>
        <x:v>0.00017175227203167337</x:v>
      </x:c>
      <x:c r="L1206" s="3"/>
    </x:row>
    <x:row r="1207" ht="22" customHeight="1">
      <x:c r="A1207" s="3"/>
      <x:c r="B1207" s="3" t="str">
        <x:v>22674</x:v>
      </x:c>
      <x:c r="C1207" s="3" t="str">
        <x:v>FRENCH TOILET SIGN BLUE METAL</x:v>
      </x:c>
      <x:c r="D1207" s="13" t="n">
        <x:v>1697.72</x:v>
      </x:c>
      <x:c r="E1207" s="13" t="n">
        <x:v>16.25</x:v>
      </x:c>
      <x:c r="F1207" s="13" t="n">
        <x:f>D1207-E1207</x:f>
        <x:v>1681.47</x:v>
      </x:c>
      <x:c r="G1207" s="3" t="n">
        <x:v>1350</x:v>
      </x:c>
      <x:c r="H1207" s="3" t="n">
        <x:v>13</x:v>
      </x:c>
      <x:c r="I1207" s="3" t="n">
        <x:v>187</x:v>
      </x:c>
      <x:c r="J1207" s="15" t="n">
        <x:f>IF(D1207=0,"n.a.",E1207/D1207)</x:f>
        <x:v>0.009571660815682208</x:v>
      </x:c>
      <x:c r="K1207" s="15" t="n">
        <x:f>F1207/'Datos'!$F$7</x:f>
        <x:v>0.0001717063194760142</x:v>
      </x:c>
      <x:c r="L1207" s="3"/>
    </x:row>
    <x:row r="1208" ht="22" customHeight="1">
      <x:c r="A1208" s="3"/>
      <x:c r="B1208" s="3" t="str">
        <x:v>23368</x:v>
      </x:c>
      <x:c r="C1208" s="3" t="str">
        <x:v>SET 12 COLOUR PENCILS DOLLY GIRL</x:v>
      </x:c>
      <x:c r="D1208" s="13" t="n">
        <x:v>1681.5</x:v>
      </x:c>
      <x:c r="E1208" s="13" t="n">
        <x:v>3.9</x:v>
      </x:c>
      <x:c r="F1208" s="13" t="n">
        <x:f>D1208-E1208</x:f>
        <x:v>1677.6</x:v>
      </x:c>
      <x:c r="G1208" s="3" t="n">
        <x:v>2382</x:v>
      </x:c>
      <x:c r="H1208" s="3" t="n">
        <x:v>6</x:v>
      </x:c>
      <x:c r="I1208" s="3" t="n">
        <x:v>232</x:v>
      </x:c>
      <x:c r="J1208" s="15" t="n">
        <x:f>IF(D1208=0,"n.a.",E1208/D1208)</x:f>
        <x:v>0.0023193577163247102</x:v>
      </x:c>
      <x:c r="K1208" s="15" t="n">
        <x:f>F1208/'Datos'!$F$7</x:f>
        <x:v>0.00017131112749734542</x:v>
      </x:c>
      <x:c r="L1208" s="3"/>
    </x:row>
    <x:row r="1209" ht="22" customHeight="1">
      <x:c r="A1209" s="3"/>
      <x:c r="B1209" s="3" t="str">
        <x:v>16161U</x:v>
      </x:c>
      <x:c r="C1209" s="3" t="str">
        <x:v>WRAP SUKI AND FRIENDS</x:v>
      </x:c>
      <x:c r="D1209" s="13" t="n">
        <x:v>1687.5</x:v>
      </x:c>
      <x:c r="E1209" s="13" t="n">
        <x:v>10.5</x:v>
      </x:c>
      <x:c r="F1209" s="13" t="n">
        <x:f>D1209-E1209</x:f>
        <x:v>1677</x:v>
      </x:c>
      <x:c r="G1209" s="3" t="n">
        <x:v>4075</x:v>
      </x:c>
      <x:c r="H1209" s="3" t="n">
        <x:v>25</x:v>
      </x:c>
      <x:c r="I1209" s="3" t="n">
        <x:v>134</x:v>
      </x:c>
      <x:c r="J1209" s="15" t="n">
        <x:f>IF(D1209=0,"n.a.",E1209/D1209)</x:f>
        <x:v>0.006222222222222222</x:v>
      </x:c>
      <x:c r="K1209" s="15" t="n">
        <x:f>F1209/'Datos'!$F$7</x:f>
        <x:v>0.0001712498574231332</x:v>
      </x:c>
      <x:c r="L1209" s="3"/>
    </x:row>
    <x:row r="1210" ht="22" customHeight="1">
      <x:c r="A1210" s="3"/>
      <x:c r="B1210" s="3" t="str">
        <x:v>22419</x:v>
      </x:c>
      <x:c r="C1210" s="3" t="str">
        <x:v>LIPSTICK PEN RED</x:v>
      </x:c>
      <x:c r="D1210" s="13" t="n">
        <x:v>1676.88</x:v>
      </x:c>
      <x:c r="E1210" s="13" t="n">
        <x:v>2.52</x:v>
      </x:c>
      <x:c r="F1210" s="13" t="n">
        <x:f>D1210-E1210</x:f>
        <x:v>1674.3600000000001</x:v>
      </x:c>
      <x:c r="G1210" s="3" t="n">
        <x:v>3347</x:v>
      </x:c>
      <x:c r="H1210" s="3" t="n">
        <x:v>6</x:v>
      </x:c>
      <x:c r="I1210" s="3" t="n">
        <x:v>272</x:v>
      </x:c>
      <x:c r="J1210" s="15" t="n">
        <x:f>IF(D1210=0,"n.a.",E1210/D1210)</x:f>
        <x:v>0.0015027908973808501</x:v>
      </x:c>
      <x:c r="K1210" s="15" t="n">
        <x:f>F1210/'Datos'!$F$7</x:f>
        <x:v>0.0001709802690965995</x:v>
      </x:c>
      <x:c r="L1210" s="3"/>
    </x:row>
    <x:row r="1211" ht="22" customHeight="1">
      <x:c r="A1211" s="3"/>
      <x:c r="B1211" s="3" t="str">
        <x:v>22335</x:v>
      </x:c>
      <x:c r="C1211" s="3" t="str">
        <x:v>HEART DECORATION PAINTED ZINC</x:v>
      </x:c>
      <x:c r="D1211" s="13" t="n">
        <x:v>1672.79</x:v>
      </x:c>
      <x:c r="E1211" s="13" t="n">
        <x:v>0</x:v>
      </x:c>
      <x:c r="F1211" s="13" t="n">
        <x:f>D1211-E1211</x:f>
        <x:v>1672.79</x:v>
      </x:c>
      <x:c r="G1211" s="3" t="n">
        <x:v>2386</x:v>
      </x:c>
      <x:c r="H1211" s="3" t="n">
        <x:v>0</x:v>
      </x:c>
      <x:c r="I1211" s="3" t="n">
        <x:v>225</x:v>
      </x:c>
      <x:c r="J1211" s="15" t="n">
        <x:f>IF(D1211=0,"n.a.",E1211/D1211)</x:f>
        <x:v>0</x:v>
      </x:c>
      <x:c r="K1211" s="15" t="n">
        <x:f>F1211/'Datos'!$F$7</x:f>
        <x:v>0.0001708199457357442</x:v>
      </x:c>
      <x:c r="L1211" s="3"/>
    </x:row>
    <x:row r="1212" ht="22" customHeight="1">
      <x:c r="A1212" s="3"/>
      <x:c r="B1212" s="3" t="str">
        <x:v>23366</x:v>
      </x:c>
      <x:c r="C1212" s="3" t="str">
        <x:v>SET 12 COLOURING PENCILS DOILY</x:v>
      </x:c>
      <x:c r="D1212" s="13" t="n">
        <x:v>1670.55</x:v>
      </x:c>
      <x:c r="E1212" s="13" t="n">
        <x:v>0</x:v>
      </x:c>
      <x:c r="F1212" s="13" t="n">
        <x:f>D1212-E1212</x:f>
        <x:v>1670.55</x:v>
      </x:c>
      <x:c r="G1212" s="3" t="n">
        <x:v>2253</x:v>
      </x:c>
      <x:c r="H1212" s="3" t="n">
        <x:v>0</x:v>
      </x:c>
      <x:c r="I1212" s="3" t="n">
        <x:v>195</x:v>
      </x:c>
      <x:c r="J1212" s="15" t="n">
        <x:f>IF(D1212=0,"n.a.",E1212/D1212)</x:f>
        <x:v>0</x:v>
      </x:c>
      <x:c r="K1212" s="15" t="n">
        <x:f>F1212/'Datos'!$F$7</x:f>
        <x:v>0.00017059120412535192</x:v>
      </x:c>
      <x:c r="L1212" s="3"/>
    </x:row>
    <x:row r="1213" ht="22" customHeight="1">
      <x:c r="A1213" s="3"/>
      <x:c r="B1213" s="3" t="str">
        <x:v>22076</x:v>
      </x:c>
      <x:c r="C1213" s="3" t="str">
        <x:v>6 RIBBONS EMPIRE</x:v>
      </x:c>
      <x:c r="D1213" s="13" t="n">
        <x:v>1669.53</x:v>
      </x:c>
      <x:c r="E1213" s="13" t="n">
        <x:v>0</x:v>
      </x:c>
      <x:c r="F1213" s="13" t="n">
        <x:f>D1213-E1213</x:f>
        <x:v>1669.53</x:v>
      </x:c>
      <x:c r="G1213" s="3" t="n">
        <x:v>1260</x:v>
      </x:c>
      <x:c r="H1213" s="3" t="n">
        <x:v>0</x:v>
      </x:c>
      <x:c r="I1213" s="3" t="n">
        <x:v>225</x:v>
      </x:c>
      <x:c r="J1213" s="15" t="n">
        <x:f>IF(D1213=0,"n.a.",E1213/D1213)</x:f>
        <x:v>0</x:v>
      </x:c>
      <x:c r="K1213" s="15" t="n">
        <x:f>F1213/'Datos'!$F$7</x:f>
        <x:v>0.00017048704499919118</x:v>
      </x:c>
      <x:c r="L1213" s="3"/>
    </x:row>
    <x:row r="1214" ht="22" customHeight="1">
      <x:c r="A1214" s="3"/>
      <x:c r="B1214" s="3" t="str">
        <x:v>23505</x:v>
      </x:c>
      <x:c r="C1214" s="3" t="str">
        <x:v>PLAYING CARDS I LOVE LONDON</x:v>
      </x:c>
      <x:c r="D1214" s="13" t="n">
        <x:v>1660.04</x:v>
      </x:c>
      <x:c r="E1214" s="13" t="n">
        <x:v>0</x:v>
      </x:c>
      <x:c r="F1214" s="13" t="n">
        <x:f>D1214-E1214</x:f>
        <x:v>1660.04</x:v>
      </x:c>
      <x:c r="G1214" s="3" t="n">
        <x:v>1207</x:v>
      </x:c>
      <x:c r="H1214" s="3" t="n">
        <x:v>0</x:v>
      </x:c>
      <x:c r="I1214" s="3" t="n">
        <x:v>115</x:v>
      </x:c>
      <x:c r="J1214" s="15" t="n">
        <x:f>IF(D1214=0,"n.a.",E1214/D1214)</x:f>
        <x:v>0</x:v>
      </x:c>
      <x:c r="K1214" s="15" t="n">
        <x:f>F1214/'Datos'!$F$7</x:f>
        <x:v>0.00016951795665873468</x:v>
      </x:c>
      <x:c r="L1214" s="3"/>
    </x:row>
    <x:row r="1215" ht="22" customHeight="1">
      <x:c r="A1215" s="3"/>
      <x:c r="B1215" s="3" t="str">
        <x:v>21578</x:v>
      </x:c>
      <x:c r="C1215" s="3" t="str">
        <x:v>WOODLAND DESIGN COTTON TOTE BAG</x:v>
      </x:c>
      <x:c r="D1215" s="13" t="n">
        <x:v>1664.51</x:v>
      </x:c>
      <x:c r="E1215" s="13" t="n">
        <x:v>4.5</x:v>
      </x:c>
      <x:c r="F1215" s="13" t="n">
        <x:f>D1215-E1215</x:f>
        <x:v>1660.01</x:v>
      </x:c>
      <x:c r="G1215" s="3" t="n">
        <x:v>749</x:v>
      </x:c>
      <x:c r="H1215" s="3" t="n">
        <x:v>2</x:v>
      </x:c>
      <x:c r="I1215" s="3" t="n">
        <x:v>127</x:v>
      </x:c>
      <x:c r="J1215" s="15" t="n">
        <x:f>IF(D1215=0,"n.a.",E1215/D1215)</x:f>
        <x:v>0.0027034983268349245</x:v>
      </x:c>
      <x:c r="K1215" s="15" t="n">
        <x:f>F1215/'Datos'!$F$7</x:f>
        <x:v>0.00016951489315502406</x:v>
      </x:c>
      <x:c r="L1215" s="3"/>
    </x:row>
    <x:row r="1216" ht="22" customHeight="1">
      <x:c r="A1216" s="3"/>
      <x:c r="B1216" s="3" t="str">
        <x:v>22479</x:v>
      </x:c>
      <x:c r="C1216" s="3" t="str">
        <x:v>DAISY GARDEN MARKER</x:v>
      </x:c>
      <x:c r="D1216" s="13" t="n">
        <x:v>1658.57</x:v>
      </x:c>
      <x:c r="E1216" s="13" t="n">
        <x:v>0</x:v>
      </x:c>
      <x:c r="F1216" s="13" t="n">
        <x:f>D1216-E1216</x:f>
        <x:v>1658.57</x:v>
      </x:c>
      <x:c r="G1216" s="3" t="n">
        <x:v>1139</x:v>
      </x:c>
      <x:c r="H1216" s="3" t="n">
        <x:v>0</x:v>
      </x:c>
      <x:c r="I1216" s="3" t="n">
        <x:v>98</x:v>
      </x:c>
      <x:c r="J1216" s="15" t="n">
        <x:f>IF(D1216=0,"n.a.",E1216/D1216)</x:f>
        <x:v>0</x:v>
      </x:c>
      <x:c r="K1216" s="15" t="n">
        <x:f>F1216/'Datos'!$F$7</x:f>
        <x:v>0.00016936784497691477</x:v>
      </x:c>
      <x:c r="L1216" s="3"/>
    </x:row>
    <x:row r="1217" ht="22" customHeight="1">
      <x:c r="A1217" s="3"/>
      <x:c r="B1217" s="3" t="str">
        <x:v>22220</x:v>
      </x:c>
      <x:c r="C1217" s="3" t="str">
        <x:v>CAKE STAND LOVEBIRD 2 TIER WHITE</x:v>
      </x:c>
      <x:c r="D1217" s="13" t="n">
        <x:v>1859.2</x:v>
      </x:c>
      <x:c r="E1217" s="13" t="n">
        <x:v>201.5</x:v>
      </x:c>
      <x:c r="F1217" s="13" t="n">
        <x:f>D1217-E1217</x:f>
        <x:v>1657.7</x:v>
      </x:c>
      <x:c r="G1217" s="3" t="n">
        <x:v>232</x:v>
      </x:c>
      <x:c r="H1217" s="3" t="n">
        <x:v>22</x:v>
      </x:c>
      <x:c r="I1217" s="3" t="n">
        <x:v>86</x:v>
      </x:c>
      <x:c r="J1217" s="15" t="n">
        <x:f>IF(D1217=0,"n.a.",E1217/D1217)</x:f>
        <x:v>0.10837994836488812</x:v>
      </x:c>
      <x:c r="K1217" s="15" t="n">
        <x:f>F1217/'Datos'!$F$7</x:f>
        <x:v>0.00016927900336930705</x:v>
      </x:c>
      <x:c r="L1217" s="3"/>
    </x:row>
    <x:row r="1218" ht="22" customHeight="1">
      <x:c r="A1218" s="3"/>
      <x:c r="B1218" s="3" t="str">
        <x:v>84795B</x:v>
      </x:c>
      <x:c r="C1218" s="3" t="str">
        <x:v>SUNSET CHECK HAMMOCK</x:v>
      </x:c>
      <x:c r="D1218" s="13" t="n">
        <x:v>1657.42</x:v>
      </x:c>
      <x:c r="E1218" s="13" t="n">
        <x:v>0</x:v>
      </x:c>
      <x:c r="F1218" s="13" t="n">
        <x:f>D1218-E1218</x:f>
        <x:v>1657.42</x:v>
      </x:c>
      <x:c r="G1218" s="3" t="n">
        <x:v>192</x:v>
      </x:c>
      <x:c r="H1218" s="3" t="n">
        <x:v>0</x:v>
      </x:c>
      <x:c r="I1218" s="3" t="n">
        <x:v>62</x:v>
      </x:c>
      <x:c r="J1218" s="15" t="n">
        <x:f>IF(D1218=0,"n.a.",E1218/D1218)</x:f>
        <x:v>0</x:v>
      </x:c>
      <x:c r="K1218" s="15" t="n">
        <x:f>F1218/'Datos'!$F$7</x:f>
        <x:v>0.00016925041066800803</x:v>
      </x:c>
      <x:c r="L1218" s="3"/>
    </x:row>
    <x:row r="1219" ht="22" customHeight="1">
      <x:c r="A1219" s="3"/>
      <x:c r="B1219" s="3" t="str">
        <x:v>85132A</x:v>
      </x:c>
      <x:c r="C1219" s="3" t="str">
        <x:v>CHARLIE + LOLA BISCUITS TINS</x:v>
      </x:c>
      <x:c r="D1219" s="13" t="n">
        <x:v>1657.87</x:v>
      </x:c>
      <x:c r="E1219" s="13" t="n">
        <x:v>3.9</x:v>
      </x:c>
      <x:c r="F1219" s="13" t="n">
        <x:f>D1219-E1219</x:f>
        <x:v>1653.9699999999998</x:v>
      </x:c>
      <x:c r="G1219" s="3" t="n">
        <x:v>555</x:v>
      </x:c>
      <x:c r="H1219" s="3" t="n">
        <x:v>2</x:v>
      </x:c>
      <x:c r="I1219" s="3" t="n">
        <x:v>118</x:v>
      </x:c>
      <x:c r="J1219" s="15" t="n">
        <x:f>IF(D1219=0,"n.a.",E1219/D1219)</x:f>
        <x:v>0.0023524160519220448</x:v>
      </x:c>
      <x:c r="K1219" s="15" t="n">
        <x:f>F1219/'Datos'!$F$7</x:f>
        <x:v>0.00016889810774128777</x:v>
      </x:c>
      <x:c r="L1219" s="3"/>
    </x:row>
    <x:row r="1220" ht="22" customHeight="1">
      <x:c r="A1220" s="3"/>
      <x:c r="B1220" s="3" t="str">
        <x:v>22913</x:v>
      </x:c>
      <x:c r="C1220" s="3" t="str">
        <x:v>RED COAT RACK PARIS FASHION</x:v>
      </x:c>
      <x:c r="D1220" s="13" t="n">
        <x:v>1673.15</x:v>
      </x:c>
      <x:c r="E1220" s="13" t="n">
        <x:v>19.8</x:v>
      </x:c>
      <x:c r="F1220" s="13" t="n">
        <x:f>D1220-E1220</x:f>
        <x:v>1653.3500000000001</x:v>
      </x:c>
      <x:c r="G1220" s="3" t="n">
        <x:v>352</x:v>
      </x:c>
      <x:c r="H1220" s="3" t="n">
        <x:v>4</x:v>
      </x:c>
      <x:c r="I1220" s="3" t="n">
        <x:v>112</x:v>
      </x:c>
      <x:c r="J1220" s="15" t="n">
        <x:f>IF(D1220=0,"n.a.",E1220/D1220)</x:f>
        <x:v>0.011833965872754983</x:v>
      </x:c>
      <x:c r="K1220" s="15" t="n">
        <x:f>F1220/'Datos'!$F$7</x:f>
        <x:v>0.00016883479533126854</x:v>
      </x:c>
      <x:c r="L1220" s="3"/>
    </x:row>
    <x:row r="1221" ht="22" customHeight="1">
      <x:c r="A1221" s="3"/>
      <x:c r="B1221" s="3" t="str">
        <x:v>21981</x:v>
      </x:c>
      <x:c r="C1221" s="3" t="str">
        <x:v>PACK OF 12 WOODLAND TISSUES</x:v>
      </x:c>
      <x:c r="D1221" s="13" t="n">
        <x:v>1655.36</x:v>
      </x:c>
      <x:c r="E1221" s="13" t="n">
        <x:v>2.73</x:v>
      </x:c>
      <x:c r="F1221" s="13" t="n">
        <x:f>D1221-E1221</x:f>
        <x:v>1652.6299999999999</x:v>
      </x:c>
      <x:c r="G1221" s="3" t="n">
        <x:v>5482</x:v>
      </x:c>
      <x:c r="H1221" s="3" t="n">
        <x:v>7</x:v>
      </x:c>
      <x:c r="I1221" s="3" t="n">
        <x:v>271</x:v>
      </x:c>
      <x:c r="J1221" s="15" t="n">
        <x:f>IF(D1221=0,"n.a.",E1221/D1221)</x:f>
        <x:v>0.0016491880920162382</x:v>
      </x:c>
      <x:c r="K1221" s="15" t="n">
        <x:f>F1221/'Datos'!$F$7</x:f>
        <x:v>0.00016876127124221385</x:v>
      </x:c>
      <x:c r="L1221" s="3"/>
    </x:row>
    <x:row r="1222" ht="22" customHeight="1">
      <x:c r="A1222" s="3"/>
      <x:c r="B1222" s="3" t="str">
        <x:v>21111</x:v>
      </x:c>
      <x:c r="C1222" s="3" t="str">
        <x:v>SWISS ROLL TOWEL, CHOCOLATE SPOTS</x:v>
      </x:c>
      <x:c r="D1222" s="13" t="n">
        <x:v>1652.27</x:v>
      </x:c>
      <x:c r="E1222" s="13" t="n">
        <x:v>0</x:v>
      </x:c>
      <x:c r="F1222" s="13" t="n">
        <x:f>D1222-E1222</x:f>
        <x:v>1652.27</x:v>
      </x:c>
      <x:c r="G1222" s="3" t="n">
        <x:v>901</x:v>
      </x:c>
      <x:c r="H1222" s="3" t="n">
        <x:v>0</x:v>
      </x:c>
      <x:c r="I1222" s="3" t="n">
        <x:v>94</x:v>
      </x:c>
      <x:c r="J1222" s="15" t="n">
        <x:f>IF(D1222=0,"n.a.",E1222/D1222)</x:f>
        <x:v>0</x:v>
      </x:c>
      <x:c r="K1222" s="15" t="n">
        <x:f>F1222/'Datos'!$F$7</x:f>
        <x:v>0.00016872450919768652</x:v>
      </x:c>
      <x:c r="L1222" s="3"/>
    </x:row>
    <x:row r="1223" ht="22" customHeight="1">
      <x:c r="A1223" s="3"/>
      <x:c r="B1223" s="3" t="str">
        <x:v>23270</x:v>
      </x:c>
      <x:c r="C1223" s="3" t="str">
        <x:v>SET OF 2 CERAMIC PAINTED HEARTS</x:v>
      </x:c>
      <x:c r="D1223" s="13" t="n">
        <x:v>1659.37</x:v>
      </x:c>
      <x:c r="E1223" s="13" t="n">
        <x:v>8.7</x:v>
      </x:c>
      <x:c r="F1223" s="13" t="n">
        <x:f>D1223-E1223</x:f>
        <x:v>1650.6699999999998</x:v>
      </x:c>
      <x:c r="G1223" s="3" t="n">
        <x:v>1183</x:v>
      </x:c>
      <x:c r="H1223" s="3" t="n">
        <x:v>6</x:v>
      </x:c>
      <x:c r="I1223" s="3" t="n">
        <x:v>125</x:v>
      </x:c>
      <x:c r="J1223" s="15" t="n">
        <x:f>IF(D1223=0,"n.a.",E1223/D1223)</x:f>
        <x:v>0.0052429536510844475</x:v>
      </x:c>
      <x:c r="K1223" s="15" t="n">
        <x:f>F1223/'Datos'!$F$7</x:f>
        <x:v>0.00016856112233312062</x:v>
      </x:c>
      <x:c r="L1223" s="3"/>
    </x:row>
    <x:row r="1224" ht="22" customHeight="1">
      <x:c r="A1224" s="3"/>
      <x:c r="B1224" s="3" t="str">
        <x:v>21577</x:v>
      </x:c>
      <x:c r="C1224" s="3" t="str">
        <x:v>SAVE THE PLANET COTTON TOTE BAG</x:v>
      </x:c>
      <x:c r="D1224" s="13" t="n">
        <x:v>1664.9</x:v>
      </x:c>
      <x:c r="E1224" s="13" t="n">
        <x:v>15.75</x:v>
      </x:c>
      <x:c r="F1224" s="13" t="n">
        <x:f>D1224-E1224</x:f>
        <x:v>1649.15</x:v>
      </x:c>
      <x:c r="G1224" s="3" t="n">
        <x:v>720</x:v>
      </x:c>
      <x:c r="H1224" s="3" t="n">
        <x:v>7</x:v>
      </x:c>
      <x:c r="I1224" s="3" t="n">
        <x:v>175</x:v>
      </x:c>
      <x:c r="J1224" s="15" t="n">
        <x:f>IF(D1224=0,"n.a.",E1224/D1224)</x:f>
        <x:v>0.009460027629287044</x:v>
      </x:c>
      <x:c r="K1224" s="15" t="n">
        <x:f>F1224/'Datos'!$F$7</x:f>
        <x:v>0.00016840590481178303</x:v>
      </x:c>
      <x:c r="L1224" s="3"/>
    </x:row>
    <x:row r="1225" ht="22" customHeight="1">
      <x:c r="A1225" s="3"/>
      <x:c r="B1225" s="3" t="str">
        <x:v>21845</x:v>
      </x:c>
      <x:c r="C1225" s="3" t="str">
        <x:v>DAIRY MAID STRIPE MUG</x:v>
      </x:c>
      <x:c r="D1225" s="13" t="n">
        <x:v>1721.09</x:v>
      </x:c>
      <x:c r="E1225" s="13" t="n">
        <x:v>75.64</x:v>
      </x:c>
      <x:c r="F1225" s="13" t="n">
        <x:f>D1225-E1225</x:f>
        <x:v>1645.4499999999998</x:v>
      </x:c>
      <x:c r="G1225" s="3" t="n">
        <x:v>1907</x:v>
      </x:c>
      <x:c r="H1225" s="3" t="n">
        <x:v>52</x:v>
      </x:c>
      <x:c r="I1225" s="3" t="n">
        <x:v>82</x:v>
      </x:c>
      <x:c r="J1225" s="15" t="n">
        <x:f>IF(D1225=0,"n.a.",E1225/D1225)</x:f>
        <x:v>0.04394889285278516</x:v>
      </x:c>
      <x:c r="K1225" s="15" t="n">
        <x:f>F1225/'Datos'!$F$7</x:f>
        <x:v>0.00016802807268747436</x:v>
      </x:c>
      <x:c r="L1225" s="3"/>
    </x:row>
    <x:row r="1226" ht="22" customHeight="1">
      <x:c r="A1226" s="3"/>
      <x:c r="B1226" s="3" t="str">
        <x:v>22526</x:v>
      </x:c>
      <x:c r="C1226" s="3" t="str">
        <x:v>WHEELBARROW FOR CHILDREN</x:v>
      </x:c>
      <x:c r="D1226" s="13" t="n">
        <x:v>1720.26</x:v>
      </x:c>
      <x:c r="E1226" s="13" t="n">
        <x:v>76.5</x:v>
      </x:c>
      <x:c r="F1226" s="13" t="n">
        <x:f>D1226-E1226</x:f>
        <x:v>1643.76</x:v>
      </x:c>
      <x:c r="G1226" s="3" t="n">
        <x:v>125</x:v>
      </x:c>
      <x:c r="H1226" s="3" t="n">
        <x:v>6</x:v>
      </x:c>
      <x:c r="I1226" s="3" t="n">
        <x:v>79</x:v>
      </x:c>
      <x:c r="J1226" s="15" t="n">
        <x:f>IF(D1226=0,"n.a.",E1226/D1226)</x:f>
        <x:v>0.044470021973422626</x:v>
      </x:c>
      <x:c r="K1226" s="15" t="n">
        <x:f>F1226/'Datos'!$F$7</x:f>
        <x:v>0.00016785549531177666</x:v>
      </x:c>
      <x:c r="L1226" s="3"/>
    </x:row>
    <x:row r="1227" ht="22" customHeight="1">
      <x:c r="A1227" s="3"/>
      <x:c r="B1227" s="3" t="str">
        <x:v>22161</x:v>
      </x:c>
      <x:c r="C1227" s="3" t="str">
        <x:v>HEART DECORATION RUSTIC HANGING</x:v>
      </x:c>
      <x:c r="D1227" s="13" t="n">
        <x:v>1647.16</x:v>
      </x:c>
      <x:c r="E1227" s="13" t="n">
        <x:v>4.56</x:v>
      </x:c>
      <x:c r="F1227" s="13" t="n">
        <x:f>D1227-E1227</x:f>
        <x:v>1642.6000000000001</x:v>
      </x:c>
      <x:c r="G1227" s="3" t="n">
        <x:v>5088</x:v>
      </x:c>
      <x:c r="H1227" s="3" t="n">
        <x:v>24</x:v>
      </x:c>
      <x:c r="I1227" s="3" t="n">
        <x:v>340</x:v>
      </x:c>
      <x:c r="J1227" s="15" t="n">
        <x:f>IF(D1227=0,"n.a.",E1227/D1227)</x:f>
        <x:v>0.002768401369630151</x:v>
      </x:c>
      <x:c r="K1227" s="15" t="n">
        <x:f>F1227/'Datos'!$F$7</x:f>
        <x:v>0.0001677370398349664</x:v>
      </x:c>
      <x:c r="L1227" s="3"/>
    </x:row>
    <x:row r="1228" ht="22" customHeight="1">
      <x:c r="A1228" s="3"/>
      <x:c r="B1228" s="3" t="str">
        <x:v>23273</x:v>
      </x:c>
      <x:c r="C1228" s="3" t="str">
        <x:v>HEART T-LIGHT HOLDER WILLIE WINKIE</x:v>
      </x:c>
      <x:c r="D1228" s="13" t="n">
        <x:v>1649.05</x:v>
      </x:c>
      <x:c r="E1228" s="13" t="n">
        <x:v>6.6</x:v>
      </x:c>
      <x:c r="F1228" s="13" t="n">
        <x:f>D1228-E1228</x:f>
        <x:v>1642.45</x:v>
      </x:c>
      <x:c r="G1228" s="3" t="n">
        <x:v>969</x:v>
      </x:c>
      <x:c r="H1228" s="3" t="n">
        <x:v>4</x:v>
      </x:c>
      <x:c r="I1228" s="3" t="n">
        <x:v>112</x:v>
      </x:c>
      <x:c r="J1228" s="15" t="n">
        <x:f>IF(D1228=0,"n.a.",E1228/D1228)</x:f>
        <x:v>0.004002304357054062</x:v>
      </x:c>
      <x:c r="K1228" s="15" t="n">
        <x:f>F1228/'Datos'!$F$7</x:f>
        <x:v>0.00016772172231641332</x:v>
      </x:c>
      <x:c r="L1228" s="3"/>
    </x:row>
    <x:row r="1229" ht="22" customHeight="1">
      <x:c r="A1229" s="3"/>
      <x:c r="B1229" s="3" t="str">
        <x:v>85034B</x:v>
      </x:c>
      <x:c r="C1229" s="3" t="str">
        <x:v>3 WHITE CHOC MORRIS BOXED CANDLES</x:v>
      </x:c>
      <x:c r="D1229" s="13" t="n">
        <x:v>1642.07</x:v>
      </x:c>
      <x:c r="E1229" s="13" t="n">
        <x:v>0</x:v>
      </x:c>
      <x:c r="F1229" s="13" t="n">
        <x:f>D1229-E1229</x:f>
        <x:v>1642.07</x:v>
      </x:c>
      <x:c r="G1229" s="3" t="n">
        <x:v>950</x:v>
      </x:c>
      <x:c r="H1229" s="3" t="n">
        <x:v>0</x:v>
      </x:c>
      <x:c r="I1229" s="3" t="n">
        <x:v>121</x:v>
      </x:c>
      <x:c r="J1229" s="15" t="n">
        <x:f>IF(D1229=0,"n.a.",E1229/D1229)</x:f>
        <x:v>0</x:v>
      </x:c>
      <x:c r="K1229" s="15" t="n">
        <x:f>F1229/'Datos'!$F$7</x:f>
        <x:v>0.00016768291793607893</x:v>
      </x:c>
      <x:c r="L1229" s="3"/>
    </x:row>
    <x:row r="1230" ht="22" customHeight="1">
      <x:c r="A1230" s="3"/>
      <x:c r="B1230" s="3" t="str">
        <x:v>22332</x:v>
      </x:c>
      <x:c r="C1230" s="3" t="str">
        <x:v>SKULLS PARTY BAG + STICKER SET</x:v>
      </x:c>
      <x:c r="D1230" s="13" t="n">
        <x:v>1679.65</x:v>
      </x:c>
      <x:c r="E1230" s="13" t="n">
        <x:v>39.6</x:v>
      </x:c>
      <x:c r="F1230" s="13" t="n">
        <x:f>D1230-E1230</x:f>
        <x:v>1640.0500000000002</x:v>
      </x:c>
      <x:c r="G1230" s="3" t="n">
        <x:v>1033</x:v>
      </x:c>
      <x:c r="H1230" s="3" t="n">
        <x:v>24</x:v>
      </x:c>
      <x:c r="I1230" s="3" t="n">
        <x:v>148</x:v>
      </x:c>
      <x:c r="J1230" s="15" t="n">
        <x:f>IF(D1230=0,"n.a.",E1230/D1230)</x:f>
        <x:v>0.023576340308992944</x:v>
      </x:c>
      <x:c r="K1230" s="15" t="n">
        <x:f>F1230/'Datos'!$F$7</x:f>
        <x:v>0.0001674766420195645</x:v>
      </x:c>
      <x:c r="L1230" s="3"/>
    </x:row>
    <x:row r="1231" ht="22" customHeight="1">
      <x:c r="A1231" s="3"/>
      <x:c r="B1231" s="3" t="str">
        <x:v>22375</x:v>
      </x:c>
      <x:c r="C1231" s="3" t="str">
        <x:v>AIRLINE BAG VINTAGE JET SET BROWN</x:v>
      </x:c>
      <x:c r="D1231" s="13" t="n">
        <x:v>1639.29</x:v>
      </x:c>
      <x:c r="E1231" s="13" t="n">
        <x:v>0</x:v>
      </x:c>
      <x:c r="F1231" s="13" t="n">
        <x:f>D1231-E1231</x:f>
        <x:v>1639.29</x:v>
      </x:c>
      <x:c r="G1231" s="3" t="n">
        <x:v>349</x:v>
      </x:c>
      <x:c r="H1231" s="3" t="n">
        <x:v>0</x:v>
      </x:c>
      <x:c r="I1231" s="3" t="n">
        <x:v>167</x:v>
      </x:c>
      <x:c r="J1231" s="15" t="n">
        <x:f>IF(D1231=0,"n.a.",E1231/D1231)</x:f>
        <x:v>0</x:v>
      </x:c>
      <x:c r="K1231" s="15" t="n">
        <x:f>F1231/'Datos'!$F$7</x:f>
        <x:v>0.00016739903325889568</x:v>
      </x:c>
      <x:c r="L1231" s="3"/>
    </x:row>
    <x:row r="1232" ht="22" customHeight="1">
      <x:c r="A1232" s="3"/>
      <x:c r="B1232" s="3" t="str">
        <x:v>22853</x:v>
      </x:c>
      <x:c r="C1232" s="3" t="str">
        <x:v>CAT BOWL VINTAGE CREAM</x:v>
      </x:c>
      <x:c r="D1232" s="13" t="n">
        <x:v>1655.96</x:v>
      </x:c>
      <x:c r="E1232" s="13" t="n">
        <x:v>19.5</x:v>
      </x:c>
      <x:c r="F1232" s="13" t="n">
        <x:f>D1232-E1232</x:f>
        <x:v>1636.46</x:v>
      </x:c>
      <x:c r="G1232" s="3" t="n">
        <x:v>472</x:v>
      </x:c>
      <x:c r="H1232" s="3" t="n">
        <x:v>6</x:v>
      </x:c>
      <x:c r="I1232" s="3" t="n">
        <x:v>116</x:v>
      </x:c>
      <x:c r="J1232" s="15" t="n">
        <x:f>IF(D1232=0,"n.a.",E1232/D1232)</x:f>
        <x:v>0.01177564675475253</x:v>
      </x:c>
      <x:c r="K1232" s="15" t="n">
        <x:f>F1232/'Datos'!$F$7</x:f>
        <x:v>0.00016711004274219473</x:v>
      </x:c>
      <x:c r="L1232" s="3"/>
    </x:row>
    <x:row r="1233" ht="22" customHeight="1">
      <x:c r="A1233" s="3"/>
      <x:c r="B1233" s="3" t="str">
        <x:v>22154</x:v>
      </x:c>
      <x:c r="C1233" s="3" t="str">
        <x:v>ANGEL DECORATION 3 BUTTONS</x:v>
      </x:c>
      <x:c r="D1233" s="13" t="n">
        <x:v>1638.35</x:v>
      </x:c>
      <x:c r="E1233" s="13" t="n">
        <x:v>2.94</x:v>
      </x:c>
      <x:c r="F1233" s="13" t="n">
        <x:f>D1233-E1233</x:f>
        <x:v>1635.4099999999999</x:v>
      </x:c>
      <x:c r="G1233" s="3" t="n">
        <x:v>3749</x:v>
      </x:c>
      <x:c r="H1233" s="3" t="n">
        <x:v>7</x:v>
      </x:c>
      <x:c r="I1233" s="3" t="n">
        <x:v>162</x:v>
      </x:c>
      <x:c r="J1233" s="15" t="n">
        <x:f>IF(D1233=0,"n.a.",E1233/D1233)</x:f>
        <x:v>0.001794488357188635</x:v>
      </x:c>
      <x:c r="K1233" s="15" t="n">
        <x:f>F1233/'Datos'!$F$7</x:f>
        <x:v>0.00016700282011232335</x:v>
      </x:c>
      <x:c r="L1233" s="3"/>
    </x:row>
    <x:row r="1234" ht="22" customHeight="1">
      <x:c r="A1234" s="3"/>
      <x:c r="B1234" s="3" t="str">
        <x:v>23391</x:v>
      </x:c>
      <x:c r="C1234" s="3" t="str">
        <x:v>I LOVE LONDON MINI BACKPACK</x:v>
      </x:c>
      <x:c r="D1234" s="13" t="n">
        <x:v>1632.32</x:v>
      </x:c>
      <x:c r="E1234" s="13" t="n">
        <x:v>0</x:v>
      </x:c>
      <x:c r="F1234" s="13" t="n">
        <x:f>D1234-E1234</x:f>
        <x:v>1632.32</x:v>
      </x:c>
      <x:c r="G1234" s="3" t="n">
        <x:v>390</x:v>
      </x:c>
      <x:c r="H1234" s="3" t="n">
        <x:v>0</x:v>
      </x:c>
      <x:c r="I1234" s="3" t="n">
        <x:v>87</x:v>
      </x:c>
      <x:c r="J1234" s="15" t="n">
        <x:f>IF(D1234=0,"n.a.",E1234/D1234)</x:f>
        <x:v>0</x:v>
      </x:c>
      <x:c r="K1234" s="15" t="n">
        <x:f>F1234/'Datos'!$F$7</x:f>
        <x:v>0.00016668727923013047</x:v>
      </x:c>
      <x:c r="L1234" s="3"/>
    </x:row>
    <x:row r="1235" ht="22" customHeight="1">
      <x:c r="A1235" s="3"/>
      <x:c r="B1235" s="3" t="str">
        <x:v>22799</x:v>
      </x:c>
      <x:c r="C1235" s="3" t="str">
        <x:v>SWEETHEART WIRE FRUIT BOWL</x:v>
      </x:c>
      <x:c r="D1235" s="13" t="n">
        <x:v>1631.58</x:v>
      </x:c>
      <x:c r="E1235" s="13" t="n">
        <x:v>0</x:v>
      </x:c>
      <x:c r="F1235" s="13" t="n">
        <x:f>D1235-E1235</x:f>
        <x:v>1631.58</x:v>
      </x:c>
      <x:c r="G1235" s="3" t="n">
        <x:v>208</x:v>
      </x:c>
      <x:c r="H1235" s="3" t="n">
        <x:v>0</x:v>
      </x:c>
      <x:c r="I1235" s="3" t="n">
        <x:v>89</x:v>
      </x:c>
      <x:c r="J1235" s="15" t="n">
        <x:f>IF(D1235=0,"n.a.",E1235/D1235)</x:f>
        <x:v>0</x:v>
      </x:c>
      <x:c r="K1235" s="15" t="n">
        <x:f>F1235/'Datos'!$F$7</x:f>
        <x:v>0.00016661171280526874</x:v>
      </x:c>
      <x:c r="L1235" s="3"/>
    </x:row>
    <x:row r="1236" ht="22" customHeight="1">
      <x:c r="A1236" s="3"/>
      <x:c r="B1236" s="3" t="str">
        <x:v>15058A</x:v>
      </x:c>
      <x:c r="C1236" s="3" t="str">
        <x:v>BLUE POLKADOT GARDEN PARASOL</x:v>
      </x:c>
      <x:c r="D1236" s="13" t="n">
        <x:v>1668.49</x:v>
      </x:c>
      <x:c r="E1236" s="13" t="n">
        <x:v>37.35</x:v>
      </x:c>
      <x:c r="F1236" s="13" t="n">
        <x:f>D1236-E1236</x:f>
        <x:v>1631.14</x:v>
      </x:c>
      <x:c r="G1236" s="3" t="n">
        <x:v>200</x:v>
      </x:c>
      <x:c r="H1236" s="3" t="n">
        <x:v>5</x:v>
      </x:c>
      <x:c r="I1236" s="3" t="n">
        <x:v>89</x:v>
      </x:c>
      <x:c r="J1236" s="15" t="n">
        <x:f>IF(D1236=0,"n.a.",E1236/D1236)</x:f>
        <x:v>0.02238551025178455</x:v>
      </x:c>
      <x:c r="K1236" s="15" t="n">
        <x:f>F1236/'Datos'!$F$7</x:f>
        <x:v>0.00016656678141751312</x:v>
      </x:c>
      <x:c r="L1236" s="3"/>
    </x:row>
    <x:row r="1237" ht="22" customHeight="1">
      <x:c r="A1237" s="3"/>
      <x:c r="B1237" s="3" t="str">
        <x:v>23483</x:v>
      </x:c>
      <x:c r="C1237" s="3" t="str">
        <x:v>HANGING BUTTERFLY T-LIGHT HOLDER</x:v>
      </x:c>
      <x:c r="D1237" s="13" t="n">
        <x:v>1651.36</x:v>
      </x:c>
      <x:c r="E1237" s="13" t="n">
        <x:v>26.24</x:v>
      </x:c>
      <x:c r="F1237" s="13" t="n">
        <x:f>D1237-E1237</x:f>
        <x:v>1625.12</x:v>
      </x:c>
      <x:c r="G1237" s="3" t="n">
        <x:v>1340</x:v>
      </x:c>
      <x:c r="H1237" s="3" t="n">
        <x:v>22</x:v>
      </x:c>
      <x:c r="I1237" s="3" t="n">
        <x:v>73</x:v>
      </x:c>
      <x:c r="J1237" s="15" t="n">
        <x:f>IF(D1237=0,"n.a.",E1237/D1237)</x:f>
        <x:v>0.015889933146012985</x:v>
      </x:c>
      <x:c r="K1237" s="15" t="n">
        <x:f>F1237/'Datos'!$F$7</x:f>
        <x:v>0.00016595203833958392</x:v>
      </x:c>
      <x:c r="L1237" s="3"/>
    </x:row>
    <x:row r="1238" ht="22" customHeight="1">
      <x:c r="A1238" s="3"/>
      <x:c r="B1238" s="3" t="str">
        <x:v>22445</x:v>
      </x:c>
      <x:c r="C1238" s="3" t="str">
        <x:v>PENCIL CASE LIFE IS BEAUTIFUL</x:v>
      </x:c>
      <x:c r="D1238" s="13" t="n">
        <x:v>1624.76</x:v>
      </x:c>
      <x:c r="E1238" s="13" t="n">
        <x:v>0</x:v>
      </x:c>
      <x:c r="F1238" s="13" t="n">
        <x:f>D1238-E1238</x:f>
        <x:v>1624.76</x:v>
      </x:c>
      <x:c r="G1238" s="3" t="n">
        <x:v>537</x:v>
      </x:c>
      <x:c r="H1238" s="3" t="n">
        <x:v>0</x:v>
      </x:c>
      <x:c r="I1238" s="3" t="n">
        <x:v>130</x:v>
      </x:c>
      <x:c r="J1238" s="15" t="n">
        <x:f>IF(D1238=0,"n.a.",E1238/D1238)</x:f>
        <x:v>0</x:v>
      </x:c>
      <x:c r="K1238" s="15" t="n">
        <x:f>F1238/'Datos'!$F$7</x:f>
        <x:v>0.0001659152762950566</x:v>
      </x:c>
      <x:c r="L1238" s="3"/>
    </x:row>
    <x:row r="1239" ht="22" customHeight="1">
      <x:c r="A1239" s="3"/>
      <x:c r="B1239" s="3" t="str">
        <x:v>22975</x:v>
      </x:c>
      <x:c r="C1239" s="3" t="str">
        <x:v>SPACEBOY CHILDRENS EGG CUP</x:v>
      </x:c>
      <x:c r="D1239" s="13" t="n">
        <x:v>1624.63</x:v>
      </x:c>
      <x:c r="E1239" s="13" t="n">
        <x:v>1.25</x:v>
      </x:c>
      <x:c r="F1239" s="13" t="n">
        <x:f>D1239-E1239</x:f>
        <x:v>1623.38</x:v>
      </x:c>
      <x:c r="G1239" s="3" t="n">
        <x:v>1204</x:v>
      </x:c>
      <x:c r="H1239" s="3" t="n">
        <x:v>1</x:v>
      </x:c>
      <x:c r="I1239" s="3" t="n">
        <x:v>186</x:v>
      </x:c>
      <x:c r="J1239" s="15" t="n">
        <x:f>IF(D1239=0,"n.a.",E1239/D1239)</x:f>
        <x:v>0.0007694059570486818</x:v>
      </x:c>
      <x:c r="K1239" s="15" t="n">
        <x:f>F1239/'Datos'!$F$7</x:f>
        <x:v>0.0001657743551243685</x:v>
      </x:c>
      <x:c r="L1239" s="3"/>
    </x:row>
    <x:row r="1240" ht="22" customHeight="1">
      <x:c r="A1240" s="3"/>
      <x:c r="B1240" s="3" t="str">
        <x:v>22473</x:v>
      </x:c>
      <x:c r="C1240" s="3" t="str">
        <x:v>TV DINNER TRAY VINTAGE PAISLEY</x:v>
      </x:c>
      <x:c r="D1240" s="13" t="n">
        <x:v>1623.04</x:v>
      </x:c>
      <x:c r="E1240" s="13" t="n">
        <x:v>0</x:v>
      </x:c>
      <x:c r="F1240" s="13" t="n">
        <x:f>D1240-E1240</x:f>
        <x:v>1623.04</x:v>
      </x:c>
      <x:c r="G1240" s="3" t="n">
        <x:v>503</x:v>
      </x:c>
      <x:c r="H1240" s="3" t="n">
        <x:v>0</x:v>
      </x:c>
      <x:c r="I1240" s="3" t="n">
        <x:v>112</x:v>
      </x:c>
      <x:c r="J1240" s="15" t="n">
        <x:f>IF(D1240=0,"n.a.",E1240/D1240)</x:f>
        <x:v>0</x:v>
      </x:c>
      <x:c r="K1240" s="15" t="n">
        <x:f>F1240/'Datos'!$F$7</x:f>
        <x:v>0.00016573963541564825</x:v>
      </x:c>
      <x:c r="L1240" s="3"/>
    </x:row>
    <x:row r="1241" ht="22" customHeight="1">
      <x:c r="A1241" s="3"/>
      <x:c r="B1241" s="3" t="str">
        <x:v>21706</x:v>
      </x:c>
      <x:c r="C1241" s="3" t="str">
        <x:v>FOLDING UMBRELLA RED/WHITE POLKADOT</x:v>
      </x:c>
      <x:c r="D1241" s="13" t="n">
        <x:v>1621.76</x:v>
      </x:c>
      <x:c r="E1241" s="13" t="n">
        <x:v>0</x:v>
      </x:c>
      <x:c r="F1241" s="13" t="n">
        <x:f>D1241-E1241</x:f>
        <x:v>1621.76</x:v>
      </x:c>
      <x:c r="G1241" s="3" t="n">
        <x:v>347</x:v>
      </x:c>
      <x:c r="H1241" s="3" t="n">
        <x:v>0</x:v>
      </x:c>
      <x:c r="I1241" s="3" t="n">
        <x:v>120</x:v>
      </x:c>
      <x:c r="J1241" s="15" t="n">
        <x:f>IF(D1241=0,"n.a.",E1241/D1241)</x:f>
        <x:v>0</x:v>
      </x:c>
      <x:c r="K1241" s="15" t="n">
        <x:f>F1241/'Datos'!$F$7</x:f>
        <x:v>0.00016560892592399555</x:v>
      </x:c>
      <x:c r="L1241" s="3"/>
    </x:row>
    <x:row r="1242" ht="22" customHeight="1">
      <x:c r="A1242" s="3"/>
      <x:c r="B1242" s="3" t="str">
        <x:v>22284</x:v>
      </x:c>
      <x:c r="C1242" s="3" t="str">
        <x:v>HEN HOUSE DECORATION</x:v>
      </x:c>
      <x:c r="D1242" s="13" t="n">
        <x:v>1641.62</x:v>
      </x:c>
      <x:c r="E1242" s="13" t="n">
        <x:v>21.45</x:v>
      </x:c>
      <x:c r="F1242" s="13" t="n">
        <x:f>D1242-E1242</x:f>
        <x:v>1620.1699999999998</x:v>
      </x:c>
      <x:c r="G1242" s="3" t="n">
        <x:v>954</x:v>
      </x:c>
      <x:c r="H1242" s="3" t="n">
        <x:v>13</x:v>
      </x:c>
      <x:c r="I1242" s="3" t="n">
        <x:v>131</x:v>
      </x:c>
      <x:c r="J1242" s="15" t="n">
        <x:f>IF(D1242=0,"n.a.",E1242/D1242)</x:f>
        <x:v>0.013066361277274887</x:v>
      </x:c>
      <x:c r="K1242" s="15" t="n">
        <x:f>F1242/'Datos'!$F$7</x:f>
        <x:v>0.00016544656022733317</x:v>
      </x:c>
      <x:c r="L1242" s="3"/>
    </x:row>
    <x:row r="1243" ht="22" customHeight="1">
      <x:c r="A1243" s="3"/>
      <x:c r="B1243" s="3" t="str">
        <x:v>23217</x:v>
      </x:c>
      <x:c r="C1243" s="3" t="str">
        <x:v>LAUREL HEART ANTIQUE SILVER</x:v>
      </x:c>
      <x:c r="D1243" s="13" t="n">
        <x:v>1613.82</x:v>
      </x:c>
      <x:c r="E1243" s="13" t="n">
        <x:v>0</x:v>
      </x:c>
      <x:c r="F1243" s="13" t="n">
        <x:f>D1243-E1243</x:f>
        <x:v>1613.82</x:v>
      </x:c>
      <x:c r="G1243" s="3" t="n">
        <x:v>1309</x:v>
      </x:c>
      <x:c r="H1243" s="3" t="n">
        <x:v>0</x:v>
      </x:c>
      <x:c r="I1243" s="3" t="n">
        <x:v>97</x:v>
      </x:c>
      <x:c r="J1243" s="15" t="n">
        <x:f>IF(D1243=0,"n.a.",E1243/D1243)</x:f>
        <x:v>0</x:v>
      </x:c>
      <x:c r="K1243" s="15" t="n">
        <x:f>F1243/'Datos'!$F$7</x:f>
        <x:v>0.00016479811860858727</x:v>
      </x:c>
      <x:c r="L1243" s="3"/>
    </x:row>
    <x:row r="1244" ht="22" customHeight="1">
      <x:c r="A1244" s="3"/>
      <x:c r="B1244" s="3" t="str">
        <x:v>23280</x:v>
      </x:c>
      <x:c r="C1244" s="3" t="str">
        <x:v>FOLDING BUTTERFLY MIRROR HOT PINK</x:v>
      </x:c>
      <x:c r="D1244" s="13" t="n">
        <x:v>1614.99</x:v>
      </x:c>
      <x:c r="E1244" s="13" t="n">
        <x:v>1.66</x:v>
      </x:c>
      <x:c r="F1244" s="13" t="n">
        <x:f>D1244-E1244</x:f>
        <x:v>1613.33</x:v>
      </x:c>
      <x:c r="G1244" s="3" t="n">
        <x:v>2024</x:v>
      </x:c>
      <x:c r="H1244" s="3" t="n">
        <x:v>2</x:v>
      </x:c>
      <x:c r="I1244" s="3" t="n">
        <x:v>157</x:v>
      </x:c>
      <x:c r="J1244" s="15" t="n">
        <x:f>IF(D1244=0,"n.a.",E1244/D1244)</x:f>
        <x:v>0.0010278701416107838</x:v>
      </x:c>
      <x:c r="K1244" s="15" t="n">
        <x:f>F1244/'Datos'!$F$7</x:f>
        <x:v>0.00016474808138131395</x:v>
      </x:c>
      <x:c r="L1244" s="3"/>
    </x:row>
    <x:row r="1245" ht="22" customHeight="1">
      <x:c r="A1245" s="3"/>
      <x:c r="B1245" s="3" t="str">
        <x:v>22671</x:v>
      </x:c>
      <x:c r="C1245" s="3" t="str">
        <x:v>FRENCH LAUNDRY SIGN BLUE METAL</x:v>
      </x:c>
      <x:c r="D1245" s="13" t="n">
        <x:v>1610.35</x:v>
      </x:c>
      <x:c r="E1245" s="13" t="n">
        <x:v>1.45</x:v>
      </x:c>
      <x:c r="F1245" s="13" t="n">
        <x:f>D1245-E1245</x:f>
        <x:v>1608.8999999999999</x:v>
      </x:c>
      <x:c r="G1245" s="3" t="n">
        <x:v>963</x:v>
      </x:c>
      <x:c r="H1245" s="3" t="n">
        <x:v>1</x:v>
      </x:c>
      <x:c r="I1245" s="3" t="n">
        <x:v>144</x:v>
      </x:c>
      <x:c r="J1245" s="15" t="n">
        <x:f>IF(D1245=0,"n.a.",E1245/D1245)</x:f>
        <x:v>0.0009004253733660384</x:v>
      </x:c>
      <x:c r="K1245" s="15" t="n">
        <x:f>F1245/'Datos'!$F$7</x:f>
        <x:v>0.0001642957040000471</x:v>
      </x:c>
      <x:c r="L1245" s="3"/>
    </x:row>
    <x:row r="1246" ht="22" customHeight="1">
      <x:c r="A1246" s="3"/>
      <x:c r="B1246" s="3" t="str">
        <x:v>22292</x:v>
      </x:c>
      <x:c r="C1246" s="3" t="str">
        <x:v>HANGING CHICK YELLOW DECORATION</x:v>
      </x:c>
      <x:c r="D1246" s="13" t="n">
        <x:v>1608.86</x:v>
      </x:c>
      <x:c r="E1246" s="13" t="n">
        <x:v>0</x:v>
      </x:c>
      <x:c r="F1246" s="13" t="n">
        <x:f>D1246-E1246</x:f>
        <x:v>1608.86</x:v>
      </x:c>
      <x:c r="G1246" s="3" t="n">
        <x:v>1139</x:v>
      </x:c>
      <x:c r="H1246" s="3" t="n">
        <x:v>0</x:v>
      </x:c>
      <x:c r="I1246" s="3" t="n">
        <x:v>112</x:v>
      </x:c>
      <x:c r="J1246" s="15" t="n">
        <x:f>IF(D1246=0,"n.a.",E1246/D1246)</x:f>
        <x:v>0</x:v>
      </x:c>
      <x:c r="K1246" s="15" t="n">
        <x:f>F1246/'Datos'!$F$7</x:f>
        <x:v>0.00016429161932843297</x:v>
      </x:c>
      <x:c r="L1246" s="3"/>
    </x:row>
    <x:row r="1247" ht="22" customHeight="1">
      <x:c r="A1247" s="3"/>
      <x:c r="B1247" s="3" t="str">
        <x:v>21206</x:v>
      </x:c>
      <x:c r="C1247" s="3" t="str">
        <x:v>STRAWBERRY HONEYCOMB GARLAND</x:v>
      </x:c>
      <x:c r="D1247" s="13" t="n">
        <x:v>1610.92</x:v>
      </x:c>
      <x:c r="E1247" s="13" t="n">
        <x:v>3.3</x:v>
      </x:c>
      <x:c r="F1247" s="13" t="n">
        <x:f>D1247-E1247</x:f>
        <x:v>1607.6200000000001</x:v>
      </x:c>
      <x:c r="G1247" s="3" t="n">
        <x:v>1290</x:v>
      </x:c>
      <x:c r="H1247" s="3" t="n">
        <x:v>2</x:v>
      </x:c>
      <x:c r="I1247" s="3" t="n">
        <x:v>109</x:v>
      </x:c>
      <x:c r="J1247" s="15" t="n">
        <x:f>IF(D1247=0,"n.a.",E1247/D1247)</x:f>
        <x:v>0.0020485188587887663</x:v>
      </x:c>
      <x:c r="K1247" s="15" t="n">
        <x:f>F1247/'Datos'!$F$7</x:f>
        <x:v>0.00016416499450839443</x:v>
      </x:c>
      <x:c r="L1247" s="3"/>
    </x:row>
    <x:row r="1248" ht="22" customHeight="1">
      <x:c r="A1248" s="3"/>
      <x:c r="B1248" s="3" t="str">
        <x:v>22475</x:v>
      </x:c>
      <x:c r="C1248" s="3" t="str">
        <x:v>SKULL DESIGN TV DINNER TRAY</x:v>
      </x:c>
      <x:c r="D1248" s="13" t="n">
        <x:v>1605.67</x:v>
      </x:c>
      <x:c r="E1248" s="13" t="n">
        <x:v>0</x:v>
      </x:c>
      <x:c r="F1248" s="13" t="n">
        <x:f>D1248-E1248</x:f>
        <x:v>1605.67</x:v>
      </x:c>
      <x:c r="G1248" s="3" t="n">
        <x:v>316</x:v>
      </x:c>
      <x:c r="H1248" s="3" t="n">
        <x:v>0</x:v>
      </x:c>
      <x:c r="I1248" s="3" t="n">
        <x:v>138</x:v>
      </x:c>
      <x:c r="J1248" s="15" t="n">
        <x:f>IF(D1248=0,"n.a.",E1248/D1248)</x:f>
        <x:v>0</x:v>
      </x:c>
      <x:c r="K1248" s="15" t="n">
        <x:f>F1248/'Datos'!$F$7</x:f>
        <x:v>0.00016396586676720472</x:v>
      </x:c>
      <x:c r="L1248" s="3"/>
    </x:row>
    <x:row r="1249" ht="22" customHeight="1">
      <x:c r="A1249" s="3"/>
      <x:c r="B1249" s="3" t="str">
        <x:v>35953</x:v>
      </x:c>
      <x:c r="C1249" s="3" t="str">
        <x:v>FOLKART STAR CHRISTMAS DECORATIONS</x:v>
      </x:c>
      <x:c r="D1249" s="13" t="n">
        <x:v>1634.92</x:v>
      </x:c>
      <x:c r="E1249" s="13" t="n">
        <x:v>30</x:v>
      </x:c>
      <x:c r="F1249" s="13" t="n">
        <x:f>D1249-E1249</x:f>
        <x:v>1604.92</x:v>
      </x:c>
      <x:c r="G1249" s="3" t="n">
        <x:v>3582</x:v>
      </x:c>
      <x:c r="H1249" s="3" t="n">
        <x:v>24</x:v>
      </x:c>
      <x:c r="I1249" s="3" t="n">
        <x:v>131</x:v>
      </x:c>
      <x:c r="J1249" s="15" t="n">
        <x:f>IF(D1249=0,"n.a.",E1249/D1249)</x:f>
        <x:v>0.018349521689134635</x:v>
      </x:c>
      <x:c r="K1249" s="15" t="n">
        <x:f>F1249/'Datos'!$F$7</x:f>
        <x:v>0.00016388927917443947</x:v>
      </x:c>
      <x:c r="L1249" s="3"/>
    </x:row>
    <x:row r="1250" ht="22" customHeight="1">
      <x:c r="A1250" s="3"/>
      <x:c r="B1250" s="3" t="str">
        <x:v>22305</x:v>
      </x:c>
      <x:c r="C1250" s="3" t="str">
        <x:v>COFFEE MUG PINK PAISLEY DESIGN</x:v>
      </x:c>
      <x:c r="D1250" s="13" t="n">
        <x:v>1604.58</x:v>
      </x:c>
      <x:c r="E1250" s="13" t="n">
        <x:v>2.55</x:v>
      </x:c>
      <x:c r="F1250" s="13" t="n">
        <x:f>D1250-E1250</x:f>
        <x:v>1602.03</x:v>
      </x:c>
      <x:c r="G1250" s="3" t="n">
        <x:v>693</x:v>
      </x:c>
      <x:c r="H1250" s="3" t="n">
        <x:v>1</x:v>
      </x:c>
      <x:c r="I1250" s="3" t="n">
        <x:v>51</x:v>
      </x:c>
      <x:c r="J1250" s="15" t="n">
        <x:f>IF(D1250=0,"n.a.",E1250/D1250)</x:f>
        <x:v>0.0015892009123882884</x:v>
      </x:c>
      <x:c r="K1250" s="15" t="n">
        <x:f>F1250/'Datos'!$F$7</x:f>
        <x:v>0.0001635941616503173</x:v>
      </x:c>
      <x:c r="L1250" s="3"/>
    </x:row>
    <x:row r="1251" ht="22" customHeight="1">
      <x:c r="A1251" s="3"/>
      <x:c r="B1251" s="3" t="str">
        <x:v>22095</x:v>
      </x:c>
      <x:c r="C1251" s="3" t="str">
        <x:v>LADS ONLY TISSUE BOX</x:v>
      </x:c>
      <x:c r="D1251" s="13" t="n">
        <x:v>1610.41</x:v>
      </x:c>
      <x:c r="E1251" s="13" t="n">
        <x:v>11.06</x:v>
      </x:c>
      <x:c r="F1251" s="13" t="n">
        <x:f>D1251-E1251</x:f>
        <x:v>1599.3500000000001</x:v>
      </x:c>
      <x:c r="G1251" s="3" t="n">
        <x:v>1650</x:v>
      </x:c>
      <x:c r="H1251" s="3" t="n">
        <x:v>9</x:v>
      </x:c>
      <x:c r="I1251" s="3" t="n">
        <x:v>143</x:v>
      </x:c>
      <x:c r="J1251" s="15" t="n">
        <x:f>IF(D1251=0,"n.a.",E1251/D1251)</x:f>
        <x:v>0.00686781627039077</x:v>
      </x:c>
      <x:c r="K1251" s="15" t="n">
        <x:f>F1251/'Datos'!$F$7</x:f>
        <x:v>0.00016332048865216943</x:v>
      </x:c>
      <x:c r="L1251" s="3"/>
    </x:row>
    <x:row r="1252" ht="22" customHeight="1">
      <x:c r="A1252" s="3"/>
      <x:c r="B1252" s="3" t="str">
        <x:v>21394</x:v>
      </x:c>
      <x:c r="C1252" s="3" t="str">
        <x:v>RED POLKADOT BEAKER</x:v>
      </x:c>
      <x:c r="D1252" s="13" t="n">
        <x:v>1603.77</x:v>
      </x:c>
      <x:c r="E1252" s="13" t="n">
        <x:v>8.58</x:v>
      </x:c>
      <x:c r="F1252" s="13" t="n">
        <x:f>D1252-E1252</x:f>
        <x:v>1595.19</x:v>
      </x:c>
      <x:c r="G1252" s="3" t="n">
        <x:v>3865</x:v>
      </x:c>
      <x:c r="H1252" s="3" t="n">
        <x:v>22</x:v>
      </x:c>
      <x:c r="I1252" s="3" t="n">
        <x:v>131</x:v>
      </x:c>
      <x:c r="J1252" s="15" t="n">
        <x:f>IF(D1252=0,"n.a.",E1252/D1252)</x:f>
        <x:v>0.005349894311528461</x:v>
      </x:c>
      <x:c r="K1252" s="15" t="n">
        <x:f>F1252/'Datos'!$F$7</x:f>
        <x:v>0.00016289568280429808</x:v>
      </x:c>
      <x:c r="L1252" s="3"/>
    </x:row>
    <x:row r="1253" ht="22" customHeight="1">
      <x:c r="A1253" s="3"/>
      <x:c r="B1253" s="3" t="str">
        <x:v>23348</x:v>
      </x:c>
      <x:c r="C1253" s="3" t="str">
        <x:v>CHILDRENS TOY COOKING UTENSIL SET</x:v>
      </x:c>
      <x:c r="D1253" s="13" t="n">
        <x:v>1642.13</x:v>
      </x:c>
      <x:c r="E1253" s="13" t="n">
        <x:v>47.26</x:v>
      </x:c>
      <x:c r="F1253" s="13" t="n">
        <x:f>D1253-E1253</x:f>
        <x:v>1594.8700000000001</x:v>
      </x:c>
      <x:c r="G1253" s="3" t="n">
        <x:v>750</x:v>
      </x:c>
      <x:c r="H1253" s="3" t="n">
        <x:v>23</x:v>
      </x:c>
      <x:c r="I1253" s="3" t="n">
        <x:v>168</x:v>
      </x:c>
      <x:c r="J1253" s="15" t="n">
        <x:f>IF(D1253=0,"n.a.",E1253/D1253)</x:f>
        <x:v>0.02877969466485601</x:v>
      </x:c>
      <x:c r="K1253" s="15" t="n">
        <x:f>F1253/'Datos'!$F$7</x:f>
        <x:v>0.0001628630054313849</x:v>
      </x:c>
      <x:c r="L1253" s="3"/>
    </x:row>
    <x:row r="1254" ht="22" customHeight="1">
      <x:c r="A1254" s="3"/>
      <x:c r="B1254" s="3" t="str">
        <x:v>22948</x:v>
      </x:c>
      <x:c r="C1254" s="3" t="str">
        <x:v>METAL DECORATION NAUGHTY CHILDREN</x:v>
      </x:c>
      <x:c r="D1254" s="13" t="n">
        <x:v>1604.99</x:v>
      </x:c>
      <x:c r="E1254" s="13" t="n">
        <x:v>10.2</x:v>
      </x:c>
      <x:c r="F1254" s="13" t="n">
        <x:f>D1254-E1254</x:f>
        <x:v>1594.79</x:v>
      </x:c>
      <x:c r="G1254" s="3" t="n">
        <x:v>1601</x:v>
      </x:c>
      <x:c r="H1254" s="3" t="n">
        <x:v>12</x:v>
      </x:c>
      <x:c r="I1254" s="3" t="n">
        <x:v>136</x:v>
      </x:c>
      <x:c r="J1254" s="15" t="n">
        <x:f>IF(D1254=0,"n.a.",E1254/D1254)</x:f>
        <x:v>0.006355179783051607</x:v>
      </x:c>
      <x:c r="K1254" s="15" t="n">
        <x:f>F1254/'Datos'!$F$7</x:f>
        <x:v>0.0001628548360881566</x:v>
      </x:c>
      <x:c r="L1254" s="3"/>
    </x:row>
    <x:row r="1255" ht="22" customHeight="1">
      <x:c r="A1255" s="3"/>
      <x:c r="B1255" s="3" t="str">
        <x:v>22166</x:v>
      </x:c>
      <x:c r="C1255" s="3" t="str">
        <x:v>WALL MIRROR RECTANGLE DIAMANTE PINK</x:v>
      </x:c>
      <x:c r="D1255" s="13" t="n">
        <x:v>1614.4</x:v>
      </x:c>
      <x:c r="E1255" s="13" t="n">
        <x:v>23.85</x:v>
      </x:c>
      <x:c r="F1255" s="13" t="n">
        <x:f>D1255-E1255</x:f>
        <x:v>1590.5500000000002</x:v>
      </x:c>
      <x:c r="G1255" s="3" t="n">
        <x:v>207</x:v>
      </x:c>
      <x:c r="H1255" s="3" t="n">
        <x:v>3</x:v>
      </x:c>
      <x:c r="I1255" s="3" t="n">
        <x:v>87</x:v>
      </x:c>
      <x:c r="J1255" s="15" t="n">
        <x:f>IF(D1255=0,"n.a.",E1255/D1255)</x:f>
        <x:v>0.014773290386521308</x:v>
      </x:c>
      <x:c r="K1255" s="15" t="n">
        <x:f>F1255/'Datos'!$F$7</x:f>
        <x:v>0.00016242186089705698</x:v>
      </x:c>
      <x:c r="L1255" s="3"/>
    </x:row>
    <x:row r="1256" ht="22" customHeight="1">
      <x:c r="A1256" s="3"/>
      <x:c r="B1256" s="3" t="str">
        <x:v>21967</x:v>
      </x:c>
      <x:c r="C1256" s="3" t="str">
        <x:v>PACK OF 12 SKULL TISSUES</x:v>
      </x:c>
      <x:c r="D1256" s="13" t="n">
        <x:v>1583.41</x:v>
      </x:c>
      <x:c r="E1256" s="13" t="n">
        <x:v>0</x:v>
      </x:c>
      <x:c r="F1256" s="13" t="n">
        <x:f>D1256-E1256</x:f>
        <x:v>1583.41</x:v>
      </x:c>
      <x:c r="G1256" s="3" t="n">
        <x:v>5275</x:v>
      </x:c>
      <x:c r="H1256" s="3" t="n">
        <x:v>0</x:v>
      </x:c>
      <x:c r="I1256" s="3" t="n">
        <x:v>232</x:v>
      </x:c>
      <x:c r="J1256" s="15" t="n">
        <x:f>IF(D1256=0,"n.a.",E1256/D1256)</x:f>
        <x:v>0</x:v>
      </x:c>
      <x:c r="K1256" s="15" t="n">
        <x:f>F1256/'Datos'!$F$7</x:f>
        <x:v>0.00016169274701393165</x:v>
      </x:c>
      <x:c r="L1256" s="3"/>
    </x:row>
    <x:row r="1257" ht="22" customHeight="1">
      <x:c r="A1257" s="3"/>
      <x:c r="B1257" s="3" t="str">
        <x:v>23369</x:v>
      </x:c>
      <x:c r="C1257" s="3" t="str">
        <x:v>SET 36 COLOUR PENCILS LOVE LONDON</x:v>
      </x:c>
      <x:c r="D1257" s="13" t="n">
        <x:v>1581.06</x:v>
      </x:c>
      <x:c r="E1257" s="13" t="n">
        <x:v>0</x:v>
      </x:c>
      <x:c r="F1257" s="13" t="n">
        <x:f>D1257-E1257</x:f>
        <x:v>1581.06</x:v>
      </x:c>
      <x:c r="G1257" s="3" t="n">
        <x:v>1105</x:v>
      </x:c>
      <x:c r="H1257" s="3" t="n">
        <x:v>0</x:v>
      </x:c>
      <x:c r="I1257" s="3" t="n">
        <x:v>126</x:v>
      </x:c>
      <x:c r="J1257" s="15" t="n">
        <x:f>IF(D1257=0,"n.a.",E1257/D1257)</x:f>
        <x:v>0</x:v>
      </x:c>
      <x:c r="K1257" s="15" t="n">
        <x:f>F1257/'Datos'!$F$7</x:f>
        <x:v>0.00016145277255660048</x:v>
      </x:c>
      <x:c r="L1257" s="3"/>
    </x:row>
    <x:row r="1258" ht="22" customHeight="1">
      <x:c r="A1258" s="3"/>
      <x:c r="B1258" s="3" t="str">
        <x:v>46000M</x:v>
      </x:c>
      <x:c r="C1258" s="3" t="str">
        <x:v>POLYESTER FILLER PAD 45x45cm</x:v>
      </x:c>
      <x:c r="D1258" s="13" t="n">
        <x:v>1582.55</x:v>
      </x:c>
      <x:c r="E1258" s="13" t="n">
        <x:v>1.55</x:v>
      </x:c>
      <x:c r="F1258" s="13" t="n">
        <x:f>D1258-E1258</x:f>
        <x:v>1581</x:v>
      </x:c>
      <x:c r="G1258" s="3" t="n">
        <x:v>1021</x:v>
      </x:c>
      <x:c r="H1258" s="3" t="n">
        <x:v>1</x:v>
      </x:c>
      <x:c r="I1258" s="3" t="n">
        <x:v>137</x:v>
      </x:c>
      <x:c r="J1258" s="15" t="n">
        <x:f>IF(D1258=0,"n.a.",E1258/D1258)</x:f>
        <x:v>0.0009794319294809011</x:v>
      </x:c>
      <x:c r="K1258" s="15" t="n">
        <x:f>F1258/'Datos'!$F$7</x:f>
        <x:v>0.00016144664554917926</x:v>
      </x:c>
      <x:c r="L1258" s="3"/>
    </x:row>
    <x:row r="1259" ht="22" customHeight="1">
      <x:c r="A1259" s="3"/>
      <x:c r="B1259" s="3" t="str">
        <x:v>21509</x:v>
      </x:c>
      <x:c r="C1259" s="3" t="str">
        <x:v>COWBOYS AND INDIANS BIRTHDAY CARD</x:v>
      </x:c>
      <x:c r="D1259" s="13" t="n">
        <x:v>1572.28</x:v>
      </x:c>
      <x:c r="E1259" s="13" t="n">
        <x:v>0</x:v>
      </x:c>
      <x:c r="F1259" s="13" t="n">
        <x:f>D1259-E1259</x:f>
        <x:v>1572.28</x:v>
      </x:c>
      <x:c r="G1259" s="3" t="n">
        <x:v>3741</x:v>
      </x:c>
      <x:c r="H1259" s="3" t="n">
        <x:v>0</x:v>
      </x:c>
      <x:c r="I1259" s="3" t="n">
        <x:v>274</x:v>
      </x:c>
      <x:c r="J1259" s="15" t="n">
        <x:f>IF(D1259=0,"n.a.",E1259/D1259)</x:f>
        <x:v>0</x:v>
      </x:c>
      <x:c r="K1259" s="15" t="n">
        <x:f>F1259/'Datos'!$F$7</x:f>
        <x:v>0.0001605561871372951</x:v>
      </x:c>
      <x:c r="L1259" s="3"/>
    </x:row>
    <x:row r="1260" ht="22" customHeight="1">
      <x:c r="A1260" s="3"/>
      <x:c r="B1260" s="3" t="str">
        <x:v>85206A</x:v>
      </x:c>
      <x:c r="C1260" s="3" t="str">
        <x:v>CREAM FELT EASTER EGG BASKET</x:v>
      </x:c>
      <x:c r="D1260" s="13" t="n">
        <x:v>1572.23</x:v>
      </x:c>
      <x:c r="E1260" s="13" t="n">
        <x:v>0</x:v>
      </x:c>
      <x:c r="F1260" s="13" t="n">
        <x:f>D1260-E1260</x:f>
        <x:v>1572.23</x:v>
      </x:c>
      <x:c r="G1260" s="3" t="n">
        <x:v>976</x:v>
      </x:c>
      <x:c r="H1260" s="3" t="n">
        <x:v>0</x:v>
      </x:c>
      <x:c r="I1260" s="3" t="n">
        <x:v>114</x:v>
      </x:c>
      <x:c r="J1260" s="15" t="n">
        <x:f>IF(D1260=0,"n.a.",E1260/D1260)</x:f>
        <x:v>0</x:v>
      </x:c>
      <x:c r="K1260" s="15" t="n">
        <x:f>F1260/'Datos'!$F$7</x:f>
        <x:v>0.00016055108129777742</x:v>
      </x:c>
      <x:c r="L1260" s="3"/>
    </x:row>
    <x:row r="1261" ht="22" customHeight="1">
      <x:c r="A1261" s="3"/>
      <x:c r="B1261" s="3" t="str">
        <x:v>23287</x:v>
      </x:c>
      <x:c r="C1261" s="3" t="str">
        <x:v>RED VINTAGE SPOT BEAKER</x:v>
      </x:c>
      <x:c r="D1261" s="13" t="n">
        <x:v>1613.59</x:v>
      </x:c>
      <x:c r="E1261" s="13" t="n">
        <x:v>43.35</x:v>
      </x:c>
      <x:c r="F1261" s="13" t="n">
        <x:f>D1261-E1261</x:f>
        <x:v>1570.24</x:v>
      </x:c>
      <x:c r="G1261" s="3" t="n">
        <x:v>1891</x:v>
      </x:c>
      <x:c r="H1261" s="3" t="n">
        <x:v>51</x:v>
      </x:c>
      <x:c r="I1261" s="3" t="n">
        <x:v>198</x:v>
      </x:c>
      <x:c r="J1261" s="15" t="n">
        <x:f>IF(D1261=0,"n.a.",E1261/D1261)</x:f>
        <x:v>0.02686556064427767</x:v>
      </x:c>
      <x:c r="K1261" s="15" t="n">
        <x:f>F1261/'Datos'!$F$7</x:f>
        <x:v>0.00016034786888497357</x:v>
      </x:c>
      <x:c r="L1261" s="3"/>
    </x:row>
    <x:row r="1262" ht="22" customHeight="1">
      <x:c r="A1262" s="3"/>
      <x:c r="B1262" s="3" t="str">
        <x:v>22583</x:v>
      </x:c>
      <x:c r="C1262" s="3" t="str">
        <x:v>PACK OF 6 HANDBAG GIFT BOXES</x:v>
      </x:c>
      <x:c r="D1262" s="13" t="n">
        <x:v>1572.95</x:v>
      </x:c>
      <x:c r="E1262" s="13" t="n">
        <x:v>5.1</x:v>
      </x:c>
      <x:c r="F1262" s="13" t="n">
        <x:f>D1262-E1262</x:f>
        <x:v>1567.8500000000001</x:v>
      </x:c>
      <x:c r="G1262" s="3" t="n">
        <x:v>574</x:v>
      </x:c>
      <x:c r="H1262" s="3" t="n">
        <x:v>2</x:v>
      </x:c>
      <x:c r="I1262" s="3" t="n">
        <x:v>111</x:v>
      </x:c>
      <x:c r="J1262" s="15" t="n">
        <x:f>IF(D1262=0,"n.a.",E1262/D1262)</x:f>
        <x:v>0.003242315394640643</x:v>
      </x:c>
      <x:c r="K1262" s="15" t="n">
        <x:f>F1262/'Datos'!$F$7</x:f>
        <x:v>0.00016010380975602827</x:v>
      </x:c>
      <x:c r="L1262" s="3"/>
    </x:row>
    <x:row r="1263" ht="22" customHeight="1">
      <x:c r="A1263" s="3"/>
      <x:c r="B1263" s="3" t="str">
        <x:v>22449</x:v>
      </x:c>
      <x:c r="C1263" s="3" t="str">
        <x:v>SILK PURSE BABUSHKA PINK</x:v>
      </x:c>
      <x:c r="D1263" s="13" t="n">
        <x:v>1587.3</x:v>
      </x:c>
      <x:c r="E1263" s="13" t="n">
        <x:v>20.1</x:v>
      </x:c>
      <x:c r="F1263" s="13" t="n">
        <x:f>D1263-E1263</x:f>
        <x:v>1567.2</x:v>
      </x:c>
      <x:c r="G1263" s="3" t="n">
        <x:v>492</x:v>
      </x:c>
      <x:c r="H1263" s="3" t="n">
        <x:v>6</x:v>
      </x:c>
      <x:c r="I1263" s="3" t="n">
        <x:v>143</x:v>
      </x:c>
      <x:c r="J1263" s="15" t="n">
        <x:f>IF(D1263=0,"n.a.",E1263/D1263)</x:f>
        <x:v>0.012663012663012665</x:v>
      </x:c>
      <x:c r="K1263" s="15" t="n">
        <x:f>F1263/'Datos'!$F$7</x:f>
        <x:v>0.00016003743384229838</x:v>
      </x:c>
      <x:c r="L1263" s="3"/>
    </x:row>
    <x:row r="1264" ht="22" customHeight="1">
      <x:c r="A1264" s="3"/>
      <x:c r="B1264" s="3" t="str">
        <x:v>22676</x:v>
      </x:c>
      <x:c r="C1264" s="3" t="str">
        <x:v>FRENCH BLUE METAL DOOR SIGN 1</x:v>
      </x:c>
      <x:c r="D1264" s="13" t="n">
        <x:v>1580.89</x:v>
      </x:c>
      <x:c r="E1264" s="13" t="n">
        <x:v>13.75</x:v>
      </x:c>
      <x:c r="F1264" s="13" t="n">
        <x:f>D1264-E1264</x:f>
        <x:v>1567.14</x:v>
      </x:c>
      <x:c r="G1264" s="3" t="n">
        <x:v>1157</x:v>
      </x:c>
      <x:c r="H1264" s="3" t="n">
        <x:v>11</x:v>
      </x:c>
      <x:c r="I1264" s="3" t="n">
        <x:v>199</x:v>
      </x:c>
      <x:c r="J1264" s="15" t="n">
        <x:f>IF(D1264=0,"n.a.",E1264/D1264)</x:f>
        <x:v>0.008697632346336557</x:v>
      </x:c>
      <x:c r="K1264" s="15" t="n">
        <x:f>F1264/'Datos'!$F$7</x:f>
        <x:v>0.00016003130683487715</x:v>
      </x:c>
      <x:c r="L1264" s="3"/>
    </x:row>
    <x:row r="1265" ht="22" customHeight="1">
      <x:c r="A1265" s="3"/>
      <x:c r="B1265" s="3" t="str">
        <x:v>22085</x:v>
      </x:c>
      <x:c r="C1265" s="3" t="str">
        <x:v>PAPER CHAIN KIT SKULLS</x:v>
      </x:c>
      <x:c r="D1265" s="13" t="n">
        <x:v>1566.99</x:v>
      </x:c>
      <x:c r="E1265" s="13" t="n">
        <x:v>0</x:v>
      </x:c>
      <x:c r="F1265" s="13" t="n">
        <x:f>D1265-E1265</x:f>
        <x:v>1566.99</x:v>
      </x:c>
      <x:c r="G1265" s="3" t="n">
        <x:v>548</x:v>
      </x:c>
      <x:c r="H1265" s="3" t="n">
        <x:v>0</x:v>
      </x:c>
      <x:c r="I1265" s="3" t="n">
        <x:v>97</x:v>
      </x:c>
      <x:c r="J1265" s="15" t="n">
        <x:f>IF(D1265=0,"n.a.",E1265/D1265)</x:f>
        <x:v>0</x:v>
      </x:c>
      <x:c r="K1265" s="15" t="n">
        <x:f>F1265/'Datos'!$F$7</x:f>
        <x:v>0.0001600159893163241</x:v>
      </x:c>
      <x:c r="L1265" s="3"/>
    </x:row>
    <x:row r="1266" ht="22" customHeight="1">
      <x:c r="A1266" s="3"/>
      <x:c r="B1266" s="3" t="str">
        <x:v>22208</x:v>
      </x:c>
      <x:c r="C1266" s="3" t="str">
        <x:v>WOOD STAMP SET THANK YOU</x:v>
      </x:c>
      <x:c r="D1266" s="13" t="n">
        <x:v>1576.47</x:v>
      </x:c>
      <x:c r="E1266" s="13" t="n">
        <x:v>11.61</x:v>
      </x:c>
      <x:c r="F1266" s="13" t="n">
        <x:f>D1266-E1266</x:f>
        <x:v>1564.8600000000001</x:v>
      </x:c>
      <x:c r="G1266" s="3" t="n">
        <x:v>1515</x:v>
      </x:c>
      <x:c r="H1266" s="3" t="n">
        <x:v>13</x:v>
      </x:c>
      <x:c r="I1266" s="3" t="n">
        <x:v>280</x:v>
      </x:c>
      <x:c r="J1266" s="15" t="n">
        <x:f>IF(D1266=0,"n.a.",E1266/D1266)</x:f>
        <x:v>0.007364554986774248</x:v>
      </x:c>
      <x:c r="K1266" s="15" t="n">
        <x:f>F1266/'Datos'!$F$7</x:f>
        <x:v>0.00015979848055287075</x:v>
      </x:c>
      <x:c r="L1266" s="3"/>
    </x:row>
    <x:row r="1267" ht="22" customHeight="1">
      <x:c r="A1267" s="3"/>
      <x:c r="B1267" s="3" t="str">
        <x:v>21744</x:v>
      </x:c>
      <x:c r="C1267" s="3" t="str">
        <x:v>SNOWFLAKE PORTABLE TABLE LIGHT</x:v>
      </x:c>
      <x:c r="D1267" s="13" t="n">
        <x:v>1563.55</x:v>
      </x:c>
      <x:c r="E1267" s="13" t="n">
        <x:v>0</x:v>
      </x:c>
      <x:c r="F1267" s="13" t="n">
        <x:f>D1267-E1267</x:f>
        <x:v>1563.55</x:v>
      </x:c>
      <x:c r="G1267" s="3" t="n">
        <x:v>531</x:v>
      </x:c>
      <x:c r="H1267" s="3" t="n">
        <x:v>0</x:v>
      </x:c>
      <x:c r="I1267" s="3" t="n">
        <x:v>127</x:v>
      </x:c>
      <x:c r="J1267" s="15" t="n">
        <x:f>IF(D1267=0,"n.a.",E1267/D1267)</x:f>
        <x:v>0</x:v>
      </x:c>
      <x:c r="K1267" s="15" t="n">
        <x:f>F1267/'Datos'!$F$7</x:f>
        <x:v>0.0001596647075575074</x:v>
      </x:c>
      <x:c r="L1267" s="3"/>
    </x:row>
    <x:row r="1268" ht="22" customHeight="1">
      <x:c r="A1268" s="3"/>
      <x:c r="B1268" s="3" t="str">
        <x:v>84971S</x:v>
      </x:c>
      <x:c r="C1268" s="3" t="str">
        <x:v>SMALL HEART FLOWERS HOOK</x:v>
      </x:c>
      <x:c r="D1268" s="13" t="n">
        <x:v>1561.7</x:v>
      </x:c>
      <x:c r="E1268" s="13" t="n">
        <x:v>0.85</x:v>
      </x:c>
      <x:c r="F1268" s="13" t="n">
        <x:f>D1268-E1268</x:f>
        <x:v>1560.8500000000001</x:v>
      </x:c>
      <x:c r="G1268" s="3" t="n">
        <x:v>1786</x:v>
      </x:c>
      <x:c r="H1268" s="3" t="n">
        <x:v>1</x:v>
      </x:c>
      <x:c r="I1268" s="3" t="n">
        <x:v>172</x:v>
      </x:c>
      <x:c r="J1268" s="15" t="n">
        <x:f>IF(D1268=0,"n.a.",E1268/D1268)</x:f>
        <x:v>0.0005442786706793878</x:v>
      </x:c>
      <x:c r="K1268" s="15" t="n">
        <x:f>F1268/'Datos'!$F$7</x:f>
        <x:v>0.00015938899222355248</x:v>
      </x:c>
      <x:c r="L1268" s="3"/>
    </x:row>
    <x:row r="1269" ht="22" customHeight="1">
      <x:c r="A1269" s="3"/>
      <x:c r="B1269" s="3" t="str">
        <x:v>21913</x:v>
      </x:c>
      <x:c r="C1269" s="3" t="str">
        <x:v>VINTAGE SEASIDE JIGSAW PUZZLES</x:v>
      </x:c>
      <x:c r="D1269" s="13" t="n">
        <x:v>1565.83</x:v>
      </x:c>
      <x:c r="E1269" s="13" t="n">
        <x:v>11.25</x:v>
      </x:c>
      <x:c r="F1269" s="13" t="n">
        <x:f>D1269-E1269</x:f>
        <x:v>1554.58</x:v>
      </x:c>
      <x:c r="G1269" s="3" t="n">
        <x:v>398</x:v>
      </x:c>
      <x:c r="H1269" s="3" t="n">
        <x:v>3</x:v>
      </x:c>
      <x:c r="I1269" s="3" t="n">
        <x:v>148</x:v>
      </x:c>
      <x:c r="J1269" s="15" t="n">
        <x:f>IF(D1269=0,"n.a.",E1269/D1269)</x:f>
        <x:v>0.007184687992949426</x:v>
      </x:c>
      <x:c r="K1269" s="15" t="n">
        <x:f>F1269/'Datos'!$F$7</x:f>
        <x:v>0.00015874871994803484</x:v>
      </x:c>
      <x:c r="L1269" s="3"/>
    </x:row>
    <x:row r="1270" ht="22" customHeight="1">
      <x:c r="A1270" s="3"/>
      <x:c r="B1270" s="3" t="str">
        <x:v>22503</x:v>
      </x:c>
      <x:c r="C1270" s="3" t="str">
        <x:v>CABIN BAG VINTAGE PAISLEY</x:v>
      </x:c>
      <x:c r="D1270" s="13" t="n">
        <x:v>2010.12</x:v>
      </x:c>
      <x:c r="E1270" s="13" t="n">
        <x:v>461.85</x:v>
      </x:c>
      <x:c r="F1270" s="13" t="n">
        <x:f>D1270-E1270</x:f>
        <x:v>1548.27</x:v>
      </x:c>
      <x:c r="G1270" s="3" t="n">
        <x:v>99</x:v>
      </x:c>
      <x:c r="H1270" s="3" t="n">
        <x:v>19</x:v>
      </x:c>
      <x:c r="I1270" s="3" t="n">
        <x:v>34</x:v>
      </x:c>
      <x:c r="J1270" s="15" t="n">
        <x:f>IF(D1270=0,"n.a.",E1270/D1270)</x:f>
        <x:v>0.22976240224464214</x:v>
      </x:c>
      <x:c r="K1270" s="15" t="n">
        <x:f>F1270/'Datos'!$F$7</x:f>
        <x:v>0.00015810436300090308</x:v>
      </x:c>
      <x:c r="L1270" s="3"/>
    </x:row>
    <x:row r="1271" ht="22" customHeight="1">
      <x:c r="A1271" s="3"/>
      <x:c r="B1271" s="3" t="str">
        <x:v>20665</x:v>
      </x:c>
      <x:c r="C1271" s="3" t="str">
        <x:v>RED RETROSPOT PURSE</x:v>
      </x:c>
      <x:c r="D1271" s="13" t="n">
        <x:v>1546.27</x:v>
      </x:c>
      <x:c r="E1271" s="13" t="n">
        <x:v>0</x:v>
      </x:c>
      <x:c r="F1271" s="13" t="n">
        <x:f>D1271-E1271</x:f>
        <x:v>1546.27</x:v>
      </x:c>
      <x:c r="G1271" s="3" t="n">
        <x:v>461</x:v>
      </x:c>
      <x:c r="H1271" s="3" t="n">
        <x:v>0</x:v>
      </x:c>
      <x:c r="I1271" s="3" t="n">
        <x:v>156</x:v>
      </x:c>
      <x:c r="J1271" s="15" t="n">
        <x:f>IF(D1271=0,"n.a.",E1271/D1271)</x:f>
        <x:v>0</x:v>
      </x:c>
      <x:c r="K1271" s="15" t="n">
        <x:f>F1271/'Datos'!$F$7</x:f>
        <x:v>0.0001579001294201957</x:v>
      </x:c>
      <x:c r="L1271" s="3"/>
    </x:row>
    <x:row r="1272" ht="22" customHeight="1">
      <x:c r="A1272" s="3"/>
      <x:c r="B1272" s="3" t="str">
        <x:v>22434</x:v>
      </x:c>
      <x:c r="C1272" s="3" t="str">
        <x:v>BALLOON PUMP WITH 10 BALLOONS</x:v>
      </x:c>
      <x:c r="D1272" s="13" t="n">
        <x:v>1580.16</x:v>
      </x:c>
      <x:c r="E1272" s="13" t="n">
        <x:v>35.1</x:v>
      </x:c>
      <x:c r="F1272" s="13" t="n">
        <x:f>D1272-E1272</x:f>
        <x:v>1545.0600000000002</x:v>
      </x:c>
      <x:c r="G1272" s="3" t="n">
        <x:v>798</x:v>
      </x:c>
      <x:c r="H1272" s="3" t="n">
        <x:v>18</x:v>
      </x:c>
      <x:c r="I1272" s="3" t="n">
        <x:v>124</x:v>
      </x:c>
      <x:c r="J1272" s="15" t="n">
        <x:f>IF(D1272=0,"n.a.",E1272/D1272)</x:f>
        <x:v>0.022212940461725394</x:v>
      </x:c>
      <x:c r="K1272" s="15" t="n">
        <x:f>F1272/'Datos'!$F$7</x:f>
        <x:v>0.00015777656810386776</x:v>
      </x:c>
      <x:c r="L1272" s="3"/>
    </x:row>
    <x:row r="1273" ht="22" customHeight="1">
      <x:c r="A1273" s="3"/>
      <x:c r="B1273" s="3" t="str">
        <x:v>21626</x:v>
      </x:c>
      <x:c r="C1273" s="3" t="str">
        <x:v>VINTAGE UNION JACK PENNANT</x:v>
      </x:c>
      <x:c r="D1273" s="13" t="n">
        <x:v>1586.75</x:v>
      </x:c>
      <x:c r="E1273" s="13" t="n">
        <x:v>42.9</x:v>
      </x:c>
      <x:c r="F1273" s="13" t="n">
        <x:f>D1273-E1273</x:f>
        <x:v>1543.85</x:v>
      </x:c>
      <x:c r="G1273" s="3" t="n">
        <x:v>795</x:v>
      </x:c>
      <x:c r="H1273" s="3" t="n">
        <x:v>22</x:v>
      </x:c>
      <x:c r="I1273" s="3" t="n">
        <x:v>99</x:v>
      </x:c>
      <x:c r="J1273" s="15" t="n">
        <x:f>IF(D1273=0,"n.a.",E1273/D1273)</x:f>
        <x:v>0.02703639514731369</x:v>
      </x:c>
      <x:c r="K1273" s="15" t="n">
        <x:f>F1273/'Datos'!$F$7</x:f>
        <x:v>0.00015765300678753977</x:v>
      </x:c>
      <x:c r="L1273" s="3"/>
    </x:row>
    <x:row r="1274" ht="22" customHeight="1">
      <x:c r="A1274" s="3"/>
      <x:c r="B1274" s="3" t="str">
        <x:v>21898</x:v>
      </x:c>
      <x:c r="C1274" s="3" t="str">
        <x:v>POTTING SHED ROSE CANDLE</x:v>
      </x:c>
      <x:c r="D1274" s="13" t="n">
        <x:v>1541.11</x:v>
      </x:c>
      <x:c r="E1274" s="13" t="n">
        <x:v>0</x:v>
      </x:c>
      <x:c r="F1274" s="13" t="n">
        <x:f>D1274-E1274</x:f>
        <x:v>1541.11</x:v>
      </x:c>
      <x:c r="G1274" s="3" t="n">
        <x:v>493</x:v>
      </x:c>
      <x:c r="H1274" s="3" t="n">
        <x:v>0</x:v>
      </x:c>
      <x:c r="I1274" s="3" t="n">
        <x:v>25</x:v>
      </x:c>
      <x:c r="J1274" s="15" t="n">
        <x:f>IF(D1274=0,"n.a.",E1274/D1274)</x:f>
        <x:v>0</x:v>
      </x:c>
      <x:c r="K1274" s="15" t="n">
        <x:f>F1274/'Datos'!$F$7</x:f>
        <x:v>0.00015737320678197066</x:v>
      </x:c>
      <x:c r="L1274" s="3"/>
    </x:row>
    <x:row r="1275" ht="22" customHeight="1">
      <x:c r="A1275" s="3"/>
      <x:c r="B1275" s="3" t="str">
        <x:v>10133</x:v>
      </x:c>
      <x:c r="C1275" s="3" t="str">
        <x:v>COLOURING PENCILS BROWN TUBE</x:v>
      </x:c>
      <x:c r="D1275" s="13" t="n">
        <x:v>1544.22</x:v>
      </x:c>
      <x:c r="E1275" s="13" t="n">
        <x:v>4.2</x:v>
      </x:c>
      <x:c r="F1275" s="13" t="n">
        <x:f>D1275-E1275</x:f>
        <x:v>1540.02</x:v>
      </x:c>
      <x:c r="G1275" s="3" t="n">
        <x:v>2867</x:v>
      </x:c>
      <x:c r="H1275" s="3" t="n">
        <x:v>10</x:v>
      </x:c>
      <x:c r="I1275" s="3" t="n">
        <x:v>196</x:v>
      </x:c>
      <x:c r="J1275" s="15" t="n">
        <x:f>IF(D1275=0,"n.a.",E1275/D1275)</x:f>
        <x:v>0.002719819714807476</x:v>
      </x:c>
      <x:c r="K1275" s="15" t="n">
        <x:f>F1275/'Datos'!$F$7</x:f>
        <x:v>0.00015726189948048517</x:v>
      </x:c>
      <x:c r="L1275" s="3"/>
    </x:row>
    <x:row r="1276" ht="22" customHeight="1">
      <x:c r="A1276" s="3"/>
      <x:c r="B1276" s="3" t="str">
        <x:v>23226</x:v>
      </x:c>
      <x:c r="C1276" s="3" t="str">
        <x:v>FILIGREE HEART DAISY WHITE</x:v>
      </x:c>
      <x:c r="D1276" s="13" t="n">
        <x:v>1596.67</x:v>
      </x:c>
      <x:c r="E1276" s="13" t="n">
        <x:v>60</x:v>
      </x:c>
      <x:c r="F1276" s="13" t="n">
        <x:f>D1276-E1276</x:f>
        <x:v>1536.67</x:v>
      </x:c>
      <x:c r="G1276" s="3" t="n">
        <x:v>1247</x:v>
      </x:c>
      <x:c r="H1276" s="3" t="n">
        <x:v>48</x:v>
      </x:c>
      <x:c r="I1276" s="3" t="n">
        <x:v>98</x:v>
      </x:c>
      <x:c r="J1276" s="15" t="n">
        <x:f>IF(D1276=0,"n.a.",E1276/D1276)</x:f>
        <x:v>0.03757820964883163</x:v>
      </x:c>
      <x:c r="K1276" s="15" t="n">
        <x:f>F1276/'Datos'!$F$7</x:f>
        <x:v>0.00015691980823280031</x:v>
      </x:c>
      <x:c r="L1276" s="3"/>
    </x:row>
    <x:row r="1277" ht="22" customHeight="1">
      <x:c r="A1277" s="3"/>
      <x:c r="B1277" s="3" t="str">
        <x:v>23524</x:v>
      </x:c>
      <x:c r="C1277" s="3" t="str">
        <x:v>WALL ART HORSE &amp; PONY</x:v>
      </x:c>
      <x:c r="D1277" s="13" t="n">
        <x:v>1557.63</x:v>
      </x:c>
      <x:c r="E1277" s="13" t="n">
        <x:v>22.5</x:v>
      </x:c>
      <x:c r="F1277" s="13" t="n">
        <x:f>D1277-E1277</x:f>
        <x:v>1535.13</x:v>
      </x:c>
      <x:c r="G1277" s="3" t="n">
        <x:v>481</x:v>
      </x:c>
      <x:c r="H1277" s="3" t="n">
        <x:v>6</x:v>
      </x:c>
      <x:c r="I1277" s="3" t="n">
        <x:v>63</x:v>
      </x:c>
      <x:c r="J1277" s="15" t="n">
        <x:f>IF(D1277=0,"n.a.",E1277/D1277)</x:f>
        <x:v>0.014445022245334256</x:v>
      </x:c>
      <x:c r="K1277" s="15" t="n">
        <x:f>F1277/'Datos'!$F$7</x:f>
        <x:v>0.00015676254837565564</x:v>
      </x:c>
      <x:c r="L1277" s="3"/>
    </x:row>
    <x:row r="1278" ht="22" customHeight="1">
      <x:c r="A1278" s="3"/>
      <x:c r="B1278" s="3" t="str">
        <x:v>22176</x:v>
      </x:c>
      <x:c r="C1278" s="3" t="str">
        <x:v>BLUE OWL SOFT TOY</x:v>
      </x:c>
      <x:c r="D1278" s="13" t="n">
        <x:v>1539.83</x:v>
      </x:c>
      <x:c r="E1278" s="13" t="n">
        <x:v>5.9</x:v>
      </x:c>
      <x:c r="F1278" s="13" t="n">
        <x:f>D1278-E1278</x:f>
        <x:v>1533.9299999999998</x:v>
      </x:c>
      <x:c r="G1278" s="3" t="n">
        <x:v>513</x:v>
      </x:c>
      <x:c r="H1278" s="3" t="n">
        <x:v>2</x:v>
      </x:c>
      <x:c r="I1278" s="3" t="n">
        <x:v>115</x:v>
      </x:c>
      <x:c r="J1278" s="15" t="n">
        <x:f>IF(D1278=0,"n.a.",E1278/D1278)</x:f>
        <x:v>0.003831591799094706</x:v>
      </x:c>
      <x:c r="K1278" s="15" t="n">
        <x:f>F1278/'Datos'!$F$7</x:f>
        <x:v>0.0001566400082272312</x:v>
      </x:c>
      <x:c r="L1278" s="3"/>
    </x:row>
    <x:row r="1279" ht="22" customHeight="1">
      <x:c r="A1279" s="3"/>
      <x:c r="B1279" s="3" t="str">
        <x:v>21200</x:v>
      </x:c>
      <x:c r="C1279" s="3" t="str">
        <x:v>MULTICOLOUR HONEYCOMB PAPER GARLAND</x:v>
      </x:c>
      <x:c r="D1279" s="13" t="n">
        <x:v>1531.14</x:v>
      </x:c>
      <x:c r="E1279" s="13" t="n">
        <x:v>0</x:v>
      </x:c>
      <x:c r="F1279" s="13" t="n">
        <x:f>D1279-E1279</x:f>
        <x:v>1531.14</x:v>
      </x:c>
      <x:c r="G1279" s="3" t="n">
        <x:v>1119</x:v>
      </x:c>
      <x:c r="H1279" s="3" t="n">
        <x:v>0</x:v>
      </x:c>
      <x:c r="I1279" s="3" t="n">
        <x:v>75</x:v>
      </x:c>
      <x:c r="J1279" s="15" t="n">
        <x:f>IF(D1279=0,"n.a.",E1279/D1279)</x:f>
        <x:v>0</x:v>
      </x:c>
      <x:c r="K1279" s="15" t="n">
        <x:f>F1279/'Datos'!$F$7</x:f>
        <x:v>0.00015635510238214443</x:v>
      </x:c>
      <x:c r="L1279" s="3"/>
    </x:row>
    <x:row r="1280" ht="22" customHeight="1">
      <x:c r="A1280" s="3"/>
      <x:c r="B1280" s="3" t="str">
        <x:v>22828</x:v>
      </x:c>
      <x:c r="C1280" s="3" t="str">
        <x:v>REGENCY MIRROR WITH SHUTTERS</x:v>
      </x:c>
      <x:c r="D1280" s="13" t="n">
        <x:v>1530</x:v>
      </x:c>
      <x:c r="E1280" s="13" t="n">
        <x:v>0</x:v>
      </x:c>
      <x:c r="F1280" s="13" t="n">
        <x:f>D1280-E1280</x:f>
        <x:v>1530</x:v>
      </x:c>
      <x:c r="G1280" s="3" t="n">
        <x:v>10</x:v>
      </x:c>
      <x:c r="H1280" s="3" t="n">
        <x:v>0</x:v>
      </x:c>
      <x:c r="I1280" s="3" t="n">
        <x:v>7</x:v>
      </x:c>
      <x:c r="J1280" s="15" t="n">
        <x:f>IF(D1280=0,"n.a.",E1280/D1280)</x:f>
        <x:v>0</x:v>
      </x:c>
      <x:c r="K1280" s="15" t="n">
        <x:f>F1280/'Datos'!$F$7</x:f>
        <x:v>0.00015623868924114122</x:v>
      </x:c>
      <x:c r="L1280" s="3"/>
    </x:row>
    <x:row r="1281" ht="22" customHeight="1">
      <x:c r="A1281" s="3"/>
      <x:c r="B1281" s="3" t="str">
        <x:v>22472</x:v>
      </x:c>
      <x:c r="C1281" s="3" t="str">
        <x:v>TV DINNER TRAY DOLLY GIRL</x:v>
      </x:c>
      <x:c r="D1281" s="13" t="n">
        <x:v>1536.91</x:v>
      </x:c>
      <x:c r="E1281" s="13" t="n">
        <x:v>9.9</x:v>
      </x:c>
      <x:c r="F1281" s="13" t="n">
        <x:f>D1281-E1281</x:f>
        <x:v>1527.01</x:v>
      </x:c>
      <x:c r="G1281" s="3" t="n">
        <x:v>322</x:v>
      </x:c>
      <x:c r="H1281" s="3" t="n">
        <x:v>2</x:v>
      </x:c>
      <x:c r="I1281" s="3" t="n">
        <x:v>107</x:v>
      </x:c>
      <x:c r="J1281" s="15" t="n">
        <x:f>IF(D1281=0,"n.a.",E1281/D1281)</x:f>
        <x:v>0.006441496248967084</x:v>
      </x:c>
      <x:c r="K1281" s="15" t="n">
        <x:f>F1281/'Datos'!$F$7</x:f>
        <x:v>0.0001559333600379837</x:v>
      </x:c>
      <x:c r="L1281" s="3"/>
    </x:row>
    <x:row r="1282" ht="22" customHeight="1">
      <x:c r="A1282" s="3"/>
      <x:c r="B1282" s="3" t="str">
        <x:v>20985</x:v>
      </x:c>
      <x:c r="C1282" s="3" t="str">
        <x:v>HEART CALCULATOR</x:v>
      </x:c>
      <x:c r="D1282" s="13" t="n">
        <x:v>1545.59</x:v>
      </x:c>
      <x:c r="E1282" s="13" t="n">
        <x:v>19.43</x:v>
      </x:c>
      <x:c r="F1282" s="13" t="n">
        <x:f>D1282-E1282</x:f>
        <x:v>1526.1599999999999</x:v>
      </x:c>
      <x:c r="G1282" s="3" t="n">
        <x:v>1183</x:v>
      </x:c>
      <x:c r="H1282" s="3" t="n">
        <x:v>16</x:v>
      </x:c>
      <x:c r="I1282" s="3" t="n">
        <x:v>131</x:v>
      </x:c>
      <x:c r="J1282" s="15" t="n">
        <x:f>IF(D1282=0,"n.a.",E1282/D1282)</x:f>
        <x:v>0.012571251107991123</x:v>
      </x:c>
      <x:c r="K1282" s="15" t="n">
        <x:f>F1282/'Datos'!$F$7</x:f>
        <x:v>0.00015584656076618304</x:v>
      </x:c>
      <x:c r="L1282" s="3"/>
    </x:row>
    <x:row r="1283" ht="22" customHeight="1">
      <x:c r="A1283" s="3"/>
      <x:c r="B1283" s="3" t="str">
        <x:v>22675</x:v>
      </x:c>
      <x:c r="C1283" s="3" t="str">
        <x:v>FRENCH KITCHEN SIGN BLUE METAL</x:v>
      </x:c>
      <x:c r="D1283" s="13" t="n">
        <x:v>1558.91</x:v>
      </x:c>
      <x:c r="E1283" s="13" t="n">
        <x:v>33.75</x:v>
      </x:c>
      <x:c r="F1283" s="13" t="n">
        <x:f>D1283-E1283</x:f>
        <x:v>1525.16</x:v>
      </x:c>
      <x:c r="G1283" s="3" t="n">
        <x:v>1243</x:v>
      </x:c>
      <x:c r="H1283" s="3" t="n">
        <x:v>27</x:v>
      </x:c>
      <x:c r="I1283" s="3" t="n">
        <x:v>164</x:v>
      </x:c>
      <x:c r="J1283" s="15" t="n">
        <x:f>IF(D1283=0,"n.a.",E1283/D1283)</x:f>
        <x:v>0.021649742448249097</x:v>
      </x:c>
      <x:c r="K1283" s="15" t="n">
        <x:f>F1283/'Datos'!$F$7</x:f>
        <x:v>0.00015574444397582939</x:v>
      </x:c>
      <x:c r="L1283" s="3"/>
    </x:row>
    <x:row r="1284" ht="22" customHeight="1">
      <x:c r="A1284" s="3"/>
      <x:c r="B1284" s="3" t="str">
        <x:v>22494</x:v>
      </x:c>
      <x:c r="C1284" s="3" t="str">
        <x:v>EMERGENCY FIRST AID TIN</x:v>
      </x:c>
      <x:c r="D1284" s="13" t="n">
        <x:v>1573.52</x:v>
      </x:c>
      <x:c r="E1284" s="13" t="n">
        <x:v>50</x:v>
      </x:c>
      <x:c r="F1284" s="13" t="n">
        <x:f>D1284-E1284</x:f>
        <x:v>1523.52</x:v>
      </x:c>
      <x:c r="G1284" s="3" t="n">
        <x:v>1089</x:v>
      </x:c>
      <x:c r="H1284" s="3" t="n">
        <x:v>40</x:v>
      </x:c>
      <x:c r="I1284" s="3" t="n">
        <x:v>245</x:v>
      </x:c>
      <x:c r="J1284" s="15" t="n">
        <x:f>IF(D1284=0,"n.a.",E1284/D1284)</x:f>
        <x:v>0.031775890995983526</x:v>
      </x:c>
      <x:c r="K1284" s="15" t="n">
        <x:f>F1284/'Datos'!$F$7</x:f>
        <x:v>0.00015557697243964933</x:v>
      </x:c>
      <x:c r="L1284" s="3"/>
    </x:row>
    <x:row r="1285" ht="22" customHeight="1">
      <x:c r="A1285" s="3"/>
      <x:c r="B1285" s="3" t="str">
        <x:v>22600</x:v>
      </x:c>
      <x:c r="C1285" s="3" t="str">
        <x:v>CHRISTMAS RETROSPOT STAR WOOD</x:v>
      </x:c>
      <x:c r="D1285" s="13" t="n">
        <x:v>1544.93</x:v>
      </x:c>
      <x:c r="E1285" s="13" t="n">
        <x:v>23.8</x:v>
      </x:c>
      <x:c r="F1285" s="13" t="n">
        <x:f>D1285-E1285</x:f>
        <x:v>1521.13</x:v>
      </x:c>
      <x:c r="G1285" s="3" t="n">
        <x:v>1700</x:v>
      </x:c>
      <x:c r="H1285" s="3" t="n">
        <x:v>28</x:v>
      </x:c>
      <x:c r="I1285" s="3" t="n">
        <x:v>193</x:v>
      </x:c>
      <x:c r="J1285" s="15" t="n">
        <x:f>IF(D1285=0,"n.a.",E1285/D1285)</x:f>
        <x:v>0.01540522871586415</x:v>
      </x:c>
      <x:c r="K1285" s="15" t="n">
        <x:f>F1285/'Datos'!$F$7</x:f>
        <x:v>0.00015533291331070402</x:v>
      </x:c>
      <x:c r="L1285" s="3"/>
    </x:row>
    <x:row r="1286" ht="22" customHeight="1">
      <x:c r="A1286" s="3"/>
      <x:c r="B1286" s="3" t="str">
        <x:v>22318</x:v>
      </x:c>
      <x:c r="C1286" s="3" t="str">
        <x:v>FIVE HEART HANGING DECORATION</x:v>
      </x:c>
      <x:c r="D1286" s="13" t="n">
        <x:v>1541.62</x:v>
      </x:c>
      <x:c r="E1286" s="13" t="n">
        <x:v>20.65</x:v>
      </x:c>
      <x:c r="F1286" s="13" t="n">
        <x:f>D1286-E1286</x:f>
        <x:v>1520.9699999999998</x:v>
      </x:c>
      <x:c r="G1286" s="3" t="n">
        <x:v>462</x:v>
      </x:c>
      <x:c r="H1286" s="3" t="n">
        <x:v>7</x:v>
      </x:c>
      <x:c r="I1286" s="3" t="n">
        <x:v>142</x:v>
      </x:c>
      <x:c r="J1286" s="15" t="n">
        <x:f>IF(D1286=0,"n.a.",E1286/D1286)</x:f>
        <x:v>0.013395000064866828</x:v>
      </x:c>
      <x:c r="K1286" s="15" t="n">
        <x:f>F1286/'Datos'!$F$7</x:f>
        <x:v>0.0001553165746242474</x:v>
      </x:c>
      <x:c r="L1286" s="3"/>
    </x:row>
    <x:row r="1287" ht="22" customHeight="1">
      <x:c r="A1287" s="3"/>
      <x:c r="B1287" s="3" t="str">
        <x:v>85049C</x:v>
      </x:c>
      <x:c r="C1287" s="3" t="str">
        <x:v>ROMANTIC PINKS RIBBONS</x:v>
      </x:c>
      <x:c r="D1287" s="13" t="n">
        <x:v>1520.65</x:v>
      </x:c>
      <x:c r="E1287" s="13" t="n">
        <x:v>0</x:v>
      </x:c>
      <x:c r="F1287" s="13" t="n">
        <x:f>D1287-E1287</x:f>
        <x:v>1520.65</x:v>
      </x:c>
      <x:c r="G1287" s="3" t="n">
        <x:v>1218</x:v>
      </x:c>
      <x:c r="H1287" s="3" t="n">
        <x:v>0</x:v>
      </x:c>
      <x:c r="I1287" s="3" t="n">
        <x:v>225</x:v>
      </x:c>
      <x:c r="J1287" s="15" t="n">
        <x:f>IF(D1287=0,"n.a.",E1287/D1287)</x:f>
        <x:v>0</x:v>
      </x:c>
      <x:c r="K1287" s="15" t="n">
        <x:f>F1287/'Datos'!$F$7</x:f>
        <x:v>0.00015528389725133425</x:v>
      </x:c>
      <x:c r="L1287" s="3"/>
    </x:row>
    <x:row r="1288" ht="22" customHeight="1">
      <x:c r="A1288" s="3"/>
      <x:c r="B1288" s="3" t="str">
        <x:v>22818</x:v>
      </x:c>
      <x:c r="C1288" s="3" t="str">
        <x:v>CARD CHRISTMAS VILLAGE</x:v>
      </x:c>
      <x:c r="D1288" s="13" t="n">
        <x:v>1560.48</x:v>
      </x:c>
      <x:c r="E1288" s="13" t="n">
        <x:v>40.32</x:v>
      </x:c>
      <x:c r="F1288" s="13" t="n">
        <x:f>D1288-E1288</x:f>
        <x:v>1520.16</x:v>
      </x:c>
      <x:c r="G1288" s="3" t="n">
        <x:v>3657</x:v>
      </x:c>
      <x:c r="H1288" s="3" t="n">
        <x:v>96</x:v>
      </x:c>
      <x:c r="I1288" s="3" t="n">
        <x:v>244</x:v>
      </x:c>
      <x:c r="J1288" s="15" t="n">
        <x:f>IF(D1288=0,"n.a.",E1288/D1288)</x:f>
        <x:v>0.025838203629652414</x:v>
      </x:c>
      <x:c r="K1288" s="15" t="n">
        <x:f>F1288/'Datos'!$F$7</x:f>
        <x:v>0.00015523386002406093</x:v>
      </x:c>
      <x:c r="L1288" s="3"/>
    </x:row>
    <x:row r="1289" ht="22" customHeight="1">
      <x:c r="A1289" s="3"/>
      <x:c r="B1289" s="3" t="str">
        <x:v>22731</x:v>
      </x:c>
      <x:c r="C1289" s="3" t="str">
        <x:v>3D CHRISTMAS STAMPS STICKERS</x:v>
      </x:c>
      <x:c r="D1289" s="13" t="n">
        <x:v>1536.24</x:v>
      </x:c>
      <x:c r="E1289" s="13" t="n">
        <x:v>17.5</x:v>
      </x:c>
      <x:c r="F1289" s="13" t="n">
        <x:f>D1289-E1289</x:f>
        <x:v>1518.74</x:v>
      </x:c>
      <x:c r="G1289" s="3" t="n">
        <x:v>1172</x:v>
      </x:c>
      <x:c r="H1289" s="3" t="n">
        <x:v>14</x:v>
      </x:c>
      <x:c r="I1289" s="3" t="n">
        <x:v>143</x:v>
      </x:c>
      <x:c r="J1289" s="15" t="n">
        <x:f>IF(D1289=0,"n.a.",E1289/D1289)</x:f>
        <x:v>0.011391449252720929</x:v>
      </x:c>
      <x:c r="K1289" s="15" t="n">
        <x:f>F1289/'Datos'!$F$7</x:f>
        <x:v>0.0001550888541817587</x:v>
      </x:c>
      <x:c r="L1289" s="3"/>
    </x:row>
    <x:row r="1290" ht="22" customHeight="1">
      <x:c r="A1290" s="3"/>
      <x:c r="B1290" s="3" t="str">
        <x:v>84279P</x:v>
      </x:c>
      <x:c r="C1290" s="3" t="str">
        <x:v>CHERRY BLOSSOM DECORATIVE FLASK</x:v>
      </x:c>
      <x:c r="D1290" s="13" t="n">
        <x:v>1576.96</x:v>
      </x:c>
      <x:c r="E1290" s="13" t="n">
        <x:v>60</x:v>
      </x:c>
      <x:c r="F1290" s="13" t="n">
        <x:f>D1290-E1290</x:f>
        <x:v>1516.96</x:v>
      </x:c>
      <x:c r="G1290" s="3" t="n">
        <x:v>380</x:v>
      </x:c>
      <x:c r="H1290" s="3" t="n">
        <x:v>16</x:v>
      </x:c>
      <x:c r="I1290" s="3" t="n">
        <x:v>126</x:v>
      </x:c>
      <x:c r="J1290" s="15" t="n">
        <x:f>IF(D1290=0,"n.a.",E1290/D1290)</x:f>
        <x:v>0.03804788961038961</x:v>
      </x:c>
      <x:c r="K1290" s="15" t="n">
        <x:f>F1290/'Datos'!$F$7</x:f>
        <x:v>0.00015490708629492913</x:v>
      </x:c>
      <x:c r="L1290" s="3"/>
    </x:row>
    <x:row r="1291" ht="22" customHeight="1">
      <x:c r="A1291" s="3"/>
      <x:c r="B1291" s="3" t="str">
        <x:v>84884A</x:v>
      </x:c>
      <x:c r="C1291" s="3" t="str">
        <x:v>ANT WHITE WIRE HEART SPIRAL</x:v>
      </x:c>
      <x:c r="D1291" s="13" t="n">
        <x:v>1519.63</x:v>
      </x:c>
      <x:c r="E1291" s="13" t="n">
        <x:v>3.95</x:v>
      </x:c>
      <x:c r="F1291" s="13" t="n">
        <x:f>D1291-E1291</x:f>
        <x:v>1515.68</x:v>
      </x:c>
      <x:c r="G1291" s="3" t="n">
        <x:v>339</x:v>
      </x:c>
      <x:c r="H1291" s="3" t="n">
        <x:v>1</x:v>
      </x:c>
      <x:c r="I1291" s="3" t="n">
        <x:v>104</x:v>
      </x:c>
      <x:c r="J1291" s="15" t="n">
        <x:f>IF(D1291=0,"n.a.",E1291/D1291)</x:f>
        <x:v>0.002599316938991728</x:v>
      </x:c>
      <x:c r="K1291" s="15" t="n">
        <x:f>F1291/'Datos'!$F$7</x:f>
        <x:v>0.00015477637680327643</x:v>
      </x:c>
      <x:c r="L1291" s="3"/>
    </x:row>
    <x:row r="1292" ht="22" customHeight="1">
      <x:c r="A1292" s="3"/>
      <x:c r="B1292" s="3" t="str">
        <x:v>22982</x:v>
      </x:c>
      <x:c r="C1292" s="3" t="str">
        <x:v>PANTRY PASTRY BRUSH</x:v>
      </x:c>
      <x:c r="D1292" s="13" t="n">
        <x:v>1545.02</x:v>
      </x:c>
      <x:c r="E1292" s="13" t="n">
        <x:v>30</x:v>
      </x:c>
      <x:c r="F1292" s="13" t="n">
        <x:f>D1292-E1292</x:f>
        <x:v>1515.02</x:v>
      </x:c>
      <x:c r="G1292" s="3" t="n">
        <x:v>1155</x:v>
      </x:c>
      <x:c r="H1292" s="3" t="n">
        <x:v>24</x:v>
      </x:c>
      <x:c r="I1292" s="3" t="n">
        <x:v>212</x:v>
      </x:c>
      <x:c r="J1292" s="15" t="n">
        <x:f>IF(D1292=0,"n.a.",E1292/D1292)</x:f>
        <x:v>0.01941722437250003</x:v>
      </x:c>
      <x:c r="K1292" s="15" t="n">
        <x:f>F1292/'Datos'!$F$7</x:f>
        <x:v>0.000154708979721643</x:v>
      </x:c>
      <x:c r="L1292" s="3"/>
    </x:row>
    <x:row r="1293" ht="22" customHeight="1">
      <x:c r="A1293" s="3"/>
      <x:c r="B1293" s="3" t="str">
        <x:v>20668</x:v>
      </x:c>
      <x:c r="C1293" s="3" t="str">
        <x:v>DISCO BALL CHRISTMAS DECORATION</x:v>
      </x:c>
      <x:c r="D1293" s="13" t="n">
        <x:v>1512.92</x:v>
      </x:c>
      <x:c r="E1293" s="13" t="n">
        <x:v>0</x:v>
      </x:c>
      <x:c r="F1293" s="13" t="n">
        <x:f>D1293-E1293</x:f>
        <x:v>1512.92</x:v>
      </x:c>
      <x:c r="G1293" s="3" t="n">
        <x:v>12979</x:v>
      </x:c>
      <x:c r="H1293" s="3" t="n">
        <x:v>0</x:v>
      </x:c>
      <x:c r="I1293" s="3" t="n">
        <x:v>215</x:v>
      </x:c>
      <x:c r="J1293" s="15" t="n">
        <x:f>IF(D1293=0,"n.a.",E1293/D1293)</x:f>
        <x:v>0</x:v>
      </x:c>
      <x:c r="K1293" s="15" t="n">
        <x:f>F1293/'Datos'!$F$7</x:f>
        <x:v>0.00015449453446190025</x:v>
      </x:c>
      <x:c r="L1293" s="3"/>
    </x:row>
    <x:row r="1294" ht="22" customHeight="1">
      <x:c r="A1294" s="3"/>
      <x:c r="B1294" s="3" t="str">
        <x:v>84828</x:v>
      </x:c>
      <x:c r="C1294" s="3" t="str">
        <x:v>JUNGLE POPSICLES ICE LOLLY MOULDS</x:v>
      </x:c>
      <x:c r="D1294" s="13" t="n">
        <x:v>1541.36</x:v>
      </x:c>
      <x:c r="E1294" s="13" t="n">
        <x:v>30</x:v>
      </x:c>
      <x:c r="F1294" s="13" t="n">
        <x:f>D1294-E1294</x:f>
        <x:v>1511.36</x:v>
      </x:c>
      <x:c r="G1294" s="3" t="n">
        <x:v>1103</x:v>
      </x:c>
      <x:c r="H1294" s="3" t="n">
        <x:v>24</x:v>
      </x:c>
      <x:c r="I1294" s="3" t="n">
        <x:v>182</x:v>
      </x:c>
      <x:c r="J1294" s="15" t="n">
        <x:f>IF(D1294=0,"n.a.",E1294/D1294)</x:f>
        <x:v>0.019463331084237298</x:v>
      </x:c>
      <x:c r="K1294" s="15" t="n">
        <x:f>F1294/'Datos'!$F$7</x:f>
        <x:v>0.00015433523226894848</x:v>
      </x:c>
      <x:c r="L1294" s="3"/>
    </x:row>
    <x:row r="1295" ht="22" customHeight="1">
      <x:c r="A1295" s="3"/>
      <x:c r="B1295" s="3" t="str">
        <x:v>21069</x:v>
      </x:c>
      <x:c r="C1295" s="3" t="str">
        <x:v>VINTAGE BILLBOARD TEA MUG</x:v>
      </x:c>
      <x:c r="D1295" s="13" t="n">
        <x:v>2251.77</x:v>
      </x:c>
      <x:c r="E1295" s="13" t="n">
        <x:v>743.06</x:v>
      </x:c>
      <x:c r="F1295" s="13" t="n">
        <x:f>D1295-E1295</x:f>
        <x:v>1508.71</x:v>
      </x:c>
      <x:c r="G1295" s="3" t="n">
        <x:v>1950</x:v>
      </x:c>
      <x:c r="H1295" s="3" t="n">
        <x:v>701</x:v>
      </x:c>
      <x:c r="I1295" s="3" t="n">
        <x:v>86</x:v>
      </x:c>
      <x:c r="J1295" s="15" t="n">
        <x:f>IF(D1295=0,"n.a.",E1295/D1295)</x:f>
        <x:v>0.32998929730833965</x:v>
      </x:c>
      <x:c r="K1295" s="15" t="n">
        <x:f>F1295/'Datos'!$F$7</x:f>
        <x:v>0.00015406462277451122</x:v>
      </x:c>
      <x:c r="L1295" s="3"/>
    </x:row>
    <x:row r="1296" ht="22" customHeight="1">
      <x:c r="A1296" s="3"/>
      <x:c r="B1296" s="3" t="str">
        <x:v>22530</x:v>
      </x:c>
      <x:c r="C1296" s="3" t="str">
        <x:v>MAGIC DRAWING SLATE DOLLY GIRL</x:v>
      </x:c>
      <x:c r="D1296" s="13" t="n">
        <x:v>1517.72</x:v>
      </x:c>
      <x:c r="E1296" s="13" t="n">
        <x:v>10.08</x:v>
      </x:c>
      <x:c r="F1296" s="13" t="n">
        <x:f>D1296-E1296</x:f>
        <x:v>1507.64</x:v>
      </x:c>
      <x:c r="G1296" s="3" t="n">
        <x:v>3631</x:v>
      </x:c>
      <x:c r="H1296" s="3" t="n">
        <x:v>24</x:v>
      </x:c>
      <x:c r="I1296" s="3" t="n">
        <x:v>233</x:v>
      </x:c>
      <x:c r="J1296" s="15" t="n">
        <x:f>IF(D1296=0,"n.a.",E1296/D1296)</x:f>
        <x:v>0.0066415412592573065</x:v>
      </x:c>
      <x:c r="K1296" s="15" t="n">
        <x:f>F1296/'Datos'!$F$7</x:f>
        <x:v>0.00015395535780883277</x:v>
      </x:c>
      <x:c r="L1296" s="3"/>
    </x:row>
    <x:row r="1297" ht="22" customHeight="1">
      <x:c r="A1297" s="3"/>
      <x:c r="B1297" s="3" t="str">
        <x:v>22905</x:v>
      </x:c>
      <x:c r="C1297" s="3" t="str">
        <x:v>CALENDAR IN SEASON DESIGN</x:v>
      </x:c>
      <x:c r="D1297" s="13" t="n">
        <x:v>1505.24</x:v>
      </x:c>
      <x:c r="E1297" s="13" t="n">
        <x:v>0</x:v>
      </x:c>
      <x:c r="F1297" s="13" t="n">
        <x:f>D1297-E1297</x:f>
        <x:v>1505.24</x:v>
      </x:c>
      <x:c r="G1297" s="3" t="n">
        <x:v>582</x:v>
      </x:c>
      <x:c r="H1297" s="3" t="n">
        <x:v>0</x:v>
      </x:c>
      <x:c r="I1297" s="3" t="n">
        <x:v>110</x:v>
      </x:c>
      <x:c r="J1297" s="15" t="n">
        <x:f>IF(D1297=0,"n.a.",E1297/D1297)</x:f>
        <x:v>0</x:v>
      </x:c>
      <x:c r="K1297" s="15" t="n">
        <x:f>F1297/'Datos'!$F$7</x:f>
        <x:v>0.00015371027751198392</x:v>
      </x:c>
      <x:c r="L1297" s="3"/>
    </x:row>
    <x:row r="1298" ht="22" customHeight="1">
      <x:c r="A1298" s="3"/>
      <x:c r="B1298" s="3" t="str">
        <x:v>22471</x:v>
      </x:c>
      <x:c r="C1298" s="3" t="str">
        <x:v>TV DINNER TRAY AIR HOSTESS</x:v>
      </x:c>
      <x:c r="D1298" s="13" t="n">
        <x:v>1506.97</x:v>
      </x:c>
      <x:c r="E1298" s="13" t="n">
        <x:v>1.95</x:v>
      </x:c>
      <x:c r="F1298" s="13" t="n">
        <x:f>D1298-E1298</x:f>
        <x:v>1505.02</x:v>
      </x:c>
      <x:c r="G1298" s="3" t="n">
        <x:v>420</x:v>
      </x:c>
      <x:c r="H1298" s="3" t="n">
        <x:v>1</x:v>
      </x:c>
      <x:c r="I1298" s="3" t="n">
        <x:v>105</x:v>
      </x:c>
      <x:c r="J1298" s="15" t="n">
        <x:f>IF(D1298=0,"n.a.",E1298/D1298)</x:f>
        <x:v>0.0012939872724739045</x:v>
      </x:c>
      <x:c r="K1298" s="15" t="n">
        <x:f>F1298/'Datos'!$F$7</x:f>
        <x:v>0.0001536878118181061</x:v>
      </x:c>
      <x:c r="L1298" s="3"/>
    </x:row>
    <x:row r="1299" ht="22" customHeight="1">
      <x:c r="A1299" s="3"/>
      <x:c r="B1299" s="3" t="str">
        <x:v>23528</x:v>
      </x:c>
      <x:c r="C1299" s="3" t="str">
        <x:v>WALL ART SPACEBOY</x:v>
      </x:c>
      <x:c r="D1299" s="13" t="n">
        <x:v>1504.49</x:v>
      </x:c>
      <x:c r="E1299" s="13" t="n">
        <x:v>0</x:v>
      </x:c>
      <x:c r="F1299" s="13" t="n">
        <x:f>D1299-E1299</x:f>
        <x:v>1504.49</x:v>
      </x:c>
      <x:c r="G1299" s="3" t="n">
        <x:v>479</x:v>
      </x:c>
      <x:c r="H1299" s="3" t="n">
        <x:v>0</x:v>
      </x:c>
      <x:c r="I1299" s="3" t="n">
        <x:v>50</x:v>
      </x:c>
      <x:c r="J1299" s="15" t="n">
        <x:f>IF(D1299=0,"n.a.",E1299/D1299)</x:f>
        <x:v>0</x:v>
      </x:c>
      <x:c r="K1299" s="15" t="n">
        <x:f>F1299/'Datos'!$F$7</x:f>
        <x:v>0.00015363368991921865</x:v>
      </x:c>
      <x:c r="L1299" s="3"/>
    </x:row>
    <x:row r="1300" ht="22" customHeight="1">
      <x:c r="A1300" s="3"/>
      <x:c r="B1300" s="3" t="str">
        <x:v>22985</x:v>
      </x:c>
      <x:c r="C1300" s="3" t="str">
        <x:v>WRAP BILLBOARD FONTS DESIGN</x:v>
      </x:c>
      <x:c r="D1300" s="13" t="n">
        <x:v>1500.44</x:v>
      </x:c>
      <x:c r="E1300" s="13" t="n">
        <x:v>0</x:v>
      </x:c>
      <x:c r="F1300" s="13" t="n">
        <x:f>D1300-E1300</x:f>
        <x:v>1500.44</x:v>
      </x:c>
      <x:c r="G1300" s="3" t="n">
        <x:v>3782</x:v>
      </x:c>
      <x:c r="H1300" s="3" t="n">
        <x:v>0</x:v>
      </x:c>
      <x:c r="I1300" s="3" t="n">
        <x:v>99</x:v>
      </x:c>
      <x:c r="J1300" s="15" t="n">
        <x:f>IF(D1300=0,"n.a.",E1300/D1300)</x:f>
        <x:v>0</x:v>
      </x:c>
      <x:c r="K1300" s="15" t="n">
        <x:f>F1300/'Datos'!$F$7</x:f>
        <x:v>0.00015322011691828622</x:v>
      </x:c>
      <x:c r="L1300" s="3"/>
    </x:row>
    <x:row r="1301" ht="22" customHeight="1">
      <x:c r="A1301" s="3"/>
      <x:c r="B1301" s="3" t="str">
        <x:v>22474</x:v>
      </x:c>
      <x:c r="C1301" s="3" t="str">
        <x:v>SPACEBOY TV DINNER TRAY</x:v>
      </x:c>
      <x:c r="D1301" s="13" t="n">
        <x:v>1636.27</x:v>
      </x:c>
      <x:c r="E1301" s="13" t="n">
        <x:v>136</x:v>
      </x:c>
      <x:c r="F1301" s="13" t="n">
        <x:f>D1301-E1301</x:f>
        <x:v>1500.27</x:v>
      </x:c>
      <x:c r="G1301" s="3" t="n">
        <x:v>303</x:v>
      </x:c>
      <x:c r="H1301" s="3" t="n">
        <x:v>32</x:v>
      </x:c>
      <x:c r="I1301" s="3" t="n">
        <x:v>132</x:v>
      </x:c>
      <x:c r="J1301" s="15" t="n">
        <x:f>IF(D1301=0,"n.a.",E1301/D1301)</x:f>
        <x:v>0.08311586718573341</x:v>
      </x:c>
      <x:c r="K1301" s="15" t="n">
        <x:f>F1301/'Datos'!$F$7</x:f>
        <x:v>0.0001532027570639261</x:v>
      </x:c>
      <x:c r="L1301" s="3"/>
    </x:row>
    <x:row r="1302" ht="22" customHeight="1">
      <x:c r="A1302" s="3"/>
      <x:c r="B1302" s="3" t="str">
        <x:v>23271</x:v>
      </x:c>
      <x:c r="C1302" s="3" t="str">
        <x:v>CHRISTMAS TABLE SILVER CANDLE SPIKE</x:v>
      </x:c>
      <x:c r="D1302" s="13" t="n">
        <x:v>1499.38</x:v>
      </x:c>
      <x:c r="E1302" s="13" t="n">
        <x:v>0</x:v>
      </x:c>
      <x:c r="F1302" s="13" t="n">
        <x:f>D1302-E1302</x:f>
        <x:v>1499.38</x:v>
      </x:c>
      <x:c r="G1302" s="3" t="n">
        <x:v>1734</x:v>
      </x:c>
      <x:c r="H1302" s="3" t="n">
        <x:v>0</x:v>
      </x:c>
      <x:c r="I1302" s="3" t="n">
        <x:v>104</x:v>
      </x:c>
      <x:c r="J1302" s="15" t="n">
        <x:f>IF(D1302=0,"n.a.",E1302/D1302)</x:f>
        <x:v>0</x:v>
      </x:c>
      <x:c r="K1302" s="15" t="n">
        <x:f>F1302/'Datos'!$F$7</x:f>
        <x:v>0.00015311187312051132</x:v>
      </x:c>
      <x:c r="L1302" s="3"/>
    </x:row>
    <x:row r="1303" ht="22" customHeight="1">
      <x:c r="A1303" s="3"/>
      <x:c r="B1303" s="3" t="str">
        <x:v>22285</x:v>
      </x:c>
      <x:c r="C1303" s="3" t="str">
        <x:v>HANGING HEN ON NEST DECORATION</x:v>
      </x:c>
      <x:c r="D1303" s="13" t="n">
        <x:v>1494.9</x:v>
      </x:c>
      <x:c r="E1303" s="13" t="n">
        <x:v>0</x:v>
      </x:c>
      <x:c r="F1303" s="13" t="n">
        <x:f>D1303-E1303</x:f>
        <x:v>1494.9</x:v>
      </x:c>
      <x:c r="G1303" s="3" t="n">
        <x:v>871</x:v>
      </x:c>
      <x:c r="H1303" s="3" t="n">
        <x:v>0</x:v>
      </x:c>
      <x:c r="I1303" s="3" t="n">
        <x:v>120</x:v>
      </x:c>
      <x:c r="J1303" s="15" t="n">
        <x:f>IF(D1303=0,"n.a.",E1303/D1303)</x:f>
        <x:v>0</x:v>
      </x:c>
      <x:c r="K1303" s="15" t="n">
        <x:f>F1303/'Datos'!$F$7</x:f>
        <x:v>0.0001526543898997268</x:v>
      </x:c>
      <x:c r="L1303" s="3"/>
    </x:row>
    <x:row r="1304" ht="22" customHeight="1">
      <x:c r="A1304" s="3"/>
      <x:c r="B1304" s="3" t="str">
        <x:v>22802</x:v>
      </x:c>
      <x:c r="C1304" s="3" t="str">
        <x:v>FAUX FUR CHOCOLATE THROW</x:v>
      </x:c>
      <x:c r="D1304" s="13" t="n">
        <x:v>1494.69</x:v>
      </x:c>
      <x:c r="E1304" s="13" t="n">
        <x:v>0</x:v>
      </x:c>
      <x:c r="F1304" s="13" t="n">
        <x:f>D1304-E1304</x:f>
        <x:v>1494.69</x:v>
      </x:c>
      <x:c r="G1304" s="3" t="n">
        <x:v>88</x:v>
      </x:c>
      <x:c r="H1304" s="3" t="n">
        <x:v>0</x:v>
      </x:c>
      <x:c r="I1304" s="3" t="n">
        <x:v>49</x:v>
      </x:c>
      <x:c r="J1304" s="15" t="n">
        <x:f>IF(D1304=0,"n.a.",E1304/D1304)</x:f>
        <x:v>0</x:v>
      </x:c>
      <x:c r="K1304" s="15" t="n">
        <x:f>F1304/'Datos'!$F$7</x:f>
        <x:v>0.00015263294537375252</x:v>
      </x:c>
      <x:c r="L1304" s="3"/>
    </x:row>
    <x:row r="1305" ht="22" customHeight="1">
      <x:c r="A1305" s="3"/>
      <x:c r="B1305" s="3" t="str">
        <x:v>23334</x:v>
      </x:c>
      <x:c r="C1305" s="3" t="str">
        <x:v>IVORY WICKER HEART SMALL</x:v>
      </x:c>
      <x:c r="D1305" s="13" t="n">
        <x:v>1491.75</x:v>
      </x:c>
      <x:c r="E1305" s="13" t="n">
        <x:v>0</x:v>
      </x:c>
      <x:c r="F1305" s="13" t="n">
        <x:f>D1305-E1305</x:f>
        <x:v>1491.75</x:v>
      </x:c>
      <x:c r="G1305" s="3" t="n">
        <x:v>2271</x:v>
      </x:c>
      <x:c r="H1305" s="3" t="n">
        <x:v>0</x:v>
      </x:c>
      <x:c r="I1305" s="3" t="n">
        <x:v>130</x:v>
      </x:c>
      <x:c r="J1305" s="15" t="n">
        <x:f>IF(D1305=0,"n.a.",E1305/D1305)</x:f>
        <x:v>0</x:v>
      </x:c>
      <x:c r="K1305" s="15" t="n">
        <x:f>F1305/'Datos'!$F$7</x:f>
        <x:v>0.00015233272201011267</x:v>
      </x:c>
      <x:c r="L1305" s="3"/>
    </x:row>
    <x:row r="1306" ht="22" customHeight="1">
      <x:c r="A1306" s="3"/>
      <x:c r="B1306" s="3" t="str">
        <x:v>23559</x:v>
      </x:c>
      <x:c r="C1306" s="3" t="str">
        <x:v>WOODLAND BUNNIES LOLLY MAKERS</x:v>
      </x:c>
      <x:c r="D1306" s="13" t="n">
        <x:v>1488.65</x:v>
      </x:c>
      <x:c r="E1306" s="13" t="n">
        <x:v>0</x:v>
      </x:c>
      <x:c r="F1306" s="13" t="n">
        <x:f>D1306-E1306</x:f>
        <x:v>1488.65</x:v>
      </x:c>
      <x:c r="G1306" s="3" t="n">
        <x:v>652</x:v>
      </x:c>
      <x:c r="H1306" s="3" t="n">
        <x:v>0</x:v>
      </x:c>
      <x:c r="I1306" s="3" t="n">
        <x:v>124</x:v>
      </x:c>
      <x:c r="J1306" s="15" t="n">
        <x:f>IF(D1306=0,"n.a.",E1306/D1306)</x:f>
        <x:v>0</x:v>
      </x:c>
      <x:c r="K1306" s="15" t="n">
        <x:f>F1306/'Datos'!$F$7</x:f>
        <x:v>0.00015201615996001625</x:v>
      </x:c>
      <x:c r="L1306" s="3"/>
    </x:row>
    <x:row r="1307" ht="22" customHeight="1">
      <x:c r="A1307" s="3"/>
      <x:c r="B1307" s="3" t="str">
        <x:v>84580</x:v>
      </x:c>
      <x:c r="C1307" s="3" t="str">
        <x:v>MOUSE TOY WITH PINK T-SHIRT</x:v>
      </x:c>
      <x:c r="D1307" s="13" t="n">
        <x:v>1486.18</x:v>
      </x:c>
      <x:c r="E1307" s="13" t="n">
        <x:v>0</x:v>
      </x:c>
      <x:c r="F1307" s="13" t="n">
        <x:f>D1307-E1307</x:f>
        <x:v>1486.18</x:v>
      </x:c>
      <x:c r="G1307" s="3" t="n">
        <x:v>390</x:v>
      </x:c>
      <x:c r="H1307" s="3" t="n">
        <x:v>0</x:v>
      </x:c>
      <x:c r="I1307" s="3" t="n">
        <x:v>165</x:v>
      </x:c>
      <x:c r="J1307" s="15" t="n">
        <x:f>IF(D1307=0,"n.a.",E1307/D1307)</x:f>
        <x:v>0</x:v>
      </x:c>
      <x:c r="K1307" s="15" t="n">
        <x:f>F1307/'Datos'!$F$7</x:f>
        <x:v>0.00015176393148784266</x:v>
      </x:c>
      <x:c r="L1307" s="3"/>
    </x:row>
    <x:row r="1308" ht="22" customHeight="1">
      <x:c r="A1308" s="3"/>
      <x:c r="B1308" s="3" t="str">
        <x:v>21528</x:v>
      </x:c>
      <x:c r="C1308" s="3" t="str">
        <x:v>DAIRY MAID TRADITIONAL TEAPOT</x:v>
      </x:c>
      <x:c r="D1308" s="13" t="n">
        <x:v>1578.42</x:v>
      </x:c>
      <x:c r="E1308" s="13" t="n">
        <x:v>93.3</x:v>
      </x:c>
      <x:c r="F1308" s="13" t="n">
        <x:f>D1308-E1308</x:f>
        <x:v>1485.1200000000001</x:v>
      </x:c>
      <x:c r="G1308" s="3" t="n">
        <x:v>218</x:v>
      </x:c>
      <x:c r="H1308" s="3" t="n">
        <x:v>14</x:v>
      </x:c>
      <x:c r="I1308" s="3" t="n">
        <x:v>111</x:v>
      </x:c>
      <x:c r="J1308" s="15" t="n">
        <x:f>IF(D1308=0,"n.a.",E1308/D1308)</x:f>
        <x:v>0.05910974265404645</x:v>
      </x:c>
      <x:c r="K1308" s="15" t="n">
        <x:f>F1308/'Datos'!$F$7</x:f>
        <x:v>0.00015165568769006776</x:v>
      </x:c>
      <x:c r="L1308" s="3"/>
    </x:row>
    <x:row r="1309" ht="22" customHeight="1">
      <x:c r="A1309" s="3"/>
      <x:c r="B1309" s="3" t="str">
        <x:v>22398</x:v>
      </x:c>
      <x:c r="C1309" s="3" t="str">
        <x:v>MAGNETS PACK OF 4 SWALLOWS</x:v>
      </x:c>
      <x:c r="D1309" s="13" t="n">
        <x:v>1589.51</x:v>
      </x:c>
      <x:c r="E1309" s="13" t="n">
        <x:v>105</x:v>
      </x:c>
      <x:c r="F1309" s="13" t="n">
        <x:f>D1309-E1309</x:f>
        <x:v>1484.51</x:v>
      </x:c>
      <x:c r="G1309" s="3" t="n">
        <x:v>2576</x:v>
      </x:c>
      <x:c r="H1309" s="3" t="n">
        <x:v>84</x:v>
      </x:c>
      <x:c r="I1309" s="3" t="n">
        <x:v>248</x:v>
      </x:c>
      <x:c r="J1309" s="15" t="n">
        <x:f>IF(D1309=0,"n.a.",E1309/D1309)</x:f>
        <x:v>0.06605809337468779</x:v>
      </x:c>
      <x:c r="K1309" s="15" t="n">
        <x:f>F1309/'Datos'!$F$7</x:f>
        <x:v>0.000151593396447952</x:v>
      </x:c>
      <x:c r="L1309" s="3"/>
    </x:row>
    <x:row r="1310" ht="22" customHeight="1">
      <x:c r="A1310" s="3"/>
      <x:c r="B1310" s="3" t="str">
        <x:v>21327</x:v>
      </x:c>
      <x:c r="C1310" s="3" t="str">
        <x:v>SKULLS WRITING SET</x:v>
      </x:c>
      <x:c r="D1310" s="13" t="n">
        <x:v>1484.13</x:v>
      </x:c>
      <x:c r="E1310" s="13" t="n">
        <x:v>0</x:v>
      </x:c>
      <x:c r="F1310" s="13" t="n">
        <x:f>D1310-E1310</x:f>
        <x:v>1484.13</x:v>
      </x:c>
      <x:c r="G1310" s="3" t="n">
        <x:v>864</x:v>
      </x:c>
      <x:c r="H1310" s="3" t="n">
        <x:v>0</x:v>
      </x:c>
      <x:c r="I1310" s="3" t="n">
        <x:v>252</x:v>
      </x:c>
      <x:c r="J1310" s="15" t="n">
        <x:f>IF(D1310=0,"n.a.",E1310/D1310)</x:f>
        <x:v>0</x:v>
      </x:c>
      <x:c r="K1310" s="15" t="n">
        <x:f>F1310/'Datos'!$F$7</x:f>
        <x:v>0.0001515545920676176</x:v>
      </x:c>
      <x:c r="L1310" s="3"/>
    </x:row>
    <x:row r="1311" ht="22" customHeight="1">
      <x:c r="A1311" s="3"/>
      <x:c r="B1311" s="3" t="str">
        <x:v>21619</x:v>
      </x:c>
      <x:c r="C1311" s="3" t="str">
        <x:v>4 VANILLA BOTANICAL CANDLES</x:v>
      </x:c>
      <x:c r="D1311" s="13" t="n">
        <x:v>1481.4</x:v>
      </x:c>
      <x:c r="E1311" s="13" t="n">
        <x:v>0</x:v>
      </x:c>
      <x:c r="F1311" s="13" t="n">
        <x:f>D1311-E1311</x:f>
        <x:v>1481.4</x:v>
      </x:c>
      <x:c r="G1311" s="3" t="n">
        <x:v>978</x:v>
      </x:c>
      <x:c r="H1311" s="3" t="n">
        <x:v>0</x:v>
      </x:c>
      <x:c r="I1311" s="3" t="n">
        <x:v>164</x:v>
      </x:c>
      <x:c r="J1311" s="15" t="n">
        <x:f>IF(D1311=0,"n.a.",E1311/D1311)</x:f>
        <x:v>0</x:v>
      </x:c>
      <x:c r="K1311" s="15" t="n">
        <x:f>F1311/'Datos'!$F$7</x:f>
        <x:v>0.00015127581322995202</x:v>
      </x:c>
      <x:c r="L1311" s="3"/>
    </x:row>
    <x:row r="1312" ht="22" customHeight="1">
      <x:c r="A1312" s="3"/>
      <x:c r="B1312" s="3" t="str">
        <x:v>21447</x:v>
      </x:c>
      <x:c r="C1312" s="3" t="str">
        <x:v>12 IVORY ROSE PEG PLACE SETTINGS</x:v>
      </x:c>
      <x:c r="D1312" s="13" t="n">
        <x:v>1478.1</x:v>
      </x:c>
      <x:c r="E1312" s="13" t="n">
        <x:v>1.25</x:v>
      </x:c>
      <x:c r="F1312" s="13" t="n">
        <x:f>D1312-E1312</x:f>
        <x:v>1476.85</x:v>
      </x:c>
      <x:c r="G1312" s="3" t="n">
        <x:v>969</x:v>
      </x:c>
      <x:c r="H1312" s="3" t="n">
        <x:v>1</x:v>
      </x:c>
      <x:c r="I1312" s="3" t="n">
        <x:v>148</x:v>
      </x:c>
      <x:c r="J1312" s="15" t="n">
        <x:f>IF(D1312=0,"n.a.",E1312/D1312)</x:f>
        <x:v>0.0008456802652053312</x:v>
      </x:c>
      <x:c r="K1312" s="15" t="n">
        <x:f>F1312/'Datos'!$F$7</x:f>
        <x:v>0.00015081118183384273</x:v>
      </x:c>
      <x:c r="L1312" s="3"/>
    </x:row>
    <x:row r="1313" ht="22" customHeight="1">
      <x:c r="A1313" s="3"/>
      <x:c r="B1313" s="3" t="str">
        <x:v>22203</x:v>
      </x:c>
      <x:c r="C1313" s="3" t="str">
        <x:v>MILK PAN RED RETROSPOT</x:v>
      </x:c>
      <x:c r="D1313" s="13" t="n">
        <x:v>1483.13</x:v>
      </x:c>
      <x:c r="E1313" s="13" t="n">
        <x:v>7.5</x:v>
      </x:c>
      <x:c r="F1313" s="13" t="n">
        <x:f>D1313-E1313</x:f>
        <x:v>1475.63</x:v>
      </x:c>
      <x:c r="G1313" s="3" t="n">
        <x:v>403</x:v>
      </x:c>
      <x:c r="H1313" s="3" t="n">
        <x:v>2</x:v>
      </x:c>
      <x:c r="I1313" s="3" t="n">
        <x:v>145</x:v>
      </x:c>
      <x:c r="J1313" s="15" t="n">
        <x:f>IF(D1313=0,"n.a.",E1313/D1313)</x:f>
        <x:v>0.005056872964608631</x:v>
      </x:c>
      <x:c r="K1313" s="15" t="n">
        <x:f>F1313/'Datos'!$F$7</x:f>
        <x:v>0.00015068659934961126</x:v>
      </x:c>
      <x:c r="L1313" s="3"/>
    </x:row>
    <x:row r="1314" ht="22" customHeight="1">
      <x:c r="A1314" s="3"/>
      <x:c r="B1314" s="3" t="str">
        <x:v>23267</x:v>
      </x:c>
      <x:c r="C1314" s="3" t="str">
        <x:v>SET OF 4 SANTA PLACE SETTINGS</x:v>
      </x:c>
      <x:c r="D1314" s="13" t="n">
        <x:v>1531.95</x:v>
      </x:c>
      <x:c r="E1314" s="13" t="n">
        <x:v>60</x:v>
      </x:c>
      <x:c r="F1314" s="13" t="n">
        <x:f>D1314-E1314</x:f>
        <x:v>1471.95</x:v>
      </x:c>
      <x:c r="G1314" s="3" t="n">
        <x:v>1202</x:v>
      </x:c>
      <x:c r="H1314" s="3" t="n">
        <x:v>48</x:v>
      </x:c>
      <x:c r="I1314" s="3" t="n">
        <x:v>108</x:v>
      </x:c>
      <x:c r="J1314" s="15" t="n">
        <x:f>IF(D1314=0,"n.a.",E1314/D1314)</x:f>
        <x:v>0.03916576911779105</x:v>
      </x:c>
      <x:c r="K1314" s="15" t="n">
        <x:f>F1314/'Datos'!$F$7</x:f>
        <x:v>0.00015031080956110968</x:v>
      </x:c>
      <x:c r="L1314" s="3"/>
    </x:row>
    <x:row r="1315" ht="22" customHeight="1">
      <x:c r="A1315" s="3"/>
      <x:c r="B1315" s="3" t="str">
        <x:v>23365</x:v>
      </x:c>
      <x:c r="C1315" s="3" t="str">
        <x:v>SET 12 COLOUR PENCILS LOVE LONDON</x:v>
      </x:c>
      <x:c r="D1315" s="13" t="n">
        <x:v>1464.38</x:v>
      </x:c>
      <x:c r="E1315" s="13" t="n">
        <x:v>0</x:v>
      </x:c>
      <x:c r="F1315" s="13" t="n">
        <x:f>D1315-E1315</x:f>
        <x:v>1464.38</x:v>
      </x:c>
      <x:c r="G1315" s="3" t="n">
        <x:v>1859</x:v>
      </x:c>
      <x:c r="H1315" s="3" t="n">
        <x:v>0</x:v>
      </x:c>
      <x:c r="I1315" s="3" t="n">
        <x:v>169</x:v>
      </x:c>
      <x:c r="J1315" s="15" t="n">
        <x:f>IF(D1315=0,"n.a.",E1315/D1315)</x:f>
        <x:v>0</x:v>
      </x:c>
      <x:c r="K1315" s="15" t="n">
        <x:f>F1315/'Datos'!$F$7</x:f>
        <x:v>0.00014953778545813228</x:v>
      </x:c>
      <x:c r="L1315" s="3"/>
    </x:row>
    <x:row r="1316" ht="22" customHeight="1">
      <x:c r="A1316" s="3"/>
      <x:c r="B1316" s="3" t="str">
        <x:v>21829</x:v>
      </x:c>
      <x:c r="C1316" s="3" t="str">
        <x:v>DINOSAUR KEYRINGS ASSORTED</x:v>
      </x:c>
      <x:c r="D1316" s="13" t="n">
        <x:v>1483.42</x:v>
      </x:c>
      <x:c r="E1316" s="13" t="n">
        <x:v>22.68</x:v>
      </x:c>
      <x:c r="F1316" s="13" t="n">
        <x:f>D1316-E1316</x:f>
        <x:v>1460.74</x:v>
      </x:c>
      <x:c r="G1316" s="3" t="n">
        <x:v>6873</x:v>
      </x:c>
      <x:c r="H1316" s="3" t="n">
        <x:v>108</x:v>
      </x:c>
      <x:c r="I1316" s="3" t="n">
        <x:v>177</x:v>
      </x:c>
      <x:c r="J1316" s="15" t="n">
        <x:f>IF(D1316=0,"n.a.",E1316/D1316)</x:f>
        <x:v>0.015288994350891857</x:v>
      </x:c>
      <x:c r="K1316" s="15" t="n">
        <x:f>F1316/'Datos'!$F$7</x:f>
        <x:v>0.00014916608034124483</x:v>
      </x:c>
      <x:c r="L1316" s="3"/>
    </x:row>
    <x:row r="1317" ht="22" customHeight="1">
      <x:c r="A1317" s="3"/>
      <x:c r="B1317" s="3" t="str">
        <x:v>22713</x:v>
      </x:c>
      <x:c r="C1317" s="3" t="str">
        <x:v>CARD I LOVE LONDON</x:v>
      </x:c>
      <x:c r="D1317" s="13" t="n">
        <x:v>1462.56</x:v>
      </x:c>
      <x:c r="E1317" s="13" t="n">
        <x:v>3.36</x:v>
      </x:c>
      <x:c r="F1317" s="13" t="n">
        <x:f>D1317-E1317</x:f>
        <x:v>1459.2</x:v>
      </x:c>
      <x:c r="G1317" s="3" t="n">
        <x:v>3501</x:v>
      </x:c>
      <x:c r="H1317" s="3" t="n">
        <x:v>8</x:v>
      </x:c>
      <x:c r="I1317" s="3" t="n">
        <x:v>217</x:v>
      </x:c>
      <x:c r="J1317" s="15" t="n">
        <x:f>IF(D1317=0,"n.a.",E1317/D1317)</x:f>
        <x:v>0.002297341647522153</x:v>
      </x:c>
      <x:c r="K1317" s="15" t="n">
        <x:f>F1317/'Datos'!$F$7</x:f>
        <x:v>0.00014900882048410018</x:v>
      </x:c>
      <x:c r="L1317" s="3"/>
    </x:row>
    <x:row r="1318" ht="22" customHeight="1">
      <x:c r="A1318" s="3"/>
      <x:c r="B1318" s="3" t="str">
        <x:v>21470</x:v>
      </x:c>
      <x:c r="C1318" s="3" t="str">
        <x:v>FLOWER VINE RAFFIA FOOD COVER</x:v>
      </x:c>
      <x:c r="D1318" s="13" t="n">
        <x:v>1477.82</x:v>
      </x:c>
      <x:c r="E1318" s="13" t="n">
        <x:v>18.75</x:v>
      </x:c>
      <x:c r="F1318" s="13" t="n">
        <x:f>D1318-E1318</x:f>
        <x:v>1459.07</x:v>
      </x:c>
      <x:c r="G1318" s="3" t="n">
        <x:v>383</x:v>
      </x:c>
      <x:c r="H1318" s="3" t="n">
        <x:v>5</x:v>
      </x:c>
      <x:c r="I1318" s="3" t="n">
        <x:v>140</x:v>
      </x:c>
      <x:c r="J1318" s="15" t="n">
        <x:f>IF(D1318=0,"n.a.",E1318/D1318)</x:f>
        <x:v>0.012687607421742839</x:v>
      </x:c>
      <x:c r="K1318" s="15" t="n">
        <x:f>F1318/'Datos'!$F$7</x:f>
        <x:v>0.0001489955453013542</x:v>
      </x:c>
      <x:c r="L1318" s="3"/>
    </x:row>
    <x:row r="1319" ht="22" customHeight="1">
      <x:c r="A1319" s="3"/>
      <x:c r="B1319" s="3" t="str">
        <x:v>23034</x:v>
      </x:c>
      <x:c r="C1319" s="3" t="str">
        <x:v>DRAWER KNOB CERAMIC BLACK</x:v>
      </x:c>
      <x:c r="D1319" s="13" t="n">
        <x:v>1466.07</x:v>
      </x:c>
      <x:c r="E1319" s="13" t="n">
        <x:v>8.7</x:v>
      </x:c>
      <x:c r="F1319" s="13" t="n">
        <x:f>D1319-E1319</x:f>
        <x:v>1457.37</x:v>
      </x:c>
      <x:c r="G1319" s="3" t="n">
        <x:v>991</x:v>
      </x:c>
      <x:c r="H1319" s="3" t="n">
        <x:v>6</x:v>
      </x:c>
      <x:c r="I1319" s="3" t="n">
        <x:v>88</x:v>
      </x:c>
      <x:c r="J1319" s="15" t="n">
        <x:f>IF(D1319=0,"n.a.",E1319/D1319)</x:f>
        <x:v>0.005934232335427367</x:v>
      </x:c>
      <x:c r="K1319" s="15" t="n">
        <x:f>F1319/'Datos'!$F$7</x:f>
        <x:v>0.00014882194675775291</x:v>
      </x:c>
      <x:c r="L1319" s="3"/>
    </x:row>
    <x:row r="1320" ht="22" customHeight="1">
      <x:c r="A1320" s="3"/>
      <x:c r="B1320" s="3" t="str">
        <x:v>22696</x:v>
      </x:c>
      <x:c r="C1320" s="3" t="str">
        <x:v>WICKER WREATH LARGE</x:v>
      </x:c>
      <x:c r="D1320" s="13" t="n">
        <x:v>1456.45</x:v>
      </x:c>
      <x:c r="E1320" s="13" t="n">
        <x:v>0</x:v>
      </x:c>
      <x:c r="F1320" s="13" t="n">
        <x:f>D1320-E1320</x:f>
        <x:v>1456.45</x:v>
      </x:c>
      <x:c r="G1320" s="3" t="n">
        <x:v>731</x:v>
      </x:c>
      <x:c r="H1320" s="3" t="n">
        <x:v>0</x:v>
      </x:c>
      <x:c r="I1320" s="3" t="n">
        <x:v>151</x:v>
      </x:c>
      <x:c r="J1320" s="15" t="n">
        <x:f>IF(D1320=0,"n.a.",E1320/D1320)</x:f>
        <x:v>0</x:v>
      </x:c>
      <x:c r="K1320" s="15" t="n">
        <x:f>F1320/'Datos'!$F$7</x:f>
        <x:v>0.00014872799931062752</x:v>
      </x:c>
      <x:c r="L1320" s="3"/>
    </x:row>
    <x:row r="1321" ht="22" customHeight="1">
      <x:c r="A1321" s="3"/>
      <x:c r="B1321" s="3" t="str">
        <x:v>22770</x:v>
      </x:c>
      <x:c r="C1321" s="3" t="str">
        <x:v>MIRROR CORNICE</x:v>
      </x:c>
      <x:c r="D1321" s="13" t="n">
        <x:v>1515.68</x:v>
      </x:c>
      <x:c r="E1321" s="13" t="n">
        <x:v>59.8</x:v>
      </x:c>
      <x:c r="F1321" s="13" t="n">
        <x:f>D1321-E1321</x:f>
        <x:v>1455.88</x:v>
      </x:c>
      <x:c r="G1321" s="3" t="n">
        <x:v>94</x:v>
      </x:c>
      <x:c r="H1321" s="3" t="n">
        <x:v>4</x:v>
      </x:c>
      <x:c r="I1321" s="3" t="n">
        <x:v>62</x:v>
      </x:c>
      <x:c r="J1321" s="15" t="n">
        <x:f>IF(D1321=0,"n.a.",E1321/D1321)</x:f>
        <x:v>0.03945423836165945</x:v>
      </x:c>
      <x:c r="K1321" s="15" t="n">
        <x:f>F1321/'Datos'!$F$7</x:f>
        <x:v>0.00014866979274012594</x:v>
      </x:c>
      <x:c r="L1321" s="3"/>
    </x:row>
    <x:row r="1322" ht="22" customHeight="1">
      <x:c r="A1322" s="3"/>
      <x:c r="B1322" s="3" t="str">
        <x:v>21361</x:v>
      </x:c>
      <x:c r="C1322" s="3" t="str">
        <x:v>LOVE LARGE WOOD LETTERS</x:v>
      </x:c>
      <x:c r="D1322" s="13" t="n">
        <x:v>1505.96</x:v>
      </x:c>
      <x:c r="E1322" s="13" t="n">
        <x:v>51</x:v>
      </x:c>
      <x:c r="F1322" s="13" t="n">
        <x:f>D1322-E1322</x:f>
        <x:v>1454.96</x:v>
      </x:c>
      <x:c r="G1322" s="3" t="n">
        <x:v>106</x:v>
      </x:c>
      <x:c r="H1322" s="3" t="n">
        <x:v>4</x:v>
      </x:c>
      <x:c r="I1322" s="3" t="n">
        <x:v>69</x:v>
      </x:c>
      <x:c r="J1322" s="15" t="n">
        <x:f>IF(D1322=0,"n.a.",E1322/D1322)</x:f>
        <x:v>0.03386544131318229</x:v>
      </x:c>
      <x:c r="K1322" s="15" t="n">
        <x:f>F1322/'Datos'!$F$7</x:f>
        <x:v>0.00014857584529300055</x:v>
      </x:c>
      <x:c r="L1322" s="3"/>
    </x:row>
    <x:row r="1323" ht="22" customHeight="1">
      <x:c r="A1323" s="3"/>
      <x:c r="B1323" s="3" t="str">
        <x:v>85114C</x:v>
      </x:c>
      <x:c r="C1323" s="3" t="str">
        <x:v>RED ENCHANTED FOREST PLACEMAT</x:v>
      </x:c>
      <x:c r="D1323" s="13" t="n">
        <x:v>1454.88</x:v>
      </x:c>
      <x:c r="E1323" s="13" t="n">
        <x:v>0</x:v>
      </x:c>
      <x:c r="F1323" s="13" t="n">
        <x:f>D1323-E1323</x:f>
        <x:v>1454.88</x:v>
      </x:c>
      <x:c r="G1323" s="3" t="n">
        <x:v>678</x:v>
      </x:c>
      <x:c r="H1323" s="3" t="n">
        <x:v>0</x:v>
      </x:c>
      <x:c r="I1323" s="3" t="n">
        <x:v>110</x:v>
      </x:c>
      <x:c r="J1323" s="15" t="n">
        <x:f>IF(D1323=0,"n.a.",E1323/D1323)</x:f>
        <x:v>0</x:v>
      </x:c>
      <x:c r="K1323" s="15" t="n">
        <x:f>F1323/'Datos'!$F$7</x:f>
        <x:v>0.00014856767594977226</x:v>
      </x:c>
      <x:c r="L1323" s="3"/>
    </x:row>
    <x:row r="1324" ht="22" customHeight="1">
      <x:c r="A1324" s="3"/>
      <x:c r="B1324" s="3" t="str">
        <x:v>15044A</x:v>
      </x:c>
      <x:c r="C1324" s="3" t="str">
        <x:v>PINK PAPER PARASOL</x:v>
      </x:c>
      <x:c r="D1324" s="13" t="n">
        <x:v>1456.72</x:v>
      </x:c>
      <x:c r="E1324" s="13" t="n">
        <x:v>2.95</x:v>
      </x:c>
      <x:c r="F1324" s="13" t="n">
        <x:f>D1324-E1324</x:f>
        <x:v>1453.77</x:v>
      </x:c>
      <x:c r="G1324" s="3" t="n">
        <x:v>464</x:v>
      </x:c>
      <x:c r="H1324" s="3" t="n">
        <x:v>1</x:v>
      </x:c>
      <x:c r="I1324" s="3" t="n">
        <x:v>102</x:v>
      </x:c>
      <x:c r="J1324" s="15" t="n">
        <x:f>IF(D1324=0,"n.a.",E1324/D1324)</x:f>
        <x:v>0.002025097479268494</x:v>
      </x:c>
      <x:c r="K1324" s="15" t="n">
        <x:f>F1324/'Datos'!$F$7</x:f>
        <x:v>0.00014845432631247965</x:v>
      </x:c>
      <x:c r="L1324" s="3"/>
    </x:row>
    <x:row r="1325" ht="22" customHeight="1">
      <x:c r="A1325" s="3"/>
      <x:c r="B1325" s="3" t="str">
        <x:v>21620</x:v>
      </x:c>
      <x:c r="C1325" s="3" t="str">
        <x:v>SET OF 4 ROSE BOTANICAL CANDLES</x:v>
      </x:c>
      <x:c r="D1325" s="13" t="n">
        <x:v>1451.99</x:v>
      </x:c>
      <x:c r="E1325" s="13" t="n">
        <x:v>0</x:v>
      </x:c>
      <x:c r="F1325" s="13" t="n">
        <x:f>D1325-E1325</x:f>
        <x:v>1451.99</x:v>
      </x:c>
      <x:c r="G1325" s="3" t="n">
        <x:v>897</x:v>
      </x:c>
      <x:c r="H1325" s="3" t="n">
        <x:v>0</x:v>
      </x:c>
      <x:c r="I1325" s="3" t="n">
        <x:v>165</x:v>
      </x:c>
      <x:c r="J1325" s="15" t="n">
        <x:f>IF(D1325=0,"n.a.",E1325/D1325)</x:f>
        <x:v>0</x:v>
      </x:c>
      <x:c r="K1325" s="15" t="n">
        <x:f>F1325/'Datos'!$F$7</x:f>
        <x:v>0.0001482725584256501</x:v>
      </x:c>
      <x:c r="L1325" s="3"/>
    </x:row>
    <x:row r="1326" ht="22" customHeight="1">
      <x:c r="A1326" s="3"/>
      <x:c r="B1326" s="3" t="str">
        <x:v>21191</x:v>
      </x:c>
      <x:c r="C1326" s="3" t="str">
        <x:v>LARGE WHITE HONEYCOMB PAPER BELL</x:v>
      </x:c>
      <x:c r="D1326" s="13" t="n">
        <x:v>1451.82</x:v>
      </x:c>
      <x:c r="E1326" s="13" t="n">
        <x:v>0</x:v>
      </x:c>
      <x:c r="F1326" s="13" t="n">
        <x:f>D1326-E1326</x:f>
        <x:v>1451.82</x:v>
      </x:c>
      <x:c r="G1326" s="3" t="n">
        <x:v>562</x:v>
      </x:c>
      <x:c r="H1326" s="3" t="n">
        <x:v>0</x:v>
      </x:c>
      <x:c r="I1326" s="3" t="n">
        <x:v>95</x:v>
      </x:c>
      <x:c r="J1326" s="15" t="n">
        <x:f>IF(D1326=0,"n.a.",E1326/D1326)</x:f>
        <x:v>0</x:v>
      </x:c>
      <x:c r="K1326" s="15" t="n">
        <x:f>F1326/'Datos'!$F$7</x:f>
        <x:v>0.00014825519857128994</x:v>
      </x:c>
      <x:c r="L1326" s="3"/>
    </x:row>
    <x:row r="1327" ht="22" customHeight="1">
      <x:c r="A1327" s="3"/>
      <x:c r="B1327" s="3" t="str">
        <x:v>21352</x:v>
      </x:c>
      <x:c r="C1327" s="3" t="str">
        <x:v>EUCALYPTUS &amp; PINECONE WREATH</x:v>
      </x:c>
      <x:c r="D1327" s="13" t="n">
        <x:v>1511.26</x:v>
      </x:c>
      <x:c r="E1327" s="13" t="n">
        <x:v>60.75</x:v>
      </x:c>
      <x:c r="F1327" s="13" t="n">
        <x:f>D1327-E1327</x:f>
        <x:v>1450.51</x:v>
      </x:c>
      <x:c r="G1327" s="3" t="n">
        <x:v>378</x:v>
      </x:c>
      <x:c r="H1327" s="3" t="n">
        <x:v>9</x:v>
      </x:c>
      <x:c r="I1327" s="3" t="n">
        <x:v>77</x:v>
      </x:c>
      <x:c r="J1327" s="15" t="n">
        <x:f>IF(D1327=0,"n.a.",E1327/D1327)</x:f>
        <x:v>0.04019824517290208</x:v>
      </x:c>
      <x:c r="K1327" s="15" t="n">
        <x:f>F1327/'Datos'!$F$7</x:f>
        <x:v>0.00014812142557592663</x:v>
      </x:c>
      <x:c r="L1327" s="3"/>
    </x:row>
    <x:row r="1328" ht="22" customHeight="1">
      <x:c r="A1328" s="3"/>
      <x:c r="B1328" s="3" t="str">
        <x:v>22664</x:v>
      </x:c>
      <x:c r="C1328" s="3" t="str">
        <x:v>TOY TIDY DOLLY GIRL DESIGN</x:v>
      </x:c>
      <x:c r="D1328" s="13" t="n">
        <x:v>1472.85</x:v>
      </x:c>
      <x:c r="E1328" s="13" t="n">
        <x:v>25.2</x:v>
      </x:c>
      <x:c r="F1328" s="13" t="n">
        <x:f>D1328-E1328</x:f>
        <x:v>1447.6499999999999</x:v>
      </x:c>
      <x:c r="G1328" s="3" t="n">
        <x:v>713</x:v>
      </x:c>
      <x:c r="H1328" s="3" t="n">
        <x:v>12</x:v>
      </x:c>
      <x:c r="I1328" s="3" t="n">
        <x:v>162</x:v>
      </x:c>
      <x:c r="J1328" s="15" t="n">
        <x:f>IF(D1328=0,"n.a.",E1328/D1328)</x:f>
        <x:v>0.017109685304002444</x:v>
      </x:c>
      <x:c r="K1328" s="15" t="n">
        <x:f>F1328/'Datos'!$F$7</x:f>
        <x:v>0.00014782937155551507</x:v>
      </x:c>
      <x:c r="L1328" s="3"/>
    </x:row>
    <x:row r="1329" ht="22" customHeight="1">
      <x:c r="A1329" s="3"/>
      <x:c r="B1329" s="3" t="str">
        <x:v>37342</x:v>
      </x:c>
      <x:c r="C1329" s="3" t="str">
        <x:v>POLKADOT COFFEE CUP &amp; SAUCER PINK</x:v>
      </x:c>
      <x:c r="D1329" s="13" t="n">
        <x:v>1489.01</x:v>
      </x:c>
      <x:c r="E1329" s="13" t="n">
        <x:v>45.68</x:v>
      </x:c>
      <x:c r="F1329" s="13" t="n">
        <x:f>D1329-E1329</x:f>
        <x:v>1443.33</x:v>
      </x:c>
      <x:c r="G1329" s="3" t="n">
        <x:v>1570</x:v>
      </x:c>
      <x:c r="H1329" s="3" t="n">
        <x:v>56</x:v>
      </x:c>
      <x:c r="I1329" s="3" t="n">
        <x:v>109</x:v>
      </x:c>
      <x:c r="J1329" s="15" t="n">
        <x:f>IF(D1329=0,"n.a.",E1329/D1329)</x:f>
        <x:v>0.030678101557410627</x:v>
      </x:c>
      <x:c r="K1329" s="15" t="n">
        <x:f>F1329/'Datos'!$F$7</x:f>
        <x:v>0.00014738822702118715</x:v>
      </x:c>
      <x:c r="L1329" s="3"/>
    </x:row>
    <x:row r="1330" ht="22" customHeight="1">
      <x:c r="A1330" s="3"/>
      <x:c r="B1330" s="3" t="str">
        <x:v>21872</x:v>
      </x:c>
      <x:c r="C1330" s="3" t="str">
        <x:v>GLAMOROUS MUG</x:v>
      </x:c>
      <x:c r="D1330" s="13" t="n">
        <x:v>1459.98</x:v>
      </x:c>
      <x:c r="E1330" s="13" t="n">
        <x:v>17.72</x:v>
      </x:c>
      <x:c r="F1330" s="13" t="n">
        <x:f>D1330-E1330</x:f>
        <x:v>1442.26</x:v>
      </x:c>
      <x:c r="G1330" s="3" t="n">
        <x:v>1296</x:v>
      </x:c>
      <x:c r="H1330" s="3" t="n">
        <x:v>16</x:v>
      </x:c>
      <x:c r="I1330" s="3" t="n">
        <x:v>142</x:v>
      </x:c>
      <x:c r="J1330" s="15" t="n">
        <x:f>IF(D1330=0,"n.a.",E1330/D1330)</x:f>
        <x:v>0.012137152563733749</x:v>
      </x:c>
      <x:c r="K1330" s="15" t="n">
        <x:f>F1330/'Datos'!$F$7</x:f>
        <x:v>0.0001472789620555087</x:v>
      </x:c>
      <x:c r="L1330" s="3"/>
    </x:row>
    <x:row r="1331" ht="22" customHeight="1">
      <x:c r="A1331" s="3"/>
      <x:c r="B1331" s="3" t="str">
        <x:v>21792</x:v>
      </x:c>
      <x:c r="C1331" s="3" t="str">
        <x:v>CLASSIC FRENCH STYLE BASKET GREEN</x:v>
      </x:c>
      <x:c r="D1331" s="13" t="n">
        <x:v>1497.72</x:v>
      </x:c>
      <x:c r="E1331" s="13" t="n">
        <x:v>57.95</x:v>
      </x:c>
      <x:c r="F1331" s="13" t="n">
        <x:f>D1331-E1331</x:f>
        <x:v>1439.77</x:v>
      </x:c>
      <x:c r="G1331" s="3" t="n">
        <x:v>344</x:v>
      </x:c>
      <x:c r="H1331" s="3" t="n">
        <x:v>9</x:v>
      </x:c>
      <x:c r="I1331" s="3" t="n">
        <x:v>76</x:v>
      </x:c>
      <x:c r="J1331" s="15" t="n">
        <x:f>IF(D1331=0,"n.a.",E1331/D1331)</x:f>
        <x:v>0.03869214539433272</x:v>
      </x:c>
      <x:c r="K1331" s="15" t="n">
        <x:f>F1331/'Datos'!$F$7</x:f>
        <x:v>0.00014702469124752802</x:v>
      </x:c>
      <x:c r="L1331" s="3"/>
    </x:row>
    <x:row r="1332" ht="22" customHeight="1">
      <x:c r="A1332" s="3"/>
      <x:c r="B1332" s="3" t="str">
        <x:v>37495</x:v>
      </x:c>
      <x:c r="C1332" s="3" t="str">
        <x:v>FAIRY CAKE BIRTHDAY CANDLE SET</x:v>
      </x:c>
      <x:c r="D1332" s="13" t="n">
        <x:v>1622.24</x:v>
      </x:c>
      <x:c r="E1332" s="13" t="n">
        <x:v>183.75</x:v>
      </x:c>
      <x:c r="F1332" s="13" t="n">
        <x:f>D1332-E1332</x:f>
        <x:v>1438.49</x:v>
      </x:c>
      <x:c r="G1332" s="3" t="n">
        <x:v>440</x:v>
      </x:c>
      <x:c r="H1332" s="3" t="n">
        <x:v>49</x:v>
      </x:c>
      <x:c r="I1332" s="3" t="n">
        <x:v>92</x:v>
      </x:c>
      <x:c r="J1332" s="15" t="n">
        <x:f>IF(D1332=0,"n.a.",E1332/D1332)</x:f>
        <x:v>0.11326930663773548</x:v>
      </x:c>
      <x:c r="K1332" s="15" t="n">
        <x:f>F1332/'Datos'!$F$7</x:f>
        <x:v>0.00014689398175587532</x:v>
      </x:c>
      <x:c r="L1332" s="3"/>
    </x:row>
    <x:row r="1333" ht="22" customHeight="1">
      <x:c r="A1333" s="3"/>
      <x:c r="B1333" s="3" t="str">
        <x:v>23392</x:v>
      </x:c>
      <x:c r="C1333" s="3" t="str">
        <x:v>SPACEBOY ROCKET LOLLY MAKERS</x:v>
      </x:c>
      <x:c r="D1333" s="13" t="n">
        <x:v>1485.43</x:v>
      </x:c>
      <x:c r="E1333" s="13" t="n">
        <x:v>49.92</x:v>
      </x:c>
      <x:c r="F1333" s="13" t="n">
        <x:f>D1333-E1333</x:f>
        <x:v>1435.51</x:v>
      </x:c>
      <x:c r="G1333" s="3" t="n">
        <x:v>667</x:v>
      </x:c>
      <x:c r="H1333" s="3" t="n">
        <x:v>24</x:v>
      </x:c>
      <x:c r="I1333" s="3" t="n">
        <x:v>113</x:v>
      </x:c>
      <x:c r="J1333" s="15" t="n">
        <x:f>IF(D1333=0,"n.a.",E1333/D1333)</x:f>
        <x:v>0.03360643046121325</x:v>
      </x:c>
      <x:c r="K1333" s="15" t="n">
        <x:f>F1333/'Datos'!$F$7</x:f>
        <x:v>0.0001465896737206213</x:v>
      </x:c>
      <x:c r="L1333" s="3"/>
    </x:row>
    <x:row r="1334" ht="22" customHeight="1">
      <x:c r="A1334" s="3"/>
      <x:c r="B1334" s="3" t="str">
        <x:v>23086</x:v>
      </x:c>
      <x:c r="C1334" s="3" t="str">
        <x:v>ZINC STAR T-LIGHT HOLDER</x:v>
      </x:c>
      <x:c r="D1334" s="13" t="n">
        <x:v>1455.18</x:v>
      </x:c>
      <x:c r="E1334" s="13" t="n">
        <x:v>20</x:v>
      </x:c>
      <x:c r="F1334" s="13" t="n">
        <x:f>D1334-E1334</x:f>
        <x:v>1435.18</x:v>
      </x:c>
      <x:c r="G1334" s="3" t="n">
        <x:v>1228</x:v>
      </x:c>
      <x:c r="H1334" s="3" t="n">
        <x:v>16</x:v>
      </x:c>
      <x:c r="I1334" s="3" t="n">
        <x:v>47</x:v>
      </x:c>
      <x:c r="J1334" s="15" t="n">
        <x:f>IF(D1334=0,"n.a.",E1334/D1334)</x:f>
        <x:v>0.013744004178177269</x:v>
      </x:c>
      <x:c r="K1334" s="15" t="n">
        <x:f>F1334/'Datos'!$F$7</x:f>
        <x:v>0.00014655597517980462</x:v>
      </x:c>
      <x:c r="L1334" s="3"/>
    </x:row>
    <x:row r="1335" ht="22" customHeight="1">
      <x:c r="A1335" s="3"/>
      <x:c r="B1335" s="3" t="str">
        <x:v>21705</x:v>
      </x:c>
      <x:c r="C1335" s="3" t="str">
        <x:v>BAG 500g SWIRLY MARBLES</x:v>
      </x:c>
      <x:c r="D1335" s="13" t="n">
        <x:v>1462.17</x:v>
      </x:c>
      <x:c r="E1335" s="13" t="n">
        <x:v>31.6</x:v>
      </x:c>
      <x:c r="F1335" s="13" t="n">
        <x:f>D1335-E1335</x:f>
        <x:v>1430.5700000000002</x:v>
      </x:c>
      <x:c r="G1335" s="3" t="n">
        <x:v>1459</x:v>
      </x:c>
      <x:c r="H1335" s="3" t="n">
        <x:v>20</x:v>
      </x:c>
      <x:c r="I1335" s="3" t="n">
        <x:v>141</x:v>
      </x:c>
      <x:c r="J1335" s="15" t="n">
        <x:f>IF(D1335=0,"n.a.",E1335/D1335)</x:f>
        <x:v>0.021611714096172126</x:v>
      </x:c>
      <x:c r="K1335" s="15" t="n">
        <x:f>F1335/'Datos'!$F$7</x:f>
        <x:v>0.00014608521677627413</x:v>
      </x:c>
      <x:c r="L1335" s="3"/>
    </x:row>
    <x:row r="1336" ht="22" customHeight="1">
      <x:c r="A1336" s="3"/>
      <x:c r="B1336" s="3" t="str">
        <x:v>15058C</x:v>
      </x:c>
      <x:c r="C1336" s="3" t="str">
        <x:v>ICE CREAM DESIGN GARDEN PARASOL</x:v>
      </x:c>
      <x:c r="D1336" s="13" t="n">
        <x:v>1429.82</x:v>
      </x:c>
      <x:c r="E1336" s="13" t="n">
        <x:v>0</x:v>
      </x:c>
      <x:c r="F1336" s="13" t="n">
        <x:f>D1336-E1336</x:f>
        <x:v>1429.82</x:v>
      </x:c>
      <x:c r="G1336" s="3" t="n">
        <x:v>240</x:v>
      </x:c>
      <x:c r="H1336" s="3" t="n">
        <x:v>0</x:v>
      </x:c>
      <x:c r="I1336" s="3" t="n">
        <x:v>72</x:v>
      </x:c>
      <x:c r="J1336" s="15" t="n">
        <x:f>IF(D1336=0,"n.a.",E1336/D1336)</x:f>
        <x:v>0</x:v>
      </x:c>
      <x:c r="K1336" s="15" t="n">
        <x:f>F1336/'Datos'!$F$7</x:f>
        <x:v>0.00014600862918350883</x:v>
      </x:c>
      <x:c r="L1336" s="3"/>
    </x:row>
    <x:row r="1337" ht="22" customHeight="1">
      <x:c r="A1337" s="3"/>
      <x:c r="B1337" s="3" t="str">
        <x:v>85054</x:v>
      </x:c>
      <x:c r="C1337" s="3" t="str">
        <x:v>FRENCH ENAMEL POT W LID</x:v>
      </x:c>
      <x:c r="D1337" s="13" t="n">
        <x:v>1436.53</x:v>
      </x:c>
      <x:c r="E1337" s="13" t="n">
        <x:v>8.4</x:v>
      </x:c>
      <x:c r="F1337" s="13" t="n">
        <x:f>D1337-E1337</x:f>
        <x:v>1428.1299999999999</x:v>
      </x:c>
      <x:c r="G1337" s="3" t="n">
        <x:v>589</x:v>
      </x:c>
      <x:c r="H1337" s="3" t="n">
        <x:v>4</x:v>
      </x:c>
      <x:c r="I1337" s="3" t="n">
        <x:v>115</x:v>
      </x:c>
      <x:c r="J1337" s="15" t="n">
        <x:f>IF(D1337=0,"n.a.",E1337/D1337)</x:f>
        <x:v>0.005847424000891037</x:v>
      </x:c>
      <x:c r="K1337" s="15" t="n">
        <x:f>F1337/'Datos'!$F$7</x:f>
        <x:v>0.0001458360518078111</x:v>
      </x:c>
      <x:c r="L1337" s="3"/>
    </x:row>
    <x:row r="1338" ht="22" customHeight="1">
      <x:c r="A1338" s="3"/>
      <x:c r="B1338" s="3" t="str">
        <x:v>22458</x:v>
      </x:c>
      <x:c r="C1338" s="3" t="str">
        <x:v>CAST IRON HOOK GARDEN FORK</x:v>
      </x:c>
      <x:c r="D1338" s="13" t="n">
        <x:v>1421.83</x:v>
      </x:c>
      <x:c r="E1338" s="13" t="n">
        <x:v>0</x:v>
      </x:c>
      <x:c r="F1338" s="13" t="n">
        <x:f>D1338-E1338</x:f>
        <x:v>1421.83</x:v>
      </x:c>
      <x:c r="G1338" s="3" t="n">
        <x:v>523</x:v>
      </x:c>
      <x:c r="H1338" s="3" t="n">
        <x:v>0</x:v>
      </x:c>
      <x:c r="I1338" s="3" t="n">
        <x:v>23</x:v>
      </x:c>
      <x:c r="J1338" s="15" t="n">
        <x:f>IF(D1338=0,"n.a.",E1338/D1338)</x:f>
        <x:v>0</x:v>
      </x:c>
      <x:c r="K1338" s="15" t="n">
        <x:f>F1338/'Datos'!$F$7</x:f>
        <x:v>0.00014519271602858288</x:v>
      </x:c>
      <x:c r="L1338" s="3"/>
    </x:row>
    <x:row r="1339" ht="22" customHeight="1">
      <x:c r="A1339" s="3"/>
      <x:c r="B1339" s="3" t="str">
        <x:v>21407</x:v>
      </x:c>
      <x:c r="C1339" s="3" t="str">
        <x:v>BROWN CHECK CAT DOORSTOP</x:v>
      </x:c>
      <x:c r="D1339" s="13" t="n">
        <x:v>1421.11</x:v>
      </x:c>
      <x:c r="E1339" s="13" t="n">
        <x:v>4.25</x:v>
      </x:c>
      <x:c r="F1339" s="13" t="n">
        <x:f>D1339-E1339</x:f>
        <x:v>1416.86</x:v>
      </x:c>
      <x:c r="G1339" s="3" t="n">
        <x:v>290</x:v>
      </x:c>
      <x:c r="H1339" s="3" t="n">
        <x:v>1</x:v>
      </x:c>
      <x:c r="I1339" s="3" t="n">
        <x:v>138</x:v>
      </x:c>
      <x:c r="J1339" s="15" t="n">
        <x:f>IF(D1339=0,"n.a.",E1339/D1339)</x:f>
        <x:v>0.0029906200083033687</x:v>
      </x:c>
      <x:c r="K1339" s="15" t="n">
        <x:f>F1339/'Datos'!$F$7</x:f>
        <x:v>0.00014468519558052506</x:v>
      </x:c>
      <x:c r="L1339" s="3"/>
    </x:row>
    <x:row r="1340" ht="22" customHeight="1">
      <x:c r="A1340" s="3"/>
      <x:c r="B1340" s="3" t="str">
        <x:v>84031B</x:v>
      </x:c>
      <x:c r="C1340" s="3" t="str">
        <x:v>CHARLIE LOLA BLUE HOT WATER BOTTLE</x:v>
      </x:c>
      <x:c r="D1340" s="13" t="n">
        <x:v>1457</x:v>
      </x:c>
      <x:c r="E1340" s="13" t="n">
        <x:v>40.95</x:v>
      </x:c>
      <x:c r="F1340" s="13" t="n">
        <x:f>D1340-E1340</x:f>
        <x:v>1416.05</x:v>
      </x:c>
      <x:c r="G1340" s="3" t="n">
        <x:v>305</x:v>
      </x:c>
      <x:c r="H1340" s="3" t="n">
        <x:v>21</x:v>
      </x:c>
      <x:c r="I1340" s="3" t="n">
        <x:v>143</x:v>
      </x:c>
      <x:c r="J1340" s="15" t="n">
        <x:f>IF(D1340=0,"n.a.",E1340/D1340)</x:f>
        <x:v>0.02810569663692519</x:v>
      </x:c>
      <x:c r="K1340" s="15" t="n">
        <x:f>F1340/'Datos'!$F$7</x:f>
        <x:v>0.00014460248098033856</x:v>
      </x:c>
      <x:c r="L1340" s="3"/>
    </x:row>
    <x:row r="1341" ht="22" customHeight="1">
      <x:c r="A1341" s="3"/>
      <x:c r="B1341" s="3" t="str">
        <x:v>22182</x:v>
      </x:c>
      <x:c r="C1341" s="3" t="str">
        <x:v>CAKE STAND VICTORIAN FILIGREE SMALL</x:v>
      </x:c>
      <x:c r="D1341" s="13" t="n">
        <x:v>1430.48</x:v>
      </x:c>
      <x:c r="E1341" s="13" t="n">
        <x:v>14.85</x:v>
      </x:c>
      <x:c r="F1341" s="13" t="n">
        <x:f>D1341-E1341</x:f>
        <x:v>1415.63</x:v>
      </x:c>
      <x:c r="G1341" s="3" t="n">
        <x:v>374</x:v>
      </x:c>
      <x:c r="H1341" s="3" t="n">
        <x:v>3</x:v>
      </x:c>
      <x:c r="I1341" s="3" t="n">
        <x:v>122</x:v>
      </x:c>
      <x:c r="J1341" s="15" t="n">
        <x:f>IF(D1341=0,"n.a.",E1341/D1341)</x:f>
        <x:v>0.010381130809238857</x:v>
      </x:c>
      <x:c r="K1341" s="15" t="n">
        <x:f>F1341/'Datos'!$F$7</x:f>
        <x:v>0.00014455959192839003</x:v>
      </x:c>
      <x:c r="L1341" s="3"/>
    </x:row>
    <x:row r="1342" ht="22" customHeight="1">
      <x:c r="A1342" s="3"/>
      <x:c r="B1342" s="3" t="str">
        <x:v>21507</x:v>
      </x:c>
      <x:c r="C1342" s="3" t="str">
        <x:v>ELEPHANT, BIRTHDAY CARD,</x:v>
      </x:c>
      <x:c r="D1342" s="13" t="n">
        <x:v>1425.28</x:v>
      </x:c>
      <x:c r="E1342" s="13" t="n">
        <x:v>10.08</x:v>
      </x:c>
      <x:c r="F1342" s="13" t="n">
        <x:f>D1342-E1342</x:f>
        <x:v>1415.2</x:v>
      </x:c>
      <x:c r="G1342" s="3" t="n">
        <x:v>3332</x:v>
      </x:c>
      <x:c r="H1342" s="3" t="n">
        <x:v>24</x:v>
      </x:c>
      <x:c r="I1342" s="3" t="n">
        <x:v>262</x:v>
      </x:c>
      <x:c r="J1342" s="15" t="n">
        <x:f>IF(D1342=0,"n.a.",E1342/D1342)</x:f>
        <x:v>0.007072294566681635</x:v>
      </x:c>
      <x:c r="K1342" s="15" t="n">
        <x:f>F1342/'Datos'!$F$7</x:f>
        <x:v>0.00014451568170853793</x:v>
      </x:c>
      <x:c r="L1342" s="3"/>
    </x:row>
    <x:row r="1343" ht="22" customHeight="1">
      <x:c r="A1343" s="3"/>
      <x:c r="B1343" s="3" t="str">
        <x:v>22949</x:v>
      </x:c>
      <x:c r="C1343" s="3" t="str">
        <x:v>36 DOILIES DOLLY GIRL</x:v>
      </x:c>
      <x:c r="D1343" s="13" t="n">
        <x:v>1434.95</x:v>
      </x:c>
      <x:c r="E1343" s="13" t="n">
        <x:v>20.3</x:v>
      </x:c>
      <x:c r="F1343" s="13" t="n">
        <x:f>D1343-E1343</x:f>
        <x:v>1414.65</x:v>
      </x:c>
      <x:c r="G1343" s="3" t="n">
        <x:v>968</x:v>
      </x:c>
      <x:c r="H1343" s="3" t="n">
        <x:v>14</x:v>
      </x:c>
      <x:c r="I1343" s="3" t="n">
        <x:v>105</x:v>
      </x:c>
      <x:c r="J1343" s="15" t="n">
        <x:f>IF(D1343=0,"n.a.",E1343/D1343)</x:f>
        <x:v>0.014146834384473327</x:v>
      </x:c>
      <x:c r="K1343" s="15" t="n">
        <x:f>F1343/'Datos'!$F$7</x:f>
        <x:v>0.00014445951747384342</x:v>
      </x:c>
      <x:c r="L1343" s="3"/>
    </x:row>
    <x:row r="1344" ht="22" customHeight="1">
      <x:c r="A1344" s="3"/>
      <x:c r="B1344" s="3" t="str">
        <x:v>22531</x:v>
      </x:c>
      <x:c r="C1344" s="3" t="str">
        <x:v>MAGIC DRAWING SLATE CIRCUS PARADE</x:v>
      </x:c>
      <x:c r="D1344" s="13" t="n">
        <x:v>1413.25</x:v>
      </x:c>
      <x:c r="E1344" s="13" t="n">
        <x:v>0</x:v>
      </x:c>
      <x:c r="F1344" s="13" t="n">
        <x:f>D1344-E1344</x:f>
        <x:v>1413.25</x:v>
      </x:c>
      <x:c r="G1344" s="3" t="n">
        <x:v>3384</x:v>
      </x:c>
      <x:c r="H1344" s="3" t="n">
        <x:v>0</x:v>
      </x:c>
      <x:c r="I1344" s="3" t="n">
        <x:v>200</x:v>
      </x:c>
      <x:c r="J1344" s="15" t="n">
        <x:f>IF(D1344=0,"n.a.",E1344/D1344)</x:f>
        <x:v>0</x:v>
      </x:c>
      <x:c r="K1344" s="15" t="n">
        <x:f>F1344/'Datos'!$F$7</x:f>
        <x:v>0.00014431655396734825</x:v>
      </x:c>
      <x:c r="L1344" s="3"/>
    </x:row>
    <x:row r="1345" ht="22" customHeight="1">
      <x:c r="A1345" s="3"/>
      <x:c r="B1345" s="3" t="str">
        <x:v>82567</x:v>
      </x:c>
      <x:c r="C1345" s="3" t="str">
        <x:v>AIRLINE LOUNGE,METAL SIGN</x:v>
      </x:c>
      <x:c r="D1345" s="13" t="n">
        <x:v>1412.27</x:v>
      </x:c>
      <x:c r="E1345" s="13" t="n">
        <x:v>0</x:v>
      </x:c>
      <x:c r="F1345" s="13" t="n">
        <x:f>D1345-E1345</x:f>
        <x:v>1412.27</x:v>
      </x:c>
      <x:c r="G1345" s="3" t="n">
        <x:v>713</x:v>
      </x:c>
      <x:c r="H1345" s="3" t="n">
        <x:v>0</x:v>
      </x:c>
      <x:c r="I1345" s="3" t="n">
        <x:v>291</x:v>
      </x:c>
      <x:c r="J1345" s="15" t="n">
        <x:f>IF(D1345=0,"n.a.",E1345/D1345)</x:f>
        <x:v>0</x:v>
      </x:c>
      <x:c r="K1345" s="15" t="n">
        <x:f>F1345/'Datos'!$F$7</x:f>
        <x:v>0.00014421647951280163</x:v>
      </x:c>
      <x:c r="L1345" s="3"/>
    </x:row>
    <x:row r="1346" ht="22" customHeight="1">
      <x:c r="A1346" s="3"/>
      <x:c r="B1346" s="3" t="str">
        <x:v>22714</x:v>
      </x:c>
      <x:c r="C1346" s="3" t="str">
        <x:v>CARD BIRTHDAY COWBOY</x:v>
      </x:c>
      <x:c r="D1346" s="13" t="n">
        <x:v>1415.73</x:v>
      </x:c>
      <x:c r="E1346" s="13" t="n">
        <x:v>5.04</x:v>
      </x:c>
      <x:c r="F1346" s="13" t="n">
        <x:f>D1346-E1346</x:f>
        <x:v>1410.69</x:v>
      </x:c>
      <x:c r="G1346" s="3" t="n">
        <x:v>3487</x:v>
      </x:c>
      <x:c r="H1346" s="3" t="n">
        <x:v>12</x:v>
      </x:c>
      <x:c r="I1346" s="3" t="n">
        <x:v>225</x:v>
      </x:c>
      <x:c r="J1346" s="15" t="n">
        <x:f>IF(D1346=0,"n.a.",E1346/D1346)</x:f>
        <x:v>0.0035600008476192493</x:v>
      </x:c>
      <x:c r="K1346" s="15" t="n">
        <x:f>F1346/'Datos'!$F$7</x:f>
        <x:v>0.00014405513498404283</x:v>
      </x:c>
      <x:c r="L1346" s="3"/>
    </x:row>
    <x:row r="1347" ht="22" customHeight="1">
      <x:c r="A1347" s="3"/>
      <x:c r="B1347" s="3" t="str">
        <x:v>22576</x:v>
      </x:c>
      <x:c r="C1347" s="3" t="str">
        <x:v>SWALLOW WOODEN CHRISTMAS DECORATION</x:v>
      </x:c>
      <x:c r="D1347" s="13" t="n">
        <x:v>1415.31</x:v>
      </x:c>
      <x:c r="E1347" s="13" t="n">
        <x:v>5.1</x:v>
      </x:c>
      <x:c r="F1347" s="13" t="n">
        <x:f>D1347-E1347</x:f>
        <x:v>1410.21</x:v>
      </x:c>
      <x:c r="G1347" s="3" t="n">
        <x:v>1539</x:v>
      </x:c>
      <x:c r="H1347" s="3" t="n">
        <x:v>6</x:v>
      </x:c>
      <x:c r="I1347" s="3" t="n">
        <x:v>173</x:v>
      </x:c>
      <x:c r="J1347" s="15" t="n">
        <x:f>IF(D1347=0,"n.a.",E1347/D1347)</x:f>
        <x:v>0.003603450834092884</x:v>
      </x:c>
      <x:c r="K1347" s="15" t="n">
        <x:f>F1347/'Datos'!$F$7</x:f>
        <x:v>0.00014400611892467305</x:v>
      </x:c>
      <x:c r="L1347" s="3"/>
    </x:row>
    <x:row r="1348" ht="22" customHeight="1">
      <x:c r="A1348" s="3"/>
      <x:c r="B1348" s="3" t="str">
        <x:v>84536A</x:v>
      </x:c>
      <x:c r="C1348" s="3" t="str">
        <x:v>ENGLISH ROSE NOTEBOOK A7 SIZE</x:v>
      </x:c>
      <x:c r="D1348" s="13" t="n">
        <x:v>1420.96</x:v>
      </x:c>
      <x:c r="E1348" s="13" t="n">
        <x:v>13.44</x:v>
      </x:c>
      <x:c r="F1348" s="13" t="n">
        <x:f>D1348-E1348</x:f>
        <x:v>1407.52</x:v>
      </x:c>
      <x:c r="G1348" s="3" t="n">
        <x:v>3152</x:v>
      </x:c>
      <x:c r="H1348" s="3" t="n">
        <x:v>32</x:v>
      </x:c>
      <x:c r="I1348" s="3" t="n">
        <x:v>345</x:v>
      </x:c>
      <x:c r="J1348" s="15" t="n">
        <x:f>IF(D1348=0,"n.a.",E1348/D1348)</x:f>
        <x:v>0.009458394324963404</x:v>
      </x:c>
      <x:c r="K1348" s="15" t="n">
        <x:f>F1348/'Datos'!$F$7</x:f>
        <x:v>0.0001437314247586216</x:v>
      </x:c>
      <x:c r="L1348" s="3"/>
    </x:row>
    <x:row r="1349" ht="22" customHeight="1">
      <x:c r="A1349" s="3"/>
      <x:c r="B1349" s="3" t="str">
        <x:v>23527</x:v>
      </x:c>
      <x:c r="C1349" s="3" t="str">
        <x:v>WALL ART ANIMALS AND NATURE</x:v>
      </x:c>
      <x:c r="D1349" s="13" t="n">
        <x:v>1432.31</x:v>
      </x:c>
      <x:c r="E1349" s="13" t="n">
        <x:v>26.25</x:v>
      </x:c>
      <x:c r="F1349" s="13" t="n">
        <x:f>D1349-E1349</x:f>
        <x:v>1406.06</x:v>
      </x:c>
      <x:c r="G1349" s="3" t="n">
        <x:v>421</x:v>
      </x:c>
      <x:c r="H1349" s="3" t="n">
        <x:v>7</x:v>
      </x:c>
      <x:c r="I1349" s="3" t="n">
        <x:v>48</x:v>
      </x:c>
      <x:c r="J1349" s="15" t="n">
        <x:f>IF(D1349=0,"n.a.",E1349/D1349)</x:f>
        <x:v>0.01832703814118452</x:v>
      </x:c>
      <x:c r="K1349" s="15" t="n">
        <x:f>F1349/'Datos'!$F$7</x:f>
        <x:v>0.00014358233424470525</x:v>
      </x:c>
      <x:c r="L1349" s="3"/>
    </x:row>
    <x:row r="1350" ht="22" customHeight="1">
      <x:c r="A1350" s="3"/>
      <x:c r="B1350" s="3" t="str">
        <x:v>23104</x:v>
      </x:c>
      <x:c r="C1350" s="3" t="str">
        <x:v>IVORY CAFE HANGING LAMP</x:v>
      </x:c>
      <x:c r="D1350" s="13" t="n">
        <x:v>1405.42</x:v>
      </x:c>
      <x:c r="E1350" s="13" t="n">
        <x:v>0</x:v>
      </x:c>
      <x:c r="F1350" s="13" t="n">
        <x:f>D1350-E1350</x:f>
        <x:v>1405.42</x:v>
      </x:c>
      <x:c r="G1350" s="3" t="n">
        <x:v>118</x:v>
      </x:c>
      <x:c r="H1350" s="3" t="n">
        <x:v>0</x:v>
      </x:c>
      <x:c r="I1350" s="3" t="n">
        <x:v>46</x:v>
      </x:c>
      <x:c r="J1350" s="15" t="n">
        <x:f>IF(D1350=0,"n.a.",E1350/D1350)</x:f>
        <x:v>0</x:v>
      </x:c>
      <x:c r="K1350" s="15" t="n">
        <x:f>F1350/'Datos'!$F$7</x:f>
        <x:v>0.0001435169794988789</x:v>
      </x:c>
      <x:c r="L1350" s="3"/>
    </x:row>
    <x:row r="1351" ht="22" customHeight="1">
      <x:c r="A1351" s="3"/>
      <x:c r="B1351" s="3" t="str">
        <x:v>22306</x:v>
      </x:c>
      <x:c r="C1351" s="3" t="str">
        <x:v>SILVER MUG BONE CHINA TREE OF LIFE</x:v>
      </x:c>
      <x:c r="D1351" s="13" t="n">
        <x:v>1428.57</x:v>
      </x:c>
      <x:c r="E1351" s="13" t="n">
        <x:v>28.7</x:v>
      </x:c>
      <x:c r="F1351" s="13" t="n">
        <x:f>D1351-E1351</x:f>
        <x:v>1399.87</x:v>
      </x:c>
      <x:c r="G1351" s="3" t="n">
        <x:v>1174</x:v>
      </x:c>
      <x:c r="H1351" s="3" t="n">
        <x:v>17</x:v>
      </x:c>
      <x:c r="I1351" s="3" t="n">
        <x:v>111</x:v>
      </x:c>
      <x:c r="J1351" s="15" t="n">
        <x:f>IF(D1351=0,"n.a.",E1351/D1351)</x:f>
        <x:v>0.02009002009002009</x:v>
      </x:c>
      <x:c r="K1351" s="15" t="n">
        <x:f>F1351/'Datos'!$F$7</x:f>
        <x:v>0.0001429502313124159</x:v>
      </x:c>
      <x:c r="L1351" s="3"/>
    </x:row>
    <x:row r="1352" ht="22" customHeight="1">
      <x:c r="A1352" s="3"/>
      <x:c r="B1352" s="3" t="str">
        <x:v>22436</x:v>
      </x:c>
      <x:c r="C1352" s="3" t="str">
        <x:v>12 COLOURED PARTY BALLOONS</x:v>
      </x:c>
      <x:c r="D1352" s="13" t="n">
        <x:v>1412.16</x:v>
      </x:c>
      <x:c r="E1352" s="13" t="n">
        <x:v>13</x:v>
      </x:c>
      <x:c r="F1352" s="13" t="n">
        <x:f>D1352-E1352</x:f>
        <x:v>1399.16</x:v>
      </x:c>
      <x:c r="G1352" s="3" t="n">
        <x:v>2155</x:v>
      </x:c>
      <x:c r="H1352" s="3" t="n">
        <x:v>20</x:v>
      </x:c>
      <x:c r="I1352" s="3" t="n">
        <x:v>163</x:v>
      </x:c>
      <x:c r="J1352" s="15" t="n">
        <x:f>IF(D1352=0,"n.a.",E1352/D1352)</x:f>
        <x:v>0.009205755721731249</x:v>
      </x:c>
      <x:c r="K1352" s="15" t="n">
        <x:f>F1352/'Datos'!$F$7</x:f>
        <x:v>0.0001428777283912648</x:v>
      </x:c>
      <x:c r="L1352" s="3"/>
    </x:row>
    <x:row r="1353" ht="22" customHeight="1">
      <x:c r="A1353" s="3"/>
      <x:c r="B1353" s="3" t="str">
        <x:v>23040</x:v>
      </x:c>
      <x:c r="C1353" s="3" t="str">
        <x:v>PAPER LANTERN 9 POINT SNOW STAR</x:v>
      </x:c>
      <x:c r="D1353" s="13" t="n">
        <x:v>1394.03</x:v>
      </x:c>
      <x:c r="E1353" s="13" t="n">
        <x:v>0</x:v>
      </x:c>
      <x:c r="F1353" s="13" t="n">
        <x:f>D1353-E1353</x:f>
        <x:v>1394.03</x:v>
      </x:c>
      <x:c r="G1353" s="3" t="n">
        <x:v>253</x:v>
      </x:c>
      <x:c r="H1353" s="3" t="n">
        <x:v>0</x:v>
      </x:c>
      <x:c r="I1353" s="3" t="n">
        <x:v>41</x:v>
      </x:c>
      <x:c r="J1353" s="15" t="n">
        <x:f>IF(D1353=0,"n.a.",E1353/D1353)</x:f>
        <x:v>0</x:v>
      </x:c>
      <x:c r="K1353" s="15" t="n">
        <x:f>F1353/'Datos'!$F$7</x:f>
        <x:v>0.00014235386925675039</x:v>
      </x:c>
      <x:c r="L1353" s="3"/>
    </x:row>
    <x:row r="1354" ht="22" customHeight="1">
      <x:c r="A1354" s="3"/>
      <x:c r="B1354" s="3" t="str">
        <x:v>84813</x:v>
      </x:c>
      <x:c r="C1354" s="3" t="str">
        <x:v>SET OF 4 DIAMOND NAPKIN RINGS</x:v>
      </x:c>
      <x:c r="D1354" s="13" t="n">
        <x:v>1393.79</x:v>
      </x:c>
      <x:c r="E1354" s="13" t="n">
        <x:v>3.95</x:v>
      </x:c>
      <x:c r="F1354" s="13" t="n">
        <x:f>D1354-E1354</x:f>
        <x:v>1389.84</x:v>
      </x:c>
      <x:c r="G1354" s="3" t="n">
        <x:v>166</x:v>
      </x:c>
      <x:c r="H1354" s="3" t="n">
        <x:v>1</x:v>
      </x:c>
      <x:c r="I1354" s="3" t="n">
        <x:v>38</x:v>
      </x:c>
      <x:c r="J1354" s="15" t="n">
        <x:f>IF(D1354=0,"n.a.",E1354/D1354)</x:f>
        <x:v>0.0028339993829773497</x:v>
      </x:c>
      <x:c r="K1354" s="15" t="n">
        <x:f>F1354/'Datos'!$F$7</x:f>
        <x:v>0.00014192599990516842</x:v>
      </x:c>
      <x:c r="L1354" s="3"/>
    </x:row>
    <x:row r="1355" ht="22" customHeight="1">
      <x:c r="A1355" s="3"/>
      <x:c r="B1355" s="3" t="str">
        <x:v>23470</x:v>
      </x:c>
      <x:c r="C1355" s="3" t="str">
        <x:v>CARD HOLDER LOVE BIRD LARGE</x:v>
      </x:c>
      <x:c r="D1355" s="13" t="n">
        <x:v>1460.5</x:v>
      </x:c>
      <x:c r="E1355" s="13" t="n">
        <x:v>70.7</x:v>
      </x:c>
      <x:c r="F1355" s="13" t="n">
        <x:f>D1355-E1355</x:f>
        <x:v>1389.8</x:v>
      </x:c>
      <x:c r="G1355" s="3" t="n">
        <x:v>232</x:v>
      </x:c>
      <x:c r="H1355" s="3" t="n">
        <x:v>12</x:v>
      </x:c>
      <x:c r="I1355" s="3" t="n">
        <x:v>84</x:v>
      </x:c>
      <x:c r="J1355" s="15" t="n">
        <x:f>IF(D1355=0,"n.a.",E1355/D1355)</x:f>
        <x:v>0.048408079424854505</x:v>
      </x:c>
      <x:c r="K1355" s="15" t="n">
        <x:f>F1355/'Datos'!$F$7</x:f>
        <x:v>0.0001419219152335543</x:v>
      </x:c>
      <x:c r="L1355" s="3"/>
    </x:row>
    <x:row r="1356" ht="22" customHeight="1">
      <x:c r="A1356" s="3"/>
      <x:c r="B1356" s="3" t="str">
        <x:v>23250</x:v>
      </x:c>
      <x:c r="C1356" s="3" t="str">
        <x:v>VINTAGE RED TRIM ENAMEL BOWL</x:v>
      </x:c>
      <x:c r="D1356" s="13" t="n">
        <x:v>1531.03</x:v>
      </x:c>
      <x:c r="E1356" s="13" t="n">
        <x:v>141.8</x:v>
      </x:c>
      <x:c r="F1356" s="13" t="n">
        <x:f>D1356-E1356</x:f>
        <x:v>1389.23</x:v>
      </x:c>
      <x:c r="G1356" s="3" t="n">
        <x:v>1179</x:v>
      </x:c>
      <x:c r="H1356" s="3" t="n">
        <x:v>121</x:v>
      </x:c>
      <x:c r="I1356" s="3" t="n">
        <x:v>110</x:v>
      </x:c>
      <x:c r="J1356" s="15" t="n">
        <x:f>IF(D1356=0,"n.a.",E1356/D1356)</x:f>
        <x:v>0.09261738829415492</x:v>
      </x:c>
      <x:c r="K1356" s="15" t="n">
        <x:f>F1356/'Datos'!$F$7</x:f>
        <x:v>0.00014186370866305269</x:v>
      </x:c>
      <x:c r="L1356" s="3"/>
    </x:row>
    <x:row r="1357" ht="22" customHeight="1">
      <x:c r="A1357" s="3"/>
      <x:c r="B1357" s="3" t="str">
        <x:v>22735</x:v>
      </x:c>
      <x:c r="C1357" s="3" t="str">
        <x:v>RIBBON REEL SOCKS AND MITTENS</x:v>
      </x:c>
      <x:c r="D1357" s="13" t="n">
        <x:v>1387.46</x:v>
      </x:c>
      <x:c r="E1357" s="13" t="n">
        <x:v>0</x:v>
      </x:c>
      <x:c r="F1357" s="13" t="n">
        <x:f>D1357-E1357</x:f>
        <x:v>1387.46</x:v>
      </x:c>
      <x:c r="G1357" s="3" t="n">
        <x:v>746</x:v>
      </x:c>
      <x:c r="H1357" s="3" t="n">
        <x:v>0</x:v>
      </x:c>
      <x:c r="I1357" s="3" t="n">
        <x:v>136</x:v>
      </x:c>
      <x:c r="J1357" s="15" t="n">
        <x:f>IF(D1357=0,"n.a.",E1357/D1357)</x:f>
        <x:v>0</x:v>
      </x:c>
      <x:c r="K1357" s="15" t="n">
        <x:f>F1357/'Datos'!$F$7</x:f>
        <x:v>0.00014168296194412667</x:v>
      </x:c>
      <x:c r="L1357" s="3"/>
    </x:row>
    <x:row r="1358" ht="22" customHeight="1">
      <x:c r="A1358" s="3"/>
      <x:c r="B1358" s="3" t="str">
        <x:v>21424</x:v>
      </x:c>
      <x:c r="C1358" s="3" t="str">
        <x:v>WOODLAND STORAGE BOX LARGE</x:v>
      </x:c>
      <x:c r="D1358" s="13" t="n">
        <x:v>1401.02</x:v>
      </x:c>
      <x:c r="E1358" s="13" t="n">
        <x:v>14.75</x:v>
      </x:c>
      <x:c r="F1358" s="13" t="n">
        <x:f>D1358-E1358</x:f>
        <x:v>1386.27</x:v>
      </x:c>
      <x:c r="G1358" s="3" t="n">
        <x:v>346</x:v>
      </x:c>
      <x:c r="H1358" s="3" t="n">
        <x:v>5</x:v>
      </x:c>
      <x:c r="I1358" s="3" t="n">
        <x:v>70</x:v>
      </x:c>
      <x:c r="J1358" s="15" t="n">
        <x:f>IF(D1358=0,"n.a.",E1358/D1358)</x:f>
        <x:v>0.010528043853763687</x:v>
      </x:c>
      <x:c r="K1358" s="15" t="n">
        <x:f>F1358/'Datos'!$F$7</x:f>
        <x:v>0.00014156144296360577</x:v>
      </x:c>
      <x:c r="L1358" s="3"/>
    </x:row>
    <x:row r="1359" ht="22" customHeight="1">
      <x:c r="A1359" s="3"/>
      <x:c r="B1359" s="3" t="str">
        <x:v>22047</x:v>
      </x:c>
      <x:c r="C1359" s="3" t="str">
        <x:v>EMPIRE GIFT WRAP</x:v>
      </x:c>
      <x:c r="D1359" s="13" t="n">
        <x:v>1394.5</x:v>
      </x:c>
      <x:c r="E1359" s="13" t="n">
        <x:v>10.5</x:v>
      </x:c>
      <x:c r="F1359" s="13" t="n">
        <x:f>D1359-E1359</x:f>
        <x:v>1384</x:v>
      </x:c>
      <x:c r="G1359" s="3" t="n">
        <x:v>3425</x:v>
      </x:c>
      <x:c r="H1359" s="3" t="n">
        <x:v>25</x:v>
      </x:c>
      <x:c r="I1359" s="3" t="n">
        <x:v>106</x:v>
      </x:c>
      <x:c r="J1359" s="15" t="n">
        <x:f>IF(D1359=0,"n.a.",E1359/D1359)</x:f>
        <x:v>0.007529580494801004</x:v>
      </x:c>
      <x:c r="K1359" s="15" t="n">
        <x:f>F1359/'Datos'!$F$7</x:f>
        <x:v>0.0001413296378495029</x:v>
      </x:c>
      <x:c r="L1359" s="3"/>
    </x:row>
    <x:row r="1360" ht="22" customHeight="1">
      <x:c r="A1360" s="3"/>
      <x:c r="B1360" s="3" t="str">
        <x:v>22443</x:v>
      </x:c>
      <x:c r="C1360" s="3" t="str">
        <x:v>GROW YOUR OWN HERBS SET OF 3</x:v>
      </x:c>
      <x:c r="D1360" s="13" t="n">
        <x:v>1399.69</x:v>
      </x:c>
      <x:c r="E1360" s="13" t="n">
        <x:v>15.9</x:v>
      </x:c>
      <x:c r="F1360" s="13" t="n">
        <x:f>D1360-E1360</x:f>
        <x:v>1383.79</x:v>
      </x:c>
      <x:c r="G1360" s="3" t="n">
        <x:v>165</x:v>
      </x:c>
      <x:c r="H1360" s="3" t="n">
        <x:v>2</x:v>
      </x:c>
      <x:c r="I1360" s="3" t="n">
        <x:v>90</x:v>
      </x:c>
      <x:c r="J1360" s="15" t="n">
        <x:f>IF(D1360=0,"n.a.",E1360/D1360)</x:f>
        <x:v>0.01135965821003222</x:v>
      </x:c>
      <x:c r="K1360" s="15" t="n">
        <x:f>F1360/'Datos'!$F$7</x:f>
        <x:v>0.00014130819332352864</x:v>
      </x:c>
      <x:c r="L1360" s="3"/>
    </x:row>
    <x:row r="1361" ht="22" customHeight="1">
      <x:c r="A1361" s="3"/>
      <x:c r="B1361" s="3" t="str">
        <x:v>21382</x:v>
      </x:c>
      <x:c r="C1361" s="3" t="str">
        <x:v>SET/4 SPRING FLOWER DECORATION</x:v>
      </x:c>
      <x:c r="D1361" s="13" t="n">
        <x:v>1389.08</x:v>
      </x:c>
      <x:c r="E1361" s="13" t="n">
        <x:v>6</x:v>
      </x:c>
      <x:c r="F1361" s="13" t="n">
        <x:f>D1361-E1361</x:f>
        <x:v>1383.08</x:v>
      </x:c>
      <x:c r="G1361" s="3" t="n">
        <x:v>1148</x:v>
      </x:c>
      <x:c r="H1361" s="3" t="n">
        <x:v>8</x:v>
      </x:c>
      <x:c r="I1361" s="3" t="n">
        <x:v>128</x:v>
      </x:c>
      <x:c r="J1361" s="15" t="n">
        <x:f>IF(D1361=0,"n.a.",E1361/D1361)</x:f>
        <x:v>0.00431940564978259</x:v>
      </x:c>
      <x:c r="K1361" s="15" t="n">
        <x:f>F1361/'Datos'!$F$7</x:f>
        <x:v>0.0001412356904023775</x:v>
      </x:c>
      <x:c r="L1361" s="3"/>
    </x:row>
    <x:row r="1362" ht="22" customHeight="1">
      <x:c r="A1362" s="3"/>
      <x:c r="B1362" s="3" t="str">
        <x:v>23376</x:v>
      </x:c>
      <x:c r="C1362" s="3" t="str">
        <x:v>PACK OF 12 VINTAGE CHRISTMAS TISSUE</x:v>
      </x:c>
      <x:c r="D1362" s="13" t="n">
        <x:v>1389.59</x:v>
      </x:c>
      <x:c r="E1362" s="13" t="n">
        <x:v>9.36</x:v>
      </x:c>
      <x:c r="F1362" s="13" t="n">
        <x:f>D1362-E1362</x:f>
        <x:v>1380.23</x:v>
      </x:c>
      <x:c r="G1362" s="3" t="n">
        <x:v>3051</x:v>
      </x:c>
      <x:c r="H1362" s="3" t="n">
        <x:v>24</x:v>
      </x:c>
      <x:c r="I1362" s="3" t="n">
        <x:v>155</x:v>
      </x:c>
      <x:c r="J1362" s="15" t="n">
        <x:f>IF(D1362=0,"n.a.",E1362/D1362)</x:f>
        <x:v>0.006735799768276974</x:v>
      </x:c>
      <x:c r="K1362" s="15" t="n">
        <x:f>F1362/'Datos'!$F$7</x:f>
        <x:v>0.0001409446575498695</x:v>
      </x:c>
      <x:c r="L1362" s="3"/>
    </x:row>
    <x:row r="1363" ht="22" customHeight="1">
      <x:c r="A1363" s="3"/>
      <x:c r="B1363" s="3" t="str">
        <x:v>23119</x:v>
      </x:c>
      <x:c r="C1363" s="3" t="str">
        <x:v>PACK OF 6 LARGE FRUIT STRAWS</x:v>
      </x:c>
      <x:c r="D1363" s="13" t="n">
        <x:v>1402.32</x:v>
      </x:c>
      <x:c r="E1363" s="13" t="n">
        <x:v>22.32</x:v>
      </x:c>
      <x:c r="F1363" s="13" t="n">
        <x:f>D1363-E1363</x:f>
        <x:v>1380</x:v>
      </x:c>
      <x:c r="G1363" s="3" t="n">
        <x:v>2283</x:v>
      </x:c>
      <x:c r="H1363" s="3" t="n">
        <x:v>36</x:v>
      </x:c>
      <x:c r="I1363" s="3" t="n">
        <x:v>151</x:v>
      </x:c>
      <x:c r="J1363" s="15" t="n">
        <x:f>IF(D1363=0,"n.a.",E1363/D1363)</x:f>
        <x:v>0.015916481259626906</x:v>
      </x:c>
      <x:c r="K1363" s="15" t="n">
        <x:f>F1363/'Datos'!$F$7</x:f>
        <x:v>0.00014092117068808816</x:v>
      </x:c>
      <x:c r="L1363" s="3"/>
    </x:row>
    <x:row r="1364" ht="22" customHeight="1">
      <x:c r="A1364" s="3"/>
      <x:c r="B1364" s="3" t="str">
        <x:v>21071</x:v>
      </x:c>
      <x:c r="C1364" s="3" t="str">
        <x:v>VINTAGE BILLBOARD DRINK ME MUG</x:v>
      </x:c>
      <x:c r="D1364" s="13" t="n">
        <x:v>1385.28</x:v>
      </x:c>
      <x:c r="E1364" s="13" t="n">
        <x:v>6.36</x:v>
      </x:c>
      <x:c r="F1364" s="13" t="n">
        <x:f>D1364-E1364</x:f>
        <x:v>1378.92</x:v>
      </x:c>
      <x:c r="G1364" s="3" t="n">
        <x:v>995</x:v>
      </x:c>
      <x:c r="H1364" s="3" t="n">
        <x:v>6</x:v>
      </x:c>
      <x:c r="I1364" s="3" t="n">
        <x:v>177</x:v>
      </x:c>
      <x:c r="J1364" s="15" t="n">
        <x:f>IF(D1364=0,"n.a.",E1364/D1364)</x:f>
        <x:v>0.004591129591129592</x:v>
      </x:c>
      <x:c r="K1364" s="15" t="n">
        <x:f>F1364/'Datos'!$F$7</x:f>
        <x:v>0.00014081088455450617</x:v>
      </x:c>
      <x:c r="L1364" s="3"/>
    </x:row>
    <x:row r="1365" ht="22" customHeight="1">
      <x:c r="A1365" s="3"/>
      <x:c r="B1365" s="3" t="str">
        <x:v>72802A</x:v>
      </x:c>
      <x:c r="C1365" s="3" t="str">
        <x:v>ROSE SCENT CANDLE IN JEWELLED BOX</x:v>
      </x:c>
      <x:c r="D1365" s="13" t="n">
        <x:v>1392.19</x:v>
      </x:c>
      <x:c r="E1365" s="13" t="n">
        <x:v>16.12</x:v>
      </x:c>
      <x:c r="F1365" s="13" t="n">
        <x:f>D1365-E1365</x:f>
        <x:v>1376.0700000000002</x:v>
      </x:c>
      <x:c r="G1365" s="3" t="n">
        <x:v>331</x:v>
      </x:c>
      <x:c r="H1365" s="3" t="n">
        <x:v>4</x:v>
      </x:c>
      <x:c r="I1365" s="3" t="n">
        <x:v>65</x:v>
      </x:c>
      <x:c r="J1365" s="15" t="n">
        <x:f>IF(D1365=0,"n.a.",E1365/D1365)</x:f>
        <x:v>0.011578879319633096</x:v>
      </x:c>
      <x:c r="K1365" s="15" t="n">
        <x:f>F1365/'Datos'!$F$7</x:f>
        <x:v>0.00014051985170199818</x:v>
      </x:c>
      <x:c r="L1365" s="3"/>
    </x:row>
    <x:row r="1366" ht="22" customHeight="1">
      <x:c r="A1366" s="3"/>
      <x:c r="B1366" s="3" t="str">
        <x:v>23546</x:v>
      </x:c>
      <x:c r="C1366" s="3" t="str">
        <x:v>WRAP PAISLEY PARK</x:v>
      </x:c>
      <x:c r="D1366" s="13" t="n">
        <x:v>1375.5</x:v>
      </x:c>
      <x:c r="E1366" s="13" t="n">
        <x:v>0</x:v>
      </x:c>
      <x:c r="F1366" s="13" t="n">
        <x:f>D1366-E1366</x:f>
        <x:v>1375.5</x:v>
      </x:c>
      <x:c r="G1366" s="3" t="n">
        <x:v>3275</x:v>
      </x:c>
      <x:c r="H1366" s="3" t="n">
        <x:v>0</x:v>
      </x:c>
      <x:c r="I1366" s="3" t="n">
        <x:v>120</x:v>
      </x:c>
      <x:c r="J1366" s="15" t="n">
        <x:f>IF(D1366=0,"n.a.",E1366/D1366)</x:f>
        <x:v>0</x:v>
      </x:c>
      <x:c r="K1366" s="15" t="n">
        <x:f>F1366/'Datos'!$F$7</x:f>
        <x:v>0.00014046164513149657</x:v>
      </x:c>
      <x:c r="L1366" s="3"/>
    </x:row>
    <x:row r="1367" ht="22" customHeight="1">
      <x:c r="A1367" s="3"/>
      <x:c r="B1367" s="3" t="str">
        <x:v>22677</x:v>
      </x:c>
      <x:c r="C1367" s="3" t="str">
        <x:v>FRENCH BLUE METAL DOOR SIGN 2</x:v>
      </x:c>
      <x:c r="D1367" s="13" t="n">
        <x:v>1389.07</x:v>
      </x:c>
      <x:c r="E1367" s="13" t="n">
        <x:v>13.75</x:v>
      </x:c>
      <x:c r="F1367" s="13" t="n">
        <x:f>D1367-E1367</x:f>
        <x:v>1375.32</x:v>
      </x:c>
      <x:c r="G1367" s="3" t="n">
        <x:v>1001</x:v>
      </x:c>
      <x:c r="H1367" s="3" t="n">
        <x:v>11</x:v>
      </x:c>
      <x:c r="I1367" s="3" t="n">
        <x:v>188</x:v>
      </x:c>
      <x:c r="J1367" s="15" t="n">
        <x:f>IF(D1367=0,"n.a.",E1367/D1367)</x:f>
        <x:v>0.009898709208319235</x:v>
      </x:c>
      <x:c r="K1367" s="15" t="n">
        <x:f>F1367/'Datos'!$F$7</x:f>
        <x:v>0.00014044326410923288</x:v>
      </x:c>
      <x:c r="L1367" s="3"/>
    </x:row>
    <x:row r="1368" ht="22" customHeight="1">
      <x:c r="A1368" s="3"/>
      <x:c r="B1368" s="3" t="str">
        <x:v>22609</x:v>
      </x:c>
      <x:c r="C1368" s="3" t="str">
        <x:v>PENS ASSORTED SPACEBALL</x:v>
      </x:c>
      <x:c r="D1368" s="13" t="n">
        <x:v>1381.78</x:v>
      </x:c>
      <x:c r="E1368" s="13" t="n">
        <x:v>6.84</x:v>
      </x:c>
      <x:c r="F1368" s="13" t="n">
        <x:f>D1368-E1368</x:f>
        <x:v>1374.94</x:v>
      </x:c>
      <x:c r="G1368" s="3" t="n">
        <x:v>5946</x:v>
      </x:c>
      <x:c r="H1368" s="3" t="n">
        <x:v>36</x:v>
      </x:c>
      <x:c r="I1368" s="3" t="n">
        <x:v>155</x:v>
      </x:c>
      <x:c r="J1368" s="15" t="n">
        <x:f>IF(D1368=0,"n.a.",E1368/D1368)</x:f>
        <x:v>0.004950136780095239</x:v>
      </x:c>
      <x:c r="K1368" s="15" t="n">
        <x:f>F1368/'Datos'!$F$7</x:f>
        <x:v>0.0001404044597288985</x:v>
      </x:c>
      <x:c r="L1368" s="3"/>
    </x:row>
    <x:row r="1369" ht="22" customHeight="1">
      <x:c r="A1369" s="3"/>
      <x:c r="B1369" s="3" t="str">
        <x:v>21519</x:v>
      </x:c>
      <x:c r="C1369" s="3" t="str">
        <x:v>GIN &amp; TONIC DIET GREETING CARD</x:v>
      </x:c>
      <x:c r="D1369" s="13" t="n">
        <x:v>1389.22</x:v>
      </x:c>
      <x:c r="E1369" s="13" t="n">
        <x:v>15.12</x:v>
      </x:c>
      <x:c r="F1369" s="13" t="n">
        <x:f>D1369-E1369</x:f>
        <x:v>1374.1000000000001</x:v>
      </x:c>
      <x:c r="G1369" s="3" t="n">
        <x:v>3299</x:v>
      </x:c>
      <x:c r="H1369" s="3" t="n">
        <x:v>36</x:v>
      </x:c>
      <x:c r="I1369" s="3" t="n">
        <x:v>246</x:v>
      </x:c>
      <x:c r="J1369" s="15" t="n">
        <x:f>IF(D1369=0,"n.a.",E1369/D1369)</x:f>
        <x:v>0.010883805300816285</x:v>
      </x:c>
      <x:c r="K1369" s="15" t="n">
        <x:f>F1369/'Datos'!$F$7</x:f>
        <x:v>0.0001403186816250014</x:v>
      </x:c>
      <x:c r="L1369" s="3"/>
    </x:row>
    <x:row r="1370" ht="22" customHeight="1">
      <x:c r="A1370" s="3"/>
      <x:c r="B1370" s="3" t="str">
        <x:v>22976</x:v>
      </x:c>
      <x:c r="C1370" s="3" t="str">
        <x:v>CIRCUS PARADE CHILDRENS EGG CUP</x:v>
      </x:c>
      <x:c r="D1370" s="13" t="n">
        <x:v>1420.26</x:v>
      </x:c>
      <x:c r="E1370" s="13" t="n">
        <x:v>46.25</x:v>
      </x:c>
      <x:c r="F1370" s="13" t="n">
        <x:f>D1370-E1370</x:f>
        <x:v>1374.01</x:v>
      </x:c>
      <x:c r="G1370" s="3" t="n">
        <x:v>1091</x:v>
      </x:c>
      <x:c r="H1370" s="3" t="n">
        <x:v>37</x:v>
      </x:c>
      <x:c r="I1370" s="3" t="n">
        <x:v>143</x:v>
      </x:c>
      <x:c r="J1370" s="15" t="n">
        <x:f>IF(D1370=0,"n.a.",E1370/D1370)</x:f>
        <x:v>0.0325644600284455</x:v>
      </x:c>
      <x:c r="K1370" s="15" t="n">
        <x:f>F1370/'Datos'!$F$7</x:f>
        <x:v>0.00014030949111386957</x:v>
      </x:c>
      <x:c r="L1370" s="3"/>
    </x:row>
    <x:row r="1371" ht="22" customHeight="1">
      <x:c r="A1371" s="3"/>
      <x:c r="B1371" s="3" t="str">
        <x:v>22063</x:v>
      </x:c>
      <x:c r="C1371" s="3" t="str">
        <x:v>CERAMIC BOWL WITH STRAWBERRY DESIGN</x:v>
      </x:c>
      <x:c r="D1371" s="13" t="n">
        <x:v>1388.1</x:v>
      </x:c>
      <x:c r="E1371" s="13" t="n">
        <x:v>17.7</x:v>
      </x:c>
      <x:c r="F1371" s="13" t="n">
        <x:f>D1371-E1371</x:f>
        <x:v>1370.3999999999999</x:v>
      </x:c>
      <x:c r="G1371" s="3" t="n">
        <x:v>590</x:v>
      </x:c>
      <x:c r="H1371" s="3" t="n">
        <x:v>6</x:v>
      </x:c>
      <x:c r="I1371" s="3" t="n">
        <x:v>120</x:v>
      </x:c>
      <x:c r="J1371" s="15" t="n">
        <x:f>IF(D1371=0,"n.a.",E1371/D1371)</x:f>
        <x:v>0.012751242705856928</x:v>
      </x:c>
      <x:c r="K1371" s="15" t="n">
        <x:f>F1371/'Datos'!$F$7</x:f>
        <x:v>0.00013994084950069274</x:v>
      </x:c>
      <x:c r="L1371" s="3"/>
    </x:row>
    <x:row r="1372" ht="22" customHeight="1">
      <x:c r="A1372" s="3"/>
      <x:c r="B1372" s="3" t="str">
        <x:v>85227</x:v>
      </x:c>
      <x:c r="C1372" s="3" t="str">
        <x:v>SET OF 6 3D KIT CARDS FOR KIDS</x:v>
      </x:c>
      <x:c r="D1372" s="13" t="n">
        <x:v>1368.75</x:v>
      </x:c>
      <x:c r="E1372" s="13" t="n">
        <x:v>0</x:v>
      </x:c>
      <x:c r="F1372" s="13" t="n">
        <x:f>D1372-E1372</x:f>
        <x:v>1368.75</x:v>
      </x:c>
      <x:c r="G1372" s="3" t="n">
        <x:v>1488</x:v>
      </x:c>
      <x:c r="H1372" s="3" t="n">
        <x:v>0</x:v>
      </x:c>
      <x:c r="I1372" s="3" t="n">
        <x:v>223</x:v>
      </x:c>
      <x:c r="J1372" s="15" t="n">
        <x:f>IF(D1372=0,"n.a.",E1372/D1372)</x:f>
        <x:v>0</x:v>
      </x:c>
      <x:c r="K1372" s="15" t="n">
        <x:f>F1372/'Datos'!$F$7</x:f>
        <x:v>0.00013977235679660916</x:v>
      </x:c>
      <x:c r="L1372" s="3"/>
    </x:row>
    <x:row r="1373" ht="22" customHeight="1">
      <x:c r="A1373" s="3"/>
      <x:c r="B1373" s="3" t="str">
        <x:v>22915</x:v>
      </x:c>
      <x:c r="C1373" s="3" t="str">
        <x:v>ASSORTED BOTTLE TOP MAGNETS</x:v>
      </x:c>
      <x:c r="D1373" s="13" t="n">
        <x:v>1406.42</x:v>
      </x:c>
      <x:c r="E1373" s="13" t="n">
        <x:v>37.8</x:v>
      </x:c>
      <x:c r="F1373" s="13" t="n">
        <x:f>D1373-E1373</x:f>
        <x:v>1368.6200000000001</x:v>
      </x:c>
      <x:c r="G1373" s="3" t="n">
        <x:v>3152</x:v>
      </x:c>
      <x:c r="H1373" s="3" t="n">
        <x:v>90</x:v>
      </x:c>
      <x:c r="I1373" s="3" t="n">
        <x:v>184</x:v>
      </x:c>
      <x:c r="J1373" s="15" t="n">
        <x:f>IF(D1373=0,"n.a.",E1373/D1373)</x:f>
        <x:v>0.02687675089944682</x:v>
      </x:c>
      <x:c r="K1373" s="15" t="n">
        <x:f>F1373/'Datos'!$F$7</x:f>
        <x:v>0.0001397590816138632</x:v>
      </x:c>
      <x:c r="L1373" s="3"/>
    </x:row>
    <x:row r="1374" ht="22" customHeight="1">
      <x:c r="A1374" s="3"/>
      <x:c r="B1374" s="3" t="str">
        <x:v>22304</x:v>
      </x:c>
      <x:c r="C1374" s="3" t="str">
        <x:v>COFFEE MUG BLUE PAISLEY DESIGN</x:v>
      </x:c>
      <x:c r="D1374" s="13" t="n">
        <x:v>1368.18</x:v>
      </x:c>
      <x:c r="E1374" s="13" t="n">
        <x:v>0</x:v>
      </x:c>
      <x:c r="F1374" s="13" t="n">
        <x:f>D1374-E1374</x:f>
        <x:v>1368.18</x:v>
      </x:c>
      <x:c r="G1374" s="3" t="n">
        <x:v>767</x:v>
      </x:c>
      <x:c r="H1374" s="3" t="n">
        <x:v>0</x:v>
      </x:c>
      <x:c r="I1374" s="3" t="n">
        <x:v>61</x:v>
      </x:c>
      <x:c r="J1374" s="15" t="n">
        <x:f>IF(D1374=0,"n.a.",E1374/D1374)</x:f>
        <x:v>0</x:v>
      </x:c>
      <x:c r="K1374" s="15" t="n">
        <x:f>F1374/'Datos'!$F$7</x:f>
        <x:v>0.00013971415022610758</x:v>
      </x:c>
      <x:c r="L1374" s="3"/>
    </x:row>
    <x:row r="1375" ht="22" customHeight="1">
      <x:c r="A1375" s="3"/>
      <x:c r="B1375" s="3" t="str">
        <x:v>22716</x:v>
      </x:c>
      <x:c r="C1375" s="3" t="str">
        <x:v>CARD CIRCUS PARADE</x:v>
      </x:c>
      <x:c r="D1375" s="13" t="n">
        <x:v>1365.95</x:v>
      </x:c>
      <x:c r="E1375" s="13" t="n">
        <x:v>0</x:v>
      </x:c>
      <x:c r="F1375" s="13" t="n">
        <x:f>D1375-E1375</x:f>
        <x:v>1365.95</x:v>
      </x:c>
      <x:c r="G1375" s="3" t="n">
        <x:v>3213</x:v>
      </x:c>
      <x:c r="H1375" s="3" t="n">
        <x:v>0</x:v>
      </x:c>
      <x:c r="I1375" s="3" t="n">
        <x:v>288</x:v>
      </x:c>
      <x:c r="J1375" s="15" t="n">
        <x:f>IF(D1375=0,"n.a.",E1375/D1375)</x:f>
        <x:v>0</x:v>
      </x:c>
      <x:c r="K1375" s="15" t="n">
        <x:f>F1375/'Datos'!$F$7</x:f>
        <x:v>0.00013948642978361885</x:v>
      </x:c>
      <x:c r="L1375" s="3"/>
    </x:row>
    <x:row r="1376" ht="22" customHeight="1">
      <x:c r="A1376" s="3"/>
      <x:c r="B1376" s="3" t="str">
        <x:v>84818</x:v>
      </x:c>
      <x:c r="C1376" s="3" t="str">
        <x:v>DANISH ROSE PHOTO FRAME</x:v>
      </x:c>
      <x:c r="D1376" s="13" t="n">
        <x:v>1461.6</x:v>
      </x:c>
      <x:c r="E1376" s="13" t="n">
        <x:v>101.45</x:v>
      </x:c>
      <x:c r="F1376" s="13" t="n">
        <x:f>D1376-E1376</x:f>
        <x:v>1360.1499999999999</x:v>
      </x:c>
      <x:c r="G1376" s="3" t="n">
        <x:v>1424</x:v>
      </x:c>
      <x:c r="H1376" s="3" t="n">
        <x:v>95</x:v>
      </x:c>
      <x:c r="I1376" s="3" t="n">
        <x:v>99</x:v>
      </x:c>
      <x:c r="J1376" s="15" t="n">
        <x:f>IF(D1376=0,"n.a.",E1376/D1376)</x:f>
        <x:v>0.06941023535851122</x:v>
      </x:c>
      <x:c r="K1376" s="15" t="n">
        <x:f>F1376/'Datos'!$F$7</x:f>
        <x:v>0.00013889415239956744</x:v>
      </x:c>
      <x:c r="L1376" s="3"/>
    </x:row>
    <x:row r="1377" ht="22" customHeight="1">
      <x:c r="A1377" s="3"/>
      <x:c r="B1377" s="3" t="str">
        <x:v>23249</x:v>
      </x:c>
      <x:c r="C1377" s="3" t="str">
        <x:v>VINTAGE RED ENAMEL TRIM PLATE</x:v>
      </x:c>
      <x:c r="D1377" s="13" t="n">
        <x:v>1445.9</x:v>
      </x:c>
      <x:c r="E1377" s="13" t="n">
        <x:v>87.71</x:v>
      </x:c>
      <x:c r="F1377" s="13" t="n">
        <x:f>D1377-E1377</x:f>
        <x:v>1358.19</x:v>
      </x:c>
      <x:c r="G1377" s="3" t="n">
        <x:v>854</x:v>
      </x:c>
      <x:c r="H1377" s="3" t="n">
        <x:v>55</x:v>
      </x:c>
      <x:c r="I1377" s="3" t="n">
        <x:v>81</x:v>
      </x:c>
      <x:c r="J1377" s="15" t="n">
        <x:f>IF(D1377=0,"n.a.",E1377/D1377)</x:f>
        <x:v>0.06066117988795905</x:v>
      </x:c>
      <x:c r="K1377" s="15" t="n">
        <x:f>F1377/'Datos'!$F$7</x:f>
        <x:v>0.00013869400349047424</x:v>
      </x:c>
      <x:c r="L1377" s="3"/>
    </x:row>
    <x:row r="1378" ht="22" customHeight="1">
      <x:c r="A1378" s="3"/>
      <x:c r="B1378" s="3" t="str">
        <x:v>22591</x:v>
      </x:c>
      <x:c r="C1378" s="3" t="str">
        <x:v>CARDHOLDER GINGHAM CHRISTMAS TREE</x:v>
      </x:c>
      <x:c r="D1378" s="13" t="n">
        <x:v>1509.41</x:v>
      </x:c>
      <x:c r="E1378" s="13" t="n">
        <x:v>156.05</x:v>
      </x:c>
      <x:c r="F1378" s="13" t="n">
        <x:f>D1378-E1378</x:f>
        <x:v>1353.3600000000001</x:v>
      </x:c>
      <x:c r="G1378" s="3" t="n">
        <x:v>413</x:v>
      </x:c>
      <x:c r="H1378" s="3" t="n">
        <x:v>59</x:v>
      </x:c>
      <x:c r="I1378" s="3" t="n">
        <x:v>86</x:v>
      </x:c>
      <x:c r="J1378" s="15" t="n">
        <x:f>IF(D1378=0,"n.a.",E1378/D1378)</x:f>
        <x:v>0.10338476623316395</x:v>
      </x:c>
      <x:c r="K1378" s="15" t="n">
        <x:f>F1378/'Datos'!$F$7</x:f>
        <x:v>0.00013820077939306595</x:v>
      </x:c>
      <x:c r="L1378" s="3"/>
    </x:row>
    <x:row r="1379" ht="22" customHeight="1">
      <x:c r="A1379" s="3"/>
      <x:c r="B1379" s="3" t="str">
        <x:v>21123</x:v>
      </x:c>
      <x:c r="C1379" s="3" t="str">
        <x:v>SET/10 IVORY POLKADOT PARTY CANDLES</x:v>
      </x:c>
      <x:c r="D1379" s="13" t="n">
        <x:v>1383.34</x:v>
      </x:c>
      <x:c r="E1379" s="13" t="n">
        <x:v>30</x:v>
      </x:c>
      <x:c r="F1379" s="13" t="n">
        <x:f>D1379-E1379</x:f>
        <x:v>1353.34</x:v>
      </x:c>
      <x:c r="G1379" s="3" t="n">
        <x:v>1145</x:v>
      </x:c>
      <x:c r="H1379" s="3" t="n">
        <x:v>24</x:v>
      </x:c>
      <x:c r="I1379" s="3" t="n">
        <x:v>154</x:v>
      </x:c>
      <x:c r="J1379" s="15" t="n">
        <x:f>IF(D1379=0,"n.a.",E1379/D1379)</x:f>
        <x:v>0.021686642474012176</x:v>
      </x:c>
      <x:c r="K1379" s="15" t="n">
        <x:f>F1379/'Datos'!$F$7</x:f>
        <x:v>0.00013819873705725883</x:v>
      </x:c>
      <x:c r="L1379" s="3"/>
    </x:row>
    <x:row r="1380" ht="22" customHeight="1">
      <x:c r="A1380" s="3"/>
      <x:c r="B1380" s="3" t="str">
        <x:v>23000</x:v>
      </x:c>
      <x:c r="C1380" s="3" t="str">
        <x:v>TRAVEL CARD WALLET TRANSPORT</x:v>
      </x:c>
      <x:c r="D1380" s="13" t="n">
        <x:v>1369.12</x:v>
      </x:c>
      <x:c r="E1380" s="13" t="n">
        <x:v>16.38</x:v>
      </x:c>
      <x:c r="F1380" s="13" t="n">
        <x:f>D1380-E1380</x:f>
        <x:v>1352.7399999999998</x:v>
      </x:c>
      <x:c r="G1380" s="3" t="n">
        <x:v>3171</x:v>
      </x:c>
      <x:c r="H1380" s="3" t="n">
        <x:v>39</x:v>
      </x:c>
      <x:c r="I1380" s="3" t="n">
        <x:v>278</x:v>
      </x:c>
      <x:c r="J1380" s="15" t="n">
        <x:f>IF(D1380=0,"n.a.",E1380/D1380)</x:f>
        <x:v>0.011963889213509408</x:v>
      </x:c>
      <x:c r="K1380" s="15" t="n">
        <x:f>F1380/'Datos'!$F$7</x:f>
        <x:v>0.00013813746698304662</x:v>
      </x:c>
      <x:c r="L1380" s="3"/>
    </x:row>
    <x:row r="1381" ht="22" customHeight="1">
      <x:c r="A1381" s="3"/>
      <x:c r="B1381" s="3" t="str">
        <x:v>22754</x:v>
      </x:c>
      <x:c r="C1381" s="3" t="str">
        <x:v>SMALL RED BABUSHKA NOTEBOOK</x:v>
      </x:c>
      <x:c r="D1381" s="13" t="n">
        <x:v>1352.17</x:v>
      </x:c>
      <x:c r="E1381" s="13" t="n">
        <x:v>0</x:v>
      </x:c>
      <x:c r="F1381" s="13" t="n">
        <x:f>D1381-E1381</x:f>
        <x:v>1352.17</x:v>
      </x:c>
      <x:c r="G1381" s="3" t="n">
        <x:v>1953</x:v>
      </x:c>
      <x:c r="H1381" s="3" t="n">
        <x:v>0</x:v>
      </x:c>
      <x:c r="I1381" s="3" t="n">
        <x:v>266</x:v>
      </x:c>
      <x:c r="J1381" s="15" t="n">
        <x:f>IF(D1381=0,"n.a.",E1381/D1381)</x:f>
        <x:v>0</x:v>
      </x:c>
      <x:c r="K1381" s="15" t="n">
        <x:f>F1381/'Datos'!$F$7</x:f>
        <x:v>0.00013807926041254506</x:v>
      </x:c>
      <x:c r="L1381" s="3"/>
    </x:row>
    <x:row r="1382" ht="22" customHeight="1">
      <x:c r="A1382" s="3"/>
      <x:c r="B1382" s="3" t="str">
        <x:v>23061</x:v>
      </x:c>
      <x:c r="C1382" s="3" t="str">
        <x:v>VINTAGE EMBOSSED HEART</x:v>
      </x:c>
      <x:c r="D1382" s="13" t="n">
        <x:v>1355.18</x:v>
      </x:c>
      <x:c r="E1382" s="13" t="n">
        <x:v>3.75</x:v>
      </x:c>
      <x:c r="F1382" s="13" t="n">
        <x:f>D1382-E1382</x:f>
        <x:v>1351.43</x:v>
      </x:c>
      <x:c r="G1382" s="3" t="n">
        <x:v>1033</x:v>
      </x:c>
      <x:c r="H1382" s="3" t="n">
        <x:v>3</x:v>
      </x:c>
      <x:c r="I1382" s="3" t="n">
        <x:v>117</x:v>
      </x:c>
      <x:c r="J1382" s="15" t="n">
        <x:f>IF(D1382=0,"n.a.",E1382/D1382)</x:f>
        <x:v>0.00276716008205552</x:v>
      </x:c>
      <x:c r="K1382" s="15" t="n">
        <x:f>F1382/'Datos'!$F$7</x:f>
        <x:v>0.00013800369398768333</x:v>
      </x:c>
      <x:c r="L1382" s="3"/>
    </x:row>
    <x:row r="1383" ht="22" customHeight="1">
      <x:c r="A1383" s="3"/>
      <x:c r="B1383" s="3" t="str">
        <x:v>21615</x:v>
      </x:c>
      <x:c r="C1383" s="3" t="str">
        <x:v>4 LAVENDER BOTANICAL DINNER CANDLES</x:v>
      </x:c>
      <x:c r="D1383" s="13" t="n">
        <x:v>1349.17</x:v>
      </x:c>
      <x:c r="E1383" s="13" t="n">
        <x:v>0</x:v>
      </x:c>
      <x:c r="F1383" s="13" t="n">
        <x:f>D1383-E1383</x:f>
        <x:v>1349.17</x:v>
      </x:c>
      <x:c r="G1383" s="3" t="n">
        <x:v>892</x:v>
      </x:c>
      <x:c r="H1383" s="3" t="n">
        <x:v>0</x:v>
      </x:c>
      <x:c r="I1383" s="3" t="n">
        <x:v>135</x:v>
      </x:c>
      <x:c r="J1383" s="15" t="n">
        <x:f>IF(D1383=0,"n.a.",E1383/D1383)</x:f>
        <x:v>0</x:v>
      </x:c>
      <x:c r="K1383" s="15" t="n">
        <x:f>F1383/'Datos'!$F$7</x:f>
        <x:v>0.000137772910041484</x:v>
      </x:c>
      <x:c r="L1383" s="3"/>
    </x:row>
    <x:row r="1384" ht="22" customHeight="1">
      <x:c r="A1384" s="3"/>
      <x:c r="B1384" s="3" t="str">
        <x:v>22421</x:v>
      </x:c>
      <x:c r="C1384" s="3" t="str">
        <x:v>LIPSTICK PEN FUSCHIA</x:v>
      </x:c>
      <x:c r="D1384" s="13" t="n">
        <x:v>1347.52</x:v>
      </x:c>
      <x:c r="E1384" s="13" t="n">
        <x:v>0.84</x:v>
      </x:c>
      <x:c r="F1384" s="13" t="n">
        <x:f>D1384-E1384</x:f>
        <x:v>1346.68</x:v>
      </x:c>
      <x:c r="G1384" s="3" t="n">
        <x:v>2598</x:v>
      </x:c>
      <x:c r="H1384" s="3" t="n">
        <x:v>2</x:v>
      </x:c>
      <x:c r="I1384" s="3" t="n">
        <x:v>213</x:v>
      </x:c>
      <x:c r="J1384" s="15" t="n">
        <x:f>IF(D1384=0,"n.a.",E1384/D1384)</x:f>
        <x:v>0.0006233673711707432</x:v>
      </x:c>
      <x:c r="K1384" s="15" t="n">
        <x:f>F1384/'Datos'!$F$7</x:f>
        <x:v>0.0001375186392335033</x:v>
      </x:c>
      <x:c r="L1384" s="3"/>
    </x:row>
    <x:row r="1385" ht="22" customHeight="1">
      <x:c r="A1385" s="3"/>
      <x:c r="B1385" s="3" t="str">
        <x:v>21363</x:v>
      </x:c>
      <x:c r="C1385" s="3" t="str">
        <x:v>HOME SMALL WOOD LETTERS</x:v>
      </x:c>
      <x:c r="D1385" s="13" t="n">
        <x:v>1413.84</x:v>
      </x:c>
      <x:c r="E1385" s="13" t="n">
        <x:v>69.3</x:v>
      </x:c>
      <x:c r="F1385" s="13" t="n">
        <x:f>D1385-E1385</x:f>
        <x:v>1344.54</x:v>
      </x:c>
      <x:c r="G1385" s="3" t="n">
        <x:v>245</x:v>
      </x:c>
      <x:c r="H1385" s="3" t="n">
        <x:v>14</x:v>
      </x:c>
      <x:c r="I1385" s="3" t="n">
        <x:v>125</x:v>
      </x:c>
      <x:c r="J1385" s="15" t="n">
        <x:f>IF(D1385=0,"n.a.",E1385/D1385)</x:f>
        <x:v>0.04901544729248006</x:v>
      </x:c>
      <x:c r="K1385" s="15" t="n">
        <x:f>F1385/'Datos'!$F$7</x:f>
        <x:v>0.0001373001093021464</x:v>
      </x:c>
      <x:c r="L1385" s="3"/>
    </x:row>
    <x:row r="1386" ht="22" customHeight="1">
      <x:c r="A1386" s="3"/>
      <x:c r="B1386" s="3" t="str">
        <x:v>22911</x:v>
      </x:c>
      <x:c r="C1386" s="3" t="str">
        <x:v>PAPER CHAIN KIT LONDON</x:v>
      </x:c>
      <x:c r="D1386" s="13" t="n">
        <x:v>1361.04</x:v>
      </x:c>
      <x:c r="E1386" s="13" t="n">
        <x:v>17.7</x:v>
      </x:c>
      <x:c r="F1386" s="13" t="n">
        <x:f>D1386-E1386</x:f>
        <x:v>1343.34</x:v>
      </x:c>
      <x:c r="G1386" s="3" t="n">
        <x:v>464</x:v>
      </x:c>
      <x:c r="H1386" s="3" t="n">
        <x:v>6</x:v>
      </x:c>
      <x:c r="I1386" s="3" t="n">
        <x:v>94</x:v>
      </x:c>
      <x:c r="J1386" s="15" t="n">
        <x:f>IF(D1386=0,"n.a.",E1386/D1386)</x:f>
        <x:v>0.013004761065067889</x:v>
      </x:c>
      <x:c r="K1386" s="15" t="n">
        <x:f>F1386/'Datos'!$F$7</x:f>
        <x:v>0.00013717756915372197</x:v>
      </x:c>
      <x:c r="L1386" s="3"/>
    </x:row>
    <x:row r="1387" ht="22" customHeight="1">
      <x:c r="A1387" s="3"/>
      <x:c r="B1387" s="3" t="str">
        <x:v>22293</x:v>
      </x:c>
      <x:c r="C1387" s="3" t="str">
        <x:v>HANGING CHICK GREEN DECORATION</x:v>
      </x:c>
      <x:c r="D1387" s="13" t="n">
        <x:v>1341.67</x:v>
      </x:c>
      <x:c r="E1387" s="13" t="n">
        <x:v>0</x:v>
      </x:c>
      <x:c r="F1387" s="13" t="n">
        <x:f>D1387-E1387</x:f>
        <x:v>1341.67</x:v>
      </x:c>
      <x:c r="G1387" s="3" t="n">
        <x:v>907</x:v>
      </x:c>
      <x:c r="H1387" s="3" t="n">
        <x:v>0</x:v>
      </x:c>
      <x:c r="I1387" s="3" t="n">
        <x:v>122</x:v>
      </x:c>
      <x:c r="J1387" s="15" t="n">
        <x:f>IF(D1387=0,"n.a.",E1387/D1387)</x:f>
        <x:v>0</x:v>
      </x:c>
      <x:c r="K1387" s="15" t="n">
        <x:f>F1387/'Datos'!$F$7</x:f>
        <x:v>0.00013700703411383133</x:v>
      </x:c>
      <x:c r="L1387" s="3"/>
    </x:row>
    <x:row r="1388" ht="22" customHeight="1">
      <x:c r="A1388" s="3"/>
      <x:c r="B1388" s="3" t="str">
        <x:v>23414</x:v>
      </x:c>
      <x:c r="C1388" s="3" t="str">
        <x:v>ZINC BOX SIGN HOME</x:v>
      </x:c>
      <x:c r="D1388" s="13" t="n">
        <x:v>1378.75</x:v>
      </x:c>
      <x:c r="E1388" s="13" t="n">
        <x:v>39.8</x:v>
      </x:c>
      <x:c r="F1388" s="13" t="n">
        <x:f>D1388-E1388</x:f>
        <x:v>1338.95</x:v>
      </x:c>
      <x:c r="G1388" s="3" t="n">
        <x:v>141</x:v>
      </x:c>
      <x:c r="H1388" s="3" t="n">
        <x:v>4</x:v>
      </x:c>
      <x:c r="I1388" s="3" t="n">
        <x:v>64</x:v>
      </x:c>
      <x:c r="J1388" s="15" t="n">
        <x:f>IF(D1388=0,"n.a.",E1388/D1388)</x:f>
        <x:v>0.028866727107887576</x:v>
      </x:c>
      <x:c r="K1388" s="15" t="n">
        <x:f>F1388/'Datos'!$F$7</x:f>
        <x:v>0.0001367292764440693</x:v>
      </x:c>
      <x:c r="L1388" s="3"/>
    </x:row>
    <x:row r="1389" ht="22" customHeight="1">
      <x:c r="A1389" s="3"/>
      <x:c r="B1389" s="3" t="str">
        <x:v>23469</x:v>
      </x:c>
      <x:c r="C1389" s="3" t="str">
        <x:v>CARD HOLDER LOVE BIRD SMALL</x:v>
      </x:c>
      <x:c r="D1389" s="13" t="n">
        <x:v>1355.24</x:v>
      </x:c>
      <x:c r="E1389" s="13" t="n">
        <x:v>16.6</x:v>
      </x:c>
      <x:c r="F1389" s="13" t="n">
        <x:f>D1389-E1389</x:f>
        <x:v>1338.64</x:v>
      </x:c>
      <x:c r="G1389" s="3" t="n">
        <x:v>332</x:v>
      </x:c>
      <x:c r="H1389" s="3" t="n">
        <x:v>4</x:v>
      </x:c>
      <x:c r="I1389" s="3" t="n">
        <x:v>72</x:v>
      </x:c>
      <x:c r="J1389" s="15" t="n">
        <x:f>IF(D1389=0,"n.a.",E1389/D1389)</x:f>
        <x:v>0.01224875298840058</x:v>
      </x:c>
      <x:c r="K1389" s="15" t="n">
        <x:f>F1389/'Datos'!$F$7</x:f>
        <x:v>0.00013669762023905968</x:v>
      </x:c>
      <x:c r="L1389" s="3"/>
    </x:row>
    <x:row r="1390" ht="22" customHeight="1">
      <x:c r="A1390" s="3"/>
      <x:c r="B1390" s="3" t="str">
        <x:v>21987</x:v>
      </x:c>
      <x:c r="C1390" s="3" t="str">
        <x:v>PACK OF 6 SKULL PAPER CUPS</x:v>
      </x:c>
      <x:c r="D1390" s="13" t="n">
        <x:v>1346.65</x:v>
      </x:c>
      <x:c r="E1390" s="13" t="n">
        <x:v>8.45</x:v>
      </x:c>
      <x:c r="F1390" s="13" t="n">
        <x:f>D1390-E1390</x:f>
        <x:v>1338.2</x:v>
      </x:c>
      <x:c r="G1390" s="3" t="n">
        <x:v>2113</x:v>
      </x:c>
      <x:c r="H1390" s="3" t="n">
        <x:v>13</x:v>
      </x:c>
      <x:c r="I1390" s="3" t="n">
        <x:v>171</x:v>
      </x:c>
      <x:c r="J1390" s="15" t="n">
        <x:f>IF(D1390=0,"n.a.",E1390/D1390)</x:f>
        <x:v>0.006274830134036311</x:v>
      </x:c>
      <x:c r="K1390" s="15" t="n">
        <x:f>F1390/'Datos'!$F$7</x:f>
        <x:v>0.00013665268885130403</x:v>
      </x:c>
      <x:c r="L1390" s="3"/>
    </x:row>
    <x:row r="1391" ht="22" customHeight="1">
      <x:c r="A1391" s="3"/>
      <x:c r="B1391" s="3" t="str">
        <x:v>22917</x:v>
      </x:c>
      <x:c r="C1391" s="3" t="str">
        <x:v>HERB MARKER ROSEMARY</x:v>
      </x:c>
      <x:c r="D1391" s="13" t="n">
        <x:v>1344.77</x:v>
      </x:c>
      <x:c r="E1391" s="13" t="n">
        <x:v>7.8</x:v>
      </x:c>
      <x:c r="F1391" s="13" t="n">
        <x:f>D1391-E1391</x:f>
        <x:v>1336.97</x:v>
      </x:c>
      <x:c r="G1391" s="3" t="n">
        <x:v>1944</x:v>
      </x:c>
      <x:c r="H1391" s="3" t="n">
        <x:v>12</x:v>
      </x:c>
      <x:c r="I1391" s="3" t="n">
        <x:v>240</x:v>
      </x:c>
      <x:c r="J1391" s="15" t="n">
        <x:f>IF(D1391=0,"n.a.",E1391/D1391)</x:f>
        <x:v>0.005800248369609673</x:v>
      </x:c>
      <x:c r="K1391" s="15" t="n">
        <x:f>F1391/'Datos'!$F$7</x:f>
        <x:v>0.000136527085199169</x:v>
      </x:c>
      <x:c r="L1391" s="3"/>
    </x:row>
    <x:row r="1392" ht="22" customHeight="1">
      <x:c r="A1392" s="3"/>
      <x:c r="B1392" s="3" t="str">
        <x:v>51014C</x:v>
      </x:c>
      <x:c r="C1392" s="3" t="str">
        <x:v>FEATHER PEN,COAL BLACK</x:v>
      </x:c>
      <x:c r="D1392" s="13" t="n">
        <x:v>1415.92</x:v>
      </x:c>
      <x:c r="E1392" s="13" t="n">
        <x:v>80.34</x:v>
      </x:c>
      <x:c r="F1392" s="13" t="n">
        <x:f>D1392-E1392</x:f>
        <x:v>1335.5800000000002</x:v>
      </x:c>
      <x:c r="G1392" s="3" t="n">
        <x:v>2712</x:v>
      </x:c>
      <x:c r="H1392" s="3" t="n">
        <x:v>206</x:v>
      </x:c>
      <x:c r="I1392" s="3" t="n">
        <x:v>175</x:v>
      </x:c>
      <x:c r="J1392" s="15" t="n">
        <x:f>IF(D1392=0,"n.a.",E1392/D1392)</x:f>
        <x:v>0.05674049381320979</x:v>
      </x:c>
      <x:c r="K1392" s="15" t="n">
        <x:f>F1392/'Datos'!$F$7</x:f>
        <x:v>0.0001363851428605774</x:v>
      </x:c>
      <x:c r="L1392" s="3"/>
    </x:row>
    <x:row r="1393" ht="22" customHeight="1">
      <x:c r="A1393" s="3"/>
      <x:c r="B1393" s="3" t="str">
        <x:v>21439</x:v>
      </x:c>
      <x:c r="C1393" s="3" t="str">
        <x:v>BASKET OF TOADSTOOLS</x:v>
      </x:c>
      <x:c r="D1393" s="13" t="n">
        <x:v>1767.15</x:v>
      </x:c>
      <x:c r="E1393" s="13" t="n">
        <x:v>432.48</x:v>
      </x:c>
      <x:c r="F1393" s="13" t="n">
        <x:f>D1393-E1393</x:f>
        <x:v>1334.67</x:v>
      </x:c>
      <x:c r="G1393" s="3" t="n">
        <x:v>1430</x:v>
      </x:c>
      <x:c r="H1393" s="3" t="n">
        <x:v>408</x:v>
      </x:c>
      <x:c r="I1393" s="3" t="n">
        <x:v>130</x:v>
      </x:c>
      <x:c r="J1393" s="15" t="n">
        <x:f>IF(D1393=0,"n.a.",E1393/D1393)</x:f>
        <x:v>0.24473304473304472</x:v>
      </x:c>
      <x:c r="K1393" s="15" t="n">
        <x:f>F1393/'Datos'!$F$7</x:f>
        <x:v>0.0001362922165813555</x:v>
      </x:c>
      <x:c r="L1393" s="3"/>
    </x:row>
    <x:row r="1394" ht="22" customHeight="1">
      <x:c r="A1394" s="3"/>
      <x:c r="B1394" s="3" t="str">
        <x:v>23538</x:v>
      </x:c>
      <x:c r="C1394" s="3" t="str">
        <x:v>WALL ART VINTAGE HEART</x:v>
      </x:c>
      <x:c r="D1394" s="13" t="n">
        <x:v>1334.49</x:v>
      </x:c>
      <x:c r="E1394" s="13" t="n">
        <x:v>0</x:v>
      </x:c>
      <x:c r="F1394" s="13" t="n">
        <x:f>D1394-E1394</x:f>
        <x:v>1334.49</x:v>
      </x:c>
      <x:c r="G1394" s="3" t="n">
        <x:v>332</x:v>
      </x:c>
      <x:c r="H1394" s="3" t="n">
        <x:v>0</x:v>
      </x:c>
      <x:c r="I1394" s="3" t="n">
        <x:v>32</x:v>
      </x:c>
      <x:c r="J1394" s="15" t="n">
        <x:f>IF(D1394=0,"n.a.",E1394/D1394)</x:f>
        <x:v>0</x:v>
      </x:c>
      <x:c r="K1394" s="15" t="n">
        <x:f>F1394/'Datos'!$F$7</x:f>
        <x:v>0.00013627383555909185</x:v>
      </x:c>
      <x:c r="L1394" s="3"/>
    </x:row>
    <x:row r="1395" ht="22" customHeight="1">
      <x:c r="A1395" s="3"/>
      <x:c r="B1395" s="3" t="str">
        <x:v>72802B</x:v>
      </x:c>
      <x:c r="C1395" s="3" t="str">
        <x:v>OCEAN SCENT CANDLE IN JEWELLED BOX</x:v>
      </x:c>
      <x:c r="D1395" s="13" t="n">
        <x:v>1993.48</x:v>
      </x:c>
      <x:c r="E1395" s="13" t="n">
        <x:v>662.24</x:v>
      </x:c>
      <x:c r="F1395" s="13" t="n">
        <x:f>D1395-E1395</x:f>
        <x:v>1331.24</x:v>
      </x:c>
      <x:c r="G1395" s="3" t="n">
        <x:v>1028</x:v>
      </x:c>
      <x:c r="H1395" s="3" t="n">
        <x:v>454</x:v>
      </x:c>
      <x:c r="I1395" s="3" t="n">
        <x:v>82</x:v>
      </x:c>
      <x:c r="J1395" s="15" t="n">
        <x:f>IF(D1395=0,"n.a.",E1395/D1395)</x:f>
        <x:v>0.3322029817204085</x:v>
      </x:c>
      <x:c r="K1395" s="15" t="n">
        <x:f>F1395/'Datos'!$F$7</x:f>
        <x:v>0.00013594195599044237</x:v>
      </x:c>
      <x:c r="L1395" s="3"/>
    </x:row>
    <x:row r="1396" ht="22" customHeight="1">
      <x:c r="A1396" s="3"/>
      <x:c r="B1396" s="3" t="str">
        <x:v>22650</x:v>
      </x:c>
      <x:c r="C1396" s="3" t="str">
        <x:v>CERAMIC PIRATE CHEST MONEY BANK</x:v>
      </x:c>
      <x:c r="D1396" s="13" t="n">
        <x:v>1333.75</x:v>
      </x:c>
      <x:c r="E1396" s="13" t="n">
        <x:v>4.35</x:v>
      </x:c>
      <x:c r="F1396" s="13" t="n">
        <x:f>D1396-E1396</x:f>
        <x:v>1329.4</x:v>
      </x:c>
      <x:c r="G1396" s="3" t="n">
        <x:v>860</x:v>
      </x:c>
      <x:c r="H1396" s="3" t="n">
        <x:v>3</x:v>
      </x:c>
      <x:c r="I1396" s="3" t="n">
        <x:v>143</x:v>
      </x:c>
      <x:c r="J1396" s="15" t="n">
        <x:f>IF(D1396=0,"n.a.",E1396/D1396)</x:f>
        <x:v>0.0032614807872539827</x:v>
      </x:c>
      <x:c r="K1396" s="15" t="n">
        <x:f>F1396/'Datos'!$F$7</x:f>
        <x:v>0.00013575406109619158</x:v>
      </x:c>
      <x:c r="L1396" s="3"/>
    </x:row>
    <x:row r="1397" ht="22" customHeight="1">
      <x:c r="A1397" s="3"/>
      <x:c r="B1397" s="3" t="str">
        <x:v>22742</x:v>
      </x:c>
      <x:c r="C1397" s="3" t="str">
        <x:v>MAKE YOUR OWN PLAYTIME CARD KIT</x:v>
      </x:c>
      <x:c r="D1397" s="13" t="n">
        <x:v>1333.21</x:v>
      </x:c>
      <x:c r="E1397" s="13" t="n">
        <x:v>5.9</x:v>
      </x:c>
      <x:c r="F1397" s="13" t="n">
        <x:f>D1397-E1397</x:f>
        <x:v>1327.31</x:v>
      </x:c>
      <x:c r="G1397" s="3" t="n">
        <x:v>643</x:v>
      </x:c>
      <x:c r="H1397" s="3" t="n">
        <x:v>2</x:v>
      </x:c>
      <x:c r="I1397" s="3" t="n">
        <x:v>101</x:v>
      </x:c>
      <x:c r="J1397" s="15" t="n">
        <x:f>IF(D1397=0,"n.a.",E1397/D1397)</x:f>
        <x:v>0.004425409350364909</x:v>
      </x:c>
      <x:c r="K1397" s="15" t="n">
        <x:f>F1397/'Datos'!$F$7</x:f>
        <x:v>0.00013554063700435236</x:v>
      </x:c>
      <x:c r="L1397" s="3"/>
    </x:row>
    <x:row r="1398" ht="22" customHeight="1">
      <x:c r="A1398" s="3"/>
      <x:c r="B1398" s="3" t="str">
        <x:v>21246</x:v>
      </x:c>
      <x:c r="C1398" s="3" t="str">
        <x:v>RED RETROSPOT BIG BOWL</x:v>
      </x:c>
      <x:c r="D1398" s="13" t="n">
        <x:v>1336.78</x:v>
      </x:c>
      <x:c r="E1398" s="13" t="n">
        <x:v>9.9</x:v>
      </x:c>
      <x:c r="F1398" s="13" t="n">
        <x:f>D1398-E1398</x:f>
        <x:v>1326.8799999999999</x:v>
      </x:c>
      <x:c r="G1398" s="3" t="n">
        <x:v>286</x:v>
      </x:c>
      <x:c r="H1398" s="3" t="n">
        <x:v>2</x:v>
      </x:c>
      <x:c r="I1398" s="3" t="n">
        <x:v>96</x:v>
      </x:c>
      <x:c r="J1398" s="15" t="n">
        <x:f>IF(D1398=0,"n.a.",E1398/D1398)</x:f>
        <x:v>0.007405855862595192</x:v>
      </x:c>
      <x:c r="K1398" s="15" t="n">
        <x:f>F1398/'Datos'!$F$7</x:f>
        <x:v>0.0001354967267845003</x:v>
      </x:c>
      <x:c r="L1398" s="3"/>
    </x:row>
    <x:row r="1399" ht="22" customHeight="1">
      <x:c r="A1399" s="3"/>
      <x:c r="B1399" s="3" t="str">
        <x:v>85183B</x:v>
      </x:c>
      <x:c r="C1399" s="3" t="str">
        <x:v>CHARLIE &amp; LOLA WASTEPAPER BIN FLORA</x:v>
      </x:c>
      <x:c r="D1399" s="13" t="n">
        <x:v>1323.37</x:v>
      </x:c>
      <x:c r="E1399" s="13" t="n">
        <x:v>0</x:v>
      </x:c>
      <x:c r="F1399" s="13" t="n">
        <x:f>D1399-E1399</x:f>
        <x:v>1323.37</x:v>
      </x:c>
      <x:c r="G1399" s="3" t="n">
        <x:v>996</x:v>
      </x:c>
      <x:c r="H1399" s="3" t="n">
        <x:v>0</x:v>
      </x:c>
      <x:c r="I1399" s="3" t="n">
        <x:v>118</x:v>
      </x:c>
      <x:c r="J1399" s="15" t="n">
        <x:f>IF(D1399=0,"n.a.",E1399/D1399)</x:f>
        <x:v>0</x:v>
      </x:c>
      <x:c r="K1399" s="15" t="n">
        <x:f>F1399/'Datos'!$F$7</x:f>
        <x:v>0.00013513829685035883</x:v>
      </x:c>
      <x:c r="L1399" s="3"/>
    </x:row>
    <x:row r="1400" ht="22" customHeight="1">
      <x:c r="A1400" s="3"/>
      <x:c r="B1400" s="3" t="str">
        <x:v>21039</x:v>
      </x:c>
      <x:c r="C1400" s="3" t="str">
        <x:v>RED RETROSPOT SHOPPING BAG</x:v>
      </x:c>
      <x:c r="D1400" s="13" t="n">
        <x:v>1353.69</x:v>
      </x:c>
      <x:c r="E1400" s="13" t="n">
        <x:v>30.6</x:v>
      </x:c>
      <x:c r="F1400" s="13" t="n">
        <x:f>D1400-E1400</x:f>
        <x:v>1323.0900000000001</x:v>
      </x:c>
      <x:c r="G1400" s="3" t="n">
        <x:v>523</x:v>
      </x:c>
      <x:c r="H1400" s="3" t="n">
        <x:v>12</x:v>
      </x:c>
      <x:c r="I1400" s="3" t="n">
        <x:v>90</x:v>
      </x:c>
      <x:c r="J1400" s="15" t="n">
        <x:f>IF(D1400=0,"n.a.",E1400/D1400)</x:f>
        <x:v>0.022604879994681203</x:v>
      </x:c>
      <x:c r="K1400" s="15" t="n">
        <x:f>F1400/'Datos'!$F$7</x:f>
        <x:v>0.00013510970414905984</x:v>
      </x:c>
      <x:c r="L1400" s="3"/>
    </x:row>
    <x:row r="1401" ht="22" customHeight="1">
      <x:c r="A1401" s="3"/>
      <x:c r="B1401" s="3" t="str">
        <x:v>21818</x:v>
      </x:c>
      <x:c r="C1401" s="3" t="str">
        <x:v>GLITTER HEART DECORATION</x:v>
      </x:c>
      <x:c r="D1401" s="13" t="n">
        <x:v>1322.5</x:v>
      </x:c>
      <x:c r="E1401" s="13" t="n">
        <x:v>0</x:v>
      </x:c>
      <x:c r="F1401" s="13" t="n">
        <x:f>D1401-E1401</x:f>
        <x:v>1322.5</x:v>
      </x:c>
      <x:c r="G1401" s="3" t="n">
        <x:v>2740</x:v>
      </x:c>
      <x:c r="H1401" s="3" t="n">
        <x:v>0</x:v>
      </x:c>
      <x:c r="I1401" s="3" t="n">
        <x:v>163</x:v>
      </x:c>
      <x:c r="J1401" s="15" t="n">
        <x:f>IF(D1401=0,"n.a.",E1401/D1401)</x:f>
        <x:v>0</x:v>
      </x:c>
      <x:c r="K1401" s="15" t="n">
        <x:f>F1401/'Datos'!$F$7</x:f>
        <x:v>0.00013504945524275114</x:v>
      </x:c>
      <x:c r="L1401" s="3"/>
    </x:row>
    <x:row r="1402" ht="22" customHeight="1">
      <x:c r="A1402" s="3"/>
      <x:c r="B1402" s="3" t="str">
        <x:v>22299</x:v>
      </x:c>
      <x:c r="C1402" s="3" t="str">
        <x:v>PIG KEYRING WITH LIGHT &amp; SOUND</x:v>
      </x:c>
      <x:c r="D1402" s="13" t="n">
        <x:v>1386.97</x:v>
      </x:c>
      <x:c r="E1402" s="13" t="n">
        <x:v>65</x:v>
      </x:c>
      <x:c r="F1402" s="13" t="n">
        <x:f>D1402-E1402</x:f>
        <x:v>1321.97</x:v>
      </x:c>
      <x:c r="G1402" s="3" t="n">
        <x:v>1379</x:v>
      </x:c>
      <x:c r="H1402" s="3" t="n">
        <x:v>52</x:v>
      </x:c>
      <x:c r="I1402" s="3" t="n">
        <x:v>80</x:v>
      </x:c>
      <x:c r="J1402" s="15" t="n">
        <x:f>IF(D1402=0,"n.a.",E1402/D1402)</x:f>
        <x:v>0.046864748336301436</x:v>
      </x:c>
      <x:c r="K1402" s="15" t="n">
        <x:f>F1402/'Datos'!$F$7</x:f>
        <x:v>0.0001349953333438637</x:v>
      </x:c>
      <x:c r="L1402" s="3"/>
    </x:row>
    <x:row r="1403" ht="22" customHeight="1">
      <x:c r="A1403" s="3"/>
      <x:c r="B1403" s="3" t="str">
        <x:v>22399</x:v>
      </x:c>
      <x:c r="C1403" s="3" t="str">
        <x:v>MAGNETS PACK OF 4 CHILDHOOD MEMORY</x:v>
      </x:c>
      <x:c r="D1403" s="13" t="n">
        <x:v>1347.08</x:v>
      </x:c>
      <x:c r="E1403" s="13" t="n">
        <x:v>30</x:v>
      </x:c>
      <x:c r="F1403" s="13" t="n">
        <x:f>D1403-E1403</x:f>
        <x:v>1317.08</x:v>
      </x:c>
      <x:c r="G1403" s="3" t="n">
        <x:v>1152</x:v>
      </x:c>
      <x:c r="H1403" s="3" t="n">
        <x:v>24</x:v>
      </x:c>
      <x:c r="I1403" s="3" t="n">
        <x:v>98</x:v>
      </x:c>
      <x:c r="J1403" s="15" t="n">
        <x:f>IF(D1403=0,"n.a.",E1403/D1403)</x:f>
        <x:v>0.022270392255842267</x:v>
      </x:c>
      <x:c r="K1403" s="15" t="n">
        <x:f>F1403/'Datos'!$F$7</x:f>
        <x:v>0.00013449598223903416</x:v>
      </x:c>
      <x:c r="L1403" s="3"/>
    </x:row>
    <x:row r="1404" ht="22" customHeight="1">
      <x:c r="A1404" s="3"/>
      <x:c r="B1404" s="3" t="str">
        <x:v>23405</x:v>
      </x:c>
      <x:c r="C1404" s="3" t="str">
        <x:v>HOME SWEET HOME 2 DRAWER CABINET</x:v>
      </x:c>
      <x:c r="D1404" s="13" t="n">
        <x:v>1321.38</x:v>
      </x:c>
      <x:c r="E1404" s="13" t="n">
        <x:v>4.95</x:v>
      </x:c>
      <x:c r="F1404" s="13" t="n">
        <x:f>D1404-E1404</x:f>
        <x:v>1316.43</x:v>
      </x:c>
      <x:c r="G1404" s="3" t="n">
        <x:v>254</x:v>
      </x:c>
      <x:c r="H1404" s="3" t="n">
        <x:v>1</x:v>
      </x:c>
      <x:c r="I1404" s="3" t="n">
        <x:v>70</x:v>
      </x:c>
      <x:c r="J1404" s="15" t="n">
        <x:f>IF(D1404=0,"n.a.",E1404/D1404)</x:f>
        <x:v>0.0037460836398310856</x:v>
      </x:c>
      <x:c r="K1404" s="15" t="n">
        <x:f>F1404/'Datos'!$F$7</x:f>
        <x:v>0.00013442960632530426</x:v>
      </x:c>
      <x:c r="L1404" s="3"/>
    </x:row>
    <x:row r="1405" ht="22" customHeight="1">
      <x:c r="A1405" s="3"/>
      <x:c r="B1405" s="3" t="str">
        <x:v>23221</x:v>
      </x:c>
      <x:c r="C1405" s="3" t="str">
        <x:v>REINDEER HEART DECORATION SILVER</x:v>
      </x:c>
      <x:c r="D1405" s="13" t="n">
        <x:v>1363.87</x:v>
      </x:c>
      <x:c r="E1405" s="13" t="n">
        <x:v>48.14</x:v>
      </x:c>
      <x:c r="F1405" s="13" t="n">
        <x:f>D1405-E1405</x:f>
        <x:v>1315.7299999999998</x:v>
      </x:c>
      <x:c r="G1405" s="3" t="n">
        <x:v>1537</x:v>
      </x:c>
      <x:c r="H1405" s="3" t="n">
        <x:v>58</x:v>
      </x:c>
      <x:c r="I1405" s="3" t="n">
        <x:v>145</x:v>
      </x:c>
      <x:c r="J1405" s="15" t="n">
        <x:f>IF(D1405=0,"n.a.",E1405/D1405)</x:f>
        <x:v>0.03529661917924729</x:v>
      </x:c>
      <x:c r="K1405" s="15" t="n">
        <x:f>F1405/'Datos'!$F$7</x:f>
        <x:v>0.00013435812457205667</x:v>
      </x:c>
      <x:c r="L1405" s="3"/>
    </x:row>
    <x:row r="1406" ht="22" customHeight="1">
      <x:c r="A1406" s="3"/>
      <x:c r="B1406" s="3" t="str">
        <x:v>22920</x:v>
      </x:c>
      <x:c r="C1406" s="3" t="str">
        <x:v>HERB MARKER BASIL</x:v>
      </x:c>
      <x:c r="D1406" s="13" t="n">
        <x:v>2155.94</x:v>
      </x:c>
      <x:c r="E1406" s="13" t="n">
        <x:v>841.05</x:v>
      </x:c>
      <x:c r="F1406" s="13" t="n">
        <x:f>D1406-E1406</x:f>
        <x:v>1314.89</x:v>
      </x:c>
      <x:c r="G1406" s="3" t="n">
        <x:v>3427</x:v>
      </x:c>
      <x:c r="H1406" s="3" t="n">
        <x:v>1527</x:v>
      </x:c>
      <x:c r="I1406" s="3" t="n">
        <x:v>242</x:v>
      </x:c>
      <x:c r="J1406" s="15" t="n">
        <x:f>IF(D1406=0,"n.a.",E1406/D1406)</x:f>
        <x:v>0.3901082590424594</x:v>
      </x:c>
      <x:c r="K1406" s="15" t="n">
        <x:f>F1406/'Datos'!$F$7</x:f>
        <x:v>0.0001342723464681596</x:v>
      </x:c>
      <x:c r="L1406" s="3"/>
    </x:row>
    <x:row r="1407" ht="22" customHeight="1">
      <x:c r="A1407" s="3"/>
      <x:c r="B1407" s="3" t="str">
        <x:v>23373</x:v>
      </x:c>
      <x:c r="C1407" s="3" t="str">
        <x:v>VINTAGE CHRISTMAS PAPER GIFT BAG</x:v>
      </x:c>
      <x:c r="D1407" s="13" t="n">
        <x:v>1313.39</x:v>
      </x:c>
      <x:c r="E1407" s="13" t="n">
        <x:v>0</x:v>
      </x:c>
      <x:c r="F1407" s="13" t="n">
        <x:f>D1407-E1407</x:f>
        <x:v>1313.39</x:v>
      </x:c>
      <x:c r="G1407" s="3" t="n">
        <x:v>1608</x:v>
      </x:c>
      <x:c r="H1407" s="3" t="n">
        <x:v>0</x:v>
      </x:c>
      <x:c r="I1407" s="3" t="n">
        <x:v>100</x:v>
      </x:c>
      <x:c r="J1407" s="15" t="n">
        <x:f>IF(D1407=0,"n.a.",E1407/D1407)</x:f>
        <x:v>0</x:v>
      </x:c>
      <x:c r="K1407" s="15" t="n">
        <x:f>F1407/'Datos'!$F$7</x:f>
        <x:v>0.00013411917128262907</x:v>
      </x:c>
      <x:c r="L1407" s="3"/>
    </x:row>
    <x:row r="1408" ht="22" customHeight="1">
      <x:c r="A1408" s="3"/>
      <x:c r="B1408" s="3" t="str">
        <x:v>22912</x:v>
      </x:c>
      <x:c r="C1408" s="3" t="str">
        <x:v>YELLOW COAT RACK PARIS FASHION</x:v>
      </x:c>
      <x:c r="D1408" s="13" t="n">
        <x:v>1342.39</x:v>
      </x:c>
      <x:c r="E1408" s="13" t="n">
        <x:v>29.7</x:v>
      </x:c>
      <x:c r="F1408" s="13" t="n">
        <x:f>D1408-E1408</x:f>
        <x:v>1312.69</x:v>
      </x:c>
      <x:c r="G1408" s="3" t="n">
        <x:v>287</x:v>
      </x:c>
      <x:c r="H1408" s="3" t="n">
        <x:v>6</x:v>
      </x:c>
      <x:c r="I1408" s="3" t="n">
        <x:v>100</x:v>
      </x:c>
      <x:c r="J1408" s="15" t="n">
        <x:f>IF(D1408=0,"n.a.",E1408/D1408)</x:f>
        <x:v>0.02212471785397686</x:v>
      </x:c>
      <x:c r="K1408" s="15" t="n">
        <x:f>F1408/'Datos'!$F$7</x:f>
        <x:v>0.0001340476895293815</x:v>
      </x:c>
      <x:c r="L1408" s="3"/>
    </x:row>
    <x:row r="1409" ht="22" customHeight="1">
      <x:c r="A1409" s="3"/>
      <x:c r="B1409" s="3" t="str">
        <x:v>21686</x:v>
      </x:c>
      <x:c r="C1409" s="3" t="str">
        <x:v>MEDINA STAMPED METAL STOOL</x:v>
      </x:c>
      <x:c r="D1409" s="13" t="n">
        <x:v>1351.64</x:v>
      </x:c>
      <x:c r="E1409" s="13" t="n">
        <x:v>39.95</x:v>
      </x:c>
      <x:c r="F1409" s="13" t="n">
        <x:f>D1409-E1409</x:f>
        <x:v>1311.69</x:v>
      </x:c>
      <x:c r="G1409" s="3" t="n">
        <x:v>35</x:v>
      </x:c>
      <x:c r="H1409" s="3" t="n">
        <x:v>1</x:v>
      </x:c>
      <x:c r="I1409" s="3" t="n">
        <x:v>20</x:v>
      </x:c>
      <x:c r="J1409" s="15" t="n">
        <x:f>IF(D1409=0,"n.a.",E1409/D1409)</x:f>
        <x:v>0.029556686691722647</x:v>
      </x:c>
      <x:c r="K1409" s="15" t="n">
        <x:f>F1409/'Datos'!$F$7</x:f>
        <x:v>0.0001339455727390278</x:v>
      </x:c>
      <x:c r="L1409" s="3"/>
    </x:row>
    <x:row r="1410" ht="22" customHeight="1">
      <x:c r="A1410" s="3"/>
      <x:c r="B1410" s="3" t="str">
        <x:v>90057</x:v>
      </x:c>
      <x:c r="C1410" s="3" t="str">
        <x:v>DIAMANTE RING ASSORTED IN BOX.</x:v>
      </x:c>
      <x:c r="D1410" s="13" t="n">
        <x:v>1311.36</x:v>
      </x:c>
      <x:c r="E1410" s="13" t="n">
        <x:v>0</x:v>
      </x:c>
      <x:c r="F1410" s="13" t="n">
        <x:f>D1410-E1410</x:f>
        <x:v>1311.36</x:v>
      </x:c>
      <x:c r="G1410" s="3" t="n">
        <x:v>1008</x:v>
      </x:c>
      <x:c r="H1410" s="3" t="n">
        <x:v>0</x:v>
      </x:c>
      <x:c r="I1410" s="3" t="n">
        <x:v>22</x:v>
      </x:c>
      <x:c r="J1410" s="15" t="n">
        <x:f>IF(D1410=0,"n.a.",E1410/D1410)</x:f>
        <x:v>0</x:v>
      </x:c>
      <x:c r="K1410" s="15" t="n">
        <x:f>F1410/'Datos'!$F$7</x:f>
        <x:v>0.00013391187419821107</x:v>
      </x:c>
      <x:c r="L1410" s="3"/>
    </x:row>
    <x:row r="1411" ht="22" customHeight="1">
      <x:c r="A1411" s="3"/>
      <x:c r="B1411" s="3" t="str">
        <x:v>21179</x:v>
      </x:c>
      <x:c r="C1411" s="3" t="str">
        <x:v>NO JUNK MAIL METAL SIGN</x:v>
      </x:c>
      <x:c r="D1411" s="13" t="n">
        <x:v>1315.43</x:v>
      </x:c>
      <x:c r="E1411" s="13" t="n">
        <x:v>4.68</x:v>
      </x:c>
      <x:c r="F1411" s="13" t="n">
        <x:f>D1411-E1411</x:f>
        <x:v>1310.75</x:v>
      </x:c>
      <x:c r="G1411" s="3" t="n">
        <x:v>1942</x:v>
      </x:c>
      <x:c r="H1411" s="3" t="n">
        <x:v>12</x:v>
      </x:c>
      <x:c r="I1411" s="3" t="n">
        <x:v>266</x:v>
      </x:c>
      <x:c r="J1411" s="15" t="n">
        <x:f>IF(D1411=0,"n.a.",E1411/D1411)</x:f>
        <x:v>0.0035577719833058386</x:v>
      </x:c>
      <x:c r="K1411" s="15" t="n">
        <x:f>F1411/'Datos'!$F$7</x:f>
        <x:v>0.00013384958295609533</x:v>
      </x:c>
      <x:c r="L1411" s="3"/>
    </x:row>
    <x:row r="1412" ht="22" customHeight="1">
      <x:c r="A1412" s="3"/>
      <x:c r="B1412" s="3" t="str">
        <x:v>21195</x:v>
      </x:c>
      <x:c r="C1412" s="3" t="str">
        <x:v>PINK HONEYCOMB PAPER BALL</x:v>
      </x:c>
      <x:c r="D1412" s="13" t="n">
        <x:v>1308.56</x:v>
      </x:c>
      <x:c r="E1412" s="13" t="n">
        <x:v>0</x:v>
      </x:c>
      <x:c r="F1412" s="13" t="n">
        <x:f>D1412-E1412</x:f>
        <x:v>1308.56</x:v>
      </x:c>
      <x:c r="G1412" s="3" t="n">
        <x:v>693</x:v>
      </x:c>
      <x:c r="H1412" s="3" t="n">
        <x:v>0</x:v>
      </x:c>
      <x:c r="I1412" s="3" t="n">
        <x:v>80</x:v>
      </x:c>
      <x:c r="J1412" s="15" t="n">
        <x:f>IF(D1412=0,"n.a.",E1412/D1412)</x:f>
        <x:v>0</x:v>
      </x:c>
      <x:c r="K1412" s="15" t="n">
        <x:f>F1412/'Datos'!$F$7</x:f>
        <x:v>0.00013362594718522075</x:v>
      </x:c>
      <x:c r="L1412" s="3"/>
    </x:row>
    <x:row r="1413" ht="22" customHeight="1">
      <x:c r="A1413" s="3"/>
      <x:c r="B1413" s="3" t="str">
        <x:v>22916</x:v>
      </x:c>
      <x:c r="C1413" s="3" t="str">
        <x:v>HERB MARKER THYME</x:v>
      </x:c>
      <x:c r="D1413" s="13" t="n">
        <x:v>1316.16</x:v>
      </x:c>
      <x:c r="E1413" s="13" t="n">
        <x:v>7.8</x:v>
      </x:c>
      <x:c r="F1413" s="13" t="n">
        <x:f>D1413-E1413</x:f>
        <x:v>1308.3600000000001</x:v>
      </x:c>
      <x:c r="G1413" s="3" t="n">
        <x:v>1908</x:v>
      </x:c>
      <x:c r="H1413" s="3" t="n">
        <x:v>12</x:v>
      </x:c>
      <x:c r="I1413" s="3" t="n">
        <x:v>237</x:v>
      </x:c>
      <x:c r="J1413" s="15" t="n">
        <x:f>IF(D1413=0,"n.a.",E1413/D1413)</x:f>
        <x:v>0.005926331145149525</x:v>
      </x:c>
      <x:c r="K1413" s="15" t="n">
        <x:f>F1413/'Datos'!$F$7</x:f>
        <x:v>0.00013360552382715002</x:v>
      </x:c>
      <x:c r="L1413" s="3"/>
    </x:row>
    <x:row r="1414" ht="22" customHeight="1">
      <x:c r="A1414" s="3"/>
      <x:c r="B1414" s="3" t="str">
        <x:v>21624</x:v>
      </x:c>
      <x:c r="C1414" s="3" t="str">
        <x:v>VINTAGE UNION JACK DOORSTOP</x:v>
      </x:c>
      <x:c r="D1414" s="13" t="n">
        <x:v>1337.51</x:v>
      </x:c>
      <x:c r="E1414" s="13" t="n">
        <x:v>29.75</x:v>
      </x:c>
      <x:c r="F1414" s="13" t="n">
        <x:f>D1414-E1414</x:f>
        <x:v>1307.76</x:v>
      </x:c>
      <x:c r="G1414" s="3" t="n">
        <x:v>217</x:v>
      </x:c>
      <x:c r="H1414" s="3" t="n">
        <x:v>5</x:v>
      </x:c>
      <x:c r="I1414" s="3" t="n">
        <x:v>95</x:v>
      </x:c>
      <x:c r="J1414" s="15" t="n">
        <x:f>IF(D1414=0,"n.a.",E1414/D1414)</x:f>
        <x:v>0.02224282435271512</x:v>
      </x:c>
      <x:c r="K1414" s="15" t="n">
        <x:f>F1414/'Datos'!$F$7</x:f>
        <x:v>0.0001335442537529378</x:v>
      </x:c>
      <x:c r="L1414" s="3"/>
    </x:row>
    <x:row r="1415" ht="22" customHeight="1">
      <x:c r="A1415" s="3"/>
      <x:c r="B1415" s="3" t="str">
        <x:v>22028</x:v>
      </x:c>
      <x:c r="C1415" s="3" t="str">
        <x:v>PENNY FARTHING BIRTHDAY CARD</x:v>
      </x:c>
      <x:c r="D1415" s="13" t="n">
        <x:v>1309.18</x:v>
      </x:c>
      <x:c r="E1415" s="13" t="n">
        <x:v>5.04</x:v>
      </x:c>
      <x:c r="F1415" s="13" t="n">
        <x:f>D1415-E1415</x:f>
        <x:v>1304.14</x:v>
      </x:c>
      <x:c r="G1415" s="3" t="n">
        <x:v>3054</x:v>
      </x:c>
      <x:c r="H1415" s="3" t="n">
        <x:v>12</x:v>
      </x:c>
      <x:c r="I1415" s="3" t="n">
        <x:v>262</x:v>
      </x:c>
      <x:c r="J1415" s="15" t="n">
        <x:f>IF(D1415=0,"n.a.",E1415/D1415)</x:f>
        <x:v>0.003849738003941398</x:v>
      </x:c>
      <x:c r="K1415" s="15" t="n">
        <x:f>F1415/'Datos'!$F$7</x:f>
        <x:v>0.00013317459097185745</x:v>
      </x:c>
      <x:c r="L1415" s="3"/>
    </x:row>
    <x:row r="1416" ht="22" customHeight="1">
      <x:c r="A1416" s="3"/>
      <x:c r="B1416" s="3" t="str">
        <x:v>21064</x:v>
      </x:c>
      <x:c r="C1416" s="3" t="str">
        <x:v>BOOM BOX SPEAKER BOYS</x:v>
      </x:c>
      <x:c r="D1416" s="13" t="n">
        <x:v>1301.55</x:v>
      </x:c>
      <x:c r="E1416" s="13" t="n">
        <x:v>0</x:v>
      </x:c>
      <x:c r="F1416" s="13" t="n">
        <x:f>D1416-E1416</x:f>
        <x:v>1301.55</x:v>
      </x:c>
      <x:c r="G1416" s="3" t="n">
        <x:v>301</x:v>
      </x:c>
      <x:c r="H1416" s="3" t="n">
        <x:v>0</x:v>
      </x:c>
      <x:c r="I1416" s="3" t="n">
        <x:v>101</x:v>
      </x:c>
      <x:c r="J1416" s="15" t="n">
        <x:f>IF(D1416=0,"n.a.",E1416/D1416)</x:f>
        <x:v>0</x:v>
      </x:c>
      <x:c r="K1416" s="15" t="n">
        <x:f>F1416/'Datos'!$F$7</x:f>
        <x:v>0.0001329101084848414</x:v>
      </x:c>
      <x:c r="L1416" s="3"/>
    </x:row>
    <x:row r="1417" ht="22" customHeight="1">
      <x:c r="A1417" s="3"/>
      <x:c r="B1417" s="3" t="str">
        <x:v>21627</x:v>
      </x:c>
      <x:c r="C1417" s="3" t="str">
        <x:v>ELEPHANT CARNIVAL POUFFE</x:v>
      </x:c>
      <x:c r="D1417" s="13" t="n">
        <x:v>1299.83</x:v>
      </x:c>
      <x:c r="E1417" s="13" t="n">
        <x:v>0</x:v>
      </x:c>
      <x:c r="F1417" s="13" t="n">
        <x:f>D1417-E1417</x:f>
        <x:v>1299.83</x:v>
      </x:c>
      <x:c r="G1417" s="3" t="n">
        <x:v>63</x:v>
      </x:c>
      <x:c r="H1417" s="3" t="n">
        <x:v>0</x:v>
      </x:c>
      <x:c r="I1417" s="3" t="n">
        <x:v>47</x:v>
      </x:c>
      <x:c r="J1417" s="15" t="n">
        <x:f>IF(D1417=0,"n.a.",E1417/D1417)</x:f>
        <x:v>0</x:v>
      </x:c>
      <x:c r="K1417" s="15" t="n">
        <x:f>F1417/'Datos'!$F$7</x:f>
        <x:v>0.00013273446760543305</x:v>
      </x:c>
      <x:c r="L1417" s="3"/>
    </x:row>
    <x:row r="1418" ht="22" customHeight="1">
      <x:c r="A1418" s="3"/>
      <x:c r="B1418" s="3" t="str">
        <x:v>22073</x:v>
      </x:c>
      <x:c r="C1418" s="3" t="str">
        <x:v>RED RETROSPOT STORAGE JAR</x:v>
      </x:c>
      <x:c r="D1418" s="13" t="n">
        <x:v>1343.64</x:v>
      </x:c>
      <x:c r="E1418" s="13" t="n">
        <x:v>45</x:v>
      </x:c>
      <x:c r="F1418" s="13" t="n">
        <x:f>D1418-E1418</x:f>
        <x:v>1298.64</x:v>
      </x:c>
      <x:c r="G1418" s="3" t="n">
        <x:v>336</x:v>
      </x:c>
      <x:c r="H1418" s="3" t="n">
        <x:v>12</x:v>
      </x:c>
      <x:c r="I1418" s="3" t="n">
        <x:v>69</x:v>
      </x:c>
      <x:c r="J1418" s="15" t="n">
        <x:f>IF(D1418=0,"n.a.",E1418/D1418)</x:f>
        <x:v>0.03349111369116727</x:v>
      </x:c>
      <x:c r="K1418" s="15" t="n">
        <x:f>F1418/'Datos'!$F$7</x:f>
        <x:v>0.00013261294862491218</x:v>
      </x:c>
      <x:c r="L1418" s="3"/>
    </x:row>
    <x:row r="1419" ht="22" customHeight="1">
      <x:c r="A1419" s="3"/>
      <x:c r="B1419" s="3" t="str">
        <x:v>21793</x:v>
      </x:c>
      <x:c r="C1419" s="3" t="str">
        <x:v>CLASSIC FRENCH STYLE BASKET BROWN</x:v>
      </x:c>
      <x:c r="D1419" s="13" t="n">
        <x:v>1296.61</x:v>
      </x:c>
      <x:c r="E1419" s="13" t="n">
        <x:v>0</x:v>
      </x:c>
      <x:c r="F1419" s="13" t="n">
        <x:f>D1419-E1419</x:f>
        <x:v>1296.61</x:v>
      </x:c>
      <x:c r="G1419" s="3" t="n">
        <x:v>304</x:v>
      </x:c>
      <x:c r="H1419" s="3" t="n">
        <x:v>0</x:v>
      </x:c>
      <x:c r="I1419" s="3" t="n">
        <x:v>74</x:v>
      </x:c>
      <x:c r="J1419" s="15" t="n">
        <x:f>IF(D1419=0,"n.a.",E1419/D1419)</x:f>
        <x:v>0</x:v>
      </x:c>
      <x:c r="K1419" s="15" t="n">
        <x:f>F1419/'Datos'!$F$7</x:f>
        <x:v>0.00013240565154049418</x:v>
      </x:c>
      <x:c r="L1419" s="3"/>
    </x:row>
    <x:row r="1420" ht="22" customHeight="1">
      <x:c r="A1420" s="3"/>
      <x:c r="B1420" s="3" t="str">
        <x:v>22310</x:v>
      </x:c>
      <x:c r="C1420" s="3" t="str">
        <x:v>IVORY KNITTED MUG COSY</x:v>
      </x:c>
      <x:c r="D1420" s="13" t="n">
        <x:v>1296.23</x:v>
      </x:c>
      <x:c r="E1420" s="13" t="n">
        <x:v>0</x:v>
      </x:c>
      <x:c r="F1420" s="13" t="n">
        <x:f>D1420-E1420</x:f>
        <x:v>1296.23</x:v>
      </x:c>
      <x:c r="G1420" s="3" t="n">
        <x:v>668</x:v>
      </x:c>
      <x:c r="H1420" s="3" t="n">
        <x:v>0</x:v>
      </x:c>
      <x:c r="I1420" s="3" t="n">
        <x:v>109</x:v>
      </x:c>
      <x:c r="J1420" s="15" t="n">
        <x:f>IF(D1420=0,"n.a.",E1420/D1420)</x:f>
        <x:v>0</x:v>
      </x:c>
      <x:c r="K1420" s="15" t="n">
        <x:f>F1420/'Datos'!$F$7</x:f>
        <x:v>0.00013236684716015978</x:v>
      </x:c>
      <x:c r="L1420" s="3"/>
    </x:row>
    <x:row r="1421" ht="22" customHeight="1">
      <x:c r="A1421" s="3"/>
      <x:c r="B1421" s="3" t="str">
        <x:v>21866</x:v>
      </x:c>
      <x:c r="C1421" s="3" t="str">
        <x:v>UNION JACK FLAG LUGGAGE TAG</x:v>
      </x:c>
      <x:c r="D1421" s="13" t="n">
        <x:v>1296.13</x:v>
      </x:c>
      <x:c r="E1421" s="13" t="n">
        <x:v>0</x:v>
      </x:c>
      <x:c r="F1421" s="13" t="n">
        <x:f>D1421-E1421</x:f>
        <x:v>1296.13</x:v>
      </x:c>
      <x:c r="G1421" s="3" t="n">
        <x:v>750</x:v>
      </x:c>
      <x:c r="H1421" s="3" t="n">
        <x:v>0</x:v>
      </x:c>
      <x:c r="I1421" s="3" t="n">
        <x:v>193</x:v>
      </x:c>
      <x:c r="J1421" s="15" t="n">
        <x:f>IF(D1421=0,"n.a.",E1421/D1421)</x:f>
        <x:v>0</x:v>
      </x:c>
      <x:c r="K1421" s="15" t="n">
        <x:f>F1421/'Datos'!$F$7</x:f>
        <x:v>0.00013235663548112443</x:v>
      </x:c>
      <x:c r="L1421" s="3"/>
    </x:row>
    <x:row r="1422" ht="22" customHeight="1">
      <x:c r="A1422" s="3"/>
      <x:c r="B1422" s="3" t="str">
        <x:v>85199S</x:v>
      </x:c>
      <x:c r="C1422" s="3" t="str">
        <x:v>SMALL HANGING IVORY/RED WOOD BIRD</x:v>
      </x:c>
      <x:c r="D1422" s="13" t="n">
        <x:v>1305.25</x:v>
      </x:c>
      <x:c r="E1422" s="13" t="n">
        <x:v>10.08</x:v>
      </x:c>
      <x:c r="F1422" s="13" t="n">
        <x:f>D1422-E1422</x:f>
        <x:v>1295.17</x:v>
      </x:c>
      <x:c r="G1422" s="3" t="n">
        <x:v>2667</x:v>
      </x:c>
      <x:c r="H1422" s="3" t="n">
        <x:v>24</x:v>
      </x:c>
      <x:c r="I1422" s="3" t="n">
        <x:v>261</x:v>
      </x:c>
      <x:c r="J1422" s="15" t="n">
        <x:f>IF(D1422=0,"n.a.",E1422/D1422)</x:f>
        <x:v>0.007722658494541275</x:v>
      </x:c>
      <x:c r="K1422" s="15" t="n">
        <x:f>F1422/'Datos'!$F$7</x:f>
        <x:v>0.00013225860336238488</x:v>
      </x:c>
      <x:c r="L1422" s="3"/>
    </x:row>
    <x:row r="1423" ht="22" customHeight="1">
      <x:c r="A1423" s="3"/>
      <x:c r="B1423" s="3" t="str">
        <x:v>21422</x:v>
      </x:c>
      <x:c r="C1423" s="3" t="str">
        <x:v>PORCELAIN ROSE SMALL</x:v>
      </x:c>
      <x:c r="D1423" s="13" t="n">
        <x:v>1295</x:v>
      </x:c>
      <x:c r="E1423" s="13" t="n">
        <x:v>3.4</x:v>
      </x:c>
      <x:c r="F1423" s="13" t="n">
        <x:f>D1423-E1423</x:f>
        <x:v>1291.6</x:v>
      </x:c>
      <x:c r="G1423" s="3" t="n">
        <x:v>1607</x:v>
      </x:c>
      <x:c r="H1423" s="3" t="n">
        <x:v>4</x:v>
      </x:c>
      <x:c r="I1423" s="3" t="n">
        <x:v>63</x:v>
      </x:c>
      <x:c r="J1423" s="15" t="n">
        <x:f>IF(D1423=0,"n.a.",E1423/D1423)</x:f>
        <x:v>0.0026254826254826255</x:v>
      </x:c>
      <x:c r="K1423" s="15" t="n">
        <x:f>F1423/'Datos'!$F$7</x:f>
        <x:v>0.0001318940464208222</x:v>
      </x:c>
      <x:c r="L1423" s="3"/>
    </x:row>
    <x:row r="1424" ht="22" customHeight="1">
      <x:c r="A1424" s="3"/>
      <x:c r="B1424" s="3" t="str">
        <x:v>37447</x:v>
      </x:c>
      <x:c r="C1424" s="3" t="str">
        <x:v>CERAMIC CAKE DESIGN SPOTTED PLATE</x:v>
      </x:c>
      <x:c r="D1424" s="13" t="n">
        <x:v>1313.28</x:v>
      </x:c>
      <x:c r="E1424" s="13" t="n">
        <x:v>23.89</x:v>
      </x:c>
      <x:c r="F1424" s="13" t="n">
        <x:f>D1424-E1424</x:f>
        <x:v>1289.3899999999999</x:v>
      </x:c>
      <x:c r="G1424" s="3" t="n">
        <x:v>820</x:v>
      </x:c>
      <x:c r="H1424" s="3" t="n">
        <x:v>17</x:v>
      </x:c>
      <x:c r="I1424" s="3" t="n">
        <x:v>115</x:v>
      </x:c>
      <x:c r="J1424" s="15" t="n">
        <x:f>IF(D1424=0,"n.a.",E1424/D1424)</x:f>
        <x:v>0.018191094054580897</x:v>
      </x:c>
      <x:c r="K1424" s="15" t="n">
        <x:f>F1424/'Datos'!$F$7</x:f>
        <x:v>0.00013166836831414057</x:v>
      </x:c>
      <x:c r="L1424" s="3"/>
    </x:row>
    <x:row r="1425" ht="22" customHeight="1">
      <x:c r="A1425" s="3"/>
      <x:c r="B1425" s="3" t="str">
        <x:v>21616</x:v>
      </x:c>
      <x:c r="C1425" s="3" t="str">
        <x:v>4 PEAR BOTANICAL DINNER CANDLES</x:v>
      </x:c>
      <x:c r="D1425" s="13" t="n">
        <x:v>1288.34</x:v>
      </x:c>
      <x:c r="E1425" s="13" t="n">
        <x:v>0</x:v>
      </x:c>
      <x:c r="F1425" s="13" t="n">
        <x:f>D1425-E1425</x:f>
        <x:v>1288.34</x:v>
      </x:c>
      <x:c r="G1425" s="3" t="n">
        <x:v>822</x:v>
      </x:c>
      <x:c r="H1425" s="3" t="n">
        <x:v>0</x:v>
      </x:c>
      <x:c r="I1425" s="3" t="n">
        <x:v>138</x:v>
      </x:c>
      <x:c r="J1425" s="15" t="n">
        <x:f>IF(D1425=0,"n.a.",E1425/D1425)</x:f>
        <x:v>0</x:v>
      </x:c>
      <x:c r="K1425" s="15" t="n">
        <x:f>F1425/'Datos'!$F$7</x:f>
        <x:v>0.00013156114568426918</x:v>
      </x:c>
      <x:c r="L1425" s="3"/>
    </x:row>
    <x:row r="1426" ht="22" customHeight="1">
      <x:c r="A1426" s="3"/>
      <x:c r="B1426" s="3" t="str">
        <x:v>21408</x:v>
      </x:c>
      <x:c r="C1426" s="3" t="str">
        <x:v>SPOTTY PINK DUCK DOORSTOP</x:v>
      </x:c>
      <x:c r="D1426" s="13" t="n">
        <x:v>1295.21</x:v>
      </x:c>
      <x:c r="E1426" s="13" t="n">
        <x:v>8.5</x:v>
      </x:c>
      <x:c r="F1426" s="13" t="n">
        <x:f>D1426-E1426</x:f>
        <x:v>1286.71</x:v>
      </x:c>
      <x:c r="G1426" s="3" t="n">
        <x:v>289</x:v>
      </x:c>
      <x:c r="H1426" s="3" t="n">
        <x:v>2</x:v>
      </x:c>
      <x:c r="I1426" s="3" t="n">
        <x:v>117</x:v>
      </x:c>
      <x:c r="J1426" s="15" t="n">
        <x:f>IF(D1426=0,"n.a.",E1426/D1426)</x:f>
        <x:v>0.006562642351433358</x:v>
      </x:c>
      <x:c r="K1426" s="15" t="n">
        <x:f>F1426/'Datos'!$F$7</x:f>
        <x:v>0.0001313946953159927</x:v>
      </x:c>
      <x:c r="L1426" s="3"/>
    </x:row>
    <x:row r="1427" ht="22" customHeight="1">
      <x:c r="A1427" s="3"/>
      <x:c r="B1427" s="3" t="str">
        <x:v>22372</x:v>
      </x:c>
      <x:c r="C1427" s="3" t="str">
        <x:v>AIRLINE BAG VINTAGE WORLD CHAMPION</x:v>
      </x:c>
      <x:c r="D1427" s="13" t="n">
        <x:v>1289.49</x:v>
      </x:c>
      <x:c r="E1427" s="13" t="n">
        <x:v>4.25</x:v>
      </x:c>
      <x:c r="F1427" s="13" t="n">
        <x:f>D1427-E1427</x:f>
        <x:v>1285.24</x:v>
      </x:c>
      <x:c r="G1427" s="3" t="n">
        <x:v>279</x:v>
      </x:c>
      <x:c r="H1427" s="3" t="n">
        <x:v>1</x:v>
      </x:c>
      <x:c r="I1427" s="3" t="n">
        <x:v>147</x:v>
      </x:c>
      <x:c r="J1427" s="15" t="n">
        <x:f>IF(D1427=0,"n.a.",E1427/D1427)</x:f>
        <x:v>0.0032958766644177154</x:v>
      </x:c>
      <x:c r="K1427" s="15" t="n">
        <x:f>F1427/'Datos'!$F$7</x:f>
        <x:v>0.00013124458363417276</x:v>
      </x:c>
      <x:c r="L1427" s="3"/>
    </x:row>
    <x:row r="1428" ht="22" customHeight="1">
      <x:c r="A1428" s="3"/>
      <x:c r="B1428" s="3" t="str">
        <x:v>22461</x:v>
      </x:c>
      <x:c r="C1428" s="3" t="str">
        <x:v>SAVOY ART DECO CLOCK</x:v>
      </x:c>
      <x:c r="D1428" s="13" t="n">
        <x:v>1453.58</x:v>
      </x:c>
      <x:c r="E1428" s="13" t="n">
        <x:v>173.45</x:v>
      </x:c>
      <x:c r="F1428" s="13" t="n">
        <x:f>D1428-E1428</x:f>
        <x:v>1280.1299999999999</x:v>
      </x:c>
      <x:c r="G1428" s="3" t="n">
        <x:v>239</x:v>
      </x:c>
      <x:c r="H1428" s="3" t="n">
        <x:v>23</x:v>
      </x:c>
      <x:c r="I1428" s="3" t="n">
        <x:v>53</x:v>
      </x:c>
      <x:c r="J1428" s="15" t="n">
        <x:f>IF(D1428=0,"n.a.",E1428/D1428)</x:f>
        <x:v>0.1193260776840628</x:v>
      </x:c>
      <x:c r="K1428" s="15" t="n">
        <x:f>F1428/'Datos'!$F$7</x:f>
        <x:v>0.0001307227668354654</x:v>
      </x:c>
      <x:c r="L1428" s="3"/>
    </x:row>
    <x:row r="1429" ht="22" customHeight="1">
      <x:c r="A1429" s="3"/>
      <x:c r="B1429" s="3" t="str">
        <x:v>22999</x:v>
      </x:c>
      <x:c r="C1429" s="3" t="str">
        <x:v>TRAVEL CARD WALLET VINTAGE LEAF</x:v>
      </x:c>
      <x:c r="D1429" s="13" t="n">
        <x:v>1280.31</x:v>
      </x:c>
      <x:c r="E1429" s="13" t="n">
        <x:v>1.26</x:v>
      </x:c>
      <x:c r="F1429" s="13" t="n">
        <x:f>D1429-E1429</x:f>
        <x:v>1279.05</x:v>
      </x:c>
      <x:c r="G1429" s="3" t="n">
        <x:v>2960</x:v>
      </x:c>
      <x:c r="H1429" s="3" t="n">
        <x:v>3</x:v>
      </x:c>
      <x:c r="I1429" s="3" t="n">
        <x:v>222</x:v>
      </x:c>
      <x:c r="J1429" s="15" t="n">
        <x:f>IF(D1429=0,"n.a.",E1429/D1429)</x:f>
        <x:v>0.0009841366544040115</x:v>
      </x:c>
      <x:c r="K1429" s="15" t="n">
        <x:f>F1429/'Datos'!$F$7</x:f>
        <x:v>0.00013061248070188344</x:v>
      </x:c>
      <x:c r="L1429" s="3"/>
    </x:row>
    <x:row r="1430" ht="22" customHeight="1">
      <x:c r="A1430" s="3"/>
      <x:c r="B1430" s="3" t="str">
        <x:v>22686</x:v>
      </x:c>
      <x:c r="C1430" s="3" t="str">
        <x:v>FRENCH BLUE METAL DOOR SIGN No</x:v>
      </x:c>
      <x:c r="D1430" s="13" t="n">
        <x:v>1308.38</x:v>
      </x:c>
      <x:c r="E1430" s="13" t="n">
        <x:v>30</x:v>
      </x:c>
      <x:c r="F1430" s="13" t="n">
        <x:f>D1430-E1430</x:f>
        <x:v>1278.38</x:v>
      </x:c>
      <x:c r="G1430" s="3" t="n">
        <x:v>993</x:v>
      </x:c>
      <x:c r="H1430" s="3" t="n">
        <x:v>24</x:v>
      </x:c>
      <x:c r="I1430" s="3" t="n">
        <x:v>158</x:v>
      </x:c>
      <x:c r="J1430" s="15" t="n">
        <x:f>IF(D1430=0,"n.a.",E1430/D1430)</x:f>
        <x:v>0.02292911845182592</x:v>
      </x:c>
      <x:c r="K1430" s="15" t="n">
        <x:f>F1430/'Datos'!$F$7</x:f>
        <x:v>0.00013054406245234648</x:v>
      </x:c>
      <x:c r="L1430" s="3"/>
    </x:row>
    <x:row r="1431" ht="22" customHeight="1">
      <x:c r="A1431" s="3"/>
      <x:c r="B1431" s="3" t="str">
        <x:v>47480</x:v>
      </x:c>
      <x:c r="C1431" s="3" t="str">
        <x:v>HANGING PHOTO CLIP ROPE LADDER</x:v>
      </x:c>
      <x:c r="D1431" s="13" t="n">
        <x:v>1277.47</x:v>
      </x:c>
      <x:c r="E1431" s="13" t="n">
        <x:v>0</x:v>
      </x:c>
      <x:c r="F1431" s="13" t="n">
        <x:f>D1431-E1431</x:f>
        <x:v>1277.47</x:v>
      </x:c>
      <x:c r="G1431" s="3" t="n">
        <x:v>748</x:v>
      </x:c>
      <x:c r="H1431" s="3" t="n">
        <x:v>0</x:v>
      </x:c>
      <x:c r="I1431" s="3" t="n">
        <x:v>86</x:v>
      </x:c>
      <x:c r="J1431" s="15" t="n">
        <x:f>IF(D1431=0,"n.a.",E1431/D1431)</x:f>
        <x:v>0</x:v>
      </x:c>
      <x:c r="K1431" s="15" t="n">
        <x:f>F1431/'Datos'!$F$7</x:f>
        <x:v>0.00013045113617312463</x:v>
      </x:c>
      <x:c r="L1431" s="3"/>
    </x:row>
    <x:row r="1432" ht="22" customHeight="1">
      <x:c r="A1432" s="3"/>
      <x:c r="B1432" s="3" t="str">
        <x:v>21901</x:v>
      </x:c>
      <x:c r="C1432" s="3" t="str">
        <x:v>KEY FOB , BACK DOOR</x:v>
      </x:c>
      <x:c r="D1432" s="13" t="n">
        <x:v>1280.49</x:v>
      </x:c>
      <x:c r="E1432" s="13" t="n">
        <x:v>5.85</x:v>
      </x:c>
      <x:c r="F1432" s="13" t="n">
        <x:f>D1432-E1432</x:f>
        <x:v>1274.64</x:v>
      </x:c>
      <x:c r="G1432" s="3" t="n">
        <x:v>1832</x:v>
      </x:c>
      <x:c r="H1432" s="3" t="n">
        <x:v>9</x:v>
      </x:c>
      <x:c r="I1432" s="3" t="n">
        <x:v>308</x:v>
      </x:c>
      <x:c r="J1432" s="15" t="n">
        <x:f>IF(D1432=0,"n.a.",E1432/D1432)</x:f>
        <x:v>0.00456856359674812</x:v>
      </x:c>
      <x:c r="K1432" s="15" t="n">
        <x:f>F1432/'Datos'!$F$7</x:f>
        <x:v>0.00013016214565642368</x:v>
      </x:c>
      <x:c r="L1432" s="3"/>
    </x:row>
    <x:row r="1433" ht="22" customHeight="1">
      <x:c r="A1433" s="3"/>
      <x:c r="B1433" s="3" t="str">
        <x:v>21211</x:v>
      </x:c>
      <x:c r="C1433" s="3" t="str">
        <x:v>SET OF 72 SKULL PAPER DOILIES</x:v>
      </x:c>
      <x:c r="D1433" s="13" t="n">
        <x:v>1271.52</x:v>
      </x:c>
      <x:c r="E1433" s="13" t="n">
        <x:v>0</x:v>
      </x:c>
      <x:c r="F1433" s="13" t="n">
        <x:f>D1433-E1433</x:f>
        <x:v>1271.52</x:v>
      </x:c>
      <x:c r="G1433" s="3" t="n">
        <x:v>884</x:v>
      </x:c>
      <x:c r="H1433" s="3" t="n">
        <x:v>0</x:v>
      </x:c>
      <x:c r="I1433" s="3" t="n">
        <x:v>103</x:v>
      </x:c>
      <x:c r="J1433" s="15" t="n">
        <x:f>IF(D1433=0,"n.a.",E1433/D1433)</x:f>
        <x:v>0</x:v>
      </x:c>
      <x:c r="K1433" s="15" t="n">
        <x:f>F1433/'Datos'!$F$7</x:f>
        <x:v>0.00012984354127052017</x:v>
      </x:c>
      <x:c r="L1433" s="3"/>
    </x:row>
    <x:row r="1434" ht="22" customHeight="1">
      <x:c r="A1434" s="3"/>
      <x:c r="B1434" s="3" t="str">
        <x:v>22918</x:v>
      </x:c>
      <x:c r="C1434" s="3" t="str">
        <x:v>HERB MARKER PARSLEY</x:v>
      </x:c>
      <x:c r="D1434" s="13" t="n">
        <x:v>1278.6</x:v>
      </x:c>
      <x:c r="E1434" s="13" t="n">
        <x:v>7.8</x:v>
      </x:c>
      <x:c r="F1434" s="13" t="n">
        <x:f>D1434-E1434</x:f>
        <x:v>1270.8</x:v>
      </x:c>
      <x:c r="G1434" s="3" t="n">
        <x:v>1874</x:v>
      </x:c>
      <x:c r="H1434" s="3" t="n">
        <x:v>12</x:v>
      </x:c>
      <x:c r="I1434" s="3" t="n">
        <x:v>238</x:v>
      </x:c>
      <x:c r="J1434" s="15" t="n">
        <x:f>IF(D1434=0,"n.a.",E1434/D1434)</x:f>
        <x:v>0.006100422336931019</x:v>
      </x:c>
      <x:c r="K1434" s="15" t="n">
        <x:f>F1434/'Datos'!$F$7</x:f>
        <x:v>0.00012977001718146553</x:v>
      </x:c>
      <x:c r="L1434" s="3"/>
    </x:row>
    <x:row r="1435" ht="22" customHeight="1">
      <x:c r="A1435" s="3"/>
      <x:c r="B1435" s="3" t="str">
        <x:v>21897</x:v>
      </x:c>
      <x:c r="C1435" s="3" t="str">
        <x:v>POTTING SHED CANDLE CITRONELLA</x:v>
      </x:c>
      <x:c r="D1435" s="13" t="n">
        <x:v>1268.19</x:v>
      </x:c>
      <x:c r="E1435" s="13" t="n">
        <x:v>0</x:v>
      </x:c>
      <x:c r="F1435" s="13" t="n">
        <x:f>D1435-E1435</x:f>
        <x:v>1268.19</x:v>
      </x:c>
      <x:c r="G1435" s="3" t="n">
        <x:v>405</x:v>
      </x:c>
      <x:c r="H1435" s="3" t="n">
        <x:v>0</x:v>
      </x:c>
      <x:c r="I1435" s="3" t="n">
        <x:v>3</x:v>
      </x:c>
      <x:c r="J1435" s="15" t="n">
        <x:f>IF(D1435=0,"n.a.",E1435/D1435)</x:f>
        <x:v>0</x:v>
      </x:c>
      <x:c r="K1435" s="15" t="n">
        <x:f>F1435/'Datos'!$F$7</x:f>
        <x:v>0.0001295034923586424</x:v>
      </x:c>
      <x:c r="L1435" s="3"/>
    </x:row>
    <x:row r="1436" ht="22" customHeight="1">
      <x:c r="A1436" s="3"/>
      <x:c r="B1436" s="3" t="str">
        <x:v>21820</x:v>
      </x:c>
      <x:c r="C1436" s="3" t="str">
        <x:v>GLITTER HEART GARLAND WITH BELLS</x:v>
      </x:c>
      <x:c r="D1436" s="13" t="n">
        <x:v>1379.72</x:v>
      </x:c>
      <x:c r="E1436" s="13" t="n">
        <x:v>112.5</x:v>
      </x:c>
      <x:c r="F1436" s="13" t="n">
        <x:f>D1436-E1436</x:f>
        <x:v>1267.22</x:v>
      </x:c>
      <x:c r="G1436" s="3" t="n">
        <x:v>332</x:v>
      </x:c>
      <x:c r="H1436" s="3" t="n">
        <x:v>30</x:v>
      </x:c>
      <x:c r="I1436" s="3" t="n">
        <x:v>90</x:v>
      </x:c>
      <x:c r="J1436" s="15" t="n">
        <x:f>IF(D1436=0,"n.a.",E1436/D1436)</x:f>
        <x:v>0.08153828312991042</x:v>
      </x:c>
      <x:c r="K1436" s="15" t="n">
        <x:f>F1436/'Datos'!$F$7</x:f>
        <x:v>0.00012940443907199934</x:v>
      </x:c>
      <x:c r="L1436" s="3"/>
    </x:row>
    <x:row r="1437" ht="22" customHeight="1">
      <x:c r="A1437" s="3"/>
      <x:c r="B1437" s="3" t="str">
        <x:v>85114A</x:v>
      </x:c>
      <x:c r="C1437" s="3" t="str">
        <x:v>BLACK ENCHANTED FOREST PLACEMAT</x:v>
      </x:c>
      <x:c r="D1437" s="13" t="n">
        <x:v>1266.91</x:v>
      </x:c>
      <x:c r="E1437" s="13" t="n">
        <x:v>0</x:v>
      </x:c>
      <x:c r="F1437" s="13" t="n">
        <x:f>D1437-E1437</x:f>
        <x:v>1266.91</x:v>
      </x:c>
      <x:c r="G1437" s="3" t="n">
        <x:v>698</x:v>
      </x:c>
      <x:c r="H1437" s="3" t="n">
        <x:v>0</x:v>
      </x:c>
      <x:c r="I1437" s="3" t="n">
        <x:v>71</x:v>
      </x:c>
      <x:c r="J1437" s="15" t="n">
        <x:f>IF(D1437=0,"n.a.",E1437/D1437)</x:f>
        <x:v>0</x:v>
      </x:c>
      <x:c r="K1437" s="15" t="n">
        <x:f>F1437/'Datos'!$F$7</x:f>
        <x:v>0.00012937278286698968</x:v>
      </x:c>
      <x:c r="L1437" s="3"/>
    </x:row>
    <x:row r="1438" ht="22" customHeight="1">
      <x:c r="A1438" s="3"/>
      <x:c r="B1438" s="3" t="str">
        <x:v>21902</x:v>
      </x:c>
      <x:c r="C1438" s="3" t="str">
        <x:v>KEY FOB , FRONT DOOR</x:v>
      </x:c>
      <x:c r="D1438" s="13" t="n">
        <x:v>1270.82</x:v>
      </x:c>
      <x:c r="E1438" s="13" t="n">
        <x:v>5.85</x:v>
      </x:c>
      <x:c r="F1438" s="13" t="n">
        <x:f>D1438-E1438</x:f>
        <x:v>1264.97</x:v>
      </x:c>
      <x:c r="G1438" s="3" t="n">
        <x:v>1975</x:v>
      </x:c>
      <x:c r="H1438" s="3" t="n">
        <x:v>9</x:v>
      </x:c>
      <x:c r="I1438" s="3" t="n">
        <x:v>210</x:v>
      </x:c>
      <x:c r="J1438" s="15" t="n">
        <x:f>IF(D1438=0,"n.a.",E1438/D1438)</x:f>
        <x:v>0.0046033269857257515</x:v>
      </x:c>
      <x:c r="K1438" s="15" t="n">
        <x:f>F1438/'Datos'!$F$7</x:f>
        <x:v>0.00012917467629370354</x:v>
      </x:c>
      <x:c r="L1438" s="3"/>
    </x:row>
    <x:row r="1439" ht="22" customHeight="1">
      <x:c r="A1439" s="3"/>
      <x:c r="B1439" s="3" t="str">
        <x:v>21090</x:v>
      </x:c>
      <x:c r="C1439" s="3" t="str">
        <x:v>SET/6 COLLAGE PAPER PLATES</x:v>
      </x:c>
      <x:c r="D1439" s="13" t="n">
        <x:v>1278.23</x:v>
      </x:c>
      <x:c r="E1439" s="13" t="n">
        <x:v>14.04</x:v>
      </x:c>
      <x:c r="F1439" s="13" t="n">
        <x:f>D1439-E1439</x:f>
        <x:v>1264.19</x:v>
      </x:c>
      <x:c r="G1439" s="3" t="n">
        <x:v>2421</x:v>
      </x:c>
      <x:c r="H1439" s="3" t="n">
        <x:v>36</x:v>
      </x:c>
      <x:c r="I1439" s="3" t="n">
        <x:v>217</x:v>
      </x:c>
      <x:c r="J1439" s="15" t="n">
        <x:f>IF(D1439=0,"n.a.",E1439/D1439)</x:f>
        <x:v>0.010983938727771996</x:v>
      </x:c>
      <x:c r="K1439" s="15" t="n">
        <x:f>F1439/'Datos'!$F$7</x:f>
        <x:v>0.00012909502519722766</x:v>
      </x:c>
      <x:c r="L1439" s="3"/>
    </x:row>
    <x:row r="1440" ht="22" customHeight="1">
      <x:c r="A1440" s="3"/>
      <x:c r="B1440" s="3" t="str">
        <x:v>23462</x:v>
      </x:c>
      <x:c r="C1440" s="3" t="str">
        <x:v>ROCOCO WALL MIRROR WHITE</x:v>
      </x:c>
      <x:c r="D1440" s="13" t="n">
        <x:v>1607.04</x:v>
      </x:c>
      <x:c r="E1440" s="13" t="n">
        <x:v>350.1</x:v>
      </x:c>
      <x:c r="F1440" s="13" t="n">
        <x:f>D1440-E1440</x:f>
        <x:v>1256.94</x:v>
      </x:c>
      <x:c r="G1440" s="3" t="n">
        <x:v>80</x:v>
      </x:c>
      <x:c r="H1440" s="3" t="n">
        <x:v>18</x:v>
      </x:c>
      <x:c r="I1440" s="3" t="n">
        <x:v>46</x:v>
      </x:c>
      <x:c r="J1440" s="15" t="n">
        <x:f>IF(D1440=0,"n.a.",E1440/D1440)</x:f>
        <x:v>0.21785394265232977</x:v>
      </x:c>
      <x:c r="K1440" s="15" t="n">
        <x:f>F1440/'Datos'!$F$7</x:f>
        <x:v>0.00012835467846716343</x:v>
      </x:c>
      <x:c r="L1440" s="3"/>
    </x:row>
    <x:row r="1441" ht="22" customHeight="1">
      <x:c r="A1441" s="3"/>
      <x:c r="B1441" s="3" t="str">
        <x:v>22572</x:v>
      </x:c>
      <x:c r="C1441" s="3" t="str">
        <x:v>ROCKING HORSE GREEN CHRISTMAS</x:v>
      </x:c>
      <x:c r="D1441" s="13" t="n">
        <x:v>1255.72</x:v>
      </x:c>
      <x:c r="E1441" s="13" t="n">
        <x:v>0</x:v>
      </x:c>
      <x:c r="F1441" s="13" t="n">
        <x:f>D1441-E1441</x:f>
        <x:v>1255.72</x:v>
      </x:c>
      <x:c r="G1441" s="3" t="n">
        <x:v>1393</x:v>
      </x:c>
      <x:c r="H1441" s="3" t="n">
        <x:v>0</x:v>
      </x:c>
      <x:c r="I1441" s="3" t="n">
        <x:v>179</x:v>
      </x:c>
      <x:c r="J1441" s="15" t="n">
        <x:f>IF(D1441=0,"n.a.",E1441/D1441)</x:f>
        <x:v>0</x:v>
      </x:c>
      <x:c r="K1441" s="15" t="n">
        <x:f>F1441/'Datos'!$F$7</x:f>
        <x:v>0.00012823009598293193</x:v>
      </x:c>
      <x:c r="L1441" s="3"/>
    </x:row>
    <x:row r="1442" ht="22" customHeight="1">
      <x:c r="A1442" s="3"/>
      <x:c r="B1442" s="3" t="str">
        <x:v>22439</x:v>
      </x:c>
      <x:c r="C1442" s="3" t="str">
        <x:v>6 ROCKET BALLOONS</x:v>
      </x:c>
      <x:c r="D1442" s="13" t="n">
        <x:v>1297.12</x:v>
      </x:c>
      <x:c r="E1442" s="13" t="n">
        <x:v>44.2</x:v>
      </x:c>
      <x:c r="F1442" s="13" t="n">
        <x:f>D1442-E1442</x:f>
        <x:v>1252.9199999999998</x:v>
      </x:c>
      <x:c r="G1442" s="3" t="n">
        <x:v>1904</x:v>
      </x:c>
      <x:c r="H1442" s="3" t="n">
        <x:v>68</x:v>
      </x:c>
      <x:c r="I1442" s="3" t="n">
        <x:v>197</x:v>
      </x:c>
      <x:c r="J1442" s="15" t="n">
        <x:f>IF(D1442=0,"n.a.",E1442/D1442)</x:f>
        <x:v>0.034075490317009995</x:v>
      </x:c>
      <x:c r="K1442" s="15" t="n">
        <x:f>F1442/'Datos'!$F$7</x:f>
        <x:v>0.0001279441689699416</x:v>
      </x:c>
      <x:c r="L1442" s="3"/>
    </x:row>
    <x:row r="1443" ht="22" customHeight="1">
      <x:c r="A1443" s="3"/>
      <x:c r="B1443" s="3" t="str">
        <x:v>22977</x:v>
      </x:c>
      <x:c r="C1443" s="3" t="str">
        <x:v>DOLLY GIRL CHILDRENS EGG CUP</x:v>
      </x:c>
      <x:c r="D1443" s="13" t="n">
        <x:v>1253.86</x:v>
      </x:c>
      <x:c r="E1443" s="13" t="n">
        <x:v>1.25</x:v>
      </x:c>
      <x:c r="F1443" s="13" t="n">
        <x:f>D1443-E1443</x:f>
        <x:v>1252.61</x:v>
      </x:c>
      <x:c r="G1443" s="3" t="n">
        <x:v>951</x:v>
      </x:c>
      <x:c r="H1443" s="3" t="n">
        <x:v>1</x:v>
      </x:c>
      <x:c r="I1443" s="3" t="n">
        <x:v>135</x:v>
      </x:c>
      <x:c r="J1443" s="15" t="n">
        <x:f>IF(D1443=0,"n.a.",E1443/D1443)</x:f>
        <x:v>0.0009969215063882731</x:v>
      </x:c>
      <x:c r="K1443" s="15" t="n">
        <x:f>F1443/'Datos'!$F$7</x:f>
        <x:v>0.00012791251276493196</x:v>
      </x:c>
      <x:c r="L1443" s="3"/>
    </x:row>
    <x:row r="1444" ht="22" customHeight="1">
      <x:c r="A1444" s="3"/>
      <x:c r="B1444" s="3" t="str">
        <x:v>85059</x:v>
      </x:c>
      <x:c r="C1444" s="3" t="str">
        <x:v>FRENCH ENAMEL WATER BASIN</x:v>
      </x:c>
      <x:c r="D1444" s="13" t="n">
        <x:v>1273.11</x:v>
      </x:c>
      <x:c r="E1444" s="13" t="n">
        <x:v>22.5</x:v>
      </x:c>
      <x:c r="F1444" s="13" t="n">
        <x:f>D1444-E1444</x:f>
        <x:v>1250.61</x:v>
      </x:c>
      <x:c r="G1444" s="3" t="n">
        <x:v>411</x:v>
      </x:c>
      <x:c r="H1444" s="3" t="n">
        <x:v>8</x:v>
      </x:c>
      <x:c r="I1444" s="3" t="n">
        <x:v>128</x:v>
      </x:c>
      <x:c r="J1444" s="15" t="n">
        <x:f>IF(D1444=0,"n.a.",E1444/D1444)</x:f>
        <x:v>0.017673256827768224</x:v>
      </x:c>
      <x:c r="K1444" s="15" t="n">
        <x:f>F1444/'Datos'!$F$7</x:f>
        <x:v>0.00012770827918422457</x:v>
      </x:c>
      <x:c r="L1444" s="3"/>
    </x:row>
    <x:row r="1445" ht="22" customHeight="1">
      <x:c r="A1445" s="3"/>
      <x:c r="B1445" s="3" t="str">
        <x:v>23067</x:v>
      </x:c>
      <x:c r="C1445" s="3" t="str">
        <x:v>HANGING ENGRAVED METAL HEART</x:v>
      </x:c>
      <x:c r="D1445" s="13" t="n">
        <x:v>1249.11</x:v>
      </x:c>
      <x:c r="E1445" s="13" t="n">
        <x:v>0</x:v>
      </x:c>
      <x:c r="F1445" s="13" t="n">
        <x:f>D1445-E1445</x:f>
        <x:v>1249.11</x:v>
      </x:c>
      <x:c r="G1445" s="3" t="n">
        <x:v>297</x:v>
      </x:c>
      <x:c r="H1445" s="3" t="n">
        <x:v>0</x:v>
      </x:c>
      <x:c r="I1445" s="3" t="n">
        <x:v>78</x:v>
      </x:c>
      <x:c r="J1445" s="15" t="n">
        <x:f>IF(D1445=0,"n.a.",E1445/D1445)</x:f>
        <x:v>0</x:v>
      </x:c>
      <x:c r="K1445" s="15" t="n">
        <x:f>F1445/'Datos'!$F$7</x:f>
        <x:v>0.00012755510399869405</x:v>
      </x:c>
      <x:c r="L1445" s="3"/>
    </x:row>
    <x:row r="1446" ht="22" customHeight="1">
      <x:c r="A1446" s="3"/>
      <x:c r="B1446" s="3" t="str">
        <x:v>23511</x:v>
      </x:c>
      <x:c r="C1446" s="3" t="str">
        <x:v>EMBROIDERED RIBBON REEL EMILY</x:v>
      </x:c>
      <x:c r="D1446" s="13" t="n">
        <x:v>1256.17</x:v>
      </x:c>
      <x:c r="E1446" s="13" t="n">
        <x:v>10.4</x:v>
      </x:c>
      <x:c r="F1446" s="13" t="n">
        <x:f>D1446-E1446</x:f>
        <x:v>1245.77</x:v>
      </x:c>
      <x:c r="G1446" s="3" t="n">
        <x:v>573</x:v>
      </x:c>
      <x:c r="H1446" s="3" t="n">
        <x:v>5</x:v>
      </x:c>
      <x:c r="I1446" s="3" t="n">
        <x:v>98</x:v>
      </x:c>
      <x:c r="J1446" s="15" t="n">
        <x:f>IF(D1446=0,"n.a.",E1446/D1446)</x:f>
        <x:v>0.00827913419362029</x:v>
      </x:c>
      <x:c r="K1446" s="15" t="n">
        <x:f>F1446/'Datos'!$F$7</x:f>
        <x:v>0.00012721403391891274</x:v>
      </x:c>
      <x:c r="L1446" s="3"/>
    </x:row>
    <x:row r="1447" ht="22" customHeight="1">
      <x:c r="A1447" s="3"/>
      <x:c r="B1447" s="3" t="str">
        <x:v>22922</x:v>
      </x:c>
      <x:c r="C1447" s="3" t="str">
        <x:v>FRIDGE MAGNETS US DINER ASSORTED</x:v>
      </x:c>
      <x:c r="D1447" s="13" t="n">
        <x:v>1422.9</x:v>
      </x:c>
      <x:c r="E1447" s="13" t="n">
        <x:v>183.3</x:v>
      </x:c>
      <x:c r="F1447" s="13" t="n">
        <x:f>D1447-E1447</x:f>
        <x:v>1239.6000000000001</x:v>
      </x:c>
      <x:c r="G1447" s="3" t="n">
        <x:v>1587</x:v>
      </x:c>
      <x:c r="H1447" s="3" t="n">
        <x:v>234</x:v>
      </x:c>
      <x:c r="I1447" s="3" t="n">
        <x:v>102</x:v>
      </x:c>
      <x:c r="J1447" s="15" t="n">
        <x:f>IF(D1447=0,"n.a.",E1447/D1447)</x:f>
        <x:v>0.1288214210415349</x:v>
      </x:c>
      <x:c r="K1447" s="15" t="n">
        <x:f>F1447/'Datos'!$F$7</x:f>
        <x:v>0.0001265839733224305</x:v>
      </x:c>
      <x:c r="L1447" s="3"/>
    </x:row>
    <x:row r="1448" ht="22" customHeight="1">
      <x:c r="A1448" s="3"/>
      <x:c r="B1448" s="3" t="str">
        <x:v>47503A</x:v>
      </x:c>
      <x:c r="C1448" s="3" t="str">
        <x:v>ASS FLORAL PRINT MULTI SCREWDRIVER</x:v>
      </x:c>
      <x:c r="D1448" s="13" t="n">
        <x:v>1264.2</x:v>
      </x:c>
      <x:c r="E1448" s="13" t="n">
        <x:v>25.08</x:v>
      </x:c>
      <x:c r="F1448" s="13" t="n">
        <x:f>D1448-E1448</x:f>
        <x:v>1239.1200000000001</x:v>
      </x:c>
      <x:c r="G1448" s="3" t="n">
        <x:v>2758</x:v>
      </x:c>
      <x:c r="H1448" s="3" t="n">
        <x:v>36</x:v>
      </x:c>
      <x:c r="I1448" s="3" t="n">
        <x:v>163</x:v>
      </x:c>
      <x:c r="J1448" s="15" t="n">
        <x:f>IF(D1448=0,"n.a.",E1448/D1448)</x:f>
        <x:v>0.01983863312766967</x:v>
      </x:c>
      <x:c r="K1448" s="15" t="n">
        <x:f>F1448/'Datos'!$F$7</x:f>
        <x:v>0.00012653495726306074</x:v>
      </x:c>
      <x:c r="L1448" s="3"/>
    </x:row>
    <x:row r="1449" ht="22" customHeight="1">
      <x:c r="A1449" s="3"/>
      <x:c r="B1449" s="3" t="str">
        <x:v>22362</x:v>
      </x:c>
      <x:c r="C1449" s="3" t="str">
        <x:v>GLASS JAR PEACOCK BATH SALTS</x:v>
      </x:c>
      <x:c r="D1449" s="13" t="n">
        <x:v>1329.44</x:v>
      </x:c>
      <x:c r="E1449" s="13" t="n">
        <x:v>97.35</x:v>
      </x:c>
      <x:c r="F1449" s="13" t="n">
        <x:f>D1449-E1449</x:f>
        <x:v>1232.0900000000001</x:v>
      </x:c>
      <x:c r="G1449" s="3" t="n">
        <x:v>408</x:v>
      </x:c>
      <x:c r="H1449" s="3" t="n">
        <x:v>33</x:v>
      </x:c>
      <x:c r="I1449" s="3" t="n">
        <x:v>133</x:v>
      </x:c>
      <x:c r="J1449" s="15" t="n">
        <x:f>IF(D1449=0,"n.a.",E1449/D1449)</x:f>
        <x:v>0.07322632085690214</x:v>
      </x:c>
      <x:c r="K1449" s="15" t="n">
        <x:f>F1449/'Datos'!$F$7</x:f>
        <x:v>0.0001258170762268743</x:v>
      </x:c>
      <x:c r="L1449" s="3"/>
    </x:row>
    <x:row r="1450" ht="22" customHeight="1">
      <x:c r="A1450" s="3"/>
      <x:c r="B1450" s="3" t="str">
        <x:v>22129</x:v>
      </x:c>
      <x:c r="C1450" s="3" t="str">
        <x:v>PARTY CONES CANDY DECORATION</x:v>
      </x:c>
      <x:c r="D1450" s="13" t="n">
        <x:v>1231.52</x:v>
      </x:c>
      <x:c r="E1450" s="13" t="n">
        <x:v>0</x:v>
      </x:c>
      <x:c r="F1450" s="13" t="n">
        <x:f>D1450-E1450</x:f>
        <x:v>1231.52</x:v>
      </x:c>
      <x:c r="G1450" s="3" t="n">
        <x:v>1194</x:v>
      </x:c>
      <x:c r="H1450" s="3" t="n">
        <x:v>0</x:v>
      </x:c>
      <x:c r="I1450" s="3" t="n">
        <x:v>100</x:v>
      </x:c>
      <x:c r="J1450" s="15" t="n">
        <x:f>IF(D1450=0,"n.a.",E1450/D1450)</x:f>
        <x:v>0</x:v>
      </x:c>
      <x:c r="K1450" s="15" t="n">
        <x:f>F1450/'Datos'!$F$7</x:f>
        <x:v>0.0001257588696563727</x:v>
      </x:c>
      <x:c r="L1450" s="3"/>
    </x:row>
    <x:row r="1451" ht="22" customHeight="1">
      <x:c r="A1451" s="3"/>
      <x:c r="B1451" s="3" t="str">
        <x:v>85132B</x:v>
      </x:c>
      <x:c r="C1451" s="3" t="str">
        <x:v>CHARLIE AND LOLA TABLE TINS</x:v>
      </x:c>
      <x:c r="D1451" s="13" t="n">
        <x:v>1230.78</x:v>
      </x:c>
      <x:c r="E1451" s="13" t="n">
        <x:v>0</x:v>
      </x:c>
      <x:c r="F1451" s="13" t="n">
        <x:f>D1451-E1451</x:f>
        <x:v>1230.78</x:v>
      </x:c>
      <x:c r="G1451" s="3" t="n">
        <x:v>538</x:v>
      </x:c>
      <x:c r="H1451" s="3" t="n">
        <x:v>0</x:v>
      </x:c>
      <x:c r="I1451" s="3" t="n">
        <x:v>84</x:v>
      </x:c>
      <x:c r="J1451" s="15" t="n">
        <x:f>IF(D1451=0,"n.a.",E1451/D1451)</x:f>
        <x:v>0</x:v>
      </x:c>
      <x:c r="K1451" s="15" t="n">
        <x:f>F1451/'Datos'!$F$7</x:f>
        <x:v>0.00012568330323151097</x:v>
      </x:c>
      <x:c r="L1451" s="3"/>
    </x:row>
    <x:row r="1452" ht="22" customHeight="1">
      <x:c r="A1452" s="3"/>
      <x:c r="B1452" s="3" t="str">
        <x:v>23539</x:v>
      </x:c>
      <x:c r="C1452" s="3" t="str">
        <x:v>WALL ART LOVES' SECRET</x:v>
      </x:c>
      <x:c r="D1452" s="13" t="n">
        <x:v>1227.95</x:v>
      </x:c>
      <x:c r="E1452" s="13" t="n">
        <x:v>0</x:v>
      </x:c>
      <x:c r="F1452" s="13" t="n">
        <x:f>D1452-E1452</x:f>
        <x:v>1227.95</x:v>
      </x:c>
      <x:c r="G1452" s="3" t="n">
        <x:v>247</x:v>
      </x:c>
      <x:c r="H1452" s="3" t="n">
        <x:v>0</x:v>
      </x:c>
      <x:c r="I1452" s="3" t="n">
        <x:v>41</x:v>
      </x:c>
      <x:c r="J1452" s="15" t="n">
        <x:f>IF(D1452=0,"n.a.",E1452/D1452)</x:f>
        <x:v>0</x:v>
      </x:c>
      <x:c r="K1452" s="15" t="n">
        <x:f>F1452/'Datos'!$F$7</x:f>
        <x:v>0.00012539431271481005</x:v>
      </x:c>
      <x:c r="L1452" s="3"/>
    </x:row>
    <x:row r="1453" ht="22" customHeight="1">
      <x:c r="A1453" s="3"/>
      <x:c r="B1453" s="3" t="str">
        <x:v>22603</x:v>
      </x:c>
      <x:c r="C1453" s="3" t="str">
        <x:v>CHRISTMAS RETROSPOT TREE WOOD</x:v>
      </x:c>
      <x:c r="D1453" s="13" t="n">
        <x:v>1237.08</x:v>
      </x:c>
      <x:c r="E1453" s="13" t="n">
        <x:v>11.05</x:v>
      </x:c>
      <x:c r="F1453" s="13" t="n">
        <x:f>D1453-E1453</x:f>
        <x:v>1226.03</x:v>
      </x:c>
      <x:c r="G1453" s="3" t="n">
        <x:v>1389</x:v>
      </x:c>
      <x:c r="H1453" s="3" t="n">
        <x:v>13</x:v>
      </x:c>
      <x:c r="I1453" s="3" t="n">
        <x:v>171</x:v>
      </x:c>
      <x:c r="J1453" s="15" t="n">
        <x:f>IF(D1453=0,"n.a.",E1453/D1453)</x:f>
        <x:v>0.008932324506095</x:v>
      </x:c>
      <x:c r="K1453" s="15" t="n">
        <x:f>F1453/'Datos'!$F$7</x:f>
        <x:v>0.00012519824847733094</x:v>
      </x:c>
      <x:c r="L1453" s="3"/>
    </x:row>
    <x:row r="1454" ht="22" customHeight="1">
      <x:c r="A1454" s="3"/>
      <x:c r="B1454" s="3" t="str">
        <x:v>22338</x:v>
      </x:c>
      <x:c r="C1454" s="3" t="str">
        <x:v>STAR DECORATION PAINTED ZINC</x:v>
      </x:c>
      <x:c r="D1454" s="13" t="n">
        <x:v>1234.67</x:v>
      </x:c>
      <x:c r="E1454" s="13" t="n">
        <x:v>12.27</x:v>
      </x:c>
      <x:c r="F1454" s="13" t="n">
        <x:f>D1454-E1454</x:f>
        <x:v>1222.4</x:v>
      </x:c>
      <x:c r="G1454" s="3" t="n">
        <x:v>4683</x:v>
      </x:c>
      <x:c r="H1454" s="3" t="n">
        <x:v>21</x:v>
      </x:c>
      <x:c r="I1454" s="3" t="n">
        <x:v>180</x:v>
      </x:c>
      <x:c r="J1454" s="15" t="n">
        <x:f>IF(D1454=0,"n.a.",E1454/D1454)</x:f>
        <x:v>0.00993787813747803</x:v>
      </x:c>
      <x:c r="K1454" s="15" t="n">
        <x:f>F1454/'Datos'!$F$7</x:f>
        <x:v>0.00012482756452834707</x:v>
      </x:c>
      <x:c r="L1454" s="3"/>
    </x:row>
    <x:row r="1455" ht="22" customHeight="1">
      <x:c r="A1455" s="3"/>
      <x:c r="B1455" s="3" t="str">
        <x:v>22074</x:v>
      </x:c>
      <x:c r="C1455" s="3" t="str">
        <x:v>6 RIBBONS SHIMMERING PINKS</x:v>
      </x:c>
      <x:c r="D1455" s="13" t="n">
        <x:v>1241.32</x:v>
      </x:c>
      <x:c r="E1455" s="13" t="n">
        <x:v>19.8</x:v>
      </x:c>
      <x:c r="F1455" s="13" t="n">
        <x:f>D1455-E1455</x:f>
        <x:v>1221.52</x:v>
      </x:c>
      <x:c r="G1455" s="3" t="n">
        <x:v>1403</x:v>
      </x:c>
      <x:c r="H1455" s="3" t="n">
        <x:v>12</x:v>
      </x:c>
      <x:c r="I1455" s="3" t="n">
        <x:v>199</x:v>
      </x:c>
      <x:c r="J1455" s="15" t="n">
        <x:f>IF(D1455=0,"n.a.",E1455/D1455)</x:f>
        <x:v>0.01595076209196662</x:v>
      </x:c>
      <x:c r="K1455" s="15" t="n">
        <x:f>F1455/'Datos'!$F$7</x:f>
        <x:v>0.00012473770175283584</x:v>
      </x:c>
      <x:c r="L1455" s="3"/>
    </x:row>
    <x:row r="1456" ht="22" customHeight="1">
      <x:c r="A1456" s="3"/>
      <x:c r="B1456" s="3" t="str">
        <x:v>22315</x:v>
      </x:c>
      <x:c r="C1456" s="3" t="str">
        <x:v>200 RED + WHITE BENDY STRAWS</x:v>
      </x:c>
      <x:c r="D1456" s="13" t="n">
        <x:v>1221.43</x:v>
      </x:c>
      <x:c r="E1456" s="13" t="n">
        <x:v>0</x:v>
      </x:c>
      <x:c r="F1456" s="13" t="n">
        <x:f>D1456-E1456</x:f>
        <x:v>1221.43</x:v>
      </x:c>
      <x:c r="G1456" s="3" t="n">
        <x:v>918</x:v>
      </x:c>
      <x:c r="H1456" s="3" t="n">
        <x:v>0</x:v>
      </x:c>
      <x:c r="I1456" s="3" t="n">
        <x:v>172</x:v>
      </x:c>
      <x:c r="J1456" s="15" t="n">
        <x:f>IF(D1456=0,"n.a.",E1456/D1456)</x:f>
        <x:v>0</x:v>
      </x:c>
      <x:c r="K1456" s="15" t="n">
        <x:f>F1456/'Datos'!$F$7</x:f>
        <x:v>0.000124728511241704</x:v>
      </x:c>
      <x:c r="L1456" s="3"/>
    </x:row>
    <x:row r="1457" ht="22" customHeight="1">
      <x:c r="A1457" s="3"/>
      <x:c r="B1457" s="3" t="str">
        <x:v>23138</x:v>
      </x:c>
      <x:c r="C1457" s="3" t="str">
        <x:v>SINGLE WIRE HOOK IVORY HEART</x:v>
      </x:c>
      <x:c r="D1457" s="13" t="n">
        <x:v>1238.76</x:v>
      </x:c>
      <x:c r="E1457" s="13" t="n">
        <x:v>17.4</x:v>
      </x:c>
      <x:c r="F1457" s="13" t="n">
        <x:f>D1457-E1457</x:f>
        <x:v>1221.36</x:v>
      </x:c>
      <x:c r="G1457" s="3" t="n">
        <x:v>884</x:v>
      </x:c>
      <x:c r="H1457" s="3" t="n">
        <x:v>12</x:v>
      </x:c>
      <x:c r="I1457" s="3" t="n">
        <x:v>82</x:v>
      </x:c>
      <x:c r="J1457" s="15" t="n">
        <x:f>IF(D1457=0,"n.a.",E1457/D1457)</x:f>
        <x:v>0.014046304368885014</x:v>
      </x:c>
      <x:c r="K1457" s="15" t="n">
        <x:f>F1457/'Datos'!$F$7</x:f>
        <x:v>0.00012472136306637923</x:v>
      </x:c>
      <x:c r="L1457" s="3"/>
    </x:row>
    <x:row r="1458" ht="22" customHeight="1">
      <x:c r="A1458" s="3"/>
      <x:c r="B1458" s="3" t="str">
        <x:v>22597</x:v>
      </x:c>
      <x:c r="C1458" s="3" t="str">
        <x:v>MUSICAL ZINC HEART DECORATION</x:v>
      </x:c>
      <x:c r="D1458" s="13" t="n">
        <x:v>1247.78</x:v>
      </x:c>
      <x:c r="E1458" s="13" t="n">
        <x:v>28.9</x:v>
      </x:c>
      <x:c r="F1458" s="13" t="n">
        <x:f>D1458-E1458</x:f>
        <x:v>1218.8799999999999</x:v>
      </x:c>
      <x:c r="G1458" s="3" t="n">
        <x:v>2822</x:v>
      </x:c>
      <x:c r="H1458" s="3" t="n">
        <x:v>34</x:v>
      </x:c>
      <x:c r="I1458" s="3" t="n">
        <x:v>186</x:v>
      </x:c>
      <x:c r="J1458" s="15" t="n">
        <x:f>IF(D1458=0,"n.a.",E1458/D1458)</x:f>
        <x:v>0.023161134174293545</x:v>
      </x:c>
      <x:c r="K1458" s="15" t="n">
        <x:f>F1458/'Datos'!$F$7</x:f>
        <x:v>0.00012446811342630207</x:v>
      </x:c>
      <x:c r="L1458" s="3"/>
    </x:row>
    <x:row r="1459" ht="22" customHeight="1">
      <x:c r="A1459" s="3"/>
      <x:c r="B1459" s="3" t="str">
        <x:v>23598</x:v>
      </x:c>
      <x:c r="C1459" s="3" t="str">
        <x:v>PAPER BUNTING VINTAGE PARTY</x:v>
      </x:c>
      <x:c r="D1459" s="13" t="n">
        <x:v>1218.48</x:v>
      </x:c>
      <x:c r="E1459" s="13" t="n">
        <x:v>0</x:v>
      </x:c>
      <x:c r="F1459" s="13" t="n">
        <x:f>D1459-E1459</x:f>
        <x:v>1218.48</x:v>
      </x:c>
      <x:c r="G1459" s="3" t="n">
        <x:v>428</x:v>
      </x:c>
      <x:c r="H1459" s="3" t="n">
        <x:v>0</x:v>
      </x:c>
      <x:c r="I1459" s="3" t="n">
        <x:v>47</x:v>
      </x:c>
      <x:c r="J1459" s="15" t="n">
        <x:f>IF(D1459=0,"n.a.",E1459/D1459)</x:f>
        <x:v>0</x:v>
      </x:c>
      <x:c r="K1459" s="15" t="n">
        <x:f>F1459/'Datos'!$F$7</x:f>
        <x:v>0.0001244272667101606</x:v>
      </x:c>
      <x:c r="L1459" s="3"/>
    </x:row>
    <x:row r="1460" ht="22" customHeight="1">
      <x:c r="A1460" s="3"/>
      <x:c r="B1460" s="3" t="str">
        <x:v>82599</x:v>
      </x:c>
      <x:c r="C1460" s="3" t="str">
        <x:v>FANNY'S REST STOPMETAL SIGN</x:v>
      </x:c>
      <x:c r="D1460" s="13" t="n">
        <x:v>1217.73</x:v>
      </x:c>
      <x:c r="E1460" s="13" t="n">
        <x:v>0</x:v>
      </x:c>
      <x:c r="F1460" s="13" t="n">
        <x:f>D1460-E1460</x:f>
        <x:v>1217.73</x:v>
      </x:c>
      <x:c r="G1460" s="3" t="n">
        <x:v>508</x:v>
      </x:c>
      <x:c r="H1460" s="3" t="n">
        <x:v>0</x:v>
      </x:c>
      <x:c r="I1460" s="3" t="n">
        <x:v>141</x:v>
      </x:c>
      <x:c r="J1460" s="15" t="n">
        <x:f>IF(D1460=0,"n.a.",E1460/D1460)</x:f>
        <x:v>0</x:v>
      </x:c>
      <x:c r="K1460" s="15" t="n">
        <x:f>F1460/'Datos'!$F$7</x:f>
        <x:v>0.00012435067911739536</x:v>
      </x:c>
      <x:c r="L1460" s="3"/>
    </x:row>
    <x:row r="1461" ht="22" customHeight="1">
      <x:c r="A1461" s="3"/>
      <x:c r="B1461" s="3" t="str">
        <x:v>71038</x:v>
      </x:c>
      <x:c r="C1461" s="3" t="str">
        <x:v>WHITE HANGING BEADS CANDLE HOLDER</x:v>
      </x:c>
      <x:c r="D1461" s="13" t="n">
        <x:v>1244.95</x:v>
      </x:c>
      <x:c r="E1461" s="13" t="n">
        <x:v>27.25</x:v>
      </x:c>
      <x:c r="F1461" s="13" t="n">
        <x:f>D1461-E1461</x:f>
        <x:v>1217.7</x:v>
      </x:c>
      <x:c r="G1461" s="3" t="n">
        <x:v>239</x:v>
      </x:c>
      <x:c r="H1461" s="3" t="n">
        <x:v>5</x:v>
      </x:c>
      <x:c r="I1461" s="3" t="n">
        <x:v>47</x:v>
      </x:c>
      <x:c r="J1461" s="15" t="n">
        <x:f>IF(D1461=0,"n.a.",E1461/D1461)</x:f>
        <x:v>0.021888429254186915</x:v>
      </x:c>
      <x:c r="K1461" s="15" t="n">
        <x:f>F1461/'Datos'!$F$7</x:f>
        <x:v>0.00012434761561368475</x:v>
      </x:c>
      <x:c r="L1461" s="3"/>
    </x:row>
    <x:row r="1462" ht="22" customHeight="1">
      <x:c r="A1462" s="3"/>
      <x:c r="B1462" s="3" t="str">
        <x:v>22919</x:v>
      </x:c>
      <x:c r="C1462" s="3" t="str">
        <x:v>HERB MARKER MINT</x:v>
      </x:c>
      <x:c r="D1462" s="13" t="n">
        <x:v>1224.46</x:v>
      </x:c>
      <x:c r="E1462" s="13" t="n">
        <x:v>7.8</x:v>
      </x:c>
      <x:c r="F1462" s="13" t="n">
        <x:f>D1462-E1462</x:f>
        <x:v>1216.66</x:v>
      </x:c>
      <x:c r="G1462" s="3" t="n">
        <x:v>1757</x:v>
      </x:c>
      <x:c r="H1462" s="3" t="n">
        <x:v>12</x:v>
      </x:c>
      <x:c r="I1462" s="3" t="n">
        <x:v>240</x:v>
      </x:c>
      <x:c r="J1462" s="15" t="n">
        <x:f>IF(D1462=0,"n.a.",E1462/D1462)</x:f>
        <x:v>0.006370155007105173</x:v>
      </x:c>
      <x:c r="K1462" s="15" t="n">
        <x:f>F1462/'Datos'!$F$7</x:f>
        <x:v>0.00012424141415171691</x:v>
      </x:c>
      <x:c r="L1462" s="3"/>
    </x:row>
    <x:row r="1463" ht="22" customHeight="1">
      <x:c r="A1463" s="3"/>
      <x:c r="B1463" s="3" t="str">
        <x:v>22613</x:v>
      </x:c>
      <x:c r="C1463" s="3" t="str">
        <x:v>PACK OF 20 SPACEBOY NAPKINS</x:v>
      </x:c>
      <x:c r="D1463" s="13" t="n">
        <x:v>1222.61</x:v>
      </x:c>
      <x:c r="E1463" s="13" t="n">
        <x:v>8.5</x:v>
      </x:c>
      <x:c r="F1463" s="13" t="n">
        <x:f>D1463-E1463</x:f>
        <x:v>1214.11</x:v>
      </x:c>
      <x:c r="G1463" s="3" t="n">
        <x:v>1538</x:v>
      </x:c>
      <x:c r="H1463" s="3" t="n">
        <x:v>10</x:v>
      </x:c>
      <x:c r="I1463" s="3" t="n">
        <x:v>145</x:v>
      </x:c>
      <x:c r="J1463" s="15" t="n">
        <x:f>IF(D1463=0,"n.a.",E1463/D1463)</x:f>
        <x:v>0.00695233966677845</x:v>
      </x:c>
      <x:c r="K1463" s="15" t="n">
        <x:f>F1463/'Datos'!$F$7</x:f>
        <x:v>0.00012398101633631498</x:v>
      </x:c>
      <x:c r="L1463" s="3"/>
    </x:row>
    <x:row r="1464" ht="22" customHeight="1">
      <x:c r="A1464" s="3"/>
      <x:c r="B1464" s="3" t="str">
        <x:v>72800E</x:v>
      </x:c>
      <x:c r="C1464" s="3" t="str">
        <x:v>4 IVORY DINNER CANDLES SILVER FLOCK</x:v>
      </x:c>
      <x:c r="D1464" s="13" t="n">
        <x:v>1213.29</x:v>
      </x:c>
      <x:c r="E1464" s="13" t="n">
        <x:v>0</x:v>
      </x:c>
      <x:c r="F1464" s="13" t="n">
        <x:f>D1464-E1464</x:f>
        <x:v>1213.29</x:v>
      </x:c>
      <x:c r="G1464" s="3" t="n">
        <x:v>541</x:v>
      </x:c>
      <x:c r="H1464" s="3" t="n">
        <x:v>0</x:v>
      </x:c>
      <x:c r="I1464" s="3" t="n">
        <x:v>136</x:v>
      </x:c>
      <x:c r="J1464" s="15" t="n">
        <x:f>IF(D1464=0,"n.a.",E1464/D1464)</x:f>
        <x:v>0</x:v>
      </x:c>
      <x:c r="K1464" s="15" t="n">
        <x:f>F1464/'Datos'!$F$7</x:f>
        <x:v>0.00012389728056822497</x:v>
      </x:c>
      <x:c r="L1464" s="3"/>
    </x:row>
    <x:row r="1465" ht="22" customHeight="1">
      <x:c r="A1465" s="3"/>
      <x:c r="B1465" s="3" t="str">
        <x:v>22589</x:v>
      </x:c>
      <x:c r="C1465" s="3" t="str">
        <x:v>CARDHOLDER GINGHAM STAR</x:v>
      </x:c>
      <x:c r="D1465" s="13" t="n">
        <x:v>1212.82</x:v>
      </x:c>
      <x:c r="E1465" s="13" t="n">
        <x:v>0</x:v>
      </x:c>
      <x:c r="F1465" s="13" t="n">
        <x:f>D1465-E1465</x:f>
        <x:v>1212.82</x:v>
      </x:c>
      <x:c r="G1465" s="3" t="n">
        <x:v>379</x:v>
      </x:c>
      <x:c r="H1465" s="3" t="n">
        <x:v>0</x:v>
      </x:c>
      <x:c r="I1465" s="3" t="n">
        <x:v>79</x:v>
      </x:c>
      <x:c r="J1465" s="15" t="n">
        <x:f>IF(D1465=0,"n.a.",E1465/D1465)</x:f>
        <x:v>0</x:v>
      </x:c>
      <x:c r="K1465" s="15" t="n">
        <x:f>F1465/'Datos'!$F$7</x:f>
        <x:v>0.00012384928567675874</x:v>
      </x:c>
      <x:c r="L1465" s="3"/>
    </x:row>
    <x:row r="1466" ht="22" customHeight="1">
      <x:c r="A1466" s="3"/>
      <x:c r="B1466" s="3" t="str">
        <x:v>82578</x:v>
      </x:c>
      <x:c r="C1466" s="3" t="str">
        <x:v>KITCHEN METAL SIGN</x:v>
      </x:c>
      <x:c r="D1466" s="13" t="n">
        <x:v>1218.95</x:v>
      </x:c>
      <x:c r="E1466" s="13" t="n">
        <x:v>6.6</x:v>
      </x:c>
      <x:c r="F1466" s="13" t="n">
        <x:f>D1466-E1466</x:f>
        <x:v>1212.3500000000001</x:v>
      </x:c>
      <x:c r="G1466" s="3" t="n">
        <x:v>2060</x:v>
      </x:c>
      <x:c r="H1466" s="3" t="n">
        <x:v>12</x:v>
      </x:c>
      <x:c r="I1466" s="3" t="n">
        <x:v>305</x:v>
      </x:c>
      <x:c r="J1466" s="15" t="n">
        <x:f>IF(D1466=0,"n.a.",E1466/D1466)</x:f>
        <x:v>0.005414496082694122</x:v>
      </x:c>
      <x:c r="K1466" s="15" t="n">
        <x:f>F1466/'Datos'!$F$7</x:f>
        <x:v>0.00012380129078529254</x:v>
      </x:c>
      <x:c r="L1466" s="3"/>
    </x:row>
    <x:row r="1467" ht="22" customHeight="1">
      <x:c r="A1467" s="3"/>
      <x:c r="B1467" s="3" t="str">
        <x:v>22575</x:v>
      </x:c>
      <x:c r="C1467" s="3" t="str">
        <x:v>METAL MERRY CHRISTMAS WREATH</x:v>
      </x:c>
      <x:c r="D1467" s="13" t="n">
        <x:v>1222.07</x:v>
      </x:c>
      <x:c r="E1467" s="13" t="n">
        <x:v>11.7</x:v>
      </x:c>
      <x:c r="F1467" s="13" t="n">
        <x:f>D1467-E1467</x:f>
        <x:v>1210.37</x:v>
      </x:c>
      <x:c r="G1467" s="3" t="n">
        <x:v>639</x:v>
      </x:c>
      <x:c r="H1467" s="3" t="n">
        <x:v>6</x:v>
      </x:c>
      <x:c r="I1467" s="3" t="n">
        <x:v>90</x:v>
      </x:c>
      <x:c r="J1467" s="15" t="n">
        <x:f>IF(D1467=0,"n.a.",E1467/D1467)</x:f>
        <x:v>0.009573919660903221</x:v>
      </x:c>
      <x:c r="K1467" s="15" t="n">
        <x:f>F1467/'Datos'!$F$7</x:f>
        <x:v>0.0001235990995403922</x:v>
      </x:c>
      <x:c r="L1467" s="3"/>
    </x:row>
    <x:row r="1468" ht="22" customHeight="1">
      <x:c r="A1468" s="3"/>
      <x:c r="B1468" s="3" t="str">
        <x:v>22071</x:v>
      </x:c>
      <x:c r="C1468" s="3" t="str">
        <x:v>SMALL WHITE RETROSPOT MUG IN BOX</x:v>
      </x:c>
      <x:c r="D1468" s="13" t="n">
        <x:v>1388.05</x:v>
      </x:c>
      <x:c r="E1468" s="13" t="n">
        <x:v>180.5</x:v>
      </x:c>
      <x:c r="F1468" s="13" t="n">
        <x:f>D1468-E1468</x:f>
        <x:v>1207.55</x:v>
      </x:c>
      <x:c r="G1468" s="3" t="n">
        <x:v>730</x:v>
      </x:c>
      <x:c r="H1468" s="3" t="n">
        <x:v>286</x:v>
      </x:c>
      <x:c r="I1468" s="3" t="n">
        <x:v>86</x:v>
      </x:c>
      <x:c r="J1468" s="15" t="n">
        <x:f>IF(D1468=0,"n.a.",E1468/D1468)</x:f>
        <x:v>0.13003854328014122</x:v>
      </x:c>
      <x:c r="K1468" s="15" t="n">
        <x:f>F1468/'Datos'!$F$7</x:f>
        <x:v>0.0001233111301915948</x:v>
      </x:c>
      <x:c r="L1468" s="3"/>
    </x:row>
    <x:row r="1469" ht="22" customHeight="1">
      <x:c r="A1469" s="3"/>
      <x:c r="B1469" s="3" t="str">
        <x:v>72817</x:v>
      </x:c>
      <x:c r="C1469" s="3" t="str">
        <x:v>SET OF 2 CHRISTMAS DECOUPAGE CANDLE</x:v>
      </x:c>
      <x:c r="D1469" s="13" t="n">
        <x:v>1232.27</x:v>
      </x:c>
      <x:c r="E1469" s="13" t="n">
        <x:v>30</x:v>
      </x:c>
      <x:c r="F1469" s="13" t="n">
        <x:f>D1469-E1469</x:f>
        <x:v>1202.27</x:v>
      </x:c>
      <x:c r="G1469" s="3" t="n">
        <x:v>1212</x:v>
      </x:c>
      <x:c r="H1469" s="3" t="n">
        <x:v>24</x:v>
      </x:c>
      <x:c r="I1469" s="3" t="n">
        <x:v>161</x:v>
      </x:c>
      <x:c r="J1469" s="15" t="n">
        <x:f>IF(D1469=0,"n.a.",E1469/D1469)</x:f>
        <x:v>0.024345313932823163</x:v>
      </x:c>
      <x:c r="K1469" s="15" t="n">
        <x:f>F1469/'Datos'!$F$7</x:f>
        <x:v>0.00012277195353852736</x:v>
      </x:c>
      <x:c r="L1469" s="3"/>
    </x:row>
    <x:row r="1470" ht="22" customHeight="1">
      <x:c r="A1470" s="3"/>
      <x:c r="B1470" s="3" t="str">
        <x:v>22416</x:v>
      </x:c>
      <x:c r="C1470" s="3" t="str">
        <x:v>SET OF 36 DOILIES SPACEBOY DESIGN</x:v>
      </x:c>
      <x:c r="D1470" s="13" t="n">
        <x:v>1210.82</x:v>
      </x:c>
      <x:c r="E1470" s="13" t="n">
        <x:v>8.7</x:v>
      </x:c>
      <x:c r="F1470" s="13" t="n">
        <x:f>D1470-E1470</x:f>
        <x:v>1202.12</x:v>
      </x:c>
      <x:c r="G1470" s="3" t="n">
        <x:v>868</x:v>
      </x:c>
      <x:c r="H1470" s="3" t="n">
        <x:v>6</x:v>
      </x:c>
      <x:c r="I1470" s="3" t="n">
        <x:v>76</x:v>
      </x:c>
      <x:c r="J1470" s="15" t="n">
        <x:f>IF(D1470=0,"n.a.",E1470/D1470)</x:f>
        <x:v>0.007185213326506004</x:v>
      </x:c>
      <x:c r="K1470" s="15" t="n">
        <x:f>F1470/'Datos'!$F$7</x:f>
        <x:v>0.00012275663601997428</x:v>
      </x:c>
      <x:c r="L1470" s="3"/>
    </x:row>
    <x:row r="1471" ht="22" customHeight="1">
      <x:c r="A1471" s="3"/>
      <x:c r="B1471" s="3" t="str">
        <x:v>23142</x:v>
      </x:c>
      <x:c r="C1471" s="3" t="str">
        <x:v>IVORY WIRE KITCHEN ORGANISER</x:v>
      </x:c>
      <x:c r="D1471" s="13" t="n">
        <x:v>1220.82</x:v>
      </x:c>
      <x:c r="E1471" s="13" t="n">
        <x:v>19.55</x:v>
      </x:c>
      <x:c r="F1471" s="13" t="n">
        <x:f>D1471-E1471</x:f>
        <x:v>1201.27</x:v>
      </x:c>
      <x:c r="G1471" s="3" t="n">
        <x:v>121</x:v>
      </x:c>
      <x:c r="H1471" s="3" t="n">
        <x:v>2</x:v>
      </x:c>
      <x:c r="I1471" s="3" t="n">
        <x:v>40</x:v>
      </x:c>
      <x:c r="J1471" s="15" t="n">
        <x:f>IF(D1471=0,"n.a.",E1471/D1471)</x:f>
        <x:v>0.016013826772169528</x:v>
      </x:c>
      <x:c r="K1471" s="15" t="n">
        <x:f>F1471/'Datos'!$F$7</x:f>
        <x:v>0.00012266983674817365</x:v>
      </x:c>
      <x:c r="L1471" s="3"/>
    </x:row>
    <x:row r="1472" ht="22" customHeight="1">
      <x:c r="A1472" s="3"/>
      <x:c r="B1472" s="3" t="str">
        <x:v>21986</x:v>
      </x:c>
      <x:c r="C1472" s="3" t="str">
        <x:v>PACK OF 12 PINK POLKADOT TISSUES</x:v>
      </x:c>
      <x:c r="D1472" s="13" t="n">
        <x:v>1197.73</x:v>
      </x:c>
      <x:c r="E1472" s="13" t="n">
        <x:v>0</x:v>
      </x:c>
      <x:c r="F1472" s="13" t="n">
        <x:f>D1472-E1472</x:f>
        <x:v>1197.73</x:v>
      </x:c>
      <x:c r="G1472" s="3" t="n">
        <x:v>4067</x:v>
      </x:c>
      <x:c r="H1472" s="3" t="n">
        <x:v>0</x:v>
      </x:c>
      <x:c r="I1472" s="3" t="n">
        <x:v>189</x:v>
      </x:c>
      <x:c r="J1472" s="15" t="n">
        <x:f>IF(D1472=0,"n.a.",E1472/D1472)</x:f>
        <x:v>0</x:v>
      </x:c>
      <x:c r="K1472" s="15" t="n">
        <x:f>F1472/'Datos'!$F$7</x:f>
        <x:v>0.0001223083433103216</x:v>
      </x:c>
      <x:c r="L1472" s="3"/>
    </x:row>
    <x:row r="1473" ht="22" customHeight="1">
      <x:c r="A1473" s="3"/>
      <x:c r="B1473" s="3" t="str">
        <x:v>22711</x:v>
      </x:c>
      <x:c r="C1473" s="3" t="str">
        <x:v>WRAP CIRCUS PARADE</x:v>
      </x:c>
      <x:c r="D1473" s="13" t="n">
        <x:v>1213.34</x:v>
      </x:c>
      <x:c r="E1473" s="13" t="n">
        <x:v>21</x:v>
      </x:c>
      <x:c r="F1473" s="13" t="n">
        <x:f>D1473-E1473</x:f>
        <x:v>1192.34</x:v>
      </x:c>
      <x:c r="G1473" s="3" t="n">
        <x:v>2927</x:v>
      </x:c>
      <x:c r="H1473" s="3" t="n">
        <x:v>50</x:v>
      </x:c>
      <x:c r="I1473" s="3" t="n">
        <x:v>103</x:v>
      </x:c>
      <x:c r="J1473" s="15" t="n">
        <x:f>IF(D1473=0,"n.a.",E1473/D1473)</x:f>
        <x:v>0.017307597211004336</x:v>
      </x:c>
      <x:c r="K1473" s="15" t="n">
        <x:f>F1473/'Datos'!$F$7</x:f>
        <x:v>0.00012175793381031523</x:v>
      </x:c>
      <x:c r="L1473" s="3"/>
    </x:row>
    <x:row r="1474" ht="22" customHeight="1">
      <x:c r="A1474" s="3"/>
      <x:c r="B1474" s="3" t="str">
        <x:v>22755</x:v>
      </x:c>
      <x:c r="C1474" s="3" t="str">
        <x:v>SMALL PURPLE BABUSHKA NOTEBOOK</x:v>
      </x:c>
      <x:c r="D1474" s="13" t="n">
        <x:v>1190.51</x:v>
      </x:c>
      <x:c r="E1474" s="13" t="n">
        <x:v>0</x:v>
      </x:c>
      <x:c r="F1474" s="13" t="n">
        <x:f>D1474-E1474</x:f>
        <x:v>1190.51</x:v>
      </x:c>
      <x:c r="G1474" s="3" t="n">
        <x:v>1690</x:v>
      </x:c>
      <x:c r="H1474" s="3" t="n">
        <x:v>0</x:v>
      </x:c>
      <x:c r="I1474" s="3" t="n">
        <x:v>251</x:v>
      </x:c>
      <x:c r="J1474" s="15" t="n">
        <x:f>IF(D1474=0,"n.a.",E1474/D1474)</x:f>
        <x:v>0</x:v>
      </x:c>
      <x:c r="K1474" s="15" t="n">
        <x:f>F1474/'Datos'!$F$7</x:f>
        <x:v>0.00012157106008396798</x:v>
      </x:c>
      <x:c r="L1474" s="3"/>
    </x:row>
    <x:row r="1475" ht="22" customHeight="1">
      <x:c r="A1475" s="3"/>
      <x:c r="B1475" s="3" t="str">
        <x:v>22453</x:v>
      </x:c>
      <x:c r="C1475" s="3" t="str">
        <x:v>MEASURING TAPE BABUSHKA BLUE</x:v>
      </x:c>
      <x:c r="D1475" s="13" t="n">
        <x:v>1191.69</x:v>
      </x:c>
      <x:c r="E1475" s="13" t="n">
        <x:v>2.95</x:v>
      </x:c>
      <x:c r="F1475" s="13" t="n">
        <x:f>D1475-E1475</x:f>
        <x:v>1188.74</x:v>
      </x:c>
      <x:c r="G1475" s="3" t="n">
        <x:v>444</x:v>
      </x:c>
      <x:c r="H1475" s="3" t="n">
        <x:v>1</x:v>
      </x:c>
      <x:c r="I1475" s="3" t="n">
        <x:v>78</x:v>
      </x:c>
      <x:c r="J1475" s="15" t="n">
        <x:f>IF(D1475=0,"n.a.",E1475/D1475)</x:f>
        <x:v>0.0024754760046656428</x:v>
      </x:c>
      <x:c r="K1475" s="15" t="n">
        <x:f>F1475/'Datos'!$F$7</x:f>
        <x:v>0.00012139031336504197</x:v>
      </x:c>
      <x:c r="L1475" s="3"/>
    </x:row>
    <x:row r="1476" ht="22" customHeight="1">
      <x:c r="A1476" s="3"/>
      <x:c r="B1476" s="3" t="str">
        <x:v>21070</x:v>
      </x:c>
      <x:c r="C1476" s="3" t="str">
        <x:v>VINTAGE BILLBOARD MUG</x:v>
      </x:c>
      <x:c r="D1476" s="13" t="n">
        <x:v>1186.23</x:v>
      </x:c>
      <x:c r="E1476" s="13" t="n">
        <x:v>0</x:v>
      </x:c>
      <x:c r="F1476" s="13" t="n">
        <x:f>D1476-E1476</x:f>
        <x:v>1186.23</x:v>
      </x:c>
      <x:c r="G1476" s="3" t="n">
        <x:v>1107</x:v>
      </x:c>
      <x:c r="H1476" s="3" t="n">
        <x:v>0</x:v>
      </x:c>
      <x:c r="I1476" s="3" t="n">
        <x:v>107</x:v>
      </x:c>
      <x:c r="J1476" s="15" t="n">
        <x:f>IF(D1476=0,"n.a.",E1476/D1476)</x:f>
        <x:v>0</x:v>
      </x:c>
      <x:c r="K1476" s="15" t="n">
        <x:f>F1476/'Datos'!$F$7</x:f>
        <x:v>0.00012113400022125422</x:v>
      </x:c>
      <x:c r="L1476" s="3"/>
    </x:row>
    <x:row r="1477" ht="22" customHeight="1">
      <x:c r="A1477" s="3"/>
      <x:c r="B1477" s="3" t="str">
        <x:v>21262</x:v>
      </x:c>
      <x:c r="C1477" s="3" t="str">
        <x:v>WHITE GOOSE FEATHER CHRISTMAS TREE</x:v>
      </x:c>
      <x:c r="D1477" s="13" t="n">
        <x:v>1242.06</x:v>
      </x:c>
      <x:c r="E1477" s="13" t="n">
        <x:v>56.75</x:v>
      </x:c>
      <x:c r="F1477" s="13" t="n">
        <x:f>D1477-E1477</x:f>
        <x:v>1185.31</x:v>
      </x:c>
      <x:c r="G1477" s="3" t="n">
        <x:v>335</x:v>
      </x:c>
      <x:c r="H1477" s="3" t="n">
        <x:v>5</x:v>
      </x:c>
      <x:c r="I1477" s="3" t="n">
        <x:v>78</x:v>
      </x:c>
      <x:c r="J1477" s="15" t="n">
        <x:f>IF(D1477=0,"n.a.",E1477/D1477)</x:f>
        <x:v>0.04569022430478399</x:v>
      </x:c>
      <x:c r="K1477" s="15" t="n">
        <x:f>F1477/'Datos'!$F$7</x:f>
        <x:v>0.00012104005277412881</x:v>
      </x:c>
      <x:c r="L1477" s="3"/>
    </x:row>
    <x:row r="1478" ht="22" customHeight="1">
      <x:c r="A1478" s="3"/>
      <x:c r="B1478" s="3" t="str">
        <x:v>23444</x:v>
      </x:c>
      <x:c r="C1478" s="3" t="str">
        <x:v>Next Day Carriage</x:v>
      </x:c>
      <x:c r="D1478" s="13" t="n">
        <x:v>1200</x:v>
      </x:c>
      <x:c r="E1478" s="13" t="n">
        <x:v>15</x:v>
      </x:c>
      <x:c r="F1478" s="13" t="n">
        <x:f>D1478-E1478</x:f>
        <x:v>1185</x:v>
      </x:c>
      <x:c r="G1478" s="3" t="n">
        <x:v>79</x:v>
      </x:c>
      <x:c r="H1478" s="3" t="n">
        <x:v>1</x:v>
      </x:c>
      <x:c r="I1478" s="3" t="n">
        <x:v>79</x:v>
      </x:c>
      <x:c r="J1478" s="15" t="n">
        <x:f>IF(D1478=0,"n.a.",E1478/D1478)</x:f>
        <x:v>0.0125</x:v>
      </x:c>
      <x:c r="K1478" s="15" t="n">
        <x:f>F1478/'Datos'!$F$7</x:f>
        <x:v>0.00012100839656911918</x:v>
      </x:c>
      <x:c r="L1478" s="3"/>
    </x:row>
    <x:row r="1479" ht="22" customHeight="1">
      <x:c r="A1479" s="3"/>
      <x:c r="B1479" s="3" t="str">
        <x:v>21537</x:v>
      </x:c>
      <x:c r="C1479" s="3" t="str">
        <x:v>RED RETROSPOT PUDDING BOWL</x:v>
      </x:c>
      <x:c r="D1479" s="13" t="n">
        <x:v>1392.21</x:v>
      </x:c>
      <x:c r="E1479" s="13" t="n">
        <x:v>208.75</x:v>
      </x:c>
      <x:c r="F1479" s="13" t="n">
        <x:f>D1479-E1479</x:f>
        <x:v>1183.46</x:v>
      </x:c>
      <x:c r="G1479" s="3" t="n">
        <x:v>333</x:v>
      </x:c>
      <x:c r="H1479" s="3" t="n">
        <x:v>55</x:v>
      </x:c>
      <x:c r="I1479" s="3" t="n">
        <x:v>61</x:v>
      </x:c>
      <x:c r="J1479" s="15" t="n">
        <x:f>IF(D1479=0,"n.a.",E1479/D1479)</x:f>
        <x:v>0.14994145998089367</x:v>
      </x:c>
      <x:c r="K1479" s="15" t="n">
        <x:f>F1479/'Datos'!$F$7</x:f>
        <x:v>0.0001208511367119745</x:v>
      </x:c>
      <x:c r="L1479" s="3"/>
    </x:row>
    <x:row r="1480" ht="22" customHeight="1">
      <x:c r="A1480" s="3"/>
      <x:c r="B1480" s="3" t="str">
        <x:v>84012</x:v>
      </x:c>
      <x:c r="C1480" s="3" t="str">
        <x:v>MAGIC SHEEP WOOL GROWING FROM PAPER</x:v>
      </x:c>
      <x:c r="D1480" s="13" t="n">
        <x:v>1283.99</x:v>
      </x:c>
      <x:c r="E1480" s="13" t="n">
        <x:v>102</x:v>
      </x:c>
      <x:c r="F1480" s="13" t="n">
        <x:f>D1480-E1480</x:f>
        <x:v>1181.99</x:v>
      </x:c>
      <x:c r="G1480" s="3" t="n">
        <x:v>1265</x:v>
      </x:c>
      <x:c r="H1480" s="3" t="n">
        <x:v>120</x:v>
      </x:c>
      <x:c r="I1480" s="3" t="n">
        <x:v>115</x:v>
      </x:c>
      <x:c r="J1480" s="15" t="n">
        <x:f>IF(D1480=0,"n.a.",E1480/D1480)</x:f>
        <x:v>0.07943987102703293</x:v>
      </x:c>
      <x:c r="K1480" s="15" t="n">
        <x:f>F1480/'Datos'!$F$7</x:f>
        <x:v>0.00012070102503015458</x:v>
      </x:c>
      <x:c r="L1480" s="3"/>
    </x:row>
    <x:row r="1481" ht="22" customHeight="1">
      <x:c r="A1481" s="3"/>
      <x:c r="B1481" s="3" t="str">
        <x:v>35924</x:v>
      </x:c>
      <x:c r="C1481" s="3" t="str">
        <x:v>HANGING FAIRY CAKE DECORATION</x:v>
      </x:c>
      <x:c r="D1481" s="13" t="n">
        <x:v>1484.3</x:v>
      </x:c>
      <x:c r="E1481" s="13" t="n">
        <x:v>302.51</x:v>
      </x:c>
      <x:c r="F1481" s="13" t="n">
        <x:f>D1481-E1481</x:f>
        <x:v>1181.79</x:v>
      </x:c>
      <x:c r="G1481" s="3" t="n">
        <x:v>820</x:v>
      </x:c>
      <x:c r="H1481" s="3" t="n">
        <x:v>179</x:v>
      </x:c>
      <x:c r="I1481" s="3" t="n">
        <x:v>72</x:v>
      </x:c>
      <x:c r="J1481" s="15" t="n">
        <x:f>IF(D1481=0,"n.a.",E1481/D1481)</x:f>
        <x:v>0.20380650811830492</x:v>
      </x:c>
      <x:c r="K1481" s="15" t="n">
        <x:f>F1481/'Datos'!$F$7</x:f>
        <x:v>0.00012068060167208384</x:v>
      </x:c>
      <x:c r="L1481" s="3"/>
    </x:row>
    <x:row r="1482" ht="22" customHeight="1">
      <x:c r="A1482" s="3"/>
      <x:c r="B1482" s="3" t="str">
        <x:v>22081</x:v>
      </x:c>
      <x:c r="C1482" s="3" t="str">
        <x:v>RIBBON REEL FLORA + FAUNA</x:v>
      </x:c>
      <x:c r="D1482" s="13" t="n">
        <x:v>1193</x:v>
      </x:c>
      <x:c r="E1482" s="13" t="n">
        <x:v>16.5</x:v>
      </x:c>
      <x:c r="F1482" s="13" t="n">
        <x:f>D1482-E1482</x:f>
        <x:v>1176.5</x:v>
      </x:c>
      <x:c r="G1482" s="3" t="n">
        <x:v>654</x:v>
      </x:c>
      <x:c r="H1482" s="3" t="n">
        <x:v>10</x:v>
      </x:c>
      <x:c r="I1482" s="3" t="n">
        <x:v>138</x:v>
      </x:c>
      <x:c r="J1482" s="15" t="n">
        <x:f>IF(D1482=0,"n.a.",E1482/D1482)</x:f>
        <x:v>0.013830678960603521</x:v>
      </x:c>
      <x:c r="K1482" s="15" t="n">
        <x:f>F1482/'Datos'!$F$7</x:f>
        <x:v>0.00012014040385111284</x:v>
      </x:c>
      <x:c r="L1482" s="3"/>
    </x:row>
    <x:row r="1483" ht="22" customHeight="1">
      <x:c r="A1483" s="3"/>
      <x:c r="B1483" s="3" t="str">
        <x:v>22921</x:v>
      </x:c>
      <x:c r="C1483" s="3" t="str">
        <x:v>HERB MARKER CHIVES</x:v>
      </x:c>
      <x:c r="D1483" s="13" t="n">
        <x:v>1184.12</x:v>
      </x:c>
      <x:c r="E1483" s="13" t="n">
        <x:v>7.8</x:v>
      </x:c>
      <x:c r="F1483" s="13" t="n">
        <x:f>D1483-E1483</x:f>
        <x:v>1176.32</x:v>
      </x:c>
      <x:c r="G1483" s="3" t="n">
        <x:v>1721</x:v>
      </x:c>
      <x:c r="H1483" s="3" t="n">
        <x:v>12</x:v>
      </x:c>
      <x:c r="I1483" s="3" t="n">
        <x:v>209</x:v>
      </x:c>
      <x:c r="J1483" s="15" t="n">
        <x:f>IF(D1483=0,"n.a.",E1483/D1483)</x:f>
        <x:v>0.0065871702192345375</x:v>
      </x:c>
      <x:c r="K1483" s="15" t="n">
        <x:f>F1483/'Datos'!$F$7</x:f>
        <x:v>0.00012012202282884916</x:v>
      </x:c>
      <x:c r="L1483" s="3"/>
    </x:row>
    <x:row r="1484" ht="22" customHeight="1">
      <x:c r="A1484" s="3"/>
      <x:c r="B1484" s="3" t="str">
        <x:v>85039B</x:v>
      </x:c>
      <x:c r="C1484" s="3" t="str">
        <x:v>S/4 IVORY MINI ROSE CANDLE IN BOWL</x:v>
      </x:c>
      <x:c r="D1484" s="13" t="n">
        <x:v>1174.63</x:v>
      </x:c>
      <x:c r="E1484" s="13" t="n">
        <x:v>0</x:v>
      </x:c>
      <x:c r="F1484" s="13" t="n">
        <x:f>D1484-E1484</x:f>
        <x:v>1174.63</x:v>
      </x:c>
      <x:c r="G1484" s="3" t="n">
        <x:v>806</x:v>
      </x:c>
      <x:c r="H1484" s="3" t="n">
        <x:v>0</x:v>
      </x:c>
      <x:c r="I1484" s="3" t="n">
        <x:v>172</x:v>
      </x:c>
      <x:c r="J1484" s="15" t="n">
        <x:f>IF(D1484=0,"n.a.",E1484/D1484)</x:f>
        <x:v>0</x:v>
      </x:c>
      <x:c r="K1484" s="15" t="n">
        <x:f>F1484/'Datos'!$F$7</x:f>
        <x:v>0.00011994944545315146</x:v>
      </x:c>
      <x:c r="L1484" s="3"/>
    </x:row>
    <x:row r="1485" ht="22" customHeight="1">
      <x:c r="A1485" s="3"/>
      <x:c r="B1485" s="3" t="str">
        <x:v>21742</x:v>
      </x:c>
      <x:c r="C1485" s="3" t="str">
        <x:v>LARGE ROUND WICKER PLATTER</x:v>
      </x:c>
      <x:c r="D1485" s="13" t="n">
        <x:v>1173.53</x:v>
      </x:c>
      <x:c r="E1485" s="13" t="n">
        <x:v>0</x:v>
      </x:c>
      <x:c r="F1485" s="13" t="n">
        <x:f>D1485-E1485</x:f>
        <x:v>1173.53</x:v>
      </x:c>
      <x:c r="G1485" s="3" t="n">
        <x:v>195</x:v>
      </x:c>
      <x:c r="H1485" s="3" t="n">
        <x:v>0</x:v>
      </x:c>
      <x:c r="I1485" s="3" t="n">
        <x:v>91</x:v>
      </x:c>
      <x:c r="J1485" s="15" t="n">
        <x:f>IF(D1485=0,"n.a.",E1485/D1485)</x:f>
        <x:v>0</x:v>
      </x:c>
      <x:c r="K1485" s="15" t="n">
        <x:f>F1485/'Datos'!$F$7</x:f>
        <x:v>0.00011983711698376238</x:v>
      </x:c>
      <x:c r="L1485" s="3"/>
    </x:row>
    <x:row r="1486" ht="22" customHeight="1">
      <x:c r="A1486" s="3"/>
      <x:c r="B1486" s="3" t="str">
        <x:v>21065</x:v>
      </x:c>
      <x:c r="C1486" s="3" t="str">
        <x:v>BOOM BOX SPEAKER GIRLS</x:v>
      </x:c>
      <x:c r="D1486" s="13" t="n">
        <x:v>1172.48</x:v>
      </x:c>
      <x:c r="E1486" s="13" t="n">
        <x:v>0</x:v>
      </x:c>
      <x:c r="F1486" s="13" t="n">
        <x:f>D1486-E1486</x:f>
        <x:v>1172.48</x:v>
      </x:c>
      <x:c r="G1486" s="3" t="n">
        <x:v>564</x:v>
      </x:c>
      <x:c r="H1486" s="3" t="n">
        <x:v>0</x:v>
      </x:c>
      <x:c r="I1486" s="3" t="n">
        <x:v>90</x:v>
      </x:c>
      <x:c r="J1486" s="15" t="n">
        <x:f>IF(D1486=0,"n.a.",E1486/D1486)</x:f>
        <x:v>0</x:v>
      </x:c>
      <x:c r="K1486" s="15" t="n">
        <x:f>F1486/'Datos'!$F$7</x:f>
        <x:v>0.00011972989435389101</x:v>
      </x:c>
      <x:c r="L1486" s="3"/>
    </x:row>
    <x:row r="1487" ht="22" customHeight="1">
      <x:c r="A1487" s="3"/>
      <x:c r="B1487" s="3" t="str">
        <x:v>23026</x:v>
      </x:c>
      <x:c r="C1487" s="3" t="str">
        <x:v>DRAWER KNOB VINTAGE GLASS STAR</x:v>
      </x:c>
      <x:c r="D1487" s="13" t="n">
        <x:v>1201.04</x:v>
      </x:c>
      <x:c r="E1487" s="13" t="n">
        <x:v>29.12</x:v>
      </x:c>
      <x:c r="F1487" s="13" t="n">
        <x:f>D1487-E1487</x:f>
        <x:v>1171.92</x:v>
      </x:c>
      <x:c r="G1487" s="3" t="n">
        <x:v>557</x:v>
      </x:c>
      <x:c r="H1487" s="3" t="n">
        <x:v>14</x:v>
      </x:c>
      <x:c r="I1487" s="3" t="n">
        <x:v>62</x:v>
      </x:c>
      <x:c r="J1487" s="15" t="n">
        <x:f>IF(D1487=0,"n.a.",E1487/D1487)</x:f>
        <x:v>0.024245653766735497</x:v>
      </x:c>
      <x:c r="K1487" s="15" t="n">
        <x:f>F1487/'Datos'!$F$7</x:f>
        <x:v>0.00011967270895129295</x:v>
      </x:c>
      <x:c r="L1487" s="3"/>
    </x:row>
    <x:row r="1488" ht="22" customHeight="1">
      <x:c r="A1488" s="3"/>
      <x:c r="B1488" s="3" t="str">
        <x:v>23418</x:v>
      </x:c>
      <x:c r="C1488" s="3" t="str">
        <x:v>LAVENDER TOILETTE BOTTLE</x:v>
      </x:c>
      <x:c r="D1488" s="13" t="n">
        <x:v>1168.08</x:v>
      </x:c>
      <x:c r="E1488" s="13" t="n">
        <x:v>0</x:v>
      </x:c>
      <x:c r="F1488" s="13" t="n">
        <x:f>D1488-E1488</x:f>
        <x:v>1168.08</x:v>
      </x:c>
      <x:c r="G1488" s="3" t="n">
        <x:v>558</x:v>
      </x:c>
      <x:c r="H1488" s="3" t="n">
        <x:v>0</x:v>
      </x:c>
      <x:c r="I1488" s="3" t="n">
        <x:v>79</x:v>
      </x:c>
      <x:c r="J1488" s="15" t="n">
        <x:f>IF(D1488=0,"n.a.",E1488/D1488)</x:f>
        <x:v>0</x:v>
      </x:c>
      <x:c r="K1488" s="15" t="n">
        <x:f>F1488/'Datos'!$F$7</x:f>
        <x:v>0.00011928058047633479</x:v>
      </x:c>
      <x:c r="L1488" s="3"/>
    </x:row>
    <x:row r="1489" ht="22" customHeight="1">
      <x:c r="A1489" s="3"/>
      <x:c r="B1489" s="3" t="str">
        <x:v>22757</x:v>
      </x:c>
      <x:c r="C1489" s="3" t="str">
        <x:v>LARGE RED BABUSHKA NOTEBOOK</x:v>
      </x:c>
      <x:c r="D1489" s="13" t="n">
        <x:v>1168.99</x:v>
      </x:c>
      <x:c r="E1489" s="13" t="n">
        <x:v>1.25</x:v>
      </x:c>
      <x:c r="F1489" s="13" t="n">
        <x:f>D1489-E1489</x:f>
        <x:v>1167.74</x:v>
      </x:c>
      <x:c r="G1489" s="3" t="n">
        <x:v>1097</x:v>
      </x:c>
      <x:c r="H1489" s="3" t="n">
        <x:v>1</x:v>
      </x:c>
      <x:c r="I1489" s="3" t="n">
        <x:v>163</x:v>
      </x:c>
      <x:c r="J1489" s="15" t="n">
        <x:f>IF(D1489=0,"n.a.",E1489/D1489)</x:f>
        <x:v>0.001069299138572614</x:v>
      </x:c>
      <x:c r="K1489" s="15" t="n">
        <x:f>F1489/'Datos'!$F$7</x:f>
        <x:v>0.00011924586076761454</x:v>
      </x:c>
      <x:c r="L1489" s="3"/>
    </x:row>
    <x:row r="1490" ht="22" customHeight="1">
      <x:c r="A1490" s="3"/>
      <x:c r="B1490" s="3" t="str">
        <x:v>20984</x:v>
      </x:c>
      <x:c r="C1490" s="3" t="str">
        <x:v>12 PENCILS TALL TUBE POSY</x:v>
      </x:c>
      <x:c r="D1490" s="13" t="n">
        <x:v>1173.9</x:v>
      </x:c>
      <x:c r="E1490" s="13" t="n">
        <x:v>6.96</x:v>
      </x:c>
      <x:c r="F1490" s="13" t="n">
        <x:f>D1490-E1490</x:f>
        <x:v>1166.94</x:v>
      </x:c>
      <x:c r="G1490" s="3" t="n">
        <x:v>3812</x:v>
      </x:c>
      <x:c r="H1490" s="3" t="n">
        <x:v>24</x:v>
      </x:c>
      <x:c r="I1490" s="3" t="n">
        <x:v>170</x:v>
      </x:c>
      <x:c r="J1490" s="15" t="n">
        <x:f>IF(D1490=0,"n.a.",E1490/D1490)</x:f>
        <x:v>0.005928954766164068</x:v>
      </x:c>
      <x:c r="K1490" s="15" t="n">
        <x:f>F1490/'Datos'!$F$7</x:f>
        <x:v>0.00011916416733533159</x:v>
      </x:c>
      <x:c r="L1490" s="3"/>
    </x:row>
    <x:row r="1491" ht="22" customHeight="1">
      <x:c r="A1491" s="3"/>
      <x:c r="B1491" s="3" t="str">
        <x:v>84313C</x:v>
      </x:c>
      <x:c r="C1491" s="3" t="str">
        <x:v>ORANGE TV TRAY TABLE</x:v>
      </x:c>
      <x:c r="D1491" s="13" t="n">
        <x:v>1165.91</x:v>
      </x:c>
      <x:c r="E1491" s="13" t="n">
        <x:v>0</x:v>
      </x:c>
      <x:c r="F1491" s="13" t="n">
        <x:f>D1491-E1491</x:f>
        <x:v>1165.91</x:v>
      </x:c>
      <x:c r="G1491" s="3" t="n">
        <x:v>504</x:v>
      </x:c>
      <x:c r="H1491" s="3" t="n">
        <x:v>0</x:v>
      </x:c>
      <x:c r="I1491" s="3" t="n">
        <x:v>43</x:v>
      </x:c>
      <x:c r="J1491" s="15" t="n">
        <x:f>IF(D1491=0,"n.a.",E1491/D1491)</x:f>
        <x:v>0</x:v>
      </x:c>
      <x:c r="K1491" s="15" t="n">
        <x:f>F1491/'Datos'!$F$7</x:f>
        <x:v>0.0001190589870412673</x:v>
      </x:c>
      <x:c r="L1491" s="3"/>
    </x:row>
    <x:row r="1492" ht="22" customHeight="1">
      <x:c r="A1492" s="3"/>
      <x:c r="B1492" s="3" t="str">
        <x:v>23515</x:v>
      </x:c>
      <x:c r="C1492" s="3" t="str">
        <x:v>EMBROIDERED RIBBON REEL DAISY</x:v>
      </x:c>
      <x:c r="D1492" s="13" t="n">
        <x:v>1164.98</x:v>
      </x:c>
      <x:c r="E1492" s="13" t="n">
        <x:v>0</x:v>
      </x:c>
      <x:c r="F1492" s="13" t="n">
        <x:f>D1492-E1492</x:f>
        <x:v>1164.98</x:v>
      </x:c>
      <x:c r="G1492" s="3" t="n">
        <x:v>579</x:v>
      </x:c>
      <x:c r="H1492" s="3" t="n">
        <x:v>0</x:v>
      </x:c>
      <x:c r="I1492" s="3" t="n">
        <x:v>71</x:v>
      </x:c>
      <x:c r="J1492" s="15" t="n">
        <x:f>IF(D1492=0,"n.a.",E1492/D1492)</x:f>
        <x:v>0</x:v>
      </x:c>
      <x:c r="K1492" s="15" t="n">
        <x:f>F1492/'Datos'!$F$7</x:f>
        <x:v>0.00011896401842623837</x:v>
      </x:c>
      <x:c r="L1492" s="3"/>
    </x:row>
    <x:row r="1493" ht="22" customHeight="1">
      <x:c r="A1493" s="3"/>
      <x:c r="B1493" s="3" t="str">
        <x:v>23508</x:v>
      </x:c>
      <x:c r="C1493" s="3" t="str">
        <x:v>MINI PLAYING CARDS DOLLY GIRL</x:v>
      </x:c>
      <x:c r="D1493" s="13" t="n">
        <x:v>1165.13</x:v>
      </x:c>
      <x:c r="E1493" s="13" t="n">
        <x:v>0.84</x:v>
      </x:c>
      <x:c r="F1493" s="13" t="n">
        <x:f>D1493-E1493</x:f>
        <x:v>1164.2900000000002</x:v>
      </x:c>
      <x:c r="G1493" s="3" t="n">
        <x:v>2631</x:v>
      </x:c>
      <x:c r="H1493" s="3" t="n">
        <x:v>2</x:v>
      </x:c>
      <x:c r="I1493" s="3" t="n">
        <x:v>120</x:v>
      </x:c>
      <x:c r="J1493" s="15" t="n">
        <x:f>IF(D1493=0,"n.a.",E1493/D1493)</x:f>
        <x:v>0.0007209495936075802</x:v>
      </x:c>
      <x:c r="K1493" s="15" t="n">
        <x:f>F1493/'Datos'!$F$7</x:f>
        <x:v>0.00011889355784089433</x:v>
      </x:c>
      <x:c r="L1493" s="3"/>
    </x:row>
    <x:row r="1494" ht="22" customHeight="1">
      <x:c r="A1494" s="3"/>
      <x:c r="B1494" s="3" t="str">
        <x:v>23269</x:v>
      </x:c>
      <x:c r="C1494" s="3" t="str">
        <x:v>SET OF 2 CERAMIC CHRISTMAS TREES</x:v>
      </x:c>
      <x:c r="D1494" s="13" t="n">
        <x:v>1163.13</x:v>
      </x:c>
      <x:c r="E1494" s="13" t="n">
        <x:v>0</x:v>
      </x:c>
      <x:c r="F1494" s="13" t="n">
        <x:f>D1494-E1494</x:f>
        <x:v>1163.13</x:v>
      </x:c>
      <x:c r="G1494" s="3" t="n">
        <x:v>786</x:v>
      </x:c>
      <x:c r="H1494" s="3" t="n">
        <x:v>0</x:v>
      </x:c>
      <x:c r="I1494" s="3" t="n">
        <x:v>94</x:v>
      </x:c>
      <x:c r="J1494" s="15" t="n">
        <x:f>IF(D1494=0,"n.a.",E1494/D1494)</x:f>
        <x:v>0</x:v>
      </x:c>
      <x:c r="K1494" s="15" t="n">
        <x:f>F1494/'Datos'!$F$7</x:f>
        <x:v>0.00011877510236408405</x:v>
      </x:c>
      <x:c r="L1494" s="3"/>
    </x:row>
    <x:row r="1495" ht="22" customHeight="1">
      <x:c r="A1495" s="3"/>
      <x:c r="B1495" s="3" t="str">
        <x:v>23431</x:v>
      </x:c>
      <x:c r="C1495" s="3" t="str">
        <x:v>NATURAL HANGING QUILTED HEARTS</x:v>
      </x:c>
      <x:c r="D1495" s="13" t="n">
        <x:v>1175.38</x:v>
      </x:c>
      <x:c r="E1495" s="13" t="n">
        <x:v>13.28</x:v>
      </x:c>
      <x:c r="F1495" s="13" t="n">
        <x:f>D1495-E1495</x:f>
        <x:v>1162.1000000000001</x:v>
      </x:c>
      <x:c r="G1495" s="3" t="n">
        <x:v>1454</x:v>
      </x:c>
      <x:c r="H1495" s="3" t="n">
        <x:v>16</x:v>
      </x:c>
      <x:c r="I1495" s="3" t="n">
        <x:v>72</x:v>
      </x:c>
      <x:c r="J1495" s="15" t="n">
        <x:f>IF(D1495=0,"n.a.",E1495/D1495)</x:f>
        <x:v>0.011298473685106091</x:v>
      </x:c>
      <x:c r="K1495" s="15" t="n">
        <x:f>F1495/'Datos'!$F$7</x:f>
        <x:v>0.00011866992207001976</x:v>
      </x:c>
      <x:c r="L1495" s="3"/>
    </x:row>
    <x:row r="1496" ht="22" customHeight="1">
      <x:c r="A1496" s="3"/>
      <x:c r="B1496" s="3" t="str">
        <x:v>22334</x:v>
      </x:c>
      <x:c r="C1496" s="3" t="str">
        <x:v>DINOSAUR PARTY BAG + STICKER SET</x:v>
      </x:c>
      <x:c r="D1496" s="13" t="n">
        <x:v>1160.71</x:v>
      </x:c>
      <x:c r="E1496" s="13" t="n">
        <x:v>0</x:v>
      </x:c>
      <x:c r="F1496" s="13" t="n">
        <x:f>D1496-E1496</x:f>
        <x:v>1160.71</x:v>
      </x:c>
      <x:c r="G1496" s="3" t="n">
        <x:v>707</x:v>
      </x:c>
      <x:c r="H1496" s="3" t="n">
        <x:v>0</x:v>
      </x:c>
      <x:c r="I1496" s="3" t="n">
        <x:v>101</x:v>
      </x:c>
      <x:c r="J1496" s="15" t="n">
        <x:f>IF(D1496=0,"n.a.",E1496/D1496)</x:f>
        <x:v>0</x:v>
      </x:c>
      <x:c r="K1496" s="15" t="n">
        <x:f>F1496/'Datos'!$F$7</x:f>
        <x:v>0.00011852797973142812</x:v>
      </x:c>
      <x:c r="L1496" s="3"/>
    </x:row>
    <x:row r="1497" ht="22" customHeight="1">
      <x:c r="A1497" s="3"/>
      <x:c r="B1497" s="3" t="str">
        <x:v>23507</x:v>
      </x:c>
      <x:c r="C1497" s="3" t="str">
        <x:v>MINI PLAYING CARDS BUFFALO BILL</x:v>
      </x:c>
      <x:c r="D1497" s="13" t="n">
        <x:v>1156.51</x:v>
      </x:c>
      <x:c r="E1497" s="13" t="n">
        <x:v>0</x:v>
      </x:c>
      <x:c r="F1497" s="13" t="n">
        <x:f>D1497-E1497</x:f>
        <x:v>1156.51</x:v>
      </x:c>
      <x:c r="G1497" s="3" t="n">
        <x:v>2884</x:v>
      </x:c>
      <x:c r="H1497" s="3" t="n">
        <x:v>0</x:v>
      </x:c>
      <x:c r="I1497" s="3" t="n">
        <x:v>119</x:v>
      </x:c>
      <x:c r="J1497" s="15" t="n">
        <x:f>IF(D1497=0,"n.a.",E1497/D1497)</x:f>
        <x:v>0</x:v>
      </x:c>
      <x:c r="K1497" s="15" t="n">
        <x:f>F1497/'Datos'!$F$7</x:f>
        <x:v>0.00011809908921194262</x:v>
      </x:c>
      <x:c r="L1497" s="3"/>
    </x:row>
    <x:row r="1498" ht="22" customHeight="1">
      <x:c r="A1498" s="3"/>
      <x:c r="B1498" s="3" t="str">
        <x:v>23566</x:v>
      </x:c>
      <x:c r="C1498" s="3" t="str">
        <x:v>EGG CUP MILKMAID HEIDI</x:v>
      </x:c>
      <x:c r="D1498" s="13" t="n">
        <x:v>1159.43</x:v>
      </x:c>
      <x:c r="E1498" s="13" t="n">
        <x:v>5</x:v>
      </x:c>
      <x:c r="F1498" s="13" t="n">
        <x:f>D1498-E1498</x:f>
        <x:v>1154.43</x:v>
      </x:c>
      <x:c r="G1498" s="3" t="n">
        <x:v>883</x:v>
      </x:c>
      <x:c r="H1498" s="3" t="n">
        <x:v>4</x:v>
      </x:c>
      <x:c r="I1498" s="3" t="n">
        <x:v>83</x:v>
      </x:c>
      <x:c r="J1498" s="15" t="n">
        <x:f>IF(D1498=0,"n.a.",E1498/D1498)</x:f>
        <x:v>0.004312463883114979</x:v>
      </x:c>
      <x:c r="K1498" s="15" t="n">
        <x:f>F1498/'Datos'!$F$7</x:f>
        <x:v>0.00011788668628800696</x:v>
      </x:c>
      <x:c r="L1498" s="3"/>
    </x:row>
    <x:row r="1499" ht="22" customHeight="1">
      <x:c r="A1499" s="3"/>
      <x:c r="B1499" s="3" t="str">
        <x:v>21773</x:v>
      </x:c>
      <x:c r="C1499" s="3" t="str">
        <x:v>DECORATIVE ROSE BATHROOM BOTTLE</x:v>
      </x:c>
      <x:c r="D1499" s="13" t="n">
        <x:v>1154.17</x:v>
      </x:c>
      <x:c r="E1499" s="13" t="n">
        <x:v>0</x:v>
      </x:c>
      <x:c r="F1499" s="13" t="n">
        <x:f>D1499-E1499</x:f>
        <x:v>1154.17</x:v>
      </x:c>
      <x:c r="G1499" s="3" t="n">
        <x:v>1170</x:v>
      </x:c>
      <x:c r="H1499" s="3" t="n">
        <x:v>0</x:v>
      </x:c>
      <x:c r="I1499" s="3" t="n">
        <x:v>163</x:v>
      </x:c>
      <x:c r="J1499" s="15" t="n">
        <x:f>IF(D1499=0,"n.a.",E1499/D1499)</x:f>
        <x:v>0</x:v>
      </x:c>
      <x:c r="K1499" s="15" t="n">
        <x:f>F1499/'Datos'!$F$7</x:f>
        <x:v>0.00011786013592251501</x:v>
      </x:c>
      <x:c r="L1499" s="3"/>
    </x:row>
    <x:row r="1500" ht="22" customHeight="1">
      <x:c r="A1500" s="3"/>
      <x:c r="B1500" s="3" t="str">
        <x:v>22442</x:v>
      </x:c>
      <x:c r="C1500" s="3" t="str">
        <x:v>GROW YOUR OWN FLOWERS SET OF 3</x:v>
      </x:c>
      <x:c r="D1500" s="13" t="n">
        <x:v>1241.3</x:v>
      </x:c>
      <x:c r="E1500" s="13" t="n">
        <x:v>87.45</x:v>
      </x:c>
      <x:c r="F1500" s="13" t="n">
        <x:f>D1500-E1500</x:f>
        <x:v>1153.85</x:v>
      </x:c>
      <x:c r="G1500" s="3" t="n">
        <x:v>296</x:v>
      </x:c>
      <x:c r="H1500" s="3" t="n">
        <x:v>11</x:v>
      </x:c>
      <x:c r="I1500" s="3" t="n">
        <x:v>78</x:v>
      </x:c>
      <x:c r="J1500" s="15" t="n">
        <x:f>IF(D1500=0,"n.a.",E1500/D1500)</x:f>
        <x:v>0.07045033432691533</x:v>
      </x:c>
      <x:c r="K1500" s="15" t="n">
        <x:f>F1500/'Datos'!$F$7</x:f>
        <x:v>0.00011782745854960181</x:v>
      </x:c>
      <x:c r="L1500" s="3"/>
    </x:row>
    <x:row r="1501" ht="22" customHeight="1">
      <x:c r="A1501" s="3"/>
      <x:c r="B1501" s="3" t="str">
        <x:v>23523</x:v>
      </x:c>
      <x:c r="C1501" s="3" t="str">
        <x:v>WALL ART TREASURE AHOY</x:v>
      </x:c>
      <x:c r="D1501" s="13" t="n">
        <x:v>1173.81</x:v>
      </x:c>
      <x:c r="E1501" s="13" t="n">
        <x:v>22.5</x:v>
      </x:c>
      <x:c r="F1501" s="13" t="n">
        <x:f>D1501-E1501</x:f>
        <x:v>1151.31</x:v>
      </x:c>
      <x:c r="G1501" s="3" t="n">
        <x:v>360</x:v>
      </x:c>
      <x:c r="H1501" s="3" t="n">
        <x:v>6</x:v>
      </x:c>
      <x:c r="I1501" s="3" t="n">
        <x:v>41</x:v>
      </x:c>
      <x:c r="J1501" s="15" t="n">
        <x:f>IF(D1501=0,"n.a.",E1501/D1501)</x:f>
        <x:v>0.019168349221765024</x:v>
      </x:c>
      <x:c r="K1501" s="15" t="n">
        <x:f>F1501/'Datos'!$F$7</x:f>
        <x:v>0.00011756808190210345</x:v>
      </x:c>
      <x:c r="L1501" s="3"/>
    </x:row>
    <x:row r="1502" ht="22" customHeight="1">
      <x:c r="A1502" s="3"/>
      <x:c r="B1502" s="3" t="str">
        <x:v>21774</x:v>
      </x:c>
      <x:c r="C1502" s="3" t="str">
        <x:v>DECORATIVE CATS BATHROOM BOTTLE</x:v>
      </x:c>
      <x:c r="D1502" s="13" t="n">
        <x:v>1152.4</x:v>
      </x:c>
      <x:c r="E1502" s="13" t="n">
        <x:v>1.25</x:v>
      </x:c>
      <x:c r="F1502" s="13" t="n">
        <x:f>D1502-E1502</x:f>
        <x:v>1151.15</x:v>
      </x:c>
      <x:c r="G1502" s="3" t="n">
        <x:v>1095</x:v>
      </x:c>
      <x:c r="H1502" s="3" t="n">
        <x:v>1</x:v>
      </x:c>
      <x:c r="I1502" s="3" t="n">
        <x:v>186</x:v>
      </x:c>
      <x:c r="J1502" s="15" t="n">
        <x:f>IF(D1502=0,"n.a.",E1502/D1502)</x:f>
        <x:v>0.0010846928149947934</x:v>
      </x:c>
      <x:c r="K1502" s="15" t="n">
        <x:f>F1502/'Datos'!$F$7</x:f>
        <x:v>0.00011755174321564688</x:v>
      </x:c>
      <x:c r="L1502" s="3"/>
    </x:row>
    <x:row r="1503" ht="22" customHeight="1">
      <x:c r="A1503" s="3"/>
      <x:c r="B1503" s="3" t="str">
        <x:v>23402</x:v>
      </x:c>
      <x:c r="C1503" s="3" t="str">
        <x:v>HOME SWEET HOME 3 PEG HANGER</x:v>
      </x:c>
      <x:c r="D1503" s="13" t="n">
        <x:v>1151.03</x:v>
      </x:c>
      <x:c r="E1503" s="13" t="n">
        <x:v>0</x:v>
      </x:c>
      <x:c r="F1503" s="13" t="n">
        <x:f>D1503-E1503</x:f>
        <x:v>1151.03</x:v>
      </x:c>
      <x:c r="G1503" s="3" t="n">
        <x:v>297</x:v>
      </x:c>
      <x:c r="H1503" s="3" t="n">
        <x:v>0</x:v>
      </x:c>
      <x:c r="I1503" s="3" t="n">
        <x:v>68</x:v>
      </x:c>
      <x:c r="J1503" s="15" t="n">
        <x:f>IF(D1503=0,"n.a.",E1503/D1503)</x:f>
        <x:v>0</x:v>
      </x:c>
      <x:c r="K1503" s="15" t="n">
        <x:f>F1503/'Datos'!$F$7</x:f>
        <x:v>0.00011753948920080442</x:v>
      </x:c>
      <x:c r="L1503" s="3"/>
    </x:row>
    <x:row r="1504" ht="22" customHeight="1">
      <x:c r="A1504" s="3"/>
      <x:c r="B1504" s="3" t="str">
        <x:v>22708</x:v>
      </x:c>
      <x:c r="C1504" s="3" t="str">
        <x:v>WRAP DOLLY GIRL</x:v>
      </x:c>
      <x:c r="D1504" s="13" t="n">
        <x:v>1160</x:v>
      </x:c>
      <x:c r="E1504" s="13" t="n">
        <x:v>10.5</x:v>
      </x:c>
      <x:c r="F1504" s="13" t="n">
        <x:f>D1504-E1504</x:f>
        <x:v>1149.5</x:v>
      </x:c>
      <x:c r="G1504" s="3" t="n">
        <x:v>2800</x:v>
      </x:c>
      <x:c r="H1504" s="3" t="n">
        <x:v>25</x:v>
      </x:c>
      <x:c r="I1504" s="3" t="n">
        <x:v>100</x:v>
      </x:c>
      <x:c r="J1504" s="15" t="n">
        <x:f>IF(D1504=0,"n.a.",E1504/D1504)</x:f>
        <x:v>0.009051724137931035</x:v>
      </x:c>
      <x:c r="K1504" s="15" t="n">
        <x:f>F1504/'Datos'!$F$7</x:f>
        <x:v>0.00011738325051156329</x:v>
      </x:c>
      <x:c r="L1504" s="3"/>
    </x:row>
    <x:row r="1505" ht="22" customHeight="1">
      <x:c r="A1505" s="3"/>
      <x:c r="B1505" s="3" t="str">
        <x:v>21846</x:v>
      </x:c>
      <x:c r="C1505" s="3" t="str">
        <x:v>PINK DIAMANTE PEN IN GIFT BOX</x:v>
      </x:c>
      <x:c r="D1505" s="13" t="n">
        <x:v>1206.97</x:v>
      </x:c>
      <x:c r="E1505" s="13" t="n">
        <x:v>59.4</x:v>
      </x:c>
      <x:c r="F1505" s="13" t="n">
        <x:f>D1505-E1505</x:f>
        <x:v>1147.57</x:v>
      </x:c>
      <x:c r="G1505" s="3" t="n">
        <x:v>424</x:v>
      </x:c>
      <x:c r="H1505" s="3" t="n">
        <x:v>12</x:v>
      </x:c>
      <x:c r="I1505" s="3" t="n">
        <x:v>103</x:v>
      </x:c>
      <x:c r="J1505" s="15" t="n">
        <x:f>IF(D1505=0,"n.a.",E1505/D1505)</x:f>
        <x:v>0.04921414782471809</x:v>
      </x:c>
      <x:c r="K1505" s="15" t="n">
        <x:f>F1505/'Datos'!$F$7</x:f>
        <x:v>0.00011718616510618067</x:v>
      </x:c>
      <x:c r="L1505" s="3"/>
    </x:row>
    <x:row r="1506" ht="22" customHeight="1">
      <x:c r="A1506" s="3"/>
      <x:c r="B1506" s="3" t="str">
        <x:v>85106</x:v>
      </x:c>
      <x:c r="C1506" s="3" t="str">
        <x:v>CUT GLASS HEXAGON T-LIGHT HOLDER</x:v>
      </x:c>
      <x:c r="D1506" s="13" t="n">
        <x:v>1147.41</x:v>
      </x:c>
      <x:c r="E1506" s="13" t="n">
        <x:v>0</x:v>
      </x:c>
      <x:c r="F1506" s="13" t="n">
        <x:f>D1506-E1506</x:f>
        <x:v>1147.41</x:v>
      </x:c>
      <x:c r="G1506" s="3" t="n">
        <x:v>651</x:v>
      </x:c>
      <x:c r="H1506" s="3" t="n">
        <x:v>0</x:v>
      </x:c>
      <x:c r="I1506" s="3" t="n">
        <x:v>20</x:v>
      </x:c>
      <x:c r="J1506" s="15" t="n">
        <x:f>IF(D1506=0,"n.a.",E1506/D1506)</x:f>
        <x:v>0</x:v>
      </x:c>
      <x:c r="K1506" s="15" t="n">
        <x:f>F1506/'Datos'!$F$7</x:f>
        <x:v>0.00011716982641972409</x:v>
      </x:c>
      <x:c r="L1506" s="3"/>
    </x:row>
    <x:row r="1507" ht="22" customHeight="1">
      <x:c r="A1507" s="3"/>
      <x:c r="B1507" s="3" t="str">
        <x:v>23057</x:v>
      </x:c>
      <x:c r="C1507" s="3" t="str">
        <x:v>BEADED CHANDELIER T-LIGHT HOLDER</x:v>
      </x:c>
      <x:c r="D1507" s="13" t="n">
        <x:v>1783.52</x:v>
      </x:c>
      <x:c r="E1507" s="13" t="n">
        <x:v>636.15</x:v>
      </x:c>
      <x:c r="F1507" s="13" t="n">
        <x:f>D1507-E1507</x:f>
        <x:v>1147.37</x:v>
      </x:c>
      <x:c r="G1507" s="3" t="n">
        <x:v>776</x:v>
      </x:c>
      <x:c r="H1507" s="3" t="n">
        <x:v>433</x:v>
      </x:c>
      <x:c r="I1507" s="3" t="n">
        <x:v>45</x:v>
      </x:c>
      <x:c r="J1507" s="15" t="n">
        <x:f>IF(D1507=0,"n.a.",E1507/D1507)</x:f>
        <x:v>0.35668229119942585</x:v>
      </x:c>
      <x:c r="K1507" s="15" t="n">
        <x:f>F1507/'Datos'!$F$7</x:f>
        <x:v>0.00011716574174810992</x:v>
      </x:c>
      <x:c r="L1507" s="3"/>
    </x:row>
    <x:row r="1508" ht="22" customHeight="1">
      <x:c r="A1508" s="3"/>
      <x:c r="B1508" s="3" t="str">
        <x:v>21628</x:v>
      </x:c>
      <x:c r="C1508" s="3" t="str">
        <x:v>TRIANGULAR POUFFE VINTAGE</x:v>
      </x:c>
      <x:c r="D1508" s="13" t="n">
        <x:v>1176.6</x:v>
      </x:c>
      <x:c r="E1508" s="13" t="n">
        <x:v>29.9</x:v>
      </x:c>
      <x:c r="F1508" s="13" t="n">
        <x:f>D1508-E1508</x:f>
        <x:v>1146.6999999999998</x:v>
      </x:c>
      <x:c r="G1508" s="3" t="n">
        <x:v>64</x:v>
      </x:c>
      <x:c r="H1508" s="3" t="n">
        <x:v>2</x:v>
      </x:c>
      <x:c r="I1508" s="3" t="n">
        <x:v>33</x:v>
      </x:c>
      <x:c r="J1508" s="15" t="n">
        <x:f>IF(D1508=0,"n.a.",E1508/D1508)</x:f>
        <x:v>0.025412204657487676</x:v>
      </x:c>
      <x:c r="K1508" s="15" t="n">
        <x:f>F1508/'Datos'!$F$7</x:f>
        <x:v>0.00011709732349857295</x:v>
      </x:c>
      <x:c r="L1508" s="3"/>
    </x:row>
    <x:row r="1509" ht="22" customHeight="1">
      <x:c r="A1509" s="3"/>
      <x:c r="B1509" s="3" t="str">
        <x:v>22497</x:v>
      </x:c>
      <x:c r="C1509" s="3" t="str">
        <x:v>SET OF 2 TINS VINTAGE BATHROOM</x:v>
      </x:c>
      <x:c r="D1509" s="13" t="n">
        <x:v>1145.15</x:v>
      </x:c>
      <x:c r="E1509" s="13" t="n">
        <x:v>0</x:v>
      </x:c>
      <x:c r="F1509" s="13" t="n">
        <x:f>D1509-E1509</x:f>
        <x:v>1145.15</x:v>
      </x:c>
      <x:c r="G1509" s="3" t="n">
        <x:v>225</x:v>
      </x:c>
      <x:c r="H1509" s="3" t="n">
        <x:v>0</x:v>
      </x:c>
      <x:c r="I1509" s="3" t="n">
        <x:v>100</x:v>
      </x:c>
      <x:c r="J1509" s="15" t="n">
        <x:f>IF(D1509=0,"n.a.",E1509/D1509)</x:f>
        <x:v>0</x:v>
      </x:c>
      <x:c r="K1509" s="15" t="n">
        <x:f>F1509/'Datos'!$F$7</x:f>
        <x:v>0.00011693904247352475</x:v>
      </x:c>
      <x:c r="L1509" s="3"/>
    </x:row>
    <x:row r="1510" ht="22" customHeight="1">
      <x:c r="A1510" s="3"/>
      <x:c r="B1510" s="3" t="str">
        <x:v>85039A</x:v>
      </x:c>
      <x:c r="C1510" s="3" t="str">
        <x:v>SET/4 RED MINI ROSE CANDLE IN BOWL</x:v>
      </x:c>
      <x:c r="D1510" s="13" t="n">
        <x:v>1145.73</x:v>
      </x:c>
      <x:c r="E1510" s="13" t="n">
        <x:v>1.65</x:v>
      </x:c>
      <x:c r="F1510" s="13" t="n">
        <x:f>D1510-E1510</x:f>
        <x:v>1144.08</x:v>
      </x:c>
      <x:c r="G1510" s="3" t="n">
        <x:v>746</x:v>
      </x:c>
      <x:c r="H1510" s="3" t="n">
        <x:v>1</x:v>
      </x:c>
      <x:c r="I1510" s="3" t="n">
        <x:v>191</x:v>
      </x:c>
      <x:c r="J1510" s="15" t="n">
        <x:f>IF(D1510=0,"n.a.",E1510/D1510)</x:f>
        <x:v>0.0014401298735304128</x:v>
      </x:c>
      <x:c r="K1510" s="15" t="n">
        <x:f>F1510/'Datos'!$F$7</x:f>
        <x:v>0.00011682977750784629</x:v>
      </x:c>
      <x:c r="L1510" s="3"/>
    </x:row>
    <x:row r="1511" ht="22" customHeight="1">
      <x:c r="A1511" s="3"/>
      <x:c r="B1511" s="3" t="str">
        <x:v>21043</x:v>
      </x:c>
      <x:c r="C1511" s="3" t="str">
        <x:v>APRON MODERN VINTAGE COTTON</x:v>
      </x:c>
      <x:c r="D1511" s="13" t="n">
        <x:v>1143.76</x:v>
      </x:c>
      <x:c r="E1511" s="13" t="n">
        <x:v>0</x:v>
      </x:c>
      <x:c r="F1511" s="13" t="n">
        <x:f>D1511-E1511</x:f>
        <x:v>1143.76</x:v>
      </x:c>
      <x:c r="G1511" s="3" t="n">
        <x:v>494</x:v>
      </x:c>
      <x:c r="H1511" s="3" t="n">
        <x:v>0</x:v>
      </x:c>
      <x:c r="I1511" s="3" t="n">
        <x:v>90</x:v>
      </x:c>
      <x:c r="J1511" s="15" t="n">
        <x:f>IF(D1511=0,"n.a.",E1511/D1511)</x:f>
        <x:v>0</x:v>
      </x:c>
      <x:c r="K1511" s="15" t="n">
        <x:f>F1511/'Datos'!$F$7</x:f>
        <x:v>0.00011679710013493311</x:v>
      </x:c>
      <x:c r="L1511" s="3"/>
    </x:row>
    <x:row r="1512" ht="22" customHeight="1">
      <x:c r="A1512" s="3"/>
      <x:c r="B1512" s="3" t="str">
        <x:v>21693</x:v>
      </x:c>
      <x:c r="C1512" s="3" t="str">
        <x:v>SMALL HAMMERED SILVER CANDLEPOT</x:v>
      </x:c>
      <x:c r="D1512" s="13" t="n">
        <x:v>1143.31</x:v>
      </x:c>
      <x:c r="E1512" s="13" t="n">
        <x:v>0</x:v>
      </x:c>
      <x:c r="F1512" s="13" t="n">
        <x:f>D1512-E1512</x:f>
        <x:v>1143.31</x:v>
      </x:c>
      <x:c r="G1512" s="3" t="n">
        <x:v>373</x:v>
      </x:c>
      <x:c r="H1512" s="3" t="n">
        <x:v>0</x:v>
      </x:c>
      <x:c r="I1512" s="3" t="n">
        <x:v>50</x:v>
      </x:c>
      <x:c r="J1512" s="15" t="n">
        <x:f>IF(D1512=0,"n.a.",E1512/D1512)</x:f>
        <x:v>0</x:v>
      </x:c>
      <x:c r="K1512" s="15" t="n">
        <x:f>F1512/'Datos'!$F$7</x:f>
        <x:v>0.00011675114757927395</x:v>
      </x:c>
      <x:c r="L1512" s="3"/>
    </x:row>
    <x:row r="1513" ht="22" customHeight="1">
      <x:c r="A1513" s="3"/>
      <x:c r="B1513" s="3" t="str">
        <x:v>20956</x:v>
      </x:c>
      <x:c r="C1513" s="3" t="str">
        <x:v>PORCELAIN T-LIGHT HOLDERS ASSORTED</x:v>
      </x:c>
      <x:c r="D1513" s="13" t="n">
        <x:v>1149.02</x:v>
      </x:c>
      <x:c r="E1513" s="13" t="n">
        <x:v>6.25</x:v>
      </x:c>
      <x:c r="F1513" s="13" t="n">
        <x:f>D1513-E1513</x:f>
        <x:v>1142.77</x:v>
      </x:c>
      <x:c r="G1513" s="3" t="n">
        <x:v>824</x:v>
      </x:c>
      <x:c r="H1513" s="3" t="n">
        <x:v>5</x:v>
      </x:c>
      <x:c r="I1513" s="3" t="n">
        <x:v>101</x:v>
      </x:c>
      <x:c r="J1513" s="15" t="n">
        <x:f>IF(D1513=0,"n.a.",E1513/D1513)</x:f>
        <x:v>0.005439417938765209</x:v>
      </x:c>
      <x:c r="K1513" s="15" t="n">
        <x:f>F1513/'Datos'!$F$7</x:f>
        <x:v>0.00011669600451248297</x:v>
      </x:c>
      <x:c r="L1513" s="3"/>
    </x:row>
    <x:row r="1514" ht="22" customHeight="1">
      <x:c r="A1514" s="3"/>
      <x:c r="B1514" s="3" t="str">
        <x:v>21947</x:v>
      </x:c>
      <x:c r="C1514" s="3" t="str">
        <x:v>SET OF 6 HEART CHOPSTICKS</x:v>
      </x:c>
      <x:c r="D1514" s="13" t="n">
        <x:v>1142.15</x:v>
      </x:c>
      <x:c r="E1514" s="13" t="n">
        <x:v>0</x:v>
      </x:c>
      <x:c r="F1514" s="13" t="n">
        <x:f>D1514-E1514</x:f>
        <x:v>1142.15</x:v>
      </x:c>
      <x:c r="G1514" s="3" t="n">
        <x:v>813</x:v>
      </x:c>
      <x:c r="H1514" s="3" t="n">
        <x:v>0</x:v>
      </x:c>
      <x:c r="I1514" s="3" t="n">
        <x:v>152</x:v>
      </x:c>
      <x:c r="J1514" s="15" t="n">
        <x:f>IF(D1514=0,"n.a.",E1514/D1514)</x:f>
        <x:v>0</x:v>
      </x:c>
      <x:c r="K1514" s="15" t="n">
        <x:f>F1514/'Datos'!$F$7</x:f>
        <x:v>0.0001166326921024637</x:v>
      </x:c>
      <x:c r="L1514" s="3"/>
    </x:row>
    <x:row r="1515" ht="22" customHeight="1">
      <x:c r="A1515" s="3"/>
      <x:c r="B1515" s="3" t="str">
        <x:v>22376</x:v>
      </x:c>
      <x:c r="C1515" s="3" t="str">
        <x:v>AIRLINE BAG VINTAGE JET SET WHITE</x:v>
      </x:c>
      <x:c r="D1515" s="13" t="n">
        <x:v>1141.7</x:v>
      </x:c>
      <x:c r="E1515" s="13" t="n">
        <x:v>0</x:v>
      </x:c>
      <x:c r="F1515" s="13" t="n">
        <x:f>D1515-E1515</x:f>
        <x:v>1141.7</x:v>
      </x:c>
      <x:c r="G1515" s="3" t="n">
        <x:v>254</x:v>
      </x:c>
      <x:c r="H1515" s="3" t="n">
        <x:v>0</x:v>
      </x:c>
      <x:c r="I1515" s="3" t="n">
        <x:v>122</x:v>
      </x:c>
      <x:c r="J1515" s="15" t="n">
        <x:f>IF(D1515=0,"n.a.",E1515/D1515)</x:f>
        <x:v>0</x:v>
      </x:c>
      <x:c r="K1515" s="15" t="n">
        <x:f>F1515/'Datos'!$F$7</x:f>
        <x:v>0.00011658673954680453</x:v>
      </x:c>
      <x:c r="L1515" s="3"/>
    </x:row>
    <x:row r="1516" ht="22" customHeight="1">
      <x:c r="A1516" s="3"/>
      <x:c r="B1516" s="3" t="str">
        <x:v>23506</x:v>
      </x:c>
      <x:c r="C1516" s="3" t="str">
        <x:v>MINI PLAYING CARDS SPACEBOY</x:v>
      </x:c>
      <x:c r="D1516" s="13" t="n">
        <x:v>1139.2</x:v>
      </x:c>
      <x:c r="E1516" s="13" t="n">
        <x:v>0</x:v>
      </x:c>
      <x:c r="F1516" s="13" t="n">
        <x:f>D1516-E1516</x:f>
        <x:v>1139.2</x:v>
      </x:c>
      <x:c r="G1516" s="3" t="n">
        <x:v>2747</x:v>
      </x:c>
      <x:c r="H1516" s="3" t="n">
        <x:v>0</x:v>
      </x:c>
      <x:c r="I1516" s="3" t="n">
        <x:v>146</x:v>
      </x:c>
      <x:c r="J1516" s="15" t="n">
        <x:f>IF(D1516=0,"n.a.",E1516/D1516)</x:f>
        <x:v>0</x:v>
      </x:c>
      <x:c r="K1516" s="15" t="n">
        <x:f>F1516/'Datos'!$F$7</x:f>
        <x:v>0.00011633144757092032</x:v>
      </x:c>
      <x:c r="L1516" s="3"/>
    </x:row>
    <x:row r="1517" ht="22" customHeight="1">
      <x:c r="A1517" s="3"/>
      <x:c r="B1517" s="3" t="str">
        <x:v>22678</x:v>
      </x:c>
      <x:c r="C1517" s="3" t="str">
        <x:v>FRENCH BLUE METAL DOOR SIGN 3</x:v>
      </x:c>
      <x:c r="D1517" s="13" t="n">
        <x:v>1152.81</x:v>
      </x:c>
      <x:c r="E1517" s="13" t="n">
        <x:v>13.75</x:v>
      </x:c>
      <x:c r="F1517" s="13" t="n">
        <x:f>D1517-E1517</x:f>
        <x:v>1139.06</x:v>
      </x:c>
      <x:c r="G1517" s="3" t="n">
        <x:v>844</x:v>
      </x:c>
      <x:c r="H1517" s="3" t="n">
        <x:v>11</x:v>
      </x:c>
      <x:c r="I1517" s="3" t="n">
        <x:v>160</x:v>
      </x:c>
      <x:c r="J1517" s="15" t="n">
        <x:f>IF(D1517=0,"n.a.",E1517/D1517)</x:f>
        <x:v>0.01192737745161822</x:v>
      </x:c>
      <x:c r="K1517" s="15" t="n">
        <x:f>F1517/'Datos'!$F$7</x:f>
        <x:v>0.00011631715122027078</x:v>
      </x:c>
      <x:c r="L1517" s="3"/>
    </x:row>
    <x:row r="1518" ht="22" customHeight="1">
      <x:c r="A1518" s="3"/>
      <x:c r="B1518" s="3" t="str">
        <x:v>21395</x:v>
      </x:c>
      <x:c r="C1518" s="3" t="str">
        <x:v>BLUE POLKADOT BEAKER</x:v>
      </x:c>
      <x:c r="D1518" s="13" t="n">
        <x:v>1141.4</x:v>
      </x:c>
      <x:c r="E1518" s="13" t="n">
        <x:v>3.9</x:v>
      </x:c>
      <x:c r="F1518" s="13" t="n">
        <x:f>D1518-E1518</x:f>
        <x:v>1137.5</x:v>
      </x:c>
      <x:c r="G1518" s="3" t="n">
        <x:v>2844</x:v>
      </x:c>
      <x:c r="H1518" s="3" t="n">
        <x:v>10</x:v>
      </x:c>
      <x:c r="I1518" s="3" t="n">
        <x:v>90</x:v>
      </x:c>
      <x:c r="J1518" s="15" t="n">
        <x:f>IF(D1518=0,"n.a.",E1518/D1518)</x:f>
        <x:v>0.0034168564920273345</x:v>
      </x:c>
      <x:c r="K1518" s="15" t="n">
        <x:f>F1518/'Datos'!$F$7</x:f>
        <x:v>0.00011615784902731904</x:v>
      </x:c>
      <x:c r="L1518" s="3"/>
    </x:row>
    <x:row r="1519" ht="22" customHeight="1">
      <x:c r="A1519" s="3"/>
      <x:c r="B1519" s="3" t="str">
        <x:v>22581</x:v>
      </x:c>
      <x:c r="C1519" s="3" t="str">
        <x:v>WOOD STOCKING CHRISTMAS SCANDISPOT</x:v>
      </x:c>
      <x:c r="D1519" s="13" t="n">
        <x:v>1138.98</x:v>
      </x:c>
      <x:c r="E1519" s="13" t="n">
        <x:v>1.7</x:v>
      </x:c>
      <x:c r="F1519" s="13" t="n">
        <x:f>D1519-E1519</x:f>
        <x:v>1137.28</x:v>
      </x:c>
      <x:c r="G1519" s="3" t="n">
        <x:v>1571</x:v>
      </x:c>
      <x:c r="H1519" s="3" t="n">
        <x:v>2</x:v>
      </x:c>
      <x:c r="I1519" s="3" t="n">
        <x:v>177</x:v>
      </x:c>
      <x:c r="J1519" s="15" t="n">
        <x:f>IF(D1519=0,"n.a.",E1519/D1519)</x:f>
        <x:v>0.0014925635217475283</x:v>
      </x:c>
      <x:c r="K1519" s="15" t="n">
        <x:f>F1519/'Datos'!$F$7</x:f>
        <x:v>0.00011613538333344123</x:v>
      </x:c>
      <x:c r="L1519" s="3"/>
    </x:row>
    <x:row r="1520" ht="22" customHeight="1">
      <x:c r="A1520" s="3"/>
      <x:c r="B1520" s="3" t="str">
        <x:v>84912B</x:v>
      </x:c>
      <x:c r="C1520" s="3" t="str">
        <x:v>GREEN ROSE WASHBAG</x:v>
      </x:c>
      <x:c r="D1520" s="13" t="n">
        <x:v>1136.6</x:v>
      </x:c>
      <x:c r="E1520" s="13" t="n">
        <x:v>0</x:v>
      </x:c>
      <x:c r="F1520" s="13" t="n">
        <x:f>D1520-E1520</x:f>
        <x:v>1136.6</x:v>
      </x:c>
      <x:c r="G1520" s="3" t="n">
        <x:v>324</x:v>
      </x:c>
      <x:c r="H1520" s="3" t="n">
        <x:v>0</x:v>
      </x:c>
      <x:c r="I1520" s="3" t="n">
        <x:v>160</x:v>
      </x:c>
      <x:c r="J1520" s="15" t="n">
        <x:f>IF(D1520=0,"n.a.",E1520/D1520)</x:f>
        <x:v>0</x:v>
      </x:c>
      <x:c r="K1520" s="15" t="n">
        <x:f>F1520/'Datos'!$F$7</x:f>
        <x:v>0.00011606594391600071</x:v>
      </x:c>
      <x:c r="L1520" s="3"/>
    </x:row>
    <x:row r="1521" ht="22" customHeight="1">
      <x:c r="A1521" s="3"/>
      <x:c r="B1521" s="3" t="str">
        <x:v>22446</x:v>
      </x:c>
      <x:c r="C1521" s="3" t="str">
        <x:v>PIN CUSHION BABUSHKA PINK</x:v>
      </x:c>
      <x:c r="D1521" s="13" t="n">
        <x:v>1135.18</x:v>
      </x:c>
      <x:c r="E1521" s="13" t="n">
        <x:v>0</x:v>
      </x:c>
      <x:c r="F1521" s="13" t="n">
        <x:f>D1521-E1521</x:f>
        <x:v>1135.18</x:v>
      </x:c>
      <x:c r="G1521" s="3" t="n">
        <x:v>439</x:v>
      </x:c>
      <x:c r="H1521" s="3" t="n">
        <x:v>0</x:v>
      </x:c>
      <x:c r="I1521" s="3" t="n">
        <x:v>133</x:v>
      </x:c>
      <x:c r="J1521" s="15" t="n">
        <x:f>IF(D1521=0,"n.a.",E1521/D1521)</x:f>
        <x:v>0</x:v>
      </x:c>
      <x:c r="K1521" s="15" t="n">
        <x:f>F1521/'Datos'!$F$7</x:f>
        <x:v>0.00011592093807369849</x:v>
      </x:c>
      <x:c r="L1521" s="3"/>
    </x:row>
    <x:row r="1522" ht="22" customHeight="1">
      <x:c r="A1522" s="3"/>
      <x:c r="B1522" s="3" t="str">
        <x:v>20801</x:v>
      </x:c>
      <x:c r="C1522" s="3" t="str">
        <x:v>LARGE PINK GLASS SUNDAE DISH</x:v>
      </x:c>
      <x:c r="D1522" s="13" t="n">
        <x:v>1157.8</x:v>
      </x:c>
      <x:c r="E1522" s="13" t="n">
        <x:v>24</x:v>
      </x:c>
      <x:c r="F1522" s="13" t="n">
        <x:f>D1522-E1522</x:f>
        <x:v>1133.8</x:v>
      </x:c>
      <x:c r="G1522" s="3" t="n">
        <x:v>1013</x:v>
      </x:c>
      <x:c r="H1522" s="3" t="n">
        <x:v>32</x:v>
      </x:c>
      <x:c r="I1522" s="3" t="n">
        <x:v>81</x:v>
      </x:c>
      <x:c r="J1522" s="15" t="n">
        <x:f>IF(D1522=0,"n.a.",E1522/D1522)</x:f>
        <x:v>0.020728968733805492</x:v>
      </x:c>
      <x:c r="K1522" s="15" t="n">
        <x:f>F1522/'Datos'!$F$7</x:f>
        <x:v>0.0001157800169030104</x:v>
      </x:c>
      <x:c r="L1522" s="3"/>
    </x:row>
    <x:row r="1523" ht="22" customHeight="1">
      <x:c r="A1523" s="3"/>
      <x:c r="B1523" s="3" t="str">
        <x:v>22539</x:v>
      </x:c>
      <x:c r="C1523" s="3" t="str">
        <x:v>MINI JIGSAW DOLLY GIRL</x:v>
      </x:c>
      <x:c r="D1523" s="13" t="n">
        <x:v>1130.58</x:v>
      </x:c>
      <x:c r="E1523" s="13" t="n">
        <x:v>0</x:v>
      </x:c>
      <x:c r="F1523" s="13" t="n">
        <x:f>D1523-E1523</x:f>
        <x:v>1130.58</x:v>
      </x:c>
      <x:c r="G1523" s="3" t="n">
        <x:v>2921</x:v>
      </x:c>
      <x:c r="H1523" s="3" t="n">
        <x:v>0</x:v>
      </x:c>
      <x:c r="I1523" s="3" t="n">
        <x:v>136</x:v>
      </x:c>
      <x:c r="J1523" s="15" t="n">
        <x:f>IF(D1523=0,"n.a.",E1523/D1523)</x:f>
        <x:v>0</x:v>
      </x:c>
      <x:c r="K1523" s="15" t="n">
        <x:f>F1523/'Datos'!$F$7</x:f>
        <x:v>0.00011545120083807152</x:v>
      </x:c>
      <x:c r="L1523" s="3"/>
    </x:row>
    <x:row r="1524" ht="22" customHeight="1">
      <x:c r="A1524" s="3"/>
      <x:c r="B1524" s="3" t="str">
        <x:v>47585A</x:v>
      </x:c>
      <x:c r="C1524" s="3" t="str">
        <x:v>PINK FAIRY CAKE CUSHION COVER</x:v>
      </x:c>
      <x:c r="D1524" s="13" t="n">
        <x:v>1129.44</x:v>
      </x:c>
      <x:c r="E1524" s="13" t="n">
        <x:v>0</x:v>
      </x:c>
      <x:c r="F1524" s="13" t="n">
        <x:f>D1524-E1524</x:f>
        <x:v>1129.44</x:v>
      </x:c>
      <x:c r="G1524" s="3" t="n">
        <x:v>264</x:v>
      </x:c>
      <x:c r="H1524" s="3" t="n">
        <x:v>0</x:v>
      </x:c>
      <x:c r="I1524" s="3" t="n">
        <x:v>83</x:v>
      </x:c>
      <x:c r="J1524" s="15" t="n">
        <x:f>IF(D1524=0,"n.a.",E1524/D1524)</x:f>
        <x:v>0</x:v>
      </x:c>
      <x:c r="K1524" s="15" t="n">
        <x:f>F1524/'Datos'!$F$7</x:f>
        <x:v>0.00011533478769706833</x:v>
      </x:c>
      <x:c r="L1524" s="3"/>
    </x:row>
    <x:row r="1525" ht="22" customHeight="1">
      <x:c r="A1525" s="3"/>
      <x:c r="B1525" s="3" t="str">
        <x:v>85087</x:v>
      </x:c>
      <x:c r="C1525" s="3" t="str">
        <x:v>CANDY SPOT CUSHION COVER</x:v>
      </x:c>
      <x:c r="D1525" s="13" t="n">
        <x:v>1129.99</x:v>
      </x:c>
      <x:c r="E1525" s="13" t="n">
        <x:v>2.95</x:v>
      </x:c>
      <x:c r="F1525" s="13" t="n">
        <x:f>D1525-E1525</x:f>
        <x:v>1127.04</x:v>
      </x:c>
      <x:c r="G1525" s="3" t="n">
        <x:v>339</x:v>
      </x:c>
      <x:c r="H1525" s="3" t="n">
        <x:v>1</x:v>
      </x:c>
      <x:c r="I1525" s="3" t="n">
        <x:v>125</x:v>
      </x:c>
      <x:c r="J1525" s="15" t="n">
        <x:f>IF(D1525=0,"n.a.",E1525/D1525)</x:f>
        <x:v>0.0026106425720581598</x:v>
      </x:c>
      <x:c r="K1525" s="15" t="n">
        <x:f>F1525/'Datos'!$F$7</x:f>
        <x:v>0.00011508970740021947</x:v>
      </x:c>
      <x:c r="L1525" s="3"/>
    </x:row>
    <x:row r="1526" ht="22" customHeight="1">
      <x:c r="A1526" s="3"/>
      <x:c r="B1526" s="3" t="str">
        <x:v>22815</x:v>
      </x:c>
      <x:c r="C1526" s="3" t="str">
        <x:v>CARD PSYCHEDELIC APPLES</x:v>
      </x:c>
      <x:c r="D1526" s="13" t="n">
        <x:v>1123.88</x:v>
      </x:c>
      <x:c r="E1526" s="13" t="n">
        <x:v>0</x:v>
      </x:c>
      <x:c r="F1526" s="13" t="n">
        <x:f>D1526-E1526</x:f>
        <x:v>1123.88</x:v>
      </x:c>
      <x:c r="G1526" s="3" t="n">
        <x:v>2640</x:v>
      </x:c>
      <x:c r="H1526" s="3" t="n">
        <x:v>0</x:v>
      </x:c>
      <x:c r="I1526" s="3" t="n">
        <x:v>268</x:v>
      </x:c>
      <x:c r="J1526" s="15" t="n">
        <x:f>IF(D1526=0,"n.a.",E1526/D1526)</x:f>
        <x:v>0</x:v>
      </x:c>
      <x:c r="K1526" s="15" t="n">
        <x:f>F1526/'Datos'!$F$7</x:f>
        <x:v>0.00011476701834270184</x:v>
      </x:c>
      <x:c r="L1526" s="3"/>
    </x:row>
    <x:row r="1527" ht="22" customHeight="1">
      <x:c r="A1527" s="3"/>
      <x:c r="B1527" s="3" t="str">
        <x:v>22680</x:v>
      </x:c>
      <x:c r="C1527" s="3" t="str">
        <x:v>FRENCH BLUE METAL DOOR SIGN 5</x:v>
      </x:c>
      <x:c r="D1527" s="13" t="n">
        <x:v>1160.29</x:v>
      </x:c>
      <x:c r="E1527" s="13" t="n">
        <x:v>37.5</x:v>
      </x:c>
      <x:c r="F1527" s="13" t="n">
        <x:f>D1527-E1527</x:f>
        <x:v>1122.79</x:v>
      </x:c>
      <x:c r="G1527" s="3" t="n">
        <x:v>844</x:v>
      </x:c>
      <x:c r="H1527" s="3" t="n">
        <x:v>30</x:v>
      </x:c>
      <x:c r="I1527" s="3" t="n">
        <x:v>153</x:v>
      </x:c>
      <x:c r="J1527" s="15" t="n">
        <x:f>IF(D1527=0,"n.a.",E1527/D1527)</x:f>
        <x:v>0.032319506330313975</x:v>
      </x:c>
      <x:c r="K1527" s="15" t="n">
        <x:f>F1527/'Datos'!$F$7</x:f>
        <x:v>0.0001146557110412163</x:v>
      </x:c>
      <x:c r="L1527" s="3"/>
    </x:row>
    <x:row r="1528" ht="22" customHeight="1">
      <x:c r="A1528" s="3"/>
      <x:c r="B1528" s="3" t="str">
        <x:v>22608</x:v>
      </x:c>
      <x:c r="C1528" s="3" t="str">
        <x:v>PENS ASSORTED FUNKY JEWELED</x:v>
      </x:c>
      <x:c r="D1528" s="13" t="n">
        <x:v>1121.48</x:v>
      </x:c>
      <x:c r="E1528" s="13" t="n">
        <x:v>1.33</x:v>
      </x:c>
      <x:c r="F1528" s="13" t="n">
        <x:f>D1528-E1528</x:f>
        <x:v>1120.15</x:v>
      </x:c>
      <x:c r="G1528" s="3" t="n">
        <x:v>5247</x:v>
      </x:c>
      <x:c r="H1528" s="3" t="n">
        <x:v>7</x:v>
      </x:c>
      <x:c r="I1528" s="3" t="n">
        <x:v>144</x:v>
      </x:c>
      <x:c r="J1528" s="15" t="n">
        <x:f>IF(D1528=0,"n.a.",E1528/D1528)</x:f>
        <x:v>0.0011859328744159505</x:v>
      </x:c>
      <x:c r="K1528" s="15" t="n">
        <x:f>F1528/'Datos'!$F$7</x:f>
        <x:v>0.00011438612271468257</x:v>
      </x:c>
      <x:c r="L1528" s="3"/>
    </x:row>
    <x:row r="1529" ht="22" customHeight="1">
      <x:c r="A1529" s="3"/>
      <x:c r="B1529" s="3" t="str">
        <x:v>21809</x:v>
      </x:c>
      <x:c r="C1529" s="3" t="str">
        <x:v>CHRISTMAS HANGING TREE WITH BELL</x:v>
      </x:c>
      <x:c r="D1529" s="13" t="n">
        <x:v>1119.56</x:v>
      </x:c>
      <x:c r="E1529" s="13" t="n">
        <x:v>0</x:v>
      </x:c>
      <x:c r="F1529" s="13" t="n">
        <x:f>D1529-E1529</x:f>
        <x:v>1119.56</x:v>
      </x:c>
      <x:c r="G1529" s="3" t="n">
        <x:v>1966</x:v>
      </x:c>
      <x:c r="H1529" s="3" t="n">
        <x:v>0</x:v>
      </x:c>
      <x:c r="I1529" s="3" t="n">
        <x:v>117</x:v>
      </x:c>
      <x:c r="J1529" s="15" t="n">
        <x:f>IF(D1529=0,"n.a.",E1529/D1529)</x:f>
        <x:v>0</x:v>
      </x:c>
      <x:c r="K1529" s="15" t="n">
        <x:f>F1529/'Datos'!$F$7</x:f>
        <x:v>0.00011432587380837388</x:v>
      </x:c>
      <x:c r="L1529" s="3"/>
    </x:row>
    <x:row r="1530" ht="22" customHeight="1">
      <x:c r="A1530" s="3"/>
      <x:c r="B1530" s="3" t="str">
        <x:v>23510</x:v>
      </x:c>
      <x:c r="C1530" s="3" t="str">
        <x:v>MINI PLAYING CARDS GYMKHANA</x:v>
      </x:c>
      <x:c r="D1530" s="13" t="n">
        <x:v>1119.22</x:v>
      </x:c>
      <x:c r="E1530" s="13" t="n">
        <x:v>0</x:v>
      </x:c>
      <x:c r="F1530" s="13" t="n">
        <x:f>D1530-E1530</x:f>
        <x:v>1119.22</x:v>
      </x:c>
      <x:c r="G1530" s="3" t="n">
        <x:v>2522</x:v>
      </x:c>
      <x:c r="H1530" s="3" t="n">
        <x:v>0</x:v>
      </x:c>
      <x:c r="I1530" s="3" t="n">
        <x:v>120</x:v>
      </x:c>
      <x:c r="J1530" s="15" t="n">
        <x:f>IF(D1530=0,"n.a.",E1530/D1530)</x:f>
        <x:v>0</x:v>
      </x:c>
      <x:c r="K1530" s="15" t="n">
        <x:f>F1530/'Datos'!$F$7</x:f>
        <x:v>0.00011429115409965364</x:v>
      </x:c>
      <x:c r="L1530" s="3"/>
    </x:row>
    <x:row r="1531" ht="22" customHeight="1">
      <x:c r="A1531" s="3"/>
      <x:c r="B1531" s="3" t="str">
        <x:v>21466</x:v>
      </x:c>
      <x:c r="C1531" s="3" t="str">
        <x:v>RED FLOWER CROCHET FOOD COVER</x:v>
      </x:c>
      <x:c r="D1531" s="13" t="n">
        <x:v>1116.89</x:v>
      </x:c>
      <x:c r="E1531" s="13" t="n">
        <x:v>0</x:v>
      </x:c>
      <x:c r="F1531" s="13" t="n">
        <x:f>D1531-E1531</x:f>
        <x:v>1116.89</x:v>
      </x:c>
      <x:c r="G1531" s="3" t="n">
        <x:v>304</x:v>
      </x:c>
      <x:c r="H1531" s="3" t="n">
        <x:v>0</x:v>
      </x:c>
      <x:c r="I1531" s="3" t="n">
        <x:v>112</x:v>
      </x:c>
      <x:c r="J1531" s="15" t="n">
        <x:f>IF(D1531=0,"n.a.",E1531/D1531)</x:f>
        <x:v>0</x:v>
      </x:c>
      <x:c r="K1531" s="15" t="n">
        <x:f>F1531/'Datos'!$F$7</x:f>
        <x:v>0.00011405322197812956</x:v>
      </x:c>
      <x:c r="L1531" s="3"/>
    </x:row>
    <x:row r="1532" ht="22" customHeight="1">
      <x:c r="A1532" s="3"/>
      <x:c r="B1532" s="3" t="str">
        <x:v>22817</x:v>
      </x:c>
      <x:c r="C1532" s="3" t="str">
        <x:v>CARD SUKI BIRTHDAY</x:v>
      </x:c>
      <x:c r="D1532" s="13" t="n">
        <x:v>1114.81</x:v>
      </x:c>
      <x:c r="E1532" s="13" t="n">
        <x:v>0</x:v>
      </x:c>
      <x:c r="F1532" s="13" t="n">
        <x:f>D1532-E1532</x:f>
        <x:v>1114.81</x:v>
      </x:c>
      <x:c r="G1532" s="3" t="n">
        <x:v>2639</x:v>
      </x:c>
      <x:c r="H1532" s="3" t="n">
        <x:v>0</x:v>
      </x:c>
      <x:c r="I1532" s="3" t="n">
        <x:v>290</x:v>
      </x:c>
      <x:c r="J1532" s="15" t="n">
        <x:f>IF(D1532=0,"n.a.",E1532/D1532)</x:f>
        <x:v>0</x:v>
      </x:c>
      <x:c r="K1532" s="15" t="n">
        <x:f>F1532/'Datos'!$F$7</x:f>
        <x:v>0.00011384081905419387</x:v>
      </x:c>
      <x:c r="L1532" s="3"/>
    </x:row>
    <x:row r="1533" ht="22" customHeight="1">
      <x:c r="A1533" s="3"/>
      <x:c r="B1533" s="3" t="str">
        <x:v>22155</x:v>
      </x:c>
      <x:c r="C1533" s="3" t="str">
        <x:v>STAR DECORATION RUSTIC</x:v>
      </x:c>
      <x:c r="D1533" s="13" t="n">
        <x:v>1134.45</x:v>
      </x:c>
      <x:c r="E1533" s="13" t="n">
        <x:v>20.16</x:v>
      </x:c>
      <x:c r="F1533" s="13" t="n">
        <x:f>D1533-E1533</x:f>
        <x:v>1114.29</x:v>
      </x:c>
      <x:c r="G1533" s="3" t="n">
        <x:v>2454</x:v>
      </x:c>
      <x:c r="H1533" s="3" t="n">
        <x:v>48</x:v>
      </x:c>
      <x:c r="I1533" s="3" t="n">
        <x:v>142</x:v>
      </x:c>
      <x:c r="J1533" s="15" t="n">
        <x:f>IF(D1533=0,"n.a.",E1533/D1533)</x:f>
        <x:v>0.017770725902419675</x:v>
      </x:c>
      <x:c r="K1533" s="15" t="n">
        <x:f>F1533/'Datos'!$F$7</x:f>
        <x:v>0.00011378771832320996</x:v>
      </x:c>
      <x:c r="L1533" s="3"/>
    </x:row>
    <x:row r="1534" ht="22" customHeight="1">
      <x:c r="A1534" s="3"/>
      <x:c r="B1534" s="3" t="str">
        <x:v>23411</x:v>
      </x:c>
      <x:c r="C1534" s="3" t="str">
        <x:v>TRELLIS COAT RACK</x:v>
      </x:c>
      <x:c r="D1534" s="13" t="n">
        <x:v>1118.61</x:v>
      </x:c>
      <x:c r="E1534" s="13" t="n">
        <x:v>4.95</x:v>
      </x:c>
      <x:c r="F1534" s="13" t="n">
        <x:f>D1534-E1534</x:f>
        <x:v>1113.6599999999999</x:v>
      </x:c>
      <x:c r="G1534" s="3" t="n">
        <x:v>227</x:v>
      </x:c>
      <x:c r="H1534" s="3" t="n">
        <x:v>1</x:v>
      </x:c>
      <x:c r="I1534" s="3" t="n">
        <x:v>56</x:v>
      </x:c>
      <x:c r="J1534" s="15" t="n">
        <x:f>IF(D1534=0,"n.a.",E1534/D1534)</x:f>
        <x:v>0.004425134765467858</x:v>
      </x:c>
      <x:c r="K1534" s="15" t="n">
        <x:f>F1534/'Datos'!$F$7</x:f>
        <x:v>0.00011372338474528713</x:v>
      </x:c>
      <x:c r="L1534" s="3"/>
    </x:row>
    <x:row r="1535" ht="22" customHeight="1">
      <x:c r="A1535" s="3"/>
      <x:c r="B1535" s="3" t="str">
        <x:v>22758</x:v>
      </x:c>
      <x:c r="C1535" s="3" t="str">
        <x:v>LARGE PURPLE BABUSHKA NOTEBOOK</x:v>
      </x:c>
      <x:c r="D1535" s="13" t="n">
        <x:v>1112.75</x:v>
      </x:c>
      <x:c r="E1535" s="13" t="n">
        <x:v>0</x:v>
      </x:c>
      <x:c r="F1535" s="13" t="n">
        <x:f>D1535-E1535</x:f>
        <x:v>1112.75</x:v>
      </x:c>
      <x:c r="G1535" s="3" t="n">
        <x:v>1197</x:v>
      </x:c>
      <x:c r="H1535" s="3" t="n">
        <x:v>0</x:v>
      </x:c>
      <x:c r="I1535" s="3" t="n">
        <x:v>178</x:v>
      </x:c>
      <x:c r="J1535" s="15" t="n">
        <x:f>IF(D1535=0,"n.a.",E1535/D1535)</x:f>
        <x:v>0</x:v>
      </x:c>
      <x:c r="K1535" s="15" t="n">
        <x:f>F1535/'Datos'!$F$7</x:f>
        <x:v>0.00011363045846606529</x:v>
      </x:c>
      <x:c r="L1535" s="3"/>
    </x:row>
    <x:row r="1536" ht="22" customHeight="1">
      <x:c r="A1536" s="3"/>
      <x:c r="B1536" s="3" t="str">
        <x:v>23375</x:v>
      </x:c>
      <x:c r="C1536" s="3" t="str">
        <x:v>50'S CHRISTMAS PAPER GIFT BAG</x:v>
      </x:c>
      <x:c r="D1536" s="13" t="n">
        <x:v>1108.89</x:v>
      </x:c>
      <x:c r="E1536" s="13" t="n">
        <x:v>0.82</x:v>
      </x:c>
      <x:c r="F1536" s="13" t="n">
        <x:f>D1536-E1536</x:f>
        <x:v>1108.0700000000002</x:v>
      </x:c>
      <x:c r="G1536" s="3" t="n">
        <x:v>1352</x:v>
      </x:c>
      <x:c r="H1536" s="3" t="n">
        <x:v>1</x:v>
      </x:c>
      <x:c r="I1536" s="3" t="n">
        <x:v>103</x:v>
      </x:c>
      <x:c r="J1536" s="15" t="n">
        <x:f>IF(D1536=0,"n.a.",E1536/D1536)</x:f>
        <x:v>0.0007394782169556943</x:v>
      </x:c>
      <x:c r="K1536" s="15" t="n">
        <x:f>F1536/'Datos'!$F$7</x:f>
        <x:v>0.00011315255188721005</x:v>
      </x:c>
      <x:c r="L1536" s="3"/>
    </x:row>
    <x:row r="1537" ht="22" customHeight="1">
      <x:c r="A1537" s="3"/>
      <x:c r="B1537" s="3" t="str">
        <x:v>23225</x:v>
      </x:c>
      <x:c r="C1537" s="3" t="str">
        <x:v>CHERUB HEART DECORATION SILVER</x:v>
      </x:c>
      <x:c r="D1537" s="13" t="n">
        <x:v>1177</x:v>
      </x:c>
      <x:c r="E1537" s="13" t="n">
        <x:v>69.72</x:v>
      </x:c>
      <x:c r="F1537" s="13" t="n">
        <x:f>D1537-E1537</x:f>
        <x:v>1107.28</x:v>
      </x:c>
      <x:c r="G1537" s="3" t="n">
        <x:v>1356</x:v>
      </x:c>
      <x:c r="H1537" s="3" t="n">
        <x:v>84</x:v>
      </x:c>
      <x:c r="I1537" s="3" t="n">
        <x:v>88</x:v>
      </x:c>
      <x:c r="J1537" s="15" t="n">
        <x:f>IF(D1537=0,"n.a.",E1537/D1537)</x:f>
        <x:v>0.059235344095157176</x:v>
      </x:c>
      <x:c r="K1537" s="15" t="n">
        <x:f>F1537/'Datos'!$F$7</x:f>
        <x:v>0.00011307187962283062</x:v>
      </x:c>
      <x:c r="L1537" s="3"/>
    </x:row>
    <x:row r="1538" ht="22" customHeight="1">
      <x:c r="A1538" s="3"/>
      <x:c r="B1538" s="3" t="str">
        <x:v>21830</x:v>
      </x:c>
      <x:c r="C1538" s="3" t="str">
        <x:v>ASSORTED CREEPY CRAWLIES</x:v>
      </x:c>
      <x:c r="D1538" s="13" t="n">
        <x:v>1127.23</x:v>
      </x:c>
      <x:c r="E1538" s="13" t="n">
        <x:v>20.16</x:v>
      </x:c>
      <x:c r="F1538" s="13" t="n">
        <x:f>D1538-E1538</x:f>
        <x:v>1107.07</x:v>
      </x:c>
      <x:c r="G1538" s="3" t="n">
        <x:v>2669</x:v>
      </x:c>
      <x:c r="H1538" s="3" t="n">
        <x:v>48</x:v>
      </x:c>
      <x:c r="I1538" s="3" t="n">
        <x:v>99</x:v>
      </x:c>
      <x:c r="J1538" s="15" t="n">
        <x:f>IF(D1538=0,"n.a.",E1538/D1538)</x:f>
        <x:v>0.017884548849835438</x:v>
      </x:c>
      <x:c r="K1538" s="15" t="n">
        <x:f>F1538/'Datos'!$F$7</x:f>
        <x:v>0.00011305043509685634</x:v>
      </x:c>
      <x:c r="L1538" s="3"/>
    </x:row>
    <x:row r="1539" ht="22" customHeight="1">
      <x:c r="A1539" s="3"/>
      <x:c r="B1539" s="3" t="str">
        <x:v>22984</x:v>
      </x:c>
      <x:c r="C1539" s="3" t="str">
        <x:v>CARD GINGHAM ROSE</x:v>
      </x:c>
      <x:c r="D1539" s="13" t="n">
        <x:v>1106.17</x:v>
      </x:c>
      <x:c r="E1539" s="13" t="n">
        <x:v>0</x:v>
      </x:c>
      <x:c r="F1539" s="13" t="n">
        <x:f>D1539-E1539</x:f>
        <x:v>1106.17</x:v>
      </x:c>
      <x:c r="G1539" s="3" t="n">
        <x:v>2717</x:v>
      </x:c>
      <x:c r="H1539" s="3" t="n">
        <x:v>0</x:v>
      </x:c>
      <x:c r="I1539" s="3" t="n">
        <x:v>163</x:v>
      </x:c>
      <x:c r="J1539" s="15" t="n">
        <x:f>IF(D1539=0,"n.a.",E1539/D1539)</x:f>
        <x:v>0</x:v>
      </x:c>
      <x:c r="K1539" s="15" t="n">
        <x:f>F1539/'Datos'!$F$7</x:f>
        <x:v>0.00011295852998553803</x:v>
      </x:c>
      <x:c r="L1539" s="3"/>
    </x:row>
    <x:row r="1540" ht="22" customHeight="1">
      <x:c r="A1540" s="3"/>
      <x:c r="B1540" s="3" t="str">
        <x:v>22153</x:v>
      </x:c>
      <x:c r="C1540" s="3" t="str">
        <x:v>ANGEL DECORATION STARS ON DRESS</x:v>
      </x:c>
      <x:c r="D1540" s="13" t="n">
        <x:v>1134.25</x:v>
      </x:c>
      <x:c r="E1540" s="13" t="n">
        <x:v>29.4</x:v>
      </x:c>
      <x:c r="F1540" s="13" t="n">
        <x:f>D1540-E1540</x:f>
        <x:v>1104.85</x:v>
      </x:c>
      <x:c r="G1540" s="3" t="n">
        <x:v>2653</x:v>
      </x:c>
      <x:c r="H1540" s="3" t="n">
        <x:v>70</x:v>
      </x:c>
      <x:c r="I1540" s="3" t="n">
        <x:v>131</x:v>
      </x:c>
      <x:c r="J1540" s="15" t="n">
        <x:f>IF(D1540=0,"n.a.",E1540/D1540)</x:f>
        <x:v>0.025920211593564026</x:v>
      </x:c>
      <x:c r="K1540" s="15" t="n">
        <x:f>F1540/'Datos'!$F$7</x:f>
        <x:v>0.00011282373582227114</x:v>
      </x:c>
      <x:c r="L1540" s="3"/>
    </x:row>
    <x:row r="1541" ht="22" customHeight="1">
      <x:c r="A1541" s="3"/>
      <x:c r="B1541" s="3" t="str">
        <x:v>22819</x:v>
      </x:c>
      <x:c r="C1541" s="3" t="str">
        <x:v>BIRTHDAY CARD, RETRO SPOT</x:v>
      </x:c>
      <x:c r="D1541" s="13" t="n">
        <x:v>1104.81</x:v>
      </x:c>
      <x:c r="E1541" s="13" t="n">
        <x:v>0</x:v>
      </x:c>
      <x:c r="F1541" s="13" t="n">
        <x:f>D1541-E1541</x:f>
        <x:v>1104.81</x:v>
      </x:c>
      <x:c r="G1541" s="3" t="n">
        <x:v>2608</x:v>
      </x:c>
      <x:c r="H1541" s="3" t="n">
        <x:v>0</x:v>
      </x:c>
      <x:c r="I1541" s="3" t="n">
        <x:v>270</x:v>
      </x:c>
      <x:c r="J1541" s="15" t="n">
        <x:f>IF(D1541=0,"n.a.",E1541/D1541)</x:f>
        <x:v>0</x:v>
      </x:c>
      <x:c r="K1541" s="15" t="n">
        <x:f>F1541/'Datos'!$F$7</x:f>
        <x:v>0.000112819651150657</x:v>
      </x:c>
      <x:c r="L1541" s="3"/>
    </x:row>
    <x:row r="1542" ht="22" customHeight="1">
      <x:c r="A1542" s="3"/>
      <x:c r="B1542" s="3" t="str">
        <x:v>23513</x:v>
      </x:c>
      <x:c r="C1542" s="3" t="str">
        <x:v>EMBROIDERED RIBBON REEL SUSIE</x:v>
      </x:c>
      <x:c r="D1542" s="13" t="n">
        <x:v>1114.26</x:v>
      </x:c>
      <x:c r="E1542" s="13" t="n">
        <x:v>12.48</x:v>
      </x:c>
      <x:c r="F1542" s="13" t="n">
        <x:f>D1542-E1542</x:f>
        <x:v>1101.78</x:v>
      </x:c>
      <x:c r="G1542" s="3" t="n">
        <x:v>566</x:v>
      </x:c>
      <x:c r="H1542" s="3" t="n">
        <x:v>6</x:v>
      </x:c>
      <x:c r="I1542" s="3" t="n">
        <x:v>70</x:v>
      </x:c>
      <x:c r="J1542" s="15" t="n">
        <x:f>IF(D1542=0,"n.a.",E1542/D1542)</x:f>
        <x:v>0.011200258467503096</x:v>
      </x:c>
      <x:c r="K1542" s="15" t="n">
        <x:f>F1542/'Datos'!$F$7</x:f>
        <x:v>0.00011251023727588533</x:v>
      </x:c>
      <x:c r="L1542" s="3"/>
    </x:row>
    <x:row r="1543" ht="22" customHeight="1">
      <x:c r="A1543" s="3"/>
      <x:c r="B1543" s="3" t="str">
        <x:v>21688</x:v>
      </x:c>
      <x:c r="C1543" s="3" t="str">
        <x:v>SILVER PLATE CANDLE BOWL SMALL</x:v>
      </x:c>
      <x:c r="D1543" s="13" t="n">
        <x:v>1101.28</x:v>
      </x:c>
      <x:c r="E1543" s="13" t="n">
        <x:v>0</x:v>
      </x:c>
      <x:c r="F1543" s="13" t="n">
        <x:f>D1543-E1543</x:f>
        <x:v>1101.28</x:v>
      </x:c>
      <x:c r="G1543" s="3" t="n">
        <x:v>348</x:v>
      </x:c>
      <x:c r="H1543" s="3" t="n">
        <x:v>0</x:v>
      </x:c>
      <x:c r="I1543" s="3" t="n">
        <x:v>57</x:v>
      </x:c>
      <x:c r="J1543" s="15" t="n">
        <x:f>IF(D1543=0,"n.a.",E1543/D1543)</x:f>
        <x:v>0</x:v>
      </x:c>
      <x:c r="K1543" s="15" t="n">
        <x:f>F1543/'Datos'!$F$7</x:f>
        <x:v>0.00011245917888070849</x:v>
      </x:c>
      <x:c r="L1543" s="3"/>
    </x:row>
    <x:row r="1544" ht="22" customHeight="1">
      <x:c r="A1544" s="3"/>
      <x:c r="B1544" s="3" t="str">
        <x:v>21984</x:v>
      </x:c>
      <x:c r="C1544" s="3" t="str">
        <x:v>PACK OF 12 PINK PAISLEY TISSUES</x:v>
      </x:c>
      <x:c r="D1544" s="13" t="n">
        <x:v>1116.95</x:v>
      </x:c>
      <x:c r="E1544" s="13" t="n">
        <x:v>17.4</x:v>
      </x:c>
      <x:c r="F1544" s="13" t="n">
        <x:f>D1544-E1544</x:f>
        <x:v>1099.55</x:v>
      </x:c>
      <x:c r="G1544" s="3" t="n">
        <x:v>3473</x:v>
      </x:c>
      <x:c r="H1544" s="3" t="n">
        <x:v>60</x:v>
      </x:c>
      <x:c r="I1544" s="3" t="n">
        <x:v>212</x:v>
      </x:c>
      <x:c r="J1544" s="15" t="n">
        <x:f>IF(D1544=0,"n.a.",E1544/D1544)</x:f>
        <x:v>0.015578136890639686</x:v>
      </x:c>
      <x:c r="K1544" s="15" t="n">
        <x:f>F1544/'Datos'!$F$7</x:f>
        <x:v>0.00011228251683339662</x:v>
      </x:c>
      <x:c r="L1544" s="3"/>
    </x:row>
    <x:row r="1545" ht="22" customHeight="1">
      <x:c r="A1545" s="3"/>
      <x:c r="B1545" s="3" t="str">
        <x:v>22094</x:v>
      </x:c>
      <x:c r="C1545" s="3" t="str">
        <x:v>RED RETROSPOT TISSUE BOX</x:v>
      </x:c>
      <x:c r="D1545" s="13" t="n">
        <x:v>1138.2</x:v>
      </x:c>
      <x:c r="E1545" s="13" t="n">
        <x:v>39.97</x:v>
      </x:c>
      <x:c r="F1545" s="13" t="n">
        <x:f>D1545-E1545</x:f>
        <x:v>1098.23</x:v>
      </x:c>
      <x:c r="G1545" s="3" t="n">
        <x:v>2172</x:v>
      </x:c>
      <x:c r="H1545" s="3" t="n">
        <x:v>65</x:v>
      </x:c>
      <x:c r="I1545" s="3" t="n">
        <x:v>200</x:v>
      </x:c>
      <x:c r="J1545" s="15" t="n">
        <x:f>IF(D1545=0,"n.a.",E1545/D1545)</x:f>
        <x:v>0.03511685116851168</x:v>
      </x:c>
      <x:c r="K1545" s="15" t="n">
        <x:f>F1545/'Datos'!$F$7</x:f>
        <x:v>0.00011214772267012975</x:v>
      </x:c>
      <x:c r="L1545" s="3"/>
    </x:row>
    <x:row r="1546" ht="22" customHeight="1">
      <x:c r="A1546" s="3"/>
      <x:c r="B1546" s="3" t="str">
        <x:v>22168</x:v>
      </x:c>
      <x:c r="C1546" s="3" t="str">
        <x:v>ORGANISER WOOD ANTIQUE WHITE</x:v>
      </x:c>
      <x:c r="D1546" s="13" t="n">
        <x:v>1205.3</x:v>
      </x:c>
      <x:c r="E1546" s="13" t="n">
        <x:v>110.5</x:v>
      </x:c>
      <x:c r="F1546" s="13" t="n">
        <x:f>D1546-E1546</x:f>
        <x:v>1094.8</x:v>
      </x:c>
      <x:c r="G1546" s="3" t="n">
        <x:v>143</x:v>
      </x:c>
      <x:c r="H1546" s="3" t="n">
        <x:v>13</x:v>
      </x:c>
      <x:c r="I1546" s="3" t="n">
        <x:v>76</x:v>
      </x:c>
      <x:c r="J1546" s="15" t="n">
        <x:f>IF(D1546=0,"n.a.",E1546/D1546)</x:f>
        <x:v>0.0916784203102962</x:v>
      </x:c>
      <x:c r="K1546" s="15" t="n">
        <x:f>F1546/'Datos'!$F$7</x:f>
        <x:v>0.00011179746207921659</x:v>
      </x:c>
      <x:c r="L1546" s="3"/>
    </x:row>
    <x:row r="1547" ht="22" customHeight="1">
      <x:c r="A1547" s="3"/>
      <x:c r="B1547" s="3" t="str">
        <x:v>22320</x:v>
      </x:c>
      <x:c r="C1547" s="3" t="str">
        <x:v>BIRDS MOBILE VINTAGE DESIGN</x:v>
      </x:c>
      <x:c r="D1547" s="13" t="n">
        <x:v>1147.27</x:v>
      </x:c>
      <x:c r="E1547" s="13" t="n">
        <x:v>53.55</x:v>
      </x:c>
      <x:c r="F1547" s="13" t="n">
        <x:f>D1547-E1547</x:f>
        <x:v>1093.72</x:v>
      </x:c>
      <x:c r="G1547" s="3" t="n">
        <x:v>189</x:v>
      </x:c>
      <x:c r="H1547" s="3" t="n">
        <x:v>9</x:v>
      </x:c>
      <x:c r="I1547" s="3" t="n">
        <x:v>73</x:v>
      </x:c>
      <x:c r="J1547" s="15" t="n">
        <x:f>IF(D1547=0,"n.a.",E1547/D1547)</x:f>
        <x:v>0.04667602220924455</x:v>
      </x:c>
      <x:c r="K1547" s="15" t="n">
        <x:f>F1547/'Datos'!$F$7</x:f>
        <x:v>0.00011168717594563462</x:v>
      </x:c>
      <x:c r="L1547" s="3"/>
    </x:row>
    <x:row r="1548" ht="22" customHeight="1">
      <x:c r="A1548" s="3"/>
      <x:c r="B1548" s="3" t="str">
        <x:v>22309</x:v>
      </x:c>
      <x:c r="C1548" s="3" t="str">
        <x:v>TEA COSY RED STRIPE</x:v>
      </x:c>
      <x:c r="D1548" s="13" t="n">
        <x:v>1093.6</x:v>
      </x:c>
      <x:c r="E1548" s="13" t="n">
        <x:v>0</x:v>
      </x:c>
      <x:c r="F1548" s="13" t="n">
        <x:f>D1548-E1548</x:f>
        <x:v>1093.6</x:v>
      </x:c>
      <x:c r="G1548" s="3" t="n">
        <x:v>370</x:v>
      </x:c>
      <x:c r="H1548" s="3" t="n">
        <x:v>0</x:v>
      </x:c>
      <x:c r="I1548" s="3" t="n">
        <x:v>121</x:v>
      </x:c>
      <x:c r="J1548" s="15" t="n">
        <x:f>IF(D1548=0,"n.a.",E1548/D1548)</x:f>
        <x:v>0</x:v>
      </x:c>
      <x:c r="K1548" s="15" t="n">
        <x:f>F1548/'Datos'!$F$7</x:f>
        <x:v>0.00011167492193079217</x:v>
      </x:c>
      <x:c r="L1548" s="3"/>
    </x:row>
    <x:row r="1549" ht="22" customHeight="1">
      <x:c r="A1549" s="3"/>
      <x:c r="B1549" s="3" t="str">
        <x:v>47580</x:v>
      </x:c>
      <x:c r="C1549" s="3" t="str">
        <x:v>TEA TIME DES TEA COSY</x:v>
      </x:c>
      <x:c r="D1549" s="13" t="n">
        <x:v>1121.82</x:v>
      </x:c>
      <x:c r="E1549" s="13" t="n">
        <x:v>30.6</x:v>
      </x:c>
      <x:c r="F1549" s="13" t="n">
        <x:f>D1549-E1549</x:f>
        <x:v>1091.22</x:v>
      </x:c>
      <x:c r="G1549" s="3" t="n">
        <x:v>390</x:v>
      </x:c>
      <x:c r="H1549" s="3" t="n">
        <x:v>12</x:v>
      </x:c>
      <x:c r="I1549" s="3" t="n">
        <x:v>110</x:v>
      </x:c>
      <x:c r="J1549" s="15" t="n">
        <x:f>IF(D1549=0,"n.a.",E1549/D1549)</x:f>
        <x:v>0.027277103278600848</x:v>
      </x:c>
      <x:c r="K1549" s="15" t="n">
        <x:f>F1549/'Datos'!$F$7</x:f>
        <x:v>0.00011143188396975041</x:v>
      </x:c>
      <x:c r="L1549" s="3"/>
    </x:row>
    <x:row r="1550" ht="22" customHeight="1">
      <x:c r="A1550" s="3"/>
      <x:c r="B1550" s="3" t="str">
        <x:v>23432</x:v>
      </x:c>
      <x:c r="C1550" s="3" t="str">
        <x:v>PRETTY HANGING QUILTED HEARTS</x:v>
      </x:c>
      <x:c r="D1550" s="13" t="n">
        <x:v>1090.02</x:v>
      </x:c>
      <x:c r="E1550" s="13" t="n">
        <x:v>0</x:v>
      </x:c>
      <x:c r="F1550" s="13" t="n">
        <x:f>D1550-E1550</x:f>
        <x:v>1090.02</x:v>
      </x:c>
      <x:c r="G1550" s="3" t="n">
        <x:v>1278</x:v>
      </x:c>
      <x:c r="H1550" s="3" t="n">
        <x:v>0</x:v>
      </x:c>
      <x:c r="I1550" s="3" t="n">
        <x:v>74</x:v>
      </x:c>
      <x:c r="J1550" s="15" t="n">
        <x:f>IF(D1550=0,"n.a.",E1550/D1550)</x:f>
        <x:v>0</x:v>
      </x:c>
      <x:c r="K1550" s="15" t="n">
        <x:f>F1550/'Datos'!$F$7</x:f>
        <x:v>0.00011130934382132597</x:v>
      </x:c>
      <x:c r="L1550" s="3"/>
    </x:row>
    <x:row r="1551" ht="22" customHeight="1">
      <x:c r="A1551" s="3"/>
      <x:c r="B1551" s="3" t="str">
        <x:v>22785</x:v>
      </x:c>
      <x:c r="C1551" s="3" t="str">
        <x:v>SQUARECUSHION COVER PINK UNION JACK</x:v>
      </x:c>
      <x:c r="D1551" s="13" t="n">
        <x:v>1087.57</x:v>
      </x:c>
      <x:c r="E1551" s="13" t="n">
        <x:v>0</x:v>
      </x:c>
      <x:c r="F1551" s="13" t="n">
        <x:f>D1551-E1551</x:f>
        <x:v>1087.57</x:v>
      </x:c>
      <x:c r="G1551" s="3" t="n">
        <x:v>245</x:v>
      </x:c>
      <x:c r="H1551" s="3" t="n">
        <x:v>0</x:v>
      </x:c>
      <x:c r="I1551" s="3" t="n">
        <x:v>74</x:v>
      </x:c>
      <x:c r="J1551" s="15" t="n">
        <x:f>IF(D1551=0,"n.a.",E1551/D1551)</x:f>
        <x:v>0</x:v>
      </x:c>
      <x:c r="K1551" s="15" t="n">
        <x:f>F1551/'Datos'!$F$7</x:f>
        <x:v>0.00011105915768495943</x:v>
      </x:c>
      <x:c r="L1551" s="3"/>
    </x:row>
    <x:row r="1552" ht="22" customHeight="1">
      <x:c r="A1552" s="3"/>
      <x:c r="B1552" s="3" t="str">
        <x:v>22325</x:v>
      </x:c>
      <x:c r="C1552" s="3" t="str">
        <x:v>MOBILE VINTAGE HEARTS</x:v>
      </x:c>
      <x:c r="D1552" s="13" t="n">
        <x:v>1151.3</x:v>
      </x:c>
      <x:c r="E1552" s="13" t="n">
        <x:v>64.35</x:v>
      </x:c>
      <x:c r="F1552" s="13" t="n">
        <x:f>D1552-E1552</x:f>
        <x:v>1086.95</x:v>
      </x:c>
      <x:c r="G1552" s="3" t="n">
        <x:v>250</x:v>
      </x:c>
      <x:c r="H1552" s="3" t="n">
        <x:v>13</x:v>
      </x:c>
      <x:c r="I1552" s="3" t="n">
        <x:v>93</x:v>
      </x:c>
      <x:c r="J1552" s="15" t="n">
        <x:f>IF(D1552=0,"n.a.",E1552/D1552)</x:f>
        <x:v>0.05589333796577781</x:v>
      </x:c>
      <x:c r="K1552" s="15" t="n">
        <x:f>F1552/'Datos'!$F$7</x:f>
        <x:v>0.00011099584527494016</x:v>
      </x:c>
      <x:c r="L1552" s="3"/>
    </x:row>
    <x:row r="1553" ht="22" customHeight="1">
      <x:c r="A1553" s="3"/>
      <x:c r="B1553" s="3" t="str">
        <x:v>23102</x:v>
      </x:c>
      <x:c r="C1553" s="3" t="str">
        <x:v>SILVER HEARTS TABLE DECORATION</x:v>
      </x:c>
      <x:c r="D1553" s="13" t="n">
        <x:v>1086.65</x:v>
      </x:c>
      <x:c r="E1553" s="13" t="n">
        <x:v>0</x:v>
      </x:c>
      <x:c r="F1553" s="13" t="n">
        <x:f>D1553-E1553</x:f>
        <x:v>1086.65</x:v>
      </x:c>
      <x:c r="G1553" s="3" t="n">
        <x:v>1288</x:v>
      </x:c>
      <x:c r="H1553" s="3" t="n">
        <x:v>0</x:v>
      </x:c>
      <x:c r="I1553" s="3" t="n">
        <x:v>157</x:v>
      </x:c>
      <x:c r="J1553" s="15" t="n">
        <x:f>IF(D1553=0,"n.a.",E1553/D1553)</x:f>
        <x:v>0</x:v>
      </x:c>
      <x:c r="K1553" s="15" t="n">
        <x:f>F1553/'Datos'!$F$7</x:f>
        <x:v>0.00011096521023783406</x:v>
      </x:c>
      <x:c r="L1553" s="3"/>
    </x:row>
    <x:row r="1554" ht="22" customHeight="1">
      <x:c r="A1554" s="3"/>
      <x:c r="B1554" s="3" t="str">
        <x:v>22221</x:v>
      </x:c>
      <x:c r="C1554" s="3" t="str">
        <x:v>CAKE STAND LOVEBIRD 2 TIER PINK</x:v>
      </x:c>
      <x:c r="D1554" s="13" t="n">
        <x:v>1104.54</x:v>
      </x:c>
      <x:c r="E1554" s="13" t="n">
        <x:v>19.9</x:v>
      </x:c>
      <x:c r="F1554" s="13" t="n">
        <x:f>D1554-E1554</x:f>
        <x:v>1084.6399999999999</x:v>
      </x:c>
      <x:c r="G1554" s="3" t="n">
        <x:v>131</x:v>
      </x:c>
      <x:c r="H1554" s="3" t="n">
        <x:v>2</x:v>
      </x:c>
      <x:c r="I1554" s="3" t="n">
        <x:v>51</x:v>
      </x:c>
      <x:c r="J1554" s="15" t="n">
        <x:f>IF(D1554=0,"n.a.",E1554/D1554)</x:f>
        <x:v>0.018016549875966466</x:v>
      </x:c>
      <x:c r="K1554" s="15" t="n">
        <x:f>F1554/'Datos'!$F$7</x:f>
        <x:v>0.00011075995548922313</x:v>
      </x:c>
      <x:c r="L1554" s="3"/>
    </x:row>
    <x:row r="1555" ht="22" customHeight="1">
      <x:c r="A1555" s="3"/>
      <x:c r="B1555" s="3" t="str">
        <x:v>22997</x:v>
      </x:c>
      <x:c r="C1555" s="3" t="str">
        <x:v>TRAVEL CARD WALLET UNION JACK</x:v>
      </x:c>
      <x:c r="D1555" s="13" t="n">
        <x:v>1115.93</x:v>
      </x:c>
      <x:c r="E1555" s="13" t="n">
        <x:v>32.76</x:v>
      </x:c>
      <x:c r="F1555" s="13" t="n">
        <x:f>D1555-E1555</x:f>
        <x:v>1083.17</x:v>
      </x:c>
      <x:c r="G1555" s="3" t="n">
        <x:v>2595</x:v>
      </x:c>
      <x:c r="H1555" s="3" t="n">
        <x:v>78</x:v>
      </x:c>
      <x:c r="I1555" s="3" t="n">
        <x:v>222</x:v>
      </x:c>
      <x:c r="J1555" s="15" t="n">
        <x:f>IF(D1555=0,"n.a.",E1555/D1555)</x:f>
        <x:v>0.029356680078499543</x:v>
      </x:c>
      <x:c r="K1555" s="15" t="n">
        <x:f>F1555/'Datos'!$F$7</x:f>
        <x:v>0.00011060984380740323</x:v>
      </x:c>
      <x:c r="L1555" s="3"/>
    </x:row>
    <x:row r="1556" ht="22" customHeight="1">
      <x:c r="A1556" s="3"/>
      <x:c r="B1556" s="3" t="str">
        <x:v>85127</x:v>
      </x:c>
      <x:c r="C1556" s="3" t="str">
        <x:v>SMALL SQUARE CUT GLASS CANDLESTICK</x:v>
      </x:c>
      <x:c r="D1556" s="13" t="n">
        <x:v>1106.54</x:v>
      </x:c>
      <x:c r="E1556" s="13" t="n">
        <x:v>24.75</x:v>
      </x:c>
      <x:c r="F1556" s="13" t="n">
        <x:f>D1556-E1556</x:f>
        <x:v>1081.79</x:v>
      </x:c>
      <x:c r="G1556" s="3" t="n">
        <x:v>187</x:v>
      </x:c>
      <x:c r="H1556" s="3" t="n">
        <x:v>5</x:v>
      </x:c>
      <x:c r="I1556" s="3" t="n">
        <x:v>51</x:v>
      </x:c>
      <x:c r="J1556" s="15" t="n">
        <x:f>IF(D1556=0,"n.a.",E1556/D1556)</x:f>
        <x:v>0.02236701791168869</x:v>
      </x:c>
      <x:c r="K1556" s="15" t="n">
        <x:f>F1556/'Datos'!$F$7</x:f>
        <x:v>0.00011046892263671513</x:v>
      </x:c>
      <x:c r="L1556" s="3"/>
    </x:row>
    <x:row r="1557" ht="22" customHeight="1">
      <x:c r="A1557" s="3"/>
      <x:c r="B1557" s="3" t="str">
        <x:v>84459B</x:v>
      </x:c>
      <x:c r="C1557" s="3" t="str">
        <x:v>YELLOW METAL CHICKEN HEART</x:v>
      </x:c>
      <x:c r="D1557" s="13" t="n">
        <x:v>1079.67</x:v>
      </x:c>
      <x:c r="E1557" s="13" t="n">
        <x:v>0</x:v>
      </x:c>
      <x:c r="F1557" s="13" t="n">
        <x:f>D1557-E1557</x:f>
        <x:v>1079.67</x:v>
      </x:c>
      <x:c r="G1557" s="3" t="n">
        <x:v>721</x:v>
      </x:c>
      <x:c r="H1557" s="3" t="n">
        <x:v>0</x:v>
      </x:c>
      <x:c r="I1557" s="3" t="n">
        <x:v>91</x:v>
      </x:c>
      <x:c r="J1557" s="15" t="n">
        <x:f>IF(D1557=0,"n.a.",E1557/D1557)</x:f>
        <x:v>0</x:v>
      </x:c>
      <x:c r="K1557" s="15" t="n">
        <x:f>F1557/'Datos'!$F$7</x:f>
        <x:v>0.00011025243504116532</x:v>
      </x:c>
      <x:c r="L1557" s="3"/>
    </x:row>
    <x:row r="1558" ht="22" customHeight="1">
      <x:c r="A1558" s="3"/>
      <x:c r="B1558" s="3" t="str">
        <x:v>23041</x:v>
      </x:c>
      <x:c r="C1558" s="3" t="str">
        <x:v>PAPER LANTERN 9 POINT SNOW STAR</x:v>
      </x:c>
      <x:c r="D1558" s="13" t="n">
        <x:v>1178.48</x:v>
      </x:c>
      <x:c r="E1558" s="13" t="n">
        <x:v>99.6</x:v>
      </x:c>
      <x:c r="F1558" s="13" t="n">
        <x:f>D1558-E1558</x:f>
        <x:v>1078.88</x:v>
      </x:c>
      <x:c r="G1558" s="3" t="n">
        <x:v>272</x:v>
      </x:c>
      <x:c r="H1558" s="3" t="n">
        <x:v>24</x:v>
      </x:c>
      <x:c r="I1558" s="3" t="n">
        <x:v>54</x:v>
      </x:c>
      <x:c r="J1558" s="15" t="n">
        <x:f>IF(D1558=0,"n.a.",E1558/D1558)</x:f>
        <x:v>0.08451564727445522</x:v>
      </x:c>
      <x:c r="K1558" s="15" t="n">
        <x:f>F1558/'Datos'!$F$7</x:f>
        <x:v>0.00011017176277678592</x:v>
      </x:c>
      <x:c r="L1558" s="3"/>
    </x:row>
    <x:row r="1559" ht="22" customHeight="1">
      <x:c r="A1559" s="3"/>
      <x:c r="B1559" s="3" t="str">
        <x:v>21469</x:v>
      </x:c>
      <x:c r="C1559" s="3" t="str">
        <x:v>POLKA DOT RAFFIA FOOD COVER</x:v>
      </x:c>
      <x:c r="D1559" s="13" t="n">
        <x:v>1085.32</x:v>
      </x:c>
      <x:c r="E1559" s="13" t="n">
        <x:v>7.5</x:v>
      </x:c>
      <x:c r="F1559" s="13" t="n">
        <x:f>D1559-E1559</x:f>
        <x:v>1077.82</x:v>
      </x:c>
      <x:c r="G1559" s="3" t="n">
        <x:v>290</x:v>
      </x:c>
      <x:c r="H1559" s="3" t="n">
        <x:v>2</x:v>
      </x:c>
      <x:c r="I1559" s="3" t="n">
        <x:v>89</x:v>
      </x:c>
      <x:c r="J1559" s="15" t="n">
        <x:f>IF(D1559=0,"n.a.",E1559/D1559)</x:f>
        <x:v>0.006910404304721189</x:v>
      </x:c>
      <x:c r="K1559" s="15" t="n">
        <x:f>F1559/'Datos'!$F$7</x:f>
        <x:v>0.00011006351897901099</x:v>
      </x:c>
      <x:c r="L1559" s="3"/>
    </x:row>
    <x:row r="1560" ht="22" customHeight="1">
      <x:c r="A1560" s="3"/>
      <x:c r="B1560" s="3" t="str">
        <x:v>22611</x:v>
      </x:c>
      <x:c r="C1560" s="3" t="str">
        <x:v>VINTAGE UNION JACK SHOPPING BAG</x:v>
      </x:c>
      <x:c r="D1560" s="13" t="n">
        <x:v>1077.03</x:v>
      </x:c>
      <x:c r="E1560" s="13" t="n">
        <x:v>0</x:v>
      </x:c>
      <x:c r="F1560" s="13" t="n">
        <x:f>D1560-E1560</x:f>
        <x:v>1077.03</x:v>
      </x:c>
      <x:c r="G1560" s="3" t="n">
        <x:v>225</x:v>
      </x:c>
      <x:c r="H1560" s="3" t="n">
        <x:v>0</x:v>
      </x:c>
      <x:c r="I1560" s="3" t="n">
        <x:v>46</x:v>
      </x:c>
      <x:c r="J1560" s="15" t="n">
        <x:f>IF(D1560=0,"n.a.",E1560/D1560)</x:f>
        <x:v>0</x:v>
      </x:c>
      <x:c r="K1560" s="15" t="n">
        <x:f>F1560/'Datos'!$F$7</x:f>
        <x:v>0.00010998284671463157</x:v>
      </x:c>
      <x:c r="L1560" s="3"/>
    </x:row>
    <x:row r="1561" ht="22" customHeight="1">
      <x:c r="A1561" s="3"/>
      <x:c r="B1561" s="3" t="str">
        <x:v>23087</x:v>
      </x:c>
      <x:c r="C1561" s="3" t="str">
        <x:v>ZINC HEART T-LIGHT HOLDER</x:v>
      </x:c>
      <x:c r="D1561" s="13" t="n">
        <x:v>1090.66</x:v>
      </x:c>
      <x:c r="E1561" s="13" t="n">
        <x:v>18.75</x:v>
      </x:c>
      <x:c r="F1561" s="13" t="n">
        <x:f>D1561-E1561</x:f>
        <x:v>1071.91</x:v>
      </x:c>
      <x:c r="G1561" s="3" t="n">
        <x:v>868</x:v>
      </x:c>
      <x:c r="H1561" s="3" t="n">
        <x:v>15</x:v>
      </x:c>
      <x:c r="I1561" s="3" t="n">
        <x:v>69</x:v>
      </x:c>
      <x:c r="J1561" s="15" t="n">
        <x:f>IF(D1561=0,"n.a.",E1561/D1561)</x:f>
        <x:v>0.017191425375460728</x:v>
      </x:c>
      <x:c r="K1561" s="15" t="n">
        <x:f>F1561/'Datos'!$F$7</x:f>
        <x:v>0.00010946000874802071</x:v>
      </x:c>
      <x:c r="L1561" s="3"/>
    </x:row>
    <x:row r="1562" ht="22" customHeight="1">
      <x:c r="A1562" s="3"/>
      <x:c r="B1562" s="3" t="str">
        <x:v>22342</x:v>
      </x:c>
      <x:c r="C1562" s="3" t="str">
        <x:v>HOME GARLAND PAINTED ZINC</x:v>
      </x:c>
      <x:c r="D1562" s="13" t="n">
        <x:v>1111.58</x:v>
      </x:c>
      <x:c r="E1562" s="13" t="n">
        <x:v>40.2</x:v>
      </x:c>
      <x:c r="F1562" s="13" t="n">
        <x:f>D1562-E1562</x:f>
        <x:v>1071.3799999999999</x:v>
      </x:c>
      <x:c r="G1562" s="3" t="n">
        <x:v>997</x:v>
      </x:c>
      <x:c r="H1562" s="3" t="n">
        <x:v>36</x:v>
      </x:c>
      <x:c r="I1562" s="3" t="n">
        <x:v>128</x:v>
      </x:c>
      <x:c r="J1562" s="15" t="n">
        <x:f>IF(D1562=0,"n.a.",E1562/D1562)</x:f>
        <x:v>0.036164738480361294</x:v>
      </x:c>
      <x:c r="K1562" s="15" t="n">
        <x:f>F1562/'Datos'!$F$7</x:f>
        <x:v>0.00010940588684913323</x:v>
      </x:c>
      <x:c r="L1562" s="3"/>
    </x:row>
    <x:row r="1563" ht="22" customHeight="1">
      <x:c r="A1563" s="3"/>
      <x:c r="B1563" s="3" t="str">
        <x:v>23433</x:v>
      </x:c>
      <x:c r="C1563" s="3" t="str">
        <x:v>HANGING QUILTED PATCHWORK APPLES</x:v>
      </x:c>
      <x:c r="D1563" s="13" t="n">
        <x:v>1108.58</x:v>
      </x:c>
      <x:c r="E1563" s="13" t="n">
        <x:v>39.01</x:v>
      </x:c>
      <x:c r="F1563" s="13" t="n">
        <x:f>D1563-E1563</x:f>
        <x:v>1069.57</x:v>
      </x:c>
      <x:c r="G1563" s="3" t="n">
        <x:v>1258</x:v>
      </x:c>
      <x:c r="H1563" s="3" t="n">
        <x:v>47</x:v>
      </x:c>
      <x:c r="I1563" s="3" t="n">
        <x:v>89</x:v>
      </x:c>
      <x:c r="J1563" s="15" t="n">
        <x:f>IF(D1563=0,"n.a.",E1563/D1563)</x:f>
        <x:v>0.03518916090854968</x:v>
      </x:c>
      <x:c r="K1563" s="15" t="n">
        <x:f>F1563/'Datos'!$F$7</x:f>
        <x:v>0.00010922105545859307</x:v>
      </x:c>
      <x:c r="L1563" s="3"/>
    </x:row>
    <x:row r="1564" ht="22" customHeight="1">
      <x:c r="A1564" s="3"/>
      <x:c r="B1564" s="3" t="str">
        <x:v>22123</x:v>
      </x:c>
      <x:c r="C1564" s="3" t="str">
        <x:v>PING MICROWAVE APRON</x:v>
      </x:c>
      <x:c r="D1564" s="13" t="n">
        <x:v>1069.17</x:v>
      </x:c>
      <x:c r="E1564" s="13" t="n">
        <x:v>0</x:v>
      </x:c>
      <x:c r="F1564" s="13" t="n">
        <x:f>D1564-E1564</x:f>
        <x:v>1069.17</x:v>
      </x:c>
      <x:c r="G1564" s="3" t="n">
        <x:v>509</x:v>
      </x:c>
      <x:c r="H1564" s="3" t="n">
        <x:v>0</x:v>
      </x:c>
      <x:c r="I1564" s="3" t="n">
        <x:v>122</x:v>
      </x:c>
      <x:c r="J1564" s="15" t="n">
        <x:f>IF(D1564=0,"n.a.",E1564/D1564)</x:f>
        <x:v>0</x:v>
      </x:c>
      <x:c r="K1564" s="15" t="n">
        <x:f>F1564/'Datos'!$F$7</x:f>
        <x:v>0.00010918020874245161</x:v>
      </x:c>
      <x:c r="L1564" s="3"/>
    </x:row>
    <x:row r="1565" ht="22" customHeight="1">
      <x:c r="A1565" s="3"/>
      <x:c r="B1565" s="3" t="str">
        <x:v>21824</x:v>
      </x:c>
      <x:c r="C1565" s="3" t="str">
        <x:v>PAINTED METAL STAR WITH HOLLY BELLS</x:v>
      </x:c>
      <x:c r="D1565" s="13" t="n">
        <x:v>1102.81</x:v>
      </x:c>
      <x:c r="E1565" s="13" t="n">
        <x:v>34.8</x:v>
      </x:c>
      <x:c r="F1565" s="13" t="n">
        <x:f>D1565-E1565</x:f>
        <x:v>1068.01</x:v>
      </x:c>
      <x:c r="G1565" s="3" t="n">
        <x:v>1917</x:v>
      </x:c>
      <x:c r="H1565" s="3" t="n">
        <x:v>24</x:v>
      </x:c>
      <x:c r="I1565" s="3" t="n">
        <x:v>117</x:v>
      </x:c>
      <x:c r="J1565" s="15" t="n">
        <x:f>IF(D1565=0,"n.a.",E1565/D1565)</x:f>
        <x:v>0.03155575303089381</x:v>
      </x:c>
      <x:c r="K1565" s="15" t="n">
        <x:f>F1565/'Datos'!$F$7</x:f>
        <x:v>0.00010906175326564133</x:v>
      </x:c>
      <x:c r="L1565" s="3"/>
    </x:row>
    <x:row r="1566" ht="22" customHeight="1">
      <x:c r="A1566" s="3"/>
      <x:c r="B1566" s="3" t="str">
        <x:v>22444</x:v>
      </x:c>
      <x:c r="C1566" s="3" t="str">
        <x:v>GROW YOUR OWN PLANT IN A CAN</x:v>
      </x:c>
      <x:c r="D1566" s="13" t="n">
        <x:v>1107.87</x:v>
      </x:c>
      <x:c r="E1566" s="13" t="n">
        <x:v>40</x:v>
      </x:c>
      <x:c r="F1566" s="13" t="n">
        <x:f>D1566-E1566</x:f>
        <x:v>1067.87</x:v>
      </x:c>
      <x:c r="G1566" s="3" t="n">
        <x:v>839</x:v>
      </x:c>
      <x:c r="H1566" s="3" t="n">
        <x:v>32</x:v>
      </x:c>
      <x:c r="I1566" s="3" t="n">
        <x:v>57</x:v>
      </x:c>
      <x:c r="J1566" s="15" t="n">
        <x:f>IF(D1566=0,"n.a.",E1566/D1566)</x:f>
        <x:v>0.03610531921615352</x:v>
      </x:c>
      <x:c r="K1566" s="15" t="n">
        <x:f>F1566/'Datos'!$F$7</x:f>
        <x:v>0.00010904745691499179</x:v>
      </x:c>
      <x:c r="L1566" s="3"/>
    </x:row>
    <x:row r="1567" ht="22" customHeight="1">
      <x:c r="A1567" s="3"/>
      <x:c r="B1567" s="3" t="str">
        <x:v>21819</x:v>
      </x:c>
      <x:c r="C1567" s="3" t="str">
        <x:v>GLITTER CHRISTMAS STAR</x:v>
      </x:c>
      <x:c r="D1567" s="13" t="n">
        <x:v>1067.82</x:v>
      </x:c>
      <x:c r="E1567" s="13" t="n">
        <x:v>0</x:v>
      </x:c>
      <x:c r="F1567" s="13" t="n">
        <x:f>D1567-E1567</x:f>
        <x:v>1067.82</x:v>
      </x:c>
      <x:c r="G1567" s="3" t="n">
        <x:v>2473</x:v>
      </x:c>
      <x:c r="H1567" s="3" t="n">
        <x:v>0</x:v>
      </x:c>
      <x:c r="I1567" s="3" t="n">
        <x:v>124</x:v>
      </x:c>
      <x:c r="J1567" s="15" t="n">
        <x:f>IF(D1567=0,"n.a.",E1567/D1567)</x:f>
        <x:v>0</x:v>
      </x:c>
      <x:c r="K1567" s="15" t="n">
        <x:f>F1567/'Datos'!$F$7</x:f>
        <x:v>0.00010904235107547412</x:v>
      </x:c>
      <x:c r="L1567" s="3"/>
    </x:row>
    <x:row r="1568" ht="22" customHeight="1">
      <x:c r="A1568" s="3"/>
      <x:c r="B1568" s="3" t="str">
        <x:v>23033</x:v>
      </x:c>
      <x:c r="C1568" s="3" t="str">
        <x:v>DRAWER KNOB CERAMIC RED</x:v>
      </x:c>
      <x:c r="D1568" s="13" t="n">
        <x:v>1067.6</x:v>
      </x:c>
      <x:c r="E1568" s="13" t="n">
        <x:v>0</x:v>
      </x:c>
      <x:c r="F1568" s="13" t="n">
        <x:f>D1568-E1568</x:f>
        <x:v>1067.6</x:v>
      </x:c>
      <x:c r="G1568" s="3" t="n">
        <x:v>720</x:v>
      </x:c>
      <x:c r="H1568" s="3" t="n">
        <x:v>0</x:v>
      </x:c>
      <x:c r="I1568" s="3" t="n">
        <x:v>74</x:v>
      </x:c>
      <x:c r="J1568" s="15" t="n">
        <x:f>IF(D1568=0,"n.a.",E1568/D1568)</x:f>
        <x:v>0</x:v>
      </x:c>
      <x:c r="K1568" s="15" t="n">
        <x:f>F1568/'Datos'!$F$7</x:f>
        <x:v>0.0001090198853815963</x:v>
      </x:c>
      <x:c r="L1568" s="3"/>
    </x:row>
    <x:row r="1569" ht="22" customHeight="1">
      <x:c r="A1569" s="3"/>
      <x:c r="B1569" s="3" t="str">
        <x:v>85035B</x:v>
      </x:c>
      <x:c r="C1569" s="3" t="str">
        <x:v>CHOCOLATE 3 WICK MORRIS BOX CANDLE</x:v>
      </x:c>
      <x:c r="D1569" s="13" t="n">
        <x:v>1066.82</x:v>
      </x:c>
      <x:c r="E1569" s="13" t="n">
        <x:v>0</x:v>
      </x:c>
      <x:c r="F1569" s="13" t="n">
        <x:f>D1569-E1569</x:f>
        <x:v>1066.82</x:v>
      </x:c>
      <x:c r="G1569" s="3" t="n">
        <x:v>621</x:v>
      </x:c>
      <x:c r="H1569" s="3" t="n">
        <x:v>0</x:v>
      </x:c>
      <x:c r="I1569" s="3" t="n">
        <x:v>71</x:v>
      </x:c>
      <x:c r="J1569" s="15" t="n">
        <x:f>IF(D1569=0,"n.a.",E1569/D1569)</x:f>
        <x:v>0</x:v>
      </x:c>
      <x:c r="K1569" s="15" t="n">
        <x:f>F1569/'Datos'!$F$7</x:f>
        <x:v>0.00010894023428512044</x:v>
      </x:c>
      <x:c r="L1569" s="3"/>
    </x:row>
    <x:row r="1570" ht="22" customHeight="1">
      <x:c r="A1570" s="3"/>
      <x:c r="B1570" s="3" t="str">
        <x:v>22245</x:v>
      </x:c>
      <x:c r="C1570" s="3" t="str">
        <x:v>HOOK, 1 HANGER ,MAGIC GARDEN</x:v>
      </x:c>
      <x:c r="D1570" s="13" t="n">
        <x:v>1070.85</x:v>
      </x:c>
      <x:c r="E1570" s="13" t="n">
        <x:v>4.25</x:v>
      </x:c>
      <x:c r="F1570" s="13" t="n">
        <x:f>D1570-E1570</x:f>
        <x:v>1066.6</x:v>
      </x:c>
      <x:c r="G1570" s="3" t="n">
        <x:v>1263</x:v>
      </x:c>
      <x:c r="H1570" s="3" t="n">
        <x:v>5</x:v>
      </x:c>
      <x:c r="I1570" s="3" t="n">
        <x:v>98</x:v>
      </x:c>
      <x:c r="J1570" s="15" t="n">
        <x:f>IF(D1570=0,"n.a.",E1570/D1570)</x:f>
        <x:v>0.003968809823971612</x:v>
      </x:c>
      <x:c r="K1570" s="15" t="n">
        <x:f>F1570/'Datos'!$F$7</x:f>
        <x:v>0.00010891776859124261</x:v>
      </x:c>
      <x:c r="L1570" s="3"/>
    </x:row>
    <x:row r="1571" ht="22" customHeight="1">
      <x:c r="A1571" s="3"/>
      <x:c r="B1571" s="3" t="str">
        <x:v>21991</x:v>
      </x:c>
      <x:c r="C1571" s="3" t="str">
        <x:v>BOHEMIAN COLLAGE STATIONERY SET</x:v>
      </x:c>
      <x:c r="D1571" s="13" t="n">
        <x:v>1080.82</x:v>
      </x:c>
      <x:c r="E1571" s="13" t="n">
        <x:v>15</x:v>
      </x:c>
      <x:c r="F1571" s="13" t="n">
        <x:f>D1571-E1571</x:f>
        <x:v>1065.82</x:v>
      </x:c>
      <x:c r="G1571" s="3" t="n">
        <x:v>635</x:v>
      </x:c>
      <x:c r="H1571" s="3" t="n">
        <x:v>12</x:v>
      </x:c>
      <x:c r="I1571" s="3" t="n">
        <x:v>211</x:v>
      </x:c>
      <x:c r="J1571" s="15" t="n">
        <x:f>IF(D1571=0,"n.a.",E1571/D1571)</x:f>
        <x:v>0.013878351621916694</x:v>
      </x:c>
      <x:c r="K1571" s="15" t="n">
        <x:f>F1571/'Datos'!$F$7</x:f>
        <x:v>0.00010883811749476674</x:v>
      </x:c>
      <x:c r="L1571" s="3"/>
    </x:row>
    <x:row r="1572" ht="22" customHeight="1">
      <x:c r="A1572" s="3"/>
      <x:c r="B1572" s="3" t="str">
        <x:v>23113</x:v>
      </x:c>
      <x:c r="C1572" s="3" t="str">
        <x:v>PANTRY CHOPPING BOARD</x:v>
      </x:c>
      <x:c r="D1572" s="13" t="n">
        <x:v>5868.5</x:v>
      </x:c>
      <x:c r="E1572" s="13" t="n">
        <x:v>4803.06</x:v>
      </x:c>
      <x:c r="F1572" s="13" t="n">
        <x:f>D1572-E1572</x:f>
        <x:v>1065.4399999999996</x:v>
      </x:c>
      <x:c r="G1572" s="3" t="n">
        <x:v>1154</x:v>
      </x:c>
      <x:c r="H1572" s="3" t="n">
        <x:v>946</x:v>
      </x:c>
      <x:c r="I1572" s="3" t="n">
        <x:v>57</x:v>
      </x:c>
      <x:c r="J1572" s="15" t="n">
        <x:f>IF(D1572=0,"n.a.",E1572/D1572)</x:f>
        <x:v>0.818447644202096</x:v>
      </x:c>
      <x:c r="K1572" s="15" t="n">
        <x:f>F1572/'Datos'!$F$7</x:f>
        <x:v>0.0001087993131144323</x:v>
      </x:c>
      <x:c r="L1572" s="3"/>
    </x:row>
    <x:row r="1573" ht="22" customHeight="1">
      <x:c r="A1573" s="3"/>
      <x:c r="B1573" s="3" t="str">
        <x:v>22286</x:v>
      </x:c>
      <x:c r="C1573" s="3" t="str">
        <x:v>DECORATION WOBBLY RABBIT METAL</x:v>
      </x:c>
      <x:c r="D1573" s="13" t="n">
        <x:v>1065.39</x:v>
      </x:c>
      <x:c r="E1573" s="13" t="n">
        <x:v>0</x:v>
      </x:c>
      <x:c r="F1573" s="13" t="n">
        <x:f>D1573-E1573</x:f>
        <x:v>1065.39</x:v>
      </x:c>
      <x:c r="G1573" s="3" t="n">
        <x:v>1149</x:v>
      </x:c>
      <x:c r="H1573" s="3" t="n">
        <x:v>0</x:v>
      </x:c>
      <x:c r="I1573" s="3" t="n">
        <x:v>115</x:v>
      </x:c>
      <x:c r="J1573" s="15" t="n">
        <x:f>IF(D1573=0,"n.a.",E1573/D1573)</x:f>
        <x:v>0</x:v>
      </x:c>
      <x:c r="K1573" s="15" t="n">
        <x:f>F1573/'Datos'!$F$7</x:f>
        <x:v>0.00010879420727491467</x:v>
      </x:c>
      <x:c r="L1573" s="3"/>
    </x:row>
    <x:row r="1574" ht="22" customHeight="1">
      <x:c r="A1574" s="3"/>
      <x:c r="B1574" s="3" t="str">
        <x:v>21224</x:v>
      </x:c>
      <x:c r="C1574" s="3" t="str">
        <x:v>SET/4 SKULL BADGES</x:v>
      </x:c>
      <x:c r="D1574" s="13" t="n">
        <x:v>1080</x:v>
      </x:c>
      <x:c r="E1574" s="13" t="n">
        <x:v>15</x:v>
      </x:c>
      <x:c r="F1574" s="13" t="n">
        <x:f>D1574-E1574</x:f>
        <x:v>1065</x:v>
      </x:c>
      <x:c r="G1574" s="3" t="n">
        <x:v>914</x:v>
      </x:c>
      <x:c r="H1574" s="3" t="n">
        <x:v>12</x:v>
      </x:c>
      <x:c r="I1574" s="3" t="n">
        <x:v>165</x:v>
      </x:c>
      <x:c r="J1574" s="15" t="n">
        <x:f>IF(D1574=0,"n.a.",E1574/D1574)</x:f>
        <x:v>0.013888888888888888</x:v>
      </x:c>
      <x:c r="K1574" s="15" t="n">
        <x:f>F1574/'Datos'!$F$7</x:f>
        <x:v>0.00010875438172667673</x:v>
      </x:c>
      <x:c r="L1574" s="3"/>
    </x:row>
    <x:row r="1575" ht="22" customHeight="1">
      <x:c r="A1575" s="3"/>
      <x:c r="B1575" s="3" t="str">
        <x:v>23516</x:v>
      </x:c>
      <x:c r="C1575" s="3" t="str">
        <x:v>EMBROIDERED RIBBON REEL SOPHIE</x:v>
      </x:c>
      <x:c r="D1575" s="13" t="n">
        <x:v>1062.35</x:v>
      </x:c>
      <x:c r="E1575" s="13" t="n">
        <x:v>0</x:v>
      </x:c>
      <x:c r="F1575" s="13" t="n">
        <x:f>D1575-E1575</x:f>
        <x:v>1062.35</x:v>
      </x:c>
      <x:c r="G1575" s="3" t="n">
        <x:v>297</x:v>
      </x:c>
      <x:c r="H1575" s="3" t="n">
        <x:v>0</x:v>
      </x:c>
      <x:c r="I1575" s="3" t="n">
        <x:v>42</x:v>
      </x:c>
      <x:c r="J1575" s="15" t="n">
        <x:f>IF(D1575=0,"n.a.",E1575/D1575)</x:f>
        <x:v>0</x:v>
      </x:c>
      <x:c r="K1575" s="15" t="n">
        <x:f>F1575/'Datos'!$F$7</x:f>
        <x:v>0.00010848377223223944</x:v>
      </x:c>
      <x:c r="L1575" s="3"/>
    </x:row>
    <x:row r="1576" ht="22" customHeight="1">
      <x:c r="A1576" s="3"/>
      <x:c r="B1576" s="3" t="str">
        <x:v>23331</x:v>
      </x:c>
      <x:c r="C1576" s="3" t="str">
        <x:v>DECORATIVE WICKER HEART SMALL</x:v>
      </x:c>
      <x:c r="D1576" s="13" t="n">
        <x:v>1062.28</x:v>
      </x:c>
      <x:c r="E1576" s="13" t="n">
        <x:v>0</x:v>
      </x:c>
      <x:c r="F1576" s="13" t="n">
        <x:f>D1576-E1576</x:f>
        <x:v>1062.28</x:v>
      </x:c>
      <x:c r="G1576" s="3" t="n">
        <x:v>1596</x:v>
      </x:c>
      <x:c r="H1576" s="3" t="n">
        <x:v>0</x:v>
      </x:c>
      <x:c r="I1576" s="3" t="n">
        <x:v>109</x:v>
      </x:c>
      <x:c r="J1576" s="15" t="n">
        <x:f>IF(D1576=0,"n.a.",E1576/D1576)</x:f>
        <x:v>0</x:v>
      </x:c>
      <x:c r="K1576" s="15" t="n">
        <x:f>F1576/'Datos'!$F$7</x:f>
        <x:v>0.0001084766240569147</x:v>
      </x:c>
      <x:c r="L1576" s="3"/>
    </x:row>
    <x:row r="1577" ht="22" customHeight="1">
      <x:c r="A1577" s="3"/>
      <x:c r="B1577" s="3" t="str">
        <x:v>22438</x:v>
      </x:c>
      <x:c r="C1577" s="3" t="str">
        <x:v>BALLOON ART MAKE YOUR OWN FLOWERS</x:v>
      </x:c>
      <x:c r="D1577" s="13" t="n">
        <x:v>1058.69</x:v>
      </x:c>
      <x:c r="E1577" s="13" t="n">
        <x:v>0</x:v>
      </x:c>
      <x:c r="F1577" s="13" t="n">
        <x:f>D1577-E1577</x:f>
        <x:v>1058.69</x:v>
      </x:c>
      <x:c r="G1577" s="3" t="n">
        <x:v>1022</x:v>
      </x:c>
      <x:c r="H1577" s="3" t="n">
        <x:v>0</x:v>
      </x:c>
      <x:c r="I1577" s="3" t="n">
        <x:v>98</x:v>
      </x:c>
      <x:c r="J1577" s="15" t="n">
        <x:f>IF(D1577=0,"n.a.",E1577/D1577)</x:f>
        <x:v>0</x:v>
      </x:c>
      <x:c r="K1577" s="15" t="n">
        <x:f>F1577/'Datos'!$F$7</x:f>
        <x:v>0.00010811002477954497</x:v>
      </x:c>
      <x:c r="L1577" s="3"/>
    </x:row>
    <x:row r="1578" ht="22" customHeight="1">
      <x:c r="A1578" s="3"/>
      <x:c r="B1578" s="3" t="str">
        <x:v>21391</x:v>
      </x:c>
      <x:c r="C1578" s="3" t="str">
        <x:v>FRENCH LAVENDER SCENT HEART</x:v>
      </x:c>
      <x:c r="D1578" s="13" t="n">
        <x:v>1064.44</x:v>
      </x:c>
      <x:c r="E1578" s="13" t="n">
        <x:v>6.3</x:v>
      </x:c>
      <x:c r="F1578" s="13" t="n">
        <x:f>D1578-E1578</x:f>
        <x:v>1058.14</x:v>
      </x:c>
      <x:c r="G1578" s="3" t="n">
        <x:v>1079</x:v>
      </x:c>
      <x:c r="H1578" s="3" t="n">
        <x:v>3</x:v>
      </x:c>
      <x:c r="I1578" s="3" t="n">
        <x:v>106</x:v>
      </x:c>
      <x:c r="J1578" s="15" t="n">
        <x:f>IF(D1578=0,"n.a.",E1578/D1578)</x:f>
        <x:v>0.005918605088121453</x:v>
      </x:c>
      <x:c r="K1578" s="15" t="n">
        <x:f>F1578/'Datos'!$F$7</x:f>
        <x:v>0.00010805386054485044</x:v>
      </x:c>
      <x:c r="L1578" s="3"/>
    </x:row>
    <x:row r="1579" ht="22" customHeight="1">
      <x:c r="A1579" s="3"/>
      <x:c r="B1579" s="3" t="str">
        <x:v>23056</x:v>
      </x:c>
      <x:c r="C1579" s="3" t="str">
        <x:v>FLOWERS CHANDELIER T-LIGHT HOLDER</x:v>
      </x:c>
      <x:c r="D1579" s="13" t="n">
        <x:v>2916.87</x:v>
      </x:c>
      <x:c r="E1579" s="13" t="n">
        <x:v>1859.07</x:v>
      </x:c>
      <x:c r="F1579" s="13" t="n">
        <x:f>D1579-E1579</x:f>
        <x:v>1057.8</x:v>
      </x:c>
      <x:c r="G1579" s="3" t="n">
        <x:v>966</x:v>
      </x:c>
      <x:c r="H1579" s="3" t="n">
        <x:v>579</x:v>
      </x:c>
      <x:c r="I1579" s="3" t="n">
        <x:v>39</x:v>
      </x:c>
      <x:c r="J1579" s="15" t="n">
        <x:f>IF(D1579=0,"n.a.",E1579/D1579)</x:f>
        <x:v>0.6373509961019861</x:v>
      </x:c>
      <x:c r="K1579" s="15" t="n">
        <x:f>F1579/'Datos'!$F$7</x:f>
        <x:v>0.00010801914083613018</x:v>
      </x:c>
      <x:c r="L1579" s="3"/>
    </x:row>
    <x:row r="1580" ht="22" customHeight="1">
      <x:c r="A1580" s="3"/>
      <x:c r="B1580" s="3" t="str">
        <x:v>22190</x:v>
      </x:c>
      <x:c r="C1580" s="3" t="str">
        <x:v>LOCAL CAFE MUG</x:v>
      </x:c>
      <x:c r="D1580" s="13" t="n">
        <x:v>1057.71</x:v>
      </x:c>
      <x:c r="E1580" s="13" t="n">
        <x:v>0</x:v>
      </x:c>
      <x:c r="F1580" s="13" t="n">
        <x:f>D1580-E1580</x:f>
        <x:v>1057.71</x:v>
      </x:c>
      <x:c r="G1580" s="3" t="n">
        <x:v>676</x:v>
      </x:c>
      <x:c r="H1580" s="3" t="n">
        <x:v>0</x:v>
      </x:c>
      <x:c r="I1580" s="3" t="n">
        <x:v>116</x:v>
      </x:c>
      <x:c r="J1580" s="15" t="n">
        <x:f>IF(D1580=0,"n.a.",E1580/D1580)</x:f>
        <x:v>0</x:v>
      </x:c>
      <x:c r="K1580" s="15" t="n">
        <x:f>F1580/'Datos'!$F$7</x:f>
        <x:v>0.00010800995032499836</x:v>
      </x:c>
      <x:c r="L1580" s="3"/>
    </x:row>
    <x:row r="1581" ht="22" customHeight="1">
      <x:c r="A1581" s="3"/>
      <x:c r="B1581" s="3" t="str">
        <x:v>21949</x:v>
      </x:c>
      <x:c r="C1581" s="3" t="str">
        <x:v>SET OF 6 STRAWBERRY CHOPSTICKS</x:v>
      </x:c>
      <x:c r="D1581" s="13" t="n">
        <x:v>1054.44</x:v>
      </x:c>
      <x:c r="E1581" s="13" t="n">
        <x:v>0</x:v>
      </x:c>
      <x:c r="F1581" s="13" t="n">
        <x:f>D1581-E1581</x:f>
        <x:v>1054.44</x:v>
      </x:c>
      <x:c r="G1581" s="3" t="n">
        <x:v>801</x:v>
      </x:c>
      <x:c r="H1581" s="3" t="n">
        <x:v>0</x:v>
      </x:c>
      <x:c r="I1581" s="3" t="n">
        <x:v>144</x:v>
      </x:c>
      <x:c r="J1581" s="15" t="n">
        <x:f>IF(D1581=0,"n.a.",E1581/D1581)</x:f>
        <x:v>0</x:v>
      </x:c>
      <x:c r="K1581" s="15" t="n">
        <x:f>F1581/'Datos'!$F$7</x:f>
        <x:v>0.0001076760284205418</x:v>
      </x:c>
      <x:c r="L1581" s="3"/>
    </x:row>
    <x:row r="1582" ht="22" customHeight="1">
      <x:c r="A1582" s="3"/>
      <x:c r="B1582" s="3" t="str">
        <x:v>22211</x:v>
      </x:c>
      <x:c r="C1582" s="3" t="str">
        <x:v>WOOD STAMP SET FLOWERS</x:v>
      </x:c>
      <x:c r="D1582" s="13" t="n">
        <x:v>1124.04</x:v>
      </x:c>
      <x:c r="E1582" s="13" t="n">
        <x:v>69.6</x:v>
      </x:c>
      <x:c r="F1582" s="13" t="n">
        <x:f>D1582-E1582</x:f>
        <x:v>1054.44</x:v>
      </x:c>
      <x:c r="G1582" s="3" t="n">
        <x:v>1009</x:v>
      </x:c>
      <x:c r="H1582" s="3" t="n">
        <x:v>48</x:v>
      </x:c>
      <x:c r="I1582" s="3" t="n">
        <x:v>196</x:v>
      </x:c>
      <x:c r="J1582" s="15" t="n">
        <x:f>IF(D1582=0,"n.a.",E1582/D1582)</x:f>
        <x:v>0.06191950464396285</x:v>
      </x:c>
      <x:c r="K1582" s="15" t="n">
        <x:f>F1582/'Datos'!$F$7</x:f>
        <x:v>0.0001076760284205418</x:v>
      </x:c>
      <x:c r="L1582" s="3"/>
    </x:row>
    <x:row r="1583" ht="22" customHeight="1">
      <x:c r="A1583" s="3"/>
      <x:c r="B1583" s="3" t="str">
        <x:v>16016</x:v>
      </x:c>
      <x:c r="C1583" s="3" t="str">
        <x:v>LARGE CHINESE STYLE SCISSOR</x:v>
      </x:c>
      <x:c r="D1583" s="13" t="n">
        <x:v>1053.45</x:v>
      </x:c>
      <x:c r="E1583" s="13" t="n">
        <x:v>0</x:v>
      </x:c>
      <x:c r="F1583" s="13" t="n">
        <x:f>D1583-E1583</x:f>
        <x:v>1053.45</x:v>
      </x:c>
      <x:c r="G1583" s="3" t="n">
        <x:v>1273</x:v>
      </x:c>
      <x:c r="H1583" s="3" t="n">
        <x:v>0</x:v>
      </x:c>
      <x:c r="I1583" s="3" t="n">
        <x:v>65</x:v>
      </x:c>
      <x:c r="J1583" s="15" t="n">
        <x:f>IF(D1583=0,"n.a.",E1583/D1583)</x:f>
        <x:v>0</x:v>
      </x:c>
      <x:c r="K1583" s="15" t="n">
        <x:f>F1583/'Datos'!$F$7</x:f>
        <x:v>0.00010757493279809164</x:v>
      </x:c>
      <x:c r="L1583" s="3"/>
    </x:row>
    <x:row r="1584" ht="22" customHeight="1">
      <x:c r="A1584" s="3"/>
      <x:c r="B1584" s="3" t="str">
        <x:v>22152</x:v>
      </x:c>
      <x:c r="C1584" s="3" t="str">
        <x:v>PLACE SETTING WHITE STAR</x:v>
      </x:c>
      <x:c r="D1584" s="13" t="n">
        <x:v>1053.5</x:v>
      </x:c>
      <x:c r="E1584" s="13" t="n">
        <x:v>1.68</x:v>
      </x:c>
      <x:c r="F1584" s="13" t="n">
        <x:f>D1584-E1584</x:f>
        <x:v>1051.82</x:v>
      </x:c>
      <x:c r="G1584" s="3" t="n">
        <x:v>2408</x:v>
      </x:c>
      <x:c r="H1584" s="3" t="n">
        <x:v>4</x:v>
      </x:c>
      <x:c r="I1584" s="3" t="n">
        <x:v>105</x:v>
      </x:c>
      <x:c r="J1584" s="15" t="n">
        <x:f>IF(D1584=0,"n.a.",E1584/D1584)</x:f>
        <x:v>0.0015946843853820597</x:v>
      </x:c>
      <x:c r="K1584" s="15" t="n">
        <x:f>F1584/'Datos'!$F$7</x:f>
        <x:v>0.00010740848242981513</x:v>
      </x:c>
      <x:c r="L1584" s="3"/>
    </x:row>
    <x:row r="1585" ht="22" customHeight="1">
      <x:c r="A1585" s="3"/>
      <x:c r="B1585" s="3" t="str">
        <x:v>22066</x:v>
      </x:c>
      <x:c r="C1585" s="3" t="str">
        <x:v>LOVE HEART TRINKET POT</x:v>
      </x:c>
      <x:c r="D1585" s="13" t="n">
        <x:v>1051.05</x:v>
      </x:c>
      <x:c r="E1585" s="13" t="n">
        <x:v>1.95</x:v>
      </x:c>
      <x:c r="F1585" s="13" t="n">
        <x:f>D1585-E1585</x:f>
        <x:v>1049.1</x:v>
      </x:c>
      <x:c r="G1585" s="3" t="n">
        <x:v>2255</x:v>
      </x:c>
      <x:c r="H1585" s="3" t="n">
        <x:v>5</x:v>
      </x:c>
      <x:c r="I1585" s="3" t="n">
        <x:v>135</x:v>
      </x:c>
      <x:c r="J1585" s="15" t="n">
        <x:f>IF(D1585=0,"n.a.",E1585/D1585)</x:f>
        <x:v>0.0018552875695732839</x:v>
      </x:c>
      <x:c r="K1585" s="15" t="n">
        <x:f>F1585/'Datos'!$F$7</x:f>
        <x:v>0.00010713072476005309</x:v>
      </x:c>
      <x:c r="L1585" s="3"/>
    </x:row>
    <x:row r="1586" ht="22" customHeight="1">
      <x:c r="A1586" s="3"/>
      <x:c r="B1586" s="3" t="str">
        <x:v>22363</x:v>
      </x:c>
      <x:c r="C1586" s="3" t="str">
        <x:v>GLASS JAR MARMALADE</x:v>
      </x:c>
      <x:c r="D1586" s="13" t="n">
        <x:v>1383.75</x:v>
      </x:c>
      <x:c r="E1586" s="13" t="n">
        <x:v>335.5</x:v>
      </x:c>
      <x:c r="F1586" s="13" t="n">
        <x:f>D1586-E1586</x:f>
        <x:v>1048.25</x:v>
      </x:c>
      <x:c r="G1586" s="3" t="n">
        <x:v>481</x:v>
      </x:c>
      <x:c r="H1586" s="3" t="n">
        <x:v>130</x:v>
      </x:c>
      <x:c r="I1586" s="3" t="n">
        <x:v>81</x:v>
      </x:c>
      <x:c r="J1586" s="15" t="n">
        <x:f>IF(D1586=0,"n.a.",E1586/D1586)</x:f>
        <x:v>0.24245709123757905</x:v>
      </x:c>
      <x:c r="K1586" s="15" t="n">
        <x:f>F1586/'Datos'!$F$7</x:f>
        <x:v>0.00010704392548825247</x:v>
      </x:c>
      <x:c r="L1586" s="3"/>
    </x:row>
    <x:row r="1587" ht="22" customHeight="1">
      <x:c r="A1587" s="3"/>
      <x:c r="B1587" s="3" t="str">
        <x:v>85159B</x:v>
      </x:c>
      <x:c r="C1587" s="3" t="str">
        <x:v>WHITE TEA,COFFEE,SUGAR JARS</x:v>
      </x:c>
      <x:c r="D1587" s="13" t="n">
        <x:v>1134.5</x:v>
      </x:c>
      <x:c r="E1587" s="13" t="n">
        <x:v>86.54</x:v>
      </x:c>
      <x:c r="F1587" s="13" t="n">
        <x:f>D1587-E1587</x:f>
        <x:v>1047.96</x:v>
      </x:c>
      <x:c r="G1587" s="3" t="n">
        <x:v>622</x:v>
      </x:c>
      <x:c r="H1587" s="3" t="n">
        <x:v>38</x:v>
      </x:c>
      <x:c r="I1587" s="3" t="n">
        <x:v>59</x:v>
      </x:c>
      <x:c r="J1587" s="15" t="n">
        <x:f>IF(D1587=0,"n.a.",E1587/D1587)</x:f>
        <x:v>0.07628029969149405</x:v>
      </x:c>
      <x:c r="K1587" s="15" t="n">
        <x:f>F1587/'Datos'!$F$7</x:f>
        <x:v>0.0001070143116190499</x:v>
      </x:c>
      <x:c r="L1587" s="3"/>
    </x:row>
    <x:row r="1588" ht="22" customHeight="1">
      <x:c r="A1588" s="3"/>
      <x:c r="B1588" s="3" t="str">
        <x:v>35648</x:v>
      </x:c>
      <x:c r="C1588" s="3" t="str">
        <x:v>VINTAGE BEAD PINK PURSE</x:v>
      </x:c>
      <x:c r="D1588" s="13" t="n">
        <x:v>1068.32</x:v>
      </x:c>
      <x:c r="E1588" s="13" t="n">
        <x:v>20.75</x:v>
      </x:c>
      <x:c r="F1588" s="13" t="n">
        <x:f>D1588-E1588</x:f>
        <x:v>1047.57</x:v>
      </x:c>
      <x:c r="G1588" s="3" t="n">
        <x:v>981</x:v>
      </x:c>
      <x:c r="H1588" s="3" t="n">
        <x:v>25</x:v>
      </x:c>
      <x:c r="I1588" s="3" t="n">
        <x:v>128</x:v>
      </x:c>
      <x:c r="J1588" s="15" t="n">
        <x:f>IF(D1588=0,"n.a.",E1588/D1588)</x:f>
        <x:v>0.019423019320053917</x:v>
      </x:c>
      <x:c r="K1588" s="15" t="n">
        <x:f>F1588/'Datos'!$F$7</x:f>
        <x:v>0.00010697448607081196</x:v>
      </x:c>
      <x:c r="L1588" s="3"/>
    </x:row>
    <x:row r="1589" ht="22" customHeight="1">
      <x:c r="A1589" s="3"/>
      <x:c r="B1589" s="3" t="str">
        <x:v>23327</x:v>
      </x:c>
      <x:c r="C1589" s="3" t="str">
        <x:v>HANGING CLEAR MINI BOTTLE</x:v>
      </x:c>
      <x:c r="D1589" s="13" t="n">
        <x:v>1051.14</x:v>
      </x:c>
      <x:c r="E1589" s="13" t="n">
        <x:v>4.72</x:v>
      </x:c>
      <x:c r="F1589" s="13" t="n">
        <x:f>D1589-E1589</x:f>
        <x:v>1046.42</x:v>
      </x:c>
      <x:c r="G1589" s="3" t="n">
        <x:v>1734</x:v>
      </x:c>
      <x:c r="H1589" s="3" t="n">
        <x:v>8</x:v>
      </x:c>
      <x:c r="I1589" s="3" t="n">
        <x:v>41</x:v>
      </x:c>
      <x:c r="J1589" s="15" t="n">
        <x:f>IF(D1589=0,"n.a.",E1589/D1589)</x:f>
        <x:v>0.00449036284415016</x:v>
      </x:c>
      <x:c r="K1589" s="15" t="n">
        <x:f>F1589/'Datos'!$F$7</x:f>
        <x:v>0.00010685705176190522</x:v>
      </x:c>
      <x:c r="L1589" s="3"/>
    </x:row>
    <x:row r="1590" ht="22" customHeight="1">
      <x:c r="A1590" s="3"/>
      <x:c r="B1590" s="3" t="str">
        <x:v>85116</x:v>
      </x:c>
      <x:c r="C1590" s="3" t="str">
        <x:v>BLACK CANDELABRA T-LIGHT HOLDER</x:v>
      </x:c>
      <x:c r="D1590" s="13" t="n">
        <x:v>1106.88</x:v>
      </x:c>
      <x:c r="E1590" s="13" t="n">
        <x:v>63</x:v>
      </x:c>
      <x:c r="F1590" s="13" t="n">
        <x:f>D1590-E1590</x:f>
        <x:v>1043.88</x:v>
      </x:c>
      <x:c r="G1590" s="3" t="n">
        <x:v>941</x:v>
      </x:c>
      <x:c r="H1590" s="3" t="n">
        <x:v>30</x:v>
      </x:c>
      <x:c r="I1590" s="3" t="n">
        <x:v>89</x:v>
      </x:c>
      <x:c r="J1590" s="15" t="n">
        <x:f>IF(D1590=0,"n.a.",E1590/D1590)</x:f>
        <x:v>0.05691673894189071</x:v>
      </x:c>
      <x:c r="K1590" s="15" t="n">
        <x:f>F1590/'Datos'!$F$7</x:f>
        <x:v>0.00010659767511440687</x:v>
      </x:c>
      <x:c r="L1590" s="3"/>
    </x:row>
    <x:row r="1591" ht="22" customHeight="1">
      <x:c r="A1591" s="3"/>
      <x:c r="B1591" s="3" t="str">
        <x:v>23419</x:v>
      </x:c>
      <x:c r="C1591" s="3" t="str">
        <x:v>HOME SWEET HOME BOTTLE</x:v>
      </x:c>
      <x:c r="D1591" s="13" t="n">
        <x:v>1045.8</x:v>
      </x:c>
      <x:c r="E1591" s="13" t="n">
        <x:v>2.08</x:v>
      </x:c>
      <x:c r="F1591" s="13" t="n">
        <x:f>D1591-E1591</x:f>
        <x:v>1043.72</x:v>
      </x:c>
      <x:c r="G1591" s="3" t="n">
        <x:v>474</x:v>
      </x:c>
      <x:c r="H1591" s="3" t="n">
        <x:v>1</x:v>
      </x:c>
      <x:c r="I1591" s="3" t="n">
        <x:v>86</x:v>
      </x:c>
      <x:c r="J1591" s="15" t="n">
        <x:f>IF(D1591=0,"n.a.",E1591/D1591)</x:f>
        <x:v>0.0019889080130043985</x:v>
      </x:c>
      <x:c r="K1591" s="15" t="n">
        <x:f>F1591/'Datos'!$F$7</x:f>
        <x:v>0.00010658133642795026</x:v>
      </x:c>
      <x:c r="L1591" s="3"/>
    </x:row>
    <x:row r="1592" ht="22" customHeight="1">
      <x:c r="A1592" s="3"/>
      <x:c r="B1592" s="3" t="str">
        <x:v>21508</x:v>
      </x:c>
      <x:c r="C1592" s="3" t="str">
        <x:v>VINTAGE KID DOLLY CARD</x:v>
      </x:c>
      <x:c r="D1592" s="13" t="n">
        <x:v>1046.98</x:v>
      </x:c>
      <x:c r="E1592" s="13" t="n">
        <x:v>5.04</x:v>
      </x:c>
      <x:c r="F1592" s="13" t="n">
        <x:f>D1592-E1592</x:f>
        <x:v>1041.94</x:v>
      </x:c>
      <x:c r="G1592" s="3" t="n">
        <x:v>2490</x:v>
      </x:c>
      <x:c r="H1592" s="3" t="n">
        <x:v>12</x:v>
      </x:c>
      <x:c r="I1592" s="3" t="n">
        <x:v>213</x:v>
      </x:c>
      <x:c r="J1592" s="15" t="n">
        <x:f>IF(D1592=0,"n.a.",E1592/D1592)</x:f>
        <x:v>0.004813845536686469</x:v>
      </x:c>
      <x:c r="K1592" s="15" t="n">
        <x:f>F1592/'Datos'!$F$7</x:f>
        <x:v>0.00010639956854112071</x:v>
      </x:c>
      <x:c r="L1592" s="3"/>
    </x:row>
    <x:row r="1593" ht="22" customHeight="1">
      <x:c r="A1593" s="3"/>
      <x:c r="B1593" s="3" t="str">
        <x:v>22995</x:v>
      </x:c>
      <x:c r="C1593" s="3" t="str">
        <x:v>TRAVEL CARD WALLET SUKI</x:v>
      </x:c>
      <x:c r="D1593" s="13" t="n">
        <x:v>1062</x:v>
      </x:c>
      <x:c r="E1593" s="13" t="n">
        <x:v>20.58</x:v>
      </x:c>
      <x:c r="F1593" s="13" t="n">
        <x:f>D1593-E1593</x:f>
        <x:v>1041.42</x:v>
      </x:c>
      <x:c r="G1593" s="3" t="n">
        <x:v>2389</x:v>
      </x:c>
      <x:c r="H1593" s="3" t="n">
        <x:v>49</x:v>
      </x:c>
      <x:c r="I1593" s="3" t="n">
        <x:v>266</x:v>
      </x:c>
      <x:c r="J1593" s="15" t="n">
        <x:f>IF(D1593=0,"n.a.",E1593/D1593)</x:f>
        <x:v>0.019378531073446326</x:v>
      </x:c>
      <x:c r="K1593" s="15" t="n">
        <x:f>F1593/'Datos'!$F$7</x:f>
        <x:v>0.0001063464678101368</x:v>
      </x:c>
      <x:c r="L1593" s="3"/>
    </x:row>
    <x:row r="1594" ht="22" customHeight="1">
      <x:c r="A1594" s="3"/>
      <x:c r="B1594" s="3" t="str">
        <x:v>79302M</x:v>
      </x:c>
      <x:c r="C1594" s="3" t="str">
        <x:v>ART LIGHTS,FUNK MONKEY</x:v>
      </x:c>
      <x:c r="D1594" s="13" t="n">
        <x:v>1037.54</x:v>
      </x:c>
      <x:c r="E1594" s="13" t="n">
        <x:v>0</x:v>
      </x:c>
      <x:c r="F1594" s="13" t="n">
        <x:f>D1594-E1594</x:f>
        <x:v>1037.54</x:v>
      </x:c>
      <x:c r="G1594" s="3" t="n">
        <x:v>370</x:v>
      </x:c>
      <x:c r="H1594" s="3" t="n">
        <x:v>0</x:v>
      </x:c>
      <x:c r="I1594" s="3" t="n">
        <x:v>62</x:v>
      </x:c>
      <x:c r="J1594" s="15" t="n">
        <x:f>IF(D1594=0,"n.a.",E1594/D1594)</x:f>
        <x:v>0</x:v>
      </x:c>
      <x:c r="K1594" s="15" t="n">
        <x:f>F1594/'Datos'!$F$7</x:f>
        <x:v>0.00010595025466356447</x:v>
      </x:c>
      <x:c r="L1594" s="3"/>
    </x:row>
    <x:row r="1595" ht="22" customHeight="1">
      <x:c r="A1595" s="3"/>
      <x:c r="B1595" s="3" t="str">
        <x:v>16237</x:v>
      </x:c>
      <x:c r="C1595" s="3" t="str">
        <x:v>SLEEPING CAT ERASERS</x:v>
      </x:c>
      <x:c r="D1595" s="13" t="n">
        <x:v>1048.56</x:v>
      </x:c>
      <x:c r="E1595" s="13" t="n">
        <x:v>12.6</x:v>
      </x:c>
      <x:c r="F1595" s="13" t="n">
        <x:f>D1595-E1595</x:f>
        <x:v>1035.96</x:v>
      </x:c>
      <x:c r="G1595" s="3" t="n">
        <x:v>4994</x:v>
      </x:c>
      <x:c r="H1595" s="3" t="n">
        <x:v>60</x:v>
      </x:c>
      <x:c r="I1595" s="3" t="n">
        <x:v>290</x:v>
      </x:c>
      <x:c r="J1595" s="15" t="n">
        <x:f>IF(D1595=0,"n.a.",E1595/D1595)</x:f>
        <x:v>0.012016479743648433</x:v>
      </x:c>
      <x:c r="K1595" s="15" t="n">
        <x:f>F1595/'Datos'!$F$7</x:f>
        <x:v>0.00010578891013480565</x:v>
      </x:c>
      <x:c r="L1595" s="3"/>
    </x:row>
    <x:row r="1596" ht="22" customHeight="1">
      <x:c r="A1596" s="3"/>
      <x:c r="B1596" s="3" t="str">
        <x:v>23347</x:v>
      </x:c>
      <x:c r="C1596" s="3" t="str">
        <x:v>I LOVE LONDON BEAKER</x:v>
      </x:c>
      <x:c r="D1596" s="13" t="n">
        <x:v>1077.3</x:v>
      </x:c>
      <x:c r="E1596" s="13" t="n">
        <x:v>42.5</x:v>
      </x:c>
      <x:c r="F1596" s="13" t="n">
        <x:f>D1596-E1596</x:f>
        <x:v>1034.8</x:v>
      </x:c>
      <x:c r="G1596" s="3" t="n">
        <x:v>860</x:v>
      </x:c>
      <x:c r="H1596" s="3" t="n">
        <x:v>34</x:v>
      </x:c>
      <x:c r="I1596" s="3" t="n">
        <x:v>97</x:v>
      </x:c>
      <x:c r="J1596" s="15" t="n">
        <x:f>IF(D1596=0,"n.a.",E1596/D1596)</x:f>
        <x:v>0.03945047804696928</x:v>
      </x:c>
      <x:c r="K1596" s="15" t="n">
        <x:f>F1596/'Datos'!$F$7</x:f>
        <x:v>0.00010567045465799537</x:v>
      </x:c>
      <x:c r="L1596" s="3"/>
    </x:row>
    <x:row r="1597" ht="22" customHeight="1">
      <x:c r="A1597" s="3"/>
      <x:c r="B1597" s="3" t="str">
        <x:v>23088</x:v>
      </x:c>
      <x:c r="C1597" s="3" t="str">
        <x:v>ZINC HEART FLOWER T-LIGHT HOLDER</x:v>
      </x:c>
      <x:c r="D1597" s="13" t="n">
        <x:v>1033.28</x:v>
      </x:c>
      <x:c r="E1597" s="13" t="n">
        <x:v>0</x:v>
      </x:c>
      <x:c r="F1597" s="13" t="n">
        <x:f>D1597-E1597</x:f>
        <x:v>1033.28</x:v>
      </x:c>
      <x:c r="G1597" s="3" t="n">
        <x:v>795</x:v>
      </x:c>
      <x:c r="H1597" s="3" t="n">
        <x:v>0</x:v>
      </x:c>
      <x:c r="I1597" s="3" t="n">
        <x:v>79</x:v>
      </x:c>
      <x:c r="J1597" s="15" t="n">
        <x:f>IF(D1597=0,"n.a.",E1597/D1597)</x:f>
        <x:v>0</x:v>
      </x:c>
      <x:c r="K1597" s="15" t="n">
        <x:f>F1597/'Datos'!$F$7</x:f>
        <x:v>0.00010551523713665777</x:v>
      </x:c>
      <x:c r="L1597" s="3"/>
    </x:row>
    <x:row r="1598" ht="22" customHeight="1">
      <x:c r="A1598" s="3"/>
      <x:c r="B1598" s="3" t="str">
        <x:v>22060</x:v>
      </x:c>
      <x:c r="C1598" s="3" t="str">
        <x:v>LARGE CAKE STAND HANGING HEARTS</x:v>
      </x:c>
      <x:c r="D1598" s="13" t="n">
        <x:v>1118.95</x:v>
      </x:c>
      <x:c r="E1598" s="13" t="n">
        <x:v>87.2</x:v>
      </x:c>
      <x:c r="F1598" s="13" t="n">
        <x:f>D1598-E1598</x:f>
        <x:v>1031.75</x:v>
      </x:c>
      <x:c r="G1598" s="3" t="n">
        <x:v>233</x:v>
      </x:c>
      <x:c r="H1598" s="3" t="n">
        <x:v>16</x:v>
      </x:c>
      <x:c r="I1598" s="3" t="n">
        <x:v>34</x:v>
      </x:c>
      <x:c r="J1598" s="15" t="n">
        <x:f>IF(D1598=0,"n.a.",E1598/D1598)</x:f>
        <x:v>0.0779302024219134</x:v>
      </x:c>
      <x:c r="K1598" s="15" t="n">
        <x:f>F1598/'Datos'!$F$7</x:f>
        <x:v>0.00010535899844741663</x:v>
      </x:c>
      <x:c r="L1598" s="3"/>
    </x:row>
    <x:row r="1599" ht="22" customHeight="1">
      <x:c r="A1599" s="3"/>
      <x:c r="B1599" s="3" t="str">
        <x:v>20967</x:v>
      </x:c>
      <x:c r="C1599" s="3" t="str">
        <x:v>GREY FLORAL FELTCRAFT SHOULDER BAG</x:v>
      </x:c>
      <x:c r="D1599" s="13" t="n">
        <x:v>1031.69</x:v>
      </x:c>
      <x:c r="E1599" s="13" t="n">
        <x:v>0</x:v>
      </x:c>
      <x:c r="F1599" s="13" t="n">
        <x:f>D1599-E1599</x:f>
        <x:v>1031.69</x:v>
      </x:c>
      <x:c r="G1599" s="3" t="n">
        <x:v>266</x:v>
      </x:c>
      <x:c r="H1599" s="3" t="n">
        <x:v>0</x:v>
      </x:c>
      <x:c r="I1599" s="3" t="n">
        <x:v>83</x:v>
      </x:c>
      <x:c r="J1599" s="15" t="n">
        <x:f>IF(D1599=0,"n.a.",E1599/D1599)</x:f>
        <x:v>0</x:v>
      </x:c>
      <x:c r="K1599" s="15" t="n">
        <x:f>F1599/'Datos'!$F$7</x:f>
        <x:v>0.00010535287143999542</x:v>
      </x:c>
      <x:c r="L1599" s="3"/>
    </x:row>
    <x:row r="1600" ht="22" customHeight="1">
      <x:c r="A1600" s="3"/>
      <x:c r="B1600" s="3" t="str">
        <x:v>21803</x:v>
      </x:c>
      <x:c r="C1600" s="3" t="str">
        <x:v>CHRISTMAS TREE STAR DECORATION</x:v>
      </x:c>
      <x:c r="D1600" s="13" t="n">
        <x:v>1031.56</x:v>
      </x:c>
      <x:c r="E1600" s="13" t="n">
        <x:v>0</x:v>
      </x:c>
      <x:c r="F1600" s="13" t="n">
        <x:f>D1600-E1600</x:f>
        <x:v>1031.56</x:v>
      </x:c>
      <x:c r="G1600" s="3" t="n">
        <x:v>2390</x:v>
      </x:c>
      <x:c r="H1600" s="3" t="n">
        <x:v>0</x:v>
      </x:c>
      <x:c r="I1600" s="3" t="n">
        <x:v>198</x:v>
      </x:c>
      <x:c r="J1600" s="15" t="n">
        <x:f>IF(D1600=0,"n.a.",E1600/D1600)</x:f>
        <x:v>0</x:v>
      </x:c>
      <x:c r="K1600" s="15" t="n">
        <x:f>F1600/'Datos'!$F$7</x:f>
        <x:v>0.00010533959625724943</x:v>
      </x:c>
      <x:c r="L1600" s="3"/>
    </x:row>
    <x:row r="1601" ht="22" customHeight="1">
      <x:c r="A1601" s="3"/>
      <x:c r="B1601" s="3" t="str">
        <x:v>18097C</x:v>
      </x:c>
      <x:c r="C1601" s="3" t="str">
        <x:v>WHITE TALL PORCELAIN T-LIGHT HOLDER</x:v>
      </x:c>
      <x:c r="D1601" s="13" t="n">
        <x:v>1601.21</x:v>
      </x:c>
      <x:c r="E1601" s="13" t="n">
        <x:v>571.8</x:v>
      </x:c>
      <x:c r="F1601" s="13" t="n">
        <x:f>D1601-E1601</x:f>
        <x:v>1029.41</x:v>
      </x:c>
      <x:c r="G1601" s="3" t="n">
        <x:v>699</x:v>
      </x:c>
      <x:c r="H1601" s="3" t="n">
        <x:v>292</x:v>
      </x:c>
      <x:c r="I1601" s="3" t="n">
        <x:v>69</x:v>
      </x:c>
      <x:c r="J1601" s="15" t="n">
        <x:f>IF(D1601=0,"n.a.",E1601/D1601)</x:f>
        <x:v>0.3571049393895866</x:v>
      </x:c>
      <x:c r="K1601" s="15" t="n">
        <x:f>F1601/'Datos'!$F$7</x:f>
        <x:v>0.00010512004515798901</x:v>
      </x:c>
      <x:c r="L1601" s="3"/>
    </x:row>
    <x:row r="1602" ht="22" customHeight="1">
      <x:c r="A1602" s="3"/>
      <x:c r="B1602" s="3" t="str">
        <x:v>22024</x:v>
      </x:c>
      <x:c r="C1602" s="3" t="str">
        <x:v>RAINY LADIES BIRTHDAY CARD</x:v>
      </x:c>
      <x:c r="D1602" s="13" t="n">
        <x:v>1033.81</x:v>
      </x:c>
      <x:c r="E1602" s="13" t="n">
        <x:v>5.04</x:v>
      </x:c>
      <x:c r="F1602" s="13" t="n">
        <x:f>D1602-E1602</x:f>
        <x:v>1028.77</x:v>
      </x:c>
      <x:c r="G1602" s="3" t="n">
        <x:v>2430</x:v>
      </x:c>
      <x:c r="H1602" s="3" t="n">
        <x:v>12</x:v>
      </x:c>
      <x:c r="I1602" s="3" t="n">
        <x:v>213</x:v>
      </x:c>
      <x:c r="J1602" s="15" t="n">
        <x:f>IF(D1602=0,"n.a.",E1602/D1602)</x:f>
        <x:v>0.004875170485872646</x:v>
      </x:c>
      <x:c r="K1602" s="15" t="n">
        <x:f>F1602/'Datos'!$F$7</x:f>
        <x:v>0.00010505469041216265</x:v>
      </x:c>
      <x:c r="L1602" s="3"/>
    </x:row>
    <x:row r="1603" ht="22" customHeight="1">
      <x:c r="A1603" s="3"/>
      <x:c r="B1603" s="3" t="str">
        <x:v>21679</x:v>
      </x:c>
      <x:c r="C1603" s="3" t="str">
        <x:v>SKULLS STICKERS</x:v>
      </x:c>
      <x:c r="D1603" s="13" t="n">
        <x:v>1028.58</x:v>
      </x:c>
      <x:c r="E1603" s="13" t="n">
        <x:v>0</x:v>
      </x:c>
      <x:c r="F1603" s="13" t="n">
        <x:f>D1603-E1603</x:f>
        <x:v>1028.58</x:v>
      </x:c>
      <x:c r="G1603" s="3" t="n">
        <x:v>1140</x:v>
      </x:c>
      <x:c r="H1603" s="3" t="n">
        <x:v>0</x:v>
      </x:c>
      <x:c r="I1603" s="3" t="n">
        <x:v>138</x:v>
      </x:c>
      <x:c r="J1603" s="15" t="n">
        <x:f>IF(D1603=0,"n.a.",E1603/D1603)</x:f>
        <x:v>0</x:v>
      </x:c>
      <x:c r="K1603" s="15" t="n">
        <x:f>F1603/'Datos'!$F$7</x:f>
        <x:v>0.00010503528822199544</x:v>
      </x:c>
      <x:c r="L1603" s="3"/>
    </x:row>
    <x:row r="1604" ht="22" customHeight="1">
      <x:c r="A1604" s="3"/>
      <x:c r="B1604" s="3" t="str">
        <x:v>84944</x:v>
      </x:c>
      <x:c r="C1604" s="3" t="str">
        <x:v>SET OF 6 KASHMIR FOLKART BAUBLES</x:v>
      </x:c>
      <x:c r="D1604" s="13" t="n">
        <x:v>1121.91</x:v>
      </x:c>
      <x:c r="E1604" s="13" t="n">
        <x:v>95.7</x:v>
      </x:c>
      <x:c r="F1604" s="13" t="n">
        <x:f>D1604-E1604</x:f>
        <x:v>1026.21</x:v>
      </x:c>
      <x:c r="G1604" s="3" t="n">
        <x:v>711</x:v>
      </x:c>
      <x:c r="H1604" s="3" t="n">
        <x:v>58</x:v>
      </x:c>
      <x:c r="I1604" s="3" t="n">
        <x:v>83</x:v>
      </x:c>
      <x:c r="J1604" s="15" t="n">
        <x:f>IF(D1604=0,"n.a.",E1604/D1604)</x:f>
        <x:v>0.08530095997005108</x:v>
      </x:c>
      <x:c r="K1604" s="15" t="n">
        <x:f>F1604/'Datos'!$F$7</x:f>
        <x:v>0.00010479327142885721</x:v>
      </x:c>
      <x:c r="L1604" s="3"/>
    </x:row>
    <x:row r="1605" ht="22" customHeight="1">
      <x:c r="A1605" s="3"/>
      <x:c r="B1605" s="3" t="str">
        <x:v>23545</x:v>
      </x:c>
      <x:c r="C1605" s="3" t="str">
        <x:v>WRAP RED VINTAGE DOILY</x:v>
      </x:c>
      <x:c r="D1605" s="13" t="n">
        <x:v>1025.6</x:v>
      </x:c>
      <x:c r="E1605" s="13" t="n">
        <x:v>0</x:v>
      </x:c>
      <x:c r="F1605" s="13" t="n">
        <x:f>D1605-E1605</x:f>
        <x:v>1025.6</x:v>
      </x:c>
      <x:c r="G1605" s="3" t="n">
        <x:v>2480</x:v>
      </x:c>
      <x:c r="H1605" s="3" t="n">
        <x:v>0</x:v>
      </x:c>
      <x:c r="I1605" s="3" t="n">
        <x:v>84</x:v>
      </x:c>
      <x:c r="J1605" s="15" t="n">
        <x:f>IF(D1605=0,"n.a.",E1605/D1605)</x:f>
        <x:v>0</x:v>
      </x:c>
      <x:c r="K1605" s="15" t="n">
        <x:f>F1605/'Datos'!$F$7</x:f>
        <x:v>0.00010473098018674145</x:v>
      </x:c>
      <x:c r="L1605" s="3"/>
    </x:row>
    <x:row r="1606" ht="22" customHeight="1">
      <x:c r="A1606" s="3"/>
      <x:c r="B1606" s="3" t="str">
        <x:v>84558A</x:v>
      </x:c>
      <x:c r="C1606" s="3" t="str">
        <x:v>3D DOG PICTURE PLAYING CARDS</x:v>
      </x:c>
      <x:c r="D1606" s="13" t="n">
        <x:v>1025.57</x:v>
      </x:c>
      <x:c r="E1606" s="13" t="n">
        <x:v>0</x:v>
      </x:c>
      <x:c r="F1606" s="13" t="n">
        <x:f>D1606-E1606</x:f>
        <x:v>1025.57</x:v>
      </x:c>
      <x:c r="G1606" s="3" t="n">
        <x:v>341</x:v>
      </x:c>
      <x:c r="H1606" s="3" t="n">
        <x:v>0</x:v>
      </x:c>
      <x:c r="I1606" s="3" t="n">
        <x:v>86</x:v>
      </x:c>
      <x:c r="J1606" s="15" t="n">
        <x:f>IF(D1606=0,"n.a.",E1606/D1606)</x:f>
        <x:v>0</x:v>
      </x:c>
      <x:c r="K1606" s="15" t="n">
        <x:f>F1606/'Datos'!$F$7</x:f>
        <x:v>0.00010472791668303084</x:v>
      </x:c>
      <x:c r="L1606" s="3"/>
    </x:row>
    <x:row r="1607" ht="22" customHeight="1">
      <x:c r="A1607" s="3"/>
      <x:c r="B1607" s="3" t="str">
        <x:v>22091</x:v>
      </x:c>
      <x:c r="C1607" s="3" t="str">
        <x:v>EMPIRE TISSUE BOX</x:v>
      </x:c>
      <x:c r="D1607" s="13" t="n">
        <x:v>1033.22</x:v>
      </x:c>
      <x:c r="E1607" s="13" t="n">
        <x:v>8.75</x:v>
      </x:c>
      <x:c r="F1607" s="13" t="n">
        <x:f>D1607-E1607</x:f>
        <x:v>1024.47</x:v>
      </x:c>
      <x:c r="G1607" s="3" t="n">
        <x:v>1991</x:v>
      </x:c>
      <x:c r="H1607" s="3" t="n">
        <x:v>7</x:v>
      </x:c>
      <x:c r="I1607" s="3" t="n">
        <x:v>167</x:v>
      </x:c>
      <x:c r="J1607" s="15" t="n">
        <x:f>IF(D1607=0,"n.a.",E1607/D1607)</x:f>
        <x:v>0.008468670757437912</x:v>
      </x:c>
      <x:c r="K1607" s="15" t="n">
        <x:f>F1607/'Datos'!$F$7</x:f>
        <x:v>0.00010461558821364179</x:v>
      </x:c>
      <x:c r="L1607" s="3"/>
    </x:row>
    <x:row r="1608" ht="22" customHeight="1">
      <x:c r="A1608" s="3"/>
      <x:c r="B1608" s="3" t="str">
        <x:v>22163</x:v>
      </x:c>
      <x:c r="C1608" s="3" t="str">
        <x:v>HEART STRING MEMO HOLDER HANGING</x:v>
      </x:c>
      <x:c r="D1608" s="13" t="n">
        <x:v>1042.78</x:v>
      </x:c>
      <x:c r="E1608" s="13" t="n">
        <x:v>19.75</x:v>
      </x:c>
      <x:c r="F1608" s="13" t="n">
        <x:f>D1608-E1608</x:f>
        <x:v>1023.03</x:v>
      </x:c>
      <x:c r="G1608" s="3" t="n">
        <x:v>875</x:v>
      </x:c>
      <x:c r="H1608" s="3" t="n">
        <x:v>25</x:v>
      </x:c>
      <x:c r="I1608" s="3" t="n">
        <x:v>122</x:v>
      </x:c>
      <x:c r="J1608" s="15" t="n">
        <x:f>IF(D1608=0,"n.a.",E1608/D1608)</x:f>
        <x:v>0.018939757187517982</x:v>
      </x:c>
      <x:c r="K1608" s="15" t="n">
        <x:f>F1608/'Datos'!$F$7</x:f>
        <x:v>0.00010446854003553248</x:v>
      </x:c>
      <x:c r="L1608" s="3"/>
    </x:row>
    <x:row r="1609" ht="22" customHeight="1">
      <x:c r="A1609" s="3"/>
      <x:c r="B1609" s="3" t="str">
        <x:v>20966</x:v>
      </x:c>
      <x:c r="C1609" s="3" t="str">
        <x:v>SANDWICH BATH SPONGE</x:v>
      </x:c>
      <x:c r="D1609" s="13" t="n">
        <x:v>1022.8</x:v>
      </x:c>
      <x:c r="E1609" s="13" t="n">
        <x:v>0</x:v>
      </x:c>
      <x:c r="F1609" s="13" t="n">
        <x:f>D1609-E1609</x:f>
        <x:v>1022.8</x:v>
      </x:c>
      <x:c r="G1609" s="3" t="n">
        <x:v>719</x:v>
      </x:c>
      <x:c r="H1609" s="3" t="n">
        <x:v>0</x:v>
      </x:c>
      <x:c r="I1609" s="3" t="n">
        <x:v>97</x:v>
      </x:c>
      <x:c r="J1609" s="15" t="n">
        <x:f>IF(D1609=0,"n.a.",E1609/D1609)</x:f>
        <x:v>0</x:v>
      </x:c>
      <x:c r="K1609" s="15" t="n">
        <x:f>F1609/'Datos'!$F$7</x:f>
        <x:v>0.00010444505317375112</x:v>
      </x:c>
      <x:c r="L1609" s="3"/>
    </x:row>
    <x:row r="1610" ht="22" customHeight="1">
      <x:c r="A1610" s="3"/>
      <x:c r="B1610" s="3" t="str">
        <x:v>21188</x:v>
      </x:c>
      <x:c r="C1610" s="3" t="str">
        <x:v>3D HEARTS HONEYCOMB PAPER GARLAND</x:v>
      </x:c>
      <x:c r="D1610" s="13" t="n">
        <x:v>1021.9</x:v>
      </x:c>
      <x:c r="E1610" s="13" t="n">
        <x:v>0</x:v>
      </x:c>
      <x:c r="F1610" s="13" t="n">
        <x:f>D1610-E1610</x:f>
        <x:v>1021.9</x:v>
      </x:c>
      <x:c r="G1610" s="3" t="n">
        <x:v>326</x:v>
      </x:c>
      <x:c r="H1610" s="3" t="n">
        <x:v>0</x:v>
      </x:c>
      <x:c r="I1610" s="3" t="n">
        <x:v>50</x:v>
      </x:c>
      <x:c r="J1610" s="15" t="n">
        <x:f>IF(D1610=0,"n.a.",E1610/D1610)</x:f>
        <x:v>0</x:v>
      </x:c>
      <x:c r="K1610" s="15" t="n">
        <x:f>F1610/'Datos'!$F$7</x:f>
        <x:v>0.0001043531480624328</x:v>
      </x:c>
      <x:c r="L1610" s="3"/>
    </x:row>
    <x:row r="1611" ht="22" customHeight="1">
      <x:c r="A1611" s="3"/>
      <x:c r="B1611" s="3" t="str">
        <x:v>22402</x:v>
      </x:c>
      <x:c r="C1611" s="3" t="str">
        <x:v>MAGNETS PACK OF 4 VINTAGE COLLAGE</x:v>
      </x:c>
      <x:c r="D1611" s="13" t="n">
        <x:v>1035.58</x:v>
      </x:c>
      <x:c r="E1611" s="13" t="n">
        <x:v>15</x:v>
      </x:c>
      <x:c r="F1611" s="13" t="n">
        <x:f>D1611-E1611</x:f>
        <x:v>1020.5799999999999</x:v>
      </x:c>
      <x:c r="G1611" s="3" t="n">
        <x:v>1723</x:v>
      </x:c>
      <x:c r="H1611" s="3" t="n">
        <x:v>12</x:v>
      </x:c>
      <x:c r="I1611" s="3" t="n">
        <x:v>151</x:v>
      </x:c>
      <x:c r="J1611" s="15" t="n">
        <x:f>IF(D1611=0,"n.a.",E1611/D1611)</x:f>
        <x:v>0.014484636628749107</x:v>
      </x:c>
      <x:c r="K1611" s="15" t="n">
        <x:f>F1611/'Datos'!$F$7</x:f>
        <x:v>0.00010421835389916594</x:v>
      </x:c>
      <x:c r="L1611" s="3"/>
    </x:row>
    <x:row r="1612" ht="22" customHeight="1">
      <x:c r="A1612" s="3"/>
      <x:c r="B1612" s="3" t="str">
        <x:v>23452</x:v>
      </x:c>
      <x:c r="C1612" s="3" t="str">
        <x:v>HEART MINI PORTRAIT FRAME</x:v>
      </x:c>
      <x:c r="D1612" s="13" t="n">
        <x:v>1021.76</x:v>
      </x:c>
      <x:c r="E1612" s="13" t="n">
        <x:v>1.95</x:v>
      </x:c>
      <x:c r="F1612" s="13" t="n">
        <x:f>D1612-E1612</x:f>
        <x:v>1019.81</x:v>
      </x:c>
      <x:c r="G1612" s="3" t="n">
        <x:v>518</x:v>
      </x:c>
      <x:c r="H1612" s="3" t="n">
        <x:v>1</x:v>
      </x:c>
      <x:c r="I1612" s="3" t="n">
        <x:v>87</x:v>
      </x:c>
      <x:c r="J1612" s="15" t="n">
        <x:f>IF(D1612=0,"n.a.",E1612/D1612)</x:f>
        <x:v>0.0019084716567491387</x:v>
      </x:c>
      <x:c r="K1612" s="15" t="n">
        <x:f>F1612/'Datos'!$F$7</x:f>
        <x:v>0.0001041397239705936</x:v>
      </x:c>
      <x:c r="L1612" s="3"/>
    </x:row>
    <x:row r="1613" ht="22" customHeight="1">
      <x:c r="A1613" s="3"/>
      <x:c r="B1613" s="3" t="str">
        <x:v>85114B</x:v>
      </x:c>
      <x:c r="C1613" s="3" t="str">
        <x:v>IVORY ENCHANTED FOREST PLACEMAT</x:v>
      </x:c>
      <x:c r="D1613" s="13" t="n">
        <x:v>1023</x:v>
      </x:c>
      <x:c r="E1613" s="13" t="n">
        <x:v>3.3</x:v>
      </x:c>
      <x:c r="F1613" s="13" t="n">
        <x:f>D1613-E1613</x:f>
        <x:v>1019.7</x:v>
      </x:c>
      <x:c r="G1613" s="3" t="n">
        <x:v>514</x:v>
      </x:c>
      <x:c r="H1613" s="3" t="n">
        <x:v>2</x:v>
      </x:c>
      <x:c r="I1613" s="3" t="n">
        <x:v>91</x:v>
      </x:c>
      <x:c r="J1613" s="15" t="n">
        <x:f>IF(D1613=0,"n.a.",E1613/D1613)</x:f>
        <x:v>0.0032258064516129032</x:v>
      </x:c>
      <x:c r="K1613" s="15" t="n">
        <x:f>F1613/'Datos'!$F$7</x:f>
        <x:v>0.0001041284911236547</x:v>
      </x:c>
      <x:c r="L1613" s="3"/>
    </x:row>
    <x:row r="1614" ht="22" customHeight="1">
      <x:c r="A1614" s="3"/>
      <x:c r="B1614" s="3" t="str">
        <x:v>22459</x:v>
      </x:c>
      <x:c r="C1614" s="3" t="str">
        <x:v>CAST IRON HOOK GARDEN TROWEL</x:v>
      </x:c>
      <x:c r="D1614" s="13" t="n">
        <x:v>1018.19</x:v>
      </x:c>
      <x:c r="E1614" s="13" t="n">
        <x:v>0</x:v>
      </x:c>
      <x:c r="F1614" s="13" t="n">
        <x:f>D1614-E1614</x:f>
        <x:v>1018.19</x:v>
      </x:c>
      <x:c r="G1614" s="3" t="n">
        <x:v>386</x:v>
      </x:c>
      <x:c r="H1614" s="3" t="n">
        <x:v>0</x:v>
      </x:c>
      <x:c r="I1614" s="3" t="n">
        <x:v>25</x:v>
      </x:c>
      <x:c r="J1614" s="15" t="n">
        <x:f>IF(D1614=0,"n.a.",E1614/D1614)</x:f>
        <x:v>0</x:v>
      </x:c>
      <x:c r="K1614" s="15" t="n">
        <x:f>F1614/'Datos'!$F$7</x:f>
        <x:v>0.00010397429477022065</x:v>
      </x:c>
      <x:c r="L1614" s="3"/>
    </x:row>
    <x:row r="1615" ht="22" customHeight="1">
      <x:c r="A1615" s="3"/>
      <x:c r="B1615" s="3" t="str">
        <x:v>15044C</x:v>
      </x:c>
      <x:c r="C1615" s="3" t="str">
        <x:v>PURPLE PAPER PARASOL</x:v>
      </x:c>
      <x:c r="D1615" s="13" t="n">
        <x:v>1025.94</x:v>
      </x:c>
      <x:c r="E1615" s="13" t="n">
        <x:v>8.05</x:v>
      </x:c>
      <x:c r="F1615" s="13" t="n">
        <x:f>D1615-E1615</x:f>
        <x:v>1017.8900000000001</x:v>
      </x:c>
      <x:c r="G1615" s="3" t="n">
        <x:v>314</x:v>
      </x:c>
      <x:c r="H1615" s="3" t="n">
        <x:v>3</x:v>
      </x:c>
      <x:c r="I1615" s="3" t="n">
        <x:v>88</x:v>
      </x:c>
      <x:c r="J1615" s="15" t="n">
        <x:f>IF(D1615=0,"n.a.",E1615/D1615)</x:f>
        <x:v>0.007846462756106596</x:v>
      </x:c>
      <x:c r="K1615" s="15" t="n">
        <x:f>F1615/'Datos'!$F$7</x:f>
        <x:v>0.00010394365973311454</x:v>
      </x:c>
      <x:c r="L1615" s="3"/>
    </x:row>
    <x:row r="1616" ht="22" customHeight="1">
      <x:c r="A1616" s="3"/>
      <x:c r="B1616" s="3" t="str">
        <x:v>21464</x:v>
      </x:c>
      <x:c r="C1616" s="3" t="str">
        <x:v>DISCO BALL ROTATOR BATTERY OPERATED</x:v>
      </x:c>
      <x:c r="D1616" s="13" t="n">
        <x:v>1055.25</x:v>
      </x:c>
      <x:c r="E1616" s="13" t="n">
        <x:v>38.25</x:v>
      </x:c>
      <x:c r="F1616" s="13" t="n">
        <x:f>D1616-E1616</x:f>
        <x:v>1017</x:v>
      </x:c>
      <x:c r="G1616" s="3" t="n">
        <x:v>249</x:v>
      </x:c>
      <x:c r="H1616" s="3" t="n">
        <x:v>9</x:v>
      </x:c>
      <x:c r="I1616" s="3" t="n">
        <x:v>105</x:v>
      </x:c>
      <x:c r="J1616" s="15" t="n">
        <x:f>IF(D1616=0,"n.a.",E1616/D1616)</x:f>
        <x:v>0.03624733475479744</x:v>
      </x:c>
      <x:c r="K1616" s="15" t="n">
        <x:f>F1616/'Datos'!$F$7</x:f>
        <x:v>0.00010385277578969974</x:v>
      </x:c>
      <x:c r="L1616" s="3"/>
    </x:row>
    <x:row r="1617" ht="22" customHeight="1">
      <x:c r="A1617" s="3"/>
      <x:c r="B1617" s="3" t="str">
        <x:v>20931</x:v>
      </x:c>
      <x:c r="C1617" s="3" t="str">
        <x:v>BLUE POT PLANT CANDLE</x:v>
      </x:c>
      <x:c r="D1617" s="13" t="n">
        <x:v>1060.9</x:v>
      </x:c>
      <x:c r="E1617" s="13" t="n">
        <x:v>45.05</x:v>
      </x:c>
      <x:c r="F1617" s="13" t="n">
        <x:f>D1617-E1617</x:f>
        <x:v>1015.8500000000001</x:v>
      </x:c>
      <x:c r="G1617" s="3" t="n">
        <x:v>299</x:v>
      </x:c>
      <x:c r="H1617" s="3" t="n">
        <x:v>15</x:v>
      </x:c>
      <x:c r="I1617" s="3" t="n">
        <x:v>68</x:v>
      </x:c>
      <x:c r="J1617" s="15" t="n">
        <x:f>IF(D1617=0,"n.a.",E1617/D1617)</x:f>
        <x:v>0.04246394570647563</x:v>
      </x:c>
      <x:c r="K1617" s="15" t="n">
        <x:f>F1617/'Datos'!$F$7</x:f>
        <x:v>0.00010373534148079302</x:v>
      </x:c>
      <x:c r="L1617" s="3"/>
    </x:row>
    <x:row r="1618" ht="22" customHeight="1">
      <x:c r="A1618" s="3"/>
      <x:c r="B1618" s="3" t="str">
        <x:v>85180A</x:v>
      </x:c>
      <x:c r="C1618" s="3" t="str">
        <x:v>RED HEARTS LIGHT CHAIN</x:v>
      </x:c>
      <x:c r="D1618" s="13" t="n">
        <x:v>1042.66</x:v>
      </x:c>
      <x:c r="E1618" s="13" t="n">
        <x:v>27.9</x:v>
      </x:c>
      <x:c r="F1618" s="13" t="n">
        <x:f>D1618-E1618</x:f>
        <x:v>1014.7600000000001</x:v>
      </x:c>
      <x:c r="G1618" s="3" t="n">
        <x:v>503</x:v>
      </x:c>
      <x:c r="H1618" s="3" t="n">
        <x:v>6</x:v>
      </x:c>
      <x:c r="I1618" s="3" t="n">
        <x:v>63</x:v>
      </x:c>
      <x:c r="J1618" s="15" t="n">
        <x:f>IF(D1618=0,"n.a.",E1618/D1618)</x:f>
        <x:v>0.02675848311050582</x:v>
      </x:c>
      <x:c r="K1618" s="15" t="n">
        <x:f>F1618/'Datos'!$F$7</x:f>
        <x:v>0.0001036240341793075</x:v>
      </x:c>
      <x:c r="L1618" s="3"/>
    </x:row>
    <x:row r="1619" ht="22" customHeight="1">
      <x:c r="A1619" s="3"/>
      <x:c r="B1619" s="3" t="str">
        <x:v>21788</x:v>
      </x:c>
      <x:c r="C1619" s="3" t="str">
        <x:v>KIDS RAIN MAC BLUE</x:v>
      </x:c>
      <x:c r="D1619" s="13" t="n">
        <x:v>1032.64</x:v>
      </x:c>
      <x:c r="E1619" s="13" t="n">
        <x:v>18.5</x:v>
      </x:c>
      <x:c r="F1619" s="13" t="n">
        <x:f>D1619-E1619</x:f>
        <x:v>1014.1400000000001</x:v>
      </x:c>
      <x:c r="G1619" s="3" t="n">
        <x:v>1297</x:v>
      </x:c>
      <x:c r="H1619" s="3" t="n">
        <x:v>22</x:v>
      </x:c>
      <x:c r="I1619" s="3" t="n">
        <x:v>85</x:v>
      </x:c>
      <x:c r="J1619" s="15" t="n">
        <x:f>IF(D1619=0,"n.a.",E1619/D1619)</x:f>
        <x:v>0.017915246358847225</x:v>
      </x:c>
      <x:c r="K1619" s="15" t="n">
        <x:f>F1619/'Datos'!$F$7</x:f>
        <x:v>0.00010356072176928821</x:v>
      </x:c>
      <x:c r="L1619" s="3"/>
    </x:row>
    <x:row r="1620" ht="22" customHeight="1">
      <x:c r="A1620" s="3"/>
      <x:c r="B1620" s="3" t="str">
        <x:v>51014L</x:v>
      </x:c>
      <x:c r="C1620" s="3" t="str">
        <x:v>FEATHER PEN,LIGHT PINK</x:v>
      </x:c>
      <x:c r="D1620" s="13" t="n">
        <x:v>1079.34</x:v>
      </x:c>
      <x:c r="E1620" s="13" t="n">
        <x:v>65.88</x:v>
      </x:c>
      <x:c r="F1620" s="13" t="n">
        <x:f>D1620-E1620</x:f>
        <x:v>1013.4599999999999</x:v>
      </x:c>
      <x:c r="G1620" s="3" t="n">
        <x:v>2071</x:v>
      </x:c>
      <x:c r="H1620" s="3" t="n">
        <x:v>84</x:v>
      </x:c>
      <x:c r="I1620" s="3" t="n">
        <x:v>149</x:v>
      </x:c>
      <x:c r="J1620" s="15" t="n">
        <x:f>IF(D1620=0,"n.a.",E1620/D1620)</x:f>
        <x:v>0.06103730057257213</x:v>
      </x:c>
      <x:c r="K1620" s="15" t="n">
        <x:f>F1620/'Datos'!$F$7</x:f>
        <x:v>0.00010349128235184769</x:v>
      </x:c>
      <x:c r="L1620" s="3"/>
    </x:row>
    <x:row r="1621" ht="22" customHeight="1">
      <x:c r="A1621" s="3"/>
      <x:c r="B1621" s="3" t="str">
        <x:v>21617</x:v>
      </x:c>
      <x:c r="C1621" s="3" t="str">
        <x:v>4 LILY BOTANICAL DINNER CANDLES</x:v>
      </x:c>
      <x:c r="D1621" s="13" t="n">
        <x:v>1013.01</x:v>
      </x:c>
      <x:c r="E1621" s="13" t="n">
        <x:v>0</x:v>
      </x:c>
      <x:c r="F1621" s="13" t="n">
        <x:f>D1621-E1621</x:f>
        <x:v>1013.01</x:v>
      </x:c>
      <x:c r="G1621" s="3" t="n">
        <x:v>528</x:v>
      </x:c>
      <x:c r="H1621" s="3" t="n">
        <x:v>0</x:v>
      </x:c>
      <x:c r="I1621" s="3" t="n">
        <x:v>102</x:v>
      </x:c>
      <x:c r="J1621" s="15" t="n">
        <x:f>IF(D1621=0,"n.a.",E1621/D1621)</x:f>
        <x:v>0</x:v>
      </x:c>
      <x:c r="K1621" s="15" t="n">
        <x:f>F1621/'Datos'!$F$7</x:f>
        <x:v>0.00010344532979618854</x:v>
      </x:c>
      <x:c r="L1621" s="3"/>
    </x:row>
    <x:row r="1622" ht="22" customHeight="1">
      <x:c r="A1622" s="3"/>
      <x:c r="B1622" s="3" t="str">
        <x:v>22679</x:v>
      </x:c>
      <x:c r="C1622" s="3" t="str">
        <x:v>FRENCH BLUE METAL DOOR SIGN 4</x:v>
      </x:c>
      <x:c r="D1622" s="13" t="n">
        <x:v>1024.28</x:v>
      </x:c>
      <x:c r="E1622" s="13" t="n">
        <x:v>12.5</x:v>
      </x:c>
      <x:c r="F1622" s="13" t="n">
        <x:f>D1622-E1622</x:f>
        <x:v>1011.78</x:v>
      </x:c>
      <x:c r="G1622" s="3" t="n">
        <x:v>741</x:v>
      </x:c>
      <x:c r="H1622" s="3" t="n">
        <x:v>10</x:v>
      </x:c>
      <x:c r="I1622" s="3" t="n">
        <x:v>152</x:v>
      </x:c>
      <x:c r="J1622" s="15" t="n">
        <x:f>IF(D1622=0,"n.a.",E1622/D1622)</x:f>
        <x:v>0.012203694302339205</x:v>
      </x:c>
      <x:c r="K1622" s="15" t="n">
        <x:f>F1622/'Datos'!$F$7</x:f>
        <x:v>0.0001033197261440535</x:v>
      </x:c>
      <x:c r="L1622" s="3"/>
    </x:row>
    <x:row r="1623" ht="22" customHeight="1">
      <x:c r="A1623" s="3"/>
      <x:c r="B1623" s="3" t="str">
        <x:v>22614</x:v>
      </x:c>
      <x:c r="C1623" s="3" t="str">
        <x:v>PACK OF 12 SPACEBOY TISSUES</x:v>
      </x:c>
      <x:c r="D1623" s="13" t="n">
        <x:v>1024.9</x:v>
      </x:c>
      <x:c r="E1623" s="13" t="n">
        <x:v>14.43</x:v>
      </x:c>
      <x:c r="F1623" s="13" t="n">
        <x:f>D1623-E1623</x:f>
        <x:v>1010.4700000000001</x:v>
      </x:c>
      <x:c r="G1623" s="3" t="n">
        <x:v>3034</x:v>
      </x:c>
      <x:c r="H1623" s="3" t="n">
        <x:v>37</x:v>
      </x:c>
      <x:c r="I1623" s="3" t="n">
        <x:v>219</x:v>
      </x:c>
      <x:c r="J1623" s="15" t="n">
        <x:f>IF(D1623=0,"n.a.",E1623/D1623)</x:f>
        <x:v>0.014079422382671479</x:v>
      </x:c>
      <x:c r="K1623" s="15" t="n">
        <x:f>F1623/'Datos'!$F$7</x:f>
        <x:v>0.00010318595314869018</x:v>
      </x:c>
      <x:c r="L1623" s="3"/>
    </x:row>
    <x:row r="1624" ht="22" customHeight="1">
      <x:c r="A1624" s="3"/>
      <x:c r="B1624" s="3" t="str">
        <x:v>21354</x:v>
      </x:c>
      <x:c r="C1624" s="3" t="str">
        <x:v>TOAST ITS - BEST MUM</x:v>
      </x:c>
      <x:c r="D1624" s="13" t="n">
        <x:v>1010.21</x:v>
      </x:c>
      <x:c r="E1624" s="13" t="n">
        <x:v>0</x:v>
      </x:c>
      <x:c r="F1624" s="13" t="n">
        <x:f>D1624-E1624</x:f>
        <x:v>1010.21</x:v>
      </x:c>
      <x:c r="G1624" s="3" t="n">
        <x:v>801</x:v>
      </x:c>
      <x:c r="H1624" s="3" t="n">
        <x:v>0</x:v>
      </x:c>
      <x:c r="I1624" s="3" t="n">
        <x:v>95</x:v>
      </x:c>
      <x:c r="J1624" s="15" t="n">
        <x:f>IF(D1624=0,"n.a.",E1624/D1624)</x:f>
        <x:v>0</x:v>
      </x:c>
      <x:c r="K1624" s="15" t="n">
        <x:f>F1624/'Datos'!$F$7</x:f>
        <x:v>0.00010315940278319821</x:v>
      </x:c>
      <x:c r="L1624" s="3"/>
    </x:row>
    <x:row r="1625" ht="22" customHeight="1">
      <x:c r="A1625" s="3"/>
      <x:c r="B1625" s="3" t="str">
        <x:v>23107</x:v>
      </x:c>
      <x:c r="C1625" s="3" t="str">
        <x:v>WHITE HEARTS WIRE PLANT POT HOLDER</x:v>
      </x:c>
      <x:c r="D1625" s="13" t="n">
        <x:v>1009.51</x:v>
      </x:c>
      <x:c r="E1625" s="13" t="n">
        <x:v>0</x:v>
      </x:c>
      <x:c r="F1625" s="13" t="n">
        <x:f>D1625-E1625</x:f>
        <x:v>1009.51</x:v>
      </x:c>
      <x:c r="G1625" s="3" t="n">
        <x:v>359</x:v>
      </x:c>
      <x:c r="H1625" s="3" t="n">
        <x:v>0</x:v>
      </x:c>
      <x:c r="I1625" s="3" t="n">
        <x:v>73</x:v>
      </x:c>
      <x:c r="J1625" s="15" t="n">
        <x:f>IF(D1625=0,"n.a.",E1625/D1625)</x:f>
        <x:v>0</x:v>
      </x:c>
      <x:c r="K1625" s="15" t="n">
        <x:f>F1625/'Datos'!$F$7</x:f>
        <x:v>0.00010308792102995063</x:v>
      </x:c>
      <x:c r="L1625" s="3"/>
    </x:row>
    <x:row r="1626" ht="22" customHeight="1">
      <x:c r="A1626" s="3"/>
      <x:c r="B1626" s="3" t="str">
        <x:v>21288</x:v>
      </x:c>
      <x:c r="C1626" s="3" t="str">
        <x:v>STRIPEY CHOCOLATE NESTING BOXES</x:v>
      </x:c>
      <x:c r="D1626" s="13" t="n">
        <x:v>1070.26</x:v>
      </x:c>
      <x:c r="E1626" s="13" t="n">
        <x:v>61.2</x:v>
      </x:c>
      <x:c r="F1626" s="13" t="n">
        <x:f>D1626-E1626</x:f>
        <x:v>1009.06</x:v>
      </x:c>
      <x:c r="G1626" s="3" t="n">
        <x:v>358</x:v>
      </x:c>
      <x:c r="H1626" s="3" t="n">
        <x:v>24</x:v>
      </x:c>
      <x:c r="I1626" s="3" t="n">
        <x:v>110</x:v>
      </x:c>
      <x:c r="J1626" s="15" t="n">
        <x:f>IF(D1626=0,"n.a.",E1626/D1626)</x:f>
        <x:v>0.057182366901500574</x:v>
      </x:c>
      <x:c r="K1626" s="15" t="n">
        <x:f>F1626/'Datos'!$F$7</x:f>
        <x:v>0.00010304196847429146</x:v>
      </x:c>
      <x:c r="L1626" s="3"/>
    </x:row>
    <x:row r="1627" ht="22" customHeight="1">
      <x:c r="A1627" s="3"/>
      <x:c r="B1627" s="3" t="str">
        <x:v>22860</x:v>
      </x:c>
      <x:c r="C1627" s="3" t="str">
        <x:v>EASTER TIN CHICKS PINK DAISY</x:v>
      </x:c>
      <x:c r="D1627" s="13" t="n">
        <x:v>1032.62</x:v>
      </x:c>
      <x:c r="E1627" s="13" t="n">
        <x:v>24.75</x:v>
      </x:c>
      <x:c r="F1627" s="13" t="n">
        <x:f>D1627-E1627</x:f>
        <x:v>1007.8699999999999</x:v>
      </x:c>
      <x:c r="G1627" s="3" t="n">
        <x:v>598</x:v>
      </x:c>
      <x:c r="H1627" s="3" t="n">
        <x:v>15</x:v>
      </x:c>
      <x:c r="I1627" s="3" t="n">
        <x:v>107</x:v>
      </x:c>
      <x:c r="J1627" s="15" t="n">
        <x:f>IF(D1627=0,"n.a.",E1627/D1627)</x:f>
        <x:v>0.023968158664368307</x:v>
      </x:c>
      <x:c r="K1627" s="15" t="n">
        <x:f>F1627/'Datos'!$F$7</x:f>
        <x:v>0.00010292044949377057</x:v>
      </x:c>
      <x:c r="L1627" s="3"/>
    </x:row>
    <x:row r="1628" ht="22" customHeight="1">
      <x:c r="A1628" s="3"/>
      <x:c r="B1628" s="3" t="str">
        <x:v>23544</x:v>
      </x:c>
      <x:c r="C1628" s="3" t="str">
        <x:v>WALL ART MID CENTURY MODERN</x:v>
      </x:c>
      <x:c r="D1628" s="13" t="n">
        <x:v>1015.78</x:v>
      </x:c>
      <x:c r="E1628" s="13" t="n">
        <x:v>8.25</x:v>
      </x:c>
      <x:c r="F1628" s="13" t="n">
        <x:f>D1628-E1628</x:f>
        <x:v>1007.53</x:v>
      </x:c>
      <x:c r="G1628" s="3" t="n">
        <x:v>164</x:v>
      </x:c>
      <x:c r="H1628" s="3" t="n">
        <x:v>1</x:v>
      </x:c>
      <x:c r="I1628" s="3" t="n">
        <x:v>20</x:v>
      </x:c>
      <x:c r="J1628" s="15" t="n">
        <x:f>IF(D1628=0,"n.a.",E1628/D1628)</x:f>
        <x:v>0.008121837405737463</x:v>
      </x:c>
      <x:c r="K1628" s="15" t="n">
        <x:f>F1628/'Datos'!$F$7</x:f>
        <x:v>0.00010288572978505033</x:v>
      </x:c>
      <x:c r="L1628" s="3"/>
    </x:row>
    <x:row r="1629" ht="22" customHeight="1">
      <x:c r="A1629" s="3"/>
      <x:c r="B1629" s="3" t="str">
        <x:v>22923</x:v>
      </x:c>
      <x:c r="C1629" s="3" t="str">
        <x:v>FRIDGE MAGNETS LES ENFANTS ASSORTED</x:v>
      </x:c>
      <x:c r="D1629" s="13" t="n">
        <x:v>1140.97</x:v>
      </x:c>
      <x:c r="E1629" s="13" t="n">
        <x:v>134</x:v>
      </x:c>
      <x:c r="F1629" s="13" t="n">
        <x:f>D1629-E1629</x:f>
        <x:v>1006.97</x:v>
      </x:c>
      <x:c r="G1629" s="3" t="n">
        <x:v>1372</x:v>
      </x:c>
      <x:c r="H1629" s="3" t="n">
        <x:v>176</x:v>
      </x:c>
      <x:c r="I1629" s="3" t="n">
        <x:v>80</x:v>
      </x:c>
      <x:c r="J1629" s="15" t="n">
        <x:f>IF(D1629=0,"n.a.",E1629/D1629)</x:f>
        <x:v>0.1174439292882372</x:v>
      </x:c>
      <x:c r="K1629" s="15" t="n">
        <x:f>F1629/'Datos'!$F$7</x:f>
        <x:v>0.00010282854438245227</x:v>
      </x:c>
      <x:c r="L1629" s="3"/>
    </x:row>
    <x:row r="1630" ht="22" customHeight="1">
      <x:c r="A1630" s="3"/>
      <x:c r="B1630" s="3" t="str">
        <x:v>22279</x:v>
      </x:c>
      <x:c r="C1630" s="3" t="str">
        <x:v>POCKET BAG BLUE PAISLEY RED SPOT</x:v>
      </x:c>
      <x:c r="D1630" s="13" t="n">
        <x:v>1007.15</x:v>
      </x:c>
      <x:c r="E1630" s="13" t="n">
        <x:v>1.25</x:v>
      </x:c>
      <x:c r="F1630" s="13" t="n">
        <x:f>D1630-E1630</x:f>
        <x:v>1005.9</x:v>
      </x:c>
      <x:c r="G1630" s="3" t="n">
        <x:v>834</x:v>
      </x:c>
      <x:c r="H1630" s="3" t="n">
        <x:v>1</x:v>
      </x:c>
      <x:c r="I1630" s="3" t="n">
        <x:v>128</x:v>
      </x:c>
      <x:c r="J1630" s="15" t="n">
        <x:f>IF(D1630=0,"n.a.",E1630/D1630)</x:f>
        <x:v>0.0012411259494613514</x:v>
      </x:c>
      <x:c r="K1630" s="15" t="n">
        <x:f>F1630/'Datos'!$F$7</x:f>
        <x:v>0.00010271927941677382</x:v>
      </x:c>
      <x:c r="L1630" s="3"/>
    </x:row>
    <x:row r="1631" ht="22" customHeight="1">
      <x:c r="A1631" s="3"/>
      <x:c r="B1631" s="3" t="str">
        <x:v>23153</x:v>
      </x:c>
      <x:c r="C1631" s="3" t="str">
        <x:v>ZINC SWEETHEART WIRE LETTER RACK</x:v>
      </x:c>
      <x:c r="D1631" s="13" t="n">
        <x:v>1020.69</x:v>
      </x:c>
      <x:c r="E1631" s="13" t="n">
        <x:v>15</x:v>
      </x:c>
      <x:c r="F1631" s="13" t="n">
        <x:f>D1631-E1631</x:f>
        <x:v>1005.69</x:v>
      </x:c>
      <x:c r="G1631" s="3" t="n">
        <x:v>263</x:v>
      </x:c>
      <x:c r="H1631" s="3" t="n">
        <x:v>4</x:v>
      </x:c>
      <x:c r="I1631" s="3" t="n">
        <x:v>90</x:v>
      </x:c>
      <x:c r="J1631" s="15" t="n">
        <x:f>IF(D1631=0,"n.a.",E1631/D1631)</x:f>
        <x:v>0.01469594098110102</x:v>
      </x:c>
      <x:c r="K1631" s="15" t="n">
        <x:f>F1631/'Datos'!$F$7</x:f>
        <x:v>0.00010269783489079956</x:v>
      </x:c>
      <x:c r="L1631" s="3"/>
    </x:row>
    <x:row r="1632" ht="22" customHeight="1">
      <x:c r="A1632" s="3"/>
      <x:c r="B1632" s="3" t="str">
        <x:v>22673</x:v>
      </x:c>
      <x:c r="C1632" s="3" t="str">
        <x:v>FRENCH GARDEN SIGN BLUE METAL</x:v>
      </x:c>
      <x:c r="D1632" s="13" t="n">
        <x:v>1019.83</x:v>
      </x:c>
      <x:c r="E1632" s="13" t="n">
        <x:v>15</x:v>
      </x:c>
      <x:c r="F1632" s="13" t="n">
        <x:f>D1632-E1632</x:f>
        <x:v>1004.83</x:v>
      </x:c>
      <x:c r="G1632" s="3" t="n">
        <x:v>794</x:v>
      </x:c>
      <x:c r="H1632" s="3" t="n">
        <x:v>12</x:v>
      </x:c>
      <x:c r="I1632" s="3" t="n">
        <x:v>131</x:v>
      </x:c>
      <x:c r="J1632" s="15" t="n">
        <x:f>IF(D1632=0,"n.a.",E1632/D1632)</x:f>
        <x:v>0.01470833374189816</x:v>
      </x:c>
      <x:c r="K1632" s="15" t="n">
        <x:f>F1632/'Datos'!$F$7</x:f>
        <x:v>0.00010261001445109539</x:v>
      </x:c>
      <x:c r="L1632" s="3"/>
    </x:row>
    <x:row r="1633" ht="22" customHeight="1">
      <x:c r="A1633" s="3"/>
      <x:c r="B1633" s="3" t="str">
        <x:v>22929</x:v>
      </x:c>
      <x:c r="C1633" s="3" t="str">
        <x:v>SCHOOL DESK AND CHAIR</x:v>
      </x:c>
      <x:c r="D1633" s="13" t="n">
        <x:v>1199.75</x:v>
      </x:c>
      <x:c r="E1633" s="13" t="n">
        <x:v>195</x:v>
      </x:c>
      <x:c r="F1633" s="13" t="n">
        <x:f>D1633-E1633</x:f>
        <x:v>1004.75</x:v>
      </x:c>
      <x:c r="G1633" s="3" t="n">
        <x:v>19</x:v>
      </x:c>
      <x:c r="H1633" s="3" t="n">
        <x:v>3</x:v>
      </x:c>
      <x:c r="I1633" s="3" t="n">
        <x:v>13</x:v>
      </x:c>
      <x:c r="J1633" s="15" t="n">
        <x:f>IF(D1633=0,"n.a.",E1633/D1633)</x:f>
        <x:v>0.16253386122108773</x:v>
      </x:c>
      <x:c r="K1633" s="15" t="n">
        <x:f>F1633/'Datos'!$F$7</x:f>
        <x:v>0.00010260184510786708</x:v>
      </x:c>
      <x:c r="L1633" s="3"/>
    </x:row>
    <x:row r="1634" ht="22" customHeight="1">
      <x:c r="A1634" s="3"/>
      <x:c r="B1634" s="3" t="str">
        <x:v>23121</x:v>
      </x:c>
      <x:c r="C1634" s="3" t="str">
        <x:v>PACK OF 6 COCKTAIL PARASOL STRAWS</x:v>
      </x:c>
      <x:c r="D1634" s="13" t="n">
        <x:v>1002.54</x:v>
      </x:c>
      <x:c r="E1634" s="13" t="n">
        <x:v>0</x:v>
      </x:c>
      <x:c r="F1634" s="13" t="n">
        <x:f>D1634-E1634</x:f>
        <x:v>1002.54</x:v>
      </x:c>
      <x:c r="G1634" s="3" t="n">
        <x:v>2506</x:v>
      </x:c>
      <x:c r="H1634" s="3" t="n">
        <x:v>0</x:v>
      </x:c>
      <x:c r="I1634" s="3" t="n">
        <x:v>111</x:v>
      </x:c>
      <x:c r="J1634" s="15" t="n">
        <x:f>IF(D1634=0,"n.a.",E1634/D1634)</x:f>
        <x:v>0</x:v>
      </x:c>
      <x:c r="K1634" s="15" t="n">
        <x:f>F1634/'Datos'!$F$7</x:f>
        <x:v>0.00010237616700118543</x:v>
      </x:c>
      <x:c r="L1634" s="3"/>
    </x:row>
    <x:row r="1635" ht="22" customHeight="1">
      <x:c r="A1635" s="3"/>
      <x:c r="B1635" s="3" t="str">
        <x:v>22695</x:v>
      </x:c>
      <x:c r="C1635" s="3" t="str">
        <x:v>WICKER WREATH SMALL</x:v>
      </x:c>
      <x:c r="D1635" s="13" t="n">
        <x:v>1001.49</x:v>
      </x:c>
      <x:c r="E1635" s="13" t="n">
        <x:v>0</x:v>
      </x:c>
      <x:c r="F1635" s="13" t="n">
        <x:f>D1635-E1635</x:f>
        <x:v>1001.49</x:v>
      </x:c>
      <x:c r="G1635" s="3" t="n">
        <x:v>741</x:v>
      </x:c>
      <x:c r="H1635" s="3" t="n">
        <x:v>0</x:v>
      </x:c>
      <x:c r="I1635" s="3" t="n">
        <x:v>123</x:v>
      </x:c>
      <x:c r="J1635" s="15" t="n">
        <x:f>IF(D1635=0,"n.a.",E1635/D1635)</x:f>
        <x:v>0</x:v>
      </x:c>
      <x:c r="K1635" s="15" t="n">
        <x:f>F1635/'Datos'!$F$7</x:f>
        <x:v>0.00010226894437131406</x:v>
      </x:c>
      <x:c r="L1635" s="3"/>
    </x:row>
    <x:row r="1636" ht="22" customHeight="1">
      <x:c r="A1636" s="3"/>
      <x:c r="B1636" s="3" t="str">
        <x:v>23281</x:v>
      </x:c>
      <x:c r="C1636" s="3" t="str">
        <x:v>FOLDING BUTTERFLY MIRROR RED</x:v>
      </x:c>
      <x:c r="D1636" s="13" t="n">
        <x:v>1000.82</x:v>
      </x:c>
      <x:c r="E1636" s="13" t="n">
        <x:v>0</x:v>
      </x:c>
      <x:c r="F1636" s="13" t="n">
        <x:f>D1636-E1636</x:f>
        <x:v>1000.82</x:v>
      </x:c>
      <x:c r="G1636" s="3" t="n">
        <x:v>1280</x:v>
      </x:c>
      <x:c r="H1636" s="3" t="n">
        <x:v>0</x:v>
      </x:c>
      <x:c r="I1636" s="3" t="n">
        <x:v>101</x:v>
      </x:c>
      <x:c r="J1636" s="15" t="n">
        <x:f>IF(D1636=0,"n.a.",E1636/D1636)</x:f>
        <x:v>0</x:v>
      </x:c>
      <x:c r="K1636" s="15" t="n">
        <x:f>F1636/'Datos'!$F$7</x:f>
        <x:v>0.00010220052612177709</x:v>
      </x:c>
      <x:c r="L1636" s="3"/>
    </x:row>
    <x:row r="1637" ht="22" customHeight="1">
      <x:c r="A1637" s="3"/>
      <x:c r="B1637" s="3" t="str">
        <x:v>21355</x:v>
      </x:c>
      <x:c r="C1637" s="3" t="str">
        <x:v>TOAST ITS - I LOVE YOU</x:v>
      </x:c>
      <x:c r="D1637" s="13" t="n">
        <x:v>998.83</x:v>
      </x:c>
      <x:c r="E1637" s="13" t="n">
        <x:v>0</x:v>
      </x:c>
      <x:c r="F1637" s="13" t="n">
        <x:f>D1637-E1637</x:f>
        <x:v>998.83</x:v>
      </x:c>
      <x:c r="G1637" s="3" t="n">
        <x:v>794</x:v>
      </x:c>
      <x:c r="H1637" s="3" t="n">
        <x:v>0</x:v>
      </x:c>
      <x:c r="I1637" s="3" t="n">
        <x:v>120</x:v>
      </x:c>
      <x:c r="J1637" s="15" t="n">
        <x:f>IF(D1637=0,"n.a.",E1637/D1637)</x:f>
        <x:v>0</x:v>
      </x:c>
      <x:c r="K1637" s="15" t="n">
        <x:f>F1637/'Datos'!$F$7</x:f>
        <x:v>0.00010199731370897326</x:v>
      </x:c>
      <x:c r="L1637" s="3"/>
    </x:row>
    <x:row r="1638" ht="22" customHeight="1">
      <x:c r="A1638" s="3"/>
      <x:c r="B1638" s="3" t="str">
        <x:v>23533</x:v>
      </x:c>
      <x:c r="C1638" s="3" t="str">
        <x:v>WALL ART GARDEN HAVEN</x:v>
      </x:c>
      <x:c r="D1638" s="13" t="n">
        <x:v>998.64</x:v>
      </x:c>
      <x:c r="E1638" s="13" t="n">
        <x:v>0</x:v>
      </x:c>
      <x:c r="F1638" s="13" t="n">
        <x:f>D1638-E1638</x:f>
        <x:v>998.64</x:v>
      </x:c>
      <x:c r="G1638" s="3" t="n">
        <x:v>215</x:v>
      </x:c>
      <x:c r="H1638" s="3" t="n">
        <x:v>0</x:v>
      </x:c>
      <x:c r="I1638" s="3" t="n">
        <x:v>36</x:v>
      </x:c>
      <x:c r="J1638" s="15" t="n">
        <x:f>IF(D1638=0,"n.a.",E1638/D1638)</x:f>
        <x:v>0</x:v>
      </x:c>
      <x:c r="K1638" s="15" t="n">
        <x:f>F1638/'Datos'!$F$7</x:f>
        <x:v>0.00010197791151880605</x:v>
      </x:c>
      <x:c r="L1638" s="3"/>
    </x:row>
    <x:row r="1639" ht="22" customHeight="1">
      <x:c r="A1639" s="3"/>
      <x:c r="B1639" s="3" t="str">
        <x:v>21467</x:v>
      </x:c>
      <x:c r="C1639" s="3" t="str">
        <x:v>CHERRY CROCHET FOOD COVER</x:v>
      </x:c>
      <x:c r="D1639" s="13" t="n">
        <x:v>1004.39</x:v>
      </x:c>
      <x:c r="E1639" s="13" t="n">
        <x:v>7.5</x:v>
      </x:c>
      <x:c r="F1639" s="13" t="n">
        <x:f>D1639-E1639</x:f>
        <x:v>996.89</x:v>
      </x:c>
      <x:c r="G1639" s="3" t="n">
        <x:v>264</x:v>
      </x:c>
      <x:c r="H1639" s="3" t="n">
        <x:v>2</x:v>
      </x:c>
      <x:c r="I1639" s="3" t="n">
        <x:v>104</x:v>
      </x:c>
      <x:c r="J1639" s="15" t="n">
        <x:f>IF(D1639=0,"n.a.",E1639/D1639)</x:f>
        <x:v>0.007467218908989536</x:v>
      </x:c>
      <x:c r="K1639" s="15" t="n">
        <x:f>F1639/'Datos'!$F$7</x:f>
        <x:v>0.0001017992071356871</x:v>
      </x:c>
      <x:c r="L1639" s="3"/>
    </x:row>
    <x:row r="1640" ht="22" customHeight="1">
      <x:c r="A1640" s="3"/>
      <x:c r="B1640" s="3" t="str">
        <x:v>22069</x:v>
      </x:c>
      <x:c r="C1640" s="3" t="str">
        <x:v>BROWN PIRATE TREASURE CHEST</x:v>
      </x:c>
      <x:c r="D1640" s="13" t="n">
        <x:v>996.8</x:v>
      </x:c>
      <x:c r="E1640" s="13" t="n">
        <x:v>0</x:v>
      </x:c>
      <x:c r="F1640" s="13" t="n">
        <x:f>D1640-E1640</x:f>
        <x:v>996.8</x:v>
      </x:c>
      <x:c r="G1640" s="3" t="n">
        <x:v>416</x:v>
      </x:c>
      <x:c r="H1640" s="3" t="n">
        <x:v>0</x:v>
      </x:c>
      <x:c r="I1640" s="3" t="n">
        <x:v>146</x:v>
      </x:c>
      <x:c r="J1640" s="15" t="n">
        <x:f>IF(D1640=0,"n.a.",E1640/D1640)</x:f>
        <x:v>0</x:v>
      </x:c>
      <x:c r="K1640" s="15" t="n">
        <x:f>F1640/'Datos'!$F$7</x:f>
        <x:v>0.00010179001662455526</x:v>
      </x:c>
      <x:c r="L1640" s="3"/>
    </x:row>
    <x:row r="1641" ht="22" customHeight="1">
      <x:c r="A1641" s="3"/>
      <x:c r="B1641" s="3" t="str">
        <x:v>23517</x:v>
      </x:c>
      <x:c r="C1641" s="3" t="str">
        <x:v>EMBROIDERED RIBBON REEL REBECCA</x:v>
      </x:c>
      <x:c r="D1641" s="13" t="n">
        <x:v>996.38</x:v>
      </x:c>
      <x:c r="E1641" s="13" t="n">
        <x:v>0</x:v>
      </x:c>
      <x:c r="F1641" s="13" t="n">
        <x:f>D1641-E1641</x:f>
        <x:v>996.38</x:v>
      </x:c>
      <x:c r="G1641" s="3" t="n">
        <x:v>334</x:v>
      </x:c>
      <x:c r="H1641" s="3" t="n">
        <x:v>0</x:v>
      </x:c>
      <x:c r="I1641" s="3" t="n">
        <x:v>63</x:v>
      </x:c>
      <x:c r="J1641" s="15" t="n">
        <x:f>IF(D1641=0,"n.a.",E1641/D1641)</x:f>
        <x:v>0</x:v>
      </x:c>
      <x:c r="K1641" s="15" t="n">
        <x:f>F1641/'Datos'!$F$7</x:f>
        <x:v>0.00010174712757260672</x:v>
      </x:c>
      <x:c r="L1641" s="3"/>
    </x:row>
    <x:row r="1642" ht="22" customHeight="1">
      <x:c r="A1642" s="3"/>
      <x:c r="B1642" s="3" t="str">
        <x:v>10125</x:v>
      </x:c>
      <x:c r="C1642" s="3" t="str">
        <x:v>MINI FUNKY DESIGN TAPES</x:v>
      </x:c>
      <x:c r="D1642" s="13" t="n">
        <x:v>994.84</x:v>
      </x:c>
      <x:c r="E1642" s="13" t="n">
        <x:v>0</x:v>
      </x:c>
      <x:c r="F1642" s="13" t="n">
        <x:f>D1642-E1642</x:f>
        <x:v>994.84</x:v>
      </x:c>
      <x:c r="G1642" s="3" t="n">
        <x:v>1296</x:v>
      </x:c>
      <x:c r="H1642" s="3" t="n">
        <x:v>0</x:v>
      </x:c>
      <x:c r="I1642" s="3" t="n">
        <x:v>91</x:v>
      </x:c>
      <x:c r="J1642" s="15" t="n">
        <x:f>IF(D1642=0,"n.a.",E1642/D1642)</x:f>
        <x:v>0</x:v>
      </x:c>
      <x:c r="K1642" s="15" t="n">
        <x:f>F1642/'Datos'!$F$7</x:f>
        <x:v>0.00010158986771546204</x:v>
      </x:c>
      <x:c r="L1642" s="3"/>
    </x:row>
    <x:row r="1643" ht="22" customHeight="1">
      <x:c r="A1643" s="3"/>
      <x:c r="B1643" s="3" t="str">
        <x:v>21821</x:v>
      </x:c>
      <x:c r="C1643" s="3" t="str">
        <x:v>GLITTER STAR GARLAND WITH BELLS</x:v>
      </x:c>
      <x:c r="D1643" s="13" t="n">
        <x:v>1037.05</x:v>
      </x:c>
      <x:c r="E1643" s="13" t="n">
        <x:v>45</x:v>
      </x:c>
      <x:c r="F1643" s="13" t="n">
        <x:f>D1643-E1643</x:f>
        <x:v>992.05</x:v>
      </x:c>
      <x:c r="G1643" s="3" t="n">
        <x:v>251</x:v>
      </x:c>
      <x:c r="H1643" s="3" t="n">
        <x:v>12</x:v>
      </x:c>
      <x:c r="I1643" s="3" t="n">
        <x:v>62</x:v>
      </x:c>
      <x:c r="J1643" s="15" t="n">
        <x:f>IF(D1643=0,"n.a.",E1643/D1643)</x:f>
        <x:v>0.04339231473892291</x:v>
      </x:c>
      <x:c r="K1643" s="15" t="n">
        <x:f>F1643/'Datos'!$F$7</x:f>
        <x:v>0.00010130496187037525</x:v>
      </x:c>
      <x:c r="L1643" s="3"/>
    </x:row>
    <x:row r="1644" ht="22" customHeight="1">
      <x:c r="A1644" s="3"/>
      <x:c r="B1644" s="3" t="str">
        <x:v>21648</x:v>
      </x:c>
      <x:c r="C1644" s="3" t="str">
        <x:v>ASSORTED TUTTI FRUTTI SMALL PURSE</x:v>
      </x:c>
      <x:c r="D1644" s="13" t="n">
        <x:v>992.79</x:v>
      </x:c>
      <x:c r="E1644" s="13" t="n">
        <x:v>1.25</x:v>
      </x:c>
      <x:c r="F1644" s="13" t="n">
        <x:f>D1644-E1644</x:f>
        <x:v>991.54</x:v>
      </x:c>
      <x:c r="G1644" s="3" t="n">
        <x:v>737</x:v>
      </x:c>
      <x:c r="H1644" s="3" t="n">
        <x:v>1</x:v>
      </x:c>
      <x:c r="I1644" s="3" t="n">
        <x:v>66</x:v>
      </x:c>
      <x:c r="J1644" s="15" t="n">
        <x:f>IF(D1644=0,"n.a.",E1644/D1644)</x:f>
        <x:v>0.0012590779520341663</x:v>
      </x:c>
      <x:c r="K1644" s="15" t="n">
        <x:f>F1644/'Datos'!$F$7</x:f>
        <x:v>0.00010125288230729486</x:v>
      </x:c>
      <x:c r="L1644" s="3"/>
    </x:row>
    <x:row r="1645" ht="22" customHeight="1">
      <x:c r="A1645" s="3"/>
      <x:c r="B1645" s="3" t="str">
        <x:v>22808</x:v>
      </x:c>
      <x:c r="C1645" s="3" t="str">
        <x:v>SET OF 6 T-LIGHTS EASTER CHICKS</x:v>
      </x:c>
      <x:c r="D1645" s="13" t="n">
        <x:v>1038.87</x:v>
      </x:c>
      <x:c r="E1645" s="13" t="n">
        <x:v>53.1</x:v>
      </x:c>
      <x:c r="F1645" s="13" t="n">
        <x:f>D1645-E1645</x:f>
        <x:v>985.7699999999999</x:v>
      </x:c>
      <x:c r="G1645" s="3" t="n">
        <x:v>345</x:v>
      </x:c>
      <x:c r="H1645" s="3" t="n">
        <x:v>18</x:v>
      </x:c>
      <x:c r="I1645" s="3" t="n">
        <x:v>75</x:v>
      </x:c>
      <x:c r="J1645" s="15" t="n">
        <x:f>IF(D1645=0,"n.a.",E1645/D1645)</x:f>
        <x:v>0.051113228796673314</x:v>
      </x:c>
      <x:c r="K1645" s="15" t="n">
        <x:f>F1645/'Datos'!$F$7</x:f>
        <x:v>0.00010066366842695408</x:v>
      </x:c>
      <x:c r="L1645" s="3"/>
    </x:row>
    <x:row r="1646" ht="22" customHeight="1">
      <x:c r="A1646" s="3"/>
      <x:c r="B1646" s="3" t="str">
        <x:v>85232D</x:v>
      </x:c>
      <x:c r="C1646" s="3" t="str">
        <x:v>SET/3 DECOUPAGE STACKING TINS</x:v>
      </x:c>
      <x:c r="D1646" s="13" t="n">
        <x:v>997.47</x:v>
      </x:c>
      <x:c r="E1646" s="13" t="n">
        <x:v>14.85</x:v>
      </x:c>
      <x:c r="F1646" s="13" t="n">
        <x:f>D1646-E1646</x:f>
        <x:v>982.62</x:v>
      </x:c>
      <x:c r="G1646" s="3" t="n">
        <x:v>194</x:v>
      </x:c>
      <x:c r="H1646" s="3" t="n">
        <x:v>3</x:v>
      </x:c>
      <x:c r="I1646" s="3" t="n">
        <x:v>69</x:v>
      </x:c>
      <x:c r="J1646" s="15" t="n">
        <x:f>IF(D1646=0,"n.a.",E1646/D1646)</x:f>
        <x:v>0.014887665794459983</x:v>
      </x:c>
      <x:c r="K1646" s="15" t="n">
        <x:f>F1646/'Datos'!$F$7</x:f>
        <x:v>0.00010034200053733998</x:v>
      </x:c>
      <x:c r="L1646" s="3"/>
    </x:row>
    <x:row r="1647" ht="22" customHeight="1">
      <x:c r="A1647" s="3"/>
      <x:c r="B1647" s="3" t="str">
        <x:v>35471D</x:v>
      </x:c>
      <x:c r="C1647" s="3" t="str">
        <x:v>SET OF 3 BIRD LIGHT PINK FEATHER</x:v>
      </x:c>
      <x:c r="D1647" s="13" t="n">
        <x:v>984.57</x:v>
      </x:c>
      <x:c r="E1647" s="13" t="n">
        <x:v>2.5</x:v>
      </x:c>
      <x:c r="F1647" s="13" t="n">
        <x:f>D1647-E1647</x:f>
        <x:v>982.07</x:v>
      </x:c>
      <x:c r="G1647" s="3" t="n">
        <x:v>1862</x:v>
      </x:c>
      <x:c r="H1647" s="3" t="n">
        <x:v>2</x:v>
      </x:c>
      <x:c r="I1647" s="3" t="n">
        <x:v>223</x:v>
      </x:c>
      <x:c r="J1647" s="15" t="n">
        <x:f>IF(D1647=0,"n.a.",E1647/D1647)</x:f>
        <x:v>0.002539179540306936</x:v>
      </x:c>
      <x:c r="K1647" s="15" t="n">
        <x:f>F1647/'Datos'!$F$7</x:f>
        <x:v>0.00010028583630264547</x:v>
      </x:c>
      <x:c r="L1647" s="3"/>
    </x:row>
    <x:row r="1648" ht="22" customHeight="1">
      <x:c r="A1648" s="3"/>
      <x:c r="B1648" s="3" t="str">
        <x:v>22500</x:v>
      </x:c>
      <x:c r="C1648" s="3" t="str">
        <x:v>SET OF 2 TINS JARDIN DE PROVENCE</x:v>
      </x:c>
      <x:c r="D1648" s="13" t="n">
        <x:v>980.7</x:v>
      </x:c>
      <x:c r="E1648" s="13" t="n">
        <x:v>0</x:v>
      </x:c>
      <x:c r="F1648" s="13" t="n">
        <x:f>D1648-E1648</x:f>
        <x:v>980.7</x:v>
      </x:c>
      <x:c r="G1648" s="3" t="n">
        <x:v>253</x:v>
      </x:c>
      <x:c r="H1648" s="3" t="n">
        <x:v>0</x:v>
      </x:c>
      <x:c r="I1648" s="3" t="n">
        <x:v>96</x:v>
      </x:c>
      <x:c r="J1648" s="15" t="n">
        <x:f>IF(D1648=0,"n.a.",E1648/D1648)</x:f>
        <x:v>0</x:v>
      </x:c>
      <x:c r="K1648" s="15" t="n">
        <x:f>F1648/'Datos'!$F$7</x:f>
        <x:v>0.00010014593629986091</x:v>
      </x:c>
      <x:c r="L1648" s="3"/>
    </x:row>
    <x:row r="1649" ht="22" customHeight="1">
      <x:c r="A1649" s="3"/>
      <x:c r="B1649" s="3" t="str">
        <x:v>21948</x:v>
      </x:c>
      <x:c r="C1649" s="3" t="str">
        <x:v>SET OF 6 CAKE CHOPSTICKS</x:v>
      </x:c>
      <x:c r="D1649" s="13" t="n">
        <x:v>979.48</x:v>
      </x:c>
      <x:c r="E1649" s="13" t="n">
        <x:v>0</x:v>
      </x:c>
      <x:c r="F1649" s="13" t="n">
        <x:f>D1649-E1649</x:f>
        <x:v>979.48</x:v>
      </x:c>
      <x:c r="G1649" s="3" t="n">
        <x:v>641</x:v>
      </x:c>
      <x:c r="H1649" s="3" t="n">
        <x:v>0</x:v>
      </x:c>
      <x:c r="I1649" s="3" t="n">
        <x:v>153</x:v>
      </x:c>
      <x:c r="J1649" s="15" t="n">
        <x:f>IF(D1649=0,"n.a.",E1649/D1649)</x:f>
        <x:v>0</x:v>
      </x:c>
      <x:c r="K1649" s="15" t="n">
        <x:f>F1649/'Datos'!$F$7</x:f>
        <x:v>0.0001000213538156294</x:v>
      </x:c>
      <x:c r="L1649" s="3"/>
    </x:row>
    <x:row r="1650" ht="22" customHeight="1">
      <x:c r="A1650" s="3"/>
      <x:c r="B1650" s="3" t="str">
        <x:v>22857</x:v>
      </x:c>
      <x:c r="C1650" s="3" t="str">
        <x:v>ASSORTED EASTER GIFT TAGS</x:v>
      </x:c>
      <x:c r="D1650" s="13" t="n">
        <x:v>977.76</x:v>
      </x:c>
      <x:c r="E1650" s="13" t="n">
        <x:v>0</x:v>
      </x:c>
      <x:c r="F1650" s="13" t="n">
        <x:f>D1650-E1650</x:f>
        <x:v>977.76</x:v>
      </x:c>
      <x:c r="G1650" s="3" t="n">
        <x:v>1159</x:v>
      </x:c>
      <x:c r="H1650" s="3" t="n">
        <x:v>0</x:v>
      </x:c>
      <x:c r="I1650" s="3" t="n">
        <x:v>61</x:v>
      </x:c>
      <x:c r="J1650" s="15" t="n">
        <x:f>IF(D1650=0,"n.a.",E1650/D1650)</x:f>
        <x:v>0</x:v>
      </x:c>
      <x:c r="K1650" s="15" t="n">
        <x:f>F1650/'Datos'!$F$7</x:f>
        <x:v>0.00009984571293622106</x:v>
      </x:c>
      <x:c r="L1650" s="3"/>
    </x:row>
    <x:row r="1651" ht="22" customHeight="1">
      <x:c r="A1651" s="3"/>
      <x:c r="B1651" s="3" t="str">
        <x:v>23512</x:v>
      </x:c>
      <x:c r="C1651" s="3" t="str">
        <x:v>EMBROIDERED RIBBON REEL ROSIE</x:v>
      </x:c>
      <x:c r="D1651" s="13" t="n">
        <x:v>977.32</x:v>
      </x:c>
      <x:c r="E1651" s="13" t="n">
        <x:v>0</x:v>
      </x:c>
      <x:c r="F1651" s="13" t="n">
        <x:f>D1651-E1651</x:f>
        <x:v>977.32</x:v>
      </x:c>
      <x:c r="G1651" s="3" t="n">
        <x:v>501</x:v>
      </x:c>
      <x:c r="H1651" s="3" t="n">
        <x:v>0</x:v>
      </x:c>
      <x:c r="I1651" s="3" t="n">
        <x:v>57</x:v>
      </x:c>
      <x:c r="J1651" s="15" t="n">
        <x:f>IF(D1651=0,"n.a.",E1651/D1651)</x:f>
        <x:v>0</x:v>
      </x:c>
      <x:c r="K1651" s="15" t="n">
        <x:f>F1651/'Datos'!$F$7</x:f>
        <x:v>0.00009980078154846544</x:v>
      </x:c>
      <x:c r="L1651" s="3"/>
    </x:row>
    <x:row r="1652" ht="22" customHeight="1">
      <x:c r="A1652" s="3"/>
      <x:c r="B1652" s="3" t="str">
        <x:v>20886</x:v>
      </x:c>
      <x:c r="C1652" s="3" t="str">
        <x:v>BOX OF 9 PEBBLE CANDLES</x:v>
      </x:c>
      <x:c r="D1652" s="13" t="n">
        <x:v>988.18</x:v>
      </x:c>
      <x:c r="E1652" s="13" t="n">
        <x:v>11.7</x:v>
      </x:c>
      <x:c r="F1652" s="13" t="n">
        <x:f>D1652-E1652</x:f>
        <x:v>976.4799999999999</x:v>
      </x:c>
      <x:c r="G1652" s="3" t="n">
        <x:v>486</x:v>
      </x:c>
      <x:c r="H1652" s="3" t="n">
        <x:v>6</x:v>
      </x:c>
      <x:c r="I1652" s="3" t="n">
        <x:v>103</x:v>
      </x:c>
      <x:c r="J1652" s="15" t="n">
        <x:f>IF(D1652=0,"n.a.",E1652/D1652)</x:f>
        <x:v>0.011839948187577162</x:v>
      </x:c>
      <x:c r="K1652" s="15" t="n">
        <x:f>F1652/'Datos'!$F$7</x:f>
        <x:v>0.00009971500344456834</x:v>
      </x:c>
      <x:c r="L1652" s="3"/>
    </x:row>
    <x:row r="1653" ht="22" customHeight="1">
      <x:c r="A1653" s="3"/>
      <x:c r="B1653" s="3" t="str">
        <x:v>72816</x:v>
      </x:c>
      <x:c r="C1653" s="3" t="str">
        <x:v>SET/3 CHRISTMAS DECOUPAGE CANDLES</x:v>
      </x:c>
      <x:c r="D1653" s="13" t="n">
        <x:v>1006.27</x:v>
      </x:c>
      <x:c r="E1653" s="13" t="n">
        <x:v>30</x:v>
      </x:c>
      <x:c r="F1653" s="13" t="n">
        <x:f>D1653-E1653</x:f>
        <x:v>976.27</x:v>
      </x:c>
      <x:c r="G1653" s="3" t="n">
        <x:v>893</x:v>
      </x:c>
      <x:c r="H1653" s="3" t="n">
        <x:v>24</x:v>
      </x:c>
      <x:c r="I1653" s="3" t="n">
        <x:v>69</x:v>
      </x:c>
      <x:c r="J1653" s="15" t="n">
        <x:f>IF(D1653=0,"n.a.",E1653/D1653)</x:f>
        <x:v>0.029813072038319736</x:v>
      </x:c>
      <x:c r="K1653" s="15" t="n">
        <x:f>F1653/'Datos'!$F$7</x:f>
        <x:v>0.00009969355891859407</x:v>
      </x:c>
      <x:c r="L1653" s="3"/>
    </x:row>
    <x:row r="1654" ht="22" customHeight="1">
      <x:c r="A1654" s="3"/>
      <x:c r="B1654" s="3" t="str">
        <x:v>22098</x:v>
      </x:c>
      <x:c r="C1654" s="3" t="str">
        <x:v>BOUDOIR SQUARE TISSUE BOX</x:v>
      </x:c>
      <x:c r="D1654" s="13" t="n">
        <x:v>1003.19</x:v>
      </x:c>
      <x:c r="E1654" s="13" t="n">
        <x:v>30.11</x:v>
      </x:c>
      <x:c r="F1654" s="13" t="n">
        <x:f>D1654-E1654</x:f>
        <x:v>973.08</x:v>
      </x:c>
      <x:c r="G1654" s="3" t="n">
        <x:v>1994</x:v>
      </x:c>
      <x:c r="H1654" s="3" t="n">
        <x:v>75</x:v>
      </x:c>
      <x:c r="I1654" s="3" t="n">
        <x:v>172</x:v>
      </x:c>
      <x:c r="J1654" s="15" t="n">
        <x:f>IF(D1654=0,"n.a.",E1654/D1654)</x:f>
        <x:v>0.0300142545280555</x:v>
      </x:c>
      <x:c r="K1654" s="15" t="n">
        <x:f>F1654/'Datos'!$F$7</x:f>
        <x:v>0.00009936780635736582</x:v>
      </x:c>
      <x:c r="L1654" s="3"/>
    </x:row>
    <x:row r="1655" ht="22" customHeight="1">
      <x:c r="A1655" s="3"/>
      <x:c r="B1655" s="3" t="str">
        <x:v>84459A</x:v>
      </x:c>
      <x:c r="C1655" s="3" t="str">
        <x:v>PINK METAL CHICKEN HEART</x:v>
      </x:c>
      <x:c r="D1655" s="13" t="n">
        <x:v>1059.67</x:v>
      </x:c>
      <x:c r="E1655" s="13" t="n">
        <x:v>89.4</x:v>
      </x:c>
      <x:c r="F1655" s="13" t="n">
        <x:f>D1655-E1655</x:f>
        <x:v>970.2700000000001</x:v>
      </x:c>
      <x:c r="G1655" s="3" t="n">
        <x:v>717</x:v>
      </x:c>
      <x:c r="H1655" s="3" t="n">
        <x:v>60</x:v>
      </x:c>
      <x:c r="I1655" s="3" t="n">
        <x:v>91</x:v>
      </x:c>
      <x:c r="J1655" s="15" t="n">
        <x:f>IF(D1655=0,"n.a.",E1655/D1655)</x:f>
        <x:v>0.08436588749327621</x:v>
      </x:c>
      <x:c r="K1655" s="15" t="n">
        <x:f>F1655/'Datos'!$F$7</x:f>
        <x:v>0.00009908085817647196</x:v>
      </x:c>
      <x:c r="L1655" s="3"/>
    </x:row>
    <x:row r="1656" ht="22" customHeight="1">
      <x:c r="A1656" s="3"/>
      <x:c r="B1656" s="3" t="str">
        <x:v>23380</x:v>
      </x:c>
      <x:c r="C1656" s="3" t="str">
        <x:v>PACK OF 12 VINTAGE DOILY TISSUES</x:v>
      </x:c>
      <x:c r="D1656" s="13" t="n">
        <x:v>983.5</x:v>
      </x:c>
      <x:c r="E1656" s="13" t="n">
        <x:v>14.04</x:v>
      </x:c>
      <x:c r="F1656" s="13" t="n">
        <x:f>D1656-E1656</x:f>
        <x:v>969.46</x:v>
      </x:c>
      <x:c r="G1656" s="3" t="n">
        <x:v>2344</x:v>
      </x:c>
      <x:c r="H1656" s="3" t="n">
        <x:v>36</x:v>
      </x:c>
      <x:c r="I1656" s="3" t="n">
        <x:v>121</x:v>
      </x:c>
      <x:c r="J1656" s="15" t="n">
        <x:f>IF(D1656=0,"n.a.",E1656/D1656)</x:f>
        <x:v>0.014275546517539399</x:v>
      </x:c>
      <x:c r="K1656" s="15" t="n">
        <x:f>F1656/'Datos'!$F$7</x:f>
        <x:v>0.00009899814357628547</x:v>
      </x:c>
      <x:c r="L1656" s="3"/>
    </x:row>
    <x:row r="1657" ht="22" customHeight="1">
      <x:c r="A1657" s="3"/>
      <x:c r="B1657" s="3" t="str">
        <x:v>85064</x:v>
      </x:c>
      <x:c r="C1657" s="3" t="str">
        <x:v>CREAM SWEETHEART LETTER RACK</x:v>
      </x:c>
      <x:c r="D1657" s="13" t="n">
        <x:v>976.25</x:v>
      </x:c>
      <x:c r="E1657" s="13" t="n">
        <x:v>9.3</x:v>
      </x:c>
      <x:c r="F1657" s="13" t="n">
        <x:f>D1657-E1657</x:f>
        <x:v>966.95</x:v>
      </x:c>
      <x:c r="G1657" s="3" t="n">
        <x:v>215</x:v>
      </x:c>
      <x:c r="H1657" s="3" t="n">
        <x:v>2</x:v>
      </x:c>
      <x:c r="I1657" s="3" t="n">
        <x:v>30</x:v>
      </x:c>
      <x:c r="J1657" s="15" t="n">
        <x:f>IF(D1657=0,"n.a.",E1657/D1657)</x:f>
        <x:v>0.009526248399487836</x:v>
      </x:c>
      <x:c r="K1657" s="15" t="n">
        <x:f>F1657/'Datos'!$F$7</x:f>
        <x:v>0.00009874183043249772</x:v>
      </x:c>
      <x:c r="L1657" s="3"/>
    </x:row>
    <x:row r="1658" ht="22" customHeight="1">
      <x:c r="A1658" s="3"/>
      <x:c r="B1658" s="3" t="str">
        <x:v>35651</x:v>
      </x:c>
      <x:c r="C1658" s="3" t="str">
        <x:v>VINTAGE BEAD PINK SCARF</x:v>
      </x:c>
      <x:c r="D1658" s="13" t="n">
        <x:v>985.84</x:v>
      </x:c>
      <x:c r="E1658" s="13" t="n">
        <x:v>19.8</x:v>
      </x:c>
      <x:c r="F1658" s="13" t="n">
        <x:f>D1658-E1658</x:f>
        <x:v>966.0400000000001</x:v>
      </x:c>
      <x:c r="G1658" s="3" t="n">
        <x:v>451</x:v>
      </x:c>
      <x:c r="H1658" s="3" t="n">
        <x:v>12</x:v>
      </x:c>
      <x:c r="I1658" s="3" t="n">
        <x:v>58</x:v>
      </x:c>
      <x:c r="J1658" s="15" t="n">
        <x:f>IF(D1658=0,"n.a.",E1658/D1658)</x:f>
        <x:v>0.020084395033676865</x:v>
      </x:c>
      <x:c r="K1658" s="15" t="n">
        <x:f>F1658/'Datos'!$F$7</x:f>
        <x:v>0.00009864890415327586</x:v>
      </x:c>
      <x:c r="L1658" s="3"/>
    </x:row>
    <x:row r="1659" ht="22" customHeight="1">
      <x:c r="A1659" s="3"/>
      <x:c r="B1659" s="3" t="str">
        <x:v>23518</x:v>
      </x:c>
      <x:c r="C1659" s="3" t="str">
        <x:v>EMBROIDERED RIBBON REEL RACHEL</x:v>
      </x:c>
      <x:c r="D1659" s="13" t="n">
        <x:v>983.3</x:v>
      </x:c>
      <x:c r="E1659" s="13" t="n">
        <x:v>17.34</x:v>
      </x:c>
      <x:c r="F1659" s="13" t="n">
        <x:f>D1659-E1659</x:f>
        <x:v>965.9599999999999</x:v>
      </x:c>
      <x:c r="G1659" s="3" t="n">
        <x:v>362</x:v>
      </x:c>
      <x:c r="H1659" s="3" t="n">
        <x:v>6</x:v>
      </x:c>
      <x:c r="I1659" s="3" t="n">
        <x:v>44</x:v>
      </x:c>
      <x:c r="J1659" s="15" t="n">
        <x:f>IF(D1659=0,"n.a.",E1659/D1659)</x:f>
        <x:v>0.01763449608461304</x:v>
      </x:c>
      <x:c r="K1659" s="15" t="n">
        <x:f>F1659/'Datos'!$F$7</x:f>
        <x:v>0.00009864073481004756</x:v>
      </x:c>
      <x:c r="L1659" s="3"/>
    </x:row>
    <x:row r="1660" ht="22" customHeight="1">
      <x:c r="A1660" s="3"/>
      <x:c r="B1660" s="3" t="str">
        <x:v>21389</x:v>
      </x:c>
      <x:c r="C1660" s="3" t="str">
        <x:v>IVORY HANGING DECORATION BIRD</x:v>
      </x:c>
      <x:c r="D1660" s="13" t="n">
        <x:v>966.78</x:v>
      </x:c>
      <x:c r="E1660" s="13" t="n">
        <x:v>0.85</x:v>
      </x:c>
      <x:c r="F1660" s="13" t="n">
        <x:f>D1660-E1660</x:f>
        <x:v>965.93</x:v>
      </x:c>
      <x:c r="G1660" s="3" t="n">
        <x:v>1116</x:v>
      </x:c>
      <x:c r="H1660" s="3" t="n">
        <x:v>1</x:v>
      </x:c>
      <x:c r="I1660" s="3" t="n">
        <x:v>128</x:v>
      </x:c>
      <x:c r="J1660" s="15" t="n">
        <x:f>IF(D1660=0,"n.a.",E1660/D1660)</x:f>
        <x:v>0.0008792072653550963</x:v>
      </x:c>
      <x:c r="K1660" s="15" t="n">
        <x:f>F1660/'Datos'!$F$7</x:f>
        <x:v>0.00009863767130633695</x:v>
      </x:c>
      <x:c r="L1660" s="3"/>
    </x:row>
    <x:row r="1661" ht="22" customHeight="1">
      <x:c r="A1661" s="3"/>
      <x:c r="B1661" s="3" t="str">
        <x:v>84509G</x:v>
      </x:c>
      <x:c r="C1661" s="3" t="str">
        <x:v>SET OF 4 FAIRY CAKE PLACEMATS</x:v>
      </x:c>
      <x:c r="D1661" s="13" t="n">
        <x:v>965.41</x:v>
      </x:c>
      <x:c r="E1661" s="13" t="n">
        <x:v>0</x:v>
      </x:c>
      <x:c r="F1661" s="13" t="n">
        <x:f>D1661-E1661</x:f>
        <x:v>965.41</x:v>
      </x:c>
      <x:c r="G1661" s="3" t="n">
        <x:v>519</x:v>
      </x:c>
      <x:c r="H1661" s="3" t="n">
        <x:v>0</x:v>
      </x:c>
      <x:c r="I1661" s="3" t="n">
        <x:v>68</x:v>
      </x:c>
      <x:c r="J1661" s="15" t="n">
        <x:f>IF(D1661=0,"n.a.",E1661/D1661)</x:f>
        <x:v>0</x:v>
      </x:c>
      <x:c r="K1661" s="15" t="n">
        <x:f>F1661/'Datos'!$F$7</x:f>
        <x:v>0.00009858457057535303</x:v>
      </x:c>
      <x:c r="L1661" s="3"/>
    </x:row>
    <x:row r="1662" ht="22" customHeight="1">
      <x:c r="A1662" s="3"/>
      <x:c r="B1662" s="3" t="str">
        <x:v>23514</x:v>
      </x:c>
      <x:c r="C1662" s="3" t="str">
        <x:v>EMBROIDERED RIBBON REEL SALLY</x:v>
      </x:c>
      <x:c r="D1662" s="13" t="n">
        <x:v>977.39</x:v>
      </x:c>
      <x:c r="E1662" s="13" t="n">
        <x:v>12.48</x:v>
      </x:c>
      <x:c r="F1662" s="13" t="n">
        <x:f>D1662-E1662</x:f>
        <x:v>964.91</x:v>
      </x:c>
      <x:c r="G1662" s="3" t="n">
        <x:v>478</x:v>
      </x:c>
      <x:c r="H1662" s="3" t="n">
        <x:v>6</x:v>
      </x:c>
      <x:c r="I1662" s="3" t="n">
        <x:v>74</x:v>
      </x:c>
      <x:c r="J1662" s="15" t="n">
        <x:f>IF(D1662=0,"n.a.",E1662/D1662)</x:f>
        <x:v>0.012768700314101843</x:v>
      </x:c>
      <x:c r="K1662" s="15" t="n">
        <x:f>F1662/'Datos'!$F$7</x:f>
        <x:v>0.00009853351218017619</x:v>
      </x:c>
      <x:c r="L1662" s="3"/>
    </x:row>
    <x:row r="1663" ht="22" customHeight="1">
      <x:c r="A1663" s="3"/>
      <x:c r="B1663" s="3" t="str">
        <x:v>20802</x:v>
      </x:c>
      <x:c r="C1663" s="3" t="str">
        <x:v>SMALL GLASS SUNDAE DISH CLEAR</x:v>
      </x:c>
      <x:c r="D1663" s="13" t="n">
        <x:v>984.47</x:v>
      </x:c>
      <x:c r="E1663" s="13" t="n">
        <x:v>20.07</x:v>
      </x:c>
      <x:c r="F1663" s="13" t="n">
        <x:f>D1663-E1663</x:f>
        <x:v>964.4</x:v>
      </x:c>
      <x:c r="G1663" s="3" t="n">
        <x:v>739</x:v>
      </x:c>
      <x:c r="H1663" s="3" t="n">
        <x:v>39</x:v>
      </x:c>
      <x:c r="I1663" s="3" t="n">
        <x:v>63</x:v>
      </x:c>
      <x:c r="J1663" s="15" t="n">
        <x:f>IF(D1663=0,"n.a.",E1663/D1663)</x:f>
        <x:v>0.020386603959490893</x:v>
      </x:c>
      <x:c r="K1663" s="15" t="n">
        <x:f>F1663/'Datos'!$F$7</x:f>
        <x:v>0.0000984814326170958</x:v>
      </x:c>
      <x:c r="L1663" s="3"/>
    </x:row>
    <x:row r="1664" ht="22" customHeight="1">
      <x:c r="A1664" s="3"/>
      <x:c r="B1664" s="3" t="str">
        <x:v>84843</x:v>
      </x:c>
      <x:c r="C1664" s="3" t="str">
        <x:v>WHITE SOAP RACK WITH 2 BOTTLES</x:v>
      </x:c>
      <x:c r="D1664" s="13" t="n">
        <x:v>969.8</x:v>
      </x:c>
      <x:c r="E1664" s="13" t="n">
        <x:v>5.95</x:v>
      </x:c>
      <x:c r="F1664" s="13" t="n">
        <x:f>D1664-E1664</x:f>
        <x:v>963.8499999999999</x:v>
      </x:c>
      <x:c r="G1664" s="3" t="n">
        <x:v>172</x:v>
      </x:c>
      <x:c r="H1664" s="3" t="n">
        <x:v>1</x:v>
      </x:c>
      <x:c r="I1664" s="3" t="n">
        <x:v>48</x:v>
      </x:c>
      <x:c r="J1664" s="15" t="n">
        <x:f>IF(D1664=0,"n.a.",E1664/D1664)</x:f>
        <x:v>0.006135285625902248</x:v>
      </x:c>
      <x:c r="K1664" s="15" t="n">
        <x:f>F1664/'Datos'!$F$7</x:f>
        <x:v>0.00009842526838240127</x:v>
      </x:c>
      <x:c r="L1664" s="3"/>
    </x:row>
    <x:row r="1665" ht="22" customHeight="1">
      <x:c r="A1665" s="3"/>
      <x:c r="B1665" s="3" t="str">
        <x:v>22540</x:v>
      </x:c>
      <x:c r="C1665" s="3" t="str">
        <x:v>MINI JIGSAW CIRCUS PARADE</x:v>
      </x:c>
      <x:c r="D1665" s="13" t="n">
        <x:v>960.86</x:v>
      </x:c>
      <x:c r="E1665" s="13" t="n">
        <x:v>0.42</x:v>
      </x:c>
      <x:c r="F1665" s="13" t="n">
        <x:f>D1665-E1665</x:f>
        <x:v>960.44</x:v>
      </x:c>
      <x:c r="G1665" s="3" t="n">
        <x:v>2519</x:v>
      </x:c>
      <x:c r="H1665" s="3" t="n">
        <x:v>1</x:v>
      </x:c>
      <x:c r="I1665" s="3" t="n">
        <x:v>91</x:v>
      </x:c>
      <x:c r="J1665" s="15" t="n">
        <x:f>IF(D1665=0,"n.a.",E1665/D1665)</x:f>
        <x:v>0.00043710842370376534</x:v>
      </x:c>
      <x:c r="K1665" s="15" t="n">
        <x:f>F1665/'Datos'!$F$7</x:f>
        <x:v>0.00009807705012729521</x:v>
      </x:c>
      <x:c r="L1665" s="3"/>
    </x:row>
    <x:row r="1666" ht="22" customHeight="1">
      <x:c r="A1666" s="3"/>
      <x:c r="B1666" s="3" t="str">
        <x:v>22210</x:v>
      </x:c>
      <x:c r="C1666" s="3" t="str">
        <x:v>WOOD STAMP SET BEST WISHES</x:v>
      </x:c>
      <x:c r="D1666" s="13" t="n">
        <x:v>959.7</x:v>
      </x:c>
      <x:c r="E1666" s="13" t="n">
        <x:v>0</x:v>
      </x:c>
      <x:c r="F1666" s="13" t="n">
        <x:f>D1666-E1666</x:f>
        <x:v>959.7</x:v>
      </x:c>
      <x:c r="G1666" s="3" t="n">
        <x:v>1019</x:v>
      </x:c>
      <x:c r="H1666" s="3" t="n">
        <x:v>0</x:v>
      </x:c>
      <x:c r="I1666" s="3" t="n">
        <x:v>187</x:v>
      </x:c>
      <x:c r="J1666" s="15" t="n">
        <x:f>IF(D1666=0,"n.a.",E1666/D1666)</x:f>
        <x:v>0</x:v>
      </x:c>
      <x:c r="K1666" s="15" t="n">
        <x:f>F1666/'Datos'!$F$7</x:f>
        <x:v>0.00009800148370243348</x:v>
      </x:c>
      <x:c r="L1666" s="3"/>
    </x:row>
    <x:row r="1667" ht="22" customHeight="1">
      <x:c r="A1667" s="3"/>
      <x:c r="B1667" s="3" t="str">
        <x:v>47504H</x:v>
      </x:c>
      <x:c r="C1667" s="3" t="str">
        <x:v>ENGLISH ROSE SPIRIT LEVEL</x:v>
      </x:c>
      <x:c r="D1667" s="13" t="n">
        <x:v>964.38</x:v>
      </x:c>
      <x:c r="E1667" s="13" t="n">
        <x:v>5</x:v>
      </x:c>
      <x:c r="F1667" s="13" t="n">
        <x:f>D1667-E1667</x:f>
        <x:v>959.38</x:v>
      </x:c>
      <x:c r="G1667" s="3" t="n">
        <x:v>978</x:v>
      </x:c>
      <x:c r="H1667" s="3" t="n">
        <x:v>4</x:v>
      </x:c>
      <x:c r="I1667" s="3" t="n">
        <x:v>118</x:v>
      </x:c>
      <x:c r="J1667" s="15" t="n">
        <x:f>IF(D1667=0,"n.a.",E1667/D1667)</x:f>
        <x:v>0.005184678238868496</x:v>
      </x:c>
      <x:c r="K1667" s="15" t="n">
        <x:f>F1667/'Datos'!$F$7</x:f>
        <x:v>0.00009796880632952029</x:v>
      </x:c>
      <x:c r="L1667" s="3"/>
    </x:row>
    <x:row r="1668" ht="22" customHeight="1">
      <x:c r="A1668" s="3"/>
      <x:c r="B1668" s="3" t="str">
        <x:v>20846</x:v>
      </x:c>
      <x:c r="C1668" s="3" t="str">
        <x:v>ZINC HEART LATTICE T-LIGHT HOLDER</x:v>
      </x:c>
      <x:c r="D1668" s="13" t="n">
        <x:v>958.57</x:v>
      </x:c>
      <x:c r="E1668" s="13" t="n">
        <x:v>0</x:v>
      </x:c>
      <x:c r="F1668" s="13" t="n">
        <x:f>D1668-E1668</x:f>
        <x:v>958.57</x:v>
      </x:c>
      <x:c r="G1668" s="3" t="n">
        <x:v>717</x:v>
      </x:c>
      <x:c r="H1668" s="3" t="n">
        <x:v>0</x:v>
      </x:c>
      <x:c r="I1668" s="3" t="n">
        <x:v>88</x:v>
      </x:c>
      <x:c r="J1668" s="15" t="n">
        <x:f>IF(D1668=0,"n.a.",E1668/D1668)</x:f>
        <x:v>0</x:v>
      </x:c>
      <x:c r="K1668" s="15" t="n">
        <x:f>F1668/'Datos'!$F$7</x:f>
        <x:v>0.00009788609172933382</x:v>
      </x:c>
      <x:c r="L1668" s="3"/>
    </x:row>
    <x:row r="1669" ht="22" customHeight="1">
      <x:c r="A1669" s="3"/>
      <x:c r="B1669" s="3" t="str">
        <x:v>22209</x:v>
      </x:c>
      <x:c r="C1669" s="3" t="str">
        <x:v>WOOD STAMP SET HAPPY BIRTHDAY</x:v>
      </x:c>
      <x:c r="D1669" s="13" t="n">
        <x:v>968.37</x:v>
      </x:c>
      <x:c r="E1669" s="13" t="n">
        <x:v>9.96</x:v>
      </x:c>
      <x:c r="F1669" s="13" t="n">
        <x:f>D1669-E1669</x:f>
        <x:v>958.41</x:v>
      </x:c>
      <x:c r="G1669" s="3" t="n">
        <x:v>950</x:v>
      </x:c>
      <x:c r="H1669" s="3" t="n">
        <x:v>12</x:v>
      </x:c>
      <x:c r="I1669" s="3" t="n">
        <x:v>173</x:v>
      </x:c>
      <x:c r="J1669" s="15" t="n">
        <x:f>IF(D1669=0,"n.a.",E1669/D1669)</x:f>
        <x:v>0.010285324824189103</x:v>
      </x:c>
      <x:c r="K1669" s="15" t="n">
        <x:f>F1669/'Datos'!$F$7</x:f>
        <x:v>0.00009786975304287722</x:v>
      </x:c>
      <x:c r="L1669" s="3"/>
    </x:row>
    <x:row r="1670" ht="22" customHeight="1">
      <x:c r="A1670" s="3"/>
      <x:c r="B1670" s="3" t="str">
        <x:v>22681</x:v>
      </x:c>
      <x:c r="C1670" s="3" t="str">
        <x:v>FRENCH BLUE METAL DOOR SIGN 6</x:v>
      </x:c>
      <x:c r="D1670" s="13" t="n">
        <x:v>973.15</x:v>
      </x:c>
      <x:c r="E1670" s="13" t="n">
        <x:v>14.81</x:v>
      </x:c>
      <x:c r="F1670" s="13" t="n">
        <x:f>D1670-E1670</x:f>
        <x:v>958.34</x:v>
      </x:c>
      <x:c r="G1670" s="3" t="n">
        <x:v>710</x:v>
      </x:c>
      <x:c r="H1670" s="3" t="n">
        <x:v>12</x:v>
      </x:c>
      <x:c r="I1670" s="3" t="n">
        <x:v>126</x:v>
      </x:c>
      <x:c r="J1670" s="15" t="n">
        <x:f>IF(D1670=0,"n.a.",E1670/D1670)</x:f>
        <x:v>0.015218619945537687</x:v>
      </x:c>
      <x:c r="K1670" s="15" t="n">
        <x:f>F1670/'Datos'!$F$7</x:f>
        <x:v>0.00009786260486755247</x:v>
      </x:c>
      <x:c r="L1670" s="3"/>
    </x:row>
    <x:row r="1671" ht="22" customHeight="1">
      <x:c r="A1671" s="3"/>
      <x:c r="B1671" s="3" t="str">
        <x:v>21058</x:v>
      </x:c>
      <x:c r="C1671" s="3" t="str">
        <x:v>PARTY INVITES WOODLAND</x:v>
      </x:c>
      <x:c r="D1671" s="13" t="n">
        <x:v>968.21</x:v>
      </x:c>
      <x:c r="E1671" s="13" t="n">
        <x:v>10.2</x:v>
      </x:c>
      <x:c r="F1671" s="13" t="n">
        <x:f>D1671-E1671</x:f>
        <x:v>958.01</x:v>
      </x:c>
      <x:c r="G1671" s="3" t="n">
        <x:v>1157</x:v>
      </x:c>
      <x:c r="H1671" s="3" t="n">
        <x:v>12</x:v>
      </x:c>
      <x:c r="I1671" s="3" t="n">
        <x:v>122</x:v>
      </x:c>
      <x:c r="J1671" s="15" t="n">
        <x:f>IF(D1671=0,"n.a.",E1671/D1671)</x:f>
        <x:v>0.010534904617799856</x:v>
      </x:c>
      <x:c r="K1671" s="15" t="n">
        <x:f>F1671/'Datos'!$F$7</x:f>
        <x:v>0.00009782890632673575</x:v>
      </x:c>
      <x:c r="L1671" s="3"/>
    </x:row>
    <x:row r="1672" ht="22" customHeight="1">
      <x:c r="A1672" s="3"/>
      <x:c r="B1672" s="3" t="str">
        <x:v>23460</x:v>
      </x:c>
      <x:c r="C1672" s="3" t="str">
        <x:v>SWEETHEART WALL TIDY</x:v>
      </x:c>
      <x:c r="D1672" s="13" t="n">
        <x:v>1007.08</x:v>
      </x:c>
      <x:c r="E1672" s="13" t="n">
        <x:v>49.75</x:v>
      </x:c>
      <x:c r="F1672" s="13" t="n">
        <x:f>D1672-E1672</x:f>
        <x:v>957.33</x:v>
      </x:c>
      <x:c r="G1672" s="3" t="n">
        <x:v>108</x:v>
      </x:c>
      <x:c r="H1672" s="3" t="n">
        <x:v>5</x:v>
      </x:c>
      <x:c r="I1672" s="3" t="n">
        <x:v>43</x:v>
      </x:c>
      <x:c r="J1672" s="15" t="n">
        <x:f>IF(D1672=0,"n.a.",E1672/D1672)</x:f>
        <x:v>0.04940024625650395</x:v>
      </x:c>
      <x:c r="K1672" s="15" t="n">
        <x:f>F1672/'Datos'!$F$7</x:f>
        <x:v>0.00009775946690929524</x:v>
      </x:c>
      <x:c r="L1672" s="3"/>
    </x:row>
    <x:row r="1673" ht="22" customHeight="1">
      <x:c r="A1673" s="3"/>
      <x:c r="B1673" s="3" t="str">
        <x:v>84596G</x:v>
      </x:c>
      <x:c r="C1673" s="3" t="str">
        <x:v>SMALL CHOCOLATES PINK BOWL</x:v>
      </x:c>
      <x:c r="D1673" s="13" t="n">
        <x:v>957.3</x:v>
      </x:c>
      <x:c r="E1673" s="13" t="n">
        <x:v>0</x:v>
      </x:c>
      <x:c r="F1673" s="13" t="n">
        <x:f>D1673-E1673</x:f>
        <x:v>957.3</x:v>
      </x:c>
      <x:c r="G1673" s="3" t="n">
        <x:v>1860</x:v>
      </x:c>
      <x:c r="H1673" s="3" t="n">
        <x:v>0</x:v>
      </x:c>
      <x:c r="I1673" s="3" t="n">
        <x:v>246</x:v>
      </x:c>
      <x:c r="J1673" s="15" t="n">
        <x:f>IF(D1673=0,"n.a.",E1673/D1673)</x:f>
        <x:v>0</x:v>
      </x:c>
      <x:c r="K1673" s="15" t="n">
        <x:f>F1673/'Datos'!$F$7</x:f>
        <x:v>0.00009775640340558463</x:v>
      </x:c>
      <x:c r="L1673" s="3"/>
    </x:row>
    <x:row r="1674" ht="22" customHeight="1">
      <x:c r="A1674" s="3"/>
      <x:c r="B1674" s="3" t="str">
        <x:v>84913A</x:v>
      </x:c>
      <x:c r="C1674" s="3" t="str">
        <x:v>SOFT PINK ROSE TOWEL</x:v>
      </x:c>
      <x:c r="D1674" s="13" t="n">
        <x:v>952.83</x:v>
      </x:c>
      <x:c r="E1674" s="13" t="n">
        <x:v>0</x:v>
      </x:c>
      <x:c r="F1674" s="13" t="n">
        <x:f>D1674-E1674</x:f>
        <x:v>952.83</x:v>
      </x:c>
      <x:c r="G1674" s="3" t="n">
        <x:v>273</x:v>
      </x:c>
      <x:c r="H1674" s="3" t="n">
        <x:v>0</x:v>
      </x:c>
      <x:c r="I1674" s="3" t="n">
        <x:v>124</x:v>
      </x:c>
      <x:c r="J1674" s="15" t="n">
        <x:f>IF(D1674=0,"n.a.",E1674/D1674)</x:f>
        <x:v>0</x:v>
      </x:c>
      <x:c r="K1674" s="15" t="n">
        <x:f>F1674/'Datos'!$F$7</x:f>
        <x:v>0.00009729994135270365</x:v>
      </x:c>
      <x:c r="L1674" s="3"/>
    </x:row>
    <x:row r="1675" ht="22" customHeight="1">
      <x:c r="A1675" s="3"/>
      <x:c r="B1675" s="3" t="str">
        <x:v>47593B</x:v>
      </x:c>
      <x:c r="C1675" s="3" t="str">
        <x:v>SCOTTIE DOGS BABY BIB</x:v>
      </x:c>
      <x:c r="D1675" s="13" t="n">
        <x:v>951.11</x:v>
      </x:c>
      <x:c r="E1675" s="13" t="n">
        <x:v>0</x:v>
      </x:c>
      <x:c r="F1675" s="13" t="n">
        <x:f>D1675-E1675</x:f>
        <x:v>951.11</x:v>
      </x:c>
      <x:c r="G1675" s="3" t="n">
        <x:v>1993</x:v>
      </x:c>
      <x:c r="H1675" s="3" t="n">
        <x:v>0</x:v>
      </x:c>
      <x:c r="I1675" s="3" t="n">
        <x:v>246</x:v>
      </x:c>
      <x:c r="J1675" s="15" t="n">
        <x:f>IF(D1675=0,"n.a.",E1675/D1675)</x:f>
        <x:v>0</x:v>
      </x:c>
      <x:c r="K1675" s="15" t="n">
        <x:f>F1675/'Datos'!$F$7</x:f>
        <x:v>0.00009712430047329531</x:v>
      </x:c>
      <x:c r="L1675" s="3"/>
    </x:row>
    <x:row r="1676" ht="22" customHeight="1">
      <x:c r="A1676" s="3"/>
      <x:c r="B1676" s="3" t="str">
        <x:v>22262</x:v>
      </x:c>
      <x:c r="C1676" s="3" t="str">
        <x:v>FELT EGG COSY CHICKEN</x:v>
      </x:c>
      <x:c r="D1676" s="13" t="n">
        <x:v>953.86</x:v>
      </x:c>
      <x:c r="E1676" s="13" t="n">
        <x:v>4.25</x:v>
      </x:c>
      <x:c r="F1676" s="13" t="n">
        <x:f>D1676-E1676</x:f>
        <x:v>949.61</x:v>
      </x:c>
      <x:c r="G1676" s="3" t="n">
        <x:v>1027</x:v>
      </x:c>
      <x:c r="H1676" s="3" t="n">
        <x:v>5</x:v>
      </x:c>
      <x:c r="I1676" s="3" t="n">
        <x:v>137</x:v>
      </x:c>
      <x:c r="J1676" s="15" t="n">
        <x:f>IF(D1676=0,"n.a.",E1676/D1676)</x:f>
        <x:v>0.00445558048350911</x:v>
      </x:c>
      <x:c r="K1676" s="15" t="n">
        <x:f>F1676/'Datos'!$F$7</x:f>
        <x:v>0.00009697112528776477</x:v>
      </x:c>
      <x:c r="L1676" s="3"/>
    </x:row>
    <x:row r="1677" ht="22" customHeight="1">
      <x:c r="A1677" s="3"/>
      <x:c r="B1677" s="3" t="str">
        <x:v>21198</x:v>
      </x:c>
      <x:c r="C1677" s="3" t="str">
        <x:v>WHITE HEART CONFETTI IN TUBE</x:v>
      </x:c>
      <x:c r="D1677" s="13" t="n">
        <x:v>1008.47</x:v>
      </x:c>
      <x:c r="E1677" s="13" t="n">
        <x:v>59.76</x:v>
      </x:c>
      <x:c r="F1677" s="13" t="n">
        <x:f>D1677-E1677</x:f>
        <x:v>948.71</x:v>
      </x:c>
      <x:c r="G1677" s="3" t="n">
        <x:v>1029</x:v>
      </x:c>
      <x:c r="H1677" s="3" t="n">
        <x:v>72</x:v>
      </x:c>
      <x:c r="I1677" s="3" t="n">
        <x:v>71</x:v>
      </x:c>
      <x:c r="J1677" s="15" t="n">
        <x:f>IF(D1677=0,"n.a.",E1677/D1677)</x:f>
        <x:v>0.059258084028280464</x:v>
      </x:c>
      <x:c r="K1677" s="15" t="n">
        <x:f>F1677/'Datos'!$F$7</x:f>
        <x:v>0.00009687922017644646</x:v>
      </x:c>
      <x:c r="L1677" s="3"/>
    </x:row>
    <x:row r="1678" ht="22" customHeight="1">
      <x:c r="A1678" s="3"/>
      <x:c r="B1678" s="3" t="str">
        <x:v>21683</x:v>
      </x:c>
      <x:c r="C1678" s="3" t="str">
        <x:v>MEDIUM MEDINA STAMPED METAL BOWL</x:v>
      </x:c>
      <x:c r="D1678" s="13" t="n">
        <x:v>948.7</x:v>
      </x:c>
      <x:c r="E1678" s="13" t="n">
        <x:v>0</x:v>
      </x:c>
      <x:c r="F1678" s="13" t="n">
        <x:f>D1678-E1678</x:f>
        <x:v>948.7</x:v>
      </x:c>
      <x:c r="G1678" s="3" t="n">
        <x:v>310</x:v>
      </x:c>
      <x:c r="H1678" s="3" t="n">
        <x:v>0</x:v>
      </x:c>
      <x:c r="I1678" s="3" t="n">
        <x:v>58</x:v>
      </x:c>
      <x:c r="J1678" s="15" t="n">
        <x:f>IF(D1678=0,"n.a.",E1678/D1678)</x:f>
        <x:v>0</x:v>
      </x:c>
      <x:c r="K1678" s="15" t="n">
        <x:f>F1678/'Datos'!$F$7</x:f>
        <x:v>0.00009687819900854292</x:v>
      </x:c>
      <x:c r="L1678" s="3"/>
    </x:row>
    <x:row r="1679" ht="22" customHeight="1">
      <x:c r="A1679" s="3"/>
      <x:c r="B1679" s="3" t="str">
        <x:v>22599</x:v>
      </x:c>
      <x:c r="C1679" s="3" t="str">
        <x:v>CHRISTMAS MUSICAL ZINC STAR</x:v>
      </x:c>
      <x:c r="D1679" s="13" t="n">
        <x:v>967.76</x:v>
      </x:c>
      <x:c r="E1679" s="13" t="n">
        <x:v>20.4</x:v>
      </x:c>
      <x:c r="F1679" s="13" t="n">
        <x:f>D1679-E1679</x:f>
        <x:v>947.36</x:v>
      </x:c>
      <x:c r="G1679" s="3" t="n">
        <x:v>1953</x:v>
      </x:c>
      <x:c r="H1679" s="3" t="n">
        <x:v>24</x:v>
      </x:c>
      <x:c r="I1679" s="3" t="n">
        <x:v>123</x:v>
      </x:c>
      <x:c r="J1679" s="15" t="n">
        <x:f>IF(D1679=0,"n.a.",E1679/D1679)</x:f>
        <x:v>0.021079606514011737</x:v>
      </x:c>
      <x:c r="K1679" s="15" t="n">
        <x:f>F1679/'Datos'!$F$7</x:f>
        <x:v>0.00009674136250946898</x:v>
      </x:c>
      <x:c r="L1679" s="3"/>
    </x:row>
    <x:row r="1680" ht="22" customHeight="1">
      <x:c r="A1680" s="3"/>
      <x:c r="B1680" s="3" t="str">
        <x:v>23540</x:v>
      </x:c>
      <x:c r="C1680" s="3" t="str">
        <x:v>WALL ART THE MAGIC FOREST</x:v>
      </x:c>
      <x:c r="D1680" s="13" t="n">
        <x:v>947.06</x:v>
      </x:c>
      <x:c r="E1680" s="13" t="n">
        <x:v>0</x:v>
      </x:c>
      <x:c r="F1680" s="13" t="n">
        <x:f>D1680-E1680</x:f>
        <x:v>947.06</x:v>
      </x:c>
      <x:c r="G1680" s="3" t="n">
        <x:v>150</x:v>
      </x:c>
      <x:c r="H1680" s="3" t="n">
        <x:v>0</x:v>
      </x:c>
      <x:c r="I1680" s="3" t="n">
        <x:v>14</x:v>
      </x:c>
      <x:c r="J1680" s="15" t="n">
        <x:f>IF(D1680=0,"n.a.",E1680/D1680)</x:f>
        <x:v>0</x:v>
      </x:c>
      <x:c r="K1680" s="15" t="n">
        <x:f>F1680/'Datos'!$F$7</x:f>
        <x:v>0.00009671072747236287</x:v>
      </x:c>
      <x:c r="L1680" s="3"/>
    </x:row>
    <x:row r="1681" ht="22" customHeight="1">
      <x:c r="A1681" s="3"/>
      <x:c r="B1681" s="3" t="str">
        <x:v>21717</x:v>
      </x:c>
      <x:c r="C1681" s="3" t="str">
        <x:v>EASTER TIN BUCKET</x:v>
      </x:c>
      <x:c r="D1681" s="13" t="n">
        <x:v>946.93</x:v>
      </x:c>
      <x:c r="E1681" s="13" t="n">
        <x:v>0</x:v>
      </x:c>
      <x:c r="F1681" s="13" t="n">
        <x:f>D1681-E1681</x:f>
        <x:v>946.93</x:v>
      </x:c>
      <x:c r="G1681" s="3" t="n">
        <x:v>408</x:v>
      </x:c>
      <x:c r="H1681" s="3" t="n">
        <x:v>0</x:v>
      </x:c>
      <x:c r="I1681" s="3" t="n">
        <x:v>41</x:v>
      </x:c>
      <x:c r="J1681" s="15" t="n">
        <x:f>IF(D1681=0,"n.a.",E1681/D1681)</x:f>
        <x:v>0</x:v>
      </x:c>
      <x:c r="K1681" s="15" t="n">
        <x:f>F1681/'Datos'!$F$7</x:f>
        <x:v>0.00009669745228961689</x:v>
      </x:c>
      <x:c r="L1681" s="3"/>
    </x:row>
    <x:row r="1682" ht="22" customHeight="1">
      <x:c r="A1682" s="3"/>
      <x:c r="B1682" s="3" t="str">
        <x:v>22994</x:v>
      </x:c>
      <x:c r="C1682" s="3" t="str">
        <x:v>TRAVEL CARD WALLET RETROSPOT</x:v>
      </x:c>
      <x:c r="D1682" s="13" t="n">
        <x:v>958.2</x:v>
      </x:c>
      <x:c r="E1682" s="13" t="n">
        <x:v>12.6</x:v>
      </x:c>
      <x:c r="F1682" s="13" t="n">
        <x:f>D1682-E1682</x:f>
        <x:v>945.6</x:v>
      </x:c>
      <x:c r="G1682" s="3" t="n">
        <x:v>2197</x:v>
      </x:c>
      <x:c r="H1682" s="3" t="n">
        <x:v>30</x:v>
      </x:c>
      <x:c r="I1682" s="3" t="n">
        <x:v>218</x:v>
      </x:c>
      <x:c r="J1682" s="15" t="n">
        <x:f>IF(D1682=0,"n.a.",E1682/D1682)</x:f>
        <x:v>0.013149655604257982</x:v>
      </x:c>
      <x:c r="K1682" s="15" t="n">
        <x:f>F1682/'Datos'!$F$7</x:f>
        <x:v>0.00009656163695844649</x:v>
      </x:c>
      <x:c r="L1682" s="3"/>
    </x:row>
    <x:row r="1683" ht="22" customHeight="1">
      <x:c r="A1683" s="3"/>
      <x:c r="B1683" s="3" t="str">
        <x:v>15044B</x:v>
      </x:c>
      <x:c r="C1683" s="3" t="str">
        <x:v>BLUE PAPER PARASOL</x:v>
      </x:c>
      <x:c r="D1683" s="13" t="n">
        <x:v>946.83</x:v>
      </x:c>
      <x:c r="E1683" s="13" t="n">
        <x:v>2.95</x:v>
      </x:c>
      <x:c r="F1683" s="13" t="n">
        <x:f>D1683-E1683</x:f>
        <x:v>943.88</x:v>
      </x:c>
      <x:c r="G1683" s="3" t="n">
        <x:v>321</x:v>
      </x:c>
      <x:c r="H1683" s="3" t="n">
        <x:v>1</x:v>
      </x:c>
      <x:c r="I1683" s="3" t="n">
        <x:v>60</x:v>
      </x:c>
      <x:c r="J1683" s="15" t="n">
        <x:f>IF(D1683=0,"n.a.",E1683/D1683)</x:f>
        <x:v>0.0031156596221074534</x:v>
      </x:c>
      <x:c r="K1683" s="15" t="n">
        <x:f>F1683/'Datos'!$F$7</x:f>
        <x:v>0.00009638599607903815</x:v>
      </x:c>
      <x:c r="L1683" s="3"/>
    </x:row>
    <x:row r="1684" ht="22" customHeight="1">
      <x:c r="A1684" s="3"/>
      <x:c r="B1684" s="3" t="str">
        <x:v>70007</x:v>
      </x:c>
      <x:c r="C1684" s="3" t="str">
        <x:v>HI TEC ALPINE HAND WARMER</x:v>
      </x:c>
      <x:c r="D1684" s="13" t="n">
        <x:v>962.96</x:v>
      </x:c>
      <x:c r="E1684" s="13" t="n">
        <x:v>19.8</x:v>
      </x:c>
      <x:c r="F1684" s="13" t="n">
        <x:f>D1684-E1684</x:f>
        <x:v>943.1600000000001</x:v>
      </x:c>
      <x:c r="G1684" s="3" t="n">
        <x:v>845</x:v>
      </x:c>
      <x:c r="H1684" s="3" t="n">
        <x:v>12</x:v>
      </x:c>
      <x:c r="I1684" s="3" t="n">
        <x:v>107</x:v>
      </x:c>
      <x:c r="J1684" s="15" t="n">
        <x:f>IF(D1684=0,"n.a.",E1684/D1684)</x:f>
        <x:v>0.020561601728005318</x:v>
      </x:c>
      <x:c r="K1684" s="15" t="n">
        <x:f>F1684/'Datos'!$F$7</x:f>
        <x:v>0.0000963124719899835</x:v>
      </x:c>
      <x:c r="L1684" s="3"/>
    </x:row>
    <x:row r="1685" ht="22" customHeight="1">
      <x:c r="A1685" s="3"/>
      <x:c r="B1685" s="3" t="str">
        <x:v>22246</x:v>
      </x:c>
      <x:c r="C1685" s="3" t="str">
        <x:v>MAGIC GARDEN FELT GARLAND</x:v>
      </x:c>
      <x:c r="D1685" s="13" t="n">
        <x:v>962.77</x:v>
      </x:c>
      <x:c r="E1685" s="13" t="n">
        <x:v>23.4</x:v>
      </x:c>
      <x:c r="F1685" s="13" t="n">
        <x:f>D1685-E1685</x:f>
        <x:v>939.37</x:v>
      </x:c>
      <x:c r="G1685" s="3" t="n">
        <x:v>431</x:v>
      </x:c>
      <x:c r="H1685" s="3" t="n">
        <x:v>12</x:v>
      </x:c>
      <x:c r="I1685" s="3" t="n">
        <x:v>90</x:v>
      </x:c>
      <x:c r="J1685" s="15" t="n">
        <x:f>IF(D1685=0,"n.a.",E1685/D1685)</x:f>
        <x:v>0.024304870322091464</x:v>
      </x:c>
      <x:c r="K1685" s="15" t="n">
        <x:f>F1685/'Datos'!$F$7</x:f>
        <x:v>0.00009592544935454302</x:v>
      </x:c>
      <x:c r="L1685" s="3"/>
    </x:row>
    <x:row r="1686" ht="22" customHeight="1">
      <x:c r="A1686" s="3"/>
      <x:c r="B1686" s="3" t="str">
        <x:v>22242</x:v>
      </x:c>
      <x:c r="C1686" s="3" t="str">
        <x:v>5 HOOK HANGER MAGIC TOADSTOOL</x:v>
      </x:c>
      <x:c r="D1686" s="13" t="n">
        <x:v>994.38</x:v>
      </x:c>
      <x:c r="E1686" s="13" t="n">
        <x:v>56.1</x:v>
      </x:c>
      <x:c r="F1686" s="13" t="n">
        <x:f>D1686-E1686</x:f>
        <x:v>938.28</x:v>
      </x:c>
      <x:c r="G1686" s="3" t="n">
        <x:v>640</x:v>
      </x:c>
      <x:c r="H1686" s="3" t="n">
        <x:v>34</x:v>
      </x:c>
      <x:c r="I1686" s="3" t="n">
        <x:v>34</x:v>
      </x:c>
      <x:c r="J1686" s="15" t="n">
        <x:f>IF(D1686=0,"n.a.",E1686/D1686)</x:f>
        <x:v>0.05641706389911302</x:v>
      </x:c>
      <x:c r="K1686" s="15" t="n">
        <x:f>F1686/'Datos'!$F$7</x:f>
        <x:v>0.0000958141420530575</x:v>
      </x:c>
      <x:c r="L1686" s="3"/>
    </x:row>
    <x:row r="1687" ht="22" customHeight="1">
      <x:c r="A1687" s="3"/>
      <x:c r="B1687" s="3" t="str">
        <x:v>35646</x:v>
      </x:c>
      <x:c r="C1687" s="3" t="str">
        <x:v>VINTAGE BEAD PINK EVENING BAG</x:v>
      </x:c>
      <x:c r="D1687" s="13" t="n">
        <x:v>937.25</x:v>
      </x:c>
      <x:c r="E1687" s="13" t="n">
        <x:v>0</x:v>
      </x:c>
      <x:c r="F1687" s="13" t="n">
        <x:f>D1687-E1687</x:f>
        <x:v>937.25</x:v>
      </x:c>
      <x:c r="G1687" s="3" t="n">
        <x:v>619</x:v>
      </x:c>
      <x:c r="H1687" s="3" t="n">
        <x:v>0</x:v>
      </x:c>
      <x:c r="I1687" s="3" t="n">
        <x:v>94</x:v>
      </x:c>
      <x:c r="J1687" s="15" t="n">
        <x:f>IF(D1687=0,"n.a.",E1687/D1687)</x:f>
        <x:v>0</x:v>
      </x:c>
      <x:c r="K1687" s="15" t="n">
        <x:f>F1687/'Datos'!$F$7</x:f>
        <x:v>0.0000957089617589932</x:v>
      </x:c>
      <x:c r="L1687" s="3"/>
    </x:row>
    <x:row r="1688" ht="22" customHeight="1">
      <x:c r="A1688" s="3"/>
      <x:c r="B1688" s="3" t="str">
        <x:v>23183</x:v>
      </x:c>
      <x:c r="C1688" s="3" t="str">
        <x:v>MOTHER'S KITCHEN SPOON REST</x:v>
      </x:c>
      <x:c r="D1688" s="13" t="n">
        <x:v>967.17</x:v>
      </x:c>
      <x:c r="E1688" s="13" t="n">
        <x:v>30</x:v>
      </x:c>
      <x:c r="F1688" s="13" t="n">
        <x:f>D1688-E1688</x:f>
        <x:v>937.17</x:v>
      </x:c>
      <x:c r="G1688" s="3" t="n">
        <x:v>226</x:v>
      </x:c>
      <x:c r="H1688" s="3" t="n">
        <x:v>8</x:v>
      </x:c>
      <x:c r="I1688" s="3" t="n">
        <x:v>84</x:v>
      </x:c>
      <x:c r="J1688" s="15" t="n">
        <x:f>IF(D1688=0,"n.a.",E1688/D1688)</x:f>
        <x:v>0.03101833183411396</x:v>
      </x:c>
      <x:c r="K1688" s="15" t="n">
        <x:f>F1688/'Datos'!$F$7</x:f>
        <x:v>0.0000957007924157649</x:v>
      </x:c>
      <x:c r="L1688" s="3"/>
    </x:row>
    <x:row r="1689" ht="22" customHeight="1">
      <x:c r="A1689" s="3"/>
      <x:c r="B1689" s="3" t="str">
        <x:v>22281</x:v>
      </x:c>
      <x:c r="C1689" s="3" t="str">
        <x:v>EASTER TREE YELLOW BIRDS</x:v>
      </x:c>
      <x:c r="D1689" s="13" t="n">
        <x:v>935.39</x:v>
      </x:c>
      <x:c r="E1689" s="13" t="n">
        <x:v>0</x:v>
      </x:c>
      <x:c r="F1689" s="13" t="n">
        <x:f>D1689-E1689</x:f>
        <x:v>935.39</x:v>
      </x:c>
      <x:c r="G1689" s="3" t="n">
        <x:v>132</x:v>
      </x:c>
      <x:c r="H1689" s="3" t="n">
        <x:v>0</x:v>
      </x:c>
      <x:c r="I1689" s="3" t="n">
        <x:v>63</x:v>
      </x:c>
      <x:c r="J1689" s="15" t="n">
        <x:f>IF(D1689=0,"n.a.",E1689/D1689)</x:f>
        <x:v>0</x:v>
      </x:c>
      <x:c r="K1689" s="15" t="n">
        <x:f>F1689/'Datos'!$F$7</x:f>
        <x:v>0.00009551902452893534</x:v>
      </x:c>
      <x:c r="L1689" s="3"/>
    </x:row>
    <x:row r="1690" ht="22" customHeight="1">
      <x:c r="A1690" s="3"/>
      <x:c r="B1690" s="3" t="str">
        <x:v>84819</x:v>
      </x:c>
      <x:c r="C1690" s="3" t="str">
        <x:v>DANISH ROSE ROUND SEWING BOX</x:v>
      </x:c>
      <x:c r="D1690" s="13" t="n">
        <x:v>951.79</x:v>
      </x:c>
      <x:c r="E1690" s="13" t="n">
        <x:v>17</x:v>
      </x:c>
      <x:c r="F1690" s="13" t="n">
        <x:f>D1690-E1690</x:f>
        <x:v>934.79</x:v>
      </x:c>
      <x:c r="G1690" s="3" t="n">
        <x:v>811</x:v>
      </x:c>
      <x:c r="H1690" s="3" t="n">
        <x:v>4</x:v>
      </x:c>
      <x:c r="I1690" s="3" t="n">
        <x:v>62</x:v>
      </x:c>
      <x:c r="J1690" s="15" t="n">
        <x:f>IF(D1690=0,"n.a.",E1690/D1690)</x:f>
        <x:v>0.017861082801878567</x:v>
      </x:c>
      <x:c r="K1690" s="15" t="n">
        <x:f>F1690/'Datos'!$F$7</x:f>
        <x:v>0.00009545775445472313</x:v>
      </x:c>
      <x:c r="L1690" s="3"/>
    </x:row>
    <x:row r="1691" ht="22" customHeight="1">
      <x:c r="A1691" s="3"/>
      <x:c r="B1691" s="3" t="str">
        <x:v>22231</x:v>
      </x:c>
      <x:c r="C1691" s="3" t="str">
        <x:v>JIGSAW TREE WITH BIRDHOUSE</x:v>
      </x:c>
      <x:c r="D1691" s="13" t="n">
        <x:v>1029.76</x:v>
      </x:c>
      <x:c r="E1691" s="13" t="n">
        <x:v>95.05</x:v>
      </x:c>
      <x:c r="F1691" s="13" t="n">
        <x:f>D1691-E1691</x:f>
        <x:v>934.71</x:v>
      </x:c>
      <x:c r="G1691" s="3" t="n">
        <x:v>1000</x:v>
      </x:c>
      <x:c r="H1691" s="3" t="n">
        <x:v>69</x:v>
      </x:c>
      <x:c r="I1691" s="3" t="n">
        <x:v>144</x:v>
      </x:c>
      <x:c r="J1691" s="15" t="n">
        <x:f>IF(D1691=0,"n.a.",E1691/D1691)</x:f>
        <x:v>0.0923030609073959</x:v>
      </x:c>
      <x:c r="K1691" s="15" t="n">
        <x:f>F1691/'Datos'!$F$7</x:f>
        <x:v>0.00009544958511149485</x:v>
      </x:c>
      <x:c r="L1691" s="3"/>
    </x:row>
    <x:row r="1692" ht="22" customHeight="1">
      <x:c r="A1692" s="3"/>
      <x:c r="B1692" s="3" t="str">
        <x:v>20686</x:v>
      </x:c>
      <x:c r="C1692" s="3" t="str">
        <x:v>DOLLY MIXTURE CHILDREN'S UMBRELLA</x:v>
      </x:c>
      <x:c r="D1692" s="13" t="n">
        <x:v>932.42</x:v>
      </x:c>
      <x:c r="E1692" s="13" t="n">
        <x:v>0</x:v>
      </x:c>
      <x:c r="F1692" s="13" t="n">
        <x:f>D1692-E1692</x:f>
        <x:v>932.42</x:v>
      </x:c>
      <x:c r="G1692" s="3" t="n">
        <x:v>270</x:v>
      </x:c>
      <x:c r="H1692" s="3" t="n">
        <x:v>0</x:v>
      </x:c>
      <x:c r="I1692" s="3" t="n">
        <x:v>77</x:v>
      </x:c>
      <x:c r="J1692" s="15" t="n">
        <x:f>IF(D1692=0,"n.a.",E1692/D1692)</x:f>
        <x:v>0</x:v>
      </x:c>
      <x:c r="K1692" s="15" t="n">
        <x:f>F1692/'Datos'!$F$7</x:f>
        <x:v>0.0000952157376615849</x:v>
      </x:c>
      <x:c r="L1692" s="3"/>
    </x:row>
    <x:row r="1693" ht="22" customHeight="1">
      <x:c r="A1693" s="3"/>
      <x:c r="B1693" s="3" t="str">
        <x:v>21462</x:v>
      </x:c>
      <x:c r="C1693" s="3" t="str">
        <x:v>NURSERY A,B,C PAINTED LETTERS</x:v>
      </x:c>
      <x:c r="D1693" s="13" t="n">
        <x:v>932.4</x:v>
      </x:c>
      <x:c r="E1693" s="13" t="n">
        <x:v>0</x:v>
      </x:c>
      <x:c r="F1693" s="13" t="n">
        <x:f>D1693-E1693</x:f>
        <x:v>932.4</x:v>
      </x:c>
      <x:c r="G1693" s="3" t="n">
        <x:v>198</x:v>
      </x:c>
      <x:c r="H1693" s="3" t="n">
        <x:v>0</x:v>
      </x:c>
      <x:c r="I1693" s="3" t="n">
        <x:v>73</x:v>
      </x:c>
      <x:c r="J1693" s="15" t="n">
        <x:f>IF(D1693=0,"n.a.",E1693/D1693)</x:f>
        <x:v>0</x:v>
      </x:c>
      <x:c r="K1693" s="15" t="n">
        <x:f>F1693/'Datos'!$F$7</x:f>
        <x:v>0.00009521369532577782</x:v>
      </x:c>
      <x:c r="L1693" s="3"/>
    </x:row>
    <x:row r="1694" ht="22" customHeight="1">
      <x:c r="A1694" s="3"/>
      <x:c r="B1694" s="3" t="str">
        <x:v>20752</x:v>
      </x:c>
      <x:c r="C1694" s="3" t="str">
        <x:v>BLUE POLKADOT WASHING UP GLOVES</x:v>
      </x:c>
      <x:c r="D1694" s="13" t="n">
        <x:v>935.15</x:v>
      </x:c>
      <x:c r="E1694" s="13" t="n">
        <x:v>4.2</x:v>
      </x:c>
      <x:c r="F1694" s="13" t="n">
        <x:f>D1694-E1694</x:f>
        <x:v>930.9499999999999</x:v>
      </x:c>
      <x:c r="G1694" s="3" t="n">
        <x:v>414</x:v>
      </x:c>
      <x:c r="H1694" s="3" t="n">
        <x:v>2</x:v>
      </x:c>
      <x:c r="I1694" s="3" t="n">
        <x:v>148</x:v>
      </x:c>
      <x:c r="J1694" s="15" t="n">
        <x:f>IF(D1694=0,"n.a.",E1694/D1694)</x:f>
        <x:v>0.0044912580869379244</x:v>
      </x:c>
      <x:c r="K1694" s="15" t="n">
        <x:f>F1694/'Datos'!$F$7</x:f>
        <x:v>0.00009506562597976497</x:v>
      </x:c>
      <x:c r="L1694" s="3"/>
    </x:row>
    <x:row r="1695" ht="22" customHeight="1">
      <x:c r="A1695" s="3"/>
      <x:c r="B1695" s="3" t="str">
        <x:v>23179</x:v>
      </x:c>
      <x:c r="C1695" s="3" t="str">
        <x:v>CLOCK MAGNET MUM'S KITCHEN</x:v>
      </x:c>
      <x:c r="D1695" s="13" t="n">
        <x:v>930.48</x:v>
      </x:c>
      <x:c r="E1695" s="13" t="n">
        <x:v>0</x:v>
      </x:c>
      <x:c r="F1695" s="13" t="n">
        <x:f>D1695-E1695</x:f>
        <x:v>930.48</x:v>
      </x:c>
      <x:c r="G1695" s="3" t="n">
        <x:v>324</x:v>
      </x:c>
      <x:c r="H1695" s="3" t="n">
        <x:v>0</x:v>
      </x:c>
      <x:c r="I1695" s="3" t="n">
        <x:v>53</x:v>
      </x:c>
      <x:c r="J1695" s="15" t="n">
        <x:f>IF(D1695=0,"n.a.",E1695/D1695)</x:f>
        <x:v>0</x:v>
      </x:c>
      <x:c r="K1695" s="15" t="n">
        <x:f>F1695/'Datos'!$F$7</x:f>
        <x:v>0.00009501763108829874</x:v>
      </x:c>
      <x:c r="L1695" s="3"/>
    </x:row>
    <x:row r="1696" ht="22" customHeight="1">
      <x:c r="A1696" s="3"/>
      <x:c r="B1696" s="3" t="str">
        <x:v>22924</x:v>
      </x:c>
      <x:c r="C1696" s="3" t="str">
        <x:v>FRIDGE MAGNETS LA VIE EN ROSE</x:v>
      </x:c>
      <x:c r="D1696" s="13" t="n">
        <x:v>1169.9</x:v>
      </x:c>
      <x:c r="E1696" s="13" t="n">
        <x:v>240.25</x:v>
      </x:c>
      <x:c r="F1696" s="13" t="n">
        <x:f>D1696-E1696</x:f>
        <x:v>929.6500000000001</x:v>
      </x:c>
      <x:c r="G1696" s="3" t="n">
        <x:v>1313</x:v>
      </x:c>
      <x:c r="H1696" s="3" t="n">
        <x:v>301</x:v>
      </x:c>
      <x:c r="I1696" s="3" t="n">
        <x:v>87</x:v>
      </x:c>
      <x:c r="J1696" s="15" t="n">
        <x:f>IF(D1696=0,"n.a.",E1696/D1696)</x:f>
        <x:v>0.20535943243012222</x:v>
      </x:c>
      <x:c r="K1696" s="15" t="n">
        <x:f>F1696/'Datos'!$F$7</x:f>
        <x:v>0.0000949328741523052</x:v>
      </x:c>
      <x:c r="L1696" s="3"/>
    </x:row>
    <x:row r="1697" ht="22" customHeight="1">
      <x:c r="A1697" s="3"/>
      <x:c r="B1697" s="3" t="str">
        <x:v>23178</x:v>
      </x:c>
      <x:c r="C1697" s="3" t="str">
        <x:v>JAM CLOCK MAGNET</x:v>
      </x:c>
      <x:c r="D1697" s="13" t="n">
        <x:v>943.92</x:v>
      </x:c>
      <x:c r="E1697" s="13" t="n">
        <x:v>14.45</x:v>
      </x:c>
      <x:c r="F1697" s="13" t="n">
        <x:f>D1697-E1697</x:f>
        <x:v>929.4699999999999</x:v>
      </x:c>
      <x:c r="G1697" s="3" t="n">
        <x:v>330</x:v>
      </x:c>
      <x:c r="H1697" s="3" t="n">
        <x:v>5</x:v>
      </x:c>
      <x:c r="I1697" s="3" t="n">
        <x:v>68</x:v>
      </x:c>
      <x:c r="J1697" s="15" t="n">
        <x:f>IF(D1697=0,"n.a.",E1697/D1697)</x:f>
        <x:v>0.015308500720400034</x:v>
      </x:c>
      <x:c r="K1697" s="15" t="n">
        <x:f>F1697/'Datos'!$F$7</x:f>
        <x:v>0.00009491449313004151</x:v>
      </x:c>
      <x:c r="L1697" s="3"/>
    </x:row>
    <x:row r="1698" ht="22" customHeight="1">
      <x:c r="A1698" s="3"/>
      <x:c r="B1698" s="3" t="str">
        <x:v>22132</x:v>
      </x:c>
      <x:c r="C1698" s="3" t="str">
        <x:v>RED LOVE HEART SHAPE CUP</x:v>
      </x:c>
      <x:c r="D1698" s="13" t="n">
        <x:v>939.03</x:v>
      </x:c>
      <x:c r="E1698" s="13" t="n">
        <x:v>10.2</x:v>
      </x:c>
      <x:c r="F1698" s="13" t="n">
        <x:f>D1698-E1698</x:f>
        <x:v>928.8299999999999</x:v>
      </x:c>
      <x:c r="G1698" s="3" t="n">
        <x:v>1038</x:v>
      </x:c>
      <x:c r="H1698" s="3" t="n">
        <x:v>12</x:v>
      </x:c>
      <x:c r="I1698" s="3" t="n">
        <x:v>154</x:v>
      </x:c>
      <x:c r="J1698" s="15" t="n">
        <x:f>IF(D1698=0,"n.a.",E1698/D1698)</x:f>
        <x:v>0.010862272770837992</x:v>
      </x:c>
      <x:c r="K1698" s="15" t="n">
        <x:f>F1698/'Datos'!$F$7</x:f>
        <x:v>0.00009484913838421515</x:v>
      </x:c>
      <x:c r="L1698" s="3"/>
    </x:row>
    <x:row r="1699" ht="22" customHeight="1">
      <x:c r="A1699" s="3"/>
      <x:c r="B1699" s="3" t="str">
        <x:v>22313</x:v>
      </x:c>
      <x:c r="C1699" s="3" t="str">
        <x:v>OFFICE MUG WARMER PINK</x:v>
      </x:c>
      <x:c r="D1699" s="13" t="n">
        <x:v>1564.83</x:v>
      </x:c>
      <x:c r="E1699" s="13" t="n">
        <x:v>637.5</x:v>
      </x:c>
      <x:c r="F1699" s="13" t="n">
        <x:f>D1699-E1699</x:f>
        <x:v>927.3299999999999</x:v>
      </x:c>
      <x:c r="G1699" s="3" t="n">
        <x:v>565</x:v>
      </x:c>
      <x:c r="H1699" s="3" t="n">
        <x:v>250</x:v>
      </x:c>
      <x:c r="I1699" s="3" t="n">
        <x:v>65</x:v>
      </x:c>
      <x:c r="J1699" s="15" t="n">
        <x:f>IF(D1699=0,"n.a.",E1699/D1699)</x:f>
        <x:v>0.4073924963095033</x:v>
      </x:c>
      <x:c r="K1699" s="15" t="n">
        <x:f>F1699/'Datos'!$F$7</x:f>
        <x:v>0.00009469596319868462</x:v>
      </x:c>
      <x:c r="L1699" s="3"/>
    </x:row>
    <x:row r="1700" ht="22" customHeight="1">
      <x:c r="A1700" s="3"/>
      <x:c r="B1700" s="3" t="str">
        <x:v>85185B</x:v>
      </x:c>
      <x:c r="C1700" s="3" t="str">
        <x:v>PINK HORSE SOCK PUPPET</x:v>
      </x:c>
      <x:c r="D1700" s="13" t="n">
        <x:v>926.94</x:v>
      </x:c>
      <x:c r="E1700" s="13" t="n">
        <x:v>2.95</x:v>
      </x:c>
      <x:c r="F1700" s="13" t="n">
        <x:f>D1700-E1700</x:f>
        <x:v>923.99</x:v>
      </x:c>
      <x:c r="G1700" s="3" t="n">
        <x:v>306</x:v>
      </x:c>
      <x:c r="H1700" s="3" t="n">
        <x:v>1</x:v>
      </x:c>
      <x:c r="I1700" s="3" t="n">
        <x:v>71</x:v>
      </x:c>
      <x:c r="J1700" s="15" t="n">
        <x:f>IF(D1700=0,"n.a.",E1700/D1700)</x:f>
        <x:v>0.003182514510108529</x:v>
      </x:c>
      <x:c r="K1700" s="15" t="n">
        <x:f>F1700/'Datos'!$F$7</x:f>
        <x:v>0.00009435489311890331</x:v>
      </x:c>
      <x:c r="L1700" s="3"/>
    </x:row>
    <x:row r="1701" ht="22" customHeight="1">
      <x:c r="A1701" s="3"/>
      <x:c r="B1701" s="3" t="str">
        <x:v>22307</x:v>
      </x:c>
      <x:c r="C1701" s="3" t="str">
        <x:v>GOLD MUG BONE CHINA TREE OF LIFE</x:v>
      </x:c>
      <x:c r="D1701" s="13" t="n">
        <x:v>969.64</x:v>
      </x:c>
      <x:c r="E1701" s="13" t="n">
        <x:v>45.9</x:v>
      </x:c>
      <x:c r="F1701" s="13" t="n">
        <x:f>D1701-E1701</x:f>
        <x:v>923.74</x:v>
      </x:c>
      <x:c r="G1701" s="3" t="n">
        <x:v>770</x:v>
      </x:c>
      <x:c r="H1701" s="3" t="n">
        <x:v>39</x:v>
      </x:c>
      <x:c r="I1701" s="3" t="n">
        <x:v>74</x:v>
      </x:c>
      <x:c r="J1701" s="15" t="n">
        <x:f>IF(D1701=0,"n.a.",E1701/D1701)</x:f>
        <x:v>0.047337156057918404</x:v>
      </x:c>
      <x:c r="K1701" s="15" t="n">
        <x:f>F1701/'Datos'!$F$7</x:f>
        <x:v>0.00009432936392131489</x:v>
      </x:c>
      <x:c r="L1701" s="3"/>
    </x:row>
    <x:row r="1702" ht="22" customHeight="1">
      <x:c r="A1702" s="3"/>
      <x:c r="B1702" s="3" t="str">
        <x:v>22893</x:v>
      </x:c>
      <x:c r="C1702" s="3" t="str">
        <x:v>MINI CAKE STAND T-LIGHT HOLDER</x:v>
      </x:c>
      <x:c r="D1702" s="13" t="n">
        <x:v>931.02</x:v>
      </x:c>
      <x:c r="E1702" s="13" t="n">
        <x:v>8.82</x:v>
      </x:c>
      <x:c r="F1702" s="13" t="n">
        <x:f>D1702-E1702</x:f>
        <x:v>922.1999999999999</x:v>
      </x:c>
      <x:c r="G1702" s="3" t="n">
        <x:v>1872</x:v>
      </x:c>
      <x:c r="H1702" s="3" t="n">
        <x:v>21</x:v>
      </x:c>
      <x:c r="I1702" s="3" t="n">
        <x:v>142</x:v>
      </x:c>
      <x:c r="J1702" s="15" t="n">
        <x:f>IF(D1702=0,"n.a.",E1702/D1702)</x:f>
        <x:v>0.009473480698588645</x:v>
      </x:c>
      <x:c r="K1702" s="15" t="n">
        <x:f>F1702/'Datos'!$F$7</x:f>
        <x:v>0.00009417210406417021</x:v>
      </x:c>
      <x:c r="L1702" s="3"/>
    </x:row>
    <x:row r="1703" ht="22" customHeight="1">
      <x:c r="A1703" s="3"/>
      <x:c r="B1703" s="3" t="str">
        <x:v>18098C</x:v>
      </x:c>
      <x:c r="C1703" s="3" t="str">
        <x:v>PORCELAIN BUTTERFLY OIL BURNER</x:v>
      </x:c>
      <x:c r="D1703" s="13" t="n">
        <x:v>921.87</x:v>
      </x:c>
      <x:c r="E1703" s="13" t="n">
        <x:v>0</x:v>
      </x:c>
      <x:c r="F1703" s="13" t="n">
        <x:f>D1703-E1703</x:f>
        <x:v>921.87</x:v>
      </x:c>
      <x:c r="G1703" s="3" t="n">
        <x:v>265</x:v>
      </x:c>
      <x:c r="H1703" s="3" t="n">
        <x:v>0</x:v>
      </x:c>
      <x:c r="I1703" s="3" t="n">
        <x:v>61</x:v>
      </x:c>
      <x:c r="J1703" s="15" t="n">
        <x:f>IF(D1703=0,"n.a.",E1703/D1703)</x:f>
        <x:v>0</x:v>
      </x:c>
      <x:c r="K1703" s="15" t="n">
        <x:f>F1703/'Datos'!$F$7</x:f>
        <x:v>0.0000941384055233535</x:v>
      </x:c>
      <x:c r="L1703" s="3"/>
    </x:row>
    <x:row r="1704" ht="22" customHeight="1">
      <x:c r="A1704" s="3"/>
      <x:c r="B1704" s="3" t="str">
        <x:v>17091J</x:v>
      </x:c>
      <x:c r="C1704" s="3" t="str">
        <x:v>VANILLA INCENSE IN TIN</x:v>
      </x:c>
      <x:c r="D1704" s="13" t="n">
        <x:v>920.67</x:v>
      </x:c>
      <x:c r="E1704" s="13" t="n">
        <x:v>0</x:v>
      </x:c>
      <x:c r="F1704" s="13" t="n">
        <x:f>D1704-E1704</x:f>
        <x:v>920.67</x:v>
      </x:c>
      <x:c r="G1704" s="3" t="n">
        <x:v>2084</x:v>
      </x:c>
      <x:c r="H1704" s="3" t="n">
        <x:v>0</x:v>
      </x:c>
      <x:c r="I1704" s="3" t="n">
        <x:v>95</x:v>
      </x:c>
      <x:c r="J1704" s="15" t="n">
        <x:f>IF(D1704=0,"n.a.",E1704/D1704)</x:f>
        <x:v>0</x:v>
      </x:c>
      <x:c r="K1704" s="15" t="n">
        <x:f>F1704/'Datos'!$F$7</x:f>
        <x:v>0.00009401586537492906</x:v>
      </x:c>
      <x:c r="L1704" s="3"/>
    </x:row>
    <x:row r="1705" ht="22" customHeight="1">
      <x:c r="A1705" s="3"/>
      <x:c r="B1705" s="3" t="str">
        <x:v>22270</x:v>
      </x:c>
      <x:c r="C1705" s="3" t="str">
        <x:v>HAPPY EASTER HANGING DECORATION</x:v>
      </x:c>
      <x:c r="D1705" s="13" t="n">
        <x:v>945.95</x:v>
      </x:c>
      <x:c r="E1705" s="13" t="n">
        <x:v>25.89</x:v>
      </x:c>
      <x:c r="F1705" s="13" t="n">
        <x:f>D1705-E1705</x:f>
        <x:v>920.0600000000001</x:v>
      </x:c>
      <x:c r="G1705" s="3" t="n">
        <x:v>244</x:v>
      </x:c>
      <x:c r="H1705" s="3" t="n">
        <x:v>7</x:v>
      </x:c>
      <x:c r="I1705" s="3" t="n">
        <x:v>53</x:v>
      </x:c>
      <x:c r="J1705" s="15" t="n">
        <x:f>IF(D1705=0,"n.a.",E1705/D1705)</x:f>
        <x:v>0.02736931127438025</x:v>
      </x:c>
      <x:c r="K1705" s="15" t="n">
        <x:f>F1705/'Datos'!$F$7</x:f>
        <x:v>0.00009395357413281333</x:v>
      </x:c>
      <x:c r="L1705" s="3"/>
    </x:row>
    <x:row r="1706" ht="22" customHeight="1">
      <x:c r="A1706" s="3"/>
      <x:c r="B1706" s="3" t="str">
        <x:v>21802</x:v>
      </x:c>
      <x:c r="C1706" s="3" t="str">
        <x:v>CHRISTMAS TREE HEART DECORATION</x:v>
      </x:c>
      <x:c r="D1706" s="13" t="n">
        <x:v>920.4</x:v>
      </x:c>
      <x:c r="E1706" s="13" t="n">
        <x:v>0.42</x:v>
      </x:c>
      <x:c r="F1706" s="13" t="n">
        <x:f>D1706-E1706</x:f>
        <x:v>919.98</x:v>
      </x:c>
      <x:c r="G1706" s="3" t="n">
        <x:v>2125</x:v>
      </x:c>
      <x:c r="H1706" s="3" t="n">
        <x:v>1</x:v>
      </x:c>
      <x:c r="I1706" s="3" t="n">
        <x:v>180</x:v>
      </x:c>
      <x:c r="J1706" s="15" t="n">
        <x:f>IF(D1706=0,"n.a.",E1706/D1706)</x:f>
        <x:v>0.00045632333767926987</x:v>
      </x:c>
      <x:c r="K1706" s="15" t="n">
        <x:f>F1706/'Datos'!$F$7</x:f>
        <x:v>0.00009394540478958503</x:v>
      </x:c>
      <x:c r="L1706" s="3"/>
    </x:row>
    <x:row r="1707" ht="22" customHeight="1">
      <x:c r="A1707" s="3"/>
      <x:c r="B1707" s="3" t="str">
        <x:v>85034A</x:v>
      </x:c>
      <x:c r="C1707" s="3" t="str">
        <x:v>3 GARDENIA MORRIS BOXED CANDLES</x:v>
      </x:c>
      <x:c r="D1707" s="13" t="n">
        <x:v>940.02</x:v>
      </x:c>
      <x:c r="E1707" s="13" t="n">
        <x:v>20.75</x:v>
      </x:c>
      <x:c r="F1707" s="13" t="n">
        <x:f>D1707-E1707</x:f>
        <x:v>919.27</x:v>
      </x:c>
      <x:c r="G1707" s="3" t="n">
        <x:v>504</x:v>
      </x:c>
      <x:c r="H1707" s="3" t="n">
        <x:v>7</x:v>
      </x:c>
      <x:c r="I1707" s="3" t="n">
        <x:v>77</x:v>
      </x:c>
      <x:c r="J1707" s="15" t="n">
        <x:f>IF(D1707=0,"n.a.",E1707/D1707)</x:f>
        <x:v>0.022073998425565414</x:v>
      </x:c>
      <x:c r="K1707" s="15" t="n">
        <x:f>F1707/'Datos'!$F$7</x:f>
        <x:v>0.00009387290186843391</x:v>
      </x:c>
      <x:c r="L1707" s="3"/>
    </x:row>
    <x:row r="1708" ht="22" customHeight="1">
      <x:c r="A1708" s="3"/>
      <x:c r="B1708" s="3" t="str">
        <x:v>21682</x:v>
      </x:c>
      <x:c r="C1708" s="3" t="str">
        <x:v>LARGE MEDINA STAMPED METAL BOWL</x:v>
      </x:c>
      <x:c r="D1708" s="13" t="n">
        <x:v>930.96</x:v>
      </x:c>
      <x:c r="E1708" s="13" t="n">
        <x:v>14.85</x:v>
      </x:c>
      <x:c r="F1708" s="13" t="n">
        <x:f>D1708-E1708</x:f>
        <x:v>916.11</x:v>
      </x:c>
      <x:c r="G1708" s="3" t="n">
        <x:v>182</x:v>
      </x:c>
      <x:c r="H1708" s="3" t="n">
        <x:v>3</x:v>
      </x:c>
      <x:c r="I1708" s="3" t="n">
        <x:v>55</x:v>
      </x:c>
      <x:c r="J1708" s="15" t="n">
        <x:f>IF(D1708=0,"n.a.",E1708/D1708)</x:f>
        <x:v>0.015951276102088165</x:v>
      </x:c>
      <x:c r="K1708" s="15" t="n">
        <x:f>F1708/'Datos'!$F$7</x:f>
        <x:v>0.00009355021281091627</x:v>
      </x:c>
      <x:c r="L1708" s="3"/>
    </x:row>
    <x:row r="1709" ht="22" customHeight="1">
      <x:c r="A1709" s="3"/>
      <x:c r="B1709" s="3" t="str">
        <x:v>22046</x:v>
      </x:c>
      <x:c r="C1709" s="3" t="str">
        <x:v>TEA PARTY WRAPPING PAPER</x:v>
      </x:c>
      <x:c r="D1709" s="13" t="n">
        <x:v>929</x:v>
      </x:c>
      <x:c r="E1709" s="13" t="n">
        <x:v>14.28</x:v>
      </x:c>
      <x:c r="F1709" s="13" t="n">
        <x:f>D1709-E1709</x:f>
        <x:v>914.72</x:v>
      </x:c>
      <x:c r="G1709" s="3" t="n">
        <x:v>2250</x:v>
      </x:c>
      <x:c r="H1709" s="3" t="n">
        <x:v>34</x:v>
      </x:c>
      <x:c r="I1709" s="3" t="n">
        <x:v>75</x:v>
      </x:c>
      <x:c r="J1709" s="15" t="n">
        <x:f>IF(D1709=0,"n.a.",E1709/D1709)</x:f>
        <x:v>0.015371367061356297</x:v>
      </x:c>
      <x:c r="K1709" s="15" t="n">
        <x:f>F1709/'Datos'!$F$7</x:f>
        <x:v>0.00009340827047232464</x:v>
      </x:c>
      <x:c r="L1709" s="3"/>
    </x:row>
    <x:row r="1710" ht="22" customHeight="1">
      <x:c r="A1710" s="3"/>
      <x:c r="B1710" s="3" t="str">
        <x:v>46776F</x:v>
      </x:c>
      <x:c r="C1710" s="3" t="str">
        <x:v>WOVEN ROSE GARDEN CUSHION COVER</x:v>
      </x:c>
      <x:c r="D1710" s="13" t="n">
        <x:v>912.03</x:v>
      </x:c>
      <x:c r="E1710" s="13" t="n">
        <x:v>0</x:v>
      </x:c>
      <x:c r="F1710" s="13" t="n">
        <x:f>D1710-E1710</x:f>
        <x:v>912.03</x:v>
      </x:c>
      <x:c r="G1710" s="3" t="n">
        <x:v>217</x:v>
      </x:c>
      <x:c r="H1710" s="3" t="n">
        <x:v>0</x:v>
      </x:c>
      <x:c r="I1710" s="3" t="n">
        <x:v>90</x:v>
      </x:c>
      <x:c r="J1710" s="15" t="n">
        <x:f>IF(D1710=0,"n.a.",E1710/D1710)</x:f>
        <x:v>0</x:v>
      </x:c>
      <x:c r="K1710" s="15" t="n">
        <x:f>F1710/'Datos'!$F$7</x:f>
        <x:v>0.00009313357630627322</x:v>
      </x:c>
      <x:c r="L1710" s="3"/>
    </x:row>
    <x:row r="1711" ht="22" customHeight="1">
      <x:c r="A1711" s="3"/>
      <x:c r="B1711" s="3" t="str">
        <x:v>23472</x:v>
      </x:c>
      <x:c r="C1711" s="3" t="str">
        <x:v>NINE DRAWER OFFICE TIDY</x:v>
      </x:c>
      <x:c r="D1711" s="13" t="n">
        <x:v>909.37</x:v>
      </x:c>
      <x:c r="E1711" s="13" t="n">
        <x:v>0</x:v>
      </x:c>
      <x:c r="F1711" s="13" t="n">
        <x:f>D1711-E1711</x:f>
        <x:v>909.37</x:v>
      </x:c>
      <x:c r="G1711" s="3" t="n">
        <x:v>59</x:v>
      </x:c>
      <x:c r="H1711" s="3" t="n">
        <x:v>0</x:v>
      </x:c>
      <x:c r="I1711" s="3" t="n">
        <x:v>33</x:v>
      </x:c>
      <x:c r="J1711" s="15" t="n">
        <x:f>IF(D1711=0,"n.a.",E1711/D1711)</x:f>
        <x:v>0</x:v>
      </x:c>
      <x:c r="K1711" s="15" t="n">
        <x:f>F1711/'Datos'!$F$7</x:f>
        <x:v>0.00009286194564393241</x:v>
      </x:c>
      <x:c r="L1711" s="3"/>
    </x:row>
    <x:row r="1712" ht="22" customHeight="1">
      <x:c r="A1712" s="3"/>
      <x:c r="B1712" s="3" t="str">
        <x:v>21786</x:v>
      </x:c>
      <x:c r="C1712" s="3" t="str">
        <x:v>POLKADOT RAIN HAT</x:v>
      </x:c>
      <x:c r="D1712" s="13" t="n">
        <x:v>918.25</x:v>
      </x:c>
      <x:c r="E1712" s="13" t="n">
        <x:v>9.24</x:v>
      </x:c>
      <x:c r="F1712" s="13" t="n">
        <x:f>D1712-E1712</x:f>
        <x:v>909.01</x:v>
      </x:c>
      <x:c r="G1712" s="3" t="n">
        <x:v>1940</x:v>
      </x:c>
      <x:c r="H1712" s="3" t="n">
        <x:v>22</x:v>
      </x:c>
      <x:c r="I1712" s="3" t="n">
        <x:v>226</x:v>
      </x:c>
      <x:c r="J1712" s="15" t="n">
        <x:f>IF(D1712=0,"n.a.",E1712/D1712)</x:f>
        <x:v>0.010062619112442146</x:v>
      </x:c>
      <x:c r="K1712" s="15" t="n">
        <x:f>F1712/'Datos'!$F$7</x:f>
        <x:v>0.00009282518359940508</x:v>
      </x:c>
      <x:c r="L1712" s="3"/>
    </x:row>
    <x:row r="1713" ht="22" customHeight="1">
      <x:c r="A1713" s="3"/>
      <x:c r="B1713" s="3" t="str">
        <x:v>21894</x:v>
      </x:c>
      <x:c r="C1713" s="3" t="str">
        <x:v>POTTING SHED SEED ENVELOPES</x:v>
      </x:c>
      <x:c r="D1713" s="13" t="n">
        <x:v>908.33</x:v>
      </x:c>
      <x:c r="E1713" s="13" t="n">
        <x:v>0</x:v>
      </x:c>
      <x:c r="F1713" s="13" t="n">
        <x:f>D1713-E1713</x:f>
        <x:v>908.33</x:v>
      </x:c>
      <x:c r="G1713" s="3" t="n">
        <x:v>597</x:v>
      </x:c>
      <x:c r="H1713" s="3" t="n">
        <x:v>0</x:v>
      </x:c>
      <x:c r="I1713" s="3" t="n">
        <x:v>130</x:v>
      </x:c>
      <x:c r="J1713" s="15" t="n">
        <x:f>IF(D1713=0,"n.a.",E1713/D1713)</x:f>
        <x:v>0</x:v>
      </x:c>
      <x:c r="K1713" s="15" t="n">
        <x:f>F1713/'Datos'!$F$7</x:f>
        <x:v>0.00009275574418196458</x:v>
      </x:c>
      <x:c r="L1713" s="3"/>
    </x:row>
    <x:row r="1714" ht="22" customHeight="1">
      <x:c r="A1714" s="3"/>
      <x:c r="B1714" s="3" t="str">
        <x:v>22519</x:v>
      </x:c>
      <x:c r="C1714" s="3" t="str">
        <x:v>CHILDS GARDEN BRUSH PINK</x:v>
      </x:c>
      <x:c r="D1714" s="13" t="n">
        <x:v>906.75</x:v>
      </x:c>
      <x:c r="E1714" s="13" t="n">
        <x:v>0</x:v>
      </x:c>
      <x:c r="F1714" s="13" t="n">
        <x:f>D1714-E1714</x:f>
        <x:v>906.75</x:v>
      </x:c>
      <x:c r="G1714" s="3" t="n">
        <x:v>411</x:v>
      </x:c>
      <x:c r="H1714" s="3" t="n">
        <x:v>0</x:v>
      </x:c>
      <x:c r="I1714" s="3" t="n">
        <x:v>88</x:v>
      </x:c>
      <x:c r="J1714" s="15" t="n">
        <x:f>IF(D1714=0,"n.a.",E1714/D1714)</x:f>
        <x:v>0</x:v>
      </x:c>
      <x:c r="K1714" s="15" t="n">
        <x:f>F1714/'Datos'!$F$7</x:f>
        <x:v>0.00009259439965320575</x:v>
      </x:c>
      <x:c r="L1714" s="3"/>
    </x:row>
    <x:row r="1715" ht="22" customHeight="1">
      <x:c r="A1715" s="3"/>
      <x:c r="B1715" s="3" t="str">
        <x:v>84519A</x:v>
      </x:c>
      <x:c r="C1715" s="3" t="str">
        <x:v>TOMATO CHARLIE+LOLA COASTER SET</x:v>
      </x:c>
      <x:c r="D1715" s="13" t="n">
        <x:v>905.55</x:v>
      </x:c>
      <x:c r="E1715" s="13" t="n">
        <x:v>0</x:v>
      </x:c>
      <x:c r="F1715" s="13" t="n">
        <x:f>D1715-E1715</x:f>
        <x:v>905.55</x:v>
      </x:c>
      <x:c r="G1715" s="3" t="n">
        <x:v>512</x:v>
      </x:c>
      <x:c r="H1715" s="3" t="n">
        <x:v>0</x:v>
      </x:c>
      <x:c r="I1715" s="3" t="n">
        <x:v>88</x:v>
      </x:c>
      <x:c r="J1715" s="15" t="n">
        <x:f>IF(D1715=0,"n.a.",E1715/D1715)</x:f>
        <x:v>0</x:v>
      </x:c>
      <x:c r="K1715" s="15" t="n">
        <x:f>F1715/'Datos'!$F$7</x:f>
        <x:v>0.00009247185950478132</x:v>
      </x:c>
      <x:c r="L1715" s="3"/>
    </x:row>
    <x:row r="1716" ht="22" customHeight="1">
      <x:c r="A1716" s="3"/>
      <x:c r="B1716" s="3" t="str">
        <x:v>23338</x:v>
      </x:c>
      <x:c r="C1716" s="3" t="str">
        <x:v>EGG FRYING PAN RED</x:v>
      </x:c>
      <x:c r="D1716" s="13" t="n">
        <x:v>915.4</x:v>
      </x:c>
      <x:c r="E1716" s="13" t="n">
        <x:v>12.48</x:v>
      </x:c>
      <x:c r="F1716" s="13" t="n">
        <x:f>D1716-E1716</x:f>
        <x:v>902.92</x:v>
      </x:c>
      <x:c r="G1716" s="3" t="n">
        <x:v>431</x:v>
      </x:c>
      <x:c r="H1716" s="3" t="n">
        <x:v>6</x:v>
      </x:c>
      <x:c r="I1716" s="3" t="n">
        <x:v>109</x:v>
      </x:c>
      <x:c r="J1716" s="15" t="n">
        <x:f>IF(D1716=0,"n.a.",E1716/D1716)</x:f>
        <x:v>0.013633384312868693</x:v>
      </x:c>
      <x:c r="K1716" s="15" t="n">
        <x:f>F1716/'Datos'!$F$7</x:f>
        <x:v>0.00009220329234615112</x:v>
      </x:c>
      <x:c r="L1716" s="3"/>
    </x:row>
    <x:row r="1717" ht="22" customHeight="1">
      <x:c r="A1717" s="3"/>
      <x:c r="B1717" s="3" t="str">
        <x:v>72799E</x:v>
      </x:c>
      <x:c r="C1717" s="3" t="str">
        <x:v>IVORY PILLAR CANDLE SILVER FLOCK</x:v>
      </x:c>
      <x:c r="D1717" s="13" t="n">
        <x:v>919.94</x:v>
      </x:c>
      <x:c r="E1717" s="13" t="n">
        <x:v>17.7</x:v>
      </x:c>
      <x:c r="F1717" s="13" t="n">
        <x:f>D1717-E1717</x:f>
        <x:v>902.24</x:v>
      </x:c>
      <x:c r="G1717" s="3" t="n">
        <x:v>452</x:v>
      </x:c>
      <x:c r="H1717" s="3" t="n">
        <x:v>6</x:v>
      </x:c>
      <x:c r="I1717" s="3" t="n">
        <x:v>76</x:v>
      </x:c>
      <x:c r="J1717" s="15" t="n">
        <x:f>IF(D1717=0,"n.a.",E1717/D1717)</x:f>
        <x:v>0.019240385242515815</x:v>
      </x:c>
      <x:c r="K1717" s="15" t="n">
        <x:f>F1717/'Datos'!$F$7</x:f>
        <x:v>0.00009213385292871062</x:v>
      </x:c>
      <x:c r="L1717" s="3"/>
    </x:row>
    <x:row r="1718" ht="22" customHeight="1">
      <x:c r="A1718" s="3"/>
      <x:c r="B1718" s="3" t="str">
        <x:v>23532</x:v>
      </x:c>
      <x:c r="C1718" s="3" t="str">
        <x:v>WALL ART WORK REST AND PLAY</x:v>
      </x:c>
      <x:c r="D1718" s="13" t="n">
        <x:v>901.58</x:v>
      </x:c>
      <x:c r="E1718" s="13" t="n">
        <x:v>0</x:v>
      </x:c>
      <x:c r="F1718" s="13" t="n">
        <x:f>D1718-E1718</x:f>
        <x:v>901.58</x:v>
      </x:c>
      <x:c r="G1718" s="3" t="n">
        <x:v>210</x:v>
      </x:c>
      <x:c r="H1718" s="3" t="n">
        <x:v>0</x:v>
      </x:c>
      <x:c r="I1718" s="3" t="n">
        <x:v>31</x:v>
      </x:c>
      <x:c r="J1718" s="15" t="n">
        <x:f>IF(D1718=0,"n.a.",E1718/D1718)</x:f>
        <x:v>0</x:v>
      </x:c>
      <x:c r="K1718" s="15" t="n">
        <x:f>F1718/'Datos'!$F$7</x:f>
        <x:v>0.00009206645584707719</x:v>
      </x:c>
      <x:c r="L1718" s="3"/>
    </x:row>
    <x:row r="1719" ht="22" customHeight="1">
      <x:c r="A1719" s="3"/>
      <x:c r="B1719" s="3" t="str">
        <x:v>22118</x:v>
      </x:c>
      <x:c r="C1719" s="3" t="str">
        <x:v>JOY WOODEN BLOCK LETTERS</x:v>
      </x:c>
      <x:c r="D1719" s="13" t="n">
        <x:v>901.46</x:v>
      </x:c>
      <x:c r="E1719" s="13" t="n">
        <x:v>0</x:v>
      </x:c>
      <x:c r="F1719" s="13" t="n">
        <x:f>D1719-E1719</x:f>
        <x:v>901.46</x:v>
      </x:c>
      <x:c r="G1719" s="3" t="n">
        <x:v>232</x:v>
      </x:c>
      <x:c r="H1719" s="3" t="n">
        <x:v>0</x:v>
      </x:c>
      <x:c r="I1719" s="3" t="n">
        <x:v>89</x:v>
      </x:c>
      <x:c r="J1719" s="15" t="n">
        <x:f>IF(D1719=0,"n.a.",E1719/D1719)</x:f>
        <x:v>0</x:v>
      </x:c>
      <x:c r="K1719" s="15" t="n">
        <x:f>F1719/'Datos'!$F$7</x:f>
        <x:v>0.00009205420183223475</x:v>
      </x:c>
      <x:c r="L1719" s="3"/>
    </x:row>
    <x:row r="1720" ht="22" customHeight="1">
      <x:c r="A1720" s="3"/>
      <x:c r="B1720" s="3" t="str">
        <x:v>21465</x:v>
      </x:c>
      <x:c r="C1720" s="3" t="str">
        <x:v>PINK FLOWER CROCHET FOOD COVER</x:v>
      </x:c>
      <x:c r="D1720" s="13" t="n">
        <x:v>897.8</x:v>
      </x:c>
      <x:c r="E1720" s="13" t="n">
        <x:v>0</x:v>
      </x:c>
      <x:c r="F1720" s="13" t="n">
        <x:f>D1720-E1720</x:f>
        <x:v>897.8</x:v>
      </x:c>
      <x:c r="G1720" s="3" t="n">
        <x:v>237</x:v>
      </x:c>
      <x:c r="H1720" s="3" t="n">
        <x:v>0</x:v>
      </x:c>
      <x:c r="I1720" s="3" t="n">
        <x:v>79</x:v>
      </x:c>
      <x:c r="J1720" s="15" t="n">
        <x:f>IF(D1720=0,"n.a.",E1720/D1720)</x:f>
        <x:v>0</x:v>
      </x:c>
      <x:c r="K1720" s="15" t="n">
        <x:f>F1720/'Datos'!$F$7</x:f>
        <x:v>0.00009168045437954025</x:v>
      </x:c>
      <x:c r="L1720" s="3"/>
    </x:row>
    <x:row r="1721" ht="22" customHeight="1">
      <x:c r="A1721" s="3"/>
      <x:c r="B1721" s="3" t="str">
        <x:v>22277</x:v>
      </x:c>
      <x:c r="C1721" s="3" t="str">
        <x:v>COSMETIC BAG VINTAGE ROSE PAISLEY</x:v>
      </x:c>
      <x:c r="D1721" s="13" t="n">
        <x:v>897.74</x:v>
      </x:c>
      <x:c r="E1721" s="13" t="n">
        <x:v>0</x:v>
      </x:c>
      <x:c r="F1721" s="13" t="n">
        <x:f>D1721-E1721</x:f>
        <x:v>897.74</x:v>
      </x:c>
      <x:c r="G1721" s="3" t="n">
        <x:v>417</x:v>
      </x:c>
      <x:c r="H1721" s="3" t="n">
        <x:v>0</x:v>
      </x:c>
      <x:c r="I1721" s="3" t="n">
        <x:v>100</x:v>
      </x:c>
      <x:c r="J1721" s="15" t="n">
        <x:f>IF(D1721=0,"n.a.",E1721/D1721)</x:f>
        <x:v>0</x:v>
      </x:c>
      <x:c r="K1721" s="15" t="n">
        <x:f>F1721/'Datos'!$F$7</x:f>
        <x:v>0.00009167432737211903</x:v>
      </x:c>
      <x:c r="L1721" s="3"/>
    </x:row>
    <x:row r="1722" ht="22" customHeight="1">
      <x:c r="A1722" s="3"/>
      <x:c r="B1722" s="3" t="str">
        <x:v>23502</x:v>
      </x:c>
      <x:c r="C1722" s="3" t="str">
        <x:v>PLAYING CARDS VINTAGE DOILY</x:v>
      </x:c>
      <x:c r="D1722" s="13" t="n">
        <x:v>896.41</x:v>
      </x:c>
      <x:c r="E1722" s="13" t="n">
        <x:v>0</x:v>
      </x:c>
      <x:c r="F1722" s="13" t="n">
        <x:f>D1722-E1722</x:f>
        <x:v>896.41</x:v>
      </x:c>
      <x:c r="G1722" s="3" t="n">
        <x:v>714</x:v>
      </x:c>
      <x:c r="H1722" s="3" t="n">
        <x:v>0</x:v>
      </x:c>
      <x:c r="I1722" s="3" t="n">
        <x:v>94</x:v>
      </x:c>
      <x:c r="J1722" s="15" t="n">
        <x:f>IF(D1722=0,"n.a.",E1722/D1722)</x:f>
        <x:v>0</x:v>
      </x:c>
      <x:c r="K1722" s="15" t="n">
        <x:f>F1722/'Datos'!$F$7</x:f>
        <x:v>0.00009153851204094863</x:v>
      </x:c>
      <x:c r="L1722" s="3"/>
    </x:row>
    <x:row r="1723" ht="22" customHeight="1">
      <x:c r="A1723" s="3"/>
      <x:c r="B1723" s="3" t="str">
        <x:v>21631</x:v>
      </x:c>
      <x:c r="C1723" s="3" t="str">
        <x:v>HIPPY CHIC DECORATIVE PARASOL</x:v>
      </x:c>
      <x:c r="D1723" s="13" t="n">
        <x:v>896.01</x:v>
      </x:c>
      <x:c r="E1723" s="13" t="n">
        <x:v>0</x:v>
      </x:c>
      <x:c r="F1723" s="13" t="n">
        <x:f>D1723-E1723</x:f>
        <x:v>896.01</x:v>
      </x:c>
      <x:c r="G1723" s="3" t="n">
        <x:v>169</x:v>
      </x:c>
      <x:c r="H1723" s="3" t="n">
        <x:v>0</x:v>
      </x:c>
      <x:c r="I1723" s="3" t="n">
        <x:v>27</x:v>
      </x:c>
      <x:c r="J1723" s="15" t="n">
        <x:f>IF(D1723=0,"n.a.",E1723/D1723)</x:f>
        <x:v>0</x:v>
      </x:c>
      <x:c r="K1723" s="15" t="n">
        <x:f>F1723/'Datos'!$F$7</x:f>
        <x:v>0.00009149766532480715</x:v>
      </x:c>
      <x:c r="L1723" s="3"/>
    </x:row>
    <x:row r="1724" ht="22" customHeight="1">
      <x:c r="A1724" s="3"/>
      <x:c r="B1724" s="3" t="str">
        <x:v>22814</x:v>
      </x:c>
      <x:c r="C1724" s="3" t="str">
        <x:v>CARD PARTY GAMES</x:v>
      </x:c>
      <x:c r="D1724" s="13" t="n">
        <x:v>893.51</x:v>
      </x:c>
      <x:c r="E1724" s="13" t="n">
        <x:v>0</x:v>
      </x:c>
      <x:c r="F1724" s="13" t="n">
        <x:f>D1724-E1724</x:f>
        <x:v>893.51</x:v>
      </x:c>
      <x:c r="G1724" s="3" t="n">
        <x:v>2141</x:v>
      </x:c>
      <x:c r="H1724" s="3" t="n">
        <x:v>0</x:v>
      </x:c>
      <x:c r="I1724" s="3" t="n">
        <x:v>235</x:v>
      </x:c>
      <x:c r="J1724" s="15" t="n">
        <x:f>IF(D1724=0,"n.a.",E1724/D1724)</x:f>
        <x:v>0</x:v>
      </x:c>
      <x:c r="K1724" s="15" t="n">
        <x:f>F1724/'Datos'!$F$7</x:f>
        <x:v>0.00009124237334892294</x:v>
      </x:c>
      <x:c r="L1724" s="3"/>
    </x:row>
    <x:row r="1725" ht="22" customHeight="1">
      <x:c r="A1725" s="3"/>
      <x:c r="B1725" s="3" t="str">
        <x:v>37501</x:v>
      </x:c>
      <x:c r="C1725" s="3" t="str">
        <x:v>TEA TIME TEA SET IN GIFT BOX</x:v>
      </x:c>
      <x:c r="D1725" s="13" t="n">
        <x:v>906.83</x:v>
      </x:c>
      <x:c r="E1725" s="13" t="n">
        <x:v>13.9</x:v>
      </x:c>
      <x:c r="F1725" s="13" t="n">
        <x:f>D1725-E1725</x:f>
        <x:v>892.9300000000001</x:v>
      </x:c>
      <x:c r="G1725" s="3" t="n">
        <x:v>133</x:v>
      </x:c>
      <x:c r="H1725" s="3" t="n">
        <x:v>2</x:v>
      </x:c>
      <x:c r="I1725" s="3" t="n">
        <x:v>49</x:v>
      </x:c>
      <x:c r="J1725" s="15" t="n">
        <x:f>IF(D1725=0,"n.a.",E1725/D1725)</x:f>
        <x:v>0.015328121037019067</x:v>
      </x:c>
      <x:c r="K1725" s="15" t="n">
        <x:f>F1725/'Datos'!$F$7</x:f>
        <x:v>0.0000911831456105178</x:v>
      </x:c>
      <x:c r="L1725" s="3"/>
    </x:row>
    <x:row r="1726" ht="22" customHeight="1">
      <x:c r="A1726" s="3"/>
      <x:c r="B1726" s="3" t="str">
        <x:v>84823</x:v>
      </x:c>
      <x:c r="C1726" s="3" t="str">
        <x:v>DANISH ROSE FOLDING CHAIR</x:v>
      </x:c>
      <x:c r="D1726" s="13" t="n">
        <x:v>890.4</x:v>
      </x:c>
      <x:c r="E1726" s="13" t="n">
        <x:v>0</x:v>
      </x:c>
      <x:c r="F1726" s="13" t="n">
        <x:f>D1726-E1726</x:f>
        <x:v>890.4</x:v>
      </x:c>
      <x:c r="G1726" s="3" t="n">
        <x:v>112</x:v>
      </x:c>
      <x:c r="H1726" s="3" t="n">
        <x:v>0</x:v>
      </x:c>
      <x:c r="I1726" s="3" t="n">
        <x:v>25</x:v>
      </x:c>
      <x:c r="J1726" s="15" t="n">
        <x:f>IF(D1726=0,"n.a.",E1726/D1726)</x:f>
        <x:v>0</x:v>
      </x:c>
      <x:c r="K1726" s="15" t="n">
        <x:f>F1726/'Datos'!$F$7</x:f>
        <x:v>0.00009092479013092297</x:v>
      </x:c>
      <x:c r="L1726" s="3"/>
    </x:row>
    <x:row r="1727" ht="22" customHeight="1">
      <x:c r="A1727" s="3"/>
      <x:c r="B1727" s="3" t="str">
        <x:v>85131A</x:v>
      </x:c>
      <x:c r="C1727" s="3" t="str">
        <x:v>BEADED PEARL HEART WHITE ON STICK</x:v>
      </x:c>
      <x:c r="D1727" s="13" t="n">
        <x:v>901.48</x:v>
      </x:c>
      <x:c r="E1727" s="13" t="n">
        <x:v>11.27</x:v>
      </x:c>
      <x:c r="F1727" s="13" t="n">
        <x:f>D1727-E1727</x:f>
        <x:v>890.21</x:v>
      </x:c>
      <x:c r="G1727" s="3" t="n">
        <x:v>996</x:v>
      </x:c>
      <x:c r="H1727" s="3" t="n">
        <x:v>13</x:v>
      </x:c>
      <x:c r="I1727" s="3" t="n">
        <x:v>119</x:v>
      </x:c>
      <x:c r="J1727" s="15" t="n">
        <x:f>IF(D1727=0,"n.a.",E1727/D1727)</x:f>
        <x:v>0.012501663930425521</x:v>
      </x:c>
      <x:c r="K1727" s="15" t="n">
        <x:f>F1727/'Datos'!$F$7</x:f>
        <x:v>0.00009090538794075577</x:v>
      </x:c>
      <x:c r="L1727" s="3"/>
    </x:row>
    <x:row r="1728" ht="22" customHeight="1">
      <x:c r="A1728" s="3"/>
      <x:c r="B1728" s="3" t="str">
        <x:v>23072</x:v>
      </x:c>
      <x:c r="C1728" s="3" t="str">
        <x:v>MARIE ANTOINETTE TRINKET BOX SILVER</x:v>
      </x:c>
      <x:c r="D1728" s="13" t="n">
        <x:v>1273.76</x:v>
      </x:c>
      <x:c r="E1728" s="13" t="n">
        <x:v>384</x:v>
      </x:c>
      <x:c r="F1728" s="13" t="n">
        <x:f>D1728-E1728</x:f>
        <x:v>889.76</x:v>
      </x:c>
      <x:c r="G1728" s="3" t="n">
        <x:v>334</x:v>
      </x:c>
      <x:c r="H1728" s="3" t="n">
        <x:v>72</x:v>
      </x:c>
      <x:c r="I1728" s="3" t="n">
        <x:v>30</x:v>
      </x:c>
      <x:c r="J1728" s="15" t="n">
        <x:f>IF(D1728=0,"n.a.",E1728/D1728)</x:f>
        <x:v>0.30146966461499813</x:v>
      </x:c>
      <x:c r="K1728" s="15" t="n">
        <x:f>F1728/'Datos'!$F$7</x:f>
        <x:v>0.0000908594353850966</x:v>
      </x:c>
      <x:c r="L1728" s="3"/>
    </x:row>
    <x:row r="1729" ht="22" customHeight="1">
      <x:c r="A1729" s="3"/>
      <x:c r="B1729" s="3" t="str">
        <x:v>21189</x:v>
      </x:c>
      <x:c r="C1729" s="3" t="str">
        <x:v>WHITE HONEYCOMB PAPER GARLAND</x:v>
      </x:c>
      <x:c r="D1729" s="13" t="n">
        <x:v>888.67</x:v>
      </x:c>
      <x:c r="E1729" s="13" t="n">
        <x:v>0</x:v>
      </x:c>
      <x:c r="F1729" s="13" t="n">
        <x:f>D1729-E1729</x:f>
        <x:v>888.67</x:v>
      </x:c>
      <x:c r="G1729" s="3" t="n">
        <x:v>355</x:v>
      </x:c>
      <x:c r="H1729" s="3" t="n">
        <x:v>0</x:v>
      </x:c>
      <x:c r="I1729" s="3" t="n">
        <x:v>72</x:v>
      </x:c>
      <x:c r="J1729" s="15" t="n">
        <x:f>IF(D1729=0,"n.a.",E1729/D1729)</x:f>
        <x:v>0</x:v>
      </x:c>
      <x:c r="K1729" s="15" t="n">
        <x:f>F1729/'Datos'!$F$7</x:f>
        <x:v>0.00009074812808361108</x:v>
      </x:c>
      <x:c r="L1729" s="3"/>
    </x:row>
    <x:row r="1730" ht="22" customHeight="1">
      <x:c r="A1730" s="3"/>
      <x:c r="B1730" s="3" t="str">
        <x:v>22719</x:v>
      </x:c>
      <x:c r="C1730" s="3" t="str">
        <x:v>GUMBALL MONOCHROME COAT RACK</x:v>
      </x:c>
      <x:c r="D1730" s="13" t="n">
        <x:v>895.72</x:v>
      </x:c>
      <x:c r="E1730" s="13" t="n">
        <x:v>11.17</x:v>
      </x:c>
      <x:c r="F1730" s="13" t="n">
        <x:f>D1730-E1730</x:f>
        <x:v>884.5500000000001</x:v>
      </x:c>
      <x:c r="G1730" s="3" t="n">
        <x:v>620</x:v>
      </x:c>
      <x:c r="H1730" s="3" t="n">
        <x:v>10</x:v>
      </x:c>
      <x:c r="I1730" s="3" t="n">
        <x:v>109</x:v>
      </x:c>
      <x:c r="J1730" s="15" t="n">
        <x:f>IF(D1730=0,"n.a.",E1730/D1730)</x:f>
        <x:v>0.012470414861787165</x:v>
      </x:c>
      <x:c r="K1730" s="15" t="n">
        <x:f>F1730/'Datos'!$F$7</x:f>
        <x:v>0.0000903274069073539</x:v>
      </x:c>
      <x:c r="L1730" s="3"/>
    </x:row>
    <x:row r="1731" ht="22" customHeight="1">
      <x:c r="A1731" s="3"/>
      <x:c r="B1731" s="3" t="str">
        <x:v>22524</x:v>
      </x:c>
      <x:c r="C1731" s="3" t="str">
        <x:v>CHILDRENS GARDEN GLOVES BLUE</x:v>
      </x:c>
      <x:c r="D1731" s="13" t="n">
        <x:v>883.2</x:v>
      </x:c>
      <x:c r="E1731" s="13" t="n">
        <x:v>0</x:v>
      </x:c>
      <x:c r="F1731" s="13" t="n">
        <x:f>D1731-E1731</x:f>
        <x:v>883.2</x:v>
      </x:c>
      <x:c r="G1731" s="3" t="n">
        <x:v>642</x:v>
      </x:c>
      <x:c r="H1731" s="3" t="n">
        <x:v>0</x:v>
      </x:c>
      <x:c r="I1731" s="3" t="n">
        <x:v>81</x:v>
      </x:c>
      <x:c r="J1731" s="15" t="n">
        <x:f>IF(D1731=0,"n.a.",E1731/D1731)</x:f>
        <x:v>0</x:v>
      </x:c>
      <x:c r="K1731" s="15" t="n">
        <x:f>F1731/'Datos'!$F$7</x:f>
        <x:v>0.00009018954924037642</x:v>
      </x:c>
      <x:c r="L1731" s="3"/>
    </x:row>
    <x:row r="1732" ht="22" customHeight="1">
      <x:c r="A1732" s="3"/>
      <x:c r="B1732" s="3" t="str">
        <x:v>22682</x:v>
      </x:c>
      <x:c r="C1732" s="3" t="str">
        <x:v>FRENCH BLUE METAL DOOR SIGN 7</x:v>
      </x:c>
      <x:c r="D1732" s="13" t="n">
        <x:v>896.75</x:v>
      </x:c>
      <x:c r="E1732" s="13" t="n">
        <x:v>13.75</x:v>
      </x:c>
      <x:c r="F1732" s="13" t="n">
        <x:f>D1732-E1732</x:f>
        <x:v>883</x:v>
      </x:c>
      <x:c r="G1732" s="3" t="n">
        <x:v>677</x:v>
      </x:c>
      <x:c r="H1732" s="3" t="n">
        <x:v>11</x:v>
      </x:c>
      <x:c r="I1732" s="3" t="n">
        <x:v>113</x:v>
      </x:c>
      <x:c r="J1732" s="15" t="n">
        <x:f>IF(D1732=0,"n.a.",E1732/D1732)</x:f>
        <x:v>0.01533314747700028</x:v>
      </x:c>
      <x:c r="K1732" s="15" t="n">
        <x:f>F1732/'Datos'!$F$7</x:f>
        <x:v>0.00009016912588230567</x:v>
      </x:c>
      <x:c r="L1732" s="3"/>
    </x:row>
    <x:row r="1733" ht="22" customHeight="1">
      <x:c r="A1733" s="3"/>
      <x:c r="B1733" s="3" t="str">
        <x:v>21633</x:v>
      </x:c>
      <x:c r="C1733" s="3" t="str">
        <x:v>SUNFLOWER DECORATIVE PARASOL</x:v>
      </x:c>
      <x:c r="D1733" s="13" t="n">
        <x:v>895.46</x:v>
      </x:c>
      <x:c r="E1733" s="13" t="n">
        <x:v>12.75</x:v>
      </x:c>
      <x:c r="F1733" s="13" t="n">
        <x:f>D1733-E1733</x:f>
        <x:v>882.71</x:v>
      </x:c>
      <x:c r="G1733" s="3" t="n">
        <x:v>125</x:v>
      </x:c>
      <x:c r="H1733" s="3" t="n">
        <x:v>1</x:v>
      </x:c>
      <x:c r="I1733" s="3" t="n">
        <x:v>42</x:v>
      </x:c>
      <x:c r="J1733" s="15" t="n">
        <x:f>IF(D1733=0,"n.a.",E1733/D1733)</x:f>
        <x:v>0.014238491948272395</x:v>
      </x:c>
      <x:c r="K1733" s="15" t="n">
        <x:f>F1733/'Datos'!$F$7</x:f>
        <x:v>0.00009013951201310311</x:v>
      </x:c>
      <x:c r="L1733" s="3"/>
    </x:row>
    <x:row r="1734" ht="22" customHeight="1">
      <x:c r="A1734" s="3"/>
      <x:c r="B1734" s="3" t="str">
        <x:v>22317</x:v>
      </x:c>
      <x:c r="C1734" s="3" t="str">
        <x:v>FIVE CATS HANGING DECORATION</x:v>
      </x:c>
      <x:c r="D1734" s="13" t="n">
        <x:v>882.62</x:v>
      </x:c>
      <x:c r="E1734" s="13" t="n">
        <x:v>0</x:v>
      </x:c>
      <x:c r="F1734" s="13" t="n">
        <x:f>D1734-E1734</x:f>
        <x:v>882.62</x:v>
      </x:c>
      <x:c r="G1734" s="3" t="n">
        <x:v>287</x:v>
      </x:c>
      <x:c r="H1734" s="3" t="n">
        <x:v>0</x:v>
      </x:c>
      <x:c r="I1734" s="3" t="n">
        <x:v>89</x:v>
      </x:c>
      <x:c r="J1734" s="15" t="n">
        <x:f>IF(D1734=0,"n.a.",E1734/D1734)</x:f>
        <x:v>0</x:v>
      </x:c>
      <x:c r="K1734" s="15" t="n">
        <x:f>F1734/'Datos'!$F$7</x:f>
        <x:v>0.00009013032150197128</x:v>
      </x:c>
      <x:c r="L1734" s="3"/>
    </x:row>
    <x:row r="1735" ht="22" customHeight="1">
      <x:c r="A1735" s="3"/>
      <x:c r="B1735" s="3" t="str">
        <x:v>22321</x:v>
      </x:c>
      <x:c r="C1735" s="3" t="str">
        <x:v>BIRD DECORATION RED RETROSPOT</x:v>
      </x:c>
      <x:c r="D1735" s="13" t="n">
        <x:v>881.33</x:v>
      </x:c>
      <x:c r="E1735" s="13" t="n">
        <x:v>0.85</x:v>
      </x:c>
      <x:c r="F1735" s="13" t="n">
        <x:f>D1735-E1735</x:f>
        <x:v>880.48</x:v>
      </x:c>
      <x:c r="G1735" s="3" t="n">
        <x:v>917</x:v>
      </x:c>
      <x:c r="H1735" s="3" t="n">
        <x:v>1</x:v>
      </x:c>
      <x:c r="I1735" s="3" t="n">
        <x:v>132</x:v>
      </x:c>
      <x:c r="J1735" s="15" t="n">
        <x:f>IF(D1735=0,"n.a.",E1735/D1735)</x:f>
        <x:v>0.000964451454052398</x:v>
      </x:c>
      <x:c r="K1735" s="15" t="n">
        <x:f>F1735/'Datos'!$F$7</x:f>
        <x:v>0.0000899117915706144</x:v>
      </x:c>
      <x:c r="L1735" s="3"/>
    </x:row>
    <x:row r="1736" ht="22" customHeight="1">
      <x:c r="A1736" s="3"/>
      <x:c r="B1736" s="3" t="str">
        <x:v>23479</x:v>
      </x:c>
      <x:c r="C1736" s="3" t="str">
        <x:v>WIRE EGG BASKET</x:v>
      </x:c>
      <x:c r="D1736" s="13" t="n">
        <x:v>880.23</x:v>
      </x:c>
      <x:c r="E1736" s="13" t="n">
        <x:v>0</x:v>
      </x:c>
      <x:c r="F1736" s="13" t="n">
        <x:f>D1736-E1736</x:f>
        <x:v>880.23</x:v>
      </x:c>
      <x:c r="G1736" s="3" t="n">
        <x:v>114</x:v>
      </x:c>
      <x:c r="H1736" s="3" t="n">
        <x:v>0</x:v>
      </x:c>
      <x:c r="I1736" s="3" t="n">
        <x:v>44</x:v>
      </x:c>
      <x:c r="J1736" s="15" t="n">
        <x:f>IF(D1736=0,"n.a.",E1736/D1736)</x:f>
        <x:v>0</x:v>
      </x:c>
      <x:c r="K1736" s="15" t="n">
        <x:f>F1736/'Datos'!$F$7</x:f>
        <x:v>0.00008988626237302597</x:v>
      </x:c>
      <x:c r="L1736" s="3"/>
    </x:row>
    <x:row r="1737" ht="22" customHeight="1">
      <x:c r="A1737" s="3"/>
      <x:c r="B1737" s="3" t="str">
        <x:v>22701</x:v>
      </x:c>
      <x:c r="C1737" s="3" t="str">
        <x:v>PINK DOG BOWL</x:v>
      </x:c>
      <x:c r="D1737" s="13" t="n">
        <x:v>922.89</x:v>
      </x:c>
      <x:c r="E1737" s="13" t="n">
        <x:v>43</x:v>
      </x:c>
      <x:c r="F1737" s="13" t="n">
        <x:f>D1737-E1737</x:f>
        <x:v>879.89</x:v>
      </x:c>
      <x:c r="G1737" s="3" t="n">
        <x:v>549</x:v>
      </x:c>
      <x:c r="H1737" s="3" t="n">
        <x:v>16</x:v>
      </x:c>
      <x:c r="I1737" s="3" t="n">
        <x:v>115</x:v>
      </x:c>
      <x:c r="J1737" s="15" t="n">
        <x:f>IF(D1737=0,"n.a.",E1737/D1737)</x:f>
        <x:v>0.04659276836892804</x:v>
      </x:c>
      <x:c r="K1737" s="15" t="n">
        <x:f>F1737/'Datos'!$F$7</x:f>
        <x:v>0.00008985154266430571</x:v>
      </x:c>
      <x:c r="L1737" s="3"/>
    </x:row>
    <x:row r="1738" ht="22" customHeight="1">
      <x:c r="A1738" s="3"/>
      <x:c r="B1738" s="3" t="str">
        <x:v>85176</x:v>
      </x:c>
      <x:c r="C1738" s="3" t="str">
        <x:v>SEWING SUSAN 21 NEEDLE SET</x:v>
      </x:c>
      <x:c r="D1738" s="13" t="n">
        <x:v>880.47</x:v>
      </x:c>
      <x:c r="E1738" s="13" t="n">
        <x:v>0.85</x:v>
      </x:c>
      <x:c r="F1738" s="13" t="n">
        <x:f>D1738-E1738</x:f>
        <x:v>879.62</x:v>
      </x:c>
      <x:c r="G1738" s="3" t="n">
        <x:v>918</x:v>
      </x:c>
      <x:c r="H1738" s="3" t="n">
        <x:v>1</x:v>
      </x:c>
      <x:c r="I1738" s="3" t="n">
        <x:v>172</x:v>
      </x:c>
      <x:c r="J1738" s="15" t="n">
        <x:f>IF(D1738=0,"n.a.",E1738/D1738)</x:f>
        <x:v>0.000965393483026111</x:v>
      </x:c>
      <x:c r="K1738" s="15" t="n">
        <x:f>F1738/'Datos'!$F$7</x:f>
        <x:v>0.00008982397113091022</x:v>
      </x:c>
      <x:c r="L1738" s="3"/>
    </x:row>
    <x:row r="1739" ht="22" customHeight="1">
      <x:c r="A1739" s="3"/>
      <x:c r="B1739" s="3" t="str">
        <x:v>23413</x:v>
      </x:c>
      <x:c r="C1739" s="3" t="str">
        <x:v>VINTAGE COFFEE GRINDER BOX</x:v>
      </x:c>
      <x:c r="D1739" s="13" t="n">
        <x:v>929.11</x:v>
      </x:c>
      <x:c r="E1739" s="13" t="n">
        <x:v>49.8</x:v>
      </x:c>
      <x:c r="F1739" s="13" t="n">
        <x:f>D1739-E1739</x:f>
        <x:v>879.3100000000001</x:v>
      </x:c>
      <x:c r="G1739" s="3" t="n">
        <x:v>177</x:v>
      </x:c>
      <x:c r="H1739" s="3" t="n">
        <x:v>12</x:v>
      </x:c>
      <x:c r="I1739" s="3" t="n">
        <x:v>58</x:v>
      </x:c>
      <x:c r="J1739" s="15" t="n">
        <x:f>IF(D1739=0,"n.a.",E1739/D1739)</x:f>
        <x:v>0.05359968141554821</x:v>
      </x:c>
      <x:c r="K1739" s="15" t="n">
        <x:f>F1739/'Datos'!$F$7</x:f>
        <x:v>0.00008979231492590058</x:v>
      </x:c>
      <x:c r="L1739" s="3"/>
    </x:row>
    <x:row r="1740" ht="22" customHeight="1">
      <x:c r="A1740" s="3"/>
      <x:c r="B1740" s="3" t="str">
        <x:v>21209</x:v>
      </x:c>
      <x:c r="C1740" s="3" t="str">
        <x:v>MULTICOLOUR HONEYCOMB FAN</x:v>
      </x:c>
      <x:c r="D1740" s="13" t="n">
        <x:v>886.24</x:v>
      </x:c>
      <x:c r="E1740" s="13" t="n">
        <x:v>8.33</x:v>
      </x:c>
      <x:c r="F1740" s="13" t="n">
        <x:f>D1740-E1740</x:f>
        <x:v>877.91</x:v>
      </x:c>
      <x:c r="G1740" s="3" t="n">
        <x:v>1224</x:v>
      </x:c>
      <x:c r="H1740" s="3" t="n">
        <x:v>19</x:v>
      </x:c>
      <x:c r="I1740" s="3" t="n">
        <x:v>89</x:v>
      </x:c>
      <x:c r="J1740" s="15" t="n">
        <x:f>IF(D1740=0,"n.a.",E1740/D1740)</x:f>
        <x:v>0.009399259794186677</x:v>
      </x:c>
      <x:c r="K1740" s="15" t="n">
        <x:f>F1740/'Datos'!$F$7</x:f>
        <x:v>0.00008964935141940541</x:v>
      </x:c>
      <x:c r="L1740" s="3"/>
    </x:row>
    <x:row r="1741" ht="22" customHeight="1">
      <x:c r="A1741" s="3"/>
      <x:c r="B1741" s="3" t="str">
        <x:v>22308</x:v>
      </x:c>
      <x:c r="C1741" s="3" t="str">
        <x:v>TEA COSY BLUE STRIPE</x:v>
      </x:c>
      <x:c r="D1741" s="13" t="n">
        <x:v>877.38</x:v>
      </x:c>
      <x:c r="E1741" s="13" t="n">
        <x:v>0</x:v>
      </x:c>
      <x:c r="F1741" s="13" t="n">
        <x:f>D1741-E1741</x:f>
        <x:v>877.38</x:v>
      </x:c>
      <x:c r="G1741" s="3" t="n">
        <x:v>250</x:v>
      </x:c>
      <x:c r="H1741" s="3" t="n">
        <x:v>0</x:v>
      </x:c>
      <x:c r="I1741" s="3" t="n">
        <x:v>105</x:v>
      </x:c>
      <x:c r="J1741" s="15" t="n">
        <x:f>IF(D1741=0,"n.a.",E1741/D1741)</x:f>
        <x:v>0</x:v>
      </x:c>
      <x:c r="K1741" s="15" t="n">
        <x:f>F1741/'Datos'!$F$7</x:f>
        <x:v>0.00008959522952051796</x:v>
      </x:c>
      <x:c r="L1741" s="3"/>
    </x:row>
    <x:row r="1742" ht="22" customHeight="1">
      <x:c r="A1742" s="3"/>
      <x:c r="B1742" s="3" t="str">
        <x:v>21695</x:v>
      </x:c>
      <x:c r="C1742" s="3" t="str">
        <x:v>SMALL SILVER FLOWER CANDLE POT</x:v>
      </x:c>
      <x:c r="D1742" s="13" t="n">
        <x:v>875.38</x:v>
      </x:c>
      <x:c r="E1742" s="13" t="n">
        <x:v>0</x:v>
      </x:c>
      <x:c r="F1742" s="13" t="n">
        <x:f>D1742-E1742</x:f>
        <x:v>875.38</x:v>
      </x:c>
      <x:c r="G1742" s="3" t="n">
        <x:v>290</x:v>
      </x:c>
      <x:c r="H1742" s="3" t="n">
        <x:v>0</x:v>
      </x:c>
      <x:c r="I1742" s="3" t="n">
        <x:v>41</x:v>
      </x:c>
      <x:c r="J1742" s="15" t="n">
        <x:f>IF(D1742=0,"n.a.",E1742/D1742)</x:f>
        <x:v>0</x:v>
      </x:c>
      <x:c r="K1742" s="15" t="n">
        <x:f>F1742/'Datos'!$F$7</x:f>
        <x:v>0.00008939099593981059</x:v>
      </x:c>
      <x:c r="L1742" s="3"/>
    </x:row>
    <x:row r="1743" ht="22" customHeight="1">
      <x:c r="A1743" s="3"/>
      <x:c r="B1743" s="3" t="str">
        <x:v>22565</x:v>
      </x:c>
      <x:c r="C1743" s="3" t="str">
        <x:v>FELTCRAFT HAIRBANDS PINK AND WHITE</x:v>
      </x:c>
      <x:c r="D1743" s="13" t="n">
        <x:v>873.52</x:v>
      </x:c>
      <x:c r="E1743" s="13" t="n">
        <x:v>0</x:v>
      </x:c>
      <x:c r="F1743" s="13" t="n">
        <x:f>D1743-E1743</x:f>
        <x:v>873.52</x:v>
      </x:c>
      <x:c r="G1743" s="3" t="n">
        <x:v>934</x:v>
      </x:c>
      <x:c r="H1743" s="3" t="n">
        <x:v>0</x:v>
      </x:c>
      <x:c r="I1743" s="3" t="n">
        <x:v>148</x:v>
      </x:c>
      <x:c r="J1743" s="15" t="n">
        <x:f>IF(D1743=0,"n.a.",E1743/D1743)</x:f>
        <x:v>0</x:v>
      </x:c>
      <x:c r="K1743" s="15" t="n">
        <x:f>F1743/'Datos'!$F$7</x:f>
        <x:v>0.00008920105870975272</x:v>
      </x:c>
      <x:c r="L1743" s="3"/>
    </x:row>
    <x:row r="1744" ht="22" customHeight="1">
      <x:c r="A1744" s="3"/>
      <x:c r="B1744" s="3" t="str">
        <x:v>85036C</x:v>
      </x:c>
      <x:c r="C1744" s="3" t="str">
        <x:v>ROSE 1 WICK MORRIS BOXED CANDLE</x:v>
      </x:c>
      <x:c r="D1744" s="13" t="n">
        <x:v>1104.86</x:v>
      </x:c>
      <x:c r="E1744" s="13" t="n">
        <x:v>232.25</x:v>
      </x:c>
      <x:c r="F1744" s="13" t="n">
        <x:f>D1744-E1744</x:f>
        <x:v>872.6099999999999</x:v>
      </x:c>
      <x:c r="G1744" s="3" t="n">
        <x:v>758</x:v>
      </x:c>
      <x:c r="H1744" s="3" t="n">
        <x:v>193</x:v>
      </x:c>
      <x:c r="I1744" s="3" t="n">
        <x:v>84</x:v>
      </x:c>
      <x:c r="J1744" s="15" t="n">
        <x:f>IF(D1744=0,"n.a.",E1744/D1744)</x:f>
        <x:v>0.2102076281157794</x:v>
      </x:c>
      <x:c r="K1744" s="15" t="n">
        <x:f>F1744/'Datos'!$F$7</x:f>
        <x:v>0.00008910813243053086</x:v>
      </x:c>
      <x:c r="L1744" s="3"/>
    </x:row>
    <x:row r="1745" ht="22" customHeight="1">
      <x:c r="A1745" s="3"/>
      <x:c r="B1745" s="3" t="str">
        <x:v>23099</x:v>
      </x:c>
      <x:c r="C1745" s="3" t="str">
        <x:v>FRENCH CARRIAGE LANTERN</x:v>
      </x:c>
      <x:c r="D1745" s="13" t="n">
        <x:v>925.35</x:v>
      </x:c>
      <x:c r="E1745" s="13" t="n">
        <x:v>53.2</x:v>
      </x:c>
      <x:c r="F1745" s="13" t="n">
        <x:f>D1745-E1745</x:f>
        <x:v>872.15</x:v>
      </x:c>
      <x:c r="G1745" s="3" t="n">
        <x:v>137</x:v>
      </x:c>
      <x:c r="H1745" s="3" t="n">
        <x:v>8</x:v>
      </x:c>
      <x:c r="I1745" s="3" t="n">
        <x:v>58</x:v>
      </x:c>
      <x:c r="J1745" s="15" t="n">
        <x:f>IF(D1745=0,"n.a.",E1745/D1745)</x:f>
        <x:v>0.05749175987464203</x:v>
      </x:c>
      <x:c r="K1745" s="15" t="n">
        <x:f>F1745/'Datos'!$F$7</x:f>
        <x:v>0.00008906115870696817</x:v>
      </x:c>
      <x:c r="L1745" s="3"/>
    </x:row>
    <x:row r="1746" ht="22" customHeight="1">
      <x:c r="A1746" s="3"/>
      <x:c r="B1746" s="3" t="str">
        <x:v>84536B</x:v>
      </x:c>
      <x:c r="C1746" s="3" t="str">
        <x:v>FAIRY CAKES NOTEBOOK A7 SIZE</x:v>
      </x:c>
      <x:c r="D1746" s="13" t="n">
        <x:v>892.19</x:v>
      </x:c>
      <x:c r="E1746" s="13" t="n">
        <x:v>20.16</x:v>
      </x:c>
      <x:c r="F1746" s="13" t="n">
        <x:f>D1746-E1746</x:f>
        <x:v>872.0300000000001</x:v>
      </x:c>
      <x:c r="G1746" s="3" t="n">
        <x:v>2107</x:v>
      </x:c>
      <x:c r="H1746" s="3" t="n">
        <x:v>48</x:v>
      </x:c>
      <x:c r="I1746" s="3" t="n">
        <x:v>179</x:v>
      </x:c>
      <x:c r="J1746" s="15" t="n">
        <x:f>IF(D1746=0,"n.a.",E1746/D1746)</x:f>
        <x:v>0.022596083793810735</x:v>
      </x:c>
      <x:c r="K1746" s="15" t="n">
        <x:f>F1746/'Datos'!$F$7</x:f>
        <x:v>0.00008904890469212574</x:v>
      </x:c>
      <x:c r="L1746" s="3"/>
    </x:row>
    <x:row r="1747" ht="22" customHeight="1">
      <x:c r="A1747" s="3"/>
      <x:c r="B1747" s="3" t="str">
        <x:v>22251</x:v>
      </x:c>
      <x:c r="C1747" s="3" t="str">
        <x:v>BIRDHOUSE DECORATION MAGIC GARDEN</x:v>
      </x:c>
      <x:c r="D1747" s="13" t="n">
        <x:v>891.99</x:v>
      </x:c>
      <x:c r="E1747" s="13" t="n">
        <x:v>20</x:v>
      </x:c>
      <x:c r="F1747" s="13" t="n">
        <x:f>D1747-E1747</x:f>
        <x:v>871.99</x:v>
      </x:c>
      <x:c r="G1747" s="3" t="n">
        <x:v>714</x:v>
      </x:c>
      <x:c r="H1747" s="3" t="n">
        <x:v>16</x:v>
      </x:c>
      <x:c r="I1747" s="3" t="n">
        <x:v>137</x:v>
      </x:c>
      <x:c r="J1747" s="15" t="n">
        <x:f>IF(D1747=0,"n.a.",E1747/D1747)</x:f>
        <x:v>0.022421776028879247</x:v>
      </x:c>
      <x:c r="K1747" s="15" t="n">
        <x:f>F1747/'Datos'!$F$7</x:f>
        <x:v>0.00008904482002051159</x:v>
      </x:c>
      <x:c r="L1747" s="3"/>
    </x:row>
    <x:row r="1748" ht="22" customHeight="1">
      <x:c r="A1748" s="3"/>
      <x:c r="B1748" s="3" t="str">
        <x:v>23002</x:v>
      </x:c>
      <x:c r="C1748" s="3" t="str">
        <x:v>TRAVEL CARD WALLET SKULLS</x:v>
      </x:c>
      <x:c r="D1748" s="13" t="n">
        <x:v>925.29</x:v>
      </x:c>
      <x:c r="E1748" s="13" t="n">
        <x:v>53.76</x:v>
      </x:c>
      <x:c r="F1748" s="13" t="n">
        <x:f>D1748-E1748</x:f>
        <x:v>871.53</x:v>
      </x:c>
      <x:c r="G1748" s="3" t="n">
        <x:v>2145</x:v>
      </x:c>
      <x:c r="H1748" s="3" t="n">
        <x:v>128</x:v>
      </x:c>
      <x:c r="I1748" s="3" t="n">
        <x:v>192</x:v>
      </x:c>
      <x:c r="J1748" s="15" t="n">
        <x:f>IF(D1748=0,"n.a.",E1748/D1748)</x:f>
        <x:v>0.058100703563207214</x:v>
      </x:c>
      <x:c r="K1748" s="15" t="n">
        <x:f>F1748/'Datos'!$F$7</x:f>
        <x:v>0.00008899784629694889</x:v>
      </x:c>
      <x:c r="L1748" s="3"/>
    </x:row>
    <x:row r="1749" ht="22" customHeight="1">
      <x:c r="A1749" s="3"/>
      <x:c r="B1749" s="3" t="str">
        <x:v>85049H</x:v>
      </x:c>
      <x:c r="C1749" s="3" t="str">
        <x:v>URBAN BLACK RIBBONS</x:v>
      </x:c>
      <x:c r="D1749" s="13" t="n">
        <x:v>870.35</x:v>
      </x:c>
      <x:c r="E1749" s="13" t="n">
        <x:v>0</x:v>
      </x:c>
      <x:c r="F1749" s="13" t="n">
        <x:f>D1749-E1749</x:f>
        <x:v>870.35</x:v>
      </x:c>
      <x:c r="G1749" s="3" t="n">
        <x:v>849</x:v>
      </x:c>
      <x:c r="H1749" s="3" t="n">
        <x:v>0</x:v>
      </x:c>
      <x:c r="I1749" s="3" t="n">
        <x:v>184</x:v>
      </x:c>
      <x:c r="J1749" s="15" t="n">
        <x:f>IF(D1749=0,"n.a.",E1749/D1749)</x:f>
        <x:v>0</x:v>
      </x:c>
      <x:c r="K1749" s="15" t="n">
        <x:f>F1749/'Datos'!$F$7</x:f>
        <x:v>0.00008887734848433154</x:v>
      </x:c>
      <x:c r="L1749" s="3"/>
    </x:row>
    <x:row r="1750" ht="22" customHeight="1">
      <x:c r="A1750" s="3"/>
      <x:c r="B1750" s="3" t="str">
        <x:v>21204</x:v>
      </x:c>
      <x:c r="C1750" s="3" t="str">
        <x:v>DAISIES HONEYCOMB GARLAND</x:v>
      </x:c>
      <x:c r="D1750" s="13" t="n">
        <x:v>868.44</x:v>
      </x:c>
      <x:c r="E1750" s="13" t="n">
        <x:v>0</x:v>
      </x:c>
      <x:c r="F1750" s="13" t="n">
        <x:f>D1750-E1750</x:f>
        <x:v>868.44</x:v>
      </x:c>
      <x:c r="G1750" s="3" t="n">
        <x:v>499</x:v>
      </x:c>
      <x:c r="H1750" s="3" t="n">
        <x:v>0</x:v>
      </x:c>
      <x:c r="I1750" s="3" t="n">
        <x:v>85</x:v>
      </x:c>
      <x:c r="J1750" s="15" t="n">
        <x:f>IF(D1750=0,"n.a.",E1750/D1750)</x:f>
        <x:v>0</x:v>
      </x:c>
      <x:c r="K1750" s="15" t="n">
        <x:f>F1750/'Datos'!$F$7</x:f>
        <x:v>0.000088682305414756</x:v>
      </x:c>
      <x:c r="L1750" s="3"/>
    </x:row>
    <x:row r="1751" ht="22" customHeight="1">
      <x:c r="A1751" s="3"/>
      <x:c r="B1751" s="3" t="str">
        <x:v>21199</x:v>
      </x:c>
      <x:c r="C1751" s="3" t="str">
        <x:v>PINK HEART CONFETTI IN TUBE</x:v>
      </x:c>
      <x:c r="D1751" s="13" t="n">
        <x:v>888.33</x:v>
      </x:c>
      <x:c r="E1751" s="13" t="n">
        <x:v>20.16</x:v>
      </x:c>
      <x:c r="F1751" s="13" t="n">
        <x:f>D1751-E1751</x:f>
        <x:v>868.1700000000001</x:v>
      </x:c>
      <x:c r="G1751" s="3" t="n">
        <x:v>966</x:v>
      </x:c>
      <x:c r="H1751" s="3" t="n">
        <x:v>48</x:v>
      </x:c>
      <x:c r="I1751" s="3" t="n">
        <x:v>78</x:v>
      </x:c>
      <x:c r="J1751" s="15" t="n">
        <x:f>IF(D1751=0,"n.a.",E1751/D1751)</x:f>
        <x:v>0.02269426902164736</x:v>
      </x:c>
      <x:c r="K1751" s="15" t="n">
        <x:f>F1751/'Datos'!$F$7</x:f>
        <x:v>0.0000886547338813605</x:v>
      </x:c>
      <x:c r="L1751" s="3"/>
    </x:row>
    <x:row r="1752" ht="22" customHeight="1">
      <x:c r="A1752" s="3"/>
      <x:c r="B1752" s="3" t="str">
        <x:v>21743</x:v>
      </x:c>
      <x:c r="C1752" s="3" t="str">
        <x:v>STAR PORTABLE TABLE LIGHT</x:v>
      </x:c>
      <x:c r="D1752" s="13" t="n">
        <x:v>890.6</x:v>
      </x:c>
      <x:c r="E1752" s="13" t="n">
        <x:v>26.55</x:v>
      </x:c>
      <x:c r="F1752" s="13" t="n">
        <x:f>D1752-E1752</x:f>
        <x:v>864.0500000000001</x:v>
      </x:c>
      <x:c r="G1752" s="3" t="n">
        <x:v>300</x:v>
      </x:c>
      <x:c r="H1752" s="3" t="n">
        <x:v>9</x:v>
      </x:c>
      <x:c r="I1752" s="3" t="n">
        <x:v>49</x:v>
      </x:c>
      <x:c r="J1752" s="15" t="n">
        <x:f>IF(D1752=0,"n.a.",E1752/D1752)</x:f>
        <x:v>0.029811363125982485</x:v>
      </x:c>
      <x:c r="K1752" s="15" t="n">
        <x:f>F1752/'Datos'!$F$7</x:f>
        <x:v>0.00008823401270510332</x:v>
      </x:c>
      <x:c r="L1752" s="3"/>
    </x:row>
    <x:row r="1753" ht="22" customHeight="1">
      <x:c r="A1753" s="3"/>
      <x:c r="B1753" s="3" t="str">
        <x:v>21708</x:v>
      </x:c>
      <x:c r="C1753" s="3" t="str">
        <x:v>FOLDING UMBRELLA CREAM POLKADOT</x:v>
      </x:c>
      <x:c r="D1753" s="13" t="n">
        <x:v>868.06</x:v>
      </x:c>
      <x:c r="E1753" s="13" t="n">
        <x:v>4.95</x:v>
      </x:c>
      <x:c r="F1753" s="13" t="n">
        <x:f>D1753-E1753</x:f>
        <x:v>863.1099999999999</x:v>
      </x:c>
      <x:c r="G1753" s="3" t="n">
        <x:v>191</x:v>
      </x:c>
      <x:c r="H1753" s="3" t="n">
        <x:v>1</x:v>
      </x:c>
      <x:c r="I1753" s="3" t="n">
        <x:v>64</x:v>
      </x:c>
      <x:c r="J1753" s="15" t="n">
        <x:f>IF(D1753=0,"n.a.",E1753/D1753)</x:f>
        <x:v>0.005702370803861485</x:v>
      </x:c>
      <x:c r="K1753" s="15" t="n">
        <x:f>F1753/'Datos'!$F$7</x:f>
        <x:v>0.00008813802292217084</x:v>
      </x:c>
      <x:c r="L1753" s="3"/>
    </x:row>
    <x:row r="1754" ht="22" customHeight="1">
      <x:c r="A1754" s="3"/>
      <x:c r="B1754" s="3" t="str">
        <x:v>23220</x:v>
      </x:c>
      <x:c r="C1754" s="3" t="str">
        <x:v>REINDEER HEART DECORATION GOLD</x:v>
      </x:c>
      <x:c r="D1754" s="13" t="n">
        <x:v>869.98</x:v>
      </x:c>
      <x:c r="E1754" s="13" t="n">
        <x:v>9.96</x:v>
      </x:c>
      <x:c r="F1754" s="13" t="n">
        <x:f>D1754-E1754</x:f>
        <x:v>860.02</x:v>
      </x:c>
      <x:c r="G1754" s="3" t="n">
        <x:v>994</x:v>
      </x:c>
      <x:c r="H1754" s="3" t="n">
        <x:v>12</x:v>
      </x:c>
      <x:c r="I1754" s="3" t="n">
        <x:v>103</x:v>
      </x:c>
      <x:c r="J1754" s="15" t="n">
        <x:f>IF(D1754=0,"n.a.",E1754/D1754)</x:f>
        <x:v>0.011448539046874642</x:v>
      </x:c>
      <x:c r="K1754" s="15" t="n">
        <x:f>F1754/'Datos'!$F$7</x:f>
        <x:v>0.00008782248203997795</x:v>
      </x:c>
      <x:c r="L1754" s="3"/>
    </x:row>
    <x:row r="1755" ht="22" customHeight="1">
      <x:c r="A1755" s="3"/>
      <x:c r="B1755" s="3" t="str">
        <x:v>22343</x:v>
      </x:c>
      <x:c r="C1755" s="3" t="str">
        <x:v>PARTY PIZZA DISH RED RETROSPOT</x:v>
      </x:c>
      <x:c r="D1755" s="13" t="n">
        <x:v>873.9</x:v>
      </x:c>
      <x:c r="E1755" s="13" t="n">
        <x:v>15.3</x:v>
      </x:c>
      <x:c r="F1755" s="13" t="n">
        <x:f>D1755-E1755</x:f>
        <x:v>858.6</x:v>
      </x:c>
      <x:c r="G1755" s="3" t="n">
        <x:v>1977</x:v>
      </x:c>
      <x:c r="H1755" s="3" t="n">
        <x:v>18</x:v>
      </x:c>
      <x:c r="I1755" s="3" t="n">
        <x:v>94</x:v>
      </x:c>
      <x:c r="J1755" s="15" t="n">
        <x:f>IF(D1755=0,"n.a.",E1755/D1755)</x:f>
        <x:v>0.017507723995880537</x:v>
      </x:c>
      <x:c r="K1755" s="15" t="n">
        <x:f>F1755/'Datos'!$F$7</x:f>
        <x:v>0.00008767747619767571</x:v>
      </x:c>
      <x:c r="L1755" s="3"/>
    </x:row>
    <x:row r="1756" ht="22" customHeight="1">
      <x:c r="A1756" s="3"/>
      <x:c r="B1756" s="3" t="str">
        <x:v>23423</x:v>
      </x:c>
      <x:c r="C1756" s="3" t="str">
        <x:v>PANTRY 3 HOOK ROLLING PIN HANGER</x:v>
      </x:c>
      <x:c r="D1756" s="13" t="n">
        <x:v>876.9</x:v>
      </x:c>
      <x:c r="E1756" s="13" t="n">
        <x:v>18.75</x:v>
      </x:c>
      <x:c r="F1756" s="13" t="n">
        <x:f>D1756-E1756</x:f>
        <x:v>858.15</x:v>
      </x:c>
      <x:c r="G1756" s="3" t="n">
        <x:v>219</x:v>
      </x:c>
      <x:c r="H1756" s="3" t="n">
        <x:v>5</x:v>
      </x:c>
      <x:c r="I1756" s="3" t="n">
        <x:v>66</x:v>
      </x:c>
      <x:c r="J1756" s="15" t="n">
        <x:f>IF(D1756=0,"n.a.",E1756/D1756)</x:f>
        <x:v>0.021382141635306193</x:v>
      </x:c>
      <x:c r="K1756" s="15" t="n">
        <x:f>F1756/'Datos'!$F$7</x:f>
        <x:v>0.00008763152364201655</x:v>
      </x:c>
      <x:c r="L1756" s="3"/>
    </x:row>
    <x:row r="1757" ht="22" customHeight="1">
      <x:c r="A1757" s="3"/>
      <x:c r="B1757" s="3" t="str">
        <x:v>22683</x:v>
      </x:c>
      <x:c r="C1757" s="3" t="str">
        <x:v>FRENCH BLUE METAL DOOR SIGN 8</x:v>
      </x:c>
      <x:c r="D1757" s="13" t="n">
        <x:v>871.49</x:v>
      </x:c>
      <x:c r="E1757" s="13" t="n">
        <x:v>15</x:v>
      </x:c>
      <x:c r="F1757" s="13" t="n">
        <x:f>D1757-E1757</x:f>
        <x:v>856.49</x:v>
      </x:c>
      <x:c r="G1757" s="3" t="n">
        <x:v>644</x:v>
      </x:c>
      <x:c r="H1757" s="3" t="n">
        <x:v>12</x:v>
      </x:c>
      <x:c r="I1757" s="3" t="n">
        <x:v>119</x:v>
      </x:c>
      <x:c r="J1757" s="15" t="n">
        <x:f>IF(D1757=0,"n.a.",E1757/D1757)</x:f>
        <x:v>0.017211901456126864</x:v>
      </x:c>
      <x:c r="K1757" s="15" t="n">
        <x:f>F1757/'Datos'!$F$7</x:f>
        <x:v>0.00008746200977002944</x:v>
      </x:c>
      <x:c r="L1757" s="3"/>
    </x:row>
    <x:row r="1758" ht="22" customHeight="1">
      <x:c r="A1758" s="3"/>
      <x:c r="B1758" s="3" t="str">
        <x:v>21823</x:v>
      </x:c>
      <x:c r="C1758" s="3" t="str">
        <x:v>PAINTED METAL HEART WITH HOLLY BELL</x:v>
      </x:c>
      <x:c r="D1758" s="13" t="n">
        <x:v>854.74</x:v>
      </x:c>
      <x:c r="E1758" s="13" t="n">
        <x:v>0</x:v>
      </x:c>
      <x:c r="F1758" s="13" t="n">
        <x:f>D1758-E1758</x:f>
        <x:v>854.74</x:v>
      </x:c>
      <x:c r="G1758" s="3" t="n">
        <x:v>1373</x:v>
      </x:c>
      <x:c r="H1758" s="3" t="n">
        <x:v>0</x:v>
      </x:c>
      <x:c r="I1758" s="3" t="n">
        <x:v>97</x:v>
      </x:c>
      <x:c r="J1758" s="15" t="n">
        <x:f>IF(D1758=0,"n.a.",E1758/D1758)</x:f>
        <x:v>0</x:v>
      </x:c>
      <x:c r="K1758" s="15" t="n">
        <x:f>F1758/'Datos'!$F$7</x:f>
        <x:v>0.00008728330538691049</x:v>
      </x:c>
      <x:c r="L1758" s="3"/>
    </x:row>
    <x:row r="1759" ht="22" customHeight="1">
      <x:c r="A1759" s="3"/>
      <x:c r="B1759" s="3" t="str">
        <x:v>21359</x:v>
      </x:c>
      <x:c r="C1759" s="3" t="str">
        <x:v>RELAX LARGE WOOD LETTERS</x:v>
      </x:c>
      <x:c r="D1759" s="13" t="n">
        <x:v>860.23</x:v>
      </x:c>
      <x:c r="E1759" s="13" t="n">
        <x:v>7.9</x:v>
      </x:c>
      <x:c r="F1759" s="13" t="n">
        <x:f>D1759-E1759</x:f>
        <x:v>852.33</x:v>
      </x:c>
      <x:c r="G1759" s="3" t="n">
        <x:v>130</x:v>
      </x:c>
      <x:c r="H1759" s="3" t="n">
        <x:v>2</x:v>
      </x:c>
      <x:c r="I1759" s="3" t="n">
        <x:v>29</x:v>
      </x:c>
      <x:c r="J1759" s="15" t="n">
        <x:f>IF(D1759=0,"n.a.",E1759/D1759)</x:f>
        <x:v>0.00918359043511619</x:v>
      </x:c>
      <x:c r="K1759" s="15" t="n">
        <x:f>F1759/'Datos'!$F$7</x:f>
        <x:v>0.0000870372039221581</x:v>
      </x:c>
      <x:c r="L1759" s="3"/>
    </x:row>
    <x:row r="1760" ht="22" customHeight="1">
      <x:c r="A1760" s="3"/>
      <x:c r="B1760" s="3" t="str">
        <x:v>22761</x:v>
      </x:c>
      <x:c r="C1760" s="3" t="str">
        <x:v>CHEST 7 DRAWER MA CAMPAGNE</x:v>
      </x:c>
      <x:c r="D1760" s="13" t="n">
        <x:v>895.38</x:v>
      </x:c>
      <x:c r="E1760" s="13" t="n">
        <x:v>43.9</x:v>
      </x:c>
      <x:c r="F1760" s="13" t="n">
        <x:f>D1760-E1760</x:f>
        <x:v>851.48</x:v>
      </x:c>
      <x:c r="G1760" s="3" t="n">
        <x:v>36</x:v>
      </x:c>
      <x:c r="H1760" s="3" t="n">
        <x:v>2</x:v>
      </x:c>
      <x:c r="I1760" s="3" t="n">
        <x:v>26</x:v>
      </x:c>
      <x:c r="J1760" s="15" t="n">
        <x:f>IF(D1760=0,"n.a.",E1760/D1760)</x:f>
        <x:v>0.049029462351180504</x:v>
      </x:c>
      <x:c r="K1760" s="15" t="n">
        <x:f>F1760/'Datos'!$F$7</x:f>
        <x:v>0.00008695040465035746</x:v>
      </x:c>
      <x:c r="L1760" s="3"/>
    </x:row>
    <x:row r="1761" ht="22" customHeight="1">
      <x:c r="A1761" s="3"/>
      <x:c r="B1761" s="3" t="str">
        <x:v>21880</x:v>
      </x:c>
      <x:c r="C1761" s="3" t="str">
        <x:v>RED RETROSPOT TAPE</x:v>
      </x:c>
      <x:c r="D1761" s="13" t="n">
        <x:v>858.78</x:v>
      </x:c>
      <x:c r="E1761" s="13" t="n">
        <x:v>7.8</x:v>
      </x:c>
      <x:c r="F1761" s="13" t="n">
        <x:f>D1761-E1761</x:f>
        <x:v>850.98</x:v>
      </x:c>
      <x:c r="G1761" s="3" t="n">
        <x:v>1903</x:v>
      </x:c>
      <x:c r="H1761" s="3" t="n">
        <x:v>12</x:v>
      </x:c>
      <x:c r="I1761" s="3" t="n">
        <x:v>240</x:v>
      </x:c>
      <x:c r="J1761" s="15" t="n">
        <x:f>IF(D1761=0,"n.a.",E1761/D1761)</x:f>
        <x:v>0.009082652134423252</x:v>
      </x:c>
      <x:c r="K1761" s="15" t="n">
        <x:f>F1761/'Datos'!$F$7</x:f>
        <x:v>0.00008689934625518062</x:v>
      </x:c>
      <x:c r="L1761" s="3"/>
    </x:row>
    <x:row r="1762" ht="22" customHeight="1">
      <x:c r="A1762" s="3"/>
      <x:c r="B1762" s="3" t="str">
        <x:v>85183A</x:v>
      </x:c>
      <x:c r="C1762" s="3" t="str">
        <x:v>CHARLIE &amp; LOLA WASTEPAPER BIN BLUE</x:v>
      </x:c>
      <x:c r="D1762" s="13" t="n">
        <x:v>852.04</x:v>
      </x:c>
      <x:c r="E1762" s="13" t="n">
        <x:v>2.5</x:v>
      </x:c>
      <x:c r="F1762" s="13" t="n">
        <x:f>D1762-E1762</x:f>
        <x:v>849.54</x:v>
      </x:c>
      <x:c r="G1762" s="3" t="n">
        <x:v>667</x:v>
      </x:c>
      <x:c r="H1762" s="3" t="n">
        <x:v>2</x:v>
      </x:c>
      <x:c r="I1762" s="3" t="n">
        <x:v>86</x:v>
      </x:c>
      <x:c r="J1762" s="15" t="n">
        <x:f>IF(D1762=0,"n.a.",E1762/D1762)</x:f>
        <x:v>0.0029341345476738183</x:v>
      </x:c>
      <x:c r="K1762" s="15" t="n">
        <x:f>F1762/'Datos'!$F$7</x:f>
        <x:v>0.00008675229807707131</x:v>
      </x:c>
      <x:c r="L1762" s="3"/>
    </x:row>
    <x:row r="1763" ht="22" customHeight="1">
      <x:c r="A1763" s="3"/>
      <x:c r="B1763" s="3" t="str">
        <x:v>84006</x:v>
      </x:c>
      <x:c r="C1763" s="3" t="str">
        <x:v>MAGIC TREE -PAPER FLOWERS</x:v>
      </x:c>
      <x:c r="D1763" s="13" t="n">
        <x:v>849.55</x:v>
      </x:c>
      <x:c r="E1763" s="13" t="n">
        <x:v>0.85</x:v>
      </x:c>
      <x:c r="F1763" s="13" t="n">
        <x:f>D1763-E1763</x:f>
        <x:v>848.6999999999999</x:v>
      </x:c>
      <x:c r="G1763" s="3" t="n">
        <x:v>919</x:v>
      </x:c>
      <x:c r="H1763" s="3" t="n">
        <x:v>1</x:v>
      </x:c>
      <x:c r="I1763" s="3" t="n">
        <x:v>105</x:v>
      </x:c>
      <x:c r="J1763" s="15" t="n">
        <x:f>IF(D1763=0,"n.a.",E1763/D1763)</x:f>
        <x:v>0.001000529692189983</x:v>
      </x:c>
      <x:c r="K1763" s="15" t="n">
        <x:f>F1763/'Datos'!$F$7</x:f>
        <x:v>0.0000866665199731742</x:v>
      </x:c>
      <x:c r="L1763" s="3"/>
    </x:row>
    <x:row r="1764" ht="22" customHeight="1">
      <x:c r="A1764" s="3"/>
      <x:c r="B1764" s="3" t="str">
        <x:v>85135C</x:v>
      </x:c>
      <x:c r="C1764" s="3" t="str">
        <x:v>RED DRAGONFLY HELICOPTER</x:v>
      </x:c>
      <x:c r="D1764" s="13" t="n">
        <x:v>856.38</x:v>
      </x:c>
      <x:c r="E1764" s="13" t="n">
        <x:v>7.95</x:v>
      </x:c>
      <x:c r="F1764" s="13" t="n">
        <x:f>D1764-E1764</x:f>
        <x:v>848.43</x:v>
      </x:c>
      <x:c r="G1764" s="3" t="n">
        <x:v>106</x:v>
      </x:c>
      <x:c r="H1764" s="3" t="n">
        <x:v>1</x:v>
      </x:c>
      <x:c r="I1764" s="3" t="n">
        <x:v>67</x:v>
      </x:c>
      <x:c r="J1764" s="15" t="n">
        <x:f>IF(D1764=0,"n.a.",E1764/D1764)</x:f>
        <x:v>0.009283262103271912</x:v>
      </x:c>
      <x:c r="K1764" s="15" t="n">
        <x:f>F1764/'Datos'!$F$7</x:f>
        <x:v>0.00008663894843977872</x:v>
      </x:c>
      <x:c r="L1764" s="3"/>
    </x:row>
    <x:row r="1765" ht="22" customHeight="1">
      <x:c r="A1765" s="3"/>
      <x:c r="B1765" s="3" t="str">
        <x:v>22862</x:v>
      </x:c>
      <x:c r="C1765" s="3" t="str">
        <x:v>LOVE HEART NAPKIN BOX</x:v>
      </x:c>
      <x:c r="D1765" s="13" t="n">
        <x:v>843.95</x:v>
      </x:c>
      <x:c r="E1765" s="13" t="n">
        <x:v>0</x:v>
      </x:c>
      <x:c r="F1765" s="13" t="n">
        <x:f>D1765-E1765</x:f>
        <x:v>843.95</x:v>
      </x:c>
      <x:c r="G1765" s="3" t="n">
        <x:v>175</x:v>
      </x:c>
      <x:c r="H1765" s="3" t="n">
        <x:v>0</x:v>
      </x:c>
      <x:c r="I1765" s="3" t="n">
        <x:v>66</x:v>
      </x:c>
      <x:c r="J1765" s="15" t="n">
        <x:f>IF(D1765=0,"n.a.",E1765/D1765)</x:f>
        <x:v>0</x:v>
      </x:c>
      <x:c r="K1765" s="15" t="n">
        <x:f>F1765/'Datos'!$F$7</x:f>
        <x:v>0.00008618146521899421</x:v>
      </x:c>
      <x:c r="L1765" s="3"/>
    </x:row>
    <x:row r="1766" ht="22" customHeight="1">
      <x:c r="A1766" s="3"/>
      <x:c r="B1766" s="3" t="str">
        <x:v>84509B</x:v>
      </x:c>
      <x:c r="C1766" s="3" t="str">
        <x:v>SET OF 4 FAIRY CAKE PLACEMATS</x:v>
      </x:c>
      <x:c r="D1766" s="13" t="n">
        <x:v>843.34</x:v>
      </x:c>
      <x:c r="E1766" s="13" t="n">
        <x:v>0</x:v>
      </x:c>
      <x:c r="F1766" s="13" t="n">
        <x:f>D1766-E1766</x:f>
        <x:v>843.34</x:v>
      </x:c>
      <x:c r="G1766" s="3" t="n">
        <x:v>222</x:v>
      </x:c>
      <x:c r="H1766" s="3" t="n">
        <x:v>0</x:v>
      </x:c>
      <x:c r="I1766" s="3" t="n">
        <x:v>83</x:v>
      </x:c>
      <x:c r="J1766" s="15" t="n">
        <x:f>IF(D1766=0,"n.a.",E1766/D1766)</x:f>
        <x:v>0</x:v>
      </x:c>
      <x:c r="K1766" s="15" t="n">
        <x:f>F1766/'Datos'!$F$7</x:f>
        <x:v>0.00008611917397687846</x:v>
      </x:c>
      <x:c r="L1766" s="3"/>
    </x:row>
    <x:row r="1767" ht="22" customHeight="1">
      <x:c r="A1767" s="3"/>
      <x:c r="B1767" s="3" t="str">
        <x:v>22068</x:v>
      </x:c>
      <x:c r="C1767" s="3" t="str">
        <x:v>BLACK PIRATE TREASURE CHEST</x:v>
      </x:c>
      <x:c r="D1767" s="13" t="n">
        <x:v>863.38</x:v>
      </x:c>
      <x:c r="E1767" s="13" t="n">
        <x:v>21.45</x:v>
      </x:c>
      <x:c r="F1767" s="13" t="n">
        <x:f>D1767-E1767</x:f>
        <x:v>841.93</x:v>
      </x:c>
      <x:c r="G1767" s="3" t="n">
        <x:v>531</x:v>
      </x:c>
      <x:c r="H1767" s="3" t="n">
        <x:v>13</x:v>
      </x:c>
      <x:c r="I1767" s="3" t="n">
        <x:v>143</x:v>
      </x:c>
      <x:c r="J1767" s="15" t="n">
        <x:f>IF(D1767=0,"n.a.",E1767/D1767)</x:f>
        <x:v>0.024844216914915795</x:v>
      </x:c>
      <x:c r="K1767" s="15" t="n">
        <x:f>F1767/'Datos'!$F$7</x:f>
        <x:v>0.00008597518930247974</x:v>
      </x:c>
      <x:c r="L1767" s="3"/>
    </x:row>
    <x:row r="1768" ht="22" customHeight="1">
      <x:c r="A1768" s="3"/>
      <x:c r="B1768" s="3" t="str">
        <x:v>23564</x:v>
      </x:c>
      <x:c r="C1768" s="3" t="str">
        <x:v>EGG CUP MILKMAID INGRID</x:v>
      </x:c>
      <x:c r="D1768" s="13" t="n">
        <x:v>841.31</x:v>
      </x:c>
      <x:c r="E1768" s="13" t="n">
        <x:v>0</x:v>
      </x:c>
      <x:c r="F1768" s="13" t="n">
        <x:f>D1768-E1768</x:f>
        <x:v>841.31</x:v>
      </x:c>
      <x:c r="G1768" s="3" t="n">
        <x:v>644</x:v>
      </x:c>
      <x:c r="H1768" s="3" t="n">
        <x:v>0</x:v>
      </x:c>
      <x:c r="I1768" s="3" t="n">
        <x:v>76</x:v>
      </x:c>
      <x:c r="J1768" s="15" t="n">
        <x:f>IF(D1768=0,"n.a.",E1768/D1768)</x:f>
        <x:v>0</x:v>
      </x:c>
      <x:c r="K1768" s="15" t="n">
        <x:f>F1768/'Datos'!$F$7</x:f>
        <x:v>0.00008591187689246046</x:v>
      </x:c>
      <x:c r="L1768" s="3"/>
    </x:row>
    <x:row r="1769" ht="22" customHeight="1">
      <x:c r="A1769" s="3"/>
      <x:c r="B1769" s="3" t="str">
        <x:v>23551</x:v>
      </x:c>
      <x:c r="C1769" s="3" t="str">
        <x:v>PACK OF 12 PAISLEY PARK TISSUES</x:v>
      </x:c>
      <x:c r="D1769" s="13" t="n">
        <x:v>841.01</x:v>
      </x:c>
      <x:c r="E1769" s="13" t="n">
        <x:v>0</x:v>
      </x:c>
      <x:c r="F1769" s="13" t="n">
        <x:f>D1769-E1769</x:f>
        <x:v>841.01</x:v>
      </x:c>
      <x:c r="G1769" s="3" t="n">
        <x:v>1843</x:v>
      </x:c>
      <x:c r="H1769" s="3" t="n">
        <x:v>0</x:v>
      </x:c>
      <x:c r="I1769" s="3" t="n">
        <x:v>136</x:v>
      </x:c>
      <x:c r="J1769" s="15" t="n">
        <x:f>IF(D1769=0,"n.a.",E1769/D1769)</x:f>
        <x:v>0</x:v>
      </x:c>
      <x:c r="K1769" s="15" t="n">
        <x:f>F1769/'Datos'!$F$7</x:f>
        <x:v>0.00008588124185535436</x:v>
      </x:c>
      <x:c r="L1769" s="3"/>
    </x:row>
    <x:row r="1770" ht="22" customHeight="1">
      <x:c r="A1770" s="3"/>
      <x:c r="B1770" s="3" t="str">
        <x:v>20839</x:v>
      </x:c>
      <x:c r="C1770" s="3" t="str">
        <x:v>FRENCH PAISLEY CUSHION COVER</x:v>
      </x:c>
      <x:c r="D1770" s="13" t="n">
        <x:v>840.44</x:v>
      </x:c>
      <x:c r="E1770" s="13" t="n">
        <x:v>0</x:v>
      </x:c>
      <x:c r="F1770" s="13" t="n">
        <x:f>D1770-E1770</x:f>
        <x:v>840.44</x:v>
      </x:c>
      <x:c r="G1770" s="3" t="n">
        <x:v>575</x:v>
      </x:c>
      <x:c r="H1770" s="3" t="n">
        <x:v>0</x:v>
      </x:c>
      <x:c r="I1770" s="3" t="n">
        <x:v>105</x:v>
      </x:c>
      <x:c r="J1770" s="15" t="n">
        <x:f>IF(D1770=0,"n.a.",E1770/D1770)</x:f>
        <x:v>0</x:v>
      </x:c>
      <x:c r="K1770" s="15" t="n">
        <x:f>F1770/'Datos'!$F$7</x:f>
        <x:v>0.00008582303528485277</x:v>
      </x:c>
      <x:c r="L1770" s="3"/>
    </x:row>
    <x:row r="1771" ht="22" customHeight="1">
      <x:c r="A1771" s="3"/>
      <x:c r="B1771" s="3" t="str">
        <x:v>21694</x:v>
      </x:c>
      <x:c r="C1771" s="3" t="str">
        <x:v>SMALL REGAL SILVER CANDLEPOT</x:v>
      </x:c>
      <x:c r="D1771" s="13" t="n">
        <x:v>840.33</x:v>
      </x:c>
      <x:c r="E1771" s="13" t="n">
        <x:v>0</x:v>
      </x:c>
      <x:c r="F1771" s="13" t="n">
        <x:f>D1771-E1771</x:f>
        <x:v>840.33</x:v>
      </x:c>
      <x:c r="G1771" s="3" t="n">
        <x:v>307</x:v>
      </x:c>
      <x:c r="H1771" s="3" t="n">
        <x:v>0</x:v>
      </x:c>
      <x:c r="I1771" s="3" t="n">
        <x:v>24</x:v>
      </x:c>
      <x:c r="J1771" s="15" t="n">
        <x:f>IF(D1771=0,"n.a.",E1771/D1771)</x:f>
        <x:v>0</x:v>
      </x:c>
      <x:c r="K1771" s="15" t="n">
        <x:f>F1771/'Datos'!$F$7</x:f>
        <x:v>0.00008581180243791385</x:v>
      </x:c>
      <x:c r="L1771" s="3"/>
    </x:row>
    <x:row r="1772" ht="22" customHeight="1">
      <x:c r="A1772" s="3"/>
      <x:c r="B1772" s="3" t="str">
        <x:v>37327</x:v>
      </x:c>
      <x:c r="C1772" s="3" t="str">
        <x:v>ASSTD MULTICOLOUR CIRCLES MUG</x:v>
      </x:c>
      <x:c r="D1772" s="13" t="n">
        <x:v>840.47</x:v>
      </x:c>
      <x:c r="E1772" s="13" t="n">
        <x:v>1.56</x:v>
      </x:c>
      <x:c r="F1772" s="13" t="n">
        <x:f>D1772-E1772</x:f>
        <x:v>838.9100000000001</x:v>
      </x:c>
      <x:c r="G1772" s="3" t="n">
        <x:v>1579</x:v>
      </x:c>
      <x:c r="H1772" s="3" t="n">
        <x:v>4</x:v>
      </x:c>
      <x:c r="I1772" s="3" t="n">
        <x:v>81</x:v>
      </x:c>
      <x:c r="J1772" s="15" t="n">
        <x:f>IF(D1772=0,"n.a.",E1772/D1772)</x:f>
        <x:v>0.0018561043225814129</x:v>
      </x:c>
      <x:c r="K1772" s="15" t="n">
        <x:f>F1772/'Datos'!$F$7</x:f>
        <x:v>0.00008566679659561162</x:v>
      </x:c>
      <x:c r="L1772" s="3"/>
    </x:row>
    <x:row r="1773" ht="22" customHeight="1">
      <x:c r="A1773" s="3"/>
      <x:c r="B1773" s="3" t="str">
        <x:v>22706</x:v>
      </x:c>
      <x:c r="C1773" s="3" t="str">
        <x:v>WRAP COWBOYS</x:v>
      </x:c>
      <x:c r="D1773" s="13" t="n">
        <x:v>847.94</x:v>
      </x:c>
      <x:c r="E1773" s="13" t="n">
        <x:v>10.5</x:v>
      </x:c>
      <x:c r="F1773" s="13" t="n">
        <x:f>D1773-E1773</x:f>
        <x:v>837.44</x:v>
      </x:c>
      <x:c r="G1773" s="3" t="n">
        <x:v>2057</x:v>
      </x:c>
      <x:c r="H1773" s="3" t="n">
        <x:v>25</x:v>
      </x:c>
      <x:c r="I1773" s="3" t="n">
        <x:v>71</x:v>
      </x:c>
      <x:c r="J1773" s="15" t="n">
        <x:f>IF(D1773=0,"n.a.",E1773/D1773)</x:f>
        <x:v>0.012382951623935655</x:v>
      </x:c>
      <x:c r="K1773" s="15" t="n">
        <x:f>F1773/'Datos'!$F$7</x:f>
        <x:v>0.0000855166849137917</x:v>
      </x:c>
      <x:c r="L1773" s="3"/>
    </x:row>
    <x:row r="1774" ht="22" customHeight="1">
      <x:c r="A1774" s="3"/>
      <x:c r="B1774" s="3" t="str">
        <x:v>22254</x:v>
      </x:c>
      <x:c r="C1774" s="3" t="str">
        <x:v>FELT TOADSTOOL LARGE</x:v>
      </x:c>
      <x:c r="D1774" s="13" t="n">
        <x:v>836.8</x:v>
      </x:c>
      <x:c r="E1774" s="13" t="n">
        <x:v>0</x:v>
      </x:c>
      <x:c r="F1774" s="13" t="n">
        <x:f>D1774-E1774</x:f>
        <x:v>836.8</x:v>
      </x:c>
      <x:c r="G1774" s="3" t="n">
        <x:v>657</x:v>
      </x:c>
      <x:c r="H1774" s="3" t="n">
        <x:v>0</x:v>
      </x:c>
      <x:c r="I1774" s="3" t="n">
        <x:v>61</x:v>
      </x:c>
      <x:c r="J1774" s="15" t="n">
        <x:f>IF(D1774=0,"n.a.",E1774/D1774)</x:f>
        <x:v>0</x:v>
      </x:c>
      <x:c r="K1774" s="15" t="n">
        <x:f>F1774/'Datos'!$F$7</x:f>
        <x:v>0.00008545133016796533</x:v>
      </x:c>
      <x:c r="L1774" s="3"/>
    </x:row>
    <x:row r="1775" ht="22" customHeight="1">
      <x:c r="A1775" s="3"/>
      <x:c r="B1775" s="3" t="str">
        <x:v>20986</x:v>
      </x:c>
      <x:c r="C1775" s="3" t="str">
        <x:v>BLUE CALCULATOR RULER</x:v>
      </x:c>
      <x:c r="D1775" s="13" t="n">
        <x:v>833.49</x:v>
      </x:c>
      <x:c r="E1775" s="13" t="n">
        <x:v>0</x:v>
      </x:c>
      <x:c r="F1775" s="13" t="n">
        <x:f>D1775-E1775</x:f>
        <x:v>833.49</x:v>
      </x:c>
      <x:c r="G1775" s="3" t="n">
        <x:v>657</x:v>
      </x:c>
      <x:c r="H1775" s="3" t="n">
        <x:v>0</x:v>
      </x:c>
      <x:c r="I1775" s="3" t="n">
        <x:v>113</x:v>
      </x:c>
      <x:c r="J1775" s="15" t="n">
        <x:f>IF(D1775=0,"n.a.",E1775/D1775)</x:f>
        <x:v>0</x:v>
      </x:c>
      <x:c r="K1775" s="15" t="n">
        <x:f>F1775/'Datos'!$F$7</x:f>
        <x:v>0.00008511332359189464</x:v>
      </x:c>
      <x:c r="L1775" s="3"/>
    </x:row>
    <x:row r="1776" ht="22" customHeight="1">
      <x:c r="A1776" s="3"/>
      <x:c r="B1776" s="3" t="str">
        <x:v>22587</x:v>
      </x:c>
      <x:c r="C1776" s="3" t="str">
        <x:v>FELTCRAFT HAIRBAND RED AND BLUE</x:v>
      </x:c>
      <x:c r="D1776" s="13" t="n">
        <x:v>833.07</x:v>
      </x:c>
      <x:c r="E1776" s="13" t="n">
        <x:v>0</x:v>
      </x:c>
      <x:c r="F1776" s="13" t="n">
        <x:f>D1776-E1776</x:f>
        <x:v>833.07</x:v>
      </x:c>
      <x:c r="G1776" s="3" t="n">
        <x:v>921</x:v>
      </x:c>
      <x:c r="H1776" s="3" t="n">
        <x:v>0</x:v>
      </x:c>
      <x:c r="I1776" s="3" t="n">
        <x:v>161</x:v>
      </x:c>
      <x:c r="J1776" s="15" t="n">
        <x:f>IF(D1776=0,"n.a.",E1776/D1776)</x:f>
        <x:v>0</x:v>
      </x:c>
      <x:c r="K1776" s="15" t="n">
        <x:f>F1776/'Datos'!$F$7</x:f>
        <x:v>0.0000850704345399461</x:v>
      </x:c>
      <x:c r="L1776" s="3"/>
    </x:row>
    <x:row r="1777" ht="22" customHeight="1">
      <x:c r="A1777" s="3"/>
      <x:c r="B1777" s="3" t="str">
        <x:v>21125</x:v>
      </x:c>
      <x:c r="C1777" s="3" t="str">
        <x:v>SET 6 FOOTBALL CELEBRATION CANDLES</x:v>
      </x:c>
      <x:c r="D1777" s="13" t="n">
        <x:v>834.73</x:v>
      </x:c>
      <x:c r="E1777" s="13" t="n">
        <x:v>2.5</x:v>
      </x:c>
      <x:c r="F1777" s="13" t="n">
        <x:f>D1777-E1777</x:f>
        <x:v>832.23</x:v>
      </x:c>
      <x:c r="G1777" s="3" t="n">
        <x:v>660</x:v>
      </x:c>
      <x:c r="H1777" s="3" t="n">
        <x:v>2</x:v>
      </x:c>
      <x:c r="I1777" s="3" t="n">
        <x:v>103</x:v>
      </x:c>
      <x:c r="J1777" s="15" t="n">
        <x:f>IF(D1777=0,"n.a.",E1777/D1777)</x:f>
        <x:v>0.0029949804128281</x:v>
      </x:c>
      <x:c r="K1777" s="15" t="n">
        <x:f>F1777/'Datos'!$F$7</x:f>
        <x:v>0.00008498465643604899</x:v>
      </x:c>
      <x:c r="L1777" s="3"/>
    </x:row>
    <x:row r="1778" ht="22" customHeight="1">
      <x:c r="A1778" s="3"/>
      <x:c r="B1778" s="3" t="str">
        <x:v>21399</x:v>
      </x:c>
      <x:c r="C1778" s="3" t="str">
        <x:v>BLUE POLKADOT COFFEE MUG</x:v>
      </x:c>
      <x:c r="D1778" s="13" t="n">
        <x:v>874.29</x:v>
      </x:c>
      <x:c r="E1778" s="13" t="n">
        <x:v>43.29</x:v>
      </x:c>
      <x:c r="F1778" s="13" t="n">
        <x:f>D1778-E1778</x:f>
        <x:v>831</x:v>
      </x:c>
      <x:c r="G1778" s="3" t="n">
        <x:v>2066</x:v>
      </x:c>
      <x:c r="H1778" s="3" t="n">
        <x:v>111</x:v>
      </x:c>
      <x:c r="I1778" s="3" t="n">
        <x:v>71</x:v>
      </x:c>
      <x:c r="J1778" s="15" t="n">
        <x:f>IF(D1778=0,"n.a.",E1778/D1778)</x:f>
        <x:v>0.049514463164396255</x:v>
      </x:c>
      <x:c r="K1778" s="15" t="n">
        <x:f>F1778/'Datos'!$F$7</x:f>
        <x:v>0.00008485905278391395</x:v>
      </x:c>
      <x:c r="L1778" s="3"/>
    </x:row>
    <x:row r="1779" ht="22" customHeight="1">
      <x:c r="A1779" s="3"/>
      <x:c r="B1779" s="3" t="str">
        <x:v>21804</x:v>
      </x:c>
      <x:c r="C1779" s="3" t="str">
        <x:v>WHITE CHRISTMAS GARLAND STARS TREES</x:v>
      </x:c>
      <x:c r="D1779" s="13" t="n">
        <x:v>830.03</x:v>
      </x:c>
      <x:c r="E1779" s="13" t="n">
        <x:v>0</x:v>
      </x:c>
      <x:c r="F1779" s="13" t="n">
        <x:f>D1779-E1779</x:f>
        <x:v>830.03</x:v>
      </x:c>
      <x:c r="G1779" s="3" t="n">
        <x:v>225</x:v>
      </x:c>
      <x:c r="H1779" s="3" t="n">
        <x:v>0</x:v>
      </x:c>
      <x:c r="I1779" s="3" t="n">
        <x:v>65</x:v>
      </x:c>
      <x:c r="J1779" s="15" t="n">
        <x:f>IF(D1779=0,"n.a.",E1779/D1779)</x:f>
        <x:v>0</x:v>
      </x:c>
      <x:c r="K1779" s="15" t="n">
        <x:f>F1779/'Datos'!$F$7</x:f>
        <x:v>0.00008475999949727087</x:v>
      </x:c>
      <x:c r="L1779" s="3"/>
    </x:row>
    <x:row r="1780" ht="22" customHeight="1">
      <x:c r="A1780" s="3"/>
      <x:c r="B1780" s="3" t="str">
        <x:v>23004</x:v>
      </x:c>
      <x:c r="C1780" s="3" t="str">
        <x:v>TRAVEL CARD WALLET PANTRY</x:v>
      </x:c>
      <x:c r="D1780" s="13" t="n">
        <x:v>906.94</x:v>
      </x:c>
      <x:c r="E1780" s="13" t="n">
        <x:v>77.28</x:v>
      </x:c>
      <x:c r="F1780" s="13" t="n">
        <x:f>D1780-E1780</x:f>
        <x:v>829.6600000000001</x:v>
      </x:c>
      <x:c r="G1780" s="3" t="n">
        <x:v>2011</x:v>
      </x:c>
      <x:c r="H1780" s="3" t="n">
        <x:v>184</x:v>
      </x:c>
      <x:c r="I1780" s="3" t="n">
        <x:v>221</x:v>
      </x:c>
      <x:c r="J1780" s="15" t="n">
        <x:f>IF(D1780=0,"n.a.",E1780/D1780)</x:f>
        <x:v>0.08520960592762476</x:v>
      </x:c>
      <x:c r="K1780" s="15" t="n">
        <x:f>F1780/'Datos'!$F$7</x:f>
        <x:v>0.00008472221628484002</x:v>
      </x:c>
      <x:c r="L1780" s="3"/>
    </x:row>
    <x:row r="1781" ht="22" customHeight="1">
      <x:c r="A1781" s="3"/>
      <x:c r="B1781" s="3" t="str">
        <x:v>84660C</x:v>
      </x:c>
      <x:c r="C1781" s="3" t="str">
        <x:v>PINK STITCHED WALL CLOCK</x:v>
      </x:c>
      <x:c r="D1781" s="13" t="n">
        <x:v>828.24</x:v>
      </x:c>
      <x:c r="E1781" s="13" t="n">
        <x:v>0</x:v>
      </x:c>
      <x:c r="F1781" s="13" t="n">
        <x:f>D1781-E1781</x:f>
        <x:v>828.24</x:v>
      </x:c>
      <x:c r="G1781" s="3" t="n">
        <x:v>679</x:v>
      </x:c>
      <x:c r="H1781" s="3" t="n">
        <x:v>0</x:v>
      </x:c>
      <x:c r="I1781" s="3" t="n">
        <x:v>61</x:v>
      </x:c>
      <x:c r="J1781" s="15" t="n">
        <x:f>IF(D1781=0,"n.a.",E1781/D1781)</x:f>
        <x:v>0</x:v>
      </x:c>
      <x:c r="K1781" s="15" t="n">
        <x:f>F1781/'Datos'!$F$7</x:f>
        <x:v>0.00008457721044253777</x:v>
      </x:c>
      <x:c r="L1781" s="3"/>
    </x:row>
    <x:row r="1782" ht="22" customHeight="1">
      <x:c r="A1782" s="3"/>
      <x:c r="B1782" s="3" t="str">
        <x:v>22341</x:v>
      </x:c>
      <x:c r="C1782" s="3" t="str">
        <x:v>LOVE GARLAND PAINTED ZINC</x:v>
      </x:c>
      <x:c r="D1782" s="13" t="n">
        <x:v>827.63</x:v>
      </x:c>
      <x:c r="E1782" s="13" t="n">
        <x:v>0</x:v>
      </x:c>
      <x:c r="F1782" s="13" t="n">
        <x:f>D1782-E1782</x:f>
        <x:v>827.63</x:v>
      </x:c>
      <x:c r="G1782" s="3" t="n">
        <x:v>453</x:v>
      </x:c>
      <x:c r="H1782" s="3" t="n">
        <x:v>0</x:v>
      </x:c>
      <x:c r="I1782" s="3" t="n">
        <x:v>78</x:v>
      </x:c>
      <x:c r="J1782" s="15" t="n">
        <x:f>IF(D1782=0,"n.a.",E1782/D1782)</x:f>
        <x:v>0</x:v>
      </x:c>
      <x:c r="K1782" s="15" t="n">
        <x:f>F1782/'Datos'!$F$7</x:f>
        <x:v>0.00008451491920042202</x:v>
      </x:c>
      <x:c r="L1782" s="3"/>
    </x:row>
    <x:row r="1783" ht="22" customHeight="1">
      <x:c r="A1783" s="3"/>
      <x:c r="B1783" s="3" t="str">
        <x:v>21294</x:v>
      </x:c>
      <x:c r="C1783" s="3" t="str">
        <x:v>ETCHED GLASS COASTER</x:v>
      </x:c>
      <x:c r="D1783" s="13" t="n">
        <x:v>825.49</x:v>
      </x:c>
      <x:c r="E1783" s="13" t="n">
        <x:v>0</x:v>
      </x:c>
      <x:c r="F1783" s="13" t="n">
        <x:f>D1783-E1783</x:f>
        <x:v>825.49</x:v>
      </x:c>
      <x:c r="G1783" s="3" t="n">
        <x:v>1618</x:v>
      </x:c>
      <x:c r="H1783" s="3" t="n">
        <x:v>0</x:v>
      </x:c>
      <x:c r="I1783" s="3" t="n">
        <x:v>71</x:v>
      </x:c>
      <x:c r="J1783" s="15" t="n">
        <x:f>IF(D1783=0,"n.a.",E1783/D1783)</x:f>
        <x:v>0</x:v>
      </x:c>
      <x:c r="K1783" s="15" t="n">
        <x:f>F1783/'Datos'!$F$7</x:f>
        <x:v>0.00008429638926906514</x:v>
      </x:c>
      <x:c r="L1783" s="3"/>
    </x:row>
    <x:row r="1784" ht="22" customHeight="1">
      <x:c r="A1784" s="3"/>
      <x:c r="B1784" s="3" t="str">
        <x:v>84509C</x:v>
      </x:c>
      <x:c r="C1784" s="3" t="str">
        <x:v>SET OF 4 POLKADOT PLACEMATS</x:v>
      </x:c>
      <x:c r="D1784" s="13" t="n">
        <x:v>824.91</x:v>
      </x:c>
      <x:c r="E1784" s="13" t="n">
        <x:v>0</x:v>
      </x:c>
      <x:c r="F1784" s="13" t="n">
        <x:f>D1784-E1784</x:f>
        <x:v>824.91</x:v>
      </x:c>
      <x:c r="G1784" s="3" t="n">
        <x:v>174</x:v>
      </x:c>
      <x:c r="H1784" s="3" t="n">
        <x:v>0</x:v>
      </x:c>
      <x:c r="I1784" s="3" t="n">
        <x:v>78</x:v>
      </x:c>
      <x:c r="J1784" s="15" t="n">
        <x:f>IF(D1784=0,"n.a.",E1784/D1784)</x:f>
        <x:v>0</x:v>
      </x:c>
      <x:c r="K1784" s="15" t="n">
        <x:f>F1784/'Datos'!$F$7</x:f>
        <x:v>0.00008423716153066</x:v>
      </x:c>
      <x:c r="L1784" s="3"/>
    </x:row>
    <x:row r="1785" ht="22" customHeight="1">
      <x:c r="A1785" s="3"/>
      <x:c r="B1785" s="3" t="str">
        <x:v>22537</x:v>
      </x:c>
      <x:c r="C1785" s="3" t="str">
        <x:v>MAGIC DRAWING SLATE DINOSAUR</x:v>
      </x:c>
      <x:c r="D1785" s="13" t="n">
        <x:v>844.84</x:v>
      </x:c>
      <x:c r="E1785" s="13" t="n">
        <x:v>20.16</x:v>
      </x:c>
      <x:c r="F1785" s="13" t="n">
        <x:f>D1785-E1785</x:f>
        <x:v>824.6800000000001</x:v>
      </x:c>
      <x:c r="G1785" s="3" t="n">
        <x:v>1931</x:v>
      </x:c>
      <x:c r="H1785" s="3" t="n">
        <x:v>48</x:v>
      </x:c>
      <x:c r="I1785" s="3" t="n">
        <x:v>171</x:v>
      </x:c>
      <x:c r="J1785" s="15" t="n">
        <x:f>IF(D1785=0,"n.a.",E1785/D1785)</x:f>
        <x:v>0.023862506510108423</x:v>
      </x:c>
      <x:c r="K1785" s="15" t="n">
        <x:f>F1785/'Datos'!$F$7</x:f>
        <x:v>0.00008421367466887865</x:v>
      </x:c>
      <x:c r="L1785" s="3"/>
    </x:row>
    <x:row r="1786" ht="22" customHeight="1">
      <x:c r="A1786" s="3"/>
      <x:c r="B1786" s="3" t="str">
        <x:v>21905</x:v>
      </x:c>
      <x:c r="C1786" s="3" t="str">
        <x:v>MORE BUTTER METAL SIGN</x:v>
      </x:c>
      <x:c r="D1786" s="13" t="n">
        <x:v>823.71</x:v>
      </x:c>
      <x:c r="E1786" s="13" t="n">
        <x:v>0</x:v>
      </x:c>
      <x:c r="F1786" s="13" t="n">
        <x:f>D1786-E1786</x:f>
        <x:v>823.71</x:v>
      </x:c>
      <x:c r="G1786" s="3" t="n">
        <x:v>761</x:v>
      </x:c>
      <x:c r="H1786" s="3" t="n">
        <x:v>0</x:v>
      </x:c>
      <x:c r="I1786" s="3" t="n">
        <x:v>160</x:v>
      </x:c>
      <x:c r="J1786" s="15" t="n">
        <x:f>IF(D1786=0,"n.a.",E1786/D1786)</x:f>
        <x:v>0</x:v>
      </x:c>
      <x:c r="K1786" s="15" t="n">
        <x:f>F1786/'Datos'!$F$7</x:f>
        <x:v>0.00008411462138223558</x:v>
      </x:c>
      <x:c r="L1786" s="3"/>
    </x:row>
    <x:row r="1787" ht="22" customHeight="1">
      <x:c r="A1787" s="3"/>
      <x:c r="B1787" s="3" t="str">
        <x:v>22249</x:v>
      </x:c>
      <x:c r="C1787" s="3" t="str">
        <x:v>DECORATION WHITE CHICK MAGIC GARDEN</x:v>
      </x:c>
      <x:c r="D1787" s="13" t="n">
        <x:v>826.46</x:v>
      </x:c>
      <x:c r="E1787" s="13" t="n">
        <x:v>3.4</x:v>
      </x:c>
      <x:c r="F1787" s="13" t="n">
        <x:f>D1787-E1787</x:f>
        <x:v>823.0600000000001</x:v>
      </x:c>
      <x:c r="G1787" s="3" t="n">
        <x:v>944</x:v>
      </x:c>
      <x:c r="H1787" s="3" t="n">
        <x:v>4</x:v>
      </x:c>
      <x:c r="I1787" s="3" t="n">
        <x:v>145</x:v>
      </x:c>
      <x:c r="J1787" s="15" t="n">
        <x:f>IF(D1787=0,"n.a.",E1787/D1787)</x:f>
        <x:v>0.004113931708733635</x:v>
      </x:c>
      <x:c r="K1787" s="15" t="n">
        <x:f>F1787/'Datos'!$F$7</x:f>
        <x:v>0.00008404824546850569</x:v>
      </x:c>
      <x:c r="L1787" s="3"/>
    </x:row>
    <x:row r="1788" ht="22" customHeight="1">
      <x:c r="A1788" s="3"/>
      <x:c r="B1788" s="3" t="str">
        <x:v>84849D</x:v>
      </x:c>
      <x:c r="C1788" s="3" t="str">
        <x:v>HOT BATHS SOAP HOLDER</x:v>
      </x:c>
      <x:c r="D1788" s="13" t="n">
        <x:v>859</x:v>
      </x:c>
      <x:c r="E1788" s="13" t="n">
        <x:v>37.18</x:v>
      </x:c>
      <x:c r="F1788" s="13" t="n">
        <x:f>D1788-E1788</x:f>
        <x:v>821.82</x:v>
      </x:c>
      <x:c r="G1788" s="3" t="n">
        <x:v>494</x:v>
      </x:c>
      <x:c r="H1788" s="3" t="n">
        <x:v>22</x:v>
      </x:c>
      <x:c r="I1788" s="3" t="n">
        <x:v>114</x:v>
      </x:c>
      <x:c r="J1788" s="15" t="n">
        <x:f>IF(D1788=0,"n.a.",E1788/D1788)</x:f>
        <x:v>0.04328288707799767</x:v>
      </x:c>
      <x:c r="K1788" s="15" t="n">
        <x:f>F1788/'Datos'!$F$7</x:f>
        <x:v>0.00008392162064846711</x:v>
      </x:c>
      <x:c r="L1788" s="3"/>
    </x:row>
    <x:row r="1789" ht="22" customHeight="1">
      <x:c r="A1789" s="3"/>
      <x:c r="B1789" s="3" t="str">
        <x:v>23071</x:v>
      </x:c>
      <x:c r="C1789" s="3" t="str">
        <x:v>MARIE ANTOINETTE TRINKET BOX GOLD</x:v>
      </x:c>
      <x:c r="D1789" s="13" t="n">
        <x:v>1255.1</x:v>
      </x:c>
      <x:c r="E1789" s="13" t="n">
        <x:v>434</x:v>
      </x:c>
      <x:c r="F1789" s="13" t="n">
        <x:f>D1789-E1789</x:f>
        <x:v>821.0999999999999</x:v>
      </x:c>
      <x:c r="G1789" s="3" t="n">
        <x:v>319</x:v>
      </x:c>
      <x:c r="H1789" s="3" t="n">
        <x:v>76</x:v>
      </x:c>
      <x:c r="I1789" s="3" t="n">
        <x:v>19</x:v>
      </x:c>
      <x:c r="J1789" s="15" t="n">
        <x:f>IF(D1789=0,"n.a.",E1789/D1789)</x:f>
        <x:v>0.34578918014500837</x:v>
      </x:c>
      <x:c r="K1789" s="15" t="n">
        <x:f>F1789/'Datos'!$F$7</x:f>
        <x:v>0.00008384809655941244</x:v>
      </x:c>
      <x:c r="L1789" s="3"/>
    </x:row>
    <x:row r="1790" ht="22" customHeight="1">
      <x:c r="A1790" s="3"/>
      <x:c r="B1790" s="3" t="str">
        <x:v>22276</x:v>
      </x:c>
      <x:c r="C1790" s="3" t="str">
        <x:v>WASH BAG VINTAGE ROSE PAISLEY</x:v>
      </x:c>
      <x:c r="D1790" s="13" t="n">
        <x:v>838.86</x:v>
      </x:c>
      <x:c r="E1790" s="13" t="n">
        <x:v>17.85</x:v>
      </x:c>
      <x:c r="F1790" s="13" t="n">
        <x:f>D1790-E1790</x:f>
        <x:v>821.01</x:v>
      </x:c>
      <x:c r="G1790" s="3" t="n">
        <x:v>290</x:v>
      </x:c>
      <x:c r="H1790" s="3" t="n">
        <x:v>7</x:v>
      </x:c>
      <x:c r="I1790" s="3" t="n">
        <x:v>85</x:v>
      </x:c>
      <x:c r="J1790" s="15" t="n">
        <x:f>IF(D1790=0,"n.a.",E1790/D1790)</x:f>
        <x:v>0.021278878477934342</x:v>
      </x:c>
      <x:c r="K1790" s="15" t="n">
        <x:f>F1790/'Datos'!$F$7</x:f>
        <x:v>0.00008383890604828062</x:v>
      </x:c>
      <x:c r="L1790" s="3"/>
    </x:row>
    <x:row r="1791" ht="22" customHeight="1">
      <x:c r="A1791" s="3"/>
      <x:c r="B1791" s="3" t="str">
        <x:v>21291</x:v>
      </x:c>
      <x:c r="C1791" s="3" t="str">
        <x:v>SMALL POLKADOT CHOCOLATE GIFT BAG</x:v>
      </x:c>
      <x:c r="D1791" s="13" t="n">
        <x:v>819.64</x:v>
      </x:c>
      <x:c r="E1791" s="13" t="n">
        <x:v>0</x:v>
      </x:c>
      <x:c r="F1791" s="13" t="n">
        <x:f>D1791-E1791</x:f>
        <x:v>819.64</x:v>
      </x:c>
      <x:c r="G1791" s="3" t="n">
        <x:v>943</x:v>
      </x:c>
      <x:c r="H1791" s="3" t="n">
        <x:v>0</x:v>
      </x:c>
      <x:c r="I1791" s="3" t="n">
        <x:v>52</x:v>
      </x:c>
      <x:c r="J1791" s="15" t="n">
        <x:f>IF(D1791=0,"n.a.",E1791/D1791)</x:f>
        <x:v>0</x:v>
      </x:c>
      <x:c r="K1791" s="15" t="n">
        <x:f>F1791/'Datos'!$F$7</x:f>
        <x:v>0.00008369900604549607</x:v>
      </x:c>
      <x:c r="L1791" s="3"/>
    </x:row>
    <x:row r="1792" ht="22" customHeight="1">
      <x:c r="A1792" s="3"/>
      <x:c r="B1792" s="3" t="str">
        <x:v>23017</x:v>
      </x:c>
      <x:c r="C1792" s="3" t="str">
        <x:v>APOTHECARY MEASURING JAR</x:v>
      </x:c>
      <x:c r="D1792" s="13" t="n">
        <x:v>826.28</x:v>
      </x:c>
      <x:c r="E1792" s="13" t="n">
        <x:v>12.5</x:v>
      </x:c>
      <x:c r="F1792" s="13" t="n">
        <x:f>D1792-E1792</x:f>
        <x:v>813.78</x:v>
      </x:c>
      <x:c r="G1792" s="3" t="n">
        <x:v>67</x:v>
      </x:c>
      <x:c r="H1792" s="3" t="n">
        <x:v>1</x:v>
      </x:c>
      <x:c r="I1792" s="3" t="n">
        <x:v>22</x:v>
      </x:c>
      <x:c r="J1792" s="15" t="n">
        <x:f>IF(D1792=0,"n.a.",E1792/D1792)</x:f>
        <x:v>0.015128043762404996</x:v>
      </x:c>
      <x:c r="K1792" s="15" t="n">
        <x:f>F1792/'Datos'!$F$7</x:f>
        <x:v>0.00008310060165402346</x:v>
      </x:c>
      <x:c r="L1792" s="3"/>
    </x:row>
    <x:row r="1793" ht="22" customHeight="1">
      <x:c r="A1793" s="3"/>
      <x:c r="B1793" s="3" t="str">
        <x:v>23186</x:v>
      </x:c>
      <x:c r="C1793" s="3" t="str">
        <x:v>FRENCH STYLE STORAGE JAR CAFE</x:v>
      </x:c>
      <x:c r="D1793" s="13" t="n">
        <x:v>819.46</x:v>
      </x:c>
      <x:c r="E1793" s="13" t="n">
        <x:v>9.24</x:v>
      </x:c>
      <x:c r="F1793" s="13" t="n">
        <x:f>D1793-E1793</x:f>
        <x:v>810.22</x:v>
      </x:c>
      <x:c r="G1793" s="3" t="n">
        <x:v>1982</x:v>
      </x:c>
      <x:c r="H1793" s="3" t="n">
        <x:v>12</x:v>
      </x:c>
      <x:c r="I1793" s="3" t="n">
        <x:v>70</x:v>
      </x:c>
      <x:c r="J1793" s="15" t="n">
        <x:f>IF(D1793=0,"n.a.",E1793/D1793)</x:f>
        <x:v>0.011275718155858736</x:v>
      </x:c>
      <x:c r="K1793" s="15" t="n">
        <x:f>F1793/'Datos'!$F$7</x:f>
        <x:v>0.00008273706588036433</x:v>
      </x:c>
      <x:c r="L1793" s="3"/>
    </x:row>
    <x:row r="1794" ht="22" customHeight="1">
      <x:c r="A1794" s="3"/>
      <x:c r="B1794" s="3" t="str">
        <x:v>22093</x:v>
      </x:c>
      <x:c r="C1794" s="3" t="str">
        <x:v>MOTORING TISSUE BOX</x:v>
      </x:c>
      <x:c r="D1794" s="13" t="n">
        <x:v>824.08</x:v>
      </x:c>
      <x:c r="E1794" s="13" t="n">
        <x:v>15</x:v>
      </x:c>
      <x:c r="F1794" s="13" t="n">
        <x:f>D1794-E1794</x:f>
        <x:v>809.08</x:v>
      </x:c>
      <x:c r="G1794" s="3" t="n">
        <x:v>1835</x:v>
      </x:c>
      <x:c r="H1794" s="3" t="n">
        <x:v>12</x:v>
      </x:c>
      <x:c r="I1794" s="3" t="n">
        <x:v>160</x:v>
      </x:c>
      <x:c r="J1794" s="15" t="n">
        <x:f>IF(D1794=0,"n.a.",E1794/D1794)</x:f>
        <x:v>0.018202116299388407</x:v>
      </x:c>
      <x:c r="K1794" s="15" t="n">
        <x:f>F1794/'Datos'!$F$7</x:f>
        <x:v>0.00008262065273936114</x:v>
      </x:c>
      <x:c r="L1794" s="3"/>
    </x:row>
    <x:row r="1795" ht="22" customHeight="1">
      <x:c r="A1795" s="3"/>
      <x:c r="B1795" s="3" t="str">
        <x:v>22162</x:v>
      </x:c>
      <x:c r="C1795" s="3" t="str">
        <x:v>HEART GARLAND RUSTIC PADDED</x:v>
      </x:c>
      <x:c r="D1795" s="13" t="n">
        <x:v>841.24</x:v>
      </x:c>
      <x:c r="E1795" s="13" t="n">
        <x:v>32.45</x:v>
      </x:c>
      <x:c r="F1795" s="13" t="n">
        <x:f>D1795-E1795</x:f>
        <x:v>808.79</x:v>
      </x:c>
      <x:c r="G1795" s="3" t="n">
        <x:v>264</x:v>
      </x:c>
      <x:c r="H1795" s="3" t="n">
        <x:v>11</x:v>
      </x:c>
      <x:c r="I1795" s="3" t="n">
        <x:v>91</x:v>
      </x:c>
      <x:c r="J1795" s="15" t="n">
        <x:f>IF(D1795=0,"n.a.",E1795/D1795)</x:f>
        <x:v>0.03857400979506443</x:v>
      </x:c>
      <x:c r="K1795" s="15" t="n">
        <x:f>F1795/'Datos'!$F$7</x:f>
        <x:v>0.00008259103887015857</x:v>
      </x:c>
      <x:c r="L1795" s="3"/>
    </x:row>
    <x:row r="1796" ht="22" customHeight="1">
      <x:c r="A1796" s="3"/>
      <x:c r="B1796" s="3" t="str">
        <x:v>84660A</x:v>
      </x:c>
      <x:c r="C1796" s="3" t="str">
        <x:v>WHITE STITCHED WALL CLOCK</x:v>
      </x:c>
      <x:c r="D1796" s="13" t="n">
        <x:v>813.29</x:v>
      </x:c>
      <x:c r="E1796" s="13" t="n">
        <x:v>4.54</x:v>
      </x:c>
      <x:c r="F1796" s="13" t="n">
        <x:f>D1796-E1796</x:f>
        <x:v>808.75</x:v>
      </x:c>
      <x:c r="G1796" s="3" t="n">
        <x:v>847</x:v>
      </x:c>
      <x:c r="H1796" s="3" t="n">
        <x:v>2</x:v>
      </x:c>
      <x:c r="I1796" s="3" t="n">
        <x:v>44</x:v>
      </x:c>
      <x:c r="J1796" s="15" t="n">
        <x:f>IF(D1796=0,"n.a.",E1796/D1796)</x:f>
        <x:v>0.005582264628853177</x:v>
      </x:c>
      <x:c r="K1796" s="15" t="n">
        <x:f>F1796/'Datos'!$F$7</x:f>
        <x:v>0.00008258695419854441</x:v>
      </x:c>
      <x:c r="L1796" s="3"/>
    </x:row>
    <x:row r="1797" ht="22" customHeight="1">
      <x:c r="A1797" s="3"/>
      <x:c r="B1797" s="3" t="str">
        <x:v>22454</x:v>
      </x:c>
      <x:c r="C1797" s="3" t="str">
        <x:v>MEASURING TAPE BABUSHKA RED</x:v>
      </x:c>
      <x:c r="D1797" s="13" t="n">
        <x:v>827.82</x:v>
      </x:c>
      <x:c r="E1797" s="13" t="n">
        <x:v>23.6</x:v>
      </x:c>
      <x:c r="F1797" s="13" t="n">
        <x:f>D1797-E1797</x:f>
        <x:v>804.22</x:v>
      </x:c>
      <x:c r="G1797" s="3" t="n">
        <x:v>290</x:v>
      </x:c>
      <x:c r="H1797" s="3" t="n">
        <x:v>8</x:v>
      </x:c>
      <x:c r="I1797" s="3" t="n">
        <x:v>41</x:v>
      </x:c>
      <x:c r="J1797" s="15" t="n">
        <x:f>IF(D1797=0,"n.a.",E1797/D1797)</x:f>
        <x:v>0.028508612983498827</x:v>
      </x:c>
      <x:c r="K1797" s="15" t="n">
        <x:f>F1797/'Datos'!$F$7</x:f>
        <x:v>0.00008212436513824222</x:v>
      </x:c>
      <x:c r="L1797" s="3"/>
    </x:row>
    <x:row r="1798" ht="22" customHeight="1">
      <x:c r="A1798" s="3"/>
      <x:c r="B1798" s="3" t="str">
        <x:v>22546</x:v>
      </x:c>
      <x:c r="C1798" s="3" t="str">
        <x:v>MINI JIGSAW PURDEY</x:v>
      </x:c>
      <x:c r="D1798" s="13" t="n">
        <x:v>800.4</x:v>
      </x:c>
      <x:c r="E1798" s="13" t="n">
        <x:v>0.42</x:v>
      </x:c>
      <x:c r="F1798" s="13" t="n">
        <x:f>D1798-E1798</x:f>
        <x:v>799.98</x:v>
      </x:c>
      <x:c r="G1798" s="3" t="n">
        <x:v>2104</x:v>
      </x:c>
      <x:c r="H1798" s="3" t="n">
        <x:v>1</x:v>
      </x:c>
      <x:c r="I1798" s="3" t="n">
        <x:v>86</x:v>
      </x:c>
      <x:c r="J1798" s="15" t="n">
        <x:f>IF(D1798=0,"n.a.",E1798/D1798)</x:f>
        <x:v>0.0005247376311844077</x:v>
      </x:c>
      <x:c r="K1798" s="15" t="n">
        <x:f>F1798/'Datos'!$F$7</x:f>
        <x:v>0.00008169138994714258</x:v>
      </x:c>
      <x:c r="L1798" s="3"/>
    </x:row>
    <x:row r="1799" ht="22" customHeight="1">
      <x:c r="A1799" s="3"/>
      <x:c r="B1799" s="3" t="str">
        <x:v>85194L</x:v>
      </x:c>
      <x:c r="C1799" s="3" t="str">
        <x:v>HANGING SPRING FLOWER EGG LARGE</x:v>
      </x:c>
      <x:c r="D1799" s="13" t="n">
        <x:v>823.74</x:v>
      </x:c>
      <x:c r="E1799" s="13" t="n">
        <x:v>23.8</x:v>
      </x:c>
      <x:c r="F1799" s="13" t="n">
        <x:f>D1799-E1799</x:f>
        <x:v>799.94</x:v>
      </x:c>
      <x:c r="G1799" s="3" t="n">
        <x:v>948</x:v>
      </x:c>
      <x:c r="H1799" s="3" t="n">
        <x:v>28</x:v>
      </x:c>
      <x:c r="I1799" s="3" t="n">
        <x:v>73</x:v>
      </x:c>
      <x:c r="J1799" s="15" t="n">
        <x:f>IF(D1799=0,"n.a.",E1799/D1799)</x:f>
        <x:v>0.028892611746424844</x:v>
      </x:c>
      <x:c r="K1799" s="15" t="n">
        <x:f>F1799/'Datos'!$F$7</x:f>
        <x:v>0.00008168730527552844</x:v>
      </x:c>
      <x:c r="L1799" s="3"/>
    </x:row>
    <x:row r="1800" ht="22" customHeight="1">
      <x:c r="A1800" s="3"/>
      <x:c r="B1800" s="3" t="str">
        <x:v>85169A</x:v>
      </x:c>
      <x:c r="C1800" s="3" t="str">
        <x:v>IVORY LOVE BIRD CANDLE</x:v>
      </x:c>
      <x:c r="D1800" s="13" t="n">
        <x:v>813.02</x:v>
      </x:c>
      <x:c r="E1800" s="13" t="n">
        <x:v>15</x:v>
      </x:c>
      <x:c r="F1800" s="13" t="n">
        <x:f>D1800-E1800</x:f>
        <x:v>798.02</x:v>
      </x:c>
      <x:c r="G1800" s="3" t="n">
        <x:v>812</x:v>
      </x:c>
      <x:c r="H1800" s="3" t="n">
        <x:v>12</x:v>
      </x:c>
      <x:c r="I1800" s="3" t="n">
        <x:v>88</x:v>
      </x:c>
      <x:c r="J1800" s="15" t="n">
        <x:f>IF(D1800=0,"n.a.",E1800/D1800)</x:f>
        <x:v>0.018449730633932744</x:v>
      </x:c>
      <x:c r="K1800" s="15" t="n">
        <x:f>F1800/'Datos'!$F$7</x:f>
        <x:v>0.00008149124103804935</x:v>
      </x:c>
      <x:c r="L1800" s="3"/>
    </x:row>
    <x:row r="1801" ht="22" customHeight="1">
      <x:c r="A1801" s="3"/>
      <x:c r="B1801" s="3" t="str">
        <x:v>72818</x:v>
      </x:c>
      <x:c r="C1801" s="3" t="str">
        <x:v>CHRISTMAS DECOUPAGE CANDLE</x:v>
      </x:c>
      <x:c r="D1801" s="13" t="n">
        <x:v>821.98</x:v>
      </x:c>
      <x:c r="E1801" s="13" t="n">
        <x:v>25.92</x:v>
      </x:c>
      <x:c r="F1801" s="13" t="n">
        <x:f>D1801-E1801</x:f>
        <x:v>796.0600000000001</x:v>
      </x:c>
      <x:c r="G1801" s="3" t="n">
        <x:v>1845</x:v>
      </x:c>
      <x:c r="H1801" s="3" t="n">
        <x:v>36</x:v>
      </x:c>
      <x:c r="I1801" s="3" t="n">
        <x:v>76</x:v>
      </x:c>
      <x:c r="J1801" s="15" t="n">
        <x:f>IF(D1801=0,"n.a.",E1801/D1801)</x:f>
        <x:v>0.03153361395654396</x:v>
      </x:c>
      <x:c r="K1801" s="15" t="n">
        <x:f>F1801/'Datos'!$F$7</x:f>
        <x:v>0.00008129109212895613</x:v>
      </x:c>
      <x:c r="L1801" s="3"/>
    </x:row>
    <x:row r="1802" ht="22" customHeight="1">
      <x:c r="A1802" s="3"/>
      <x:c r="B1802" s="3" t="str">
        <x:v>22268</x:v>
      </x:c>
      <x:c r="C1802" s="3" t="str">
        <x:v>DECORATION SITTING BUNNY</x:v>
      </x:c>
      <x:c r="D1802" s="13" t="n">
        <x:v>804.04</x:v>
      </x:c>
      <x:c r="E1802" s="13" t="n">
        <x:v>8.26</x:v>
      </x:c>
      <x:c r="F1802" s="13" t="n">
        <x:f>D1802-E1802</x:f>
        <x:v>795.78</x:v>
      </x:c>
      <x:c r="G1802" s="3" t="n">
        <x:v>2011</x:v>
      </x:c>
      <x:c r="H1802" s="3" t="n">
        <x:v>40</x:v>
      </x:c>
      <x:c r="I1802" s="3" t="n">
        <x:v>158</x:v>
      </x:c>
      <x:c r="J1802" s="15" t="n">
        <x:f>IF(D1802=0,"n.a.",E1802/D1802)</x:f>
        <x:v>0.010273120740261679</x:v>
      </x:c>
      <x:c r="K1802" s="15" t="n">
        <x:f>F1802/'Datos'!$F$7</x:f>
        <x:v>0.00008126249942765709</x:v>
      </x:c>
      <x:c r="L1802" s="3"/>
    </x:row>
    <x:row r="1803" ht="22" customHeight="1">
      <x:c r="A1803" s="3"/>
      <x:c r="B1803" s="3" t="str">
        <x:v>22566</x:v>
      </x:c>
      <x:c r="C1803" s="3" t="str">
        <x:v>FELTCRAFT HAIRBAND PINK AND PURPLE</x:v>
      </x:c>
      <x:c r="D1803" s="13" t="n">
        <x:v>794.88</x:v>
      </x:c>
      <x:c r="E1803" s="13" t="n">
        <x:v>0</x:v>
      </x:c>
      <x:c r="F1803" s="13" t="n">
        <x:f>D1803-E1803</x:f>
        <x:v>794.88</x:v>
      </x:c>
      <x:c r="G1803" s="3" t="n">
        <x:v>879</x:v>
      </x:c>
      <x:c r="H1803" s="3" t="n">
        <x:v>0</x:v>
      </x:c>
      <x:c r="I1803" s="3" t="n">
        <x:v>150</x:v>
      </x:c>
      <x:c r="J1803" s="15" t="n">
        <x:f>IF(D1803=0,"n.a.",E1803/D1803)</x:f>
        <x:v>0</x:v>
      </x:c>
      <x:c r="K1803" s="15" t="n">
        <x:f>F1803/'Datos'!$F$7</x:f>
        <x:v>0.00008117059431633877</x:v>
      </x:c>
      <x:c r="L1803" s="3"/>
    </x:row>
    <x:row r="1804" ht="22" customHeight="1">
      <x:c r="A1804" s="3"/>
      <x:c r="B1804" s="3" t="str">
        <x:v>21162</x:v>
      </x:c>
      <x:c r="C1804" s="3" t="str">
        <x:v>TOXIC AREA DOOR HANGER</x:v>
      </x:c>
      <x:c r="D1804" s="13" t="n">
        <x:v>794.15</x:v>
      </x:c>
      <x:c r="E1804" s="13" t="n">
        <x:v>0</x:v>
      </x:c>
      <x:c r="F1804" s="13" t="n">
        <x:f>D1804-E1804</x:f>
        <x:v>794.15</x:v>
      </x:c>
      <x:c r="G1804" s="3" t="n">
        <x:v>1465</x:v>
      </x:c>
      <x:c r="H1804" s="3" t="n">
        <x:v>0</x:v>
      </x:c>
      <x:c r="I1804" s="3" t="n">
        <x:v>162</x:v>
      </x:c>
      <x:c r="J1804" s="15" t="n">
        <x:f>IF(D1804=0,"n.a.",E1804/D1804)</x:f>
        <x:v>0</x:v>
      </x:c>
      <x:c r="K1804" s="15" t="n">
        <x:f>F1804/'Datos'!$F$7</x:f>
        <x:v>0.00008109604905938058</x:v>
      </x:c>
      <x:c r="L1804" s="3"/>
    </x:row>
    <x:row r="1805" ht="22" customHeight="1">
      <x:c r="A1805" s="3"/>
      <x:c r="B1805" s="3" t="str">
        <x:v>22099</x:v>
      </x:c>
      <x:c r="C1805" s="3" t="str">
        <x:v>CARAVAN SQUARE TISSUE BOX</x:v>
      </x:c>
      <x:c r="D1805" s="13" t="n">
        <x:v>804.65</x:v>
      </x:c>
      <x:c r="E1805" s="13" t="n">
        <x:v>11.25</x:v>
      </x:c>
      <x:c r="F1805" s="13" t="n">
        <x:f>D1805-E1805</x:f>
        <x:v>793.4</x:v>
      </x:c>
      <x:c r="G1805" s="3" t="n">
        <x:v>1446</x:v>
      </x:c>
      <x:c r="H1805" s="3" t="n">
        <x:v>9</x:v>
      </x:c>
      <x:c r="I1805" s="3" t="n">
        <x:v>153</x:v>
      </x:c>
      <x:c r="J1805" s="15" t="n">
        <x:f>IF(D1805=0,"n.a.",E1805/D1805)</x:f>
        <x:v>0.013981234076927857</x:v>
      </x:c>
      <x:c r="K1805" s="15" t="n">
        <x:f>F1805/'Datos'!$F$7</x:f>
        <x:v>0.00008101946146661532</x:v>
      </x:c>
      <x:c r="L1805" s="3"/>
    </x:row>
    <x:row r="1806" ht="22" customHeight="1">
      <x:c r="A1806" s="3"/>
      <x:c r="B1806" s="3" t="str">
        <x:v>23521</x:v>
      </x:c>
      <x:c r="C1806" s="3" t="str">
        <x:v>WALL ART CAT AND BIRD</x:v>
      </x:c>
      <x:c r="D1806" s="13" t="n">
        <x:v>793.37</x:v>
      </x:c>
      <x:c r="E1806" s="13" t="n">
        <x:v>0</x:v>
      </x:c>
      <x:c r="F1806" s="13" t="n">
        <x:f>D1806-E1806</x:f>
        <x:v>793.37</x:v>
      </x:c>
      <x:c r="G1806" s="3" t="n">
        <x:v>413</x:v>
      </x:c>
      <x:c r="H1806" s="3" t="n">
        <x:v>0</x:v>
      </x:c>
      <x:c r="I1806" s="3" t="n">
        <x:v>44</x:v>
      </x:c>
      <x:c r="J1806" s="15" t="n">
        <x:f>IF(D1806=0,"n.a.",E1806/D1806)</x:f>
        <x:v>0</x:v>
      </x:c>
      <x:c r="K1806" s="15" t="n">
        <x:f>F1806/'Datos'!$F$7</x:f>
        <x:v>0.00008101639796290471</x:v>
      </x:c>
      <x:c r="L1806" s="3"/>
    </x:row>
    <x:row r="1807" ht="22" customHeight="1">
      <x:c r="A1807" s="3"/>
      <x:c r="B1807" s="3" t="str">
        <x:v>23519</x:v>
      </x:c>
      <x:c r="C1807" s="3" t="str">
        <x:v>EMBROIDERED RIBBON REEL CLAIRE</x:v>
      </x:c>
      <x:c r="D1807" s="13" t="n">
        <x:v>792.31</x:v>
      </x:c>
      <x:c r="E1807" s="13" t="n">
        <x:v>0</x:v>
      </x:c>
      <x:c r="F1807" s="13" t="n">
        <x:f>D1807-E1807</x:f>
        <x:v>792.31</x:v>
      </x:c>
      <x:c r="G1807" s="3" t="n">
        <x:v>224</x:v>
      </x:c>
      <x:c r="H1807" s="3" t="n">
        <x:v>0</x:v>
      </x:c>
      <x:c r="I1807" s="3" t="n">
        <x:v>24</x:v>
      </x:c>
      <x:c r="J1807" s="15" t="n">
        <x:f>IF(D1807=0,"n.a.",E1807/D1807)</x:f>
        <x:v>0</x:v>
      </x:c>
      <x:c r="K1807" s="15" t="n">
        <x:f>F1807/'Datos'!$F$7</x:f>
        <x:v>0.00008090815416512979</x:v>
      </x:c>
      <x:c r="L1807" s="3"/>
    </x:row>
    <x:row r="1808" ht="22" customHeight="1">
      <x:c r="A1808" s="3"/>
      <x:c r="B1808" s="3" t="str">
        <x:v>22705</x:v>
      </x:c>
      <x:c r="C1808" s="3" t="str">
        <x:v>WRAP GREEN PEARS</x:v>
      </x:c>
      <x:c r="D1808" s="13" t="n">
        <x:v>801.36</x:v>
      </x:c>
      <x:c r="E1808" s="13" t="n">
        <x:v>10.5</x:v>
      </x:c>
      <x:c r="F1808" s="13" t="n">
        <x:f>D1808-E1808</x:f>
        <x:v>790.86</x:v>
      </x:c>
      <x:c r="G1808" s="3" t="n">
        <x:v>1908</x:v>
      </x:c>
      <x:c r="H1808" s="3" t="n">
        <x:v>25</x:v>
      </x:c>
      <x:c r="I1808" s="3" t="n">
        <x:v>77</x:v>
      </x:c>
      <x:c r="J1808" s="15" t="n">
        <x:f>IF(D1808=0,"n.a.",E1808/D1808)</x:f>
        <x:v>0.01310272536687631</x:v>
      </x:c>
      <x:c r="K1808" s="15" t="n">
        <x:f>F1808/'Datos'!$F$7</x:f>
        <x:v>0.00008076008481911696</x:v>
      </x:c>
      <x:c r="L1808" s="3"/>
    </x:row>
    <x:row r="1809" ht="22" customHeight="1">
      <x:c r="A1809" s="3"/>
      <x:c r="B1809" s="3" t="str">
        <x:v>21789</x:v>
      </x:c>
      <x:c r="C1809" s="3" t="str">
        <x:v>KIDS RAIN MAC PINK</x:v>
      </x:c>
      <x:c r="D1809" s="13" t="n">
        <x:v>806.2</x:v>
      </x:c>
      <x:c r="E1809" s="13" t="n">
        <x:v>17</x:v>
      </x:c>
      <x:c r="F1809" s="13" t="n">
        <x:f>D1809-E1809</x:f>
        <x:v>789.2</x:v>
      </x:c>
      <x:c r="G1809" s="3" t="n">
        <x:v>928</x:v>
      </x:c>
      <x:c r="H1809" s="3" t="n">
        <x:v>20</x:v>
      </x:c>
      <x:c r="I1809" s="3" t="n">
        <x:v>92</x:v>
      </x:c>
      <x:c r="J1809" s="15" t="n">
        <x:f>IF(D1809=0,"n.a.",E1809/D1809)</x:f>
        <x:v>0.021086579012651947</x:v>
      </x:c>
      <x:c r="K1809" s="15" t="n">
        <x:f>F1809/'Datos'!$F$7</x:f>
        <x:v>0.00008059057094712984</x:v>
      </x:c>
      <x:c r="L1809" s="3"/>
    </x:row>
    <x:row r="1810" ht="22" customHeight="1">
      <x:c r="A1810" s="3"/>
      <x:c r="B1810" s="3" t="str">
        <x:v>85170D</x:v>
      </x:c>
      <x:c r="C1810" s="3" t="str">
        <x:v>SET/6 PINK BIRD T-LIGHT CANDLES</x:v>
      </x:c>
      <x:c r="D1810" s="13" t="n">
        <x:v>796.99</x:v>
      </x:c>
      <x:c r="E1810" s="13" t="n">
        <x:v>8</x:v>
      </x:c>
      <x:c r="F1810" s="13" t="n">
        <x:f>D1810-E1810</x:f>
        <x:v>788.99</x:v>
      </x:c>
      <x:c r="G1810" s="3" t="n">
        <x:v>451</x:v>
      </x:c>
      <x:c r="H1810" s="3" t="n">
        <x:v>5</x:v>
      </x:c>
      <x:c r="I1810" s="3" t="n">
        <x:v>100</x:v>
      </x:c>
      <x:c r="J1810" s="15" t="n">
        <x:f>IF(D1810=0,"n.a.",E1810/D1810)</x:f>
        <x:v>0.010037767098708891</x:v>
      </x:c>
      <x:c r="K1810" s="15" t="n">
        <x:f>F1810/'Datos'!$F$7</x:f>
        <x:v>0.00008056912642115556</x:v>
      </x:c>
      <x:c r="L1810" s="3"/>
    </x:row>
    <x:row r="1811" ht="22" customHeight="1">
      <x:c r="A1811" s="3"/>
      <x:c r="B1811" s="3" t="str">
        <x:v>21504</x:v>
      </x:c>
      <x:c r="C1811" s="3" t="str">
        <x:v>SKULLS GREETING CARD</x:v>
      </x:c>
      <x:c r="D1811" s="13" t="n">
        <x:v>788.97</x:v>
      </x:c>
      <x:c r="E1811" s="13" t="n">
        <x:v>0</x:v>
      </x:c>
      <x:c r="F1811" s="13" t="n">
        <x:f>D1811-E1811</x:f>
        <x:v>788.97</x:v>
      </x:c>
      <x:c r="G1811" s="3" t="n">
        <x:v>1915</x:v>
      </x:c>
      <x:c r="H1811" s="3" t="n">
        <x:v>0</x:v>
      </x:c>
      <x:c r="I1811" s="3" t="n">
        <x:v>115</x:v>
      </x:c>
      <x:c r="J1811" s="15" t="n">
        <x:f>IF(D1811=0,"n.a.",E1811/D1811)</x:f>
        <x:v>0</x:v>
      </x:c>
      <x:c r="K1811" s="15" t="n">
        <x:f>F1811/'Datos'!$F$7</x:f>
        <x:v>0.00008056708408534848</x:v>
      </x:c>
      <x:c r="L1811" s="3"/>
    </x:row>
    <x:row r="1812" ht="22" customHeight="1">
      <x:c r="A1812" s="3"/>
      <x:c r="B1812" s="3" t="str">
        <x:v>84535B</x:v>
      </x:c>
      <x:c r="C1812" s="3" t="str">
        <x:v>FAIRY CAKES NOTEBOOK A6 SIZE</x:v>
      </x:c>
      <x:c r="D1812" s="13" t="n">
        <x:v>850.2</x:v>
      </x:c>
      <x:c r="E1812" s="13" t="n">
        <x:v>61.75</x:v>
      </x:c>
      <x:c r="F1812" s="13" t="n">
        <x:f>D1812-E1812</x:f>
        <x:v>788.45</x:v>
      </x:c>
      <x:c r="G1812" s="3" t="n">
        <x:v>1332</x:v>
      </x:c>
      <x:c r="H1812" s="3" t="n">
        <x:v>95</x:v>
      </x:c>
      <x:c r="I1812" s="3" t="n">
        <x:v>155</x:v>
      </x:c>
      <x:c r="J1812" s="15" t="n">
        <x:f>IF(D1812=0,"n.a.",E1812/D1812)</x:f>
        <x:v>0.07262996941896024</x:v>
      </x:c>
      <x:c r="K1812" s="15" t="n">
        <x:f>F1812/'Datos'!$F$7</x:f>
        <x:v>0.00008051398335436458</x:v>
      </x:c>
      <x:c r="L1812" s="3"/>
    </x:row>
    <x:row r="1813" ht="22" customHeight="1">
      <x:c r="A1813" s="3"/>
      <x:c r="B1813" s="3" t="str">
        <x:v>85035A</x:v>
      </x:c>
      <x:c r="C1813" s="3" t="str">
        <x:v>GARDENIA 3 WICK MORRIS BOXED CANDLE</x:v>
      </x:c>
      <x:c r="D1813" s="13" t="n">
        <x:v>811.99</x:v>
      </x:c>
      <x:c r="E1813" s="13" t="n">
        <x:v>25.5</x:v>
      </x:c>
      <x:c r="F1813" s="13" t="n">
        <x:f>D1813-E1813</x:f>
        <x:v>786.49</x:v>
      </x:c>
      <x:c r="G1813" s="3" t="n">
        <x:v>281</x:v>
      </x:c>
      <x:c r="H1813" s="3" t="n">
        <x:v>6</x:v>
      </x:c>
      <x:c r="I1813" s="3" t="n">
        <x:v>83</x:v>
      </x:c>
      <x:c r="J1813" s="15" t="n">
        <x:f>IF(D1813=0,"n.a.",E1813/D1813)</x:f>
        <x:v>0.031404327639502946</x:v>
      </x:c>
      <x:c r="K1813" s="15" t="n">
        <x:f>F1813/'Datos'!$F$7</x:f>
        <x:v>0.00008031383444527135</x:v>
      </x:c>
      <x:c r="L1813" s="3"/>
    </x:row>
    <x:row r="1814" ht="22" customHeight="1">
      <x:c r="A1814" s="3"/>
      <x:c r="B1814" s="3" t="str">
        <x:v>21680</x:v>
      </x:c>
      <x:c r="C1814" s="3" t="str">
        <x:v>WOODLAND STICKERS</x:v>
      </x:c>
      <x:c r="D1814" s="13" t="n">
        <x:v>786.31</x:v>
      </x:c>
      <x:c r="E1814" s="13" t="n">
        <x:v>0</x:v>
      </x:c>
      <x:c r="F1814" s="13" t="n">
        <x:f>D1814-E1814</x:f>
        <x:v>786.31</x:v>
      </x:c>
      <x:c r="G1814" s="3" t="n">
        <x:v>868</x:v>
      </x:c>
      <x:c r="H1814" s="3" t="n">
        <x:v>0</x:v>
      </x:c>
      <x:c r="I1814" s="3" t="n">
        <x:v>103</x:v>
      </x:c>
      <x:c r="J1814" s="15" t="n">
        <x:f>IF(D1814=0,"n.a.",E1814/D1814)</x:f>
        <x:v>0</x:v>
      </x:c>
      <x:c r="K1814" s="15" t="n">
        <x:f>F1814/'Datos'!$F$7</x:f>
        <x:v>0.00008029545342300767</x:v>
      </x:c>
      <x:c r="L1814" s="3"/>
    </x:row>
    <x:row r="1815" ht="22" customHeight="1">
      <x:c r="A1815" s="3"/>
      <x:c r="B1815" s="3" t="str">
        <x:v>23568</x:v>
      </x:c>
      <x:c r="C1815" s="3" t="str">
        <x:v>EGG CUP HENRIETTA HEN CREAM</x:v>
      </x:c>
      <x:c r="D1815" s="13" t="n">
        <x:v>787.52</x:v>
      </x:c>
      <x:c r="E1815" s="13" t="n">
        <x:v>1.25</x:v>
      </x:c>
      <x:c r="F1815" s="13" t="n">
        <x:f>D1815-E1815</x:f>
        <x:v>786.27</x:v>
      </x:c>
      <x:c r="G1815" s="3" t="n">
        <x:v>630</x:v>
      </x:c>
      <x:c r="H1815" s="3" t="n">
        <x:v>1</x:v>
      </x:c>
      <x:c r="I1815" s="3" t="n">
        <x:v>48</x:v>
      </x:c>
      <x:c r="J1815" s="15" t="n">
        <x:f>IF(D1815=0,"n.a.",E1815/D1815)</x:f>
        <x:v>0.001587261275904104</x:v>
      </x:c>
      <x:c r="K1815" s="15" t="n">
        <x:f>F1815/'Datos'!$F$7</x:f>
        <x:v>0.00008029136875139352</x:v>
      </x:c>
      <x:c r="L1815" s="3"/>
    </x:row>
    <x:row r="1816" ht="22" customHeight="1">
      <x:c r="A1816" s="3"/>
      <x:c r="B1816" s="3" t="str">
        <x:v>79160</x:v>
      </x:c>
      <x:c r="C1816" s="3" t="str">
        <x:v>HEART SHAPE WIRELESS DOORBELL</x:v>
      </x:c>
      <x:c r="D1816" s="13" t="n">
        <x:v>802.13</x:v>
      </x:c>
      <x:c r="E1816" s="13" t="n">
        <x:v>16.8</x:v>
      </x:c>
      <x:c r="F1816" s="13" t="n">
        <x:f>D1816-E1816</x:f>
        <x:v>785.33</x:v>
      </x:c>
      <x:c r="G1816" s="3" t="n">
        <x:v>447</x:v>
      </x:c>
      <x:c r="H1816" s="3" t="n">
        <x:v>8</x:v>
      </x:c>
      <x:c r="I1816" s="3" t="n">
        <x:v>49</x:v>
      </x:c>
      <x:c r="J1816" s="15" t="n">
        <x:f>IF(D1816=0,"n.a.",E1816/D1816)</x:f>
        <x:v>0.020944235971725282</x:v>
      </x:c>
      <x:c r="K1816" s="15" t="n">
        <x:f>F1816/'Datos'!$F$7</x:f>
        <x:v>0.00008019537896846106</x:v>
      </x:c>
      <x:c r="L1816" s="3"/>
    </x:row>
    <x:row r="1817" ht="22" customHeight="1">
      <x:c r="A1817" s="3"/>
      <x:c r="B1817" s="3" t="str">
        <x:v>23115</x:v>
      </x:c>
      <x:c r="C1817" s="3" t="str">
        <x:v>RED APPLES CHOPPING BOARD</x:v>
      </x:c>
      <x:c r="D1817" s="13" t="n">
        <x:v>785.17</x:v>
      </x:c>
      <x:c r="E1817" s="13" t="n">
        <x:v>0</x:v>
      </x:c>
      <x:c r="F1817" s="13" t="n">
        <x:f>D1817-E1817</x:f>
        <x:v>785.17</x:v>
      </x:c>
      <x:c r="G1817" s="3" t="n">
        <x:v>155</x:v>
      </x:c>
      <x:c r="H1817" s="3" t="n">
        <x:v>0</x:v>
      </x:c>
      <x:c r="I1817" s="3" t="n">
        <x:v>45</x:v>
      </x:c>
      <x:c r="J1817" s="15" t="n">
        <x:f>IF(D1817=0,"n.a.",E1817/D1817)</x:f>
        <x:v>0</x:v>
      </x:c>
      <x:c r="K1817" s="15" t="n">
        <x:f>F1817/'Datos'!$F$7</x:f>
        <x:v>0.00008017904028200448</x:v>
      </x:c>
      <x:c r="L1817" s="3"/>
    </x:row>
    <x:row r="1818" ht="22" customHeight="1">
      <x:c r="A1818" s="3"/>
      <x:c r="B1818" s="3" t="str">
        <x:v>21642</x:v>
      </x:c>
      <x:c r="C1818" s="3" t="str">
        <x:v>ASSORTED TUTTI FRUTTI PEN</x:v>
      </x:c>
      <x:c r="D1818" s="13" t="n">
        <x:v>831.02</x:v>
      </x:c>
      <x:c r="E1818" s="13" t="n">
        <x:v>46.54</x:v>
      </x:c>
      <x:c r="F1818" s="13" t="n">
        <x:f>D1818-E1818</x:f>
        <x:v>784.48</x:v>
      </x:c>
      <x:c r="G1818" s="3" t="n">
        <x:v>2472</x:v>
      </x:c>
      <x:c r="H1818" s="3" t="n">
        <x:v>118</x:v>
      </x:c>
      <x:c r="I1818" s="3" t="n">
        <x:v>101</x:v>
      </x:c>
      <x:c r="J1818" s="15" t="n">
        <x:f>IF(D1818=0,"n.a.",E1818/D1818)</x:f>
        <x:v>0.05600346562056268</x:v>
      </x:c>
      <x:c r="K1818" s="15" t="n">
        <x:f>F1818/'Datos'!$F$7</x:f>
        <x:v>0.00008010857969666044</x:v>
      </x:c>
      <x:c r="L1818" s="3"/>
    </x:row>
    <x:row r="1819" ht="22" customHeight="1">
      <x:c r="A1819" s="3"/>
      <x:c r="B1819" s="3" t="str">
        <x:v>22518</x:v>
      </x:c>
      <x:c r="C1819" s="3" t="str">
        <x:v>CHILDS GARDEN BRUSH BLUE</x:v>
      </x:c>
      <x:c r="D1819" s="13" t="n">
        <x:v>783.54</x:v>
      </x:c>
      <x:c r="E1819" s="13" t="n">
        <x:v>0</x:v>
      </x:c>
      <x:c r="F1819" s="13" t="n">
        <x:f>D1819-E1819</x:f>
        <x:v>783.54</x:v>
      </x:c>
      <x:c r="G1819" s="3" t="n">
        <x:v>363</x:v>
      </x:c>
      <x:c r="H1819" s="3" t="n">
        <x:v>0</x:v>
      </x:c>
      <x:c r="I1819" s="3" t="n">
        <x:v>81</x:v>
      </x:c>
      <x:c r="J1819" s="15" t="n">
        <x:f>IF(D1819=0,"n.a.",E1819/D1819)</x:f>
        <x:v>0</x:v>
      </x:c>
      <x:c r="K1819" s="15" t="n">
        <x:f>F1819/'Datos'!$F$7</x:f>
        <x:v>0.00008001258991372797</x:v>
      </x:c>
      <x:c r="L1819" s="3"/>
    </x:row>
    <x:row r="1820" ht="22" customHeight="1">
      <x:c r="A1820" s="3"/>
      <x:c r="B1820" s="3" t="str">
        <x:v>22217</x:v>
      </x:c>
      <x:c r="C1820" s="3" t="str">
        <x:v>T-LIGHT HOLDER HANGING LACE</x:v>
      </x:c>
      <x:c r="D1820" s="13" t="n">
        <x:v>832.51</x:v>
      </x:c>
      <x:c r="E1820" s="13" t="n">
        <x:v>50</x:v>
      </x:c>
      <x:c r="F1820" s="13" t="n">
        <x:f>D1820-E1820</x:f>
        <x:v>782.51</x:v>
      </x:c>
      <x:c r="G1820" s="3" t="n">
        <x:v>840</x:v>
      </x:c>
      <x:c r="H1820" s="3" t="n">
        <x:v>40</x:v>
      </x:c>
      <x:c r="I1820" s="3" t="n">
        <x:v>82</x:v>
      </x:c>
      <x:c r="J1820" s="15" t="n">
        <x:f>IF(D1820=0,"n.a.",E1820/D1820)</x:f>
        <x:v>0.06005933862656305</x:v>
      </x:c>
      <x:c r="K1820" s="15" t="n">
        <x:f>F1820/'Datos'!$F$7</x:f>
        <x:v>0.00007990740961966366</x:v>
      </x:c>
      <x:c r="L1820" s="3"/>
    </x:row>
    <x:row r="1821" ht="22" customHeight="1">
      <x:c r="A1821" s="3"/>
      <x:c r="B1821" s="3" t="str">
        <x:v>85173</x:v>
      </x:c>
      <x:c r="C1821" s="3" t="str">
        <x:v>SET/6 FROG PRINCE T-LIGHT CANDLES</x:v>
      </x:c>
      <x:c r="D1821" s="13" t="n">
        <x:v>795.02</x:v>
      </x:c>
      <x:c r="E1821" s="13" t="n">
        <x:v>12.75</x:v>
      </x:c>
      <x:c r="F1821" s="13" t="n">
        <x:f>D1821-E1821</x:f>
        <x:v>782.27</x:v>
      </x:c>
      <x:c r="G1821" s="3" t="n">
        <x:v>479</x:v>
      </x:c>
      <x:c r="H1821" s="3" t="n">
        <x:v>5</x:v>
      </x:c>
      <x:c r="I1821" s="3" t="n">
        <x:v>86</x:v>
      </x:c>
      <x:c r="J1821" s="15" t="n">
        <x:f>IF(D1821=0,"n.a.",E1821/D1821)</x:f>
        <x:v>0.016037332394153607</x:v>
      </x:c>
      <x:c r="K1821" s="15" t="n">
        <x:f>F1821/'Datos'!$F$7</x:f>
        <x:v>0.00007988290158997879</x:v>
      </x:c>
      <x:c r="L1821" s="3"/>
    </x:row>
    <x:row r="1822" ht="22" customHeight="1">
      <x:c r="A1822" s="3"/>
      <x:c r="B1822" s="3" t="str">
        <x:v>21272</x:v>
      </x:c>
      <x:c r="C1822" s="3" t="str">
        <x:v>SALLE DE BAIN HOOK</x:v>
      </x:c>
      <x:c r="D1822" s="13" t="n">
        <x:v>783.82</x:v>
      </x:c>
      <x:c r="E1822" s="13" t="n">
        <x:v>2.5</x:v>
      </x:c>
      <x:c r="F1822" s="13" t="n">
        <x:f>D1822-E1822</x:f>
        <x:v>781.32</x:v>
      </x:c>
      <x:c r="G1822" s="3" t="n">
        <x:v>553</x:v>
      </x:c>
      <x:c r="H1822" s="3" t="n">
        <x:v>2</x:v>
      </x:c>
      <x:c r="I1822" s="3" t="n">
        <x:v>103</x:v>
      </x:c>
      <x:c r="J1822" s="15" t="n">
        <x:f>IF(D1822=0,"n.a.",E1822/D1822)</x:f>
        <x:v>0.003189507795157051</x:v>
      </x:c>
      <x:c r="K1822" s="15" t="n">
        <x:f>F1822/'Datos'!$F$7</x:f>
        <x:v>0.00007978589063914278</x:v>
      </x:c>
      <x:c r="L1822" s="3"/>
    </x:row>
    <x:row r="1823" ht="22" customHeight="1">
      <x:c r="A1823" s="3"/>
      <x:c r="B1823" s="3" t="str">
        <x:v>23106</x:v>
      </x:c>
      <x:c r="C1823" s="3" t="str">
        <x:v>ZINC HEARTS PLANT POT HOLDER</x:v>
      </x:c>
      <x:c r="D1823" s="13" t="n">
        <x:v>815.59</x:v>
      </x:c>
      <x:c r="E1823" s="13" t="n">
        <x:v>34.68</x:v>
      </x:c>
      <x:c r="F1823" s="13" t="n">
        <x:f>D1823-E1823</x:f>
        <x:v>780.9100000000001</x:v>
      </x:c>
      <x:c r="G1823" s="3" t="n">
        <x:v>291</x:v>
      </x:c>
      <x:c r="H1823" s="3" t="n">
        <x:v>12</x:v>
      </x:c>
      <x:c r="I1823" s="3" t="n">
        <x:v>53</x:v>
      </x:c>
      <x:c r="J1823" s="15" t="n">
        <x:f>IF(D1823=0,"n.a.",E1823/D1823)</x:f>
        <x:v>0.04252136490148236</x:v>
      </x:c>
      <x:c r="K1823" s="15" t="n">
        <x:f>F1823/'Datos'!$F$7</x:f>
        <x:v>0.00007974402275509777</x:v>
      </x:c>
      <x:c r="L1823" s="3"/>
    </x:row>
    <x:row r="1824" ht="22" customHeight="1">
      <x:c r="A1824" s="3"/>
      <x:c r="B1824" s="3" t="str">
        <x:v>22451</x:v>
      </x:c>
      <x:c r="C1824" s="3" t="str">
        <x:v>SILK PURSE BABUSHKA RED</x:v>
      </x:c>
      <x:c r="D1824" s="13" t="n">
        <x:v>779.15</x:v>
      </x:c>
      <x:c r="E1824" s="13" t="n">
        <x:v>0</x:v>
      </x:c>
      <x:c r="F1824" s="13" t="n">
        <x:f>D1824-E1824</x:f>
        <x:v>779.15</x:v>
      </x:c>
      <x:c r="G1824" s="3" t="n">
        <x:v>223</x:v>
      </x:c>
      <x:c r="H1824" s="3" t="n">
        <x:v>0</x:v>
      </x:c>
      <x:c r="I1824" s="3" t="n">
        <x:v>51</x:v>
      </x:c>
      <x:c r="J1824" s="15" t="n">
        <x:f>IF(D1824=0,"n.a.",E1824/D1824)</x:f>
        <x:v>0</x:v>
      </x:c>
      <x:c r="K1824" s="15" t="n">
        <x:f>F1824/'Datos'!$F$7</x:f>
        <x:v>0.00007956429720407527</x:v>
      </x:c>
      <x:c r="L1824" s="3"/>
    </x:row>
    <x:row r="1825" ht="22" customHeight="1">
      <x:c r="A1825" s="3"/>
      <x:c r="B1825" s="3" t="str">
        <x:v>85032A</x:v>
      </x:c>
      <x:c r="C1825" s="3" t="str">
        <x:v>ROMANTIC IMAGES GIFT WRAP SET</x:v>
      </x:c>
      <x:c r="D1825" s="13" t="n">
        <x:v>777.14</x:v>
      </x:c>
      <x:c r="E1825" s="13" t="n">
        <x:v>0</x:v>
      </x:c>
      <x:c r="F1825" s="13" t="n">
        <x:f>D1825-E1825</x:f>
        <x:v>777.14</x:v>
      </x:c>
      <x:c r="G1825" s="3" t="n">
        <x:v>790</x:v>
      </x:c>
      <x:c r="H1825" s="3" t="n">
        <x:v>0</x:v>
      </x:c>
      <x:c r="I1825" s="3" t="n">
        <x:v>135</x:v>
      </x:c>
      <x:c r="J1825" s="15" t="n">
        <x:f>IF(D1825=0,"n.a.",E1825/D1825)</x:f>
        <x:v>0</x:v>
      </x:c>
      <x:c r="K1825" s="15" t="n">
        <x:f>F1825/'Datos'!$F$7</x:f>
        <x:v>0.00007935904245546437</x:v>
      </x:c>
      <x:c r="L1825" s="3"/>
    </x:row>
    <x:row r="1826" ht="22" customHeight="1">
      <x:c r="A1826" s="3"/>
      <x:c r="B1826" s="3" t="str">
        <x:v>22228</x:v>
      </x:c>
      <x:c r="C1826" s="3" t="str">
        <x:v>BUNNY WOODEN PAINTED WITH BIRD</x:v>
      </x:c>
      <x:c r="D1826" s="13" t="n">
        <x:v>778.63</x:v>
      </x:c>
      <x:c r="E1826" s="13" t="n">
        <x:v>1.7</x:v>
      </x:c>
      <x:c r="F1826" s="13" t="n">
        <x:f>D1826-E1826</x:f>
        <x:v>776.93</x:v>
      </x:c>
      <x:c r="G1826" s="3" t="n">
        <x:v>1001</x:v>
      </x:c>
      <x:c r="H1826" s="3" t="n">
        <x:v>2</x:v>
      </x:c>
      <x:c r="I1826" s="3" t="n">
        <x:v>147</x:v>
      </x:c>
      <x:c r="J1826" s="15" t="n">
        <x:f>IF(D1826=0,"n.a.",E1826/D1826)</x:f>
        <x:v>0.0021833219886210394</x:v>
      </x:c>
      <x:c r="K1826" s="15" t="n">
        <x:f>F1826/'Datos'!$F$7</x:f>
        <x:v>0.00007933759792949009</x:v>
      </x:c>
      <x:c r="L1826" s="3"/>
    </x:row>
    <x:row r="1827" ht="22" customHeight="1">
      <x:c r="A1827" s="3"/>
      <x:c r="B1827" s="3" t="str">
        <x:v>22422</x:v>
      </x:c>
      <x:c r="C1827" s="3" t="str">
        <x:v>TOOTHPASTE TUBE PEN</x:v>
      </x:c>
      <x:c r="D1827" s="13" t="n">
        <x:v>776.75</x:v>
      </x:c>
      <x:c r="E1827" s="13" t="n">
        <x:v>0</x:v>
      </x:c>
      <x:c r="F1827" s="13" t="n">
        <x:f>D1827-E1827</x:f>
        <x:v>776.75</x:v>
      </x:c>
      <x:c r="G1827" s="3" t="n">
        <x:v>1274</x:v>
      </x:c>
      <x:c r="H1827" s="3" t="n">
        <x:v>0</x:v>
      </x:c>
      <x:c r="I1827" s="3" t="n">
        <x:v>205</x:v>
      </x:c>
      <x:c r="J1827" s="15" t="n">
        <x:f>IF(D1827=0,"n.a.",E1827/D1827)</x:f>
        <x:v>0</x:v>
      </x:c>
      <x:c r="K1827" s="15" t="n">
        <x:f>F1827/'Datos'!$F$7</x:f>
        <x:v>0.00007931921690722642</x:v>
      </x:c>
      <x:c r="L1827" s="3"/>
    </x:row>
    <x:row r="1828" ht="22" customHeight="1">
      <x:c r="A1828" s="3"/>
      <x:c r="B1828" s="3" t="str">
        <x:v>23409</x:v>
      </x:c>
      <x:c r="C1828" s="3" t="str">
        <x:v>PHOTO FRAME LINEN AND LACE LARGE</x:v>
      </x:c>
      <x:c r="D1828" s="13" t="n">
        <x:v>801.68</x:v>
      </x:c>
      <x:c r="E1828" s="13" t="n">
        <x:v>26.25</x:v>
      </x:c>
      <x:c r="F1828" s="13" t="n">
        <x:f>D1828-E1828</x:f>
        <x:v>775.43</x:v>
      </x:c>
      <x:c r="G1828" s="3" t="n">
        <x:v>215</x:v>
      </x:c>
      <x:c r="H1828" s="3" t="n">
        <x:v>7</x:v>
      </x:c>
      <x:c r="I1828" s="3" t="n">
        <x:v>43</x:v>
      </x:c>
      <x:c r="J1828" s="15" t="n">
        <x:f>IF(D1828=0,"n.a.",E1828/D1828)</x:f>
        <x:v>0.032743738149885245</x:v>
      </x:c>
      <x:c r="K1828" s="15" t="n">
        <x:f>F1828/'Datos'!$F$7</x:f>
        <x:v>0.00007918442274395955</x:v>
      </x:c>
      <x:c r="L1828" s="3"/>
    </x:row>
    <x:row r="1829" ht="22" customHeight="1">
      <x:c r="A1829" s="3"/>
      <x:c r="B1829" s="3" t="str">
        <x:v>22340</x:v>
      </x:c>
      <x:c r="C1829" s="3" t="str">
        <x:v>NOEL GARLAND PAINTED ZINC</x:v>
      </x:c>
      <x:c r="D1829" s="13" t="n">
        <x:v>792.28</x:v>
      </x:c>
      <x:c r="E1829" s="13" t="n">
        <x:v>17.4</x:v>
      </x:c>
      <x:c r="F1829" s="13" t="n">
        <x:f>D1829-E1829</x:f>
        <x:v>774.88</x:v>
      </x:c>
      <x:c r="G1829" s="3" t="n">
        <x:v>1411</x:v>
      </x:c>
      <x:c r="H1829" s="3" t="n">
        <x:v>12</x:v>
      </x:c>
      <x:c r="I1829" s="3" t="n">
        <x:v>128</x:v>
      </x:c>
      <x:c r="J1829" s="15" t="n">
        <x:f>IF(D1829=0,"n.a.",E1829/D1829)</x:f>
        <x:v>0.021961932650073207</x:v>
      </x:c>
      <x:c r="K1829" s="15" t="n">
        <x:f>F1829/'Datos'!$F$7</x:f>
        <x:v>0.00007912825850926504</x:v>
      </x:c>
      <x:c r="L1829" s="3"/>
    </x:row>
    <x:row r="1830" ht="22" customHeight="1">
      <x:c r="A1830" s="3"/>
      <x:c r="B1830" s="3" t="str">
        <x:v>85036A</x:v>
      </x:c>
      <x:c r="C1830" s="3" t="str">
        <x:v>GARDENIA 1 WICK MORRIS BOXED CANDLE</x:v>
      </x:c>
      <x:c r="D1830" s="13" t="n">
        <x:v>775.93</x:v>
      </x:c>
      <x:c r="E1830" s="13" t="n">
        <x:v>1.25</x:v>
      </x:c>
      <x:c r="F1830" s="13" t="n">
        <x:f>D1830-E1830</x:f>
        <x:v>774.68</x:v>
      </x:c>
      <x:c r="G1830" s="3" t="n">
        <x:v>225</x:v>
      </x:c>
      <x:c r="H1830" s="3" t="n">
        <x:v>1</x:v>
      </x:c>
      <x:c r="I1830" s="3" t="n">
        <x:v>61</x:v>
      </x:c>
      <x:c r="J1830" s="15" t="n">
        <x:f>IF(D1830=0,"n.a.",E1830/D1830)</x:f>
        <x:v>0.0016109700617323729</x:v>
      </x:c>
      <x:c r="K1830" s="15" t="n">
        <x:f>F1830/'Datos'!$F$7</x:f>
        <x:v>0.0000791078351511943</x:v>
      </x:c>
      <x:c r="L1830" s="3"/>
    </x:row>
    <x:row r="1831" ht="22" customHeight="1">
      <x:c r="A1831" s="3"/>
      <x:c r="B1831" s="3" t="str">
        <x:v>84519B</x:v>
      </x:c>
      <x:c r="C1831" s="3" t="str">
        <x:v>CARROT CHARLIE+LOLA COASTER SET</x:v>
      </x:c>
      <x:c r="D1831" s="13" t="n">
        <x:v>774.55</x:v>
      </x:c>
      <x:c r="E1831" s="13" t="n">
        <x:v>0</x:v>
      </x:c>
      <x:c r="F1831" s="13" t="n">
        <x:f>D1831-E1831</x:f>
        <x:v>774.55</x:v>
      </x:c>
      <x:c r="G1831" s="3" t="n">
        <x:v>472</x:v>
      </x:c>
      <x:c r="H1831" s="3" t="n">
        <x:v>0</x:v>
      </x:c>
      <x:c r="I1831" s="3" t="n">
        <x:v>126</x:v>
      </x:c>
      <x:c r="J1831" s="15" t="n">
        <x:f>IF(D1831=0,"n.a.",E1831/D1831)</x:f>
        <x:v>0</x:v>
      </x:c>
      <x:c r="K1831" s="15" t="n">
        <x:f>F1831/'Datos'!$F$7</x:f>
        <x:v>0.00007909455996844832</x:v>
      </x:c>
      <x:c r="L1831" s="3"/>
    </x:row>
    <x:row r="1832" ht="22" customHeight="1">
      <x:c r="A1832" s="3"/>
      <x:c r="B1832" s="3" t="str">
        <x:v>21158</x:v>
      </x:c>
      <x:c r="C1832" s="3" t="str">
        <x:v>MOODY GIRL DOOR HANGER</x:v>
      </x:c>
      <x:c r="D1832" s="13" t="n">
        <x:v>783.82</x:v>
      </x:c>
      <x:c r="E1832" s="13" t="n">
        <x:v>9.36</x:v>
      </x:c>
      <x:c r="F1832" s="13" t="n">
        <x:f>D1832-E1832</x:f>
        <x:v>774.46</x:v>
      </x:c>
      <x:c r="G1832" s="3" t="n">
        <x:v>1474</x:v>
      </x:c>
      <x:c r="H1832" s="3" t="n">
        <x:v>24</x:v>
      </x:c>
      <x:c r="I1832" s="3" t="n">
        <x:v>170</x:v>
      </x:c>
      <x:c r="J1832" s="15" t="n">
        <x:f>IF(D1832=0,"n.a.",E1832/D1832)</x:f>
        <x:v>0.011941517185068</x:v>
      </x:c>
      <x:c r="K1832" s="15" t="n">
        <x:f>F1832/'Datos'!$F$7</x:f>
        <x:v>0.00007908536945731649</x:v>
      </x:c>
      <x:c r="L1832" s="3"/>
    </x:row>
    <x:row r="1833" ht="22" customHeight="1">
      <x:c r="A1833" s="3"/>
      <x:c r="B1833" s="3" t="str">
        <x:v>85231B</x:v>
      </x:c>
      <x:c r="C1833" s="3" t="str">
        <x:v>CINAMMON SET OF 9 T-LIGHTS</x:v>
      </x:c>
      <x:c r="D1833" s="13" t="n">
        <x:v>782.5</x:v>
      </x:c>
      <x:c r="E1833" s="13" t="n">
        <x:v>9.35</x:v>
      </x:c>
      <x:c r="F1833" s="13" t="n">
        <x:f>D1833-E1833</x:f>
        <x:v>773.15</x:v>
      </x:c>
      <x:c r="G1833" s="3" t="n">
        <x:v>871</x:v>
      </x:c>
      <x:c r="H1833" s="3" t="n">
        <x:v>11</x:v>
      </x:c>
      <x:c r="I1833" s="3" t="n">
        <x:v>154</x:v>
      </x:c>
      <x:c r="J1833" s="15" t="n">
        <x:f>IF(D1833=0,"n.a.",E1833/D1833)</x:f>
        <x:v>0.01194888178913738</x:v>
      </x:c>
      <x:c r="K1833" s="15" t="n">
        <x:f>F1833/'Datos'!$F$7</x:f>
        <x:v>0.00007895159646195315</x:v>
      </x:c>
      <x:c r="L1833" s="3"/>
    </x:row>
    <x:row r="1834" ht="22" customHeight="1">
      <x:c r="A1834" s="3"/>
      <x:c r="B1834" s="3" t="str">
        <x:v>85163B</x:v>
      </x:c>
      <x:c r="C1834" s="3" t="str">
        <x:v>BLACK BAROQUE WALL CLOCK</x:v>
      </x:c>
      <x:c r="D1834" s="13" t="n">
        <x:v>783.68</x:v>
      </x:c>
      <x:c r="E1834" s="13" t="n">
        <x:v>12.75</x:v>
      </x:c>
      <x:c r="F1834" s="13" t="n">
        <x:f>D1834-E1834</x:f>
        <x:v>770.93</x:v>
      </x:c>
      <x:c r="G1834" s="3" t="n">
        <x:v>84</x:v>
      </x:c>
      <x:c r="H1834" s="3" t="n">
        <x:v>1</x:v>
      </x:c>
      <x:c r="I1834" s="3" t="n">
        <x:v>36</x:v>
      </x:c>
      <x:c r="J1834" s="15" t="n">
        <x:f>IF(D1834=0,"n.a.",E1834/D1834)</x:f>
        <x:v>0.016269395671702738</x:v>
      </x:c>
      <x:c r="K1834" s="15" t="n">
        <x:f>F1834/'Datos'!$F$7</x:f>
        <x:v>0.00007872489718736796</x:v>
      </x:c>
      <x:c r="L1834" s="3"/>
    </x:row>
    <x:row r="1835" ht="22" customHeight="1">
      <x:c r="A1835" s="3"/>
      <x:c r="B1835" s="3" t="str">
        <x:v>21618</x:v>
      </x:c>
      <x:c r="C1835" s="3" t="str">
        <x:v>4 WILDFLOWER BOTANICAL CANDLES</x:v>
      </x:c>
      <x:c r="D1835" s="13" t="n">
        <x:v>770.87</x:v>
      </x:c>
      <x:c r="E1835" s="13" t="n">
        <x:v>0</x:v>
      </x:c>
      <x:c r="F1835" s="13" t="n">
        <x:f>D1835-E1835</x:f>
        <x:v>770.87</x:v>
      </x:c>
      <x:c r="G1835" s="3" t="n">
        <x:v>406</x:v>
      </x:c>
      <x:c r="H1835" s="3" t="n">
        <x:v>0</x:v>
      </x:c>
      <x:c r="I1835" s="3" t="n">
        <x:v>91</x:v>
      </x:c>
      <x:c r="J1835" s="15" t="n">
        <x:f>IF(D1835=0,"n.a.",E1835/D1835)</x:f>
        <x:v>0</x:v>
      </x:c>
      <x:c r="K1835" s="15" t="n">
        <x:f>F1835/'Datos'!$F$7</x:f>
        <x:v>0.00007871877017994676</x:v>
      </x:c>
      <x:c r="L1835" s="3"/>
    </x:row>
    <x:row r="1836" ht="22" customHeight="1">
      <x:c r="A1836" s="3"/>
      <x:c r="B1836" s="3" t="str">
        <x:v>22133</x:v>
      </x:c>
      <x:c r="C1836" s="3" t="str">
        <x:v>PINK LOVE HEART SHAPE CUP</x:v>
      </x:c>
      <x:c r="D1836" s="13" t="n">
        <x:v>770.73</x:v>
      </x:c>
      <x:c r="E1836" s="13" t="n">
        <x:v>0</x:v>
      </x:c>
      <x:c r="F1836" s="13" t="n">
        <x:f>D1836-E1836</x:f>
        <x:v>770.73</x:v>
      </x:c>
      <x:c r="G1836" s="3" t="n">
        <x:v>816</x:v>
      </x:c>
      <x:c r="H1836" s="3" t="n">
        <x:v>0</x:v>
      </x:c>
      <x:c r="I1836" s="3" t="n">
        <x:v>133</x:v>
      </x:c>
      <x:c r="J1836" s="15" t="n">
        <x:f>IF(D1836=0,"n.a.",E1836/D1836)</x:f>
        <x:v>0</x:v>
      </x:c>
      <x:c r="K1836" s="15" t="n">
        <x:f>F1836/'Datos'!$F$7</x:f>
        <x:v>0.00007870447382929723</x:v>
      </x:c>
      <x:c r="L1836" s="3"/>
    </x:row>
    <x:row r="1837" ht="22" customHeight="1">
      <x:c r="A1837" s="3"/>
      <x:c r="B1837" s="3" t="str">
        <x:v>21983</x:v>
      </x:c>
      <x:c r="C1837" s="3" t="str">
        <x:v>PACK OF 12 BLUE PAISLEY TISSUES</x:v>
      </x:c>
      <x:c r="D1837" s="13" t="n">
        <x:v>777.67</x:v>
      </x:c>
      <x:c r="E1837" s="13" t="n">
        <x:v>6.96</x:v>
      </x:c>
      <x:c r="F1837" s="13" t="n">
        <x:f>D1837-E1837</x:f>
        <x:v>770.7099999999999</x:v>
      </x:c>
      <x:c r="G1837" s="3" t="n">
        <x:v>2301</x:v>
      </x:c>
      <x:c r="H1837" s="3" t="n">
        <x:v>24</x:v>
      </x:c>
      <x:c r="I1837" s="3" t="n">
        <x:v>155</x:v>
      </x:c>
      <x:c r="J1837" s="15" t="n">
        <x:f>IF(D1837=0,"n.a.",E1837/D1837)</x:f>
        <x:v>0.008949811616752608</x:v>
      </x:c>
      <x:c r="K1837" s="15" t="n">
        <x:f>F1837/'Datos'!$F$7</x:f>
        <x:v>0.00007870243149349016</x:v>
      </x:c>
      <x:c r="L1837" s="3"/>
    </x:row>
    <x:row r="1838" ht="22" customHeight="1">
      <x:c r="A1838" s="3"/>
      <x:c r="B1838" s="3" t="str">
        <x:v>85125</x:v>
      </x:c>
      <x:c r="C1838" s="3" t="str">
        <x:v>SMALL ROUND CUT GLASS CANDLESTICK</x:v>
      </x:c>
      <x:c r="D1838" s="13" t="n">
        <x:v>770.29</x:v>
      </x:c>
      <x:c r="E1838" s="13" t="n">
        <x:v>0</x:v>
      </x:c>
      <x:c r="F1838" s="13" t="n">
        <x:f>D1838-E1838</x:f>
        <x:v>770.29</x:v>
      </x:c>
      <x:c r="G1838" s="3" t="n">
        <x:v>163</x:v>
      </x:c>
      <x:c r="H1838" s="3" t="n">
        <x:v>0</x:v>
      </x:c>
      <x:c r="I1838" s="3" t="n">
        <x:v>33</x:v>
      </x:c>
      <x:c r="J1838" s="15" t="n">
        <x:f>IF(D1838=0,"n.a.",E1838/D1838)</x:f>
        <x:v>0</x:v>
      </x:c>
      <x:c r="K1838" s="15" t="n">
        <x:f>F1838/'Datos'!$F$7</x:f>
        <x:v>0.0000786595424415416</x:v>
      </x:c>
      <x:c r="L1838" s="3"/>
    </x:row>
    <x:row r="1839" ht="22" customHeight="1">
      <x:c r="A1839" s="3"/>
      <x:c r="B1839" s="3" t="str">
        <x:v>21084</x:v>
      </x:c>
      <x:c r="C1839" s="3" t="str">
        <x:v>SET/6 COLLAGE PAPER CUPS</x:v>
      </x:c>
      <x:c r="D1839" s="13" t="n">
        <x:v>773.14</x:v>
      </x:c>
      <x:c r="E1839" s="13" t="n">
        <x:v>4.56</x:v>
      </x:c>
      <x:c r="F1839" s="13" t="n">
        <x:f>D1839-E1839</x:f>
        <x:v>768.58</x:v>
      </x:c>
      <x:c r="G1839" s="3" t="n">
        <x:v>2610</x:v>
      </x:c>
      <x:c r="H1839" s="3" t="n">
        <x:v>24</x:v>
      </x:c>
      <x:c r="I1839" s="3" t="n">
        <x:v>181</x:v>
      </x:c>
      <x:c r="J1839" s="15" t="n">
        <x:f>IF(D1839=0,"n.a.",E1839/D1839)</x:f>
        <x:v>0.005898026230695605</x:v>
      </x:c>
      <x:c r="K1839" s="15" t="n">
        <x:f>F1839/'Datos'!$F$7</x:f>
        <x:v>0.0000784849227300368</x:v>
      </x:c>
      <x:c r="L1839" s="3"/>
    </x:row>
    <x:row r="1840" ht="22" customHeight="1">
      <x:c r="A1840" s="3"/>
      <x:c r="B1840" s="3" t="str">
        <x:v>22685</x:v>
      </x:c>
      <x:c r="C1840" s="3" t="str">
        <x:v>FRENCH BLUE METAL DOOR SIGN 0</x:v>
      </x:c>
      <x:c r="D1840" s="13" t="n">
        <x:v>780.8</x:v>
      </x:c>
      <x:c r="E1840" s="13" t="n">
        <x:v>12.5</x:v>
      </x:c>
      <x:c r="F1840" s="13" t="n">
        <x:f>D1840-E1840</x:f>
        <x:v>768.3</x:v>
      </x:c>
      <x:c r="G1840" s="3" t="n">
        <x:v>594</x:v>
      </x:c>
      <x:c r="H1840" s="3" t="n">
        <x:v>10</x:v>
      </x:c>
      <x:c r="I1840" s="3" t="n">
        <x:v>99</x:v>
      </x:c>
      <x:c r="J1840" s="15" t="n">
        <x:f>IF(D1840=0,"n.a.",E1840/D1840)</x:f>
        <x:v>0.016009221311475412</x:v>
      </x:c>
      <x:c r="K1840" s="15" t="n">
        <x:f>F1840/'Datos'!$F$7</x:f>
        <x:v>0.00007845633002873777</x:v>
      </x:c>
      <x:c r="L1840" s="3"/>
    </x:row>
    <x:row r="1841" ht="22" customHeight="1">
      <x:c r="A1841" s="3"/>
      <x:c r="B1841" s="3" t="str">
        <x:v>23335</x:v>
      </x:c>
      <x:c r="C1841" s="3" t="str">
        <x:v>EGG FRYING PAN IVORY</x:v>
      </x:c>
      <x:c r="D1841" s="13" t="n">
        <x:v>792.86</x:v>
      </x:c>
      <x:c r="E1841" s="13" t="n">
        <x:v>24.96</x:v>
      </x:c>
      <x:c r="F1841" s="13" t="n">
        <x:f>D1841-E1841</x:f>
        <x:v>767.9</x:v>
      </x:c>
      <x:c r="G1841" s="3" t="n">
        <x:v>378</x:v>
      </x:c>
      <x:c r="H1841" s="3" t="n">
        <x:v>12</x:v>
      </x:c>
      <x:c r="I1841" s="3" t="n">
        <x:v>96</x:v>
      </x:c>
      <x:c r="J1841" s="15" t="n">
        <x:f>IF(D1841=0,"n.a.",E1841/D1841)</x:f>
        <x:v>0.031480967636152664</x:v>
      </x:c>
      <x:c r="K1841" s="15" t="n">
        <x:f>F1841/'Datos'!$F$7</x:f>
        <x:v>0.0000784154833125963</x:v>
      </x:c>
      <x:c r="L1841" s="3"/>
    </x:row>
    <x:row r="1842" ht="22" customHeight="1">
      <x:c r="A1842" s="3"/>
      <x:c r="B1842" s="3" t="str">
        <x:v>22786</x:v>
      </x:c>
      <x:c r="C1842" s="3" t="str">
        <x:v>CUSHION COVER PINK UNION JACK</x:v>
      </x:c>
      <x:c r="D1842" s="13" t="n">
        <x:v>764.63</x:v>
      </x:c>
      <x:c r="E1842" s="13" t="n">
        <x:v>0</x:v>
      </x:c>
      <x:c r="F1842" s="13" t="n">
        <x:f>D1842-E1842</x:f>
        <x:v>764.63</x:v>
      </x:c>
      <x:c r="G1842" s="3" t="n">
        <x:v>123</x:v>
      </x:c>
      <x:c r="H1842" s="3" t="n">
        <x:v>0</x:v>
      </x:c>
      <x:c r="I1842" s="3" t="n">
        <x:v>47</x:v>
      </x:c>
      <x:c r="J1842" s="15" t="n">
        <x:f>IF(D1842=0,"n.a.",E1842/D1842)</x:f>
        <x:v>0</x:v>
      </x:c>
      <x:c r="K1842" s="15" t="n">
        <x:f>F1842/'Datos'!$F$7</x:f>
        <x:v>0.00007808156140813974</x:v>
      </x:c>
      <x:c r="L1842" s="3"/>
    </x:row>
    <x:row r="1843" ht="22" customHeight="1">
      <x:c r="A1843" s="3"/>
      <x:c r="B1843" s="3" t="str">
        <x:v>22522</x:v>
      </x:c>
      <x:c r="C1843" s="3" t="str">
        <x:v>CHILDS GARDEN FORK BLUE</x:v>
      </x:c>
      <x:c r="D1843" s="13" t="n">
        <x:v>774.29</x:v>
      </x:c>
      <x:c r="E1843" s="13" t="n">
        <x:v>10.2</x:v>
      </x:c>
      <x:c r="F1843" s="13" t="n">
        <x:f>D1843-E1843</x:f>
        <x:v>764.0899999999999</x:v>
      </x:c>
      <x:c r="G1843" s="3" t="n">
        <x:v>932</x:v>
      </x:c>
      <x:c r="H1843" s="3" t="n">
        <x:v>12</x:v>
      </x:c>
      <x:c r="I1843" s="3" t="n">
        <x:v>128</x:v>
      </x:c>
      <x:c r="J1843" s="15" t="n">
        <x:f>IF(D1843=0,"n.a.",E1843/D1843)</x:f>
        <x:v>0.013173358819047127</x:v>
      </x:c>
      <x:c r="K1843" s="15" t="n">
        <x:f>F1843/'Datos'!$F$7</x:f>
        <x:v>0.00007802641834134875</x:v>
      </x:c>
      <x:c r="L1843" s="3"/>
    </x:row>
    <x:row r="1844" ht="22" customHeight="1">
      <x:c r="A1844" s="3"/>
      <x:c r="B1844" s="3" t="str">
        <x:v>21707</x:v>
      </x:c>
      <x:c r="C1844" s="3" t="str">
        <x:v>FOLDING UMBRELLA BLACKBLUE POLKADOT</x:v>
      </x:c>
      <x:c r="D1844" s="13" t="n">
        <x:v>763.66</x:v>
      </x:c>
      <x:c r="E1844" s="13" t="n">
        <x:v>0</x:v>
      </x:c>
      <x:c r="F1844" s="13" t="n">
        <x:f>D1844-E1844</x:f>
        <x:v>763.66</x:v>
      </x:c>
      <x:c r="G1844" s="3" t="n">
        <x:v>160</x:v>
      </x:c>
      <x:c r="H1844" s="3" t="n">
        <x:v>0</x:v>
      </x:c>
      <x:c r="I1844" s="3" t="n">
        <x:v>74</x:v>
      </x:c>
      <x:c r="J1844" s="15" t="n">
        <x:f>IF(D1844=0,"n.a.",E1844/D1844)</x:f>
        <x:v>0</x:v>
      </x:c>
      <x:c r="K1844" s="15" t="n">
        <x:f>F1844/'Datos'!$F$7</x:f>
        <x:v>0.00007798250812149666</x:v>
      </x:c>
      <x:c r="L1844" s="3"/>
    </x:row>
    <x:row r="1845" ht="22" customHeight="1">
      <x:c r="A1845" s="3"/>
      <x:c r="B1845" s="3" t="str">
        <x:v>23550</x:v>
      </x:c>
      <x:c r="C1845" s="3" t="str">
        <x:v>WRAP ALPHABET POSTER</x:v>
      </x:c>
      <x:c r="D1845" s="13" t="n">
        <x:v>763.1</x:v>
      </x:c>
      <x:c r="E1845" s="13" t="n">
        <x:v>0</x:v>
      </x:c>
      <x:c r="F1845" s="13" t="n">
        <x:f>D1845-E1845</x:f>
        <x:v>763.1</x:v>
      </x:c>
      <x:c r="G1845" s="3" t="n">
        <x:v>1855</x:v>
      </x:c>
      <x:c r="H1845" s="3" t="n">
        <x:v>0</x:v>
      </x:c>
      <x:c r="I1845" s="3" t="n">
        <x:v>64</x:v>
      </x:c>
      <x:c r="J1845" s="15" t="n">
        <x:f>IF(D1845=0,"n.a.",E1845/D1845)</x:f>
        <x:v>0</x:v>
      </x:c>
      <x:c r="K1845" s="15" t="n">
        <x:f>F1845/'Datos'!$F$7</x:f>
        <x:v>0.0000779253227188986</x:v>
      </x:c>
      <x:c r="L1845" s="3"/>
    </x:row>
    <x:row r="1846" ht="22" customHeight="1">
      <x:c r="A1846" s="3"/>
      <x:c r="B1846" s="3" t="str">
        <x:v>22252</x:v>
      </x:c>
      <x:c r="C1846" s="3" t="str">
        <x:v>BIRDCAGE DECORATION TEALIGHT HOLDER</x:v>
      </x:c>
      <x:c r="D1846" s="13" t="n">
        <x:v>770.32</x:v>
      </x:c>
      <x:c r="E1846" s="13" t="n">
        <x:v>7.5</x:v>
      </x:c>
      <x:c r="F1846" s="13" t="n">
        <x:f>D1846-E1846</x:f>
        <x:v>762.82</x:v>
      </x:c>
      <x:c r="G1846" s="3" t="n">
        <x:v>650</x:v>
      </x:c>
      <x:c r="H1846" s="3" t="n">
        <x:v>6</x:v>
      </x:c>
      <x:c r="I1846" s="3" t="n">
        <x:v>67</x:v>
      </x:c>
      <x:c r="J1846" s="15" t="n">
        <x:f>IF(D1846=0,"n.a.",E1846/D1846)</x:f>
        <x:v>0.009736213521653339</x:v>
      </x:c>
      <x:c r="K1846" s="15" t="n">
        <x:f>F1846/'Datos'!$F$7</x:f>
        <x:v>0.00007789673001759957</x:v>
      </x:c>
      <x:c r="L1846" s="3"/>
    </x:row>
    <x:row r="1847" ht="22" customHeight="1">
      <x:c r="A1847" s="3"/>
      <x:c r="B1847" s="3" t="str">
        <x:v>85212</x:v>
      </x:c>
      <x:c r="C1847" s="3" t="str">
        <x:v>MINI PAINTED GARDEN DECORATION</x:v>
      </x:c>
      <x:c r="D1847" s="13" t="n">
        <x:v>761.4</x:v>
      </x:c>
      <x:c r="E1847" s="13" t="n">
        <x:v>0</x:v>
      </x:c>
      <x:c r="F1847" s="13" t="n">
        <x:f>D1847-E1847</x:f>
        <x:v>761.4</x:v>
      </x:c>
      <x:c r="G1847" s="3" t="n">
        <x:v>2476</x:v>
      </x:c>
      <x:c r="H1847" s="3" t="n">
        <x:v>0</x:v>
      </x:c>
      <x:c r="I1847" s="3" t="n">
        <x:v>79</x:v>
      </x:c>
      <x:c r="J1847" s="15" t="n">
        <x:f>IF(D1847=0,"n.a.",E1847/D1847)</x:f>
        <x:v>0</x:v>
      </x:c>
      <x:c r="K1847" s="15" t="n">
        <x:f>F1847/'Datos'!$F$7</x:f>
        <x:v>0.00007775172417529733</x:v>
      </x:c>
      <x:c r="L1847" s="3"/>
    </x:row>
    <x:row r="1848" ht="22" customHeight="1">
      <x:c r="A1848" s="3"/>
      <x:c r="B1848" s="3" t="str">
        <x:v>22025</x:v>
      </x:c>
      <x:c r="C1848" s="3" t="str">
        <x:v>RING OF ROSES BIRTHDAY CARD</x:v>
      </x:c>
      <x:c r="D1848" s="13" t="n">
        <x:v>766.09</x:v>
      </x:c>
      <x:c r="E1848" s="13" t="n">
        <x:v>5.04</x:v>
      </x:c>
      <x:c r="F1848" s="13" t="n">
        <x:f>D1848-E1848</x:f>
        <x:v>761.0500000000001</x:v>
      </x:c>
      <x:c r="G1848" s="3" t="n">
        <x:v>1847</x:v>
      </x:c>
      <x:c r="H1848" s="3" t="n">
        <x:v>12</x:v>
      </x:c>
      <x:c r="I1848" s="3" t="n">
        <x:v>130</x:v>
      </x:c>
      <x:c r="J1848" s="15" t="n">
        <x:f>IF(D1848=0,"n.a.",E1848/D1848)</x:f>
        <x:v>0.006578861491469671</x:v>
      </x:c>
      <x:c r="K1848" s="15" t="n">
        <x:f>F1848/'Datos'!$F$7</x:f>
        <x:v>0.00007771598329867355</x:v>
      </x:c>
      <x:c r="L1848" s="3"/>
    </x:row>
    <x:row r="1849" ht="22" customHeight="1">
      <x:c r="A1849" s="3"/>
      <x:c r="B1849" s="3" t="str">
        <x:v>85130B</x:v>
      </x:c>
      <x:c r="C1849" s="3" t="str">
        <x:v>BEADED CRYSTAL HEART GREEN LARGE</x:v>
      </x:c>
      <x:c r="D1849" s="13" t="n">
        <x:v>760.43</x:v>
      </x:c>
      <x:c r="E1849" s="13" t="n">
        <x:v>0</x:v>
      </x:c>
      <x:c r="F1849" s="13" t="n">
        <x:f>D1849-E1849</x:f>
        <x:v>760.43</x:v>
      </x:c>
      <x:c r="G1849" s="3" t="n">
        <x:v>834</x:v>
      </x:c>
      <x:c r="H1849" s="3" t="n">
        <x:v>0</x:v>
      </x:c>
      <x:c r="I1849" s="3" t="n">
        <x:v>62</x:v>
      </x:c>
      <x:c r="J1849" s="15" t="n">
        <x:f>IF(D1849=0,"n.a.",E1849/D1849)</x:f>
        <x:v>0</x:v>
      </x:c>
      <x:c r="K1849" s="15" t="n">
        <x:f>F1849/'Datos'!$F$7</x:f>
        <x:v>0.00007765267088865425</x:v>
      </x:c>
      <x:c r="L1849" s="3"/>
    </x:row>
    <x:row r="1850" ht="22" customHeight="1">
      <x:c r="A1850" s="3"/>
      <x:c r="B1850" s="3" t="str">
        <x:v>17084R</x:v>
      </x:c>
      <x:c r="C1850" s="3" t="str">
        <x:v>ASSORTED INCENSE PACK</x:v>
      </x:c>
      <x:c r="D1850" s="13" t="n">
        <x:v>760.32</x:v>
      </x:c>
      <x:c r="E1850" s="13" t="n">
        <x:v>0</x:v>
      </x:c>
      <x:c r="F1850" s="13" t="n">
        <x:f>D1850-E1850</x:f>
        <x:v>760.32</x:v>
      </x:c>
      <x:c r="G1850" s="3" t="n">
        <x:v>4032</x:v>
      </x:c>
      <x:c r="H1850" s="3" t="n">
        <x:v>0</x:v>
      </x:c>
      <x:c r="I1850" s="3" t="n">
        <x:v>27</x:v>
      </x:c>
      <x:c r="J1850" s="15" t="n">
        <x:f>IF(D1850=0,"n.a.",E1850/D1850)</x:f>
        <x:v>0</x:v>
      </x:c>
      <x:c r="K1850" s="15" t="n">
        <x:f>F1850/'Datos'!$F$7</x:f>
        <x:v>0.00007764143804171535</x:v>
      </x:c>
      <x:c r="L1850" s="3"/>
    </x:row>
    <x:row r="1851" ht="22" customHeight="1">
      <x:c r="A1851" s="3"/>
      <x:c r="B1851" s="3" t="str">
        <x:v>21287</x:v>
      </x:c>
      <x:c r="C1851" s="3" t="str">
        <x:v>SCENTED VELVET LOUNGE CANDLE</x:v>
      </x:c>
      <x:c r="D1851" s="13" t="n">
        <x:v>760.15</x:v>
      </x:c>
      <x:c r="E1851" s="13" t="n">
        <x:v>0</x:v>
      </x:c>
      <x:c r="F1851" s="13" t="n">
        <x:f>D1851-E1851</x:f>
        <x:v>760.15</x:v>
      </x:c>
      <x:c r="G1851" s="3" t="n">
        <x:v>1790</x:v>
      </x:c>
      <x:c r="H1851" s="3" t="n">
        <x:v>0</x:v>
      </x:c>
      <x:c r="I1851" s="3" t="n">
        <x:v>55</x:v>
      </x:c>
      <x:c r="J1851" s="15" t="n">
        <x:f>IF(D1851=0,"n.a.",E1851/D1851)</x:f>
        <x:v>0</x:v>
      </x:c>
      <x:c r="K1851" s="15" t="n">
        <x:f>F1851/'Datos'!$F$7</x:f>
        <x:v>0.00007762407818735522</x:v>
      </x:c>
      <x:c r="L1851" s="3"/>
    </x:row>
    <x:row r="1852" ht="22" customHeight="1">
      <x:c r="A1852" s="3"/>
      <x:c r="B1852" s="3" t="str">
        <x:v>10002</x:v>
      </x:c>
      <x:c r="C1852" s="3" t="str">
        <x:v>INFLATABLE POLITICAL GLOBE</x:v>
      </x:c>
      <x:c r="D1852" s="13" t="n">
        <x:v>759.89</x:v>
      </x:c>
      <x:c r="E1852" s="13" t="n">
        <x:v>0</x:v>
      </x:c>
      <x:c r="F1852" s="13" t="n">
        <x:f>D1852-E1852</x:f>
        <x:v>759.89</x:v>
      </x:c>
      <x:c r="G1852" s="3" t="n">
        <x:v>860</x:v>
      </x:c>
      <x:c r="H1852" s="3" t="n">
        <x:v>0</x:v>
      </x:c>
      <x:c r="I1852" s="3" t="n">
        <x:v>71</x:v>
      </x:c>
      <x:c r="J1852" s="15" t="n">
        <x:f>IF(D1852=0,"n.a.",E1852/D1852)</x:f>
        <x:v>0</x:v>
      </x:c>
      <x:c r="K1852" s="15" t="n">
        <x:f>F1852/'Datos'!$F$7</x:f>
        <x:v>0.00007759752782186327</x:v>
      </x:c>
      <x:c r="L1852" s="3"/>
    </x:row>
    <x:row r="1853" ht="22" customHeight="1">
      <x:c r="A1853" s="3"/>
      <x:c r="B1853" s="3" t="str">
        <x:v>84279B</x:v>
      </x:c>
      <x:c r="C1853" s="3" t="str">
        <x:v>CHERRY BLOSSOM DECORATIVE FLASK</x:v>
      </x:c>
      <x:c r="D1853" s="13" t="n">
        <x:v>785.95</x:v>
      </x:c>
      <x:c r="E1853" s="13" t="n">
        <x:v>26.25</x:v>
      </x:c>
      <x:c r="F1853" s="13" t="n">
        <x:f>D1853-E1853</x:f>
        <x:v>759.7</x:v>
      </x:c>
      <x:c r="G1853" s="3" t="n">
        <x:v>195</x:v>
      </x:c>
      <x:c r="H1853" s="3" t="n">
        <x:v>7</x:v>
      </x:c>
      <x:c r="I1853" s="3" t="n">
        <x:v>69</x:v>
      </x:c>
      <x:c r="J1853" s="15" t="n">
        <x:f>IF(D1853=0,"n.a.",E1853/D1853)</x:f>
        <x:v>0.03339907118773459</x:v>
      </x:c>
      <x:c r="K1853" s="15" t="n">
        <x:f>F1853/'Datos'!$F$7</x:f>
        <x:v>0.00007757812563169607</x:v>
      </x:c>
      <x:c r="L1853" s="3"/>
    </x:row>
    <x:row r="1854" ht="22" customHeight="1">
      <x:c r="A1854" s="3"/>
      <x:c r="B1854" s="3" t="str">
        <x:v>22753</x:v>
      </x:c>
      <x:c r="C1854" s="3" t="str">
        <x:v>SMALL YELLOW BABUSHKA NOTEBOOK</x:v>
      </x:c>
      <x:c r="D1854" s="13" t="n">
        <x:v>758.98</x:v>
      </x:c>
      <x:c r="E1854" s="13" t="n">
        <x:v>0</x:v>
      </x:c>
      <x:c r="F1854" s="13" t="n">
        <x:f>D1854-E1854</x:f>
        <x:v>758.98</x:v>
      </x:c>
      <x:c r="G1854" s="3" t="n">
        <x:v>1011</x:v>
      </x:c>
      <x:c r="H1854" s="3" t="n">
        <x:v>0</x:v>
      </x:c>
      <x:c r="I1854" s="3" t="n">
        <x:v>217</x:v>
      </x:c>
      <x:c r="J1854" s="15" t="n">
        <x:f>IF(D1854=0,"n.a.",E1854/D1854)</x:f>
        <x:v>0</x:v>
      </x:c>
      <x:c r="K1854" s="15" t="n">
        <x:f>F1854/'Datos'!$F$7</x:f>
        <x:v>0.00007750460154264142</x:v>
      </x:c>
      <x:c r="L1854" s="3"/>
    </x:row>
    <x:row r="1855" ht="22" customHeight="1">
      <x:c r="A1855" s="3"/>
      <x:c r="B1855" s="3" t="str">
        <x:v>23282</x:v>
      </x:c>
      <x:c r="C1855" s="3" t="str">
        <x:v>FOLDING BUTTERFLY MIRROR IVORY</x:v>
      </x:c>
      <x:c r="D1855" s="13" t="n">
        <x:v>757.86</x:v>
      </x:c>
      <x:c r="E1855" s="13" t="n">
        <x:v>0</x:v>
      </x:c>
      <x:c r="F1855" s="13" t="n">
        <x:f>D1855-E1855</x:f>
        <x:v>757.86</x:v>
      </x:c>
      <x:c r="G1855" s="3" t="n">
        <x:v>812</x:v>
      </x:c>
      <x:c r="H1855" s="3" t="n">
        <x:v>0</x:v>
      </x:c>
      <x:c r="I1855" s="3" t="n">
        <x:v>135</x:v>
      </x:c>
      <x:c r="J1855" s="15" t="n">
        <x:f>IF(D1855=0,"n.a.",E1855/D1855)</x:f>
        <x:v>0</x:v>
      </x:c>
      <x:c r="K1855" s="15" t="n">
        <x:f>F1855/'Datos'!$F$7</x:f>
        <x:v>0.00007739023073744528</x:v>
      </x:c>
      <x:c r="L1855" s="3"/>
    </x:row>
    <x:row r="1856" ht="22" customHeight="1">
      <x:c r="A1856" s="3"/>
      <x:c r="B1856" s="3" t="str">
        <x:v>22480</x:v>
      </x:c>
      <x:c r="C1856" s="3" t="str">
        <x:v>RED TEA TOWEL CLASSIC DESIGN</x:v>
      </x:c>
      <x:c r="D1856" s="13" t="n">
        <x:v>757.21</x:v>
      </x:c>
      <x:c r="E1856" s="13" t="n">
        <x:v>0</x:v>
      </x:c>
      <x:c r="F1856" s="13" t="n">
        <x:f>D1856-E1856</x:f>
        <x:v>757.21</x:v>
      </x:c>
      <x:c r="G1856" s="3" t="n">
        <x:v>631</x:v>
      </x:c>
      <x:c r="H1856" s="3" t="n">
        <x:v>0</x:v>
      </x:c>
      <x:c r="I1856" s="3" t="n">
        <x:v>73</x:v>
      </x:c>
      <x:c r="J1856" s="15" t="n">
        <x:f>IF(D1856=0,"n.a.",E1856/D1856)</x:f>
        <x:v>0</x:v>
      </x:c>
      <x:c r="K1856" s="15" t="n">
        <x:f>F1856/'Datos'!$F$7</x:f>
        <x:v>0.00007732385482371538</x:v>
      </x:c>
      <x:c r="L1856" s="3"/>
    </x:row>
    <x:row r="1857" ht="22" customHeight="1">
      <x:c r="A1857" s="3"/>
      <x:c r="B1857" s="3" t="str">
        <x:v>23123</x:v>
      </x:c>
      <x:c r="C1857" s="3" t="str">
        <x:v>COCKTAIL SWORDS 50 PIECES</x:v>
      </x:c>
      <x:c r="D1857" s="13" t="n">
        <x:v>760.4</x:v>
      </x:c>
      <x:c r="E1857" s="13" t="n">
        <x:v>4.98</x:v>
      </x:c>
      <x:c r="F1857" s="13" t="n">
        <x:f>D1857-E1857</x:f>
        <x:v>755.42</x:v>
      </x:c>
      <x:c r="G1857" s="3" t="n">
        <x:v>936</x:v>
      </x:c>
      <x:c r="H1857" s="3" t="n">
        <x:v>6</x:v>
      </x:c>
      <x:c r="I1857" s="3" t="n">
        <x:v>95</x:v>
      </x:c>
      <x:c r="J1857" s="15" t="n">
        <x:f>IF(D1857=0,"n.a.",E1857/D1857)</x:f>
        <x:v>0.006549184639663336</x:v>
      </x:c>
      <x:c r="K1857" s="15" t="n">
        <x:f>F1857/'Datos'!$F$7</x:f>
        <x:v>0.00007714106576898229</x:v>
      </x:c>
      <x:c r="L1857" s="3"/>
    </x:row>
    <x:row r="1858" ht="22" customHeight="1">
      <x:c r="A1858" s="3"/>
      <x:c r="B1858" s="3" t="str">
        <x:v>21822</x:v>
      </x:c>
      <x:c r="C1858" s="3" t="str">
        <x:v>GLITTER CHRISTMAS TREE WITH BELLS</x:v>
      </x:c>
      <x:c r="D1858" s="13" t="n">
        <x:v>759.44</x:v>
      </x:c>
      <x:c r="E1858" s="13" t="n">
        <x:v>4.69</x:v>
      </x:c>
      <x:c r="F1858" s="13" t="n">
        <x:f>D1858-E1858</x:f>
        <x:v>754.75</x:v>
      </x:c>
      <x:c r="G1858" s="3" t="n">
        <x:v>740</x:v>
      </x:c>
      <x:c r="H1858" s="3" t="n">
        <x:v>3</x:v>
      </x:c>
      <x:c r="I1858" s="3" t="n">
        <x:v>97</x:v>
      </x:c>
      <x:c r="J1858" s="15" t="n">
        <x:f>IF(D1858=0,"n.a.",E1858/D1858)</x:f>
        <x:v>0.006175603075950701</x:v>
      </x:c>
      <x:c r="K1858" s="15" t="n">
        <x:f>F1858/'Datos'!$F$7</x:f>
        <x:v>0.00007707264751944531</x:v>
      </x:c>
      <x:c r="L1858" s="3"/>
    </x:row>
    <x:row r="1859" ht="22" customHeight="1">
      <x:c r="A1859" s="3"/>
      <x:c r="B1859" s="3" t="str">
        <x:v>21383</x:v>
      </x:c>
      <x:c r="C1859" s="3" t="str">
        <x:v>PACK OF 12 STICKY BUNNIES</x:v>
      </x:c>
      <x:c r="D1859" s="13" t="n">
        <x:v>755.83</x:v>
      </x:c>
      <x:c r="E1859" s="13" t="n">
        <x:v>1.3</x:v>
      </x:c>
      <x:c r="F1859" s="13" t="n">
        <x:f>D1859-E1859</x:f>
        <x:v>754.5300000000001</x:v>
      </x:c>
      <x:c r="G1859" s="3" t="n">
        <x:v>998</x:v>
      </x:c>
      <x:c r="H1859" s="3" t="n">
        <x:v>2</x:v>
      </x:c>
      <x:c r="I1859" s="3" t="n">
        <x:v>167</x:v>
      </x:c>
      <x:c r="J1859" s="15" t="n">
        <x:f>IF(D1859=0,"n.a.",E1859/D1859)</x:f>
        <x:v>0.001719963483852189</x:v>
      </x:c>
      <x:c r="K1859" s="15" t="n">
        <x:f>F1859/'Datos'!$F$7</x:f>
        <x:v>0.00007705018182556752</x:v>
      </x:c>
      <x:c r="L1859" s="3"/>
    </x:row>
    <x:row r="1860" ht="22" customHeight="1">
      <x:c r="A1860" s="3"/>
      <x:c r="B1860" s="3" t="str">
        <x:v>84913B</x:v>
      </x:c>
      <x:c r="C1860" s="3" t="str">
        <x:v>MINT GREEN ROSE TOWEL</x:v>
      </x:c>
      <x:c r="D1860" s="13" t="n">
        <x:v>754.07</x:v>
      </x:c>
      <x:c r="E1860" s="13" t="n">
        <x:v>0</x:v>
      </x:c>
      <x:c r="F1860" s="13" t="n">
        <x:f>D1860-E1860</x:f>
        <x:v>754.07</x:v>
      </x:c>
      <x:c r="G1860" s="3" t="n">
        <x:v>196</x:v>
      </x:c>
      <x:c r="H1860" s="3" t="n">
        <x:v>0</x:v>
      </x:c>
      <x:c r="I1860" s="3" t="n">
        <x:v>86</x:v>
      </x:c>
      <x:c r="J1860" s="15" t="n">
        <x:f>IF(D1860=0,"n.a.",E1860/D1860)</x:f>
        <x:v>0</x:v>
      </x:c>
      <x:c r="K1860" s="15" t="n">
        <x:f>F1860/'Datos'!$F$7</x:f>
        <x:v>0.00007700320810200481</x:v>
      </x:c>
      <x:c r="L1860" s="3"/>
    </x:row>
    <x:row r="1861" ht="22" customHeight="1">
      <x:c r="A1861" s="3"/>
      <x:c r="B1861" s="3" t="str">
        <x:v>84609</x:v>
      </x:c>
      <x:c r="C1861" s="3" t="str">
        <x:v>TALL ROCOCO CANDLE HOLDER</x:v>
      </x:c>
      <x:c r="D1861" s="13" t="n">
        <x:v>770.59</x:v>
      </x:c>
      <x:c r="E1861" s="13" t="n">
        <x:v>17</x:v>
      </x:c>
      <x:c r="F1861" s="13" t="n">
        <x:f>D1861-E1861</x:f>
        <x:v>753.59</x:v>
      </x:c>
      <x:c r="G1861" s="3" t="n">
        <x:v>93</x:v>
      </x:c>
      <x:c r="H1861" s="3" t="n">
        <x:v>2</x:v>
      </x:c>
      <x:c r="I1861" s="3" t="n">
        <x:v>20</x:v>
      </x:c>
      <x:c r="J1861" s="15" t="n">
        <x:f>IF(D1861=0,"n.a.",E1861/D1861)</x:f>
        <x:v>0.022061018180874394</x:v>
      </x:c>
      <x:c r="K1861" s="15" t="n">
        <x:f>F1861/'Datos'!$F$7</x:f>
        <x:v>0.00007695419204263504</x:v>
      </x:c>
      <x:c r="L1861" s="3"/>
    </x:row>
    <x:row r="1862" ht="22" customHeight="1">
      <x:c r="A1862" s="3"/>
      <x:c r="B1862" s="3" t="str">
        <x:v>23124</x:v>
      </x:c>
      <x:c r="C1862" s="3" t="str">
        <x:v>18PC WOODEN CUTLERY SET DISPOSABLE</x:v>
      </x:c>
      <x:c r="D1862" s="13" t="n">
        <x:v>751.38</x:v>
      </x:c>
      <x:c r="E1862" s="13" t="n">
        <x:v>0</x:v>
      </x:c>
      <x:c r="F1862" s="13" t="n">
        <x:f>D1862-E1862</x:f>
        <x:v>751.38</x:v>
      </x:c>
      <x:c r="G1862" s="3" t="n">
        <x:v>567</x:v>
      </x:c>
      <x:c r="H1862" s="3" t="n">
        <x:v>0</x:v>
      </x:c>
      <x:c r="I1862" s="3" t="n">
        <x:v>43</x:v>
      </x:c>
      <x:c r="J1862" s="15" t="n">
        <x:f>IF(D1862=0,"n.a.",E1862/D1862)</x:f>
        <x:v>0</x:v>
      </x:c>
      <x:c r="K1862" s="15" t="n">
        <x:f>F1862/'Datos'!$F$7</x:f>
        <x:v>0.0000767285139359534</x:v>
      </x:c>
      <x:c r="L1862" s="3"/>
    </x:row>
    <x:row r="1863" ht="22" customHeight="1">
      <x:c r="A1863" s="3"/>
      <x:c r="B1863" s="3" t="str">
        <x:v>20748</x:v>
      </x:c>
      <x:c r="C1863" s="3" t="str">
        <x:v>KENSINGTON COFFEE SET</x:v>
      </x:c>
      <x:c r="D1863" s="13" t="n">
        <x:v>751.17</x:v>
      </x:c>
      <x:c r="E1863" s="13" t="n">
        <x:v>0</x:v>
      </x:c>
      <x:c r="F1863" s="13" t="n">
        <x:f>D1863-E1863</x:f>
        <x:v>751.17</x:v>
      </x:c>
      <x:c r="G1863" s="3" t="n">
        <x:v>57</x:v>
      </x:c>
      <x:c r="H1863" s="3" t="n">
        <x:v>0</x:v>
      </x:c>
      <x:c r="I1863" s="3" t="n">
        <x:v>34</x:v>
      </x:c>
      <x:c r="J1863" s="15" t="n">
        <x:f>IF(D1863=0,"n.a.",E1863/D1863)</x:f>
        <x:v>0</x:v>
      </x:c>
      <x:c r="K1863" s="15" t="n">
        <x:f>F1863/'Datos'!$F$7</x:f>
        <x:v>0.00007670706940997912</x:v>
      </x:c>
      <x:c r="L1863" s="3"/>
    </x:row>
    <x:row r="1864" ht="22" customHeight="1">
      <x:c r="A1864" s="3"/>
      <x:c r="B1864" s="3" t="str">
        <x:v>21126</x:v>
      </x:c>
      <x:c r="C1864" s="3" t="str">
        <x:v>SET OF 6 GIRLS CELEBRATION CANDLES</x:v>
      </x:c>
      <x:c r="D1864" s="13" t="n">
        <x:v>750.2</x:v>
      </x:c>
      <x:c r="E1864" s="13" t="n">
        <x:v>0</x:v>
      </x:c>
      <x:c r="F1864" s="13" t="n">
        <x:f>D1864-E1864</x:f>
        <x:v>750.2</x:v>
      </x:c>
      <x:c r="G1864" s="3" t="n">
        <x:v>593</x:v>
      </x:c>
      <x:c r="H1864" s="3" t="n">
        <x:v>0</x:v>
      </x:c>
      <x:c r="I1864" s="3" t="n">
        <x:v>126</x:v>
      </x:c>
      <x:c r="J1864" s="15" t="n">
        <x:f>IF(D1864=0,"n.a.",E1864/D1864)</x:f>
        <x:v>0</x:v>
      </x:c>
      <x:c r="K1864" s="15" t="n">
        <x:f>F1864/'Datos'!$F$7</x:f>
        <x:v>0.00007660801612333605</x:v>
      </x:c>
      <x:c r="L1864" s="3"/>
    </x:row>
    <x:row r="1865" ht="22" customHeight="1">
      <x:c r="A1865" s="3"/>
      <x:c r="B1865" s="3" t="str">
        <x:v>84660B</x:v>
      </x:c>
      <x:c r="C1865" s="3" t="str">
        <x:v>BLACK STITCHED WALL CLOCK</x:v>
      </x:c>
      <x:c r="D1865" s="13" t="n">
        <x:v>749.94</x:v>
      </x:c>
      <x:c r="E1865" s="13" t="n">
        <x:v>0</x:v>
      </x:c>
      <x:c r="F1865" s="13" t="n">
        <x:f>D1865-E1865</x:f>
        <x:v>749.94</x:v>
      </x:c>
      <x:c r="G1865" s="3" t="n">
        <x:v>711</x:v>
      </x:c>
      <x:c r="H1865" s="3" t="n">
        <x:v>0</x:v>
      </x:c>
      <x:c r="I1865" s="3" t="n">
        <x:v>42</x:v>
      </x:c>
      <x:c r="J1865" s="15" t="n">
        <x:f>IF(D1865=0,"n.a.",E1865/D1865)</x:f>
        <x:v>0</x:v>
      </x:c>
      <x:c r="K1865" s="15" t="n">
        <x:f>F1865/'Datos'!$F$7</x:f>
        <x:v>0.00007658146575784408</x:v>
      </x:c>
      <x:c r="L1865" s="3"/>
    </x:row>
    <x:row r="1866" ht="22" customHeight="1">
      <x:c r="A1866" s="3"/>
      <x:c r="B1866" s="3" t="str">
        <x:v>23324</x:v>
      </x:c>
      <x:c r="C1866" s="3" t="str">
        <x:v>RUSTIC STRAWBERRY JAM POT LARGE</x:v>
      </x:c>
      <x:c r="D1866" s="13" t="n">
        <x:v>816.04</x:v>
      </x:c>
      <x:c r="E1866" s="13" t="n">
        <x:v>67.51</x:v>
      </x:c>
      <x:c r="F1866" s="13" t="n">
        <x:f>D1866-E1866</x:f>
        <x:v>748.53</x:v>
      </x:c>
      <x:c r="G1866" s="3" t="n">
        <x:v>399</x:v>
      </x:c>
      <x:c r="H1866" s="3" t="n">
        <x:v>35</x:v>
      </x:c>
      <x:c r="I1866" s="3" t="n">
        <x:v>44</x:v>
      </x:c>
      <x:c r="J1866" s="15" t="n">
        <x:f>IF(D1866=0,"n.a.",E1866/D1866)</x:f>
        <x:v>0.0827287878045194</x:v>
      </x:c>
      <x:c r="K1866" s="15" t="n">
        <x:f>F1866/'Datos'!$F$7</x:f>
        <x:v>0.00007643748108344538</x:v>
      </x:c>
      <x:c r="L1866" s="3"/>
    </x:row>
    <x:row r="1867" ht="22" customHeight="1">
      <x:c r="A1867" s="3"/>
      <x:c r="B1867" s="3" t="str">
        <x:v>84763</x:v>
      </x:c>
      <x:c r="C1867" s="3" t="str">
        <x:v>ZINC FINISH 15CM PLANTER POTS</x:v>
      </x:c>
      <x:c r="D1867" s="13" t="n">
        <x:v>748.34</x:v>
      </x:c>
      <x:c r="E1867" s="13" t="n">
        <x:v>0</x:v>
      </x:c>
      <x:c r="F1867" s="13" t="n">
        <x:f>D1867-E1867</x:f>
        <x:v>748.34</x:v>
      </x:c>
      <x:c r="G1867" s="3" t="n">
        <x:v>601</x:v>
      </x:c>
      <x:c r="H1867" s="3" t="n">
        <x:v>0</x:v>
      </x:c>
      <x:c r="I1867" s="3" t="n">
        <x:v>57</x:v>
      </x:c>
      <x:c r="J1867" s="15" t="n">
        <x:f>IF(D1867=0,"n.a.",E1867/D1867)</x:f>
        <x:v>0</x:v>
      </x:c>
      <x:c r="K1867" s="15" t="n">
        <x:f>F1867/'Datos'!$F$7</x:f>
        <x:v>0.00007641807889327818</x:v>
      </x:c>
      <x:c r="L1867" s="3"/>
    </x:row>
    <x:row r="1868" ht="22" customHeight="1">
      <x:c r="A1868" s="3"/>
      <x:c r="B1868" s="3" t="str">
        <x:v>23025</x:v>
      </x:c>
      <x:c r="C1868" s="3" t="str">
        <x:v>DRAWER KNOB VINTAGE GLASS BALL</x:v>
      </x:c>
      <x:c r="D1868" s="13" t="n">
        <x:v>760.8</x:v>
      </x:c>
      <x:c r="E1868" s="13" t="n">
        <x:v>12.48</x:v>
      </x:c>
      <x:c r="F1868" s="13" t="n">
        <x:f>D1868-E1868</x:f>
        <x:v>748.3199999999999</x:v>
      </x:c>
      <x:c r="G1868" s="3" t="n">
        <x:v>350</x:v>
      </x:c>
      <x:c r="H1868" s="3" t="n">
        <x:v>6</x:v>
      </x:c>
      <x:c r="I1868" s="3" t="n">
        <x:v>54</x:v>
      </x:c>
      <x:c r="J1868" s="15" t="n">
        <x:f>IF(D1868=0,"n.a.",E1868/D1868)</x:f>
        <x:v>0.016403785488958992</x:v>
      </x:c>
      <x:c r="K1868" s="15" t="n">
        <x:f>F1868/'Datos'!$F$7</x:f>
        <x:v>0.0000764160365574711</x:v>
      </x:c>
      <x:c r="L1868" s="3"/>
    </x:row>
    <x:row r="1869" ht="22" customHeight="1">
      <x:c r="A1869" s="3"/>
      <x:c r="B1869" s="3" t="str">
        <x:v>22481</x:v>
      </x:c>
      <x:c r="C1869" s="3" t="str">
        <x:v>BLACK TEA TOWEL CLASSIC DESIGN</x:v>
      </x:c>
      <x:c r="D1869" s="13" t="n">
        <x:v>748.08</x:v>
      </x:c>
      <x:c r="E1869" s="13" t="n">
        <x:v>0</x:v>
      </x:c>
      <x:c r="F1869" s="13" t="n">
        <x:f>D1869-E1869</x:f>
        <x:v>748.08</x:v>
      </x:c>
      <x:c r="G1869" s="3" t="n">
        <x:v>827</x:v>
      </x:c>
      <x:c r="H1869" s="3" t="n">
        <x:v>0</x:v>
      </x:c>
      <x:c r="I1869" s="3" t="n">
        <x:v>128</x:v>
      </x:c>
      <x:c r="J1869" s="15" t="n">
        <x:f>IF(D1869=0,"n.a.",E1869/D1869)</x:f>
        <x:v>0</x:v>
      </x:c>
      <x:c r="K1869" s="15" t="n">
        <x:f>F1869/'Datos'!$F$7</x:f>
        <x:v>0.00007639152852778623</x:v>
      </x:c>
      <x:c r="L1869" s="3"/>
    </x:row>
    <x:row r="1870" ht="22" customHeight="1">
      <x:c r="A1870" s="3"/>
      <x:c r="B1870" s="3" t="str">
        <x:v>85032B</x:v>
      </x:c>
      <x:c r="C1870" s="3" t="str">
        <x:v>BLOSSOM IMAGES GIFT WRAP SET</x:v>
      </x:c>
      <x:c r="D1870" s="13" t="n">
        <x:v>747.79</x:v>
      </x:c>
      <x:c r="E1870" s="13" t="n">
        <x:v>0</x:v>
      </x:c>
      <x:c r="F1870" s="13" t="n">
        <x:f>D1870-E1870</x:f>
        <x:v>747.79</x:v>
      </x:c>
      <x:c r="G1870" s="3" t="n">
        <x:v>798</x:v>
      </x:c>
      <x:c r="H1870" s="3" t="n">
        <x:v>0</x:v>
      </x:c>
      <x:c r="I1870" s="3" t="n">
        <x:v>133</x:v>
      </x:c>
      <x:c r="J1870" s="15" t="n">
        <x:f>IF(D1870=0,"n.a.",E1870/D1870)</x:f>
        <x:v>0</x:v>
      </x:c>
      <x:c r="K1870" s="15" t="n">
        <x:f>F1870/'Datos'!$F$7</x:f>
        <x:v>0.00007636191465858365</x:v>
      </x:c>
      <x:c r="L1870" s="3"/>
    </x:row>
    <x:row r="1871" ht="22" customHeight="1">
      <x:c r="A1871" s="3"/>
      <x:c r="B1871" s="3" t="str">
        <x:v>23022</x:v>
      </x:c>
      <x:c r="C1871" s="3" t="str">
        <x:v>SMALL BONNE JAM JAR T-LIGHT HOLDER</x:v>
      </x:c>
      <x:c r="D1871" s="13" t="n">
        <x:v>808.16</x:v>
      </x:c>
      <x:c r="E1871" s="13" t="n">
        <x:v>62.4</x:v>
      </x:c>
      <x:c r="F1871" s="13" t="n">
        <x:f>D1871-E1871</x:f>
        <x:v>745.76</x:v>
      </x:c>
      <x:c r="G1871" s="3" t="n">
        <x:v>422</x:v>
      </x:c>
      <x:c r="H1871" s="3" t="n">
        <x:v>30</x:v>
      </x:c>
      <x:c r="I1871" s="3" t="n">
        <x:v>22</x:v>
      </x:c>
      <x:c r="J1871" s="15" t="n">
        <x:f>IF(D1871=0,"n.a.",E1871/D1871)</x:f>
        <x:v>0.0772124331815482</x:v>
      </x:c>
      <x:c r="K1871" s="15" t="n">
        <x:f>F1871/'Datos'!$F$7</x:f>
        <x:v>0.00007615461757416566</x:v>
      </x:c>
      <x:c r="L1871" s="3"/>
    </x:row>
    <x:row r="1872" ht="22" customHeight="1">
      <x:c r="A1872" s="3"/>
      <x:c r="B1872" s="3" t="str">
        <x:v>23454</x:v>
      </x:c>
      <x:c r="C1872" s="3" t="str">
        <x:v>THREE MINI HANGING FRAMES</x:v>
      </x:c>
      <x:c r="D1872" s="13" t="n">
        <x:v>753.95</x:v>
      </x:c>
      <x:c r="E1872" s="13" t="n">
        <x:v>8.3</x:v>
      </x:c>
      <x:c r="F1872" s="13" t="n">
        <x:f>D1872-E1872</x:f>
        <x:v>745.6500000000001</x:v>
      </x:c>
      <x:c r="G1872" s="3" t="n">
        <x:v>179</x:v>
      </x:c>
      <x:c r="H1872" s="3" t="n">
        <x:v>2</x:v>
      </x:c>
      <x:c r="I1872" s="3" t="n">
        <x:v>52</x:v>
      </x:c>
      <x:c r="J1872" s="15" t="n">
        <x:f>IF(D1872=0,"n.a.",E1872/D1872)</x:f>
        <x:v>0.011008687578751907</x:v>
      </x:c>
      <x:c r="K1872" s="15" t="n">
        <x:f>F1872/'Datos'!$F$7</x:f>
        <x:v>0.00007614338472722677</x:v>
      </x:c>
      <x:c r="L1872" s="3"/>
    </x:row>
    <x:row r="1873" ht="22" customHeight="1">
      <x:c r="A1873" s="3"/>
      <x:c r="B1873" s="3" t="str">
        <x:v>21215</x:v>
      </x:c>
      <x:c r="C1873" s="3" t="str">
        <x:v>IVORY PAPER CUP CAKE CASES</x:v>
      </x:c>
      <x:c r="D1873" s="13" t="n">
        <x:v>745.45</x:v>
      </x:c>
      <x:c r="E1873" s="13" t="n">
        <x:v>0</x:v>
      </x:c>
      <x:c r="F1873" s="13" t="n">
        <x:f>D1873-E1873</x:f>
        <x:v>745.45</x:v>
      </x:c>
      <x:c r="G1873" s="3" t="n">
        <x:v>1089</x:v>
      </x:c>
      <x:c r="H1873" s="3" t="n">
        <x:v>0</x:v>
      </x:c>
      <x:c r="I1873" s="3" t="n">
        <x:v>124</x:v>
      </x:c>
      <x:c r="J1873" s="15" t="n">
        <x:f>IF(D1873=0,"n.a.",E1873/D1873)</x:f>
        <x:v>0</x:v>
      </x:c>
      <x:c r="K1873" s="15" t="n">
        <x:f>F1873/'Datos'!$F$7</x:f>
        <x:v>0.00007612296136915602</x:v>
      </x:c>
      <x:c r="L1873" s="3"/>
    </x:row>
    <x:row r="1874" ht="22" customHeight="1">
      <x:c r="A1874" s="3"/>
      <x:c r="B1874" s="3" t="str">
        <x:v>22316</x:v>
      </x:c>
      <x:c r="C1874" s="3" t="str">
        <x:v>200 BENDY SKULL STRAWS</x:v>
      </x:c>
      <x:c r="D1874" s="13" t="n">
        <x:v>743.62</x:v>
      </x:c>
      <x:c r="E1874" s="13" t="n">
        <x:v>1.25</x:v>
      </x:c>
      <x:c r="F1874" s="13" t="n">
        <x:f>D1874-E1874</x:f>
        <x:v>742.37</x:v>
      </x:c>
      <x:c r="G1874" s="3" t="n">
        <x:v>661</x:v>
      </x:c>
      <x:c r="H1874" s="3" t="n">
        <x:v>1</x:v>
      </x:c>
      <x:c r="I1874" s="3" t="n">
        <x:v>55</x:v>
      </x:c>
      <x:c r="J1874" s="15" t="n">
        <x:f>IF(D1874=0,"n.a.",E1874/D1874)</x:f>
        <x:v>0.0016809660848282725</x:v>
      </x:c>
      <x:c r="K1874" s="15" t="n">
        <x:f>F1874/'Datos'!$F$7</x:f>
        <x:v>0.00007580844165486667</x:v>
      </x:c>
      <x:c r="L1874" s="3"/>
    </x:row>
    <x:row r="1875" ht="22" customHeight="1">
      <x:c r="A1875" s="3"/>
      <x:c r="B1875" s="3" t="str">
        <x:v>20733</x:v>
      </x:c>
      <x:c r="C1875" s="3" t="str">
        <x:v>GOLD MINI TAPE MEASURE</x:v>
      </x:c>
      <x:c r="D1875" s="13" t="n">
        <x:v>958.06</x:v>
      </x:c>
      <x:c r="E1875" s="13" t="n">
        <x:v>216</x:v>
      </x:c>
      <x:c r="F1875" s="13" t="n">
        <x:f>D1875-E1875</x:f>
        <x:v>742.06</x:v>
      </x:c>
      <x:c r="G1875" s="3" t="n">
        <x:v>1236</x:v>
      </x:c>
      <x:c r="H1875" s="3" t="n">
        <x:v>300</x:v>
      </x:c>
      <x:c r="I1875" s="3" t="n">
        <x:v>205</x:v>
      </x:c>
      <x:c r="J1875" s="15" t="n">
        <x:f>IF(D1875=0,"n.a.",E1875/D1875)</x:f>
        <x:v>0.2254556082082542</x:v>
      </x:c>
      <x:c r="K1875" s="15" t="n">
        <x:f>F1875/'Datos'!$F$7</x:f>
        <x:v>0.00007577678544985702</x:v>
      </x:c>
      <x:c r="L1875" s="3"/>
    </x:row>
    <x:row r="1876" ht="22" customHeight="1">
      <x:c r="A1876" s="3"/>
      <x:c r="B1876" s="3" t="str">
        <x:v>23223</x:v>
      </x:c>
      <x:c r="C1876" s="3" t="str">
        <x:v>CHRISTMAS TREE HANGING SILVER</x:v>
      </x:c>
      <x:c r="D1876" s="13" t="n">
        <x:v>751.85</x:v>
      </x:c>
      <x:c r="E1876" s="13" t="n">
        <x:v>9.96</x:v>
      </x:c>
      <x:c r="F1876" s="13" t="n">
        <x:f>D1876-E1876</x:f>
        <x:v>741.89</x:v>
      </x:c>
      <x:c r="G1876" s="3" t="n">
        <x:v>803</x:v>
      </x:c>
      <x:c r="H1876" s="3" t="n">
        <x:v>12</x:v>
      </x:c>
      <x:c r="I1876" s="3" t="n">
        <x:v>88</x:v>
      </x:c>
      <x:c r="J1876" s="15" t="n">
        <x:f>IF(D1876=0,"n.a.",E1876/D1876)</x:f>
        <x:v>0.013247323269269137</x:v>
      </x:c>
      <x:c r="K1876" s="15" t="n">
        <x:f>F1876/'Datos'!$F$7</x:f>
        <x:v>0.00007575942559549689</x:v>
      </x:c>
      <x:c r="L1876" s="3"/>
    </x:row>
    <x:row r="1877" ht="22" customHeight="1">
      <x:c r="A1877" s="3"/>
      <x:c r="B1877" s="3" t="str">
        <x:v>22106</x:v>
      </x:c>
      <x:c r="C1877" s="3" t="str">
        <x:v>MIRROR MOSAIC HURRICANE LAMP</x:v>
      </x:c>
      <x:c r="D1877" s="13" t="n">
        <x:v>898.38</x:v>
      </x:c>
      <x:c r="E1877" s="13" t="n">
        <x:v>156.75</x:v>
      </x:c>
      <x:c r="F1877" s="13" t="n">
        <x:f>D1877-E1877</x:f>
        <x:v>741.63</x:v>
      </x:c>
      <x:c r="G1877" s="3" t="n">
        <x:v>349</x:v>
      </x:c>
      <x:c r="H1877" s="3" t="n">
        <x:v>121</x:v>
      </x:c>
      <x:c r="I1877" s="3" t="n">
        <x:v>47</x:v>
      </x:c>
      <x:c r="J1877" s="15" t="n">
        <x:f>IF(D1877=0,"n.a.",E1877/D1877)</x:f>
        <x:v>0.1744807319842383</x:v>
      </x:c>
      <x:c r="K1877" s="15" t="n">
        <x:f>F1877/'Datos'!$F$7</x:f>
        <x:v>0.00007573287523000494</x:v>
      </x:c>
      <x:c r="L1877" s="3"/>
    </x:row>
    <x:row r="1878" ht="22" customHeight="1">
      <x:c r="A1878" s="3"/>
      <x:c r="B1878" s="3" t="str">
        <x:v>22523</x:v>
      </x:c>
      <x:c r="C1878" s="3" t="str">
        <x:v>CHILDS GARDEN FORK PINK</x:v>
      </x:c>
      <x:c r="D1878" s="13" t="n">
        <x:v>751.66</x:v>
      </x:c>
      <x:c r="E1878" s="13" t="n">
        <x:v>10.2</x:v>
      </x:c>
      <x:c r="F1878" s="13" t="n">
        <x:f>D1878-E1878</x:f>
        <x:v>741.4599999999999</x:v>
      </x:c>
      <x:c r="G1878" s="3" t="n">
        <x:v>865</x:v>
      </x:c>
      <x:c r="H1878" s="3" t="n">
        <x:v>12</x:v>
      </x:c>
      <x:c r="I1878" s="3" t="n">
        <x:v>135</x:v>
      </x:c>
      <x:c r="J1878" s="15" t="n">
        <x:f>IF(D1878=0,"n.a.",E1878/D1878)</x:f>
        <x:v>0.013569965143815022</x:v>
      </x:c>
      <x:c r="K1878" s="15" t="n">
        <x:f>F1878/'Datos'!$F$7</x:f>
        <x:v>0.0000757155153756448</x:v>
      </x:c>
      <x:c r="L1878" s="3"/>
    </x:row>
    <x:row r="1879" ht="22" customHeight="1">
      <x:c r="A1879" s="3"/>
      <x:c r="B1879" s="3" t="str">
        <x:v>22336</x:v>
      </x:c>
      <x:c r="C1879" s="3" t="str">
        <x:v>DOVE DECORATION PAINTED ZINC</x:v>
      </x:c>
      <x:c r="D1879" s="13" t="n">
        <x:v>754.41</x:v>
      </x:c>
      <x:c r="E1879" s="13" t="n">
        <x:v>14.95</x:v>
      </x:c>
      <x:c r="F1879" s="13" t="n">
        <x:f>D1879-E1879</x:f>
        <x:v>739.4599999999999</x:v>
      </x:c>
      <x:c r="G1879" s="3" t="n">
        <x:v>2383</x:v>
      </x:c>
      <x:c r="H1879" s="3" t="n">
        <x:v>23</x:v>
      </x:c>
      <x:c r="I1879" s="3" t="n">
        <x:v>79</x:v>
      </x:c>
      <x:c r="J1879" s="15" t="n">
        <x:f>IF(D1879=0,"n.a.",E1879/D1879)</x:f>
        <x:v>0.019816810487665856</x:v>
      </x:c>
      <x:c r="K1879" s="15" t="n">
        <x:f>F1879/'Datos'!$F$7</x:f>
        <x:v>0.00007551128179493743</x:v>
      </x:c>
      <x:c r="L1879" s="3"/>
    </x:row>
    <x:row r="1880" ht="22" customHeight="1">
      <x:c r="A1880" s="3"/>
      <x:c r="B1880" s="3" t="str">
        <x:v>22264</x:v>
      </x:c>
      <x:c r="C1880" s="3" t="str">
        <x:v>FELT FARM ANIMAL WHITE BUNNY</x:v>
      </x:c>
      <x:c r="D1880" s="13" t="n">
        <x:v>738.68</x:v>
      </x:c>
      <x:c r="E1880" s="13" t="n">
        <x:v>0</x:v>
      </x:c>
      <x:c r="F1880" s="13" t="n">
        <x:f>D1880-E1880</x:f>
        <x:v>738.68</x:v>
      </x:c>
      <x:c r="G1880" s="3" t="n">
        <x:v>1563</x:v>
      </x:c>
      <x:c r="H1880" s="3" t="n">
        <x:v>0</x:v>
      </x:c>
      <x:c r="I1880" s="3" t="n">
        <x:v>96</x:v>
      </x:c>
      <x:c r="J1880" s="15" t="n">
        <x:f>IF(D1880=0,"n.a.",E1880/D1880)</x:f>
        <x:v>0</x:v>
      </x:c>
      <x:c r="K1880" s="15" t="n">
        <x:f>F1880/'Datos'!$F$7</x:f>
        <x:v>0.00007543163069846156</x:v>
      </x:c>
      <x:c r="L1880" s="3"/>
    </x:row>
    <x:row r="1881" ht="22" customHeight="1">
      <x:c r="A1881" s="3"/>
      <x:c r="B1881" s="3" t="str">
        <x:v>22322</x:v>
      </x:c>
      <x:c r="C1881" s="3" t="str">
        <x:v>BIRD DECORATION GREEN POLKADOT</x:v>
      </x:c>
      <x:c r="D1881" s="13" t="n">
        <x:v>747.81</x:v>
      </x:c>
      <x:c r="E1881" s="13" t="n">
        <x:v>10.2</x:v>
      </x:c>
      <x:c r="F1881" s="13" t="n">
        <x:f>D1881-E1881</x:f>
        <x:v>737.6099999999999</x:v>
      </x:c>
      <x:c r="G1881" s="3" t="n">
        <x:v>820</x:v>
      </x:c>
      <x:c r="H1881" s="3" t="n">
        <x:v>12</x:v>
      </x:c>
      <x:c r="I1881" s="3" t="n">
        <x:v>139</x:v>
      </x:c>
      <x:c r="J1881" s="15" t="n">
        <x:f>IF(D1881=0,"n.a.",E1881/D1881)</x:f>
        <x:v>0.013639828298632006</x:v>
      </x:c>
      <x:c r="K1881" s="15" t="n">
        <x:f>F1881/'Datos'!$F$7</x:f>
        <x:v>0.00007532236573278311</x:v>
      </x:c>
      <x:c r="L1881" s="3"/>
    </x:row>
    <x:row r="1882" ht="22" customHeight="1">
      <x:c r="A1882" s="3"/>
      <x:c r="B1882" s="3" t="str">
        <x:v>79030G</x:v>
      </x:c>
      <x:c r="C1882" s="3" t="str">
        <x:v>TUMBLER NEW ENGLAND</x:v>
      </x:c>
      <x:c r="D1882" s="13" t="n">
        <x:v>735.83</x:v>
      </x:c>
      <x:c r="E1882" s="13" t="n">
        <x:v>0</x:v>
      </x:c>
      <x:c r="F1882" s="13" t="n">
        <x:f>D1882-E1882</x:f>
        <x:v>735.83</x:v>
      </x:c>
      <x:c r="G1882" s="3" t="n">
        <x:v>1409</x:v>
      </x:c>
      <x:c r="H1882" s="3" t="n">
        <x:v>0</x:v>
      </x:c>
      <x:c r="I1882" s="3" t="n">
        <x:v>67</x:v>
      </x:c>
      <x:c r="J1882" s="15" t="n">
        <x:f>IF(D1882=0,"n.a.",E1882/D1882)</x:f>
        <x:v>0</x:v>
      </x:c>
      <x:c r="K1882" s="15" t="n">
        <x:f>F1882/'Datos'!$F$7</x:f>
        <x:v>0.00007514059784595356</x:v>
      </x:c>
      <x:c r="L1882" s="3"/>
    </x:row>
    <x:row r="1883" ht="22" customHeight="1">
      <x:c r="A1883" s="3"/>
      <x:c r="B1883" s="3" t="str">
        <x:v>22097</x:v>
      </x:c>
      <x:c r="C1883" s="3" t="str">
        <x:v>SWALLOW SQUARE TISSUE BOX</x:v>
      </x:c>
      <x:c r="D1883" s="13" t="n">
        <x:v>739.57</x:v>
      </x:c>
      <x:c r="E1883" s="13" t="n">
        <x:v>3.9</x:v>
      </x:c>
      <x:c r="F1883" s="13" t="n">
        <x:f>D1883-E1883</x:f>
        <x:v>735.6700000000001</x:v>
      </x:c>
      <x:c r="G1883" s="3" t="n">
        <x:v>1610</x:v>
      </x:c>
      <x:c r="H1883" s="3" t="n">
        <x:v>10</x:v>
      </x:c>
      <x:c r="I1883" s="3" t="n">
        <x:v>145</x:v>
      </x:c>
      <x:c r="J1883" s="15" t="n">
        <x:f>IF(D1883=0,"n.a.",E1883/D1883)</x:f>
        <x:v>0.005273334505185445</x:v>
      </x:c>
      <x:c r="K1883" s="15" t="n">
        <x:f>F1883/'Datos'!$F$7</x:f>
        <x:v>0.00007512425915949697</x:v>
      </x:c>
      <x:c r="L1883" s="3"/>
    </x:row>
    <x:row r="1884" ht="22" customHeight="1">
      <x:c r="A1884" s="3"/>
      <x:c r="B1884" s="3" t="str">
        <x:v>22258</x:v>
      </x:c>
      <x:c r="C1884" s="3" t="str">
        <x:v>FELT FARM ANIMAL RABBIT</x:v>
      </x:c>
      <x:c r="D1884" s="13" t="n">
        <x:v>743.89</x:v>
      </x:c>
      <x:c r="E1884" s="13" t="n">
        <x:v>8.75</x:v>
      </x:c>
      <x:c r="F1884" s="13" t="n">
        <x:f>D1884-E1884</x:f>
        <x:v>735.14</x:v>
      </x:c>
      <x:c r="G1884" s="3" t="n">
        <x:v>912</x:v>
      </x:c>
      <x:c r="H1884" s="3" t="n">
        <x:v>7</x:v>
      </x:c>
      <x:c r="I1884" s="3" t="n">
        <x:v>77</x:v>
      </x:c>
      <x:c r="J1884" s="15" t="n">
        <x:f>IF(D1884=0,"n.a.",E1884/D1884)</x:f>
        <x:v>0.011762491766255764</x:v>
      </x:c>
      <x:c r="K1884" s="15" t="n">
        <x:f>F1884/'Datos'!$F$7</x:f>
        <x:v>0.0000750701372606095</x:v>
      </x:c>
      <x:c r="L1884" s="3"/>
    </x:row>
    <x:row r="1885" ht="22" customHeight="1">
      <x:c r="A1885" s="3"/>
      <x:c r="B1885" s="3" t="str">
        <x:v>23435</x:v>
      </x:c>
      <x:c r="C1885" s="3" t="str">
        <x:v>3 RAFFIA RIBBONS VINTAGE CHRISTMAS</x:v>
      </x:c>
      <x:c r="D1885" s="13" t="n">
        <x:v>734.79</x:v>
      </x:c>
      <x:c r="E1885" s="13" t="n">
        <x:v>0</x:v>
      </x:c>
      <x:c r="F1885" s="13" t="n">
        <x:f>D1885-E1885</x:f>
        <x:v>734.79</x:v>
      </x:c>
      <x:c r="G1885" s="3" t="n">
        <x:v>827</x:v>
      </x:c>
      <x:c r="H1885" s="3" t="n">
        <x:v>0</x:v>
      </x:c>
      <x:c r="I1885" s="3" t="n">
        <x:v>99</x:v>
      </x:c>
      <x:c r="J1885" s="15" t="n">
        <x:f>IF(D1885=0,"n.a.",E1885/D1885)</x:f>
        <x:v>0</x:v>
      </x:c>
      <x:c r="K1885" s="15" t="n">
        <x:f>F1885/'Datos'!$F$7</x:f>
        <x:v>0.00007503439638398572</x:v>
      </x:c>
      <x:c r="L1885" s="3"/>
    </x:row>
    <x:row r="1886" ht="22" customHeight="1">
      <x:c r="A1886" s="3"/>
      <x:c r="B1886" s="3" t="str">
        <x:v>22495</x:v>
      </x:c>
      <x:c r="C1886" s="3" t="str">
        <x:v>SET OF 2 ROUND TINS CAMEMBERT</x:v>
      </x:c>
      <x:c r="D1886" s="13" t="n">
        <x:v>751.77</x:v>
      </x:c>
      <x:c r="E1886" s="13" t="n">
        <x:v>17.7</x:v>
      </x:c>
      <x:c r="F1886" s="13" t="n">
        <x:f>D1886-E1886</x:f>
        <x:v>734.0699999999999</x:v>
      </x:c>
      <x:c r="G1886" s="3" t="n">
        <x:v>283</x:v>
      </x:c>
      <x:c r="H1886" s="3" t="n">
        <x:v>6</x:v>
      </x:c>
      <x:c r="I1886" s="3" t="n">
        <x:v>98</x:v>
      </x:c>
      <x:c r="J1886" s="15" t="n">
        <x:f>IF(D1886=0,"n.a.",E1886/D1886)</x:f>
        <x:v>0.023544435133085916</x:v>
      </x:c>
      <x:c r="K1886" s="15" t="n">
        <x:f>F1886/'Datos'!$F$7</x:f>
        <x:v>0.00007496087229493106</x:v>
      </x:c>
      <x:c r="L1886" s="3"/>
    </x:row>
    <x:row r="1887" ht="22" customHeight="1">
      <x:c r="A1887" s="3"/>
      <x:c r="B1887" s="3" t="str">
        <x:v>22586</x:v>
      </x:c>
      <x:c r="C1887" s="3" t="str">
        <x:v>FELTCRAFT HAIRBAND PINK AND BLUE</x:v>
      </x:c>
      <x:c r="D1887" s="13" t="n">
        <x:v>774.55</x:v>
      </x:c>
      <x:c r="E1887" s="13" t="n">
        <x:v>40.8</x:v>
      </x:c>
      <x:c r="F1887" s="13" t="n">
        <x:f>D1887-E1887</x:f>
        <x:v>733.75</x:v>
      </x:c>
      <x:c r="G1887" s="3" t="n">
        <x:v>856</x:v>
      </x:c>
      <x:c r="H1887" s="3" t="n">
        <x:v>48</x:v>
      </x:c>
      <x:c r="I1887" s="3" t="n">
        <x:v>161</x:v>
      </x:c>
      <x:c r="J1887" s="15" t="n">
        <x:f>IF(D1887=0,"n.a.",E1887/D1887)</x:f>
        <x:v>0.05267574720805629</x:v>
      </x:c>
      <x:c r="K1887" s="15" t="n">
        <x:f>F1887/'Datos'!$F$7</x:f>
        <x:v>0.00007492819492201788</x:v>
      </x:c>
      <x:c r="L1887" s="3"/>
    </x:row>
    <x:row r="1888" ht="22" customHeight="1">
      <x:c r="A1888" s="3"/>
      <x:c r="B1888" s="3" t="str">
        <x:v>23006</x:v>
      </x:c>
      <x:c r="C1888" s="3" t="str">
        <x:v>TRAVEL CARD WALLET FLOWER MEADOW</x:v>
      </x:c>
      <x:c r="D1888" s="13" t="n">
        <x:v>765.27</x:v>
      </x:c>
      <x:c r="E1888" s="13" t="n">
        <x:v>32.76</x:v>
      </x:c>
      <x:c r="F1888" s="13" t="n">
        <x:f>D1888-E1888</x:f>
        <x:v>732.51</x:v>
      </x:c>
      <x:c r="G1888" s="3" t="n">
        <x:v>1764</x:v>
      </x:c>
      <x:c r="H1888" s="3" t="n">
        <x:v>78</x:v>
      </x:c>
      <x:c r="I1888" s="3" t="n">
        <x:v>173</x:v>
      </x:c>
      <x:c r="J1888" s="15" t="n">
        <x:f>IF(D1888=0,"n.a.",E1888/D1888)</x:f>
        <x:v>0.04280842055745031</x:v>
      </x:c>
      <x:c r="K1888" s="15" t="n">
        <x:f>F1888/'Datos'!$F$7</x:f>
        <x:v>0.00007480157010197931</x:v>
      </x:c>
      <x:c r="L1888" s="3"/>
    </x:row>
    <x:row r="1889" ht="22" customHeight="1">
      <x:c r="A1889" s="3"/>
      <x:c r="B1889" s="3" t="str">
        <x:v>84872A</x:v>
      </x:c>
      <x:c r="C1889" s="3" t="str">
        <x:v>TEATIME FUNKY FLOWER BACKPACK FOR 2</x:v>
      </x:c>
      <x:c r="D1889" s="13" t="n">
        <x:v>732.23</x:v>
      </x:c>
      <x:c r="E1889" s="13" t="n">
        <x:v>0</x:v>
      </x:c>
      <x:c r="F1889" s="13" t="n">
        <x:f>D1889-E1889</x:f>
        <x:v>732.23</x:v>
      </x:c>
      <x:c r="G1889" s="3" t="n">
        <x:v>66</x:v>
      </x:c>
      <x:c r="H1889" s="3" t="n">
        <x:v>0</x:v>
      </x:c>
      <x:c r="I1889" s="3" t="n">
        <x:v>53</x:v>
      </x:c>
      <x:c r="J1889" s="15" t="n">
        <x:f>IF(D1889=0,"n.a.",E1889/D1889)</x:f>
        <x:v>0</x:v>
      </x:c>
      <x:c r="K1889" s="15" t="n">
        <x:f>F1889/'Datos'!$F$7</x:f>
        <x:v>0.00007477297740068028</x:v>
      </x:c>
      <x:c r="L1889" s="3"/>
    </x:row>
    <x:row r="1890" ht="22" customHeight="1">
      <x:c r="A1890" s="3"/>
      <x:c r="B1890" s="3" t="str">
        <x:v>22393</x:v>
      </x:c>
      <x:c r="C1890" s="3" t="str">
        <x:v>PAPERWEIGHT VINTAGE COLLAGE</x:v>
      </x:c>
      <x:c r="D1890" s="13" t="n">
        <x:v>741.98</x:v>
      </x:c>
      <x:c r="E1890" s="13" t="n">
        <x:v>10.2</x:v>
      </x:c>
      <x:c r="F1890" s="13" t="n">
        <x:f>D1890-E1890</x:f>
        <x:v>731.78</x:v>
      </x:c>
      <x:c r="G1890" s="3" t="n">
        <x:v>512</x:v>
      </x:c>
      <x:c r="H1890" s="3" t="n">
        <x:v>4</x:v>
      </x:c>
      <x:c r="I1890" s="3" t="n">
        <x:v>71</x:v>
      </x:c>
      <x:c r="J1890" s="15" t="n">
        <x:f>IF(D1890=0,"n.a.",E1890/D1890)</x:f>
        <x:v>0.013747001266880507</x:v>
      </x:c>
      <x:c r="K1890" s="15" t="n">
        <x:f>F1890/'Datos'!$F$7</x:f>
        <x:v>0.00007472702484502112</x:v>
      </x:c>
      <x:c r="L1890" s="3"/>
    </x:row>
    <x:row r="1891" ht="22" customHeight="1">
      <x:c r="A1891" s="3"/>
      <x:c r="B1891" s="3" t="str">
        <x:v>15034</x:v>
      </x:c>
      <x:c r="C1891" s="3" t="str">
        <x:v>PAPER POCKET TRAVELING FAN</x:v>
      </x:c>
      <x:c r="D1891" s="13" t="n">
        <x:v>840.02</x:v>
      </x:c>
      <x:c r="E1891" s="13" t="n">
        <x:v>108.29</x:v>
      </x:c>
      <x:c r="F1891" s="13" t="n">
        <x:f>D1891-E1891</x:f>
        <x:v>731.73</x:v>
      </x:c>
      <x:c r="G1891" s="3" t="n">
        <x:v>6591</x:v>
      </x:c>
      <x:c r="H1891" s="3" t="n">
        <x:v>1385</x:v>
      </x:c>
      <x:c r="I1891" s="3" t="n">
        <x:v>138</x:v>
      </x:c>
      <x:c r="J1891" s="15" t="n">
        <x:f>IF(D1891=0,"n.a.",E1891/D1891)</x:f>
        <x:v>0.1289135972953025</x:v>
      </x:c>
      <x:c r="K1891" s="15" t="n">
        <x:f>F1891/'Datos'!$F$7</x:f>
        <x:v>0.00007472191900550344</x:v>
      </x:c>
      <x:c r="L1891" s="3"/>
    </x:row>
    <x:row r="1892" ht="22" customHeight="1">
      <x:c r="A1892" s="3"/>
      <x:c r="B1892" s="3" t="str">
        <x:v>22400</x:v>
      </x:c>
      <x:c r="C1892" s="3" t="str">
        <x:v>MAGNETS PACK OF 4 HOME SWEET HOME</x:v>
      </x:c>
      <x:c r="D1892" s="13" t="n">
        <x:v>731.82</x:v>
      </x:c>
      <x:c r="E1892" s="13" t="n">
        <x:v>0.39</x:v>
      </x:c>
      <x:c r="F1892" s="13" t="n">
        <x:f>D1892-E1892</x:f>
        <x:v>731.4300000000001</x:v>
      </x:c>
      <x:c r="G1892" s="3" t="n">
        <x:v>1400</x:v>
      </x:c>
      <x:c r="H1892" s="3" t="n">
        <x:v>1</x:v>
      </x:c>
      <x:c r="I1892" s="3" t="n">
        <x:v>150</x:v>
      </x:c>
      <x:c r="J1892" s="15" t="n">
        <x:f>IF(D1892=0,"n.a.",E1892/D1892)</x:f>
        <x:v>0.0005329179306386816</x:v>
      </x:c>
      <x:c r="K1892" s="15" t="n">
        <x:f>F1892/'Datos'!$F$7</x:f>
        <x:v>0.00007469128396839733</x:v>
      </x:c>
      <x:c r="L1892" s="3"/>
    </x:row>
    <x:row r="1893" ht="22" customHeight="1">
      <x:c r="A1893" s="3"/>
      <x:c r="B1893" s="3" t="str">
        <x:v>23562</x:v>
      </x:c>
      <x:c r="C1893" s="3" t="str">
        <x:v>SET OF 6 RIBBONS PERFECTLY PRETTY</x:v>
      </x:c>
      <x:c r="D1893" s="13" t="n">
        <x:v>730.37</x:v>
      </x:c>
      <x:c r="E1893" s="13" t="n">
        <x:v>0</x:v>
      </x:c>
      <x:c r="F1893" s="13" t="n">
        <x:f>D1893-E1893</x:f>
        <x:v>730.37</x:v>
      </x:c>
      <x:c r="G1893" s="3" t="n">
        <x:v>253</x:v>
      </x:c>
      <x:c r="H1893" s="3" t="n">
        <x:v>0</x:v>
      </x:c>
      <x:c r="I1893" s="3" t="n">
        <x:v>43</x:v>
      </x:c>
      <x:c r="J1893" s="15" t="n">
        <x:f>IF(D1893=0,"n.a.",E1893/D1893)</x:f>
        <x:v>0</x:v>
      </x:c>
      <x:c r="K1893" s="15" t="n">
        <x:f>F1893/'Datos'!$F$7</x:f>
        <x:v>0.00007458304017062242</x:v>
      </x:c>
      <x:c r="L1893" s="3"/>
    </x:row>
    <x:row r="1894" ht="22" customHeight="1">
      <x:c r="A1894" s="3"/>
      <x:c r="B1894" s="3" t="str">
        <x:v>21398</x:v>
      </x:c>
      <x:c r="C1894" s="3" t="str">
        <x:v>RED POLKADOT COFFEE MUG</x:v>
      </x:c>
      <x:c r="D1894" s="13" t="n">
        <x:v>729.6</x:v>
      </x:c>
      <x:c r="E1894" s="13" t="n">
        <x:v>0</x:v>
      </x:c>
      <x:c r="F1894" s="13" t="n">
        <x:f>D1894-E1894</x:f>
        <x:v>729.6</x:v>
      </x:c>
      <x:c r="G1894" s="3" t="n">
        <x:v>1532</x:v>
      </x:c>
      <x:c r="H1894" s="3" t="n">
        <x:v>0</x:v>
      </x:c>
      <x:c r="I1894" s="3" t="n">
        <x:v>63</x:v>
      </x:c>
      <x:c r="J1894" s="15" t="n">
        <x:f>IF(D1894=0,"n.a.",E1894/D1894)</x:f>
        <x:v>0</x:v>
      </x:c>
      <x:c r="K1894" s="15" t="n">
        <x:f>F1894/'Datos'!$F$7</x:f>
        <x:v>0.00007450441024205009</x:v>
      </x:c>
      <x:c r="L1894" s="3"/>
    </x:row>
    <x:row r="1895" ht="22" customHeight="1">
      <x:c r="A1895" s="3"/>
      <x:c r="B1895" s="3" t="str">
        <x:v>90200D</x:v>
      </x:c>
      <x:c r="C1895" s="3" t="str">
        <x:v>PINK SWEETHEART BRACELET</x:v>
      </x:c>
      <x:c r="D1895" s="13" t="n">
        <x:v>729.57</x:v>
      </x:c>
      <x:c r="E1895" s="13" t="n">
        <x:v>0</x:v>
      </x:c>
      <x:c r="F1895" s="13" t="n">
        <x:f>D1895-E1895</x:f>
        <x:v>729.57</x:v>
      </x:c>
      <x:c r="G1895" s="3" t="n">
        <x:v>176</x:v>
      </x:c>
      <x:c r="H1895" s="3" t="n">
        <x:v>0</x:v>
      </x:c>
      <x:c r="I1895" s="3" t="n">
        <x:v>78</x:v>
      </x:c>
      <x:c r="J1895" s="15" t="n">
        <x:f>IF(D1895=0,"n.a.",E1895/D1895)</x:f>
        <x:v>0</x:v>
      </x:c>
      <x:c r="K1895" s="15" t="n">
        <x:f>F1895/'Datos'!$F$7</x:f>
        <x:v>0.00007450134673833948</x:v>
      </x:c>
      <x:c r="L1895" s="3"/>
    </x:row>
    <x:row r="1896" ht="22" customHeight="1">
      <x:c r="A1896" s="3"/>
      <x:c r="B1896" s="3" t="str">
        <x:v>22250</x:v>
      </x:c>
      <x:c r="C1896" s="3" t="str">
        <x:v>DECORATION BUTTERFLY MAGIC GARDEN</x:v>
      </x:c>
      <x:c r="D1896" s="13" t="n">
        <x:v>732.65</x:v>
      </x:c>
      <x:c r="E1896" s="13" t="n">
        <x:v>3.4</x:v>
      </x:c>
      <x:c r="F1896" s="13" t="n">
        <x:f>D1896-E1896</x:f>
        <x:v>729.25</x:v>
      </x:c>
      <x:c r="G1896" s="3" t="n">
        <x:v>821</x:v>
      </x:c>
      <x:c r="H1896" s="3" t="n">
        <x:v>4</x:v>
      </x:c>
      <x:c r="I1896" s="3" t="n">
        <x:v>147</x:v>
      </x:c>
      <x:c r="J1896" s="15" t="n">
        <x:f>IF(D1896=0,"n.a.",E1896/D1896)</x:f>
        <x:v>0.004640687913737801</x:v>
      </x:c>
      <x:c r="K1896" s="15" t="n">
        <x:f>F1896/'Datos'!$F$7</x:f>
        <x:v>0.00007446866936542629</x:v>
      </x:c>
      <x:c r="L1896" s="3"/>
    </x:row>
    <x:row r="1897" ht="22" customHeight="1">
      <x:c r="A1897" s="3"/>
      <x:c r="B1897" s="3" t="str">
        <x:v>21643</x:v>
      </x:c>
      <x:c r="C1897" s="3" t="str">
        <x:v>ASSORTED TUTTI FRUTTI MIRROR</x:v>
      </x:c>
      <x:c r="D1897" s="13" t="n">
        <x:v>743.31</x:v>
      </x:c>
      <x:c r="E1897" s="13" t="n">
        <x:v>15</x:v>
      </x:c>
      <x:c r="F1897" s="13" t="n">
        <x:f>D1897-E1897</x:f>
        <x:v>728.31</x:v>
      </x:c>
      <x:c r="G1897" s="3" t="n">
        <x:v>550</x:v>
      </x:c>
      <x:c r="H1897" s="3" t="n">
        <x:v>12</x:v>
      </x:c>
      <x:c r="I1897" s="3" t="n">
        <x:v>60</x:v>
      </x:c>
      <x:c r="J1897" s="15" t="n">
        <x:f>IF(D1897=0,"n.a.",E1897/D1897)</x:f>
        <x:v>0.020180005650401584</x:v>
      </x:c>
      <x:c r="K1897" s="15" t="n">
        <x:f>F1897/'Datos'!$F$7</x:f>
        <x:v>0.00007437267958249382</x:v>
      </x:c>
      <x:c r="L1897" s="3"/>
    </x:row>
    <x:row r="1898" ht="22" customHeight="1">
      <x:c r="A1898" s="3"/>
      <x:c r="B1898" s="3" t="str">
        <x:v>21677</x:v>
      </x:c>
      <x:c r="C1898" s="3" t="str">
        <x:v>HEARTS STICKERS</x:v>
      </x:c>
      <x:c r="D1898" s="13" t="n">
        <x:v>737.84</x:v>
      </x:c>
      <x:c r="E1898" s="13" t="n">
        <x:v>10.2</x:v>
      </x:c>
      <x:c r="F1898" s="13" t="n">
        <x:f>D1898-E1898</x:f>
        <x:v>727.64</x:v>
      </x:c>
      <x:c r="G1898" s="3" t="n">
        <x:v>835</x:v>
      </x:c>
      <x:c r="H1898" s="3" t="n">
        <x:v>12</x:v>
      </x:c>
      <x:c r="I1898" s="3" t="n">
        <x:v>119</x:v>
      </x:c>
      <x:c r="J1898" s="15" t="n">
        <x:f>IF(D1898=0,"n.a.",E1898/D1898)</x:f>
        <x:v>0.013824135313889188</x:v>
      </x:c>
      <x:c r="K1898" s="15" t="n">
        <x:f>F1898/'Datos'!$F$7</x:f>
        <x:v>0.00007430426133295686</x:v>
      </x:c>
      <x:c r="L1898" s="3"/>
    </x:row>
    <x:row r="1899" ht="22" customHeight="1">
      <x:c r="A1899" s="3"/>
      <x:c r="B1899" s="3" t="str">
        <x:v>20996</x:v>
      </x:c>
      <x:c r="C1899" s="3" t="str">
        <x:v>JAZZ HEARTS ADDRESS BOOK</x:v>
      </x:c>
      <x:c r="D1899" s="13" t="n">
        <x:v>727.46</x:v>
      </x:c>
      <x:c r="E1899" s="13" t="n">
        <x:v>0</x:v>
      </x:c>
      <x:c r="F1899" s="13" t="n">
        <x:f>D1899-E1899</x:f>
        <x:v>727.46</x:v>
      </x:c>
      <x:c r="G1899" s="3" t="n">
        <x:v>3194</x:v>
      </x:c>
      <x:c r="H1899" s="3" t="n">
        <x:v>0</x:v>
      </x:c>
      <x:c r="I1899" s="3" t="n">
        <x:v>225</x:v>
      </x:c>
      <x:c r="J1899" s="15" t="n">
        <x:f>IF(D1899=0,"n.a.",E1899/D1899)</x:f>
        <x:v>0</x:v>
      </x:c>
      <x:c r="K1899" s="15" t="n">
        <x:f>F1899/'Datos'!$F$7</x:f>
        <x:v>0.0000742858803106932</x:v>
      </x:c>
      <x:c r="L1899" s="3"/>
    </x:row>
    <x:row r="1900" ht="22" customHeight="1">
      <x:c r="A1900" s="3"/>
      <x:c r="B1900" s="3" t="str">
        <x:v>23522</x:v>
      </x:c>
      <x:c r="C1900" s="3" t="str">
        <x:v>WALL ART DOG AND BALL</x:v>
      </x:c>
      <x:c r="D1900" s="13" t="n">
        <x:v>727.44</x:v>
      </x:c>
      <x:c r="E1900" s="13" t="n">
        <x:v>0</x:v>
      </x:c>
      <x:c r="F1900" s="13" t="n">
        <x:f>D1900-E1900</x:f>
        <x:v>727.44</x:v>
      </x:c>
      <x:c r="G1900" s="3" t="n">
        <x:v>354</x:v>
      </x:c>
      <x:c r="H1900" s="3" t="n">
        <x:v>0</x:v>
      </x:c>
      <x:c r="I1900" s="3" t="n">
        <x:v>32</x:v>
      </x:c>
      <x:c r="J1900" s="15" t="n">
        <x:f>IF(D1900=0,"n.a.",E1900/D1900)</x:f>
        <x:v>0</x:v>
      </x:c>
      <x:c r="K1900" s="15" t="n">
        <x:f>F1900/'Datos'!$F$7</x:f>
        <x:v>0.00007428383797488613</x:v>
      </x:c>
      <x:c r="L1900" s="3"/>
    </x:row>
    <x:row r="1901" ht="22" customHeight="1">
      <x:c r="A1901" s="3"/>
      <x:c r="B1901" s="3" t="str">
        <x:v>22103</x:v>
      </x:c>
      <x:c r="C1901" s="3" t="str">
        <x:v>MIRROR MOSAIC T-LIGHT HOLDER ROUND</x:v>
      </x:c>
      <x:c r="D1901" s="13" t="n">
        <x:v>928.04</x:v>
      </x:c>
      <x:c r="E1901" s="13" t="n">
        <x:v>201.66</x:v>
      </x:c>
      <x:c r="F1901" s="13" t="n">
        <x:f>D1901-E1901</x:f>
        <x:v>726.38</x:v>
      </x:c>
      <x:c r="G1901" s="3" t="n">
        <x:v>1260</x:v>
      </x:c>
      <x:c r="H1901" s="3" t="n">
        <x:v>482</x:v>
      </x:c>
      <x:c r="I1901" s="3" t="n">
        <x:v>26</x:v>
      </x:c>
      <x:c r="J1901" s="15" t="n">
        <x:f>IF(D1901=0,"n.a.",E1901/D1901)</x:f>
        <x:v>0.21729666824705832</x:v>
      </x:c>
      <x:c r="K1901" s="15" t="n">
        <x:f>F1901/'Datos'!$F$7</x:f>
        <x:v>0.00007417559417711121</x:v>
      </x:c>
      <x:c r="L1901" s="3"/>
    </x:row>
    <x:row r="1902" ht="22" customHeight="1">
      <x:c r="A1902" s="3"/>
      <x:c r="B1902" s="3" t="str">
        <x:v>85131D</x:v>
      </x:c>
      <x:c r="C1902" s="3" t="str">
        <x:v>BEADED CRYSTAL HEART PINK ON STICK</x:v>
      </x:c>
      <x:c r="D1902" s="13" t="n">
        <x:v>725.26</x:v>
      </x:c>
      <x:c r="E1902" s="13" t="n">
        <x:v>0</x:v>
      </x:c>
      <x:c r="F1902" s="13" t="n">
        <x:f>D1902-E1902</x:f>
        <x:v>725.26</x:v>
      </x:c>
      <x:c r="G1902" s="3" t="n">
        <x:v>850</x:v>
      </x:c>
      <x:c r="H1902" s="3" t="n">
        <x:v>0</x:v>
      </x:c>
      <x:c r="I1902" s="3" t="n">
        <x:v>206</x:v>
      </x:c>
      <x:c r="J1902" s="15" t="n">
        <x:f>IF(D1902=0,"n.a.",E1902/D1902)</x:f>
        <x:v>0</x:v>
      </x:c>
      <x:c r="K1902" s="15" t="n">
        <x:f>F1902/'Datos'!$F$7</x:f>
        <x:v>0.00007406122337191508</x:v>
      </x:c>
      <x:c r="L1902" s="3"/>
    </x:row>
    <x:row r="1903" ht="22" customHeight="1">
      <x:c r="A1903" s="3"/>
      <x:c r="B1903" s="3" t="str">
        <x:v>21883</x:v>
      </x:c>
      <x:c r="C1903" s="3" t="str">
        <x:v>STARS GIFT TAPE</x:v>
      </x:c>
      <x:c r="D1903" s="13" t="n">
        <x:v>725.42</x:v>
      </x:c>
      <x:c r="E1903" s="13" t="n">
        <x:v>0.19</x:v>
      </x:c>
      <x:c r="F1903" s="13" t="n">
        <x:f>D1903-E1903</x:f>
        <x:v>725.2299999999999</x:v>
      </x:c>
      <x:c r="G1903" s="3" t="n">
        <x:v>1653</x:v>
      </x:c>
      <x:c r="H1903" s="3" t="n">
        <x:v>1</x:v>
      </x:c>
      <x:c r="I1903" s="3" t="n">
        <x:v>133</x:v>
      </x:c>
      <x:c r="J1903" s="15" t="n">
        <x:f>IF(D1903=0,"n.a.",E1903/D1903)</x:f>
        <x:v>0.00026191723415400735</x:v>
      </x:c>
      <x:c r="K1903" s="15" t="n">
        <x:f>F1903/'Datos'!$F$7</x:f>
        <x:v>0.00007405815986820446</x:v>
      </x:c>
      <x:c r="L1903" s="3"/>
    </x:row>
    <x:row r="1904" ht="22" customHeight="1">
      <x:c r="A1904" s="3"/>
      <x:c r="B1904" s="3" t="str">
        <x:v>23114</x:v>
      </x:c>
      <x:c r="C1904" s="3" t="str">
        <x:v>VINTAGE LEAF CHOPPING BOARD</x:v>
      </x:c>
      <x:c r="D1904" s="13" t="n">
        <x:v>737.95</x:v>
      </x:c>
      <x:c r="E1904" s="13" t="n">
        <x:v>14.85</x:v>
      </x:c>
      <x:c r="F1904" s="13" t="n">
        <x:f>D1904-E1904</x:f>
        <x:v>723.1</x:v>
      </x:c>
      <x:c r="G1904" s="3" t="n">
        <x:v>149</x:v>
      </x:c>
      <x:c r="H1904" s="3" t="n">
        <x:v>3</x:v>
      </x:c>
      <x:c r="I1904" s="3" t="n">
        <x:v>45</x:v>
      </x:c>
      <x:c r="J1904" s="15" t="n">
        <x:f>IF(D1904=0,"n.a.",E1904/D1904)</x:f>
        <x:v>0.020123314587709194</x:v>
      </x:c>
      <x:c r="K1904" s="15" t="n">
        <x:f>F1904/'Datos'!$F$7</x:f>
        <x:v>0.00007384065110475113</x:v>
      </x:c>
      <x:c r="L1904" s="3"/>
    </x:row>
    <x:row r="1905" ht="22" customHeight="1">
      <x:c r="A1905" s="3"/>
      <x:c r="B1905" s="3" t="str">
        <x:v>22821</x:v>
      </x:c>
      <x:c r="C1905" s="3" t="str">
        <x:v>GIFT BAG PSYCHEDELIC APPLES</x:v>
      </x:c>
      <x:c r="D1905" s="13" t="n">
        <x:v>730.47</x:v>
      </x:c>
      <x:c r="E1905" s="13" t="n">
        <x:v>7.8</x:v>
      </x:c>
      <x:c r="F1905" s="13" t="n">
        <x:f>D1905-E1905</x:f>
        <x:v>722.6700000000001</x:v>
      </x:c>
      <x:c r="G1905" s="3" t="n">
        <x:v>1183</x:v>
      </x:c>
      <x:c r="H1905" s="3" t="n">
        <x:v>12</x:v>
      </x:c>
      <x:c r="I1905" s="3" t="n">
        <x:v>139</x:v>
      </x:c>
      <x:c r="J1905" s="15" t="n">
        <x:f>IF(D1905=0,"n.a.",E1905/D1905)</x:f>
        <x:v>0.010678056593699945</x:v>
      </x:c>
      <x:c r="K1905" s="15" t="n">
        <x:f>F1905/'Datos'!$F$7</x:f>
        <x:v>0.00007379674088489904</x:v>
      </x:c>
      <x:c r="L1905" s="3"/>
    </x:row>
    <x:row r="1906" ht="22" customHeight="1">
      <x:c r="A1906" s="3"/>
      <x:c r="B1906" s="3" t="str">
        <x:v>72803A</x:v>
      </x:c>
      <x:c r="C1906" s="3" t="str">
        <x:v>ROSE SCENT CANDLE JEWELLED DRAWER</x:v>
      </x:c>
      <x:c r="D1906" s="13" t="n">
        <x:v>730.97</x:v>
      </x:c>
      <x:c r="E1906" s="13" t="n">
        <x:v>8.5</x:v>
      </x:c>
      <x:c r="F1906" s="13" t="n">
        <x:f>D1906-E1906</x:f>
        <x:v>722.47</x:v>
      </x:c>
      <x:c r="G1906" s="3" t="n">
        <x:v>531</x:v>
      </x:c>
      <x:c r="H1906" s="3" t="n">
        <x:v>2</x:v>
      </x:c>
      <x:c r="I1906" s="3" t="n">
        <x:v>41</x:v>
      </x:c>
      <x:c r="J1906" s="15" t="n">
        <x:f>IF(D1906=0,"n.a.",E1906/D1906)</x:f>
        <x:v>0.011628384201814028</x:v>
      </x:c>
      <x:c r="K1906" s="15" t="n">
        <x:f>F1906/'Datos'!$F$7</x:f>
        <x:v>0.0000737763175268283</x:v>
      </x:c>
      <x:c r="L1906" s="3"/>
    </x:row>
    <x:row r="1907" ht="22" customHeight="1">
      <x:c r="A1907" s="3"/>
      <x:c r="B1907" s="3" t="str">
        <x:v>21927</x:v>
      </x:c>
      <x:c r="C1907" s="3" t="str">
        <x:v>BLUE/CREAM STRIPE CUSHION COVER</x:v>
      </x:c>
      <x:c r="D1907" s="13" t="n">
        <x:v>771.15</x:v>
      </x:c>
      <x:c r="E1907" s="13" t="n">
        <x:v>48.75</x:v>
      </x:c>
      <x:c r="F1907" s="13" t="n">
        <x:f>D1907-E1907</x:f>
        <x:v>722.4</x:v>
      </x:c>
      <x:c r="G1907" s="3" t="n">
        <x:v>623</x:v>
      </x:c>
      <x:c r="H1907" s="3" t="n">
        <x:v>39</x:v>
      </x:c>
      <x:c r="I1907" s="3" t="n">
        <x:v>99</x:v>
      </x:c>
      <x:c r="J1907" s="15" t="n">
        <x:f>IF(D1907=0,"n.a.",E1907/D1907)</x:f>
        <x:v>0.06321727290410427</x:v>
      </x:c>
      <x:c r="K1907" s="15" t="n">
        <x:f>F1907/'Datos'!$F$7</x:f>
        <x:v>0.00007376916935150353</x:v>
      </x:c>
      <x:c r="L1907" s="3"/>
    </x:row>
    <x:row r="1908" ht="22" customHeight="1">
      <x:c r="A1908" s="3"/>
      <x:c r="B1908" s="3" t="str">
        <x:v>21530</x:v>
      </x:c>
      <x:c r="C1908" s="3" t="str">
        <x:v>DAIRY MAID TOASTRACK</x:v>
      </x:c>
      <x:c r="D1908" s="13" t="n">
        <x:v>769.57</x:v>
      </x:c>
      <x:c r="E1908" s="13" t="n">
        <x:v>48.19</x:v>
      </x:c>
      <x:c r="F1908" s="13" t="n">
        <x:f>D1908-E1908</x:f>
        <x:v>721.3800000000001</x:v>
      </x:c>
      <x:c r="G1908" s="3" t="n">
        <x:v>777</x:v>
      </x:c>
      <x:c r="H1908" s="3" t="n">
        <x:v>61</x:v>
      </x:c>
      <x:c r="I1908" s="3" t="n">
        <x:v>104</x:v>
      </x:c>
      <x:c r="J1908" s="15" t="n">
        <x:f>IF(D1908=0,"n.a.",E1908/D1908)</x:f>
        <x:v>0.06261938485128057</x:v>
      </x:c>
      <x:c r="K1908" s="15" t="n">
        <x:f>F1908/'Datos'!$F$7</x:f>
        <x:v>0.00007366501022534278</x:v>
      </x:c>
      <x:c r="L1908" s="3"/>
    </x:row>
    <x:row r="1909" ht="22" customHeight="1">
      <x:c r="A1909" s="3"/>
      <x:c r="B1909" s="3" t="str">
        <x:v>46775D</x:v>
      </x:c>
      <x:c r="C1909" s="3" t="str">
        <x:v>SUNSET COLOUR CHUNKY KNITTED THROW</x:v>
      </x:c>
      <x:c r="D1909" s="13" t="n">
        <x:v>720.93</x:v>
      </x:c>
      <x:c r="E1909" s="13" t="n">
        <x:v>0</x:v>
      </x:c>
      <x:c r="F1909" s="13" t="n">
        <x:f>D1909-E1909</x:f>
        <x:v>720.93</x:v>
      </x:c>
      <x:c r="G1909" s="3" t="n">
        <x:v>60</x:v>
      </x:c>
      <x:c r="H1909" s="3" t="n">
        <x:v>0</x:v>
      </x:c>
      <x:c r="I1909" s="3" t="n">
        <x:v>39</x:v>
      </x:c>
      <x:c r="J1909" s="15" t="n">
        <x:f>IF(D1909=0,"n.a.",E1909/D1909)</x:f>
        <x:v>0</x:v>
      </x:c>
      <x:c r="K1909" s="15" t="n">
        <x:f>F1909/'Datos'!$F$7</x:f>
        <x:v>0.00007361905766968362</x:v>
      </x:c>
      <x:c r="L1909" s="3"/>
    </x:row>
    <x:row r="1910" ht="22" customHeight="1">
      <x:c r="A1910" s="3"/>
      <x:c r="B1910" s="3" t="str">
        <x:v>79067</x:v>
      </x:c>
      <x:c r="C1910" s="3" t="str">
        <x:v>CORONA MEXICAN TRAY</x:v>
      </x:c>
      <x:c r="D1910" s="13" t="n">
        <x:v>719.69</x:v>
      </x:c>
      <x:c r="E1910" s="13" t="n">
        <x:v>0</x:v>
      </x:c>
      <x:c r="F1910" s="13" t="n">
        <x:f>D1910-E1910</x:f>
        <x:v>719.69</x:v>
      </x:c>
      <x:c r="G1910" s="3" t="n">
        <x:v>172</x:v>
      </x:c>
      <x:c r="H1910" s="3" t="n">
        <x:v>0</x:v>
      </x:c>
      <x:c r="I1910" s="3" t="n">
        <x:v>38</x:v>
      </x:c>
      <x:c r="J1910" s="15" t="n">
        <x:f>IF(D1910=0,"n.a.",E1910/D1910)</x:f>
        <x:v>0</x:v>
      </x:c>
      <x:c r="K1910" s="15" t="n">
        <x:f>F1910/'Datos'!$F$7</x:f>
        <x:v>0.00007349243284964505</x:v>
      </x:c>
      <x:c r="L1910" s="3"/>
    </x:row>
    <x:row r="1911" ht="22" customHeight="1">
      <x:c r="A1911" s="3"/>
      <x:c r="B1911" s="3" t="str">
        <x:v>22718</x:v>
      </x:c>
      <x:c r="C1911" s="3" t="str">
        <x:v>CARD CAT AND TREE</x:v>
      </x:c>
      <x:c r="D1911" s="13" t="n">
        <x:v>727.31</x:v>
      </x:c>
      <x:c r="E1911" s="13" t="n">
        <x:v>10.08</x:v>
      </x:c>
      <x:c r="F1911" s="13" t="n">
        <x:f>D1911-E1911</x:f>
        <x:v>717.2299999999999</x:v>
      </x:c>
      <x:c r="G1911" s="3" t="n">
        <x:v>1657</x:v>
      </x:c>
      <x:c r="H1911" s="3" t="n">
        <x:v>24</x:v>
      </x:c>
      <x:c r="I1911" s="3" t="n">
        <x:v>168</x:v>
      </x:c>
      <x:c r="J1911" s="15" t="n">
        <x:f>IF(D1911=0,"n.a.",E1911/D1911)</x:f>
        <x:v>0.013859289711402292</x:v>
      </x:c>
      <x:c r="K1911" s="15" t="n">
        <x:f>F1911/'Datos'!$F$7</x:f>
        <x:v>0.00007324122554537496</x:v>
      </x:c>
      <x:c r="L1911" s="3"/>
    </x:row>
    <x:row r="1912" ht="22" customHeight="1">
      <x:c r="A1912" s="3"/>
      <x:c r="B1912" s="3" t="str">
        <x:v>84581</x:v>
      </x:c>
      <x:c r="C1912" s="3" t="str">
        <x:v>DOG TOY WITH PINK CROCHET SKIRT</x:v>
      </x:c>
      <x:c r="D1912" s="13" t="n">
        <x:v>717.21</x:v>
      </x:c>
      <x:c r="E1912" s="13" t="n">
        <x:v>0</x:v>
      </x:c>
      <x:c r="F1912" s="13" t="n">
        <x:f>D1912-E1912</x:f>
        <x:v>717.21</x:v>
      </x:c>
      <x:c r="G1912" s="3" t="n">
        <x:v>189</x:v>
      </x:c>
      <x:c r="H1912" s="3" t="n">
        <x:v>0</x:v>
      </x:c>
      <x:c r="I1912" s="3" t="n">
        <x:v>90</x:v>
      </x:c>
      <x:c r="J1912" s="15" t="n">
        <x:f>IF(D1912=0,"n.a.",E1912/D1912)</x:f>
        <x:v>0</x:v>
      </x:c>
      <x:c r="K1912" s="15" t="n">
        <x:f>F1912/'Datos'!$F$7</x:f>
        <x:v>0.0000732391832095679</x:v>
      </x:c>
      <x:c r="L1912" s="3"/>
    </x:row>
    <x:row r="1913" ht="22" customHeight="1">
      <x:c r="A1913" s="3"/>
      <x:c r="B1913" s="3" t="str">
        <x:v>23140</x:v>
      </x:c>
      <x:c r="C1913" s="3" t="str">
        <x:v>TRIPLE WIRE HOOK IVORY HEART</x:v>
      </x:c>
      <x:c r="D1913" s="13" t="n">
        <x:v>766.1</x:v>
      </x:c>
      <x:c r="E1913" s="13" t="n">
        <x:v>49.8</x:v>
      </x:c>
      <x:c r="F1913" s="13" t="n">
        <x:f>D1913-E1913</x:f>
        <x:v>716.3000000000001</x:v>
      </x:c>
      <x:c r="G1913" s="3" t="n">
        <x:v>182</x:v>
      </x:c>
      <x:c r="H1913" s="3" t="n">
        <x:v>12</x:v>
      </x:c>
      <x:c r="I1913" s="3" t="n">
        <x:v>52</x:v>
      </x:c>
      <x:c r="J1913" s="15" t="n">
        <x:f>IF(D1913=0,"n.a.",E1913/D1913)</x:f>
        <x:v>0.0650045685941783</x:v>
      </x:c>
      <x:c r="K1913" s="15" t="n">
        <x:f>F1913/'Datos'!$F$7</x:f>
        <x:v>0.00007314625693034605</x:v>
      </x:c>
      <x:c r="L1913" s="3"/>
    </x:row>
    <x:row r="1914" ht="22" customHeight="1">
      <x:c r="A1914" s="3"/>
      <x:c r="B1914" s="3" t="str">
        <x:v>22287</x:v>
      </x:c>
      <x:c r="C1914" s="3" t="str">
        <x:v>DECORATION WOBBLY CHICKEN</x:v>
      </x:c>
      <x:c r="D1914" s="13" t="n">
        <x:v>720.16</x:v>
      </x:c>
      <x:c r="E1914" s="13" t="n">
        <x:v>4.68</x:v>
      </x:c>
      <x:c r="F1914" s="13" t="n">
        <x:f>D1914-E1914</x:f>
        <x:v>715.48</x:v>
      </x:c>
      <x:c r="G1914" s="3" t="n">
        <x:v>796</x:v>
      </x:c>
      <x:c r="H1914" s="3" t="n">
        <x:v>12</x:v>
      </x:c>
      <x:c r="I1914" s="3" t="n">
        <x:v>80</x:v>
      </x:c>
      <x:c r="J1914" s="15" t="n">
        <x:f>IF(D1914=0,"n.a.",E1914/D1914)</x:f>
        <x:v>0.006498555876471895</x:v>
      </x:c>
      <x:c r="K1914" s="15" t="n">
        <x:f>F1914/'Datos'!$F$7</x:f>
        <x:v>0.00007306252116225602</x:v>
      </x:c>
      <x:c r="L1914" s="3"/>
    </x:row>
    <x:row r="1915" ht="22" customHeight="1">
      <x:c r="A1915" s="3"/>
      <x:c r="B1915" s="3" t="str">
        <x:v>21775</x:v>
      </x:c>
      <x:c r="C1915" s="3" t="str">
        <x:v>DECORATIVE FLORE BATHROOM BOTTLE</x:v>
      </x:c>
      <x:c r="D1915" s="13" t="n">
        <x:v>716.86</x:v>
      </x:c>
      <x:c r="E1915" s="13" t="n">
        <x:v>3.75</x:v>
      </x:c>
      <x:c r="F1915" s="13" t="n">
        <x:f>D1915-E1915</x:f>
        <x:v>713.11</x:v>
      </x:c>
      <x:c r="G1915" s="3" t="n">
        <x:v>515</x:v>
      </x:c>
      <x:c r="H1915" s="3" t="n">
        <x:v>3</x:v>
      </x:c>
      <x:c r="I1915" s="3" t="n">
        <x:v>139</x:v>
      </x:c>
      <x:c r="J1915" s="15" t="n">
        <x:f>IF(D1915=0,"n.a.",E1915/D1915)</x:f>
        <x:v>0.0052311469464051555</x:v>
      </x:c>
      <x:c r="K1915" s="15" t="n">
        <x:f>F1915/'Datos'!$F$7</x:f>
        <x:v>0.00007282050436911778</x:v>
      </x:c>
      <x:c r="L1915" s="3"/>
    </x:row>
    <x:row r="1916" ht="22" customHeight="1">
      <x:c r="A1916" s="3"/>
      <x:c r="B1916" s="3" t="str">
        <x:v>22684</x:v>
      </x:c>
      <x:c r="C1916" s="3" t="str">
        <x:v>FRENCH BLUE METAL DOOR SIGN 9</x:v>
      </x:c>
      <x:c r="D1916" s="13" t="n">
        <x:v>728.57</x:v>
      </x:c>
      <x:c r="E1916" s="13" t="n">
        <x:v>16.25</x:v>
      </x:c>
      <x:c r="F1916" s="13" t="n">
        <x:f>D1916-E1916</x:f>
        <x:v>712.32</x:v>
      </x:c>
      <x:c r="G1916" s="3" t="n">
        <x:v>533</x:v>
      </x:c>
      <x:c r="H1916" s="3" t="n">
        <x:v>13</x:v>
      </x:c>
      <x:c r="I1916" s="3" t="n">
        <x:v>98</x:v>
      </x:c>
      <x:c r="J1916" s="15" t="n">
        <x:f>IF(D1916=0,"n.a.",E1916/D1916)</x:f>
        <x:v>0.02230396530189275</x:v>
      </x:c>
      <x:c r="K1916" s="15" t="n">
        <x:f>F1916/'Datos'!$F$7</x:f>
        <x:v>0.00007273983210473838</x:v>
      </x:c>
      <x:c r="L1916" s="3"/>
    </x:row>
    <x:row r="1917" ht="22" customHeight="1">
      <x:c r="A1917" s="3"/>
      <x:c r="B1917" s="3" t="str">
        <x:v>22026</x:v>
      </x:c>
      <x:c r="C1917" s="3" t="str">
        <x:v>BANQUET BIRTHDAY CARD</x:v>
      </x:c>
      <x:c r="D1917" s="13" t="n">
        <x:v>717.12</x:v>
      </x:c>
      <x:c r="E1917" s="13" t="n">
        <x:v>5.04</x:v>
      </x:c>
      <x:c r="F1917" s="13" t="n">
        <x:f>D1917-E1917</x:f>
        <x:v>712.08</x:v>
      </x:c>
      <x:c r="G1917" s="3" t="n">
        <x:v>1656</x:v>
      </x:c>
      <x:c r="H1917" s="3" t="n">
        <x:v>12</x:v>
      </x:c>
      <x:c r="I1917" s="3" t="n">
        <x:v>160</x:v>
      </x:c>
      <x:c r="J1917" s="15" t="n">
        <x:f>IF(D1917=0,"n.a.",E1917/D1917)</x:f>
        <x:v>0.007028112449799197</x:v>
      </x:c>
      <x:c r="K1917" s="15" t="n">
        <x:f>F1917/'Datos'!$F$7</x:f>
        <x:v>0.00007271532407505349</x:v>
      </x:c>
      <x:c r="L1917" s="3"/>
    </x:row>
    <x:row r="1918" ht="22" customHeight="1">
      <x:c r="A1918" s="3"/>
      <x:c r="B1918" s="3" t="str">
        <x:v>85032C</x:v>
      </x:c>
      <x:c r="C1918" s="3" t="str">
        <x:v>CURIOUS IMAGES GIFT WRAP SET</x:v>
      </x:c>
      <x:c r="D1918" s="13" t="n">
        <x:v>719.84</x:v>
      </x:c>
      <x:c r="E1918" s="13" t="n">
        <x:v>7.8</x:v>
      </x:c>
      <x:c r="F1918" s="13" t="n">
        <x:f>D1918-E1918</x:f>
        <x:v>712.0400000000001</x:v>
      </x:c>
      <x:c r="G1918" s="3" t="n">
        <x:v>685</x:v>
      </x:c>
      <x:c r="H1918" s="3" t="n">
        <x:v>12</x:v>
      </x:c>
      <x:c r="I1918" s="3" t="n">
        <x:v>140</x:v>
      </x:c>
      <x:c r="J1918" s="15" t="n">
        <x:f>IF(D1918=0,"n.a.",E1918/D1918)</x:f>
        <x:v>0.010835741275839075</x:v>
      </x:c>
      <x:c r="K1918" s="15" t="n">
        <x:f>F1918/'Datos'!$F$7</x:f>
        <x:v>0.00007271123940343935</x:v>
      </x:c>
      <x:c r="L1918" s="3"/>
    </x:row>
    <x:row r="1919" ht="22" customHeight="1">
      <x:c r="A1919" s="3"/>
      <x:c r="B1919" s="3" t="str">
        <x:v>23325</x:v>
      </x:c>
      <x:c r="C1919" s="3" t="str">
        <x:v>RUSTIC STRAWBERRY JAM POT SMALL</x:v>
      </x:c>
      <x:c r="D1919" s="13" t="n">
        <x:v>740.94</x:v>
      </x:c>
      <x:c r="E1919" s="13" t="n">
        <x:v>29.7</x:v>
      </x:c>
      <x:c r="F1919" s="13" t="n">
        <x:f>D1919-E1919</x:f>
        <x:v>711.24</x:v>
      </x:c>
      <x:c r="G1919" s="3" t="n">
        <x:v>462</x:v>
      </x:c>
      <x:c r="H1919" s="3" t="n">
        <x:v>18</x:v>
      </x:c>
      <x:c r="I1919" s="3" t="n">
        <x:v>35</x:v>
      </x:c>
      <x:c r="J1919" s="15" t="n">
        <x:f>IF(D1919=0,"n.a.",E1919/D1919)</x:f>
        <x:v>0.040084217345534044</x:v>
      </x:c>
      <x:c r="K1919" s="15" t="n">
        <x:f>F1919/'Datos'!$F$7</x:f>
        <x:v>0.00007262954597115639</x:v>
      </x:c>
      <x:c r="L1919" s="3"/>
    </x:row>
    <x:row r="1920" ht="22" customHeight="1">
      <x:c r="A1920" s="3"/>
      <x:c r="B1920" s="3" t="str">
        <x:v>23055</x:v>
      </x:c>
      <x:c r="C1920" s="3" t="str">
        <x:v>IVORY CHANDELIER T-LIGHT HOLDER</x:v>
      </x:c>
      <x:c r="D1920" s="13" t="n">
        <x:v>1401.43</x:v>
      </x:c>
      <x:c r="E1920" s="13" t="n">
        <x:v>690.72</x:v>
      </x:c>
      <x:c r="F1920" s="13" t="n">
        <x:f>D1920-E1920</x:f>
        <x:v>710.71</x:v>
      </x:c>
      <x:c r="G1920" s="3" t="n">
        <x:v>658</x:v>
      </x:c>
      <x:c r="H1920" s="3" t="n">
        <x:v>432</x:v>
      </x:c>
      <x:c r="I1920" s="3" t="n">
        <x:v>38</x:v>
      </x:c>
      <x:c r="J1920" s="15" t="n">
        <x:f>IF(D1920=0,"n.a.",E1920/D1920)</x:f>
        <x:v>0.49286799911518947</x:v>
      </x:c>
      <x:c r="K1920" s="15" t="n">
        <x:f>F1920/'Datos'!$F$7</x:f>
        <x:v>0.00007257542407226893</x:v>
      </x:c>
      <x:c r="L1920" s="3"/>
    </x:row>
    <x:row r="1921" ht="22" customHeight="1">
      <x:c r="A1921" s="3"/>
      <x:c r="B1921" s="3" t="str">
        <x:v>21636</x:v>
      </x:c>
      <x:c r="C1921" s="3" t="str">
        <x:v>MADRAS NOTEBOOK MEDIUM</x:v>
      </x:c>
      <x:c r="D1921" s="13" t="n">
        <x:v>709.66</x:v>
      </x:c>
      <x:c r="E1921" s="13" t="n">
        <x:v>0</x:v>
      </x:c>
      <x:c r="F1921" s="13" t="n">
        <x:f>D1921-E1921</x:f>
        <x:v>709.66</x:v>
      </x:c>
      <x:c r="G1921" s="3" t="n">
        <x:v>919</x:v>
      </x:c>
      <x:c r="H1921" s="3" t="n">
        <x:v>0</x:v>
      </x:c>
      <x:c r="I1921" s="3" t="n">
        <x:v>73</x:v>
      </x:c>
      <x:c r="J1921" s="15" t="n">
        <x:f>IF(D1921=0,"n.a.",E1921/D1921)</x:f>
        <x:v>0</x:v>
      </x:c>
      <x:c r="K1921" s="15" t="n">
        <x:f>F1921/'Datos'!$F$7</x:f>
        <x:v>0.00007246820144239756</x:v>
      </x:c>
      <x:c r="L1921" s="3"/>
    </x:row>
    <x:row r="1922" ht="22" customHeight="1">
      <x:c r="A1922" s="3"/>
      <x:c r="B1922" s="3" t="str">
        <x:v>23070</x:v>
      </x:c>
      <x:c r="C1922" s="3" t="str">
        <x:v>EDWARDIAN HEART PHOTO FRAME</x:v>
      </x:c>
      <x:c r="D1922" s="13" t="n">
        <x:v>709.54</x:v>
      </x:c>
      <x:c r="E1922" s="13" t="n">
        <x:v>0</x:v>
      </x:c>
      <x:c r="F1922" s="13" t="n">
        <x:f>D1922-E1922</x:f>
        <x:v>709.54</x:v>
      </x:c>
      <x:c r="G1922" s="3" t="n">
        <x:v>160</x:v>
      </x:c>
      <x:c r="H1922" s="3" t="n">
        <x:v>0</x:v>
      </x:c>
      <x:c r="I1922" s="3" t="n">
        <x:v>44</x:v>
      </x:c>
      <x:c r="J1922" s="15" t="n">
        <x:f>IF(D1922=0,"n.a.",E1922/D1922)</x:f>
        <x:v>0</x:v>
      </x:c>
      <x:c r="K1922" s="15" t="n">
        <x:f>F1922/'Datos'!$F$7</x:f>
        <x:v>0.00007245594742755512</x:v>
      </x:c>
      <x:c r="L1922" s="3"/>
    </x:row>
    <x:row r="1923" ht="22" customHeight="1">
      <x:c r="A1923" s="3"/>
      <x:c r="B1923" s="3" t="str">
        <x:v>84796A</x:v>
      </x:c>
      <x:c r="C1923" s="3" t="str">
        <x:v>PINK HAWAIIAN PICNIC HAMPER FOR 2</x:v>
      </x:c>
      <x:c r="D1923" s="13" t="n">
        <x:v>709.24</x:v>
      </x:c>
      <x:c r="E1923" s="13" t="n">
        <x:v>0</x:v>
      </x:c>
      <x:c r="F1923" s="13" t="n">
        <x:f>D1923-E1923</x:f>
        <x:v>709.24</x:v>
      </x:c>
      <x:c r="G1923" s="3" t="n">
        <x:v>78</x:v>
      </x:c>
      <x:c r="H1923" s="3" t="n">
        <x:v>0</x:v>
      </x:c>
      <x:c r="I1923" s="3" t="n">
        <x:v>55</x:v>
      </x:c>
      <x:c r="J1923" s="15" t="n">
        <x:f>IF(D1923=0,"n.a.",E1923/D1923)</x:f>
        <x:v>0</x:v>
      </x:c>
      <x:c r="K1923" s="15" t="n">
        <x:f>F1923/'Datos'!$F$7</x:f>
        <x:v>0.00007242531239044901</x:v>
      </x:c>
      <x:c r="L1923" s="3"/>
    </x:row>
    <x:row r="1924" ht="22" customHeight="1">
      <x:c r="A1924" s="3"/>
      <x:c r="B1924" s="3" t="str">
        <x:v>21630</x:v>
      </x:c>
      <x:c r="C1924" s="3" t="str">
        <x:v>FLOOR CUSHION ELEPHANT CARNIVAL</x:v>
      </x:c>
      <x:c r="D1924" s="13" t="n">
        <x:v>718.14</x:v>
      </x:c>
      <x:c r="E1924" s="13" t="n">
        <x:v>8.95</x:v>
      </x:c>
      <x:c r="F1924" s="13" t="n">
        <x:f>D1924-E1924</x:f>
        <x:v>709.1899999999999</x:v>
      </x:c>
      <x:c r="G1924" s="3" t="n">
        <x:v>69</x:v>
      </x:c>
      <x:c r="H1924" s="3" t="n">
        <x:v>1</x:v>
      </x:c>
      <x:c r="I1924" s="3" t="n">
        <x:v>35</x:v>
      </x:c>
      <x:c r="J1924" s="15" t="n">
        <x:f>IF(D1924=0,"n.a.",E1924/D1924)</x:f>
        <x:v>0.012462750995627592</x:v>
      </x:c>
      <x:c r="K1924" s="15" t="n">
        <x:f>F1924/'Datos'!$F$7</x:f>
        <x:v>0.00007242020655093132</x:v>
      </x:c>
      <x:c r="L1924" s="3"/>
    </x:row>
    <x:row r="1925" ht="22" customHeight="1">
      <x:c r="A1925" s="3"/>
      <x:c r="B1925" s="3" t="str">
        <x:v>21739</x:v>
      </x:c>
      <x:c r="C1925" s="3" t="str">
        <x:v>COSY SLIPPER SHOES SMALL GREEN</x:v>
      </x:c>
      <x:c r="D1925" s="13" t="n">
        <x:v>708.98</x:v>
      </x:c>
      <x:c r="E1925" s="13" t="n">
        <x:v>0</x:v>
      </x:c>
      <x:c r="F1925" s="13" t="n">
        <x:f>D1925-E1925</x:f>
        <x:v>708.98</x:v>
      </x:c>
      <x:c r="G1925" s="3" t="n">
        <x:v>256</x:v>
      </x:c>
      <x:c r="H1925" s="3" t="n">
        <x:v>0</x:v>
      </x:c>
      <x:c r="I1925" s="3" t="n">
        <x:v>111</x:v>
      </x:c>
      <x:c r="J1925" s="15" t="n">
        <x:f>IF(D1925=0,"n.a.",E1925/D1925)</x:f>
        <x:v>0</x:v>
      </x:c>
      <x:c r="K1925" s="15" t="n">
        <x:f>F1925/'Datos'!$F$7</x:f>
        <x:v>0.00007239876202495706</x:v>
      </x:c>
      <x:c r="L1925" s="3"/>
    </x:row>
    <x:row r="1926" ht="22" customHeight="1">
      <x:c r="A1926" s="3"/>
      <x:c r="B1926" s="3" t="str">
        <x:v>22201</x:v>
      </x:c>
      <x:c r="C1926" s="3" t="str">
        <x:v>FRYING PAN BLUE POLKADOT</x:v>
      </x:c>
      <x:c r="D1926" s="13" t="n">
        <x:v>716.8</x:v>
      </x:c>
      <x:c r="E1926" s="13" t="n">
        <x:v>8.5</x:v>
      </x:c>
      <x:c r="F1926" s="13" t="n">
        <x:f>D1926-E1926</x:f>
        <x:v>708.3</x:v>
      </x:c>
      <x:c r="G1926" s="3" t="n">
        <x:v>193</x:v>
      </x:c>
      <x:c r="H1926" s="3" t="n">
        <x:v>2</x:v>
      </x:c>
      <x:c r="I1926" s="3" t="n">
        <x:v>87</x:v>
      </x:c>
      <x:c r="J1926" s="15" t="n">
        <x:f>IF(D1926=0,"n.a.",E1926/D1926)</x:f>
        <x:v>0.01185825892857143</x:v>
      </x:c>
      <x:c r="K1926" s="15" t="n">
        <x:f>F1926/'Datos'!$F$7</x:f>
        <x:v>0.00007232932260751654</x:v>
      </x:c>
      <x:c r="L1926" s="3"/>
    </x:row>
    <x:row r="1927" ht="22" customHeight="1">
      <x:c r="A1927" s="3"/>
      <x:c r="B1927" s="3" t="str">
        <x:v>79066K</x:v>
      </x:c>
      <x:c r="C1927" s="3" t="str">
        <x:v>RETRO MOD TRAY</x:v>
      </x:c>
      <x:c r="D1927" s="13" t="n">
        <x:v>717.11</x:v>
      </x:c>
      <x:c r="E1927" s="13" t="n">
        <x:v>10.2</x:v>
      </x:c>
      <x:c r="F1927" s="13" t="n">
        <x:f>D1927-E1927</x:f>
        <x:v>706.91</x:v>
      </x:c>
      <x:c r="G1927" s="3" t="n">
        <x:v>800</x:v>
      </x:c>
      <x:c r="H1927" s="3" t="n">
        <x:v>12</x:v>
      </x:c>
      <x:c r="I1927" s="3" t="n">
        <x:v>156</x:v>
      </x:c>
      <x:c r="J1927" s="15" t="n">
        <x:f>IF(D1927=0,"n.a.",E1927/D1927)</x:f>
        <x:v>0.014223759255902161</x:v>
      </x:c>
      <x:c r="K1927" s="15" t="n">
        <x:f>F1927/'Datos'!$F$7</x:f>
        <x:v>0.00007218738026892492</x:v>
      </x:c>
      <x:c r="L1927" s="3"/>
    </x:row>
    <x:row r="1928" ht="22" customHeight="1">
      <x:c r="A1928" s="3"/>
      <x:c r="B1928" s="3" t="str">
        <x:v>22514</x:v>
      </x:c>
      <x:c r="C1928" s="3" t="str">
        <x:v>CHILDS GARDEN SPADE BLUE</x:v>
      </x:c>
      <x:c r="D1928" s="13" t="n">
        <x:v>706.55</x:v>
      </x:c>
      <x:c r="E1928" s="13" t="n">
        <x:v>0</x:v>
      </x:c>
      <x:c r="F1928" s="13" t="n">
        <x:f>D1928-E1928</x:f>
        <x:v>706.55</x:v>
      </x:c>
      <x:c r="G1928" s="3" t="n">
        <x:v>303</x:v>
      </x:c>
      <x:c r="H1928" s="3" t="n">
        <x:v>0</x:v>
      </x:c>
      <x:c r="I1928" s="3" t="n">
        <x:v>99</x:v>
      </x:c>
      <x:c r="J1928" s="15" t="n">
        <x:f>IF(D1928=0,"n.a.",E1928/D1928)</x:f>
        <x:v>0</x:v>
      </x:c>
      <x:c r="K1928" s="15" t="n">
        <x:f>F1928/'Datos'!$F$7</x:f>
        <x:v>0.0000721506182243976</x:v>
      </x:c>
      <x:c r="L1928" s="3"/>
    </x:row>
    <x:row r="1929" ht="22" customHeight="1">
      <x:c r="A1929" s="3"/>
      <x:c r="B1929" s="3" t="str">
        <x:v>23487</x:v>
      </x:c>
      <x:c r="C1929" s="3" t="str">
        <x:v>SWEET HEART CAKE CARRIER</x:v>
      </x:c>
      <x:c r="D1929" s="13" t="n">
        <x:v>795.58</x:v>
      </x:c>
      <x:c r="E1929" s="13" t="n">
        <x:v>89.55</x:v>
      </x:c>
      <x:c r="F1929" s="13" t="n">
        <x:f>D1929-E1929</x:f>
        <x:v>706.0300000000001</x:v>
      </x:c>
      <x:c r="G1929" s="3" t="n">
        <x:v>80</x:v>
      </x:c>
      <x:c r="H1929" s="3" t="n">
        <x:v>9</x:v>
      </x:c>
      <x:c r="I1929" s="3" t="n">
        <x:v>44</x:v>
      </x:c>
      <x:c r="J1929" s="15" t="n">
        <x:f>IF(D1929=0,"n.a.",E1929/D1929)</x:f>
        <x:v>0.11255939063324868</x:v>
      </x:c>
      <x:c r="K1929" s="15" t="n">
        <x:f>F1929/'Datos'!$F$7</x:f>
        <x:v>0.00007209751749341369</x:v>
      </x:c>
      <x:c r="L1929" s="3"/>
    </x:row>
    <x:row r="1930" ht="22" customHeight="1">
      <x:c r="A1930" s="3"/>
      <x:c r="B1930" s="3" t="str">
        <x:v>21143</x:v>
      </x:c>
      <x:c r="C1930" s="3" t="str">
        <x:v>ANTIQUE GLASS HEART DECORATION</x:v>
      </x:c>
      <x:c r="D1930" s="13" t="n">
        <x:v>709.18</x:v>
      </x:c>
      <x:c r="E1930" s="13" t="n">
        <x:v>3.9</x:v>
      </x:c>
      <x:c r="F1930" s="13" t="n">
        <x:f>D1930-E1930</x:f>
        <x:v>705.28</x:v>
      </x:c>
      <x:c r="G1930" s="3" t="n">
        <x:v>328</x:v>
      </x:c>
      <x:c r="H1930" s="3" t="n">
        <x:v>2</x:v>
      </x:c>
      <x:c r="I1930" s="3" t="n">
        <x:v>36</x:v>
      </x:c>
      <x:c r="J1930" s="15" t="n">
        <x:f>IF(D1930=0,"n.a.",E1930/D1930)</x:f>
        <x:v>0.005499309061169238</x:v>
      </x:c>
      <x:c r="K1930" s="15" t="n">
        <x:f>F1930/'Datos'!$F$7</x:f>
        <x:v>0.00007202092990064842</x:v>
      </x:c>
      <x:c r="L1930" s="3"/>
    </x:row>
    <x:row r="1931" ht="22" customHeight="1">
      <x:c r="A1931" s="3"/>
      <x:c r="B1931" s="3" t="str">
        <x:v>21356</x:v>
      </x:c>
      <x:c r="C1931" s="3" t="str">
        <x:v>TOAST ITS - FAIRY FLOWER</x:v>
      </x:c>
      <x:c r="D1931" s="13" t="n">
        <x:v>704.55</x:v>
      </x:c>
      <x:c r="E1931" s="13" t="n">
        <x:v>0</x:v>
      </x:c>
      <x:c r="F1931" s="13" t="n">
        <x:f>D1931-E1931</x:f>
        <x:v>704.55</x:v>
      </x:c>
      <x:c r="G1931" s="3" t="n">
        <x:v>643</x:v>
      </x:c>
      <x:c r="H1931" s="3" t="n">
        <x:v>0</x:v>
      </x:c>
      <x:c r="I1931" s="3" t="n">
        <x:v>151</x:v>
      </x:c>
      <x:c r="J1931" s="15" t="n">
        <x:f>IF(D1931=0,"n.a.",E1931/D1931)</x:f>
        <x:v>0</x:v>
      </x:c>
      <x:c r="K1931" s="15" t="n">
        <x:f>F1931/'Datos'!$F$7</x:f>
        <x:v>0.00007194638464369022</x:v>
      </x:c>
      <x:c r="L1931" s="3"/>
    </x:row>
    <x:row r="1932" ht="22" customHeight="1">
      <x:c r="A1932" s="3"/>
      <x:c r="B1932" s="3" t="str">
        <x:v>85103</x:v>
      </x:c>
      <x:c r="C1932" s="3" t="str">
        <x:v>SILVER T-LIGHT SETTING</x:v>
      </x:c>
      <x:c r="D1932" s="13" t="n">
        <x:v>924.29</x:v>
      </x:c>
      <x:c r="E1932" s="13" t="n">
        <x:v>220.15</x:v>
      </x:c>
      <x:c r="F1932" s="13" t="n">
        <x:f>D1932-E1932</x:f>
        <x:v>704.14</x:v>
      </x:c>
      <x:c r="G1932" s="3" t="n">
        <x:v>143</x:v>
      </x:c>
      <x:c r="H1932" s="3" t="n">
        <x:v>37</x:v>
      </x:c>
      <x:c r="I1932" s="3" t="n">
        <x:v>28</x:v>
      </x:c>
      <x:c r="J1932" s="15" t="n">
        <x:f>IF(D1932=0,"n.a.",E1932/D1932)</x:f>
        <x:v>0.2381828214088652</x:v>
      </x:c>
      <x:c r="K1932" s="15" t="n">
        <x:f>F1932/'Datos'!$F$7</x:f>
        <x:v>0.00007190451675964521</x:v>
      </x:c>
      <x:c r="L1932" s="3"/>
    </x:row>
    <x:row r="1933" ht="22" customHeight="1">
      <x:c r="A1933" s="3"/>
      <x:c r="B1933" s="3" t="str">
        <x:v>22856</x:v>
      </x:c>
      <x:c r="C1933" s="3" t="str">
        <x:v>ASSORTED EASTER DECORATIONS BELLS</x:v>
      </x:c>
      <x:c r="D1933" s="13" t="n">
        <x:v>729.57</x:v>
      </x:c>
      <x:c r="E1933" s="13" t="n">
        <x:v>26.25</x:v>
      </x:c>
      <x:c r="F1933" s="13" t="n">
        <x:f>D1933-E1933</x:f>
        <x:v>703.32</x:v>
      </x:c>
      <x:c r="G1933" s="3" t="n">
        <x:v>569</x:v>
      </x:c>
      <x:c r="H1933" s="3" t="n">
        <x:v>21</x:v>
      </x:c>
      <x:c r="I1933" s="3" t="n">
        <x:v>27</x:v>
      </x:c>
      <x:c r="J1933" s="15" t="n">
        <x:f>IF(D1933=0,"n.a.",E1933/D1933)</x:f>
        <x:v>0.035980097865866194</x:v>
      </x:c>
      <x:c r="K1933" s="15" t="n">
        <x:f>F1933/'Datos'!$F$7</x:f>
        <x:v>0.0000718207809915552</x:v>
      </x:c>
      <x:c r="L1933" s="3"/>
    </x:row>
    <x:row r="1934" ht="22" customHeight="1">
      <x:c r="A1934" s="3"/>
      <x:c r="B1934" s="3" t="str">
        <x:v>16235</x:v>
      </x:c>
      <x:c r="C1934" s="3" t="str">
        <x:v>RECYCLED PENCIL WITH RABBIT ERASER</x:v>
      </x:c>
      <x:c r="D1934" s="13" t="n">
        <x:v>702.96</x:v>
      </x:c>
      <x:c r="E1934" s="13" t="n">
        <x:v>0.21</x:v>
      </x:c>
      <x:c r="F1934" s="13" t="n">
        <x:f>D1934-E1934</x:f>
        <x:v>702.75</x:v>
      </x:c>
      <x:c r="G1934" s="3" t="n">
        <x:v>3104</x:v>
      </x:c>
      <x:c r="H1934" s="3" t="n">
        <x:v>1</x:v>
      </x:c>
      <x:c r="I1934" s="3" t="n">
        <x:v>168</x:v>
      </x:c>
      <x:c r="J1934" s="15" t="n">
        <x:f>IF(D1934=0,"n.a.",E1934/D1934)</x:f>
        <x:v>0.00029873677022874696</x:v>
      </x:c>
      <x:c r="K1934" s="15" t="n">
        <x:f>F1934/'Datos'!$F$7</x:f>
        <x:v>0.00007176257442105359</x:v>
      </x:c>
      <x:c r="L1934" s="3"/>
    </x:row>
    <x:row r="1935" ht="22" customHeight="1">
      <x:c r="A1935" s="3"/>
      <x:c r="B1935" s="3" t="str">
        <x:v>21106</x:v>
      </x:c>
      <x:c r="C1935" s="3" t="str">
        <x:v>CREAM SLICE FLANNEL CHOCOLATE SPOT</x:v>
      </x:c>
      <x:c r="D1935" s="13" t="n">
        <x:v>702.51</x:v>
      </x:c>
      <x:c r="E1935" s="13" t="n">
        <x:v>0</x:v>
      </x:c>
      <x:c r="F1935" s="13" t="n">
        <x:f>D1935-E1935</x:f>
        <x:v>702.51</x:v>
      </x:c>
      <x:c r="G1935" s="3" t="n">
        <x:v>237</x:v>
      </x:c>
      <x:c r="H1935" s="3" t="n">
        <x:v>0</x:v>
      </x:c>
      <x:c r="I1935" s="3" t="n">
        <x:v>53</x:v>
      </x:c>
      <x:c r="J1935" s="15" t="n">
        <x:f>IF(D1935=0,"n.a.",E1935/D1935)</x:f>
        <x:v>0</x:v>
      </x:c>
      <x:c r="K1935" s="15" t="n">
        <x:f>F1935/'Datos'!$F$7</x:f>
        <x:v>0.0000717380663913687</x:v>
      </x:c>
      <x:c r="L1935" s="3"/>
    </x:row>
    <x:row r="1936" ht="22" customHeight="1">
      <x:c r="A1936" s="3"/>
      <x:c r="B1936" s="3" t="str">
        <x:v>85049D</x:v>
      </x:c>
      <x:c r="C1936" s="3" t="str">
        <x:v>BRIGHT BLUES RIBBONS</x:v>
      </x:c>
      <x:c r="D1936" s="13" t="n">
        <x:v>702.41</x:v>
      </x:c>
      <x:c r="E1936" s="13" t="n">
        <x:v>0</x:v>
      </x:c>
      <x:c r="F1936" s="13" t="n">
        <x:f>D1936-E1936</x:f>
        <x:v>702.41</x:v>
      </x:c>
      <x:c r="G1936" s="3" t="n">
        <x:v>551</x:v>
      </x:c>
      <x:c r="H1936" s="3" t="n">
        <x:v>0</x:v>
      </x:c>
      <x:c r="I1936" s="3" t="n">
        <x:v>109</x:v>
      </x:c>
      <x:c r="J1936" s="15" t="n">
        <x:f>IF(D1936=0,"n.a.",E1936/D1936)</x:f>
        <x:v>0</x:v>
      </x:c>
      <x:c r="K1936" s="15" t="n">
        <x:f>F1936/'Datos'!$F$7</x:f>
        <x:v>0.00007172785471233333</x:v>
      </x:c>
      <x:c r="L1936" s="3"/>
    </x:row>
    <x:row r="1937" ht="22" customHeight="1">
      <x:c r="A1937" s="3"/>
      <x:c r="B1937" s="3" t="str">
        <x:v>85159A</x:v>
      </x:c>
      <x:c r="C1937" s="3" t="str">
        <x:v>BLACK TEA,COFFEE,SUGAR JARS</x:v>
      </x:c>
      <x:c r="D1937" s="13" t="n">
        <x:v>783.35</x:v>
      </x:c>
      <x:c r="E1937" s="13" t="n">
        <x:v>82.4</x:v>
      </x:c>
      <x:c r="F1937" s="13" t="n">
        <x:f>D1937-E1937</x:f>
        <x:v>700.95</x:v>
      </x:c>
      <x:c r="G1937" s="3" t="n">
        <x:v>453</x:v>
      </x:c>
      <x:c r="H1937" s="3" t="n">
        <x:v>40</x:v>
      </x:c>
      <x:c r="I1937" s="3" t="n">
        <x:v>47</x:v>
      </x:c>
      <x:c r="J1937" s="15" t="n">
        <x:f>IF(D1937=0,"n.a.",E1937/D1937)</x:f>
        <x:v>0.1051892512925257</x:v>
      </x:c>
      <x:c r="K1937" s="15" t="n">
        <x:f>F1937/'Datos'!$F$7</x:f>
        <x:v>0.00007157876419841696</x:v>
      </x:c>
      <x:c r="L1937" s="3"/>
    </x:row>
    <x:row r="1938" ht="22" customHeight="1">
      <x:c r="A1938" s="3"/>
      <x:c r="B1938" s="3" t="str">
        <x:v>21476</x:v>
      </x:c>
      <x:c r="C1938" s="3" t="str">
        <x:v>STEEL SWEETHEART ROUND TABLE CREAM</x:v>
      </x:c>
      <x:c r="D1938" s="13" t="n">
        <x:v>699.63</x:v>
      </x:c>
      <x:c r="E1938" s="13" t="n">
        <x:v>0</x:v>
      </x:c>
      <x:c r="F1938" s="13" t="n">
        <x:f>D1938-E1938</x:f>
        <x:v>699.63</x:v>
      </x:c>
      <x:c r="G1938" s="3" t="n">
        <x:v>41</x:v>
      </x:c>
      <x:c r="H1938" s="3" t="n">
        <x:v>0</x:v>
      </x:c>
      <x:c r="I1938" s="3" t="n">
        <x:v>24</x:v>
      </x:c>
      <x:c r="J1938" s="15" t="n">
        <x:f>IF(D1938=0,"n.a.",E1938/D1938)</x:f>
        <x:v>0</x:v>
      </x:c>
      <x:c r="K1938" s="15" t="n">
        <x:f>F1938/'Datos'!$F$7</x:f>
        <x:v>0.00007144397003515008</x:v>
      </x:c>
      <x:c r="L1938" s="3"/>
    </x:row>
    <x:row r="1939" ht="22" customHeight="1">
      <x:c r="A1939" s="3"/>
      <x:c r="B1939" s="3" t="str">
        <x:v>23222</x:v>
      </x:c>
      <x:c r="C1939" s="3" t="str">
        <x:v>CHRISTMAS TREE HANGING GOLD</x:v>
      </x:c>
      <x:c r="D1939" s="13" t="n">
        <x:v>718.53</x:v>
      </x:c>
      <x:c r="E1939" s="13" t="n">
        <x:v>19.92</x:v>
      </x:c>
      <x:c r="F1939" s="13" t="n">
        <x:f>D1939-E1939</x:f>
        <x:v>698.61</x:v>
      </x:c>
      <x:c r="G1939" s="3" t="n">
        <x:v>799</x:v>
      </x:c>
      <x:c r="H1939" s="3" t="n">
        <x:v>24</x:v>
      </x:c>
      <x:c r="I1939" s="3" t="n">
        <x:v>75</x:v>
      </x:c>
      <x:c r="J1939" s="15" t="n">
        <x:f>IF(D1939=0,"n.a.",E1939/D1939)</x:f>
        <x:v>0.027723268339526538</x:v>
      </x:c>
      <x:c r="K1939" s="15" t="n">
        <x:f>F1939/'Datos'!$F$7</x:f>
        <x:v>0.00007133981090898932</x:v>
      </x:c>
      <x:c r="L1939" s="3"/>
    </x:row>
    <x:row r="1940" ht="22" customHeight="1">
      <x:c r="A1940" s="3"/>
      <x:c r="B1940" s="3" t="str">
        <x:v>22936</x:v>
      </x:c>
      <x:c r="C1940" s="3" t="str">
        <x:v>BAKING MOULD ROSE WHITE CHOCOLATE</x:v>
      </x:c>
      <x:c r="D1940" s="13" t="n">
        <x:v>895.97</x:v>
      </x:c>
      <x:c r="E1940" s="13" t="n">
        <x:v>198</x:v>
      </x:c>
      <x:c r="F1940" s="13" t="n">
        <x:f>D1940-E1940</x:f>
        <x:v>697.97</x:v>
      </x:c>
      <x:c r="G1940" s="3" t="n">
        <x:v>279</x:v>
      </x:c>
      <x:c r="H1940" s="3" t="n">
        <x:v>72</x:v>
      </x:c>
      <x:c r="I1940" s="3" t="n">
        <x:v>50</x:v>
      </x:c>
      <x:c r="J1940" s="15" t="n">
        <x:f>IF(D1940=0,"n.a.",E1940/D1940)</x:f>
        <x:v>0.22098954206056007</x:v>
      </x:c>
      <x:c r="K1940" s="15" t="n">
        <x:f>F1940/'Datos'!$F$7</x:f>
        <x:v>0.00007127445616316297</x:v>
      </x:c>
      <x:c r="L1940" s="3"/>
    </x:row>
    <x:row r="1941" ht="22" customHeight="1">
      <x:c r="A1941" s="3"/>
      <x:c r="B1941" s="3" t="str">
        <x:v>22981</x:v>
      </x:c>
      <x:c r="C1941" s="3" t="str">
        <x:v>PANTRY APPLE CORER</x:v>
      </x:c>
      <x:c r="D1941" s="13" t="n">
        <x:v>705.58</x:v>
      </x:c>
      <x:c r="E1941" s="13" t="n">
        <x:v>8.7</x:v>
      </x:c>
      <x:c r="F1941" s="13" t="n">
        <x:f>D1941-E1941</x:f>
        <x:v>696.88</x:v>
      </x:c>
      <x:c r="G1941" s="3" t="n">
        <x:v>472</x:v>
      </x:c>
      <x:c r="H1941" s="3" t="n">
        <x:v>6</x:v>
      </x:c>
      <x:c r="I1941" s="3" t="n">
        <x:v>105</x:v>
      </x:c>
      <x:c r="J1941" s="15" t="n">
        <x:f>IF(D1941=0,"n.a.",E1941/D1941)</x:f>
        <x:v>0.012330281470563222</x:v>
      </x:c>
      <x:c r="K1941" s="15" t="n">
        <x:f>F1941/'Datos'!$F$7</x:f>
        <x:v>0.00007116314886167744</x:v>
      </x:c>
      <x:c r="L1941" s="3"/>
    </x:row>
    <x:row r="1942" ht="22" customHeight="1">
      <x:c r="A1942" s="3"/>
      <x:c r="B1942" s="3" t="str">
        <x:v>85078</x:v>
      </x:c>
      <x:c r="C1942" s="3" t="str">
        <x:v>SCANDINAVIAN 3 HEARTS NAPKIN RING</x:v>
      </x:c>
      <x:c r="D1942" s="13" t="n">
        <x:v>696.8</x:v>
      </x:c>
      <x:c r="E1942" s="13" t="n">
        <x:v>0</x:v>
      </x:c>
      <x:c r="F1942" s="13" t="n">
        <x:f>D1942-E1942</x:f>
        <x:v>696.8</x:v>
      </x:c>
      <x:c r="G1942" s="3" t="n">
        <x:v>1932</x:v>
      </x:c>
      <x:c r="H1942" s="3" t="n">
        <x:v>0</x:v>
      </x:c>
      <x:c r="I1942" s="3" t="n">
        <x:v>124</x:v>
      </x:c>
      <x:c r="J1942" s="15" t="n">
        <x:f>IF(D1942=0,"n.a.",E1942/D1942)</x:f>
        <x:v>0</x:v>
      </x:c>
      <x:c r="K1942" s="15" t="n">
        <x:f>F1942/'Datos'!$F$7</x:f>
        <x:v>0.00007115497951844914</x:v>
      </x:c>
      <x:c r="L1942" s="3"/>
    </x:row>
    <x:row r="1943" ht="22" customHeight="1">
      <x:c r="A1943" s="3"/>
      <x:c r="B1943" s="3" t="str">
        <x:v>84707A</x:v>
      </x:c>
      <x:c r="C1943" s="3" t="str">
        <x:v>SILVER JEWELLED MIRROR TRINKET TRAY</x:v>
      </x:c>
      <x:c r="D1943" s="13" t="n">
        <x:v>695.23</x:v>
      </x:c>
      <x:c r="E1943" s="13" t="n">
        <x:v>0</x:v>
      </x:c>
      <x:c r="F1943" s="13" t="n">
        <x:f>D1943-E1943</x:f>
        <x:v>695.23</x:v>
      </x:c>
      <x:c r="G1943" s="3" t="n">
        <x:v>95</x:v>
      </x:c>
      <x:c r="H1943" s="3" t="n">
        <x:v>0</x:v>
      </x:c>
      <x:c r="I1943" s="3" t="n">
        <x:v>45</x:v>
      </x:c>
      <x:c r="J1943" s="15" t="n">
        <x:f>IF(D1943=0,"n.a.",E1943/D1943)</x:f>
        <x:v>0</x:v>
      </x:c>
      <x:c r="K1943" s="15" t="n">
        <x:f>F1943/'Datos'!$F$7</x:f>
        <x:v>0.00007099465615759387</x:v>
      </x:c>
      <x:c r="L1943" s="3"/>
    </x:row>
    <x:row r="1944" ht="22" customHeight="1">
      <x:c r="A1944" s="3"/>
      <x:c r="B1944" s="3" t="str">
        <x:v>79164</x:v>
      </x:c>
      <x:c r="C1944" s="3" t="str">
        <x:v>BLACK WINE GLASS</x:v>
      </x:c>
      <x:c r="D1944" s="13" t="n">
        <x:v>699.96</x:v>
      </x:c>
      <x:c r="E1944" s="13" t="n">
        <x:v>4.95</x:v>
      </x:c>
      <x:c r="F1944" s="13" t="n">
        <x:f>D1944-E1944</x:f>
        <x:v>695.01</x:v>
      </x:c>
      <x:c r="G1944" s="3" t="n">
        <x:v>1672</x:v>
      </x:c>
      <x:c r="H1944" s="3" t="n">
        <x:v>3</x:v>
      </x:c>
      <x:c r="I1944" s="3" t="n">
        <x:v>19</x:v>
      </x:c>
      <x:c r="J1944" s="15" t="n">
        <x:f>IF(D1944=0,"n.a.",E1944/D1944)</x:f>
        <x:v>0.007071832676152923</x:v>
      </x:c>
      <x:c r="K1944" s="15" t="n">
        <x:f>F1944/'Datos'!$F$7</x:f>
        <x:v>0.00007097219046371604</x:v>
      </x:c>
      <x:c r="L1944" s="3"/>
    </x:row>
    <x:row r="1945" ht="22" customHeight="1">
      <x:c r="A1945" s="3"/>
      <x:c r="B1945" s="3" t="str">
        <x:v>16225</x:v>
      </x:c>
      <x:c r="C1945" s="3" t="str">
        <x:v>RATTLE SNAKE EGGS</x:v>
      </x:c>
      <x:c r="D1945" s="13" t="n">
        <x:v>691.85</x:v>
      </x:c>
      <x:c r="E1945" s="13" t="n">
        <x:v>0</x:v>
      </x:c>
      <x:c r="F1945" s="13" t="n">
        <x:f>D1945-E1945</x:f>
        <x:v>691.85</x:v>
      </x:c>
      <x:c r="G1945" s="3" t="n">
        <x:v>815</x:v>
      </x:c>
      <x:c r="H1945" s="3" t="n">
        <x:v>0</x:v>
      </x:c>
      <x:c r="I1945" s="3" t="n">
        <x:v>102</x:v>
      </x:c>
      <x:c r="J1945" s="15" t="n">
        <x:f>IF(D1945=0,"n.a.",E1945/D1945)</x:f>
        <x:v>0</x:v>
      </x:c>
      <x:c r="K1945" s="15" t="n">
        <x:f>F1945/'Datos'!$F$7</x:f>
        <x:v>0.0000706495014061984</x:v>
      </x:c>
      <x:c r="L1945" s="3"/>
    </x:row>
    <x:row r="1946" ht="22" customHeight="1">
      <x:c r="A1946" s="3"/>
      <x:c r="B1946" s="3" t="str">
        <x:v>35923</x:v>
      </x:c>
      <x:c r="C1946" s="3" t="str">
        <x:v>CANDY HEART HANGING DECORATION</x:v>
      </x:c>
      <x:c r="D1946" s="13" t="n">
        <x:v>690.52</x:v>
      </x:c>
      <x:c r="E1946" s="13" t="n">
        <x:v>0.39</x:v>
      </x:c>
      <x:c r="F1946" s="13" t="n">
        <x:f>D1946-E1946</x:f>
        <x:v>690.13</x:v>
      </x:c>
      <x:c r="G1946" s="3" t="n">
        <x:v>1318</x:v>
      </x:c>
      <x:c r="H1946" s="3" t="n">
        <x:v>1</x:v>
      </x:c>
      <x:c r="I1946" s="3" t="n">
        <x:v>62</x:v>
      </x:c>
      <x:c r="J1946" s="15" t="n">
        <x:f>IF(D1946=0,"n.a.",E1946/D1946)</x:f>
        <x:v>0.0005647917511440654</x:v>
      </x:c>
      <x:c r="K1946" s="15" t="n">
        <x:f>F1946/'Datos'!$F$7</x:f>
        <x:v>0.00007047386052679006</x:v>
      </x:c>
      <x:c r="L1946" s="3"/>
    </x:row>
    <x:row r="1947" ht="22" customHeight="1">
      <x:c r="A1947" s="3"/>
      <x:c r="B1947" s="3" t="str">
        <x:v>22324</x:v>
      </x:c>
      <x:c r="C1947" s="3" t="str">
        <x:v>BLUE POLKADOT KIDS BAG</x:v>
      </x:c>
      <x:c r="D1947" s="13" t="n">
        <x:v>688.3</x:v>
      </x:c>
      <x:c r="E1947" s="13" t="n">
        <x:v>0</x:v>
      </x:c>
      <x:c r="F1947" s="13" t="n">
        <x:f>D1947-E1947</x:f>
        <x:v>688.3</x:v>
      </x:c>
      <x:c r="G1947" s="3" t="n">
        <x:v>286</x:v>
      </x:c>
      <x:c r="H1947" s="3" t="n">
        <x:v>0</x:v>
      </x:c>
      <x:c r="I1947" s="3" t="n">
        <x:v>74</x:v>
      </x:c>
      <x:c r="J1947" s="15" t="n">
        <x:f>IF(D1947=0,"n.a.",E1947/D1947)</x:f>
        <x:v>0</x:v>
      </x:c>
      <x:c r="K1947" s="15" t="n">
        <x:f>F1947/'Datos'!$F$7</x:f>
        <x:v>0.0000702869868004428</x:v>
      </x:c>
      <x:c r="L1947" s="3"/>
    </x:row>
    <x:row r="1948" ht="22" customHeight="1">
      <x:c r="A1948" s="3"/>
      <x:c r="B1948" s="3" t="str">
        <x:v>21650</x:v>
      </x:c>
      <x:c r="C1948" s="3" t="str">
        <x:v>ASSORTED TUTTI FRUTTI BRACELET</x:v>
      </x:c>
      <x:c r="D1948" s="13" t="n">
        <x:v>692.85</x:v>
      </x:c>
      <x:c r="E1948" s="13" t="n">
        <x:v>4.56</x:v>
      </x:c>
      <x:c r="F1948" s="13" t="n">
        <x:f>D1948-E1948</x:f>
        <x:v>688.2900000000001</x:v>
      </x:c>
      <x:c r="G1948" s="3" t="n">
        <x:v>2550</x:v>
      </x:c>
      <x:c r="H1948" s="3" t="n">
        <x:v>24</x:v>
      </x:c>
      <x:c r="I1948" s="3" t="n">
        <x:v>132</x:v>
      </x:c>
      <x:c r="J1948" s="15" t="n">
        <x:f>IF(D1948=0,"n.a.",E1948/D1948)</x:f>
        <x:v>0.0065815111495994795</x:v>
      </x:c>
      <x:c r="K1948" s="15" t="n">
        <x:f>F1948/'Datos'!$F$7</x:f>
        <x:v>0.00007028596563253928</x:v>
      </x:c>
      <x:c r="L1948" s="3"/>
    </x:row>
    <x:row r="1949" ht="22" customHeight="1">
      <x:c r="A1949" s="3"/>
      <x:c r="B1949" s="3" t="str">
        <x:v>21629</x:v>
      </x:c>
      <x:c r="C1949" s="3" t="str">
        <x:v>SQUARE FLOOR CUSHION VINTAGE RED</x:v>
      </x:c>
      <x:c r="D1949" s="13" t="n">
        <x:v>687.95</x:v>
      </x:c>
      <x:c r="E1949" s="13" t="n">
        <x:v>0</x:v>
      </x:c>
      <x:c r="F1949" s="13" t="n">
        <x:f>D1949-E1949</x:f>
        <x:v>687.95</x:v>
      </x:c>
      <x:c r="G1949" s="3" t="n">
        <x:v>73</x:v>
      </x:c>
      <x:c r="H1949" s="3" t="n">
        <x:v>0</x:v>
      </x:c>
      <x:c r="I1949" s="3" t="n">
        <x:v>42</x:v>
      </x:c>
      <x:c r="J1949" s="15" t="n">
        <x:f>IF(D1949=0,"n.a.",E1949/D1949)</x:f>
        <x:v>0</x:v>
      </x:c>
      <x:c r="K1949" s="15" t="n">
        <x:f>F1949/'Datos'!$F$7</x:f>
        <x:v>0.00007025124592381902</x:v>
      </x:c>
      <x:c r="L1949" s="3"/>
    </x:row>
    <x:row r="1950" ht="22" customHeight="1">
      <x:c r="A1950" s="3"/>
      <x:c r="B1950" s="3" t="str">
        <x:v>23458</x:v>
      </x:c>
      <x:c r="C1950" s="3" t="str">
        <x:v>DOLLY CABINET 3 DRAWERS</x:v>
      </x:c>
      <x:c r="D1950" s="13" t="n">
        <x:v>762.45</x:v>
      </x:c>
      <x:c r="E1950" s="13" t="n">
        <x:v>74.75</x:v>
      </x:c>
      <x:c r="F1950" s="13" t="n">
        <x:f>D1950-E1950</x:f>
        <x:v>687.7</x:v>
      </x:c>
      <x:c r="G1950" s="3" t="n">
        <x:v>51</x:v>
      </x:c>
      <x:c r="H1950" s="3" t="n">
        <x:v>5</x:v>
      </x:c>
      <x:c r="I1950" s="3" t="n">
        <x:v>30</x:v>
      </x:c>
      <x:c r="J1950" s="15" t="n">
        <x:f>IF(D1950=0,"n.a.",E1950/D1950)</x:f>
        <x:v>0.09803921568627451</x:v>
      </x:c>
      <x:c r="K1950" s="15" t="n">
        <x:f>F1950/'Datos'!$F$7</x:f>
        <x:v>0.0000702257167262306</x:v>
      </x:c>
      <x:c r="L1950" s="3"/>
    </x:row>
    <x:row r="1951" ht="22" customHeight="1">
      <x:c r="A1951" s="3"/>
      <x:c r="B1951" s="3" t="str">
        <x:v>20902</x:v>
      </x:c>
      <x:c r="C1951" s="3" t="str">
        <x:v>VINTAGE KEEPSAKE BOX PARIS DAYS</x:v>
      </x:c>
      <x:c r="D1951" s="13" t="n">
        <x:v>686.86</x:v>
      </x:c>
      <x:c r="E1951" s="13" t="n">
        <x:v>0</x:v>
      </x:c>
      <x:c r="F1951" s="13" t="n">
        <x:f>D1951-E1951</x:f>
        <x:v>686.86</x:v>
      </x:c>
      <x:c r="G1951" s="3" t="n">
        <x:v>112</x:v>
      </x:c>
      <x:c r="H1951" s="3" t="n">
        <x:v>0</x:v>
      </x:c>
      <x:c r="I1951" s="3" t="n">
        <x:v>56</x:v>
      </x:c>
      <x:c r="J1951" s="15" t="n">
        <x:f>IF(D1951=0,"n.a.",E1951/D1951)</x:f>
        <x:v>0</x:v>
      </x:c>
      <x:c r="K1951" s="15" t="n">
        <x:f>F1951/'Datos'!$F$7</x:f>
        <x:v>0.0000701399386223335</x:v>
      </x:c>
      <x:c r="L1951" s="3"/>
    </x:row>
    <x:row r="1952" ht="22" customHeight="1">
      <x:c r="A1952" s="3"/>
      <x:c r="B1952" s="3" t="str">
        <x:v>21317</x:v>
      </x:c>
      <x:c r="C1952" s="3" t="str">
        <x:v>GLASS SPHERE CANDLE STAND MEDIUM</x:v>
      </x:c>
      <x:c r="D1952" s="13" t="n">
        <x:v>689.53</x:v>
      </x:c>
      <x:c r="E1952" s="13" t="n">
        <x:v>4.95</x:v>
      </x:c>
      <x:c r="F1952" s="13" t="n">
        <x:f>D1952-E1952</x:f>
        <x:v>684.5799999999999</x:v>
      </x:c>
      <x:c r="G1952" s="3" t="n">
        <x:v>112</x:v>
      </x:c>
      <x:c r="H1952" s="3" t="n">
        <x:v>1</x:v>
      </x:c>
      <x:c r="I1952" s="3" t="n">
        <x:v>34</x:v>
      </x:c>
      <x:c r="J1952" s="15" t="n">
        <x:f>IF(D1952=0,"n.a.",E1952/D1952)</x:f>
        <x:v>0.007178802952735922</x:v>
      </x:c>
      <x:c r="K1952" s="15" t="n">
        <x:f>F1952/'Datos'!$F$7</x:f>
        <x:v>0.00006990711234032708</x:v>
      </x:c>
      <x:c r="L1952" s="3"/>
    </x:row>
    <x:row r="1953" ht="22" customHeight="1">
      <x:c r="A1953" s="3"/>
      <x:c r="B1953" s="3" t="str">
        <x:v>46776B</x:v>
      </x:c>
      <x:c r="C1953" s="3" t="str">
        <x:v>WOVEN BERRIES CUSHION COVER</x:v>
      </x:c>
      <x:c r="D1953" s="13" t="n">
        <x:v>683.8</x:v>
      </x:c>
      <x:c r="E1953" s="13" t="n">
        <x:v>0</x:v>
      </x:c>
      <x:c r="F1953" s="13" t="n">
        <x:f>D1953-E1953</x:f>
        <x:v>683.8</x:v>
      </x:c>
      <x:c r="G1953" s="3" t="n">
        <x:v>162</x:v>
      </x:c>
      <x:c r="H1953" s="3" t="n">
        <x:v>0</x:v>
      </x:c>
      <x:c r="I1953" s="3" t="n">
        <x:v>89</x:v>
      </x:c>
      <x:c r="J1953" s="15" t="n">
        <x:f>IF(D1953=0,"n.a.",E1953/D1953)</x:f>
        <x:v>0</x:v>
      </x:c>
      <x:c r="K1953" s="15" t="n">
        <x:f>F1953/'Datos'!$F$7</x:f>
        <x:v>0.00006982746124385121</x:v>
      </x:c>
      <x:c r="L1953" s="3"/>
    </x:row>
    <x:row r="1954" ht="22" customHeight="1">
      <x:c r="A1954" s="3"/>
      <x:c r="B1954" s="3" t="str">
        <x:v>21289</x:v>
      </x:c>
      <x:c r="C1954" s="3" t="str">
        <x:v>LARGE STRIPES CHOCOLATE GIFT BAG</x:v>
      </x:c>
      <x:c r="D1954" s="13" t="n">
        <x:v>708.75</x:v>
      </x:c>
      <x:c r="E1954" s="13" t="n">
        <x:v>25</x:v>
      </x:c>
      <x:c r="F1954" s="13" t="n">
        <x:f>D1954-E1954</x:f>
        <x:v>683.75</x:v>
      </x:c>
      <x:c r="G1954" s="3" t="n">
        <x:v>567</x:v>
      </x:c>
      <x:c r="H1954" s="3" t="n">
        <x:v>20</x:v>
      </x:c>
      <x:c r="I1954" s="3" t="n">
        <x:v>49</x:v>
      </x:c>
      <x:c r="J1954" s="15" t="n">
        <x:f>IF(D1954=0,"n.a.",E1954/D1954)</x:f>
        <x:v>0.03527336860670194</x:v>
      </x:c>
      <x:c r="K1954" s="15" t="n">
        <x:f>F1954/'Datos'!$F$7</x:f>
        <x:v>0.00006982235540433354</x:v>
      </x:c>
      <x:c r="L1954" s="3"/>
    </x:row>
    <x:row r="1955" ht="22" customHeight="1">
      <x:c r="A1955" s="3"/>
      <x:c r="B1955" s="3" t="str">
        <x:v>21163</x:v>
      </x:c>
      <x:c r="C1955" s="3" t="str">
        <x:v>DO NOT TOUCH MY STUFF DOOR HANGER</x:v>
      </x:c>
      <x:c r="D1955" s="13" t="n">
        <x:v>684.62</x:v>
      </x:c>
      <x:c r="E1955" s="13" t="n">
        <x:v>1.25</x:v>
      </x:c>
      <x:c r="F1955" s="13" t="n">
        <x:f>D1955-E1955</x:f>
        <x:v>683.37</x:v>
      </x:c>
      <x:c r="G1955" s="3" t="n">
        <x:v>1201</x:v>
      </x:c>
      <x:c r="H1955" s="3" t="n">
        <x:v>1</x:v>
      </x:c>
      <x:c r="I1955" s="3" t="n">
        <x:v>127</x:v>
      </x:c>
      <x:c r="J1955" s="15" t="n">
        <x:f>IF(D1955=0,"n.a.",E1955/D1955)</x:f>
        <x:v>0.0018258303876603078</x:v>
      </x:c>
      <x:c r="K1955" s="15" t="n">
        <x:f>F1955/'Datos'!$F$7</x:f>
        <x:v>0.00006978355102399913</x:v>
      </x:c>
      <x:c r="L1955" s="3"/>
    </x:row>
    <x:row r="1956" ht="22" customHeight="1">
      <x:c r="A1956" s="3"/>
      <x:c r="B1956" s="3" t="str">
        <x:v>85071B</x:v>
      </x:c>
      <x:c r="C1956" s="3" t="str">
        <x:v>RED CHARLIE+LOLA PERSONAL DOORSIGN</x:v>
      </x:c>
      <x:c r="D1956" s="13" t="n">
        <x:v>688.91</x:v>
      </x:c>
      <x:c r="E1956" s="13" t="n">
        <x:v>5.9</x:v>
      </x:c>
      <x:c r="F1956" s="13" t="n">
        <x:f>D1956-E1956</x:f>
        <x:v>683.01</x:v>
      </x:c>
      <x:c r="G1956" s="3" t="n">
        <x:v>1301</x:v>
      </x:c>
      <x:c r="H1956" s="3" t="n">
        <x:v>2</x:v>
      </x:c>
      <x:c r="I1956" s="3" t="n">
        <x:v>125</x:v>
      </x:c>
      <x:c r="J1956" s="15" t="n">
        <x:f>IF(D1956=0,"n.a.",E1956/D1956)</x:f>
        <x:v>0.008564253676097023</x:v>
      </x:c>
      <x:c r="K1956" s="15" t="n">
        <x:f>F1956/'Datos'!$F$7</x:f>
        <x:v>0.00006974678897947181</x:v>
      </x:c>
      <x:c r="L1956" s="3"/>
    </x:row>
    <x:row r="1957" ht="22" customHeight="1">
      <x:c r="A1957" s="3"/>
      <x:c r="B1957" s="3" t="str">
        <x:v>85019B</x:v>
      </x:c>
      <x:c r="C1957" s="3" t="str">
        <x:v>BLOSSOM IMAGES NOTEBOOK SET</x:v>
      </x:c>
      <x:c r="D1957" s="13" t="n">
        <x:v>682.97</x:v>
      </x:c>
      <x:c r="E1957" s="13" t="n">
        <x:v>0</x:v>
      </x:c>
      <x:c r="F1957" s="13" t="n">
        <x:f>D1957-E1957</x:f>
        <x:v>682.97</x:v>
      </x:c>
      <x:c r="G1957" s="3" t="n">
        <x:v>512</x:v>
      </x:c>
      <x:c r="H1957" s="3" t="n">
        <x:v>0</x:v>
      </x:c>
      <x:c r="I1957" s="3" t="n">
        <x:v>36</x:v>
      </x:c>
      <x:c r="J1957" s="15" t="n">
        <x:f>IF(D1957=0,"n.a.",E1957/D1957)</x:f>
        <x:v>0</x:v>
      </x:c>
      <x:c r="K1957" s="15" t="n">
        <x:f>F1957/'Datos'!$F$7</x:f>
        <x:v>0.00006974270430785767</x:v>
      </x:c>
      <x:c r="L1957" s="3"/>
    </x:row>
    <x:row r="1958" ht="22" customHeight="1">
      <x:c r="A1958" s="3"/>
      <x:c r="B1958" s="3" t="str">
        <x:v>21208</x:v>
      </x:c>
      <x:c r="C1958" s="3" t="str">
        <x:v>PASTEL COLOUR HONEYCOMB FAN</x:v>
      </x:c>
      <x:c r="D1958" s="13" t="n">
        <x:v>697.77</x:v>
      </x:c>
      <x:c r="E1958" s="13" t="n">
        <x:v>15.99</x:v>
      </x:c>
      <x:c r="F1958" s="13" t="n">
        <x:f>D1958-E1958</x:f>
        <x:v>681.78</x:v>
      </x:c>
      <x:c r="G1958" s="3" t="n">
        <x:v>940</x:v>
      </x:c>
      <x:c r="H1958" s="3" t="n">
        <x:v>41</x:v>
      </x:c>
      <x:c r="I1958" s="3" t="n">
        <x:v>83</x:v>
      </x:c>
      <x:c r="J1958" s="15" t="n">
        <x:f>IF(D1958=0,"n.a.",E1958/D1958)</x:f>
        <x:v>0.022915860527107788</x:v>
      </x:c>
      <x:c r="K1958" s="15" t="n">
        <x:f>F1958/'Datos'!$F$7</x:f>
        <x:v>0.00006962118532733677</x:v>
      </x:c>
      <x:c r="L1958" s="3"/>
    </x:row>
    <x:row r="1959" ht="22" customHeight="1">
      <x:c r="A1959" s="3"/>
      <x:c r="B1959" s="3" t="str">
        <x:v>35001G</x:v>
      </x:c>
      <x:c r="C1959" s="3" t="str">
        <x:v>HAND OPEN SHAPE GOLD</x:v>
      </x:c>
      <x:c r="D1959" s="13" t="n">
        <x:v>681.59</x:v>
      </x:c>
      <x:c r="E1959" s="13" t="n">
        <x:v>0</x:v>
      </x:c>
      <x:c r="F1959" s="13" t="n">
        <x:f>D1959-E1959</x:f>
        <x:v>681.59</x:v>
      </x:c>
      <x:c r="G1959" s="3" t="n">
        <x:v>199</x:v>
      </x:c>
      <x:c r="H1959" s="3" t="n">
        <x:v>0</x:v>
      </x:c>
      <x:c r="I1959" s="3" t="n">
        <x:v>30</x:v>
      </x:c>
      <x:c r="J1959" s="15" t="n">
        <x:f>IF(D1959=0,"n.a.",E1959/D1959)</x:f>
        <x:v>0</x:v>
      </x:c>
      <x:c r="K1959" s="15" t="n">
        <x:f>F1959/'Datos'!$F$7</x:f>
        <x:v>0.00006960178313716957</x:v>
      </x:c>
      <x:c r="L1959" s="3"/>
    </x:row>
    <x:row r="1960" ht="22" customHeight="1">
      <x:c r="A1960" s="3"/>
      <x:c r="B1960" s="3" t="str">
        <x:v>21066</x:v>
      </x:c>
      <x:c r="C1960" s="3" t="str">
        <x:v>VINTAGE RED MUG</x:v>
      </x:c>
      <x:c r="D1960" s="13" t="n">
        <x:v>694.72</x:v>
      </x:c>
      <x:c r="E1960" s="13" t="n">
        <x:v>15</x:v>
      </x:c>
      <x:c r="F1960" s="13" t="n">
        <x:f>D1960-E1960</x:f>
        <x:v>679.72</x:v>
      </x:c>
      <x:c r="G1960" s="3" t="n">
        <x:v>703</x:v>
      </x:c>
      <x:c r="H1960" s="3" t="n">
        <x:v>12</x:v>
      </x:c>
      <x:c r="I1960" s="3" t="n">
        <x:v>54</x:v>
      </x:c>
      <x:c r="J1960" s="15" t="n">
        <x:f>IF(D1960=0,"n.a.",E1960/D1960)</x:f>
        <x:v>0.02159143251957623</x:v>
      </x:c>
      <x:c r="K1960" s="15" t="n">
        <x:f>F1960/'Datos'!$F$7</x:f>
        <x:v>0.00006941082473920818</x:v>
      </x:c>
      <x:c r="L1960" s="3"/>
    </x:row>
    <x:row r="1961" ht="22" customHeight="1">
      <x:c r="A1961" s="3"/>
      <x:c r="B1961" s="3" t="str">
        <x:v>22136</x:v>
      </x:c>
      <x:c r="C1961" s="3" t="str">
        <x:v>LOVE HEART SOCK HANGER</x:v>
      </x:c>
      <x:c r="D1961" s="13" t="n">
        <x:v>680.93</x:v>
      </x:c>
      <x:c r="E1961" s="13" t="n">
        <x:v>1.45</x:v>
      </x:c>
      <x:c r="F1961" s="13" t="n">
        <x:f>D1961-E1961</x:f>
        <x:v>679.4799999999999</x:v>
      </x:c>
      <x:c r="G1961" s="3" t="n">
        <x:v>379</x:v>
      </x:c>
      <x:c r="H1961" s="3" t="n">
        <x:v>1</x:v>
      </x:c>
      <x:c r="I1961" s="3" t="n">
        <x:v>84</x:v>
      </x:c>
      <x:c r="J1961" s="15" t="n">
        <x:f>IF(D1961=0,"n.a.",E1961/D1961)</x:f>
        <x:v>0.002129440617978353</x:v>
      </x:c>
      <x:c r="K1961" s="15" t="n">
        <x:f>F1961/'Datos'!$F$7</x:f>
        <x:v>0.00006938631670952327</x:v>
      </x:c>
      <x:c r="L1961" s="3"/>
    </x:row>
    <x:row r="1962" ht="22" customHeight="1">
      <x:c r="A1962" s="3"/>
      <x:c r="B1962" s="3" t="str">
        <x:v>23187</x:v>
      </x:c>
      <x:c r="C1962" s="3" t="str">
        <x:v>FRENCH STYLE STORAGE JAR BONBONS</x:v>
      </x:c>
      <x:c r="D1962" s="13" t="n">
        <x:v>695.06</x:v>
      </x:c>
      <x:c r="E1962" s="13" t="n">
        <x:v>16.49</x:v>
      </x:c>
      <x:c r="F1962" s="13" t="n">
        <x:f>D1962-E1962</x:f>
        <x:v>678.5699999999999</x:v>
      </x:c>
      <x:c r="G1962" s="3" t="n">
        <x:v>2338</x:v>
      </x:c>
      <x:c r="H1962" s="3" t="n">
        <x:v>37</x:v>
      </x:c>
      <x:c r="I1962" s="3" t="n">
        <x:v>74</x:v>
      </x:c>
      <x:c r="J1962" s="15" t="n">
        <x:f>IF(D1962=0,"n.a.",E1962/D1962)</x:f>
        <x:v>0.023724570540672747</x:v>
      </x:c>
      <x:c r="K1962" s="15" t="n">
        <x:f>F1962/'Datos'!$F$7</x:f>
        <x:v>0.00006929339043030143</x:v>
      </x:c>
      <x:c r="L1962" s="3"/>
    </x:row>
    <x:row r="1963" ht="22" customHeight="1">
      <x:c r="A1963" s="3"/>
      <x:c r="B1963" s="3" t="str">
        <x:v>79191C</x:v>
      </x:c>
      <x:c r="C1963" s="3" t="str">
        <x:v>RETRO PLASTIC ELEPHANT TRAY</x:v>
      </x:c>
      <x:c r="D1963" s="13" t="n">
        <x:v>812.53</x:v>
      </x:c>
      <x:c r="E1963" s="13" t="n">
        <x:v>134.3</x:v>
      </x:c>
      <x:c r="F1963" s="13" t="n">
        <x:f>D1963-E1963</x:f>
        <x:v>678.23</x:v>
      </x:c>
      <x:c r="G1963" s="3" t="n">
        <x:v>1105</x:v>
      </x:c>
      <x:c r="H1963" s="3" t="n">
        <x:v>158</x:v>
      </x:c>
      <x:c r="I1963" s="3" t="n">
        <x:v>65</x:v>
      </x:c>
      <x:c r="J1963" s="15" t="n">
        <x:f>IF(D1963=0,"n.a.",E1963/D1963)</x:f>
        <x:v>0.16528620481705292</x:v>
      </x:c>
      <x:c r="K1963" s="15" t="n">
        <x:f>F1963/'Datos'!$F$7</x:f>
        <x:v>0.00006925867072158119</x:v>
      </x:c>
      <x:c r="L1963" s="3"/>
    </x:row>
    <x:row r="1964" ht="22" customHeight="1">
      <x:c r="A1964" s="3"/>
      <x:c r="B1964" s="3" t="str">
        <x:v>22806</x:v>
      </x:c>
      <x:c r="C1964" s="3" t="str">
        <x:v>SET OF 6 T-LIGHTS WEDDING CAKE</x:v>
      </x:c>
      <x:c r="D1964" s="13" t="n">
        <x:v>677.04</x:v>
      </x:c>
      <x:c r="E1964" s="13" t="n">
        <x:v>0</x:v>
      </x:c>
      <x:c r="F1964" s="13" t="n">
        <x:f>D1964-E1964</x:f>
        <x:v>677.04</x:v>
      </x:c>
      <x:c r="G1964" s="3" t="n">
        <x:v>260</x:v>
      </x:c>
      <x:c r="H1964" s="3" t="n">
        <x:v>0</x:v>
      </x:c>
      <x:c r="I1964" s="3" t="n">
        <x:v>38</x:v>
      </x:c>
      <x:c r="J1964" s="15" t="n">
        <x:f>IF(D1964=0,"n.a.",E1964/D1964)</x:f>
        <x:v>0</x:v>
      </x:c>
      <x:c r="K1964" s="15" t="n">
        <x:f>F1964/'Datos'!$F$7</x:f>
        <x:v>0.0000691371517410603</x:v>
      </x:c>
      <x:c r="L1964" s="3"/>
    </x:row>
    <x:row r="1965" ht="22" customHeight="1">
      <x:c r="A1965" s="3"/>
      <x:c r="B1965" s="3" t="str">
        <x:v>22062</x:v>
      </x:c>
      <x:c r="C1965" s="3" t="str">
        <x:v>CERAMIC BOWL WITH LOVE HEART DESIGN</x:v>
      </x:c>
      <x:c r="D1965" s="13" t="n">
        <x:v>682.01</x:v>
      </x:c>
      <x:c r="E1965" s="13" t="n">
        <x:v>4.98</x:v>
      </x:c>
      <x:c r="F1965" s="13" t="n">
        <x:f>D1965-E1965</x:f>
        <x:v>677.03</x:v>
      </x:c>
      <x:c r="G1965" s="3" t="n">
        <x:v>588</x:v>
      </x:c>
      <x:c r="H1965" s="3" t="n">
        <x:v>6</x:v>
      </x:c>
      <x:c r="I1965" s="3" t="n">
        <x:v>73</x:v>
      </x:c>
      <x:c r="J1965" s="15" t="n">
        <x:f>IF(D1965=0,"n.a.",E1965/D1965)</x:f>
        <x:v>0.007301945719270979</x:v>
      </x:c>
      <x:c r="K1965" s="15" t="n">
        <x:f>F1965/'Datos'!$F$7</x:f>
        <x:v>0.00006913613057315675</x:v>
      </x:c>
      <x:c r="L1965" s="3"/>
    </x:row>
    <x:row r="1966" ht="22" customHeight="1">
      <x:c r="A1966" s="3"/>
      <x:c r="B1966" s="3" t="str">
        <x:v>22403</x:v>
      </x:c>
      <x:c r="C1966" s="3" t="str">
        <x:v>MAGNETS PACK OF 4 VINTAGE LABELS</x:v>
      </x:c>
      <x:c r="D1966" s="13" t="n">
        <x:v>689.67</x:v>
      </x:c>
      <x:c r="E1966" s="13" t="n">
        <x:v>15</x:v>
      </x:c>
      <x:c r="F1966" s="13" t="n">
        <x:f>D1966-E1966</x:f>
        <x:v>674.67</x:v>
      </x:c>
      <x:c r="G1966" s="3" t="n">
        <x:v>1323</x:v>
      </x:c>
      <x:c r="H1966" s="3" t="n">
        <x:v>12</x:v>
      </x:c>
      <x:c r="I1966" s="3" t="n">
        <x:v>125</x:v>
      </x:c>
      <x:c r="J1966" s="15" t="n">
        <x:f>IF(D1966=0,"n.a.",E1966/D1966)</x:f>
        <x:v>0.021749532385053724</x:v>
      </x:c>
      <x:c r="K1966" s="15" t="n">
        <x:f>F1966/'Datos'!$F$7</x:f>
        <x:v>0.00006889513494792206</x:v>
      </x:c>
      <x:c r="L1966" s="3"/>
    </x:row>
    <x:row r="1967" ht="22" customHeight="1">
      <x:c r="A1967" s="3"/>
      <x:c r="B1967" s="3" t="str">
        <x:v>84659A</x:v>
      </x:c>
      <x:c r="C1967" s="3" t="str">
        <x:v>WHITE TRAVEL ALARM CLOCK</x:v>
      </x:c>
      <x:c r="D1967" s="13" t="n">
        <x:v>676.27</x:v>
      </x:c>
      <x:c r="E1967" s="13" t="n">
        <x:v>2.55</x:v>
      </x:c>
      <x:c r="F1967" s="13" t="n">
        <x:f>D1967-E1967</x:f>
        <x:v>673.72</x:v>
      </x:c>
      <x:c r="G1967" s="3" t="n">
        <x:v>280</x:v>
      </x:c>
      <x:c r="H1967" s="3" t="n">
        <x:v>1</x:v>
      </x:c>
      <x:c r="I1967" s="3" t="n">
        <x:v>89</x:v>
      </x:c>
      <x:c r="J1967" s="15" t="n">
        <x:f>IF(D1967=0,"n.a.",E1967/D1967)</x:f>
        <x:v>0.003770683306963195</x:v>
      </x:c>
      <x:c r="K1967" s="15" t="n">
        <x:f>F1967/'Datos'!$F$7</x:f>
        <x:v>0.00006879812399708605</x:v>
      </x:c>
      <x:c r="L1967" s="3"/>
    </x:row>
    <x:row r="1968" ht="22" customHeight="1">
      <x:c r="A1968" s="3"/>
      <x:c r="B1968" s="3" t="str">
        <x:v>22267</x:v>
      </x:c>
      <x:c r="C1968" s="3" t="str">
        <x:v>EASTER DECORATION EGG BUNNY</x:v>
      </x:c>
      <x:c r="D1968" s="13" t="n">
        <x:v>673.17</x:v>
      </x:c>
      <x:c r="E1968" s="13" t="n">
        <x:v>0</x:v>
      </x:c>
      <x:c r="F1968" s="13" t="n">
        <x:f>D1968-E1968</x:f>
        <x:v>673.17</x:v>
      </x:c>
      <x:c r="G1968" s="3" t="n">
        <x:v>836</x:v>
      </x:c>
      <x:c r="H1968" s="3" t="n">
        <x:v>0</x:v>
      </x:c>
      <x:c r="I1968" s="3" t="n">
        <x:v>83</x:v>
      </x:c>
      <x:c r="J1968" s="15" t="n">
        <x:f>IF(D1968=0,"n.a.",E1968/D1968)</x:f>
        <x:v>0</x:v>
      </x:c>
      <x:c r="K1968" s="15" t="n">
        <x:f>F1968/'Datos'!$F$7</x:f>
        <x:v>0.00006874195976239152</x:v>
      </x:c>
      <x:c r="L1968" s="3"/>
    </x:row>
    <x:row r="1969" ht="22" customHeight="1">
      <x:c r="A1969" s="3"/>
      <x:c r="B1969" s="3" t="str">
        <x:v>46776A</x:v>
      </x:c>
      <x:c r="C1969" s="3" t="str">
        <x:v>WOVEN BUBBLE GUM CUSHION COVER</x:v>
      </x:c>
      <x:c r="D1969" s="13" t="n">
        <x:v>672.6</x:v>
      </x:c>
      <x:c r="E1969" s="13" t="n">
        <x:v>0</x:v>
      </x:c>
      <x:c r="F1969" s="13" t="n">
        <x:f>D1969-E1969</x:f>
        <x:v>672.6</x:v>
      </x:c>
      <x:c r="G1969" s="3" t="n">
        <x:v>160</x:v>
      </x:c>
      <x:c r="H1969" s="3" t="n">
        <x:v>0</x:v>
      </x:c>
      <x:c r="I1969" s="3" t="n">
        <x:v>71</x:v>
      </x:c>
      <x:c r="J1969" s="15" t="n">
        <x:f>IF(D1969=0,"n.a.",E1969/D1969)</x:f>
        <x:v>0</x:v>
      </x:c>
      <x:c r="K1969" s="15" t="n">
        <x:f>F1969/'Datos'!$F$7</x:f>
        <x:v>0.00006868375319188993</x:v>
      </x:c>
      <x:c r="L1969" s="3"/>
    </x:row>
    <x:row r="1970" ht="22" customHeight="1">
      <x:c r="A1970" s="3"/>
      <x:c r="B1970" s="3" t="str">
        <x:v>21261</x:v>
      </x:c>
      <x:c r="C1970" s="3" t="str">
        <x:v>GREEN GOOSE FEATHER CHRISTMAS TREE</x:v>
      </x:c>
      <x:c r="D1970" s="13" t="n">
        <x:v>672.09</x:v>
      </x:c>
      <x:c r="E1970" s="13" t="n">
        <x:v>0</x:v>
      </x:c>
      <x:c r="F1970" s="13" t="n">
        <x:f>D1970-E1970</x:f>
        <x:v>672.09</x:v>
      </x:c>
      <x:c r="G1970" s="3" t="n">
        <x:v>187</x:v>
      </x:c>
      <x:c r="H1970" s="3" t="n">
        <x:v>0</x:v>
      </x:c>
      <x:c r="I1970" s="3" t="n">
        <x:v>45</x:v>
      </x:c>
      <x:c r="J1970" s="15" t="n">
        <x:f>IF(D1970=0,"n.a.",E1970/D1970)</x:f>
        <x:v>0</x:v>
      </x:c>
      <x:c r="K1970" s="15" t="n">
        <x:f>F1970/'Datos'!$F$7</x:f>
        <x:v>0.00006863167362880954</x:v>
      </x:c>
      <x:c r="L1970" s="3"/>
    </x:row>
    <x:row r="1971" ht="22" customHeight="1">
      <x:c r="A1971" s="3"/>
      <x:c r="B1971" s="3" t="str">
        <x:v>37475</x:v>
      </x:c>
      <x:c r="C1971" s="3" t="str">
        <x:v>SET/4 COLOURFUL MIXING BOWLS</x:v>
      </x:c>
      <x:c r="D1971" s="13" t="n">
        <x:v>671.93</x:v>
      </x:c>
      <x:c r="E1971" s="13" t="n">
        <x:v>0</x:v>
      </x:c>
      <x:c r="F1971" s="13" t="n">
        <x:f>D1971-E1971</x:f>
        <x:v>671.93</x:v>
      </x:c>
      <x:c r="G1971" s="3" t="n">
        <x:v>71</x:v>
      </x:c>
      <x:c r="H1971" s="3" t="n">
        <x:v>0</x:v>
      </x:c>
      <x:c r="I1971" s="3" t="n">
        <x:v>43</x:v>
      </x:c>
      <x:c r="J1971" s="15" t="n">
        <x:f>IF(D1971=0,"n.a.",E1971/D1971)</x:f>
        <x:v>0</x:v>
      </x:c>
      <x:c r="K1971" s="15" t="n">
        <x:f>F1971/'Datos'!$F$7</x:f>
        <x:v>0.00006861533494235295</x:v>
      </x:c>
      <x:c r="L1971" s="3"/>
    </x:row>
    <x:row r="1972" ht="22" customHeight="1">
      <x:c r="A1972" s="3"/>
      <x:c r="B1972" s="3" t="str">
        <x:v>84923</x:v>
      </x:c>
      <x:c r="C1972" s="3" t="str">
        <x:v>PINK BUTTERFLY HANDBAG W BOBBLES</x:v>
      </x:c>
      <x:c r="D1972" s="13" t="n">
        <x:v>671.62</x:v>
      </x:c>
      <x:c r="E1972" s="13" t="n">
        <x:v>0</x:v>
      </x:c>
      <x:c r="F1972" s="13" t="n">
        <x:f>D1972-E1972</x:f>
        <x:v>671.62</x:v>
      </x:c>
      <x:c r="G1972" s="3" t="n">
        <x:v>162</x:v>
      </x:c>
      <x:c r="H1972" s="3" t="n">
        <x:v>0</x:v>
      </x:c>
      <x:c r="I1972" s="3" t="n">
        <x:v>98</x:v>
      </x:c>
      <x:c r="J1972" s="15" t="n">
        <x:f>IF(D1972=0,"n.a.",E1972/D1972)</x:f>
        <x:v>0</x:v>
      </x:c>
      <x:c r="K1972" s="15" t="n">
        <x:f>F1972/'Datos'!$F$7</x:f>
        <x:v>0.00006858367873734331</x:v>
      </x:c>
      <x:c r="L1972" s="3"/>
    </x:row>
    <x:row r="1973" ht="22" customHeight="1">
      <x:c r="A1973" s="3"/>
      <x:c r="B1973" s="3" t="str">
        <x:v>20704</x:v>
      </x:c>
      <x:c r="C1973" s="3" t="str">
        <x:v>MR ROBOT SOFT TOY</x:v>
      </x:c>
      <x:c r="D1973" s="13" t="n">
        <x:v>697.7</x:v>
      </x:c>
      <x:c r="E1973" s="13" t="n">
        <x:v>27.8</x:v>
      </x:c>
      <x:c r="F1973" s="13" t="n">
        <x:f>D1973-E1973</x:f>
        <x:v>669.9000000000001</x:v>
      </x:c>
      <x:c r="G1973" s="3" t="n">
        <x:v>216</x:v>
      </x:c>
      <x:c r="H1973" s="3" t="n">
        <x:v>4</x:v>
      </x:c>
      <x:c r="I1973" s="3" t="n">
        <x:v>44</x:v>
      </x:c>
      <x:c r="J1973" s="15" t="n">
        <x:f>IF(D1973=0,"n.a.",E1973/D1973)</x:f>
        <x:v>0.03984520567579189</x:v>
      </x:c>
      <x:c r="K1973" s="15" t="n">
        <x:f>F1973/'Datos'!$F$7</x:f>
        <x:v>0.00006840803785793498</x:v>
      </x:c>
      <x:c r="L1973" s="3"/>
    </x:row>
    <x:row r="1974" ht="22" customHeight="1">
      <x:c r="A1974" s="3"/>
      <x:c r="B1974" s="3" t="str">
        <x:v>23597</x:v>
      </x:c>
      <x:c r="C1974" s="3" t="str">
        <x:v>PAPER BUNTING PAISLEY PARK</x:v>
      </x:c>
      <x:c r="D1974" s="13" t="n">
        <x:v>684.97</x:v>
      </x:c>
      <x:c r="E1974" s="13" t="n">
        <x:v>17.7</x:v>
      </x:c>
      <x:c r="F1974" s="13" t="n">
        <x:f>D1974-E1974</x:f>
        <x:v>667.27</x:v>
      </x:c>
      <x:c r="G1974" s="3" t="n">
        <x:v>251</x:v>
      </x:c>
      <x:c r="H1974" s="3" t="n">
        <x:v>6</x:v>
      </x:c>
      <x:c r="I1974" s="3" t="n">
        <x:v>31</x:v>
      </x:c>
      <x:c r="J1974" s="15" t="n">
        <x:f>IF(D1974=0,"n.a.",E1974/D1974)</x:f>
        <x:v>0.025840547761215818</x:v>
      </x:c>
      <x:c r="K1974" s="15" t="n">
        <x:f>F1974/'Datos'!$F$7</x:f>
        <x:v>0.00006813947069930476</x:v>
      </x:c>
      <x:c r="L1974" s="3"/>
    </x:row>
    <x:row r="1975" ht="22" customHeight="1">
      <x:c r="A1975" s="3"/>
      <x:c r="B1975" s="3" t="str">
        <x:v>22339</x:v>
      </x:c>
      <x:c r="C1975" s="3" t="str">
        <x:v>CHRISTMAS TREE PAINTED ZINC</x:v>
      </x:c>
      <x:c r="D1975" s="13" t="n">
        <x:v>683.31</x:v>
      </x:c>
      <x:c r="E1975" s="13" t="n">
        <x:v>16.93</x:v>
      </x:c>
      <x:c r="F1975" s="13" t="n">
        <x:f>D1975-E1975</x:f>
        <x:v>666.38</x:v>
      </x:c>
      <x:c r="G1975" s="3" t="n">
        <x:v>2468</x:v>
      </x:c>
      <x:c r="H1975" s="3" t="n">
        <x:v>31</x:v>
      </x:c>
      <x:c r="I1975" s="3" t="n">
        <x:v>83</x:v>
      </x:c>
      <x:c r="J1975" s="15" t="n">
        <x:f>IF(D1975=0,"n.a.",E1975/D1975)</x:f>
        <x:v>0.024776455781416927</x:v>
      </x:c>
      <x:c r="K1975" s="15" t="n">
        <x:f>F1975/'Datos'!$F$7</x:f>
        <x:v>0.00006804858675588999</x:v>
      </x:c>
      <x:c r="L1975" s="3"/>
    </x:row>
    <x:row r="1976" ht="22" customHeight="1">
      <x:c r="A1976" s="3"/>
      <x:c r="B1976" s="3" t="str">
        <x:v>23120</x:v>
      </x:c>
      <x:c r="C1976" s="3" t="str">
        <x:v>PACK OF 6 SMALL FRUIT STRAWS</x:v>
      </x:c>
      <x:c r="D1976" s="13" t="n">
        <x:v>695.41</x:v>
      </x:c>
      <x:c r="E1976" s="13" t="n">
        <x:v>30.24</x:v>
      </x:c>
      <x:c r="F1976" s="13" t="n">
        <x:f>D1976-E1976</x:f>
        <x:v>665.17</x:v>
      </x:c>
      <x:c r="G1976" s="3" t="n">
        <x:v>1716</x:v>
      </x:c>
      <x:c r="H1976" s="3" t="n">
        <x:v>72</x:v>
      </x:c>
      <x:c r="I1976" s="3" t="n">
        <x:v>100</x:v>
      </x:c>
      <x:c r="J1976" s="15" t="n">
        <x:f>IF(D1976=0,"n.a.",E1976/D1976)</x:f>
        <x:v>0.04348513826375807</x:v>
      </x:c>
      <x:c r="K1976" s="15" t="n">
        <x:f>F1976/'Datos'!$F$7</x:f>
        <x:v>0.00006792502543956202</x:v>
      </x:c>
      <x:c r="L1976" s="3"/>
    </x:row>
    <x:row r="1977" ht="22" customHeight="1">
      <x:c r="A1977" s="3"/>
      <x:c r="B1977" s="3" t="str">
        <x:v>47574A</x:v>
      </x:c>
      <x:c r="C1977" s="3" t="str">
        <x:v>ENGLISH ROSE SCENTED HANGING FLOWER</x:v>
      </x:c>
      <x:c r="D1977" s="13" t="n">
        <x:v>665.95</x:v>
      </x:c>
      <x:c r="E1977" s="13" t="n">
        <x:v>1.5</x:v>
      </x:c>
      <x:c r="F1977" s="13" t="n">
        <x:f>D1977-E1977</x:f>
        <x:v>664.45</x:v>
      </x:c>
      <x:c r="G1977" s="3" t="n">
        <x:v>549</x:v>
      </x:c>
      <x:c r="H1977" s="3" t="n">
        <x:v>2</x:v>
      </x:c>
      <x:c r="I1977" s="3" t="n">
        <x:v>114</x:v>
      </x:c>
      <x:c r="J1977" s="15" t="n">
        <x:f>IF(D1977=0,"n.a.",E1977/D1977)</x:f>
        <x:v>0.0022524213529544258</x:v>
      </x:c>
      <x:c r="K1977" s="15" t="n">
        <x:f>F1977/'Datos'!$F$7</x:f>
        <x:v>0.00006785150135050737</x:v>
      </x:c>
      <x:c r="L1977" s="3"/>
    </x:row>
    <x:row r="1978" ht="22" customHeight="1">
      <x:c r="A1978" s="3"/>
      <x:c r="B1978" s="3" t="str">
        <x:v>20767</x:v>
      </x:c>
      <x:c r="C1978" s="3" t="str">
        <x:v>BLUE PAISLEY JOURNAL</x:v>
      </x:c>
      <x:c r="D1978" s="13" t="n">
        <x:v>663.71</x:v>
      </x:c>
      <x:c r="E1978" s="13" t="n">
        <x:v>0</x:v>
      </x:c>
      <x:c r="F1978" s="13" t="n">
        <x:f>D1978-E1978</x:f>
        <x:v>663.71</x:v>
      </x:c>
      <x:c r="G1978" s="3" t="n">
        <x:v>253</x:v>
      </x:c>
      <x:c r="H1978" s="3" t="n">
        <x:v>0</x:v>
      </x:c>
      <x:c r="I1978" s="3" t="n">
        <x:v>79</x:v>
      </x:c>
      <x:c r="J1978" s="15" t="n">
        <x:f>IF(D1978=0,"n.a.",E1978/D1978)</x:f>
        <x:v>0</x:v>
      </x:c>
      <x:c r="K1978" s="15" t="n">
        <x:f>F1978/'Datos'!$F$7</x:f>
        <x:v>0.00006777593492564564</x:v>
      </x:c>
      <x:c r="L1978" s="3"/>
    </x:row>
    <x:row r="1979" ht="22" customHeight="1">
      <x:c r="A1979" s="3"/>
      <x:c r="B1979" s="3" t="str">
        <x:v>40001</x:v>
      </x:c>
      <x:c r="C1979" s="3" t="str">
        <x:v>WHITE BAMBOO RIBS LAMPSHADE</x:v>
      </x:c>
      <x:c r="D1979" s="13" t="n">
        <x:v>675.23</x:v>
      </x:c>
      <x:c r="E1979" s="13" t="n">
        <x:v>12.16</x:v>
      </x:c>
      <x:c r="F1979" s="13" t="n">
        <x:f>D1979-E1979</x:f>
        <x:v>663.07</x:v>
      </x:c>
      <x:c r="G1979" s="3" t="n">
        <x:v>821</x:v>
      </x:c>
      <x:c r="H1979" s="3" t="n">
        <x:v>19</x:v>
      </x:c>
      <x:c r="I1979" s="3" t="n">
        <x:v>56</x:v>
      </x:c>
      <x:c r="J1979" s="15" t="n">
        <x:f>IF(D1979=0,"n.a.",E1979/D1979)</x:f>
        <x:v>0.018008678524354664</x:v>
      </x:c>
      <x:c r="K1979" s="15" t="n">
        <x:f>F1979/'Datos'!$F$7</x:f>
        <x:v>0.0000677105801798193</x:v>
      </x:c>
      <x:c r="L1979" s="3"/>
    </x:row>
    <x:row r="1980" ht="22" customHeight="1">
      <x:c r="A1980" s="3"/>
      <x:c r="B1980" s="3" t="str">
        <x:v>23024</x:v>
      </x:c>
      <x:c r="C1980" s="3" t="str">
        <x:v>LARGE BONNE JAM JAR T-LIGHT HOLDER</x:v>
      </x:c>
      <x:c r="D1980" s="13" t="n">
        <x:v>667.85</x:v>
      </x:c>
      <x:c r="E1980" s="13" t="n">
        <x:v>4.98</x:v>
      </x:c>
      <x:c r="F1980" s="13" t="n">
        <x:f>D1980-E1980</x:f>
        <x:v>662.87</x:v>
      </x:c>
      <x:c r="G1980" s="3" t="n">
        <x:v>255</x:v>
      </x:c>
      <x:c r="H1980" s="3" t="n">
        <x:v>2</x:v>
      </x:c>
      <x:c r="I1980" s="3" t="n">
        <x:v>11</x:v>
      </x:c>
      <x:c r="J1980" s="15" t="n">
        <x:f>IF(D1980=0,"n.a.",E1980/D1980)</x:f>
        <x:v>0.007456764243467845</x:v>
      </x:c>
      <x:c r="K1980" s="15" t="n">
        <x:f>F1980/'Datos'!$F$7</x:f>
        <x:v>0.00006769015682174855</x:v>
      </x:c>
      <x:c r="L1980" s="3"/>
    </x:row>
    <x:row r="1981" ht="22" customHeight="1">
      <x:c r="A1981" s="3"/>
      <x:c r="B1981" s="3" t="str">
        <x:v>21613</x:v>
      </x:c>
      <x:c r="C1981" s="3" t="str">
        <x:v>S/12 VANILLA BOTANICAL T-LIGHTS</x:v>
      </x:c>
      <x:c r="D1981" s="13" t="n">
        <x:v>661.93</x:v>
      </x:c>
      <x:c r="E1981" s="13" t="n">
        <x:v>0</x:v>
      </x:c>
      <x:c r="F1981" s="13" t="n">
        <x:f>D1981-E1981</x:f>
        <x:v>661.93</x:v>
      </x:c>
      <x:c r="G1981" s="3" t="n">
        <x:v>227</x:v>
      </x:c>
      <x:c r="H1981" s="3" t="n">
        <x:v>0</x:v>
      </x:c>
      <x:c r="I1981" s="3" t="n">
        <x:v>42</x:v>
      </x:c>
      <x:c r="J1981" s="15" t="n">
        <x:f>IF(D1981=0,"n.a.",E1981/D1981)</x:f>
        <x:v>0</x:v>
      </x:c>
      <x:c r="K1981" s="15" t="n">
        <x:f>F1981/'Datos'!$F$7</x:f>
        <x:v>0.00006759416703881608</x:v>
      </x:c>
      <x:c r="L1981" s="3"/>
    </x:row>
    <x:row r="1982" ht="22" customHeight="1">
      <x:c r="A1982" s="3"/>
      <x:c r="B1982" s="3" t="str">
        <x:v>23547</x:v>
      </x:c>
      <x:c r="C1982" s="3" t="str">
        <x:v>WRAP FLOWER SHOP</x:v>
      </x:c>
      <x:c r="D1982" s="13" t="n">
        <x:v>661.5</x:v>
      </x:c>
      <x:c r="E1982" s="13" t="n">
        <x:v>0</x:v>
      </x:c>
      <x:c r="F1982" s="13" t="n">
        <x:f>D1982-E1982</x:f>
        <x:v>661.5</x:v>
      </x:c>
      <x:c r="G1982" s="3" t="n">
        <x:v>1575</x:v>
      </x:c>
      <x:c r="H1982" s="3" t="n">
        <x:v>0</x:v>
      </x:c>
      <x:c r="I1982" s="3" t="n">
        <x:v>62</x:v>
      </x:c>
      <x:c r="J1982" s="15" t="n">
        <x:f>IF(D1982=0,"n.a.",E1982/D1982)</x:f>
        <x:v>0</x:v>
      </x:c>
      <x:c r="K1982" s="15" t="n">
        <x:f>F1982/'Datos'!$F$7</x:f>
        <x:v>0.00006755025681896399</x:v>
      </x:c>
      <x:c r="L1982" s="3"/>
    </x:row>
    <x:row r="1983" ht="22" customHeight="1">
      <x:c r="A1983" s="3"/>
      <x:c r="B1983" s="3" t="str">
        <x:v>23482</x:v>
      </x:c>
      <x:c r="C1983" s="3" t="str">
        <x:v>PEARLISED IVORY HEART LARGE</x:v>
      </x:c>
      <x:c r="D1983" s="13" t="n">
        <x:v>661.02</x:v>
      </x:c>
      <x:c r="E1983" s="13" t="n">
        <x:v>0</x:v>
      </x:c>
      <x:c r="F1983" s="13" t="n">
        <x:f>D1983-E1983</x:f>
        <x:v>661.02</x:v>
      </x:c>
      <x:c r="G1983" s="3" t="n">
        <x:v>418</x:v>
      </x:c>
      <x:c r="H1983" s="3" t="n">
        <x:v>0</x:v>
      </x:c>
      <x:c r="I1983" s="3" t="n">
        <x:v>39</x:v>
      </x:c>
      <x:c r="J1983" s="15" t="n">
        <x:f>IF(D1983=0,"n.a.",E1983/D1983)</x:f>
        <x:v>0</x:v>
      </x:c>
      <x:c r="K1983" s="15" t="n">
        <x:f>F1983/'Datos'!$F$7</x:f>
        <x:v>0.00006750124075959422</x:v>
      </x:c>
      <x:c r="L1983" s="3"/>
    </x:row>
    <x:row r="1984" ht="22" customHeight="1">
      <x:c r="A1984" s="3"/>
      <x:c r="B1984" s="3" t="str">
        <x:v>23428</x:v>
      </x:c>
      <x:c r="C1984" s="3" t="str">
        <x:v>IVORY RETRO KITCHEN WALL CLOCK</x:v>
      </x:c>
      <x:c r="D1984" s="13" t="n">
        <x:v>675.91</x:v>
      </x:c>
      <x:c r="E1984" s="13" t="n">
        <x:v>16.3</x:v>
      </x:c>
      <x:c r="F1984" s="13" t="n">
        <x:f>D1984-E1984</x:f>
        <x:v>659.61</x:v>
      </x:c>
      <x:c r="G1984" s="3" t="n">
        <x:v>77</x:v>
      </x:c>
      <x:c r="H1984" s="3" t="n">
        <x:v>2</x:v>
      </x:c>
      <x:c r="I1984" s="3" t="n">
        <x:v>33</x:v>
      </x:c>
      <x:c r="J1984" s="15" t="n">
        <x:f>IF(D1984=0,"n.a.",E1984/D1984)</x:f>
        <x:v>0.024115636697193417</x:v>
      </x:c>
      <x:c r="K1984" s="15" t="n">
        <x:f>F1984/'Datos'!$F$7</x:f>
        <x:v>0.00006735725608519553</x:v>
      </x:c>
      <x:c r="L1984" s="3"/>
    </x:row>
    <x:row r="1985" ht="22" customHeight="1">
      <x:c r="A1985" s="3"/>
      <x:c r="B1985" s="3" t="str">
        <x:v>22450</x:v>
      </x:c>
      <x:c r="C1985" s="3" t="str">
        <x:v>SILK PURSE BABUSHKA BLUE</x:v>
      </x:c>
      <x:c r="D1985" s="13" t="n">
        <x:v>661.11</x:v>
      </x:c>
      <x:c r="E1985" s="13" t="n">
        <x:v>3.35</x:v>
      </x:c>
      <x:c r="F1985" s="13" t="n">
        <x:f>D1985-E1985</x:f>
        <x:v>657.76</x:v>
      </x:c>
      <x:c r="G1985" s="3" t="n">
        <x:v>195</x:v>
      </x:c>
      <x:c r="H1985" s="3" t="n">
        <x:v>1</x:v>
      </x:c>
      <x:c r="I1985" s="3" t="n">
        <x:v>58</x:v>
      </x:c>
      <x:c r="J1985" s="15" t="n">
        <x:f>IF(D1985=0,"n.a.",E1985/D1985)</x:f>
        <x:v>0.005067235407118331</x:v>
      </x:c>
      <x:c r="K1985" s="15" t="n">
        <x:f>F1985/'Datos'!$F$7</x:f>
        <x:v>0.00006716834002304121</x:v>
      </x:c>
      <x:c r="L1985" s="3"/>
    </x:row>
    <x:row r="1986" ht="22" customHeight="1">
      <x:c r="A1986" s="3"/>
      <x:c r="B1986" s="3" t="str">
        <x:v>22756</x:v>
      </x:c>
      <x:c r="C1986" s="3" t="str">
        <x:v>LARGE YELLOW BABUSHKA NOTEBOOK</x:v>
      </x:c>
      <x:c r="D1986" s="13" t="n">
        <x:v>656.52</x:v>
      </x:c>
      <x:c r="E1986" s="13" t="n">
        <x:v>0</x:v>
      </x:c>
      <x:c r="F1986" s="13" t="n">
        <x:f>D1986-E1986</x:f>
        <x:v>656.52</x:v>
      </x:c>
      <x:c r="G1986" s="3" t="n">
        <x:v>599</x:v>
      </x:c>
      <x:c r="H1986" s="3" t="n">
        <x:v>0</x:v>
      </x:c>
      <x:c r="I1986" s="3" t="n">
        <x:v>123</x:v>
      </x:c>
      <x:c r="J1986" s="15" t="n">
        <x:f>IF(D1986=0,"n.a.",E1986/D1986)</x:f>
        <x:v>0</x:v>
      </x:c>
      <x:c r="K1986" s="15" t="n">
        <x:f>F1986/'Datos'!$F$7</x:f>
        <x:v>0.00006704171520300263</x:v>
      </x:c>
      <x:c r="L1986" s="3"/>
    </x:row>
    <x:row r="1987" ht="22" customHeight="1">
      <x:c r="A1987" s="3"/>
      <x:c r="B1987" s="3" t="str">
        <x:v>22448</x:v>
      </x:c>
      <x:c r="C1987" s="3" t="str">
        <x:v>PIN CUSHION BABUSHKA RED</x:v>
      </x:c>
      <x:c r="D1987" s="13" t="n">
        <x:v>656.43</x:v>
      </x:c>
      <x:c r="E1987" s="13" t="n">
        <x:v>0</x:v>
      </x:c>
      <x:c r="F1987" s="13" t="n">
        <x:f>D1987-E1987</x:f>
        <x:v>656.43</x:v>
      </x:c>
      <x:c r="G1987" s="3" t="n">
        <x:v>201</x:v>
      </x:c>
      <x:c r="H1987" s="3" t="n">
        <x:v>0</x:v>
      </x:c>
      <x:c r="I1987" s="3" t="n">
        <x:v>45</x:v>
      </x:c>
      <x:c r="J1987" s="15" t="n">
        <x:f>IF(D1987=0,"n.a.",E1987/D1987)</x:f>
        <x:v>0</x:v>
      </x:c>
      <x:c r="K1987" s="15" t="n">
        <x:f>F1987/'Datos'!$F$7</x:f>
        <x:v>0.0000670325246918708</x:v>
      </x:c>
      <x:c r="L1987" s="3"/>
    </x:row>
    <x:row r="1988" ht="22" customHeight="1">
      <x:c r="A1988" s="3"/>
      <x:c r="B1988" s="3" t="str">
        <x:v>22615</x:v>
      </x:c>
      <x:c r="C1988" s="3" t="str">
        <x:v>PACK OF 12 CIRCUS PARADE TISSUES</x:v>
      </x:c>
      <x:c r="D1988" s="13" t="n">
        <x:v>660.73</x:v>
      </x:c>
      <x:c r="E1988" s="13" t="n">
        <x:v>4.68</x:v>
      </x:c>
      <x:c r="F1988" s="13" t="n">
        <x:f>D1988-E1988</x:f>
        <x:v>656.0500000000001</x:v>
      </x:c>
      <x:c r="G1988" s="3" t="n">
        <x:v>2075</x:v>
      </x:c>
      <x:c r="H1988" s="3" t="n">
        <x:v>12</x:v>
      </x:c>
      <x:c r="I1988" s="3" t="n">
        <x:v>102</x:v>
      </x:c>
      <x:c r="J1988" s="15" t="n">
        <x:f>IF(D1988=0,"n.a.",E1988/D1988)</x:f>
        <x:v>0.007083074780924129</x:v>
      </x:c>
      <x:c r="K1988" s="15" t="n">
        <x:f>F1988/'Datos'!$F$7</x:f>
        <x:v>0.00006699372031153641</x:v>
      </x:c>
      <x:c r="L1988" s="3"/>
    </x:row>
    <x:row r="1989" ht="22" customHeight="1">
      <x:c r="A1989" s="3"/>
      <x:c r="B1989" s="3" t="str">
        <x:v>85199L</x:v>
      </x:c>
      <x:c r="C1989" s="3" t="str">
        <x:v>LARGE HANGING IVORY &amp; RED WOOD BIRD</x:v>
      </x:c>
      <x:c r="D1989" s="13" t="n">
        <x:v>663.43</x:v>
      </x:c>
      <x:c r="E1989" s="13" t="n">
        <x:v>8.45</x:v>
      </x:c>
      <x:c r="F1989" s="13" t="n">
        <x:f>D1989-E1989</x:f>
        <x:v>654.9799999999999</x:v>
      </x:c>
      <x:c r="G1989" s="3" t="n">
        <x:v>977</x:v>
      </x:c>
      <x:c r="H1989" s="3" t="n">
        <x:v>13</x:v>
      </x:c>
      <x:c r="I1989" s="3" t="n">
        <x:v>95</x:v>
      </x:c>
      <x:c r="J1989" s="15" t="n">
        <x:f>IF(D1989=0,"n.a.",E1989/D1989)</x:f>
        <x:v>0.012736837345311487</x:v>
      </x:c>
      <x:c r="K1989" s="15" t="n">
        <x:f>F1989/'Datos'!$F$7</x:f>
        <x:v>0.00006688445534585795</x:v>
      </x:c>
      <x:c r="L1989" s="3"/>
    </x:row>
    <x:row r="1990" ht="22" customHeight="1">
      <x:c r="A1990" s="3"/>
      <x:c r="B1990" s="3" t="str">
        <x:v>21696</x:v>
      </x:c>
      <x:c r="C1990" s="3" t="str">
        <x:v>SMALL SILVER TRELLIS CANDLEPOT</x:v>
      </x:c>
      <x:c r="D1990" s="13" t="n">
        <x:v>690.1</x:v>
      </x:c>
      <x:c r="E1990" s="13" t="n">
        <x:v>35.4</x:v>
      </x:c>
      <x:c r="F1990" s="13" t="n">
        <x:f>D1990-E1990</x:f>
        <x:v>654.7</x:v>
      </x:c>
      <x:c r="G1990" s="3" t="n">
        <x:v>230</x:v>
      </x:c>
      <x:c r="H1990" s="3" t="n">
        <x:v>12</x:v>
      </x:c>
      <x:c r="I1990" s="3" t="n">
        <x:v>33</x:v>
      </x:c>
      <x:c r="J1990" s="15" t="n">
        <x:f>IF(D1990=0,"n.a.",E1990/D1990)</x:f>
        <x:v>0.05129691349079843</x:v>
      </x:c>
      <x:c r="K1990" s="15" t="n">
        <x:f>F1990/'Datos'!$F$7</x:f>
        <x:v>0.00006685586264455893</x:v>
      </x:c>
      <x:c r="L1990" s="3"/>
    </x:row>
    <x:row r="1991" ht="22" customHeight="1">
      <x:c r="A1991" s="3"/>
      <x:c r="B1991" s="3" t="str">
        <x:v>21187</x:v>
      </x:c>
      <x:c r="C1991" s="3" t="str">
        <x:v>WHITE BELL HONEYCOMB PAPER GARLAND</x:v>
      </x:c>
      <x:c r="D1991" s="13" t="n">
        <x:v>651.75</x:v>
      </x:c>
      <x:c r="E1991" s="13" t="n">
        <x:v>0</x:v>
      </x:c>
      <x:c r="F1991" s="13" t="n">
        <x:f>D1991-E1991</x:f>
        <x:v>651.75</x:v>
      </x:c>
      <x:c r="G1991" s="3" t="n">
        <x:v>371</x:v>
      </x:c>
      <x:c r="H1991" s="3" t="n">
        <x:v>0</x:v>
      </x:c>
      <x:c r="I1991" s="3" t="n">
        <x:v>48</x:v>
      </x:c>
      <x:c r="J1991" s="15" t="n">
        <x:f>IF(D1991=0,"n.a.",E1991/D1991)</x:f>
        <x:v>0</x:v>
      </x:c>
      <x:c r="K1991" s="15" t="n">
        <x:f>F1991/'Datos'!$F$7</x:f>
        <x:v>0.00006655461811301555</x:v>
      </x:c>
      <x:c r="L1991" s="3"/>
    </x:row>
    <x:row r="1992" ht="22" customHeight="1">
      <x:c r="A1992" s="3"/>
      <x:c r="B1992" s="3" t="str">
        <x:v>22535</x:v>
      </x:c>
      <x:c r="C1992" s="3" t="str">
        <x:v>MAGIC DRAWING SLATE BUNNIES</x:v>
      </x:c>
      <x:c r="D1992" s="13" t="n">
        <x:v>671.01</x:v>
      </x:c>
      <x:c r="E1992" s="13" t="n">
        <x:v>20.16</x:v>
      </x:c>
      <x:c r="F1992" s="13" t="n">
        <x:f>D1992-E1992</x:f>
        <x:v>650.85</x:v>
      </x:c>
      <x:c r="G1992" s="3" t="n">
        <x:v>1766</x:v>
      </x:c>
      <x:c r="H1992" s="3" t="n">
        <x:v>48</x:v>
      </x:c>
      <x:c r="I1992" s="3" t="n">
        <x:v>134</x:v>
      </x:c>
      <x:c r="J1992" s="15" t="n">
        <x:f>IF(D1992=0,"n.a.",E1992/D1992)</x:f>
        <x:v>0.030044261635445074</x:v>
      </x:c>
      <x:c r="K1992" s="15" t="n">
        <x:f>F1992/'Datos'!$F$7</x:f>
        <x:v>0.00006646271300169724</x:v>
      </x:c>
      <x:c r="L1992" s="3"/>
    </x:row>
    <x:row r="1993" ht="22" customHeight="1">
      <x:c r="A1993" s="3"/>
      <x:c r="B1993" s="3" t="str">
        <x:v>22204</x:v>
      </x:c>
      <x:c r="C1993" s="3" t="str">
        <x:v>MILK PAN BLUE POLKADOT</x:v>
      </x:c>
      <x:c r="D1993" s="13" t="n">
        <x:v>669.54</x:v>
      </x:c>
      <x:c r="E1993" s="13" t="n">
        <x:v>18.75</x:v>
      </x:c>
      <x:c r="F1993" s="13" t="n">
        <x:f>D1993-E1993</x:f>
        <x:v>650.79</x:v>
      </x:c>
      <x:c r="G1993" s="3" t="n">
        <x:v>197</x:v>
      </x:c>
      <x:c r="H1993" s="3" t="n">
        <x:v>5</x:v>
      </x:c>
      <x:c r="I1993" s="3" t="n">
        <x:v>79</x:v>
      </x:c>
      <x:c r="J1993" s="15" t="n">
        <x:f>IF(D1993=0,"n.a.",E1993/D1993)</x:f>
        <x:v>0.028004301460704366</x:v>
      </x:c>
      <x:c r="K1993" s="15" t="n">
        <x:f>F1993/'Datos'!$F$7</x:f>
        <x:v>0.000066456585994276</x:v>
      </x:c>
      <x:c r="L1993" s="3"/>
    </x:row>
    <x:row r="1994" ht="22" customHeight="1">
      <x:c r="A1994" s="3"/>
      <x:c r="B1994" s="3" t="str">
        <x:v>22525</x:v>
      </x:c>
      <x:c r="C1994" s="3" t="str">
        <x:v>CHILDRENS GARDEN GLOVES PINK</x:v>
      </x:c>
      <x:c r="D1994" s="13" t="n">
        <x:v>648.97</x:v>
      </x:c>
      <x:c r="E1994" s="13" t="n">
        <x:v>0</x:v>
      </x:c>
      <x:c r="F1994" s="13" t="n">
        <x:f>D1994-E1994</x:f>
        <x:v>648.97</x:v>
      </x:c>
      <x:c r="G1994" s="3" t="n">
        <x:v>489</x:v>
      </x:c>
      <x:c r="H1994" s="3" t="n">
        <x:v>0</x:v>
      </x:c>
      <x:c r="I1994" s="3" t="n">
        <x:v>74</x:v>
      </x:c>
      <x:c r="J1994" s="15" t="n">
        <x:f>IF(D1994=0,"n.a.",E1994/D1994)</x:f>
        <x:v>0</x:v>
      </x:c>
      <x:c r="K1994" s="15" t="n">
        <x:f>F1994/'Datos'!$F$7</x:f>
        <x:v>0.0000662707334358323</x:v>
      </x:c>
      <x:c r="L1994" s="3"/>
    </x:row>
    <x:row r="1995" ht="22" customHeight="1">
      <x:c r="A1995" s="3"/>
      <x:c r="B1995" s="3" t="str">
        <x:v>22953</x:v>
      </x:c>
      <x:c r="C1995" s="3" t="str">
        <x:v>BIRTHDAY PARTY CORDON BARRIER TAPE</x:v>
      </x:c>
      <x:c r="D1995" s="13" t="n">
        <x:v>647.11</x:v>
      </x:c>
      <x:c r="E1995" s="13" t="n">
        <x:v>0</x:v>
      </x:c>
      <x:c r="F1995" s="13" t="n">
        <x:f>D1995-E1995</x:f>
        <x:v>647.11</x:v>
      </x:c>
      <x:c r="G1995" s="3" t="n">
        <x:v>502</x:v>
      </x:c>
      <x:c r="H1995" s="3" t="n">
        <x:v>0</x:v>
      </x:c>
      <x:c r="I1995" s="3" t="n">
        <x:v>98</x:v>
      </x:c>
      <x:c r="J1995" s="15" t="n">
        <x:f>IF(D1995=0,"n.a.",E1995/D1995)</x:f>
        <x:v>0</x:v>
      </x:c>
      <x:c r="K1995" s="15" t="n">
        <x:f>F1995/'Datos'!$F$7</x:f>
        <x:v>0.00006608079620577444</x:v>
      </x:c>
      <x:c r="L1995" s="3"/>
    </x:row>
    <x:row r="1996" ht="22" customHeight="1">
      <x:c r="A1996" s="3"/>
      <x:c r="B1996" s="3" t="str">
        <x:v>22715</x:v>
      </x:c>
      <x:c r="C1996" s="3" t="str">
        <x:v>CARD WEDDING DAY</x:v>
      </x:c>
      <x:c r="D1996" s="13" t="n">
        <x:v>645.64</x:v>
      </x:c>
      <x:c r="E1996" s="13" t="n">
        <x:v>0</x:v>
      </x:c>
      <x:c r="F1996" s="13" t="n">
        <x:f>D1996-E1996</x:f>
        <x:v>645.64</x:v>
      </x:c>
      <x:c r="G1996" s="3" t="n">
        <x:v>1543</x:v>
      </x:c>
      <x:c r="H1996" s="3" t="n">
        <x:v>0</x:v>
      </x:c>
      <x:c r="I1996" s="3" t="n">
        <x:v>130</x:v>
      </x:c>
      <x:c r="J1996" s="15" t="n">
        <x:f>IF(D1996=0,"n.a.",E1996/D1996)</x:f>
        <x:v>0</x:v>
      </x:c>
      <x:c r="K1996" s="15" t="n">
        <x:f>F1996/'Datos'!$F$7</x:f>
        <x:v>0.00006593068452395452</x:v>
      </x:c>
      <x:c r="L1996" s="3"/>
    </x:row>
    <x:row r="1997" ht="22" customHeight="1">
      <x:c r="A1997" s="3"/>
      <x:c r="B1997" s="3" t="str">
        <x:v>23042</x:v>
      </x:c>
      <x:c r="C1997" s="3" t="str">
        <x:v>PAPER LANTERN 7 POINT SNOW STAR</x:v>
      </x:c>
      <x:c r="D1997" s="13" t="n">
        <x:v>711.51</x:v>
      </x:c>
      <x:c r="E1997" s="13" t="n">
        <x:v>66.5</x:v>
      </x:c>
      <x:c r="F1997" s="13" t="n">
        <x:f>D1997-E1997</x:f>
        <x:v>645.01</x:v>
      </x:c>
      <x:c r="G1997" s="3" t="n">
        <x:v>103</x:v>
      </x:c>
      <x:c r="H1997" s="3" t="n">
        <x:v>10</x:v>
      </x:c>
      <x:c r="I1997" s="3" t="n">
        <x:v>28</x:v>
      </x:c>
      <x:c r="J1997" s="15" t="n">
        <x:f>IF(D1997=0,"n.a.",E1997/D1997)</x:f>
        <x:v>0.09346319798737895</x:v>
      </x:c>
      <x:c r="K1997" s="15" t="n">
        <x:f>F1997/'Datos'!$F$7</x:f>
        <x:v>0.0000658663509460317</x:v>
      </x:c>
      <x:c r="L1997" s="3"/>
    </x:row>
    <x:row r="1998" ht="22" customHeight="1">
      <x:c r="A1998" s="3"/>
      <x:c r="B1998" s="3" t="str">
        <x:v>84789</x:v>
      </x:c>
      <x:c r="C1998" s="3" t="str">
        <x:v>ENCHANTED BIRD PLANT CAGE</x:v>
      </x:c>
      <x:c r="D1998" s="13" t="n">
        <x:v>644.47</x:v>
      </x:c>
      <x:c r="E1998" s="13" t="n">
        <x:v>0</x:v>
      </x:c>
      <x:c r="F1998" s="13" t="n">
        <x:f>D1998-E1998</x:f>
        <x:v>644.47</x:v>
      </x:c>
      <x:c r="G1998" s="3" t="n">
        <x:v>187</x:v>
      </x:c>
      <x:c r="H1998" s="3" t="n">
        <x:v>0</x:v>
      </x:c>
      <x:c r="I1998" s="3" t="n">
        <x:v>48</x:v>
      </x:c>
      <x:c r="J1998" s="15" t="n">
        <x:f>IF(D1998=0,"n.a.",E1998/D1998)</x:f>
        <x:v>0</x:v>
      </x:c>
      <x:c r="K1998" s="15" t="n">
        <x:f>F1998/'Datos'!$F$7</x:f>
        <x:v>0.0000658112078792407</x:v>
      </x:c>
      <x:c r="L1998" s="3"/>
    </x:row>
    <x:row r="1999" ht="22" customHeight="1">
      <x:c r="A1999" s="3"/>
      <x:c r="B1999" s="3" t="str">
        <x:v>85177</x:v>
      </x:c>
      <x:c r="C1999" s="3" t="str">
        <x:v>BASKET OF FLOWERS SEWING KIT</x:v>
      </x:c>
      <x:c r="D1999" s="13" t="n">
        <x:v>645.06</x:v>
      </x:c>
      <x:c r="E1999" s="13" t="n">
        <x:v>0.85</x:v>
      </x:c>
      <x:c r="F1999" s="13" t="n">
        <x:f>D1999-E1999</x:f>
        <x:v>644.2099999999999</x:v>
      </x:c>
      <x:c r="G1999" s="3" t="n">
        <x:v>813</x:v>
      </x:c>
      <x:c r="H1999" s="3" t="n">
        <x:v>1</x:v>
      </x:c>
      <x:c r="I1999" s="3" t="n">
        <x:v>63</x:v>
      </x:c>
      <x:c r="J1999" s="15" t="n">
        <x:f>IF(D1999=0,"n.a.",E1999/D1999)</x:f>
        <x:v>0.001317706879980157</x:v>
      </x:c>
      <x:c r="K1999" s="15" t="n">
        <x:f>F1999/'Datos'!$F$7</x:f>
        <x:v>0.00006578465751374873</x:v>
      </x:c>
      <x:c r="L1999" s="3"/>
    </x:row>
    <x:row r="2000" ht="22" customHeight="1">
      <x:c r="A2000" s="3"/>
      <x:c r="B2000" s="3" t="str">
        <x:v>21640</x:v>
      </x:c>
      <x:c r="C2000" s="3" t="str">
        <x:v>ASSORTED TUTTI FRUTTI FOB NOTEBOOK</x:v>
      </x:c>
      <x:c r="D2000" s="13" t="n">
        <x:v>644.03</x:v>
      </x:c>
      <x:c r="E2000" s="13" t="n">
        <x:v>0</x:v>
      </x:c>
      <x:c r="F2000" s="13" t="n">
        <x:f>D2000-E2000</x:f>
        <x:v>644.03</x:v>
      </x:c>
      <x:c r="G2000" s="3" t="n">
        <x:v>662</x:v>
      </x:c>
      <x:c r="H2000" s="3" t="n">
        <x:v>0</x:v>
      </x:c>
      <x:c r="I2000" s="3" t="n">
        <x:v>78</x:v>
      </x:c>
      <x:c r="J2000" s="15" t="n">
        <x:f>IF(D2000=0,"n.a.",E2000/D2000)</x:f>
        <x:v>0</x:v>
      </x:c>
      <x:c r="K2000" s="15" t="n">
        <x:f>F2000/'Datos'!$F$7</x:f>
        <x:v>0.00006576627649148508</x:v>
      </x:c>
      <x:c r="L2000" s="3"/>
    </x:row>
    <x:row r="2001" ht="22" customHeight="1">
      <x:c r="A2001" s="3"/>
      <x:c r="B2001" s="3" t="str">
        <x:v>17021</x:v>
      </x:c>
      <x:c r="C2001" s="3" t="str">
        <x:v>NAMASTE SWAGAT INCENSE</x:v>
      </x:c>
      <x:c r="D2001" s="13" t="n">
        <x:v>643.14</x:v>
      </x:c>
      <x:c r="E2001" s="13" t="n">
        <x:v>0</x:v>
      </x:c>
      <x:c r="F2001" s="13" t="n">
        <x:f>D2001-E2001</x:f>
        <x:v>643.14</x:v>
      </x:c>
      <x:c r="G2001" s="3" t="n">
        <x:v>2427</x:v>
      </x:c>
      <x:c r="H2001" s="3" t="n">
        <x:v>0</x:v>
      </x:c>
      <x:c r="I2001" s="3" t="n">
        <x:v>47</x:v>
      </x:c>
      <x:c r="J2001" s="15" t="n">
        <x:f>IF(D2001=0,"n.a.",E2001/D2001)</x:f>
        <x:v>0</x:v>
      </x:c>
      <x:c r="K2001" s="15" t="n">
        <x:f>F2001/'Datos'!$F$7</x:f>
        <x:v>0.0000656753925480703</x:v>
      </x:c>
      <x:c r="L2001" s="3"/>
    </x:row>
    <x:row r="2002" ht="22" customHeight="1">
      <x:c r="A2002" s="3"/>
      <x:c r="B2002" s="3" t="str">
        <x:v>21808</x:v>
      </x:c>
      <x:c r="C2002" s="3" t="str">
        <x:v>CHRISTMAS GARLAND STARS,TREES</x:v>
      </x:c>
      <x:c r="D2002" s="13" t="n">
        <x:v>641.58</x:v>
      </x:c>
      <x:c r="E2002" s="13" t="n">
        <x:v>0</x:v>
      </x:c>
      <x:c r="F2002" s="13" t="n">
        <x:f>D2002-E2002</x:f>
        <x:v>641.58</x:v>
      </x:c>
      <x:c r="G2002" s="3" t="n">
        <x:v>181</x:v>
      </x:c>
      <x:c r="H2002" s="3" t="n">
        <x:v>0</x:v>
      </x:c>
      <x:c r="I2002" s="3" t="n">
        <x:v>48</x:v>
      </x:c>
      <x:c r="J2002" s="15" t="n">
        <x:f>IF(D2002=0,"n.a.",E2002/D2002)</x:f>
        <x:v>0</x:v>
      </x:c>
      <x:c r="K2002" s="15" t="n">
        <x:f>F2002/'Datos'!$F$7</x:f>
        <x:v>0.00006551609035511856</x:v>
      </x:c>
      <x:c r="L2002" s="3"/>
    </x:row>
    <x:row r="2003" ht="22" customHeight="1">
      <x:c r="A2003" s="3"/>
      <x:c r="B2003" s="3" t="str">
        <x:v>21446</x:v>
      </x:c>
      <x:c r="C2003" s="3" t="str">
        <x:v>12 RED ROSE PEG PLACE SETTINGS</x:v>
      </x:c>
      <x:c r="D2003" s="13" t="n">
        <x:v>640.92</x:v>
      </x:c>
      <x:c r="E2003" s="13" t="n">
        <x:v>0</x:v>
      </x:c>
      <x:c r="F2003" s="13" t="n">
        <x:f>D2003-E2003</x:f>
        <x:v>640.92</x:v>
      </x:c>
      <x:c r="G2003" s="3" t="n">
        <x:v>457</x:v>
      </x:c>
      <x:c r="H2003" s="3" t="n">
        <x:v>0</x:v>
      </x:c>
      <x:c r="I2003" s="3" t="n">
        <x:v>105</x:v>
      </x:c>
      <x:c r="J2003" s="15" t="n">
        <x:f>IF(D2003=0,"n.a.",E2003/D2003)</x:f>
        <x:v>0</x:v>
      </x:c>
      <x:c r="K2003" s="15" t="n">
        <x:f>F2003/'Datos'!$F$7</x:f>
        <x:v>0.00006544869327348512</x:v>
      </x:c>
      <x:c r="L2003" s="3"/>
    </x:row>
    <x:row r="2004" ht="22" customHeight="1">
      <x:c r="A2004" s="3"/>
      <x:c r="B2004" s="3" t="str">
        <x:v>35810A</x:v>
      </x:c>
      <x:c r="C2004" s="3" t="str">
        <x:v>ENAMEL PINK COFFEE CONTAINER</x:v>
      </x:c>
      <x:c r="D2004" s="13" t="n">
        <x:v>640.92</x:v>
      </x:c>
      <x:c r="E2004" s="13" t="n">
        <x:v>0</x:v>
      </x:c>
      <x:c r="F2004" s="13" t="n">
        <x:f>D2004-E2004</x:f>
        <x:v>640.92</x:v>
      </x:c>
      <x:c r="G2004" s="3" t="n">
        <x:v>634</x:v>
      </x:c>
      <x:c r="H2004" s="3" t="n">
        <x:v>0</x:v>
      </x:c>
      <x:c r="I2004" s="3" t="n">
        <x:v>75</x:v>
      </x:c>
      <x:c r="J2004" s="15" t="n">
        <x:f>IF(D2004=0,"n.a.",E2004/D2004)</x:f>
        <x:v>0</x:v>
      </x:c>
      <x:c r="K2004" s="15" t="n">
        <x:f>F2004/'Datos'!$F$7</x:f>
        <x:v>0.00006544869327348512</x:v>
      </x:c>
      <x:c r="L2004" s="3"/>
    </x:row>
    <x:row r="2005" ht="22" customHeight="1">
      <x:c r="A2005" s="3"/>
      <x:c r="B2005" s="3" t="str">
        <x:v>20658</x:v>
      </x:c>
      <x:c r="C2005" s="3" t="str">
        <x:v>RED RETROSPOT LUGGAGE TAG</x:v>
      </x:c>
      <x:c r="D2005" s="13" t="n">
        <x:v>653.36</x:v>
      </x:c>
      <x:c r="E2005" s="13" t="n">
        <x:v>15</x:v>
      </x:c>
      <x:c r="F2005" s="13" t="n">
        <x:f>D2005-E2005</x:f>
        <x:v>638.36</x:v>
      </x:c>
      <x:c r="G2005" s="3" t="n">
        <x:v>434</x:v>
      </x:c>
      <x:c r="H2005" s="3" t="n">
        <x:v>12</x:v>
      </x:c>
      <x:c r="I2005" s="3" t="n">
        <x:v>105</x:v>
      </x:c>
      <x:c r="J2005" s="15" t="n">
        <x:f>IF(D2005=0,"n.a.",E2005/D2005)</x:f>
        <x:v>0.022958246602179502</x:v>
      </x:c>
      <x:c r="K2005" s="15" t="n">
        <x:f>F2005/'Datos'!$F$7</x:f>
        <x:v>0.00006518727429017968</x:v>
      </x:c>
      <x:c r="L2005" s="3"/>
    </x:row>
    <x:row r="2006" ht="22" customHeight="1">
      <x:c r="A2006" s="3"/>
      <x:c r="B2006" s="3" t="str">
        <x:v>23224</x:v>
      </x:c>
      <x:c r="C2006" s="3" t="str">
        <x:v>CHERUB HEART DECORATION GOLD</x:v>
      </x:c>
      <x:c r="D2006" s="13" t="n">
        <x:v>649.02</x:v>
      </x:c>
      <x:c r="E2006" s="13" t="n">
        <x:v>11.62</x:v>
      </x:c>
      <x:c r="F2006" s="13" t="n">
        <x:f>D2006-E2006</x:f>
        <x:v>637.4</x:v>
      </x:c>
      <x:c r="G2006" s="3" t="n">
        <x:v>738</x:v>
      </x:c>
      <x:c r="H2006" s="3" t="n">
        <x:v>14</x:v>
      </x:c>
      <x:c r="I2006" s="3" t="n">
        <x:v>71</x:v>
      </x:c>
      <x:c r="J2006" s="15" t="n">
        <x:f>IF(D2006=0,"n.a.",E2006/D2006)</x:f>
        <x:v>0.01790391667437059</x:v>
      </x:c>
      <x:c r="K2006" s="15" t="n">
        <x:f>F2006/'Datos'!$F$7</x:f>
        <x:v>0.00006508924217144014</x:v>
      </x:c>
      <x:c r="L2006" s="3"/>
    </x:row>
    <x:row r="2007" ht="22" customHeight="1">
      <x:c r="A2007" s="3"/>
      <x:c r="B2007" s="3" t="str">
        <x:v>22533</x:v>
      </x:c>
      <x:c r="C2007" s="3" t="str">
        <x:v>MAGIC DRAWING SLATE BAKE A CAKE</x:v>
      </x:c>
      <x:c r="D2007" s="13" t="n">
        <x:v>646.49</x:v>
      </x:c>
      <x:c r="E2007" s="13" t="n">
        <x:v>10.08</x:v>
      </x:c>
      <x:c r="F2007" s="13" t="n">
        <x:f>D2007-E2007</x:f>
        <x:v>636.41</x:v>
      </x:c>
      <x:c r="G2007" s="3" t="n">
        <x:v>1787</x:v>
      </x:c>
      <x:c r="H2007" s="3" t="n">
        <x:v>24</x:v>
      </x:c>
      <x:c r="I2007" s="3" t="n">
        <x:v>88</x:v>
      </x:c>
      <x:c r="J2007" s="15" t="n">
        <x:f>IF(D2007=0,"n.a.",E2007/D2007)</x:f>
        <x:v>0.01559188850562267</x:v>
      </x:c>
      <x:c r="K2007" s="15" t="n">
        <x:f>F2007/'Datos'!$F$7</x:f>
        <x:v>0.00006498814654898998</x:v>
      </x:c>
      <x:c r="L2007" s="3"/>
    </x:row>
    <x:row r="2008" ht="22" customHeight="1">
      <x:c r="A2008" s="3"/>
      <x:c r="B2008" s="3" t="str">
        <x:v>22067</x:v>
      </x:c>
      <x:c r="C2008" s="3" t="str">
        <x:v>CHOC TRUFFLE GOLD TRINKET POT</x:v>
      </x:c>
      <x:c r="D2008" s="13" t="n">
        <x:v>645.22</x:v>
      </x:c>
      <x:c r="E2008" s="13" t="n">
        <x:v>9.1</x:v>
      </x:c>
      <x:c r="F2008" s="13" t="n">
        <x:f>D2008-E2008</x:f>
        <x:v>636.12</x:v>
      </x:c>
      <x:c r="G2008" s="3" t="n">
        <x:v>412</x:v>
      </x:c>
      <x:c r="H2008" s="3" t="n">
        <x:v>6</x:v>
      </x:c>
      <x:c r="I2008" s="3" t="n">
        <x:v>70</x:v>
      </x:c>
      <x:c r="J2008" s="15" t="n">
        <x:f>IF(D2008=0,"n.a.",E2008/D2008)</x:f>
        <x:v>0.014103716561792875</x:v>
      </x:c>
      <x:c r="K2008" s="15" t="n">
        <x:f>F2008/'Datos'!$F$7</x:f>
        <x:v>0.00006495853267978742</x:v>
      </x:c>
      <x:c r="L2008" s="3"/>
    </x:row>
    <x:row r="2009" ht="22" customHeight="1">
      <x:c r="A2009" s="3"/>
      <x:c r="B2009" s="3" t="str">
        <x:v>23492</x:v>
      </x:c>
      <x:c r="C2009" s="3" t="str">
        <x:v>VINTAGE JINGLE BELLS WREATH</x:v>
      </x:c>
      <x:c r="D2009" s="13" t="n">
        <x:v>635.38</x:v>
      </x:c>
      <x:c r="E2009" s="13" t="n">
        <x:v>0</x:v>
      </x:c>
      <x:c r="F2009" s="13" t="n">
        <x:f>D2009-E2009</x:f>
        <x:v>635.38</x:v>
      </x:c>
      <x:c r="G2009" s="3" t="n">
        <x:v>76</x:v>
      </x:c>
      <x:c r="H2009" s="3" t="n">
        <x:v>0</x:v>
      </x:c>
      <x:c r="I2009" s="3" t="n">
        <x:v>28</x:v>
      </x:c>
      <x:c r="J2009" s="15" t="n">
        <x:f>IF(D2009=0,"n.a.",E2009/D2009)</x:f>
        <x:v>0</x:v>
      </x:c>
      <x:c r="K2009" s="15" t="n">
        <x:f>F2009/'Datos'!$F$7</x:f>
        <x:v>0.00006488296625492569</x:v>
      </x:c>
      <x:c r="L2009" s="3"/>
    </x:row>
    <x:row r="2010" ht="22" customHeight="1">
      <x:c r="A2010" s="3"/>
      <x:c r="B2010" s="3" t="str">
        <x:v>21054</x:v>
      </x:c>
      <x:c r="C2010" s="3" t="str">
        <x:v>NURSE'S BAG SOFT TOY</x:v>
      </x:c>
      <x:c r="D2010" s="13" t="n">
        <x:v>634.53</x:v>
      </x:c>
      <x:c r="E2010" s="13" t="n">
        <x:v>0</x:v>
      </x:c>
      <x:c r="F2010" s="13" t="n">
        <x:f>D2010-E2010</x:f>
        <x:v>634.53</x:v>
      </x:c>
      <x:c r="G2010" s="3" t="n">
        <x:v>70</x:v>
      </x:c>
      <x:c r="H2010" s="3" t="n">
        <x:v>0</x:v>
      </x:c>
      <x:c r="I2010" s="3" t="n">
        <x:v>29</x:v>
      </x:c>
      <x:c r="J2010" s="15" t="n">
        <x:f>IF(D2010=0,"n.a.",E2010/D2010)</x:f>
        <x:v>0</x:v>
      </x:c>
      <x:c r="K2010" s="15" t="n">
        <x:f>F2010/'Datos'!$F$7</x:f>
        <x:v>0.00006479616698312505</x:v>
      </x:c>
      <x:c r="L2010" s="3"/>
    </x:row>
    <x:row r="2011" ht="22" customHeight="1">
      <x:c r="A2011" s="3"/>
      <x:c r="B2011" s="3" t="str">
        <x:v>84086C</x:v>
      </x:c>
      <x:c r="C2011" s="3" t="str">
        <x:v>PINK/PURPLE RETRO RADIO</x:v>
      </x:c>
      <x:c r="D2011" s="13" t="n">
        <x:v>634.07</x:v>
      </x:c>
      <x:c r="E2011" s="13" t="n">
        <x:v>0</x:v>
      </x:c>
      <x:c r="F2011" s="13" t="n">
        <x:f>D2011-E2011</x:f>
        <x:v>634.07</x:v>
      </x:c>
      <x:c r="G2011" s="3" t="n">
        <x:v>222</x:v>
      </x:c>
      <x:c r="H2011" s="3" t="n">
        <x:v>0</x:v>
      </x:c>
      <x:c r="I2011" s="3" t="n">
        <x:v>53</x:v>
      </x:c>
      <x:c r="J2011" s="15" t="n">
        <x:f>IF(D2011=0,"n.a.",E2011/D2011)</x:f>
        <x:v>0</x:v>
      </x:c>
      <x:c r="K2011" s="15" t="n">
        <x:f>F2011/'Datos'!$F$7</x:f>
        <x:v>0.00006474919325956236</x:v>
      </x:c>
      <x:c r="L2011" s="3"/>
    </x:row>
    <x:row r="2012" ht="22" customHeight="1">
      <x:c r="A2012" s="3"/>
      <x:c r="B2012" s="3" t="str">
        <x:v>84817</x:v>
      </x:c>
      <x:c r="C2012" s="3" t="str">
        <x:v>DANISH ROSE DECORATIVE PLATE</x:v>
      </x:c>
      <x:c r="D2012" s="13" t="n">
        <x:v>710.64</x:v>
      </x:c>
      <x:c r="E2012" s="13" t="n">
        <x:v>77.7</x:v>
      </x:c>
      <x:c r="F2012" s="13" t="n">
        <x:f>D2012-E2012</x:f>
        <x:v>632.9399999999999</x:v>
      </x:c>
      <x:c r="G2012" s="3" t="n">
        <x:v>951</x:v>
      </x:c>
      <x:c r="H2012" s="3" t="n">
        <x:v>37</x:v>
      </x:c>
      <x:c r="I2012" s="3" t="n">
        <x:v>55</x:v>
      </x:c>
      <x:c r="J2012" s="15" t="n">
        <x:f>IF(D2012=0,"n.a.",E2012/D2012)</x:f>
        <x:v>0.10933806146572105</x:v>
      </x:c>
      <x:c r="K2012" s="15" t="n">
        <x:f>F2012/'Datos'!$F$7</x:f>
        <x:v>0.00006463380128646268</x:v>
      </x:c>
      <x:c r="L2012" s="3"/>
    </x:row>
    <x:row r="2013" ht="22" customHeight="1">
      <x:c r="A2013" s="3"/>
      <x:c r="B2013" s="3" t="str">
        <x:v>84596L</x:v>
      </x:c>
      <x:c r="C2013" s="3" t="str">
        <x:v>BISCUITS SMALL BOWL LIGHT BLUE</x:v>
      </x:c>
      <x:c r="D2013" s="13" t="n">
        <x:v>632.26</x:v>
      </x:c>
      <x:c r="E2013" s="13" t="n">
        <x:v>0</x:v>
      </x:c>
      <x:c r="F2013" s="13" t="n">
        <x:f>D2013-E2013</x:f>
        <x:v>632.26</x:v>
      </x:c>
      <x:c r="G2013" s="3" t="n">
        <x:v>1256</x:v>
      </x:c>
      <x:c r="H2013" s="3" t="n">
        <x:v>0</x:v>
      </x:c>
      <x:c r="I2013" s="3" t="n">
        <x:v>173</x:v>
      </x:c>
      <x:c r="J2013" s="15" t="n">
        <x:f>IF(D2013=0,"n.a.",E2013/D2013)</x:f>
        <x:v>0</x:v>
      </x:c>
      <x:c r="K2013" s="15" t="n">
        <x:f>F2013/'Datos'!$F$7</x:f>
        <x:v>0.00006456436186902219</x:v>
      </x:c>
      <x:c r="L2013" s="3"/>
    </x:row>
    <x:row r="2014" ht="22" customHeight="1">
      <x:c r="A2014" s="3"/>
      <x:c r="B2014" s="3" t="str">
        <x:v>23453</x:v>
      </x:c>
      <x:c r="C2014" s="3" t="str">
        <x:v>OVAL MINI PORTRAIT FRAME</x:v>
      </x:c>
      <x:c r="D2014" s="13" t="n">
        <x:v>631.58</x:v>
      </x:c>
      <x:c r="E2014" s="13" t="n">
        <x:v>0</x:v>
      </x:c>
      <x:c r="F2014" s="13" t="n">
        <x:f>D2014-E2014</x:f>
        <x:v>631.58</x:v>
      </x:c>
      <x:c r="G2014" s="3" t="n">
        <x:v>324</x:v>
      </x:c>
      <x:c r="H2014" s="3" t="n">
        <x:v>0</x:v>
      </x:c>
      <x:c r="I2014" s="3" t="n">
        <x:v>47</x:v>
      </x:c>
      <x:c r="J2014" s="15" t="n">
        <x:f>IF(D2014=0,"n.a.",E2014/D2014)</x:f>
        <x:v>0</x:v>
      </x:c>
      <x:c r="K2014" s="15" t="n">
        <x:f>F2014/'Datos'!$F$7</x:f>
        <x:v>0.00006449492245158168</x:v>
      </x:c>
      <x:c r="L2014" s="3"/>
    </x:row>
    <x:row r="2015" ht="22" customHeight="1">
      <x:c r="A2015" s="3"/>
      <x:c r="B2015" s="3" t="str">
        <x:v>23216</x:v>
      </x:c>
      <x:c r="C2015" s="3" t="str">
        <x:v>LAUREL HEART ANTIQUE GOLD</x:v>
      </x:c>
      <x:c r="D2015" s="13" t="n">
        <x:v>630.73</x:v>
      </x:c>
      <x:c r="E2015" s="13" t="n">
        <x:v>0</x:v>
      </x:c>
      <x:c r="F2015" s="13" t="n">
        <x:f>D2015-E2015</x:f>
        <x:v>630.73</x:v>
      </x:c>
      <x:c r="G2015" s="3" t="n">
        <x:v>525</x:v>
      </x:c>
      <x:c r="H2015" s="3" t="n">
        <x:v>0</x:v>
      </x:c>
      <x:c r="I2015" s="3" t="n">
        <x:v>44</x:v>
      </x:c>
      <x:c r="J2015" s="15" t="n">
        <x:f>IF(D2015=0,"n.a.",E2015/D2015)</x:f>
        <x:v>0</x:v>
      </x:c>
      <x:c r="K2015" s="15" t="n">
        <x:f>F2015/'Datos'!$F$7</x:f>
        <x:v>0.00006440812317978104</x:v>
      </x:c>
      <x:c r="L2015" s="3"/>
    </x:row>
    <x:row r="2016" ht="22" customHeight="1">
      <x:c r="A2016" s="3"/>
      <x:c r="B2016" s="3" t="str">
        <x:v>21747</x:v>
      </x:c>
      <x:c r="C2016" s="3" t="str">
        <x:v>SMALL SKULL WINDMILL</x:v>
      </x:c>
      <x:c r="D2016" s="13" t="n">
        <x:v>645.61</x:v>
      </x:c>
      <x:c r="E2016" s="13" t="n">
        <x:v>15</x:v>
      </x:c>
      <x:c r="F2016" s="13" t="n">
        <x:f>D2016-E2016</x:f>
        <x:v>630.61</x:v>
      </x:c>
      <x:c r="G2016" s="3" t="n">
        <x:v>485</x:v>
      </x:c>
      <x:c r="H2016" s="3" t="n">
        <x:v>12</x:v>
      </x:c>
      <x:c r="I2016" s="3" t="n">
        <x:v>54</x:v>
      </x:c>
      <x:c r="J2016" s="15" t="n">
        <x:f>IF(D2016=0,"n.a.",E2016/D2016)</x:f>
        <x:v>0.02323384086367931</x:v>
      </x:c>
      <x:c r="K2016" s="15" t="n">
        <x:f>F2016/'Datos'!$F$7</x:f>
        <x:v>0.0000643958691649386</x:v>
      </x:c>
      <x:c r="L2016" s="3"/>
    </x:row>
    <x:row r="2017" ht="22" customHeight="1">
      <x:c r="A2017" s="3"/>
      <x:c r="B2017" s="3" t="str">
        <x:v>72232</x:v>
      </x:c>
      <x:c r="C2017" s="3" t="str">
        <x:v>FENG SHUI PILLAR CANDLE</x:v>
      </x:c>
      <x:c r="D2017" s="13" t="n">
        <x:v>630.23</x:v>
      </x:c>
      <x:c r="E2017" s="13" t="n">
        <x:v>0</x:v>
      </x:c>
      <x:c r="F2017" s="13" t="n">
        <x:f>D2017-E2017</x:f>
        <x:v>630.23</x:v>
      </x:c>
      <x:c r="G2017" s="3" t="n">
        <x:v>3317</x:v>
      </x:c>
      <x:c r="H2017" s="3" t="n">
        <x:v>0</x:v>
      </x:c>
      <x:c r="I2017" s="3" t="n">
        <x:v>65</x:v>
      </x:c>
      <x:c r="J2017" s="15" t="n">
        <x:f>IF(D2017=0,"n.a.",E2017/D2017)</x:f>
        <x:v>0</x:v>
      </x:c>
      <x:c r="K2017" s="15" t="n">
        <x:f>F2017/'Datos'!$F$7</x:f>
        <x:v>0.0000643570647846042</x:v>
      </x:c>
      <x:c r="L2017" s="3"/>
    </x:row>
    <x:row r="2018" ht="22" customHeight="1">
      <x:c r="A2018" s="3"/>
      <x:c r="B2018" s="3" t="str">
        <x:v>23019</x:v>
      </x:c>
      <x:c r="C2018" s="3" t="str">
        <x:v>SMALL APOTHECARY MEASURING JAR</x:v>
      </x:c>
      <x:c r="D2018" s="13" t="n">
        <x:v>629.05</x:v>
      </x:c>
      <x:c r="E2018" s="13" t="n">
        <x:v>0</x:v>
      </x:c>
      <x:c r="F2018" s="13" t="n">
        <x:f>D2018-E2018</x:f>
        <x:v>629.05</x:v>
      </x:c>
      <x:c r="G2018" s="3" t="n">
        <x:v>81</x:v>
      </x:c>
      <x:c r="H2018" s="3" t="n">
        <x:v>0</x:v>
      </x:c>
      <x:c r="I2018" s="3" t="n">
        <x:v>28</x:v>
      </x:c>
      <x:c r="J2018" s="15" t="n">
        <x:f>IF(D2018=0,"n.a.",E2018/D2018)</x:f>
        <x:v>0</x:v>
      </x:c>
      <x:c r="K2018" s="15" t="n">
        <x:f>F2018/'Datos'!$F$7</x:f>
        <x:v>0.00006423656697198684</x:v>
      </x:c>
      <x:c r="L2018" s="3"/>
    </x:row>
    <x:row r="2019" ht="22" customHeight="1">
      <x:c r="A2019" s="3"/>
      <x:c r="B2019" s="3" t="str">
        <x:v>23027</x:v>
      </x:c>
      <x:c r="C2019" s="3" t="str">
        <x:v>DRAWER KNOB VINTAGE GLASS HEXAGON</x:v>
      </x:c>
      <x:c r="D2019" s="13" t="n">
        <x:v>627.95</x:v>
      </x:c>
      <x:c r="E2019" s="13" t="n">
        <x:v>0</x:v>
      </x:c>
      <x:c r="F2019" s="13" t="n">
        <x:f>D2019-E2019</x:f>
        <x:v>627.95</x:v>
      </x:c>
      <x:c r="G2019" s="3" t="n">
        <x:v>295</x:v>
      </x:c>
      <x:c r="H2019" s="3" t="n">
        <x:v>0</x:v>
      </x:c>
      <x:c r="I2019" s="3" t="n">
        <x:v>30</x:v>
      </x:c>
      <x:c r="J2019" s="15" t="n">
        <x:f>IF(D2019=0,"n.a.",E2019/D2019)</x:f>
        <x:v>0</x:v>
      </x:c>
      <x:c r="K2019" s="15" t="n">
        <x:f>F2019/'Datos'!$F$7</x:f>
        <x:v>0.0000641242385025978</x:v>
      </x:c>
      <x:c r="L2019" s="3"/>
    </x:row>
    <x:row r="2020" ht="22" customHeight="1">
      <x:c r="A2020" s="3"/>
      <x:c r="B2020" s="3" t="str">
        <x:v>21417</x:v>
      </x:c>
      <x:c r="C2020" s="3" t="str">
        <x:v>COCKLE SHELL DISH</x:v>
      </x:c>
      <x:c r="D2020" s="13" t="n">
        <x:v>629.8</x:v>
      </x:c>
      <x:c r="E2020" s="13" t="n">
        <x:v>2.1</x:v>
      </x:c>
      <x:c r="F2020" s="13" t="n">
        <x:f>D2020-E2020</x:f>
        <x:v>627.6999999999999</x:v>
      </x:c>
      <x:c r="G2020" s="3" t="n">
        <x:v>340</x:v>
      </x:c>
      <x:c r="H2020" s="3" t="n">
        <x:v>1</x:v>
      </x:c>
      <x:c r="I2020" s="3" t="n">
        <x:v>68</x:v>
      </x:c>
      <x:c r="J2020" s="15" t="n">
        <x:f>IF(D2020=0,"n.a.",E2020/D2020)</x:f>
        <x:v>0.003334391870435059</x:v>
      </x:c>
      <x:c r="K2020" s="15" t="n">
        <x:f>F2020/'Datos'!$F$7</x:f>
        <x:v>0.00006409870930500936</x:v>
      </x:c>
      <x:c r="L2020" s="3"/>
    </x:row>
    <x:row r="2021" ht="22" customHeight="1">
      <x:c r="A2021" s="3"/>
      <x:c r="B2021" s="3" t="str">
        <x:v>23471</x:v>
      </x:c>
      <x:c r="C2021" s="3" t="str">
        <x:v>SIX DRAWER OFFICE TIDY</x:v>
      </x:c>
      <x:c r="D2021" s="13" t="n">
        <x:v>626.74</x:v>
      </x:c>
      <x:c r="E2021" s="13" t="n">
        <x:v>0</x:v>
      </x:c>
      <x:c r="F2021" s="13" t="n">
        <x:f>D2021-E2021</x:f>
        <x:v>626.74</x:v>
      </x:c>
      <x:c r="G2021" s="3" t="n">
        <x:v>66</x:v>
      </x:c>
      <x:c r="H2021" s="3" t="n">
        <x:v>0</x:v>
      </x:c>
      <x:c r="I2021" s="3" t="n">
        <x:v>27</x:v>
      </x:c>
      <x:c r="J2021" s="15" t="n">
        <x:f>IF(D2021=0,"n.a.",E2021/D2021)</x:f>
        <x:v>0</x:v>
      </x:c>
      <x:c r="K2021" s="15" t="n">
        <x:f>F2021/'Datos'!$F$7</x:f>
        <x:v>0.00006400067718626984</x:v>
      </x:c>
      <x:c r="L2021" s="3"/>
    </x:row>
    <x:row r="2022" ht="22" customHeight="1">
      <x:c r="A2022" s="3"/>
      <x:c r="B2022" s="3" t="str">
        <x:v>22559</x:v>
      </x:c>
      <x:c r="C2022" s="3" t="str">
        <x:v>SEASIDE FLYING DISC</x:v>
      </x:c>
      <x:c r="D2022" s="13" t="n">
        <x:v>626.53</x:v>
      </x:c>
      <x:c r="E2022" s="13" t="n">
        <x:v>0</x:v>
      </x:c>
      <x:c r="F2022" s="13" t="n">
        <x:f>D2022-E2022</x:f>
        <x:v>626.53</x:v>
      </x:c>
      <x:c r="G2022" s="3" t="n">
        <x:v>505</x:v>
      </x:c>
      <x:c r="H2022" s="3" t="n">
        <x:v>0</x:v>
      </x:c>
      <x:c r="I2022" s="3" t="n">
        <x:v>81</x:v>
      </x:c>
      <x:c r="J2022" s="15" t="n">
        <x:f>IF(D2022=0,"n.a.",E2022/D2022)</x:f>
        <x:v>0</x:v>
      </x:c>
      <x:c r="K2022" s="15" t="n">
        <x:f>F2022/'Datos'!$F$7</x:f>
        <x:v>0.00006397923266029556</x:v>
      </x:c>
      <x:c r="L2022" s="3"/>
    </x:row>
    <x:row r="2023" ht="22" customHeight="1">
      <x:c r="A2023" s="3"/>
      <x:c r="B2023" s="3" t="str">
        <x:v>21205</x:v>
      </x:c>
      <x:c r="C2023" s="3" t="str">
        <x:v>MULTICOLOUR 3D BALLS GARLAND</x:v>
      </x:c>
      <x:c r="D2023" s="13" t="n">
        <x:v>677.19</x:v>
      </x:c>
      <x:c r="E2023" s="13" t="n">
        <x:v>51</x:v>
      </x:c>
      <x:c r="F2023" s="13" t="n">
        <x:f>D2023-E2023</x:f>
        <x:v>626.19</x:v>
      </x:c>
      <x:c r="G2023" s="3" t="n">
        <x:v>253</x:v>
      </x:c>
      <x:c r="H2023" s="3" t="n">
        <x:v>20</x:v>
      </x:c>
      <x:c r="I2023" s="3" t="n">
        <x:v>68</x:v>
      </x:c>
      <x:c r="J2023" s="15" t="n">
        <x:f>IF(D2023=0,"n.a.",E2023/D2023)</x:f>
        <x:v>0.07531121251052142</x:v>
      </x:c>
      <x:c r="K2023" s="15" t="n">
        <x:f>F2023/'Datos'!$F$7</x:f>
        <x:v>0.00006394451295157531</x:v>
      </x:c>
      <x:c r="L2023" s="3"/>
    </x:row>
    <x:row r="2024" ht="22" customHeight="1">
      <x:c r="A2024" s="3"/>
      <x:c r="B2024" s="3" t="str">
        <x:v>20735</x:v>
      </x:c>
      <x:c r="C2024" s="3" t="str">
        <x:v>BLACK MINI TAPE MEASURE</x:v>
      </x:c>
      <x:c r="D2024" s="13" t="n">
        <x:v>625.8</x:v>
      </x:c>
      <x:c r="E2024" s="13" t="n">
        <x:v>0</x:v>
      </x:c>
      <x:c r="F2024" s="13" t="n">
        <x:f>D2024-E2024</x:f>
        <x:v>625.8</x:v>
      </x:c>
      <x:c r="G2024" s="3" t="n">
        <x:v>623</x:v>
      </x:c>
      <x:c r="H2024" s="3" t="n">
        <x:v>0</x:v>
      </x:c>
      <x:c r="I2024" s="3" t="n">
        <x:v>112</x:v>
      </x:c>
      <x:c r="J2024" s="15" t="n">
        <x:f>IF(D2024=0,"n.a.",E2024/D2024)</x:f>
        <x:v>0</x:v>
      </x:c>
      <x:c r="K2024" s="15" t="n">
        <x:f>F2024/'Datos'!$F$7</x:f>
        <x:v>0.00006390468740333737</x:v>
      </x:c>
      <x:c r="L2024" s="3"/>
    </x:row>
    <x:row r="2025" ht="22" customHeight="1">
      <x:c r="A2025" s="3"/>
      <x:c r="B2025" s="3" t="str">
        <x:v>23456</x:v>
      </x:c>
      <x:c r="C2025" s="3" t="str">
        <x:v>MEDIUM PARLOUR PICTURE FRAME</x:v>
      </x:c>
      <x:c r="D2025" s="13" t="n">
        <x:v>634.1</x:v>
      </x:c>
      <x:c r="E2025" s="13" t="n">
        <x:v>8.3</x:v>
      </x:c>
      <x:c r="F2025" s="13" t="n">
        <x:f>D2025-E2025</x:f>
        <x:v>625.8000000000001</x:v>
      </x:c>
      <x:c r="G2025" s="3" t="n">
        <x:v>158</x:v>
      </x:c>
      <x:c r="H2025" s="3" t="n">
        <x:v>2</x:v>
      </x:c>
      <x:c r="I2025" s="3" t="n">
        <x:v>36</x:v>
      </x:c>
      <x:c r="J2025" s="15" t="n">
        <x:f>IF(D2025=0,"n.a.",E2025/D2025)</x:f>
        <x:v>0.01308941807285917</x:v>
      </x:c>
      <x:c r="K2025" s="15" t="n">
        <x:f>F2025/'Datos'!$F$7</x:f>
        <x:v>0.00006390468740333738</x:v>
      </x:c>
      <x:c r="L2025" s="3"/>
    </x:row>
    <x:row r="2026" ht="22" customHeight="1">
      <x:c r="A2026" s="3"/>
      <x:c r="B2026" s="3" t="str">
        <x:v>21351</x:v>
      </x:c>
      <x:c r="C2026" s="3" t="str">
        <x:v>CINAMMON &amp; ORANGE WREATH</x:v>
      </x:c>
      <x:c r="D2026" s="13" t="n">
        <x:v>672.88</x:v>
      </x:c>
      <x:c r="E2026" s="13" t="n">
        <x:v>47.25</x:v>
      </x:c>
      <x:c r="F2026" s="13" t="n">
        <x:f>D2026-E2026</x:f>
        <x:v>625.63</x:v>
      </x:c>
      <x:c r="G2026" s="3" t="n">
        <x:v>104</x:v>
      </x:c>
      <x:c r="H2026" s="3" t="n">
        <x:v>7</x:v>
      </x:c>
      <x:c r="I2026" s="3" t="n">
        <x:v>34</x:v>
      </x:c>
      <x:c r="J2026" s="15" t="n">
        <x:f>IF(D2026=0,"n.a.",E2026/D2026)</x:f>
        <x:v>0.07022054452502675</x:v>
      </x:c>
      <x:c r="K2026" s="15" t="n">
        <x:f>F2026/'Datos'!$F$7</x:f>
        <x:v>0.00006388732754897723</x:v>
      </x:c>
      <x:c r="L2026" s="3"/>
    </x:row>
    <x:row r="2027" ht="22" customHeight="1">
      <x:c r="A2027" s="3"/>
      <x:c r="B2027" s="3" t="str">
        <x:v>21865</x:v>
      </x:c>
      <x:c r="C2027" s="3" t="str">
        <x:v>PINK UNION JACK PASSPORT COVER</x:v>
      </x:c>
      <x:c r="D2027" s="13" t="n">
        <x:v>625.23</x:v>
      </x:c>
      <x:c r="E2027" s="13" t="n">
        <x:v>0</x:v>
      </x:c>
      <x:c r="F2027" s="13" t="n">
        <x:f>D2027-E2027</x:f>
        <x:v>625.23</x:v>
      </x:c>
      <x:c r="G2027" s="3" t="n">
        <x:v>274</x:v>
      </x:c>
      <x:c r="H2027" s="3" t="n">
        <x:v>0</x:v>
      </x:c>
      <x:c r="I2027" s="3" t="n">
        <x:v>106</x:v>
      </x:c>
      <x:c r="J2027" s="15" t="n">
        <x:f>IF(D2027=0,"n.a.",E2027/D2027)</x:f>
        <x:v>0</x:v>
      </x:c>
      <x:c r="K2027" s="15" t="n">
        <x:f>F2027/'Datos'!$F$7</x:f>
        <x:v>0.00006384648083283577</x:v>
      </x:c>
      <x:c r="L2027" s="3"/>
    </x:row>
    <x:row r="2028" ht="22" customHeight="1">
      <x:c r="A2028" s="3"/>
      <x:c r="B2028" s="3" t="str">
        <x:v>22269</x:v>
      </x:c>
      <x:c r="C2028" s="3" t="str">
        <x:v>EGG CUP NATURAL CHICKEN</x:v>
      </x:c>
      <x:c r="D2028" s="13" t="n">
        <x:v>622.74</x:v>
      </x:c>
      <x:c r="E2028" s="13" t="n">
        <x:v>0</x:v>
      </x:c>
      <x:c r="F2028" s="13" t="n">
        <x:f>D2028-E2028</x:f>
        <x:v>622.74</x:v>
      </x:c>
      <x:c r="G2028" s="3" t="n">
        <x:v>933</x:v>
      </x:c>
      <x:c r="H2028" s="3" t="n">
        <x:v>0</x:v>
      </x:c>
      <x:c r="I2028" s="3" t="n">
        <x:v>125</x:v>
      </x:c>
      <x:c r="J2028" s="15" t="n">
        <x:f>IF(D2028=0,"n.a.",E2028/D2028)</x:f>
        <x:v>0</x:v>
      </x:c>
      <x:c r="K2028" s="15" t="n">
        <x:f>F2028/'Datos'!$F$7</x:f>
        <x:v>0.00006359221002485509</x:v>
      </x:c>
      <x:c r="L2028" s="3"/>
    </x:row>
    <x:row r="2029" ht="22" customHeight="1">
      <x:c r="A2029" s="3"/>
      <x:c r="B2029" s="3" t="str">
        <x:v>22035</x:v>
      </x:c>
      <x:c r="C2029" s="3" t="str">
        <x:v>VINTAGE CARAVAN GREETING CARD</x:v>
      </x:c>
      <x:c r="D2029" s="13" t="n">
        <x:v>622.36</x:v>
      </x:c>
      <x:c r="E2029" s="13" t="n">
        <x:v>0</x:v>
      </x:c>
      <x:c r="F2029" s="13" t="n">
        <x:f>D2029-E2029</x:f>
        <x:v>622.36</x:v>
      </x:c>
      <x:c r="G2029" s="3" t="n">
        <x:v>1464</x:v>
      </x:c>
      <x:c r="H2029" s="3" t="n">
        <x:v>0</x:v>
      </x:c>
      <x:c r="I2029" s="3" t="n">
        <x:v>137</x:v>
      </x:c>
      <x:c r="J2029" s="15" t="n">
        <x:f>IF(D2029=0,"n.a.",E2029/D2029)</x:f>
        <x:v>0</x:v>
      </x:c>
      <x:c r="K2029" s="15" t="n">
        <x:f>F2029/'Datos'!$F$7</x:f>
        <x:v>0.00006355340564452068</x:v>
      </x:c>
      <x:c r="L2029" s="3"/>
    </x:row>
    <x:row r="2030" ht="22" customHeight="1">
      <x:c r="A2030" s="3"/>
      <x:c r="B2030" s="3" t="str">
        <x:v>21684</x:v>
      </x:c>
      <x:c r="C2030" s="3" t="str">
        <x:v>SMALL MEDINA STAMPED METAL BOWL</x:v>
      </x:c>
      <x:c r="D2030" s="13" t="n">
        <x:v>622.3</x:v>
      </x:c>
      <x:c r="E2030" s="13" t="n">
        <x:v>0</x:v>
      </x:c>
      <x:c r="F2030" s="13" t="n">
        <x:f>D2030-E2030</x:f>
        <x:v>622.3</x:v>
      </x:c>
      <x:c r="G2030" s="3" t="n">
        <x:v>783</x:v>
      </x:c>
      <x:c r="H2030" s="3" t="n">
        <x:v>0</x:v>
      </x:c>
      <x:c r="I2030" s="3" t="n">
        <x:v>47</x:v>
      </x:c>
      <x:c r="J2030" s="15" t="n">
        <x:f>IF(D2030=0,"n.a.",E2030/D2030)</x:f>
        <x:v>0</x:v>
      </x:c>
      <x:c r="K2030" s="15" t="n">
        <x:f>F2030/'Datos'!$F$7</x:f>
        <x:v>0.00006354727863709946</x:v>
      </x:c>
      <x:c r="L2030" s="3"/>
    </x:row>
    <x:row r="2031" ht="22" customHeight="1">
      <x:c r="A2031" s="3"/>
      <x:c r="B2031" s="3" t="str">
        <x:v>20840</x:v>
      </x:c>
      <x:c r="C2031" s="3" t="str">
        <x:v>FRENCH FLORAL CUSHION COVER</x:v>
      </x:c>
      <x:c r="D2031" s="13" t="n">
        <x:v>632.32</x:v>
      </x:c>
      <x:c r="E2031" s="13" t="n">
        <x:v>10.2</x:v>
      </x:c>
      <x:c r="F2031" s="13" t="n">
        <x:f>D2031-E2031</x:f>
        <x:v>622.12</x:v>
      </x:c>
      <x:c r="G2031" s="3" t="n">
        <x:v>533</x:v>
      </x:c>
      <x:c r="H2031" s="3" t="n">
        <x:v>12</x:v>
      </x:c>
      <x:c r="I2031" s="3" t="n">
        <x:v>74</x:v>
      </x:c>
      <x:c r="J2031" s="15" t="n">
        <x:f>IF(D2031=0,"n.a.",E2031/D2031)</x:f>
        <x:v>0.016131072874493925</x:v>
      </x:c>
      <x:c r="K2031" s="15" t="n">
        <x:f>F2031/'Datos'!$F$7</x:f>
        <x:v>0.0000635288976148358</x:v>
      </x:c>
      <x:c r="L2031" s="3"/>
    </x:row>
    <x:row r="2032" ht="22" customHeight="1">
      <x:c r="A2032" s="3"/>
      <x:c r="B2032" s="3" t="str">
        <x:v>22520</x:v>
      </x:c>
      <x:c r="C2032" s="3" t="str">
        <x:v>CHILDS GARDEN TROWEL BLUE</x:v>
      </x:c>
      <x:c r="D2032" s="13" t="n">
        <x:v>622.1</x:v>
      </x:c>
      <x:c r="E2032" s="13" t="n">
        <x:v>0</x:v>
      </x:c>
      <x:c r="F2032" s="13" t="n">
        <x:f>D2032-E2032</x:f>
        <x:v>622.1</x:v>
      </x:c>
      <x:c r="G2032" s="3" t="n">
        <x:v>719</x:v>
      </x:c>
      <x:c r="H2032" s="3" t="n">
        <x:v>0</x:v>
      </x:c>
      <x:c r="I2032" s="3" t="n">
        <x:v>113</x:v>
      </x:c>
      <x:c r="J2032" s="15" t="n">
        <x:f>IF(D2032=0,"n.a.",E2032/D2032)</x:f>
        <x:v>0</x:v>
      </x:c>
      <x:c r="K2032" s="15" t="n">
        <x:f>F2032/'Datos'!$F$7</x:f>
        <x:v>0.00006352685527902873</x:v>
      </x:c>
      <x:c r="L2032" s="3"/>
    </x:row>
    <x:row r="2033" ht="22" customHeight="1">
      <x:c r="A2033" s="3"/>
      <x:c r="B2033" s="3" t="str">
        <x:v>79163</x:v>
      </x:c>
      <x:c r="C2033" s="3" t="str">
        <x:v>BLACK CHAMPAGNE GLASS</x:v>
      </x:c>
      <x:c r="D2033" s="13" t="n">
        <x:v>626.55</x:v>
      </x:c>
      <x:c r="E2033" s="13" t="n">
        <x:v>5.16</x:v>
      </x:c>
      <x:c r="F2033" s="13" t="n">
        <x:f>D2033-E2033</x:f>
        <x:v>621.39</x:v>
      </x:c>
      <x:c r="G2033" s="3" t="n">
        <x:v>1529</x:v>
      </x:c>
      <x:c r="H2033" s="3" t="n">
        <x:v>10</x:v>
      </x:c>
      <x:c r="I2033" s="3" t="n">
        <x:v>35</x:v>
      </x:c>
      <x:c r="J2033" s="15" t="n">
        <x:f>IF(D2033=0,"n.a.",E2033/D2033)</x:f>
        <x:v>0.00823557577208523</x:v>
      </x:c>
      <x:c r="K2033" s="15" t="n">
        <x:f>F2033/'Datos'!$F$7</x:f>
        <x:v>0.00006345435235787761</x:v>
      </x:c>
      <x:c r="L2033" s="3"/>
    </x:row>
    <x:row r="2034" ht="22" customHeight="1">
      <x:c r="A2034" s="3"/>
      <x:c r="B2034" s="3" t="str">
        <x:v>22105</x:v>
      </x:c>
      <x:c r="C2034" s="3" t="str">
        <x:v>MIRROR MOSAIC GOBLET CANDLE HOLDER</x:v>
      </x:c>
      <x:c r="D2034" s="13" t="n">
        <x:v>847.82</x:v>
      </x:c>
      <x:c r="E2034" s="13" t="n">
        <x:v>228</x:v>
      </x:c>
      <x:c r="F2034" s="13" t="n">
        <x:f>D2034-E2034</x:f>
        <x:v>619.82</x:v>
      </x:c>
      <x:c r="G2034" s="3" t="n">
        <x:v>574</x:v>
      </x:c>
      <x:c r="H2034" s="3" t="n">
        <x:v>240</x:v>
      </x:c>
      <x:c r="I2034" s="3" t="n">
        <x:v>33</x:v>
      </x:c>
      <x:c r="J2034" s="15" t="n">
        <x:f>IF(D2034=0,"n.a.",E2034/D2034)</x:f>
        <x:v>0.26892500766672167</x:v>
      </x:c>
      <x:c r="K2034" s="15" t="n">
        <x:f>F2034/'Datos'!$F$7</x:f>
        <x:v>0.00006329402899702232</x:v>
      </x:c>
      <x:c r="L2034" s="3"/>
    </x:row>
    <x:row r="2035" ht="22" customHeight="1">
      <x:c r="A2035" s="3"/>
      <x:c r="B2035" s="3" t="str">
        <x:v>84637</x:v>
      </x:c>
      <x:c r="C2035" s="3" t="str">
        <x:v>KITCHEN FLOWER POTS WALL PLAQUE</x:v>
      </x:c>
      <x:c r="D2035" s="13" t="n">
        <x:v>619.59</x:v>
      </x:c>
      <x:c r="E2035" s="13" t="n">
        <x:v>0</x:v>
      </x:c>
      <x:c r="F2035" s="13" t="n">
        <x:f>D2035-E2035</x:f>
        <x:v>619.59</x:v>
      </x:c>
      <x:c r="G2035" s="3" t="n">
        <x:v>116</x:v>
      </x:c>
      <x:c r="H2035" s="3" t="n">
        <x:v>0</x:v>
      </x:c>
      <x:c r="I2035" s="3" t="n">
        <x:v>83</x:v>
      </x:c>
      <x:c r="J2035" s="15" t="n">
        <x:f>IF(D2035=0,"n.a.",E2035/D2035)</x:f>
        <x:v>0</x:v>
      </x:c>
      <x:c r="K2035" s="15" t="n">
        <x:f>F2035/'Datos'!$F$7</x:f>
        <x:v>0.00006327054213524098</x:v>
      </x:c>
      <x:c r="L2035" s="3"/>
    </x:row>
    <x:row r="2036" ht="22" customHeight="1">
      <x:c r="A2036" s="3"/>
      <x:c r="B2036" s="3" t="str">
        <x:v>22396</x:v>
      </x:c>
      <x:c r="C2036" s="3" t="str">
        <x:v>MAGNETS PACK OF 4 RETRO PHOTO</x:v>
      </x:c>
      <x:c r="D2036" s="13" t="n">
        <x:v>634.43</x:v>
      </x:c>
      <x:c r="E2036" s="13" t="n">
        <x:v>15</x:v>
      </x:c>
      <x:c r="F2036" s="13" t="n">
        <x:f>D2036-E2036</x:f>
        <x:v>619.43</x:v>
      </x:c>
      <x:c r="G2036" s="3" t="n">
        <x:v>1232</x:v>
      </x:c>
      <x:c r="H2036" s="3" t="n">
        <x:v>12</x:v>
      </x:c>
      <x:c r="I2036" s="3" t="n">
        <x:v>128</x:v>
      </x:c>
      <x:c r="J2036" s="15" t="n">
        <x:f>IF(D2036=0,"n.a.",E2036/D2036)</x:f>
        <x:v>0.023643270337153036</x:v>
      </x:c>
      <x:c r="K2036" s="15" t="n">
        <x:f>F2036/'Datos'!$F$7</x:f>
        <x:v>0.00006325420344878438</x:v>
      </x:c>
      <x:c r="L2036" s="3"/>
    </x:row>
    <x:row r="2037" ht="22" customHeight="1">
      <x:c r="A2037" s="3"/>
      <x:c r="B2037" s="3" t="str">
        <x:v>21473</x:v>
      </x:c>
      <x:c r="C2037" s="3" t="str">
        <x:v>SWEETHEART CREAM STEEL TABLE RECT</x:v>
      </x:c>
      <x:c r="D2037" s="13" t="n">
        <x:v>618.66</x:v>
      </x:c>
      <x:c r="E2037" s="13" t="n">
        <x:v>0</x:v>
      </x:c>
      <x:c r="F2037" s="13" t="n">
        <x:f>D2037-E2037</x:f>
        <x:v>618.66</x:v>
      </x:c>
      <x:c r="G2037" s="3" t="n">
        <x:v>27</x:v>
      </x:c>
      <x:c r="H2037" s="3" t="n">
        <x:v>0</x:v>
      </x:c>
      <x:c r="I2037" s="3" t="n">
        <x:v>21</x:v>
      </x:c>
      <x:c r="J2037" s="15" t="n">
        <x:f>IF(D2037=0,"n.a.",E2037/D2037)</x:f>
        <x:v>0</x:v>
      </x:c>
      <x:c r="K2037" s="15" t="n">
        <x:f>F2037/'Datos'!$F$7</x:f>
        <x:v>0.00006317557352021204</x:v>
      </x:c>
      <x:c r="L2037" s="3"/>
    </x:row>
    <x:row r="2038" ht="22" customHeight="1">
      <x:c r="A2038" s="3"/>
      <x:c r="B2038" s="3" t="str">
        <x:v>20772</x:v>
      </x:c>
      <x:c r="C2038" s="3" t="str">
        <x:v>GARDEN PATH JOURNAL</x:v>
      </x:c>
      <x:c r="D2038" s="13" t="n">
        <x:v>621.19</x:v>
      </x:c>
      <x:c r="E2038" s="13" t="n">
        <x:v>2.55</x:v>
      </x:c>
      <x:c r="F2038" s="13" t="n">
        <x:f>D2038-E2038</x:f>
        <x:v>618.6400000000001</x:v>
      </x:c>
      <x:c r="G2038" s="3" t="n">
        <x:v>247</x:v>
      </x:c>
      <x:c r="H2038" s="3" t="n">
        <x:v>1</x:v>
      </x:c>
      <x:c r="I2038" s="3" t="n">
        <x:v>65</x:v>
      </x:c>
      <x:c r="J2038" s="15" t="n">
        <x:f>IF(D2038=0,"n.a.",E2038/D2038)</x:f>
        <x:v>0.00410502422769201</x:v>
      </x:c>
      <x:c r="K2038" s="15" t="n">
        <x:f>F2038/'Datos'!$F$7</x:f>
        <x:v>0.00006317353118440497</x:v>
      </x:c>
      <x:c r="L2038" s="3"/>
    </x:row>
    <x:row r="2039" ht="22" customHeight="1">
      <x:c r="A2039" s="3"/>
      <x:c r="B2039" s="3" t="str">
        <x:v>22288</x:v>
      </x:c>
      <x:c r="C2039" s="3" t="str">
        <x:v>HANGING METAL RABBIT DECORATION</x:v>
      </x:c>
      <x:c r="D2039" s="13" t="n">
        <x:v>618.2</x:v>
      </x:c>
      <x:c r="E2039" s="13" t="n">
        <x:v>0</x:v>
      </x:c>
      <x:c r="F2039" s="13" t="n">
        <x:f>D2039-E2039</x:f>
        <x:v>618.2</x:v>
      </x:c>
      <x:c r="G2039" s="3" t="n">
        <x:v>475</x:v>
      </x:c>
      <x:c r="H2039" s="3" t="n">
        <x:v>0</x:v>
      </x:c>
      <x:c r="I2039" s="3" t="n">
        <x:v>58</x:v>
      </x:c>
      <x:c r="J2039" s="15" t="n">
        <x:f>IF(D2039=0,"n.a.",E2039/D2039)</x:f>
        <x:v>0</x:v>
      </x:c>
      <x:c r="K2039" s="15" t="n">
        <x:f>F2039/'Datos'!$F$7</x:f>
        <x:v>0.00006312859979664936</x:v>
      </x:c>
      <x:c r="L2039" s="3"/>
    </x:row>
    <x:row r="2040" ht="22" customHeight="1">
      <x:c r="A2040" s="3"/>
      <x:c r="B2040" s="3" t="str">
        <x:v>21426</x:v>
      </x:c>
      <x:c r="C2040" s="3" t="str">
        <x:v>WOODLAND STORAGE BOX SMALL</x:v>
      </x:c>
      <x:c r="D2040" s="13" t="n">
        <x:v>624.58</x:v>
      </x:c>
      <x:c r="E2040" s="13" t="n">
        <x:v>8.4</x:v>
      </x:c>
      <x:c r="F2040" s="13" t="n">
        <x:f>D2040-E2040</x:f>
        <x:v>616.1800000000001</x:v>
      </x:c>
      <x:c r="G2040" s="3" t="n">
        <x:v>256</x:v>
      </x:c>
      <x:c r="H2040" s="3" t="n">
        <x:v>4</x:v>
      </x:c>
      <x:c r="I2040" s="3" t="n">
        <x:v>46</x:v>
      </x:c>
      <x:c r="J2040" s="15" t="n">
        <x:f>IF(D2040=0,"n.a.",E2040/D2040)</x:f>
        <x:v>0.013449037753370264</x:v>
      </x:c>
      <x:c r="K2040" s="15" t="n">
        <x:f>F2040/'Datos'!$F$7</x:f>
        <x:v>0.0000629223238801349</x:v>
      </x:c>
      <x:c r="L2040" s="3"/>
    </x:row>
    <x:row r="2041" ht="22" customHeight="1">
      <x:c r="A2041" s="3"/>
      <x:c r="B2041" s="3" t="str">
        <x:v>23180</x:v>
      </x:c>
      <x:c r="C2041" s="3" t="str">
        <x:v>MUM'S KITCHEN CLOCK</x:v>
      </x:c>
      <x:c r="D2041" s="13" t="n">
        <x:v>621.09</x:v>
      </x:c>
      <x:c r="E2041" s="13" t="n">
        <x:v>4.95</x:v>
      </x:c>
      <x:c r="F2041" s="13" t="n">
        <x:f>D2041-E2041</x:f>
        <x:v>616.14</x:v>
      </x:c>
      <x:c r="G2041" s="3" t="n">
        <x:v>122</x:v>
      </x:c>
      <x:c r="H2041" s="3" t="n">
        <x:v>1</x:v>
      </x:c>
      <x:c r="I2041" s="3" t="n">
        <x:v>49</x:v>
      </x:c>
      <x:c r="J2041" s="15" t="n">
        <x:f>IF(D2041=0,"n.a.",E2041/D2041)</x:f>
        <x:v>0.007969859440660775</x:v>
      </x:c>
      <x:c r="K2041" s="15" t="n">
        <x:f>F2041/'Datos'!$F$7</x:f>
        <x:v>0.00006291823920852074</x:v>
      </x:c>
      <x:c r="L2041" s="3"/>
    </x:row>
    <x:row r="2042" ht="22" customHeight="1">
      <x:c r="A2042" s="3"/>
      <x:c r="B2042" s="3" t="str">
        <x:v>23408</x:v>
      </x:c>
      <x:c r="C2042" s="3" t="str">
        <x:v>PHOTO FRAME LINEN AND LACE SMALL</x:v>
      </x:c>
      <x:c r="D2042" s="13" t="n">
        <x:v>644.8</x:v>
      </x:c>
      <x:c r="E2042" s="13" t="n">
        <x:v>29.12</x:v>
      </x:c>
      <x:c r="F2042" s="13" t="n">
        <x:f>D2042-E2042</x:f>
        <x:v>615.68</x:v>
      </x:c>
      <x:c r="G2042" s="3" t="n">
        <x:v>310</x:v>
      </x:c>
      <x:c r="H2042" s="3" t="n">
        <x:v>14</x:v>
      </x:c>
      <x:c r="I2042" s="3" t="n">
        <x:v>59</x:v>
      </x:c>
      <x:c r="J2042" s="15" t="n">
        <x:f>IF(D2042=0,"n.a.",E2042/D2042)</x:f>
        <x:v>0.04516129032258065</x:v>
      </x:c>
      <x:c r="K2042" s="15" t="n">
        <x:f>F2042/'Datos'!$F$7</x:f>
        <x:v>0.00006287126548495805</x:v>
      </x:c>
      <x:c r="L2042" s="3"/>
    </x:row>
    <x:row r="2043" ht="22" customHeight="1">
      <x:c r="A2043" s="3"/>
      <x:c r="B2043" s="3" t="str">
        <x:v>21784</x:v>
      </x:c>
      <x:c r="C2043" s="3" t="str">
        <x:v>SHOE SHINE BOX</x:v>
      </x:c>
      <x:c r="D2043" s="13" t="n">
        <x:v>633.07</x:v>
      </x:c>
      <x:c r="E2043" s="13" t="n">
        <x:v>19.9</x:v>
      </x:c>
      <x:c r="F2043" s="13" t="n">
        <x:f>D2043-E2043</x:f>
        <x:v>613.1700000000001</x:v>
      </x:c>
      <x:c r="G2043" s="3" t="n">
        <x:v>57</x:v>
      </x:c>
      <x:c r="H2043" s="3" t="n">
        <x:v>2</x:v>
      </x:c>
      <x:c r="I2043" s="3" t="n">
        <x:v>44</x:v>
      </x:c>
      <x:c r="J2043" s="15" t="n">
        <x:f>IF(D2043=0,"n.a.",E2043/D2043)</x:f>
        <x:v>0.03143412260887421</x:v>
      </x:c>
      <x:c r="K2043" s="15" t="n">
        <x:f>F2043/'Datos'!$F$7</x:f>
        <x:v>0.0000626149523411703</x:v>
      </x:c>
      <x:c r="L2043" s="3"/>
    </x:row>
    <x:row r="2044" ht="22" customHeight="1">
      <x:c r="A2044" s="3"/>
      <x:c r="B2044" s="3" t="str">
        <x:v>21171</x:v>
      </x:c>
      <x:c r="C2044" s="3" t="str">
        <x:v>BATHROOM METAL SIGN</x:v>
      </x:c>
      <x:c r="D2044" s="13" t="n">
        <x:v>613.14</x:v>
      </x:c>
      <x:c r="E2044" s="13" t="n">
        <x:v>0</x:v>
      </x:c>
      <x:c r="F2044" s="13" t="n">
        <x:f>D2044-E2044</x:f>
        <x:v>613.14</x:v>
      </x:c>
      <x:c r="G2044" s="3" t="n">
        <x:v>438</x:v>
      </x:c>
      <x:c r="H2044" s="3" t="n">
        <x:v>0</x:v>
      </x:c>
      <x:c r="I2044" s="3" t="n">
        <x:v>73</x:v>
      </x:c>
      <x:c r="J2044" s="15" t="n">
        <x:f>IF(D2044=0,"n.a.",E2044/D2044)</x:f>
        <x:v>0</x:v>
      </x:c>
      <x:c r="K2044" s="15" t="n">
        <x:f>F2044/'Datos'!$F$7</x:f>
        <x:v>0.00006261188883745969</x:v>
      </x:c>
      <x:c r="L2044" s="3"/>
    </x:row>
    <x:row r="2045" ht="22" customHeight="1">
      <x:c r="A2045" s="3"/>
      <x:c r="B2045" s="3" t="str">
        <x:v>23018</x:v>
      </x:c>
      <x:c r="C2045" s="3" t="str">
        <x:v>LARGE APOTHECARY MEASURING JAR</x:v>
      </x:c>
      <x:c r="D2045" s="13" t="n">
        <x:v>612.16</x:v>
      </x:c>
      <x:c r="E2045" s="13" t="n">
        <x:v>0</x:v>
      </x:c>
      <x:c r="F2045" s="13" t="n">
        <x:f>D2045-E2045</x:f>
        <x:v>612.16</x:v>
      </x:c>
      <x:c r="G2045" s="3" t="n">
        <x:v>51</x:v>
      </x:c>
      <x:c r="H2045" s="3" t="n">
        <x:v>0</x:v>
      </x:c>
      <x:c r="I2045" s="3" t="n">
        <x:v>21</x:v>
      </x:c>
      <x:c r="J2045" s="15" t="n">
        <x:f>IF(D2045=0,"n.a.",E2045/D2045)</x:f>
        <x:v>0</x:v>
      </x:c>
      <x:c r="K2045" s="15" t="n">
        <x:f>F2045/'Datos'!$F$7</x:f>
        <x:v>0.00006251181438291307</x:v>
      </x:c>
      <x:c r="L2045" s="3"/>
    </x:row>
    <x:row r="2046" ht="22" customHeight="1">
      <x:c r="A2046" s="3"/>
      <x:c r="B2046" s="3" t="str">
        <x:v>22420</x:v>
      </x:c>
      <x:c r="C2046" s="3" t="str">
        <x:v>LIPSTICK PEN BABY PINK</x:v>
      </x:c>
      <x:c r="D2046" s="13" t="n">
        <x:v>611.72</x:v>
      </x:c>
      <x:c r="E2046" s="13" t="n">
        <x:v>0</x:v>
      </x:c>
      <x:c r="F2046" s="13" t="n">
        <x:f>D2046-E2046</x:f>
        <x:v>611.72</x:v>
      </x:c>
      <x:c r="G2046" s="3" t="n">
        <x:v>1334</x:v>
      </x:c>
      <x:c r="H2046" s="3" t="n">
        <x:v>0</x:v>
      </x:c>
      <x:c r="I2046" s="3" t="n">
        <x:v>126</x:v>
      </x:c>
      <x:c r="J2046" s="15" t="n">
        <x:f>IF(D2046=0,"n.a.",E2046/D2046)</x:f>
        <x:v>0</x:v>
      </x:c>
      <x:c r="K2046" s="15" t="n">
        <x:f>F2046/'Datos'!$F$7</x:f>
        <x:v>0.00006246688299515746</x:v>
      </x:c>
      <x:c r="L2046" s="3"/>
    </x:row>
    <x:row r="2047" ht="22" customHeight="1">
      <x:c r="A2047" s="3"/>
      <x:c r="B2047" s="3" t="str">
        <x:v>20764</x:v>
      </x:c>
      <x:c r="C2047" s="3" t="str">
        <x:v>ABSTRACT CIRCLES SKETCHBOOK</x:v>
      </x:c>
      <x:c r="D2047" s="13" t="n">
        <x:v>610.81</x:v>
      </x:c>
      <x:c r="E2047" s="13" t="n">
        <x:v>0</x:v>
      </x:c>
      <x:c r="F2047" s="13" t="n">
        <x:f>D2047-E2047</x:f>
        <x:v>610.81</x:v>
      </x:c>
      <x:c r="G2047" s="3" t="n">
        <x:v>144</x:v>
      </x:c>
      <x:c r="H2047" s="3" t="n">
        <x:v>0</x:v>
      </x:c>
      <x:c r="I2047" s="3" t="n">
        <x:v>76</x:v>
      </x:c>
      <x:c r="J2047" s="15" t="n">
        <x:f>IF(D2047=0,"n.a.",E2047/D2047)</x:f>
        <x:v>0</x:v>
      </x:c>
      <x:c r="K2047" s="15" t="n">
        <x:f>F2047/'Datos'!$F$7</x:f>
        <x:v>0.0000623739567159356</x:v>
      </x:c>
      <x:c r="L2047" s="3"/>
    </x:row>
    <x:row r="2048" ht="22" customHeight="1">
      <x:c r="A2048" s="3"/>
      <x:c r="B2048" s="3" t="str">
        <x:v>22021</x:v>
      </x:c>
      <x:c r="C2048" s="3" t="str">
        <x:v>BLUE FELT EASTER EGG BASKET</x:v>
      </x:c>
      <x:c r="D2048" s="13" t="n">
        <x:v>610.45</x:v>
      </x:c>
      <x:c r="E2048" s="13" t="n">
        <x:v>0</x:v>
      </x:c>
      <x:c r="F2048" s="13" t="n">
        <x:f>D2048-E2048</x:f>
        <x:v>610.45</x:v>
      </x:c>
      <x:c r="G2048" s="3" t="n">
        <x:v>365</x:v>
      </x:c>
      <x:c r="H2048" s="3" t="n">
        <x:v>0</x:v>
      </x:c>
      <x:c r="I2048" s="3" t="n">
        <x:v>71</x:v>
      </x:c>
      <x:c r="J2048" s="15" t="n">
        <x:f>IF(D2048=0,"n.a.",E2048/D2048)</x:f>
        <x:v>0</x:v>
      </x:c>
      <x:c r="K2048" s="15" t="n">
        <x:f>F2048/'Datos'!$F$7</x:f>
        <x:v>0.00006233719467140828</x:v>
      </x:c>
      <x:c r="L2048" s="3"/>
    </x:row>
    <x:row r="2049" ht="22" customHeight="1">
      <x:c r="A2049" s="3"/>
      <x:c r="B2049" s="3" t="str">
        <x:v>22116</x:v>
      </x:c>
      <x:c r="C2049" s="3" t="str">
        <x:v>METAL SIGN HIS DINNER IS SERVED</x:v>
      </x:c>
      <x:c r="D2049" s="13" t="n">
        <x:v>620.42</x:v>
      </x:c>
      <x:c r="E2049" s="13" t="n">
        <x:v>10.2</x:v>
      </x:c>
      <x:c r="F2049" s="13" t="n">
        <x:f>D2049-E2049</x:f>
        <x:v>610.2199999999999</x:v>
      </x:c>
      <x:c r="G2049" s="3" t="n">
        <x:v>575</x:v>
      </x:c>
      <x:c r="H2049" s="3" t="n">
        <x:v>12</x:v>
      </x:c>
      <x:c r="I2049" s="3" t="n">
        <x:v>148</x:v>
      </x:c>
      <x:c r="J2049" s="15" t="n">
        <x:f>IF(D2049=0,"n.a.",E2049/D2049)</x:f>
        <x:v>0.016440475806711582</x:v>
      </x:c>
      <x:c r="K2049" s="15" t="n">
        <x:f>F2049/'Datos'!$F$7</x:f>
        <x:v>0.00006231370780962691</x:v>
      </x:c>
      <x:c r="L2049" s="3"/>
    </x:row>
    <x:row r="2050" ht="22" customHeight="1">
      <x:c r="A2050" s="3"/>
      <x:c r="B2050" s="3" t="str">
        <x:v>22194</x:v>
      </x:c>
      <x:c r="C2050" s="3" t="str">
        <x:v>BLACK DINER WALL CLOCK</x:v>
      </x:c>
      <x:c r="D2050" s="13" t="n">
        <x:v>625.69</x:v>
      </x:c>
      <x:c r="E2050" s="13" t="n">
        <x:v>17</x:v>
      </x:c>
      <x:c r="F2050" s="13" t="n">
        <x:f>D2050-E2050</x:f>
        <x:v>608.69</x:v>
      </x:c>
      <x:c r="G2050" s="3" t="n">
        <x:v>66</x:v>
      </x:c>
      <x:c r="H2050" s="3" t="n">
        <x:v>2</x:v>
      </x:c>
      <x:c r="I2050" s="3" t="n">
        <x:v>44</x:v>
      </x:c>
      <x:c r="J2050" s="15" t="n">
        <x:f>IF(D2050=0,"n.a.",E2050/D2050)</x:f>
        <x:v>0.027170004315235977</x:v>
      </x:c>
      <x:c r="K2050" s="15" t="n">
        <x:f>F2050/'Datos'!$F$7</x:f>
        <x:v>0.00006215746912038579</x:v>
      </x:c>
      <x:c r="L2050" s="3"/>
    </x:row>
    <x:row r="2051" ht="22" customHeight="1">
      <x:c r="A2051" s="3"/>
      <x:c r="B2051" s="3" t="str">
        <x:v>85170C</x:v>
      </x:c>
      <x:c r="C2051" s="3" t="str">
        <x:v>SET/6 EAU DE NIL BIRD T-LIGHTS</x:v>
      </x:c>
      <x:c r="D2051" s="13" t="n">
        <x:v>608.53</x:v>
      </x:c>
      <x:c r="E2051" s="13" t="n">
        <x:v>0</x:v>
      </x:c>
      <x:c r="F2051" s="13" t="n">
        <x:f>D2051-E2051</x:f>
        <x:v>608.53</x:v>
      </x:c>
      <x:c r="G2051" s="3" t="n">
        <x:v>335</x:v>
      </x:c>
      <x:c r="H2051" s="3" t="n">
        <x:v>0</x:v>
      </x:c>
      <x:c r="I2051" s="3" t="n">
        <x:v>72</x:v>
      </x:c>
      <x:c r="J2051" s="15" t="n">
        <x:f>IF(D2051=0,"n.a.",E2051/D2051)</x:f>
        <x:v>0</x:v>
      </x:c>
      <x:c r="K2051" s="15" t="n">
        <x:f>F2051/'Datos'!$F$7</x:f>
        <x:v>0.00006214113043392919</x:v>
      </x:c>
      <x:c r="L2051" s="3"/>
    </x:row>
    <x:row r="2052" ht="22" customHeight="1">
      <x:c r="A2052" s="3"/>
      <x:c r="B2052" s="3" t="str">
        <x:v>21769</x:v>
      </x:c>
      <x:c r="C2052" s="3" t="str">
        <x:v>VINTAGE POST OFFICE CABINET</x:v>
      </x:c>
      <x:c r="D2052" s="13" t="n">
        <x:v>607.65</x:v>
      </x:c>
      <x:c r="E2052" s="13" t="n">
        <x:v>0</x:v>
      </x:c>
      <x:c r="F2052" s="13" t="n">
        <x:f>D2052-E2052</x:f>
        <x:v>607.65</x:v>
      </x:c>
      <x:c r="G2052" s="3" t="n">
        <x:v>11</x:v>
      </x:c>
      <x:c r="H2052" s="3" t="n">
        <x:v>0</x:v>
      </x:c>
      <x:c r="I2052" s="3" t="n">
        <x:v>2</x:v>
      </x:c>
      <x:c r="J2052" s="15" t="n">
        <x:f>IF(D2052=0,"n.a.",E2052/D2052)</x:f>
        <x:v>0</x:v>
      </x:c>
      <x:c r="K2052" s="15" t="n">
        <x:f>F2052/'Datos'!$F$7</x:f>
        <x:v>0.00006205126765841795</x:v>
      </x:c>
      <x:c r="L2052" s="3"/>
    </x:row>
    <x:row r="2053" ht="22" customHeight="1">
      <x:c r="A2053" s="3"/>
      <x:c r="B2053" s="3" t="str">
        <x:v>21709</x:v>
      </x:c>
      <x:c r="C2053" s="3" t="str">
        <x:v>FOLDING UMBRELLA CHOCOLATE POLKADOT</x:v>
      </x:c>
      <x:c r="D2053" s="13" t="n">
        <x:v>607.23</x:v>
      </x:c>
      <x:c r="E2053" s="13" t="n">
        <x:v>0</x:v>
      </x:c>
      <x:c r="F2053" s="13" t="n">
        <x:f>D2053-E2053</x:f>
        <x:v>607.23</x:v>
      </x:c>
      <x:c r="G2053" s="3" t="n">
        <x:v>133</x:v>
      </x:c>
      <x:c r="H2053" s="3" t="n">
        <x:v>0</x:v>
      </x:c>
      <x:c r="I2053" s="3" t="n">
        <x:v>59</x:v>
      </x:c>
      <x:c r="J2053" s="15" t="n">
        <x:f>IF(D2053=0,"n.a.",E2053/D2053)</x:f>
        <x:v>0</x:v>
      </x:c>
      <x:c r="K2053" s="15" t="n">
        <x:f>F2053/'Datos'!$F$7</x:f>
        <x:v>0.0000620083786064694</x:v>
      </x:c>
      <x:c r="L2053" s="3"/>
    </x:row>
    <x:row r="2054" ht="22" customHeight="1">
      <x:c r="A2054" s="3"/>
      <x:c r="B2054" s="3" t="str">
        <x:v>72598</x:v>
      </x:c>
      <x:c r="C2054" s="3" t="str">
        <x:v>SET/12 TAPER CANDLES</x:v>
      </x:c>
      <x:c r="D2054" s="13" t="n">
        <x:v>605.89</x:v>
      </x:c>
      <x:c r="E2054" s="13" t="n">
        <x:v>0</x:v>
      </x:c>
      <x:c r="F2054" s="13" t="n">
        <x:f>D2054-E2054</x:f>
        <x:v>605.89</x:v>
      </x:c>
      <x:c r="G2054" s="3" t="n">
        <x:v>607</x:v>
      </x:c>
      <x:c r="H2054" s="3" t="n">
        <x:v>0</x:v>
      </x:c>
      <x:c r="I2054" s="3" t="n">
        <x:v>93</x:v>
      </x:c>
      <x:c r="J2054" s="15" t="n">
        <x:f>IF(D2054=0,"n.a.",E2054/D2054)</x:f>
        <x:v>0</x:v>
      </x:c>
      <x:c r="K2054" s="15" t="n">
        <x:f>F2054/'Datos'!$F$7</x:f>
        <x:v>0.00006187154210739545</x:v>
      </x:c>
      <x:c r="L2054" s="3"/>
    </x:row>
    <x:row r="2055" ht="22" customHeight="1">
      <x:c r="A2055" s="3"/>
      <x:c r="B2055" s="3" t="str">
        <x:v>22515</x:v>
      </x:c>
      <x:c r="C2055" s="3" t="str">
        <x:v>CHILDS GARDEN SPADE PINK</x:v>
      </x:c>
      <x:c r="D2055" s="13" t="n">
        <x:v>608.95</x:v>
      </x:c>
      <x:c r="E2055" s="13" t="n">
        <x:v>4.2</x:v>
      </x:c>
      <x:c r="F2055" s="13" t="n">
        <x:f>D2055-E2055</x:f>
        <x:v>604.75</x:v>
      </x:c>
      <x:c r="G2055" s="3" t="n">
        <x:v>266</x:v>
      </x:c>
      <x:c r="H2055" s="3" t="n">
        <x:v>2</x:v>
      </x:c>
      <x:c r="I2055" s="3" t="n">
        <x:v>84</x:v>
      </x:c>
      <x:c r="J2055" s="15" t="n">
        <x:f>IF(D2055=0,"n.a.",E2055/D2055)</x:f>
        <x:v>0.006897117989982757</x:v>
      </x:c>
      <x:c r="K2055" s="15" t="n">
        <x:f>F2055/'Datos'!$F$7</x:f>
        <x:v>0.00006175512896639226</x:v>
      </x:c>
      <x:c r="L2055" s="3"/>
    </x:row>
    <x:row r="2056" ht="22" customHeight="1">
      <x:c r="A2056" s="3"/>
      <x:c r="B2056" s="3" t="str">
        <x:v>23520</x:v>
      </x:c>
      <x:c r="C2056" s="3" t="str">
        <x:v>EMBROIDERED RIBBON REEL RUBY</x:v>
      </x:c>
      <x:c r="D2056" s="13" t="n">
        <x:v>604.3</x:v>
      </x:c>
      <x:c r="E2056" s="13" t="n">
        <x:v>0</x:v>
      </x:c>
      <x:c r="F2056" s="13" t="n">
        <x:f>D2056-E2056</x:f>
        <x:v>604.3</x:v>
      </x:c>
      <x:c r="G2056" s="3" t="n">
        <x:v>168</x:v>
      </x:c>
      <x:c r="H2056" s="3" t="n">
        <x:v>0</x:v>
      </x:c>
      <x:c r="I2056" s="3" t="n">
        <x:v>32</x:v>
      </x:c>
      <x:c r="J2056" s="15" t="n">
        <x:f>IF(D2056=0,"n.a.",E2056/D2056)</x:f>
        <x:v>0</x:v>
      </x:c>
      <x:c r="K2056" s="15" t="n">
        <x:f>F2056/'Datos'!$F$7</x:f>
        <x:v>0.0000617091764107331</x:v>
      </x:c>
      <x:c r="L2056" s="3"/>
    </x:row>
    <x:row r="2057" ht="22" customHeight="1">
      <x:c r="A2057" s="3"/>
      <x:c r="B2057" s="3" t="str">
        <x:v>23425</x:v>
      </x:c>
      <x:c r="C2057" s="3" t="str">
        <x:v>STORAGE TIN HOME SWEET HOME</x:v>
      </x:c>
      <x:c r="D2057" s="13" t="n">
        <x:v>621.44</x:v>
      </x:c>
      <x:c r="E2057" s="13" t="n">
        <x:v>17.43</x:v>
      </x:c>
      <x:c r="F2057" s="13" t="n">
        <x:f>D2057-E2057</x:f>
        <x:v>604.0100000000001</x:v>
      </x:c>
      <x:c r="G2057" s="3" t="n">
        <x:v>275</x:v>
      </x:c>
      <x:c r="H2057" s="3" t="n">
        <x:v>7</x:v>
      </x:c>
      <x:c r="I2057" s="3" t="n">
        <x:v>56</x:v>
      </x:c>
      <x:c r="J2057" s="15" t="n">
        <x:f>IF(D2057=0,"n.a.",E2057/D2057)</x:f>
        <x:v>0.028047760041194643</x:v>
      </x:c>
      <x:c r="K2057" s="15" t="n">
        <x:f>F2057/'Datos'!$F$7</x:f>
        <x:v>0.00006167956254153053</x:v>
      </x:c>
      <x:c r="L2057" s="3"/>
    </x:row>
    <x:row r="2058" ht="22" customHeight="1">
      <x:c r="A2058" s="3"/>
      <x:c r="B2058" s="3" t="str">
        <x:v>22255</x:v>
      </x:c>
      <x:c r="C2058" s="3" t="str">
        <x:v>FELT TOADSTOOL SMALL</x:v>
      </x:c>
      <x:c r="D2058" s="13" t="n">
        <x:v>602.63</x:v>
      </x:c>
      <x:c r="E2058" s="13" t="n">
        <x:v>0</x:v>
      </x:c>
      <x:c r="F2058" s="13" t="n">
        <x:f>D2058-E2058</x:f>
        <x:v>602.63</x:v>
      </x:c>
      <x:c r="G2058" s="3" t="n">
        <x:v>629</x:v>
      </x:c>
      <x:c r="H2058" s="3" t="n">
        <x:v>0</x:v>
      </x:c>
      <x:c r="I2058" s="3" t="n">
        <x:v>77</x:v>
      </x:c>
      <x:c r="J2058" s="15" t="n">
        <x:f>IF(D2058=0,"n.a.",E2058/D2058)</x:f>
        <x:v>0</x:v>
      </x:c>
      <x:c r="K2058" s="15" t="n">
        <x:f>F2058/'Datos'!$F$7</x:f>
        <x:v>0.00006153864137084244</x:v>
      </x:c>
      <x:c r="L2058" s="3"/>
    </x:row>
    <x:row r="2059" ht="22" customHeight="1">
      <x:c r="A2059" s="3"/>
      <x:c r="B2059" s="3" t="str">
        <x:v>21159</x:v>
      </x:c>
      <x:c r="C2059" s="3" t="str">
        <x:v>MOODY BOY DOOR HANGER</x:v>
      </x:c>
      <x:c r="D2059" s="13" t="n">
        <x:v>602.18</x:v>
      </x:c>
      <x:c r="E2059" s="13" t="n">
        <x:v>0</x:v>
      </x:c>
      <x:c r="F2059" s="13" t="n">
        <x:f>D2059-E2059</x:f>
        <x:v>602.18</x:v>
      </x:c>
      <x:c r="G2059" s="3" t="n">
        <x:v>1127</x:v>
      </x:c>
      <x:c r="H2059" s="3" t="n">
        <x:v>0</x:v>
      </x:c>
      <x:c r="I2059" s="3" t="n">
        <x:v>124</x:v>
      </x:c>
      <x:c r="J2059" s="15" t="n">
        <x:f>IF(D2059=0,"n.a.",E2059/D2059)</x:f>
        <x:v>0</x:v>
      </x:c>
      <x:c r="K2059" s="15" t="n">
        <x:f>F2059/'Datos'!$F$7</x:f>
        <x:v>0.00006149268881518328</x:v>
      </x:c>
      <x:c r="L2059" s="3"/>
    </x:row>
    <x:row r="2060" ht="22" customHeight="1">
      <x:c r="A2060" s="3"/>
      <x:c r="B2060" s="3" t="str">
        <x:v>21448</x:v>
      </x:c>
      <x:c r="C2060" s="3" t="str">
        <x:v>12 DAISY PEGS IN WOOD BOX</x:v>
      </x:c>
      <x:c r="D2060" s="13" t="n">
        <x:v>600.87</x:v>
      </x:c>
      <x:c r="E2060" s="13" t="n">
        <x:v>0</x:v>
      </x:c>
      <x:c r="F2060" s="13" t="n">
        <x:f>D2060-E2060</x:f>
        <x:v>600.87</x:v>
      </x:c>
      <x:c r="G2060" s="3" t="n">
        <x:v>349</x:v>
      </x:c>
      <x:c r="H2060" s="3" t="n">
        <x:v>0</x:v>
      </x:c>
      <x:c r="I2060" s="3" t="n">
        <x:v>77</x:v>
      </x:c>
      <x:c r="J2060" s="15" t="n">
        <x:f>IF(D2060=0,"n.a.",E2060/D2060)</x:f>
        <x:v>0</x:v>
      </x:c>
      <x:c r="K2060" s="15" t="n">
        <x:f>F2060/'Datos'!$F$7</x:f>
        <x:v>0.00006135891581981995</x:v>
      </x:c>
      <x:c r="L2060" s="3"/>
    </x:row>
    <x:row r="2061" ht="22" customHeight="1">
      <x:c r="A2061" s="3"/>
      <x:c r="B2061" s="3" t="str">
        <x:v>22359</x:v>
      </x:c>
      <x:c r="C2061" s="3" t="str">
        <x:v>GLASS JAR KINGS CHOICE</x:v>
      </x:c>
      <x:c r="D2061" s="13" t="n">
        <x:v>608.72</x:v>
      </x:c>
      <x:c r="E2061" s="13" t="n">
        <x:v>8.85</x:v>
      </x:c>
      <x:c r="F2061" s="13" t="n">
        <x:f>D2061-E2061</x:f>
        <x:v>599.87</x:v>
      </x:c>
      <x:c r="G2061" s="3" t="n">
        <x:v>184</x:v>
      </x:c>
      <x:c r="H2061" s="3" t="n">
        <x:v>3</x:v>
      </x:c>
      <x:c r="I2061" s="3" t="n">
        <x:v>81</x:v>
      </x:c>
      <x:c r="J2061" s="15" t="n">
        <x:f>IF(D2061=0,"n.a.",E2061/D2061)</x:f>
        <x:v>0.014538704166119068</x:v>
      </x:c>
      <x:c r="K2061" s="15" t="n">
        <x:f>F2061/'Datos'!$F$7</x:f>
        <x:v>0.00006125679902946626</x:v>
      </x:c>
      <x:c r="L2061" s="3"/>
    </x:row>
    <x:row r="2062" ht="22" customHeight="1">
      <x:c r="A2062" s="3"/>
      <x:c r="B2062" s="3" t="str">
        <x:v>20932</x:v>
      </x:c>
      <x:c r="C2062" s="3" t="str">
        <x:v>PINK POT PLANT CANDLE</x:v>
      </x:c>
      <x:c r="D2062" s="13" t="n">
        <x:v>628.79</x:v>
      </x:c>
      <x:c r="E2062" s="13" t="n">
        <x:v>29.5</x:v>
      </x:c>
      <x:c r="F2062" s="13" t="n">
        <x:f>D2062-E2062</x:f>
        <x:v>599.29</x:v>
      </x:c>
      <x:c r="G2062" s="3" t="n">
        <x:v>204</x:v>
      </x:c>
      <x:c r="H2062" s="3" t="n">
        <x:v>10</x:v>
      </x:c>
      <x:c r="I2062" s="3" t="n">
        <x:v>35</x:v>
      </x:c>
      <x:c r="J2062" s="15" t="n">
        <x:f>IF(D2062=0,"n.a.",E2062/D2062)</x:f>
        <x:v>0.04691550438143101</x:v>
      </x:c>
      <x:c r="K2062" s="15" t="n">
        <x:f>F2062/'Datos'!$F$7</x:f>
        <x:v>0.00006119757129106112</x:v>
      </x:c>
      <x:c r="L2062" s="3"/>
    </x:row>
    <x:row r="2063" ht="22" customHeight="1">
      <x:c r="A2063" s="3"/>
      <x:c r="B2063" s="3" t="str">
        <x:v>21014</x:v>
      </x:c>
      <x:c r="C2063" s="3" t="str">
        <x:v>SWISS CHALET TREE DECORATION</x:v>
      </x:c>
      <x:c r="D2063" s="13" t="n">
        <x:v>598.82</x:v>
      </x:c>
      <x:c r="E2063" s="13" t="n">
        <x:v>0</x:v>
      </x:c>
      <x:c r="F2063" s="13" t="n">
        <x:f>D2063-E2063</x:f>
        <x:v>598.82</x:v>
      </x:c>
      <x:c r="G2063" s="3" t="n">
        <x:v>1385</x:v>
      </x:c>
      <x:c r="H2063" s="3" t="n">
        <x:v>0</x:v>
      </x:c>
      <x:c r="I2063" s="3" t="n">
        <x:v>119</x:v>
      </x:c>
      <x:c r="J2063" s="15" t="n">
        <x:f>IF(D2063=0,"n.a.",E2063/D2063)</x:f>
        <x:v>0</x:v>
      </x:c>
      <x:c r="K2063" s="15" t="n">
        <x:f>F2063/'Datos'!$F$7</x:f>
        <x:v>0.00006114957639959489</x:v>
      </x:c>
      <x:c r="L2063" s="3"/>
    </x:row>
    <x:row r="2064" ht="22" customHeight="1">
      <x:c r="A2064" s="3"/>
      <x:c r="B2064" s="3" t="str">
        <x:v>84800L</x:v>
      </x:c>
      <x:c r="C2064" s="3" t="str">
        <x:v>LARGE WHITE/PINK ROSE ART FLOWER</x:v>
      </x:c>
      <x:c r="D2064" s="13" t="n">
        <x:v>639.36</x:v>
      </x:c>
      <x:c r="E2064" s="13" t="n">
        <x:v>40.56</x:v>
      </x:c>
      <x:c r="F2064" s="13" t="n">
        <x:f>D2064-E2064</x:f>
        <x:v>598.8</x:v>
      </x:c>
      <x:c r="G2064" s="3" t="n">
        <x:v>360</x:v>
      </x:c>
      <x:c r="H2064" s="3" t="n">
        <x:v>24</x:v>
      </x:c>
      <x:c r="I2064" s="3" t="n">
        <x:v>22</x:v>
      </x:c>
      <x:c r="J2064" s="15" t="n">
        <x:f>IF(D2064=0,"n.a.",E2064/D2064)</x:f>
        <x:v>0.06343843843843844</x:v>
      </x:c>
      <x:c r="K2064" s="15" t="n">
        <x:f>F2064/'Datos'!$F$7</x:f>
        <x:v>0.00006114753406378781</x:v>
      </x:c>
      <x:c r="L2064" s="3"/>
    </x:row>
    <x:row r="2065" ht="22" customHeight="1">
      <x:c r="A2065" s="3"/>
      <x:c r="B2065" s="3" t="str">
        <x:v>22266</x:v>
      </x:c>
      <x:c r="C2065" s="3" t="str">
        <x:v>EASTER DECORATION HANGING BUNNY</x:v>
      </x:c>
      <x:c r="D2065" s="13" t="n">
        <x:v>596.5</x:v>
      </x:c>
      <x:c r="E2065" s="13" t="n">
        <x:v>0</x:v>
      </x:c>
      <x:c r="F2065" s="13" t="n">
        <x:f>D2065-E2065</x:f>
        <x:v>596.5</x:v>
      </x:c>
      <x:c r="G2065" s="3" t="n">
        <x:v>1888</x:v>
      </x:c>
      <x:c r="H2065" s="3" t="n">
        <x:v>0</x:v>
      </x:c>
      <x:c r="I2065" s="3" t="n">
        <x:v>92</x:v>
      </x:c>
      <x:c r="J2065" s="15" t="n">
        <x:f>IF(D2065=0,"n.a.",E2065/D2065)</x:f>
        <x:v>0</x:v>
      </x:c>
      <x:c r="K2065" s="15" t="n">
        <x:f>F2065/'Datos'!$F$7</x:f>
        <x:v>0.000060912665445974334</x:v>
      </x:c>
      <x:c r="L2065" s="3"/>
    </x:row>
    <x:row r="2066" ht="22" customHeight="1">
      <x:c r="A2066" s="3"/>
      <x:c r="B2066" s="3" t="str">
        <x:v>22057</x:v>
      </x:c>
      <x:c r="C2066" s="3" t="str">
        <x:v>CERAMIC PLATE STRAWBERRY DESIGN</x:v>
      </x:c>
      <x:c r="D2066" s="13" t="n">
        <x:v>667.92</x:v>
      </x:c>
      <x:c r="E2066" s="13" t="n">
        <x:v>71.52</x:v>
      </x:c>
      <x:c r="F2066" s="13" t="n">
        <x:f>D2066-E2066</x:f>
        <x:v>596.4</x:v>
      </x:c>
      <x:c r="G2066" s="3" t="n">
        <x:v>584</x:v>
      </x:c>
      <x:c r="H2066" s="3" t="n">
        <x:v>48</x:v>
      </x:c>
      <x:c r="I2066" s="3" t="n">
        <x:v>61</x:v>
      </x:c>
      <x:c r="J2066" s="15" t="n">
        <x:f>IF(D2066=0,"n.a.",E2066/D2066)</x:f>
        <x:v>0.10707869205892921</x:v>
      </x:c>
      <x:c r="K2066" s="15" t="n">
        <x:f>F2066/'Datos'!$F$7</x:f>
        <x:v>0.00006090245376693896</x:v>
      </x:c>
      <x:c r="L2066" s="3"/>
    </x:row>
    <x:row r="2067" ht="22" customHeight="1">
      <x:c r="A2067" s="3"/>
      <x:c r="B2067" s="3" t="str">
        <x:v>22642</x:v>
      </x:c>
      <x:c r="C2067" s="3" t="str">
        <x:v>SET OF 4 NAPKIN CHARMS STARS</x:v>
      </x:c>
      <x:c r="D2067" s="13" t="n">
        <x:v>596.36</x:v>
      </x:c>
      <x:c r="E2067" s="13" t="n">
        <x:v>0</x:v>
      </x:c>
      <x:c r="F2067" s="13" t="n">
        <x:f>D2067-E2067</x:f>
        <x:v>596.36</x:v>
      </x:c>
      <x:c r="G2067" s="3" t="n">
        <x:v>269</x:v>
      </x:c>
      <x:c r="H2067" s="3" t="n">
        <x:v>0</x:v>
      </x:c>
      <x:c r="I2067" s="3" t="n">
        <x:v>51</x:v>
      </x:c>
      <x:c r="J2067" s="15" t="n">
        <x:f>IF(D2067=0,"n.a.",E2067/D2067)</x:f>
        <x:v>0</x:v>
      </x:c>
      <x:c r="K2067" s="15" t="n">
        <x:f>F2067/'Datos'!$F$7</x:f>
        <x:v>0.00006089836909532482</x:v>
      </x:c>
      <x:c r="L2067" s="3"/>
    </x:row>
    <x:row r="2068" ht="22" customHeight="1">
      <x:c r="A2068" s="3"/>
      <x:c r="B2068" s="3" t="str">
        <x:v>17012B</x:v>
      </x:c>
      <x:c r="C2068" s="3" t="str">
        <x:v>ORIGAMI JASMINE INCENSE/CANDLE SET</x:v>
      </x:c>
      <x:c r="D2068" s="13" t="n">
        <x:v>595.85</x:v>
      </x:c>
      <x:c r="E2068" s="13" t="n">
        <x:v>0</x:v>
      </x:c>
      <x:c r="F2068" s="13" t="n">
        <x:f>D2068-E2068</x:f>
        <x:v>595.85</x:v>
      </x:c>
      <x:c r="G2068" s="3" t="n">
        <x:v>525</x:v>
      </x:c>
      <x:c r="H2068" s="3" t="n">
        <x:v>0</x:v>
      </x:c>
      <x:c r="I2068" s="3" t="n">
        <x:v>85</x:v>
      </x:c>
      <x:c r="J2068" s="15" t="n">
        <x:f>IF(D2068=0,"n.a.",E2068/D2068)</x:f>
        <x:v>0</x:v>
      </x:c>
      <x:c r="K2068" s="15" t="n">
        <x:f>F2068/'Datos'!$F$7</x:f>
        <x:v>0.00006084628953224444</x:v>
      </x:c>
      <x:c r="L2068" s="3"/>
    </x:row>
    <x:row r="2069" ht="22" customHeight="1">
      <x:c r="A2069" s="3"/>
      <x:c r="B2069" s="3" t="str">
        <x:v>85141</x:v>
      </x:c>
      <x:c r="C2069" s="3" t="str">
        <x:v>JARDIN ETCHED GLASS FRUITBOWL</x:v>
      </x:c>
      <x:c r="D2069" s="13" t="n">
        <x:v>635.74</x:v>
      </x:c>
      <x:c r="E2069" s="13" t="n">
        <x:v>40.55</x:v>
      </x:c>
      <x:c r="F2069" s="13" t="n">
        <x:f>D2069-E2069</x:f>
        <x:v>595.19</x:v>
      </x:c>
      <x:c r="G2069" s="3" t="n">
        <x:v>124</x:v>
      </x:c>
      <x:c r="H2069" s="3" t="n">
        <x:v>9</x:v>
      </x:c>
      <x:c r="I2069" s="3" t="n">
        <x:v>39</x:v>
      </x:c>
      <x:c r="J2069" s="15" t="n">
        <x:f>IF(D2069=0,"n.a.",E2069/D2069)</x:f>
        <x:v>0.06378393682952149</x:v>
      </x:c>
      <x:c r="K2069" s="15" t="n">
        <x:f>F2069/'Datos'!$F$7</x:f>
        <x:v>0.00006077889245061101</x:v>
      </x:c>
      <x:c r="L2069" s="3"/>
    </x:row>
    <x:row r="2070" ht="22" customHeight="1">
      <x:c r="A2070" s="3"/>
      <x:c r="B2070" s="3" t="str">
        <x:v>21292</x:v>
      </x:c>
      <x:c r="C2070" s="3" t="str">
        <x:v>SMALL STRIPES CHOCOLATE GIFT BAG</x:v>
      </x:c>
      <x:c r="D2070" s="13" t="n">
        <x:v>594.51</x:v>
      </x:c>
      <x:c r="E2070" s="13" t="n">
        <x:v>0</x:v>
      </x:c>
      <x:c r="F2070" s="13" t="n">
        <x:f>D2070-E2070</x:f>
        <x:v>594.51</x:v>
      </x:c>
      <x:c r="G2070" s="3" t="n">
        <x:v>867</x:v>
      </x:c>
      <x:c r="H2070" s="3" t="n">
        <x:v>0</x:v>
      </x:c>
      <x:c r="I2070" s="3" t="n">
        <x:v>28</x:v>
      </x:c>
      <x:c r="J2070" s="15" t="n">
        <x:f>IF(D2070=0,"n.a.",E2070/D2070)</x:f>
        <x:v>0</x:v>
      </x:c>
      <x:c r="K2070" s="15" t="n">
        <x:f>F2070/'Datos'!$F$7</x:f>
        <x:v>0.0000607094530331705</x:v>
      </x:c>
      <x:c r="L2070" s="3"/>
    </x:row>
    <x:row r="2071" ht="22" customHeight="1">
      <x:c r="A2071" s="3"/>
      <x:c r="B2071" s="3" t="str">
        <x:v>21253</x:v>
      </x:c>
      <x:c r="C2071" s="3" t="str">
        <x:v>SET OF PICTURE FRAME STICKERS</x:v>
      </x:c>
      <x:c r="D2071" s="13" t="n">
        <x:v>593.37</x:v>
      </x:c>
      <x:c r="E2071" s="13" t="n">
        <x:v>0</x:v>
      </x:c>
      <x:c r="F2071" s="13" t="n">
        <x:f>D2071-E2071</x:f>
        <x:v>593.37</x:v>
      </x:c>
      <x:c r="G2071" s="3" t="n">
        <x:v>135</x:v>
      </x:c>
      <x:c r="H2071" s="3" t="n">
        <x:v>0</x:v>
      </x:c>
      <x:c r="I2071" s="3" t="n">
        <x:v>62</x:v>
      </x:c>
      <x:c r="J2071" s="15" t="n">
        <x:f>IF(D2071=0,"n.a.",E2071/D2071)</x:f>
        <x:v>0</x:v>
      </x:c>
      <x:c r="K2071" s="15" t="n">
        <x:f>F2071/'Datos'!$F$7</x:f>
        <x:v>0.000060593039892167295</x:v>
      </x:c>
      <x:c r="L2071" s="3"/>
    </x:row>
    <x:row r="2072" ht="22" customHeight="1">
      <x:c r="A2072" s="3"/>
      <x:c r="B2072" s="3" t="str">
        <x:v>22247</x:v>
      </x:c>
      <x:c r="C2072" s="3" t="str">
        <x:v>BUNNY DECORATION MAGIC GARDEN</x:v>
      </x:c>
      <x:c r="D2072" s="13" t="n">
        <x:v>593.14</x:v>
      </x:c>
      <x:c r="E2072" s="13" t="n">
        <x:v>0</x:v>
      </x:c>
      <x:c r="F2072" s="13" t="n">
        <x:f>D2072-E2072</x:f>
        <x:v>593.14</x:v>
      </x:c>
      <x:c r="G2072" s="3" t="n">
        <x:v>670</x:v>
      </x:c>
      <x:c r="H2072" s="3" t="n">
        <x:v>0</x:v>
      </x:c>
      <x:c r="I2072" s="3" t="n">
        <x:v>113</x:v>
      </x:c>
      <x:c r="J2072" s="15" t="n">
        <x:f>IF(D2072=0,"n.a.",E2072/D2072)</x:f>
        <x:v>0</x:v>
      </x:c>
      <x:c r="K2072" s="15" t="n">
        <x:f>F2072/'Datos'!$F$7</x:f>
        <x:v>0.00006056955303038595</x:v>
      </x:c>
      <x:c r="L2072" s="3"/>
    </x:row>
    <x:row r="2073" ht="22" customHeight="1">
      <x:c r="A2073" s="3"/>
      <x:c r="B2073" s="3" t="str">
        <x:v>85036B</x:v>
      </x:c>
      <x:c r="C2073" s="3" t="str">
        <x:v>CHOCOLATE 1 WICK MORRIS BOX CANDLE</x:v>
      </x:c>
      <x:c r="D2073" s="13" t="n">
        <x:v>617.9</x:v>
      </x:c>
      <x:c r="E2073" s="13" t="n">
        <x:v>25.5</x:v>
      </x:c>
      <x:c r="F2073" s="13" t="n">
        <x:f>D2073-E2073</x:f>
        <x:v>592.4</x:v>
      </x:c>
      <x:c r="G2073" s="3" t="n">
        <x:v>370</x:v>
      </x:c>
      <x:c r="H2073" s="3" t="n">
        <x:v>6</x:v>
      </x:c>
      <x:c r="I2073" s="3" t="n">
        <x:v>50</x:v>
      </x:c>
      <x:c r="J2073" s="15" t="n">
        <x:f>IF(D2073=0,"n.a.",E2073/D2073)</x:f>
        <x:v>0.04126881372390354</x:v>
      </x:c>
      <x:c r="K2073" s="15" t="n">
        <x:f>F2073/'Datos'!$F$7</x:f>
        <x:v>0.00006049398660552422</x:v>
      </x:c>
      <x:c r="L2073" s="3"/>
    </x:row>
    <x:row r="2074" ht="22" customHeight="1">
      <x:c r="A2074" s="3"/>
      <x:c r="B2074" s="3" t="str">
        <x:v>23377</x:v>
      </x:c>
      <x:c r="C2074" s="3" t="str">
        <x:v>PACK OF 12 DOLLY GIRL TISSUES</x:v>
      </x:c>
      <x:c r="D2074" s="13" t="n">
        <x:v>593.62</x:v>
      </x:c>
      <x:c r="E2074" s="13" t="n">
        <x:v>3.12</x:v>
      </x:c>
      <x:c r="F2074" s="13" t="n">
        <x:f>D2074-E2074</x:f>
        <x:v>590.5</x:v>
      </x:c>
      <x:c r="G2074" s="3" t="n">
        <x:v>1354</x:v>
      </x:c>
      <x:c r="H2074" s="3" t="n">
        <x:v>8</x:v>
      </x:c>
      <x:c r="I2074" s="3" t="n">
        <x:v>133</x:v>
      </x:c>
      <x:c r="J2074" s="15" t="n">
        <x:f>IF(D2074=0,"n.a.",E2074/D2074)</x:f>
        <x:v>0.005255887604865065</x:v>
      </x:c>
      <x:c r="K2074" s="15" t="n">
        <x:f>F2074/'Datos'!$F$7</x:f>
        <x:v>0.000060299964703852216</x:v>
      </x:c>
      <x:c r="L2074" s="3"/>
    </x:row>
    <x:row r="2075" ht="22" customHeight="1">
      <x:c r="A2075" s="3"/>
      <x:c r="B2075" s="3" t="str">
        <x:v>85017B</x:v>
      </x:c>
      <x:c r="C2075" s="3" t="str">
        <x:v>ENVELOPE 50 BLOSSOM IMAGES</x:v>
      </x:c>
      <x:c r="D2075" s="13" t="n">
        <x:v>600.29</x:v>
      </x:c>
      <x:c r="E2075" s="13" t="n">
        <x:v>10.2</x:v>
      </x:c>
      <x:c r="F2075" s="13" t="n">
        <x:f>D2075-E2075</x:f>
        <x:v>590.0899999999999</x:v>
      </x:c>
      <x:c r="G2075" s="3" t="n">
        <x:v>1077</x:v>
      </x:c>
      <x:c r="H2075" s="3" t="n">
        <x:v>12</x:v>
      </x:c>
      <x:c r="I2075" s="3" t="n">
        <x:v>158</x:v>
      </x:c>
      <x:c r="J2075" s="15" t="n">
        <x:f>IF(D2075=0,"n.a.",E2075/D2075)</x:f>
        <x:v>0.016991787302803645</x:v>
      </x:c>
      <x:c r="K2075" s="15" t="n">
        <x:f>F2075/'Datos'!$F$7</x:f>
        <x:v>0.000060258096819807195</x:v>
      </x:c>
      <x:c r="L2075" s="3"/>
    </x:row>
    <x:row r="2076" ht="22" customHeight="1">
      <x:c r="A2076" s="3"/>
      <x:c r="B2076" s="3" t="str">
        <x:v>21015</x:v>
      </x:c>
      <x:c r="C2076" s="3" t="str">
        <x:v>DARK BIRD HOUSE TREE DECORATION</x:v>
      </x:c>
      <x:c r="D2076" s="13" t="n">
        <x:v>590.13</x:v>
      </x:c>
      <x:c r="E2076" s="13" t="n">
        <x:v>1.16</x:v>
      </x:c>
      <x:c r="F2076" s="13" t="n">
        <x:f>D2076-E2076</x:f>
        <x:v>588.97</x:v>
      </x:c>
      <x:c r="G2076" s="3" t="n">
        <x:v>1485</x:v>
      </x:c>
      <x:c r="H2076" s="3" t="n">
        <x:v>4</x:v>
      </x:c>
      <x:c r="I2076" s="3" t="n">
        <x:v>142</x:v>
      </x:c>
      <x:c r="J2076" s="15" t="n">
        <x:f>IF(D2076=0,"n.a.",E2076/D2076)</x:f>
        <x:v>0.0019656685814989916</x:v>
      </x:c>
      <x:c r="K2076" s="15" t="n">
        <x:f>F2076/'Datos'!$F$7</x:f>
        <x:v>0.00006014372601461108</x:v>
      </x:c>
      <x:c r="L2076" s="3"/>
    </x:row>
    <x:row r="2077" ht="22" customHeight="1">
      <x:c r="A2077" s="3"/>
      <x:c r="B2077" s="3" t="str">
        <x:v>23499</x:v>
      </x:c>
      <x:c r="C2077" s="3" t="str">
        <x:v>SET 12 VINTAGE DOILY CHALK</x:v>
      </x:c>
      <x:c r="D2077" s="13" t="n">
        <x:v>587.49</x:v>
      </x:c>
      <x:c r="E2077" s="13" t="n">
        <x:v>0</x:v>
      </x:c>
      <x:c r="F2077" s="13" t="n">
        <x:f>D2077-E2077</x:f>
        <x:v>587.49</x:v>
      </x:c>
      <x:c r="G2077" s="3" t="n">
        <x:v>1315</x:v>
      </x:c>
      <x:c r="H2077" s="3" t="n">
        <x:v>0</x:v>
      </x:c>
      <x:c r="I2077" s="3" t="n">
        <x:v>110</x:v>
      </x:c>
      <x:c r="J2077" s="15" t="n">
        <x:f>IF(D2077=0,"n.a.",E2077/D2077)</x:f>
        <x:v>0</x:v>
      </x:c>
      <x:c r="K2077" s="15" t="n">
        <x:f>F2077/'Datos'!$F$7</x:f>
        <x:v>0.000059992593164887614</x:v>
      </x:c>
      <x:c r="L2077" s="3"/>
    </x:row>
    <x:row r="2078" ht="22" customHeight="1">
      <x:c r="A2078" s="3"/>
      <x:c r="B2078" s="3" t="str">
        <x:v>85180B</x:v>
      </x:c>
      <x:c r="C2078" s="3" t="str">
        <x:v>PINK HEARTS LIGHT CHAIN</x:v>
      </x:c>
      <x:c r="D2078" s="13" t="n">
        <x:v>587.2</x:v>
      </x:c>
      <x:c r="E2078" s="13" t="n">
        <x:v>0</x:v>
      </x:c>
      <x:c r="F2078" s="13" t="n">
        <x:f>D2078-E2078</x:f>
        <x:v>587.2</x:v>
      </x:c>
      <x:c r="G2078" s="3" t="n">
        <x:v>271</x:v>
      </x:c>
      <x:c r="H2078" s="3" t="n">
        <x:v>0</x:v>
      </x:c>
      <x:c r="I2078" s="3" t="n">
        <x:v>48</x:v>
      </x:c>
      <x:c r="J2078" s="15" t="n">
        <x:f>IF(D2078=0,"n.a.",E2078/D2078)</x:f>
        <x:v>0</x:v>
      </x:c>
      <x:c r="K2078" s="15" t="n">
        <x:f>F2078/'Datos'!$F$7</x:f>
        <x:v>0.00005996297929568505</x:v>
      </x:c>
      <x:c r="L2078" s="3"/>
    </x:row>
    <x:row r="2079" ht="22" customHeight="1">
      <x:c r="A2079" s="3"/>
      <x:c r="B2079" s="3" t="str">
        <x:v>85144</x:v>
      </x:c>
      <x:c r="C2079" s="3" t="str">
        <x:v>JARDIN ETCHED GLASS CHEESE DISH</x:v>
      </x:c>
      <x:c r="D2079" s="13" t="n">
        <x:v>586.6</x:v>
      </x:c>
      <x:c r="E2079" s="13" t="n">
        <x:v>0</x:v>
      </x:c>
      <x:c r="F2079" s="13" t="n">
        <x:f>D2079-E2079</x:f>
        <x:v>586.6</x:v>
      </x:c>
      <x:c r="G2079" s="3" t="n">
        <x:v>222</x:v>
      </x:c>
      <x:c r="H2079" s="3" t="n">
        <x:v>0</x:v>
      </x:c>
      <x:c r="I2079" s="3" t="n">
        <x:v>41</x:v>
      </x:c>
      <x:c r="J2079" s="15" t="n">
        <x:f>IF(D2079=0,"n.a.",E2079/D2079)</x:f>
        <x:v>0</x:v>
      </x:c>
      <x:c r="K2079" s="15" t="n">
        <x:f>F2079/'Datos'!$F$7</x:f>
        <x:v>0.00005990170922147284</x:v>
      </x:c>
      <x:c r="L2079" s="3"/>
    </x:row>
    <x:row r="2080" ht="22" customHeight="1">
      <x:c r="A2080" s="3"/>
      <x:c r="B2080" s="3" t="str">
        <x:v>84748</x:v>
      </x:c>
      <x:c r="C2080" s="3" t="str">
        <x:v>FOLK FELT HANGING MULTICOL GARLAND</x:v>
      </x:c>
      <x:c r="D2080" s="13" t="n">
        <x:v>585.86</x:v>
      </x:c>
      <x:c r="E2080" s="13" t="n">
        <x:v>0</x:v>
      </x:c>
      <x:c r="F2080" s="13" t="n">
        <x:f>D2080-E2080</x:f>
        <x:v>585.86</x:v>
      </x:c>
      <x:c r="G2080" s="3" t="n">
        <x:v>208</x:v>
      </x:c>
      <x:c r="H2080" s="3" t="n">
        <x:v>0</x:v>
      </x:c>
      <x:c r="I2080" s="3" t="n">
        <x:v>61</x:v>
      </x:c>
      <x:c r="J2080" s="15" t="n">
        <x:f>IF(D2080=0,"n.a.",E2080/D2080)</x:f>
        <x:v>0</x:v>
      </x:c>
      <x:c r="K2080" s="15" t="n">
        <x:f>F2080/'Datos'!$F$7</x:f>
        <x:v>0.00005982614279661111</x:v>
      </x:c>
      <x:c r="L2080" s="3"/>
    </x:row>
    <x:row r="2081" ht="22" customHeight="1">
      <x:c r="A2081" s="3"/>
      <x:c r="B2081" s="3" t="str">
        <x:v>21576</x:v>
      </x:c>
      <x:c r="C2081" s="3" t="str">
        <x:v>LETS GO SHOPPING COTTON TOTE BAG</x:v>
      </x:c>
      <x:c r="D2081" s="13" t="n">
        <x:v>585.34</x:v>
      </x:c>
      <x:c r="E2081" s="13" t="n">
        <x:v>0</x:v>
      </x:c>
      <x:c r="F2081" s="13" t="n">
        <x:f>D2081-E2081</x:f>
        <x:v>585.34</x:v>
      </x:c>
      <x:c r="G2081" s="3" t="n">
        <x:v>252</x:v>
      </x:c>
      <x:c r="H2081" s="3" t="n">
        <x:v>0</x:v>
      </x:c>
      <x:c r="I2081" s="3" t="n">
        <x:v>78</x:v>
      </x:c>
      <x:c r="J2081" s="15" t="n">
        <x:f>IF(D2081=0,"n.a.",E2081/D2081)</x:f>
        <x:v>0</x:v>
      </x:c>
      <x:c r="K2081" s="15" t="n">
        <x:f>F2081/'Datos'!$F$7</x:f>
        <x:v>0.00005977304206562719</x:v>
      </x:c>
      <x:c r="L2081" s="3"/>
    </x:row>
    <x:row r="2082" ht="22" customHeight="1">
      <x:c r="A2082" s="3"/>
      <x:c r="B2082" s="3" t="str">
        <x:v>22096</x:v>
      </x:c>
      <x:c r="C2082" s="3" t="str">
        <x:v>PINK PAISLEY SQUARE TISSUE BOX</x:v>
      </x:c>
      <x:c r="D2082" s="13" t="n">
        <x:v>586.82</x:v>
      </x:c>
      <x:c r="E2082" s="13" t="n">
        <x:v>2.34</x:v>
      </x:c>
      <x:c r="F2082" s="13" t="n">
        <x:f>D2082-E2082</x:f>
        <x:v>584.48</x:v>
      </x:c>
      <x:c r="G2082" s="3" t="n">
        <x:v>1373</x:v>
      </x:c>
      <x:c r="H2082" s="3" t="n">
        <x:v>6</x:v>
      </x:c>
      <x:c r="I2082" s="3" t="n">
        <x:v>117</x:v>
      </x:c>
      <x:c r="J2082" s="15" t="n">
        <x:f>IF(D2082=0,"n.a.",E2082/D2082)</x:f>
        <x:v>0.003987594151528578</x:v>
      </x:c>
      <x:c r="K2082" s="15" t="n">
        <x:f>F2082/'Datos'!$F$7</x:f>
        <x:v>0.00005968522162592302</x:v>
      </x:c>
      <x:c r="L2082" s="3"/>
    </x:row>
    <x:row r="2083" ht="22" customHeight="1">
      <x:c r="A2083" s="3"/>
      <x:c r="B2083" s="3" t="str">
        <x:v>22319</x:v>
      </x:c>
      <x:c r="C2083" s="3" t="str">
        <x:v>HAIRCLIPS FORTIES FABRIC ASSORTED</x:v>
      </x:c>
      <x:c r="D2083" s="13" t="n">
        <x:v>587.86</x:v>
      </x:c>
      <x:c r="E2083" s="13" t="n">
        <x:v>3.9</x:v>
      </x:c>
      <x:c r="F2083" s="13" t="n">
        <x:f>D2083-E2083</x:f>
        <x:v>583.96</x:v>
      </x:c>
      <x:c r="G2083" s="3" t="n">
        <x:v>1346</x:v>
      </x:c>
      <x:c r="H2083" s="3" t="n">
        <x:v>6</x:v>
      </x:c>
      <x:c r="I2083" s="3" t="n">
        <x:v>61</x:v>
      </x:c>
      <x:c r="J2083" s="15" t="n">
        <x:f>IF(D2083=0,"n.a.",E2083/D2083)</x:f>
        <x:v>0.00663423264042459</x:v>
      </x:c>
      <x:c r="K2083" s="15" t="n">
        <x:f>F2083/'Datos'!$F$7</x:f>
        <x:v>0.0000596321208949391</x:v>
      </x:c>
      <x:c r="L2083" s="3"/>
    </x:row>
    <x:row r="2084" ht="22" customHeight="1">
      <x:c r="A2084" s="3"/>
      <x:c r="B2084" s="3" t="str">
        <x:v>20866</x:v>
      </x:c>
      <x:c r="C2084" s="3" t="str">
        <x:v>BLUE ROSE FABRIC MIRROR</x:v>
      </x:c>
      <x:c r="D2084" s="13" t="n">
        <x:v>710.95</x:v>
      </x:c>
      <x:c r="E2084" s="13" t="n">
        <x:v>127.2</x:v>
      </x:c>
      <x:c r="F2084" s="13" t="n">
        <x:f>D2084-E2084</x:f>
        <x:v>583.75</x:v>
      </x:c>
      <x:c r="G2084" s="3" t="n">
        <x:v>598</x:v>
      </x:c>
      <x:c r="H2084" s="3" t="n">
        <x:v>120</x:v>
      </x:c>
      <x:c r="I2084" s="3" t="n">
        <x:v>90</x:v>
      </x:c>
      <x:c r="J2084" s="15" t="n">
        <x:f>IF(D2084=0,"n.a.",E2084/D2084)</x:f>
        <x:v>0.17891553555102327</x:v>
      </x:c>
      <x:c r="K2084" s="15" t="n">
        <x:f>F2084/'Datos'!$F$7</x:f>
        <x:v>0.000059610676368964824</x:v>
      </x:c>
      <x:c r="L2084" s="3"/>
    </x:row>
    <x:row r="2085" ht="22" customHeight="1">
      <x:c r="A2085" s="3"/>
      <x:c r="B2085" s="3" t="str">
        <x:v>22703</x:v>
      </x:c>
      <x:c r="C2085" s="3" t="str">
        <x:v>PINK CAT BOWL</x:v>
      </x:c>
      <x:c r="D2085" s="13" t="n">
        <x:v>583.33</x:v>
      </x:c>
      <x:c r="E2085" s="13" t="n">
        <x:v>0</x:v>
      </x:c>
      <x:c r="F2085" s="13" t="n">
        <x:f>D2085-E2085</x:f>
        <x:v>583.33</x:v>
      </x:c>
      <x:c r="G2085" s="3" t="n">
        <x:v>360</x:v>
      </x:c>
      <x:c r="H2085" s="3" t="n">
        <x:v>0</x:v>
      </x:c>
      <x:c r="I2085" s="3" t="n">
        <x:v>123</x:v>
      </x:c>
      <x:c r="J2085" s="15" t="n">
        <x:f>IF(D2085=0,"n.a.",E2085/D2085)</x:f>
        <x:v>0</x:v>
      </x:c>
      <x:c r="K2085" s="15" t="n">
        <x:f>F2085/'Datos'!$F$7</x:f>
        <x:v>0.000059567787317016284</x:v>
      </x:c>
      <x:c r="L2085" s="3"/>
    </x:row>
    <x:row r="2086" ht="22" customHeight="1">
      <x:c r="A2086" s="3"/>
      <x:c r="B2086" s="3" t="str">
        <x:v>84625A</x:v>
      </x:c>
      <x:c r="C2086" s="3" t="str">
        <x:v>PINK NEW BAROQUECANDLESTICK CANDLE</x:v>
      </x:c>
      <x:c r="D2086" s="13" t="n">
        <x:v>605.48</x:v>
      </x:c>
      <x:c r="E2086" s="13" t="n">
        <x:v>23.3</x:v>
      </x:c>
      <x:c r="F2086" s="13" t="n">
        <x:f>D2086-E2086</x:f>
        <x:v>582.1800000000001</x:v>
      </x:c>
      <x:c r="G2086" s="3" t="n">
        <x:v>478</x:v>
      </x:c>
      <x:c r="H2086" s="3" t="n">
        <x:v>20</x:v>
      </x:c>
      <x:c r="I2086" s="3" t="n">
        <x:v>42</x:v>
      </x:c>
      <x:c r="J2086" s="15" t="n">
        <x:f>IF(D2086=0,"n.a.",E2086/D2086)</x:f>
        <x:v>0.03848186562727093</x:v>
      </x:c>
      <x:c r="K2086" s="15" t="n">
        <x:f>F2086/'Datos'!$F$7</x:f>
        <x:v>0.00005945035300810954</x:v>
      </x:c>
      <x:c r="L2086" s="3"/>
    </x:row>
    <x:row r="2087" ht="22" customHeight="1">
      <x:c r="A2087" s="3"/>
      <x:c r="B2087" s="3" t="str">
        <x:v>20832</x:v>
      </x:c>
      <x:c r="C2087" s="3" t="str">
        <x:v>RED FLOCK LOVE HEART PHOTO FRAME</x:v>
      </x:c>
      <x:c r="D2087" s="13" t="n">
        <x:v>582.03</x:v>
      </x:c>
      <x:c r="E2087" s="13" t="n">
        <x:v>0.85</x:v>
      </x:c>
      <x:c r="F2087" s="13" t="n">
        <x:f>D2087-E2087</x:f>
        <x:v>581.18</x:v>
      </x:c>
      <x:c r="G2087" s="3" t="n">
        <x:v>1091</x:v>
      </x:c>
      <x:c r="H2087" s="3" t="n">
        <x:v>1</x:v>
      </x:c>
      <x:c r="I2087" s="3" t="n">
        <x:v>82</x:v>
      </x:c>
      <x:c r="J2087" s="15" t="n">
        <x:f>IF(D2087=0,"n.a.",E2087/D2087)</x:f>
        <x:v>0.0014604058210057902</x:v>
      </x:c>
      <x:c r="K2087" s="15" t="n">
        <x:f>F2087/'Datos'!$F$7</x:f>
        <x:v>0.00005934823621775585</x:v>
      </x:c>
      <x:c r="L2087" s="3"/>
    </x:row>
    <x:row r="2088" ht="22" customHeight="1">
      <x:c r="A2088" s="3"/>
      <x:c r="B2088" s="3" t="str">
        <x:v>23537</x:v>
      </x:c>
      <x:c r="C2088" s="3" t="str">
        <x:v>WALL ART I LOVE LONDON</x:v>
      </x:c>
      <x:c r="D2088" s="13" t="n">
        <x:v>581.13</x:v>
      </x:c>
      <x:c r="E2088" s="13" t="n">
        <x:v>0</x:v>
      </x:c>
      <x:c r="F2088" s="13" t="n">
        <x:f>D2088-E2088</x:f>
        <x:v>581.13</x:v>
      </x:c>
      <x:c r="G2088" s="3" t="n">
        <x:v>111</x:v>
      </x:c>
      <x:c r="H2088" s="3" t="n">
        <x:v>0</x:v>
      </x:c>
      <x:c r="I2088" s="3" t="n">
        <x:v>34</x:v>
      </x:c>
      <x:c r="J2088" s="15" t="n">
        <x:f>IF(D2088=0,"n.a.",E2088/D2088)</x:f>
        <x:v>0</x:v>
      </x:c>
      <x:c r="K2088" s="15" t="n">
        <x:f>F2088/'Datos'!$F$7</x:f>
        <x:v>0.000059343130378238165</x:v>
      </x:c>
      <x:c r="L2088" s="3"/>
    </x:row>
    <x:row r="2089" ht="22" customHeight="1">
      <x:c r="A2089" s="3"/>
      <x:c r="B2089" s="3" t="str">
        <x:v>21096</x:v>
      </x:c>
      <x:c r="C2089" s="3" t="str">
        <x:v>SET/6 FRUIT SALAD PAPER PLATES</x:v>
      </x:c>
      <x:c r="D2089" s="13" t="n">
        <x:v>581.09</x:v>
      </x:c>
      <x:c r="E2089" s="13" t="n">
        <x:v>0</x:v>
      </x:c>
      <x:c r="F2089" s="13" t="n">
        <x:f>D2089-E2089</x:f>
        <x:v>581.09</x:v>
      </x:c>
      <x:c r="G2089" s="3" t="n">
        <x:v>1259</x:v>
      </x:c>
      <x:c r="H2089" s="3" t="n">
        <x:v>0</x:v>
      </x:c>
      <x:c r="I2089" s="3" t="n">
        <x:v>105</x:v>
      </x:c>
      <x:c r="J2089" s="15" t="n">
        <x:f>IF(D2089=0,"n.a.",E2089/D2089)</x:f>
        <x:v>0</x:v>
      </x:c>
      <x:c r="K2089" s="15" t="n">
        <x:f>F2089/'Datos'!$F$7</x:f>
        <x:v>0.00005933904570662402</x:v>
      </x:c>
      <x:c r="L2089" s="3"/>
    </x:row>
    <x:row r="2090" ht="22" customHeight="1">
      <x:c r="A2090" s="3"/>
      <x:c r="B2090" s="3" t="str">
        <x:v>85136A</x:v>
      </x:c>
      <x:c r="C2090" s="3" t="str">
        <x:v>YELLOW SHARK HELICOPTER</x:v>
      </x:c>
      <x:c r="D2090" s="13" t="n">
        <x:v>580.36</x:v>
      </x:c>
      <x:c r="E2090" s="13" t="n">
        <x:v>0</x:v>
      </x:c>
      <x:c r="F2090" s="13" t="n">
        <x:f>D2090-E2090</x:f>
        <x:v>580.36</x:v>
      </x:c>
      <x:c r="G2090" s="3" t="n">
        <x:v>72</x:v>
      </x:c>
      <x:c r="H2090" s="3" t="n">
        <x:v>0</x:v>
      </x:c>
      <x:c r="I2090" s="3" t="n">
        <x:v>53</x:v>
      </x:c>
      <x:c r="J2090" s="15" t="n">
        <x:f>IF(D2090=0,"n.a.",E2090/D2090)</x:f>
        <x:v>0</x:v>
      </x:c>
      <x:c r="K2090" s="15" t="n">
        <x:f>F2090/'Datos'!$F$7</x:f>
        <x:v>0.000059264500449665826</x:v>
      </x:c>
      <x:c r="L2090" s="3"/>
    </x:row>
    <x:row r="2091" ht="22" customHeight="1">
      <x:c r="A2091" s="3"/>
      <x:c r="B2091" s="3" t="str">
        <x:v>23565</x:v>
      </x:c>
      <x:c r="C2091" s="3" t="str">
        <x:v>EGG CUP MILKMAID HELGA</x:v>
      </x:c>
      <x:c r="D2091" s="13" t="n">
        <x:v>586.31</x:v>
      </x:c>
      <x:c r="E2091" s="13" t="n">
        <x:v>6.25</x:v>
      </x:c>
      <x:c r="F2091" s="13" t="n">
        <x:f>D2091-E2091</x:f>
        <x:v>580.06</x:v>
      </x:c>
      <x:c r="G2091" s="3" t="n">
        <x:v>410</x:v>
      </x:c>
      <x:c r="H2091" s="3" t="n">
        <x:v>5</x:v>
      </x:c>
      <x:c r="I2091" s="3" t="n">
        <x:v>63</x:v>
      </x:c>
      <x:c r="J2091" s="15" t="n">
        <x:f>IF(D2091=0,"n.a.",E2091/D2091)</x:f>
        <x:v>0.010659889819378827</x:v>
      </x:c>
      <x:c r="K2091" s="15" t="n">
        <x:f>F2091/'Datos'!$F$7</x:f>
        <x:v>0.000059233865412559716</x:v>
      </x:c>
      <x:c r="L2091" s="3"/>
    </x:row>
    <x:row r="2092" ht="22" customHeight="1">
      <x:c r="A2092" s="3"/>
      <x:c r="B2092" s="3" t="str">
        <x:v>35971</x:v>
      </x:c>
      <x:c r="C2092" s="3" t="str">
        <x:v>ROSE FOLKART HEART DECORATIONS</x:v>
      </x:c>
      <x:c r="D2092" s="13" t="n">
        <x:v>600.93</x:v>
      </x:c>
      <x:c r="E2092" s="13" t="n">
        <x:v>21.25</x:v>
      </x:c>
      <x:c r="F2092" s="13" t="n">
        <x:f>D2092-E2092</x:f>
        <x:v>579.68</x:v>
      </x:c>
      <x:c r="G2092" s="3" t="n">
        <x:v>462</x:v>
      </x:c>
      <x:c r="H2092" s="3" t="n">
        <x:v>17</x:v>
      </x:c>
      <x:c r="I2092" s="3" t="n">
        <x:v>88</x:v>
      </x:c>
      <x:c r="J2092" s="15" t="n">
        <x:f>IF(D2092=0,"n.a.",E2092/D2092)</x:f>
        <x:v>0.035361855790191875</x:v>
      </x:c>
      <x:c r="K2092" s="15" t="n">
        <x:f>F2092/'Datos'!$F$7</x:f>
        <x:v>0.00005919506103222531</x:v>
      </x:c>
      <x:c r="L2092" s="3"/>
    </x:row>
    <x:row r="2093" ht="22" customHeight="1">
      <x:c r="A2093" s="3"/>
      <x:c r="B2093" s="3" t="str">
        <x:v>20702</x:v>
      </x:c>
      <x:c r="C2093" s="3" t="str">
        <x:v>PINK PADDED MOBILE</x:v>
      </x:c>
      <x:c r="D2093" s="13" t="n">
        <x:v>577.79</x:v>
      </x:c>
      <x:c r="E2093" s="13" t="n">
        <x:v>0</x:v>
      </x:c>
      <x:c r="F2093" s="13" t="n">
        <x:f>D2093-E2093</x:f>
        <x:v>577.79</x:v>
      </x:c>
      <x:c r="G2093" s="3" t="n">
        <x:v>135</x:v>
      </x:c>
      <x:c r="H2093" s="3" t="n">
        <x:v>0</x:v>
      </x:c>
      <x:c r="I2093" s="3" t="n">
        <x:v>42</x:v>
      </x:c>
      <x:c r="J2093" s="15" t="n">
        <x:f>IF(D2093=0,"n.a.",E2093/D2093)</x:f>
        <x:v>0</x:v>
      </x:c>
      <x:c r="K2093" s="15" t="n">
        <x:f>F2093/'Datos'!$F$7</x:f>
        <x:v>0.00005900206029845685</x:v>
      </x:c>
      <x:c r="L2093" s="3"/>
    </x:row>
    <x:row r="2094" ht="22" customHeight="1">
      <x:c r="A2094" s="3"/>
      <x:c r="B2094" s="3" t="str">
        <x:v>23125</x:v>
      </x:c>
      <x:c r="C2094" s="3" t="str">
        <x:v>6PC WOOD PLATE SET DISPOSABLE</x:v>
      </x:c>
      <x:c r="D2094" s="13" t="n">
        <x:v>574.88</x:v>
      </x:c>
      <x:c r="E2094" s="13" t="n">
        <x:v>0</x:v>
      </x:c>
      <x:c r="F2094" s="13" t="n">
        <x:f>D2094-E2094</x:f>
        <x:v>574.88</x:v>
      </x:c>
      <x:c r="G2094" s="3" t="n">
        <x:v>459</x:v>
      </x:c>
      <x:c r="H2094" s="3" t="n">
        <x:v>0</x:v>
      </x:c>
      <x:c r="I2094" s="3" t="n">
        <x:v>38</x:v>
      </x:c>
      <x:c r="J2094" s="15" t="n">
        <x:f>IF(D2094=0,"n.a.",E2094/D2094)</x:f>
        <x:v>0</x:v>
      </x:c>
      <x:c r="K2094" s="15" t="n">
        <x:f>F2094/'Datos'!$F$7</x:f>
        <x:v>0.00005870490043852762</x:v>
      </x:c>
      <x:c r="L2094" s="3"/>
    </x:row>
    <x:row r="2095" ht="22" customHeight="1">
      <x:c r="A2095" s="3"/>
      <x:c r="B2095" s="3" t="str">
        <x:v>22337</x:v>
      </x:c>
      <x:c r="C2095" s="3" t="str">
        <x:v>ANGEL DECORATION PAINTED ZINC</x:v>
      </x:c>
      <x:c r="D2095" s="13" t="n">
        <x:v>574.54</x:v>
      </x:c>
      <x:c r="E2095" s="13" t="n">
        <x:v>0</x:v>
      </x:c>
      <x:c r="F2095" s="13" t="n">
        <x:f>D2095-E2095</x:f>
        <x:v>574.54</x:v>
      </x:c>
      <x:c r="G2095" s="3" t="n">
        <x:v>912</x:v>
      </x:c>
      <x:c r="H2095" s="3" t="n">
        <x:v>0</x:v>
      </x:c>
      <x:c r="I2095" s="3" t="n">
        <x:v>77</x:v>
      </x:c>
      <x:c r="J2095" s="15" t="n">
        <x:f>IF(D2095=0,"n.a.",E2095/D2095)</x:f>
        <x:v>0</x:v>
      </x:c>
      <x:c r="K2095" s="15" t="n">
        <x:f>F2095/'Datos'!$F$7</x:f>
        <x:v>0.000058670180729807367</x:v>
      </x:c>
      <x:c r="L2095" s="3"/>
    </x:row>
    <x:row r="2096" ht="22" customHeight="1">
      <x:c r="A2096" s="3"/>
      <x:c r="B2096" s="3" t="str">
        <x:v>22233</x:v>
      </x:c>
      <x:c r="C2096" s="3" t="str">
        <x:v>JIGSAW RABBIT AND BIRDHOUSE</x:v>
      </x:c>
      <x:c r="D2096" s="13" t="n">
        <x:v>607.73</x:v>
      </x:c>
      <x:c r="E2096" s="13" t="n">
        <x:v>33.59</x:v>
      </x:c>
      <x:c r="F2096" s="13" t="n">
        <x:f>D2096-E2096</x:f>
        <x:v>574.14</x:v>
      </x:c>
      <x:c r="G2096" s="3" t="n">
        <x:v>597</x:v>
      </x:c>
      <x:c r="H2096" s="3" t="n">
        <x:v>21</x:v>
      </x:c>
      <x:c r="I2096" s="3" t="n">
        <x:v>105</x:v>
      </x:c>
      <x:c r="J2096" s="15" t="n">
        <x:f>IF(D2096=0,"n.a.",E2096/D2096)</x:f>
        <x:v>0.05527125532720123</x:v>
      </x:c>
      <x:c r="K2096" s="15" t="n">
        <x:f>F2096/'Datos'!$F$7</x:f>
        <x:v>0.00005862933401366589</x:v>
      </x:c>
      <x:c r="L2096" s="3"/>
    </x:row>
    <x:row r="2097" ht="22" customHeight="1">
      <x:c r="A2097" s="3"/>
      <x:c r="B2097" s="3" t="str">
        <x:v>22820</x:v>
      </x:c>
      <x:c r="C2097" s="3" t="str">
        <x:v>GIFT BAG BIRTHDAY</x:v>
      </x:c>
      <x:c r="D2097" s="13" t="n">
        <x:v>575.42</x:v>
      </x:c>
      <x:c r="E2097" s="13" t="n">
        <x:v>1.3</x:v>
      </x:c>
      <x:c r="F2097" s="13" t="n">
        <x:f>D2097-E2097</x:f>
        <x:v>574.12</x:v>
      </x:c>
      <x:c r="G2097" s="3" t="n">
        <x:v>940</x:v>
      </x:c>
      <x:c r="H2097" s="3" t="n">
        <x:v>2</x:v>
      </x:c>
      <x:c r="I2097" s="3" t="n">
        <x:v>77</x:v>
      </x:c>
      <x:c r="J2097" s="15" t="n">
        <x:f>IF(D2097=0,"n.a.",E2097/D2097)</x:f>
        <x:v>0.0022592193528205486</x:v>
      </x:c>
      <x:c r="K2097" s="15" t="n">
        <x:f>F2097/'Datos'!$F$7</x:f>
        <x:v>0.00005862729167785882</x:v>
      </x:c>
      <x:c r="L2097" s="3"/>
    </x:row>
    <x:row r="2098" ht="22" customHeight="1">
      <x:c r="A2098" s="3"/>
      <x:c r="B2098" s="3" t="str">
        <x:v>22260</x:v>
      </x:c>
      <x:c r="C2098" s="3" t="str">
        <x:v>FELT EGG COSY BLUE RABBIT</x:v>
      </x:c>
      <x:c r="D2098" s="13" t="n">
        <x:v>577.44</x:v>
      </x:c>
      <x:c r="E2098" s="13" t="n">
        <x:v>3.4</x:v>
      </x:c>
      <x:c r="F2098" s="13" t="n">
        <x:f>D2098-E2098</x:f>
        <x:v>574.0400000000001</x:v>
      </x:c>
      <x:c r="G2098" s="3" t="n">
        <x:v>552</x:v>
      </x:c>
      <x:c r="H2098" s="3" t="n">
        <x:v>4</x:v>
      </x:c>
      <x:c r="I2098" s="3" t="n">
        <x:v>104</x:v>
      </x:c>
      <x:c r="J2098" s="15" t="n">
        <x:f>IF(D2098=0,"n.a.",E2098/D2098)</x:f>
        <x:v>0.005888057633693543</x:v>
      </x:c>
      <x:c r="K2098" s="15" t="n">
        <x:f>F2098/'Datos'!$F$7</x:f>
        <x:v>0.00005861912233463053</x:v>
      </x:c>
      <x:c r="L2098" s="3"/>
    </x:row>
    <x:row r="2099" ht="22" customHeight="1">
      <x:c r="A2099" s="3"/>
      <x:c r="B2099" s="3" t="str">
        <x:v>84754</x:v>
      </x:c>
      <x:c r="C2099" s="3" t="str">
        <x:v>S/15 SILVER GLASS BAUBLES IN BAG</x:v>
      </x:c>
      <x:c r="D2099" s="13" t="n">
        <x:v>725.52</x:v>
      </x:c>
      <x:c r="E2099" s="13" t="n">
        <x:v>152.64</x:v>
      </x:c>
      <x:c r="F2099" s="13" t="n">
        <x:f>D2099-E2099</x:f>
        <x:v>572.88</x:v>
      </x:c>
      <x:c r="G2099" s="3" t="n">
        <x:v>558</x:v>
      </x:c>
      <x:c r="H2099" s="3" t="n">
        <x:v>144</x:v>
      </x:c>
      <x:c r="I2099" s="3" t="n">
        <x:v>62</x:v>
      </x:c>
      <x:c r="J2099" s="15" t="n">
        <x:f>IF(D2099=0,"n.a.",E2099/D2099)</x:f>
        <x:v>0.2103870327489249</x:v>
      </x:c>
      <x:c r="K2099" s="15" t="n">
        <x:f>F2099/'Datos'!$F$7</x:f>
        <x:v>0.000058500666857820245</x:v>
      </x:c>
      <x:c r="L2099" s="3"/>
    </x:row>
    <x:row r="2100" ht="22" customHeight="1">
      <x:c r="A2100" s="3"/>
      <x:c r="B2100" s="3" t="str">
        <x:v>21468</x:v>
      </x:c>
      <x:c r="C2100" s="3" t="str">
        <x:v>BUTTERFLY CROCHET FOOD COVER</x:v>
      </x:c>
      <x:c r="D2100" s="13" t="n">
        <x:v>572.23</x:v>
      </x:c>
      <x:c r="E2100" s="13" t="n">
        <x:v>0</x:v>
      </x:c>
      <x:c r="F2100" s="13" t="n">
        <x:f>D2100-E2100</x:f>
        <x:v>572.23</x:v>
      </x:c>
      <x:c r="G2100" s="3" t="n">
        <x:v>148</x:v>
      </x:c>
      <x:c r="H2100" s="3" t="n">
        <x:v>0</x:v>
      </x:c>
      <x:c r="I2100" s="3" t="n">
        <x:v>66</x:v>
      </x:c>
      <x:c r="J2100" s="15" t="n">
        <x:f>IF(D2100=0,"n.a.",E2100/D2100)</x:f>
        <x:v>0</x:v>
      </x:c>
      <x:c r="K2100" s="15" t="n">
        <x:f>F2100/'Datos'!$F$7</x:f>
        <x:v>0.00005843429094409035</x:v>
      </x:c>
      <x:c r="L2100" s="3"/>
    </x:row>
    <x:row r="2101" ht="22" customHeight="1">
      <x:c r="A2101" s="3"/>
      <x:c r="B2101" s="3" t="str">
        <x:v>22825</x:v>
      </x:c>
      <x:c r="C2101" s="3" t="str">
        <x:v>DECORATIVE PLANT POT WITH FRIEZE</x:v>
      </x:c>
      <x:c r="D2101" s="13" t="n">
        <x:v>584.37</x:v>
      </x:c>
      <x:c r="E2101" s="13" t="n">
        <x:v>13.5</x:v>
      </x:c>
      <x:c r="F2101" s="13" t="n">
        <x:f>D2101-E2101</x:f>
        <x:v>570.87</x:v>
      </x:c>
      <x:c r="G2101" s="3" t="n">
        <x:v>73</x:v>
      </x:c>
      <x:c r="H2101" s="3" t="n">
        <x:v>2</x:v>
      </x:c>
      <x:c r="I2101" s="3" t="n">
        <x:v>28</x:v>
      </x:c>
      <x:c r="J2101" s="15" t="n">
        <x:f>IF(D2101=0,"n.a.",E2101/D2101)</x:f>
        <x:v>0.023101801940551364</x:v>
      </x:c>
      <x:c r="K2101" s="15" t="n">
        <x:f>F2101/'Datos'!$F$7</x:f>
        <x:v>0.00005829541210920934</x:v>
      </x:c>
      <x:c r="L2101" s="3"/>
    </x:row>
    <x:row r="2102" ht="22" customHeight="1">
      <x:c r="A2102" s="3"/>
      <x:c r="B2102" s="3" t="str">
        <x:v>47310M</x:v>
      </x:c>
      <x:c r="C2102" s="3" t="str">
        <x:v>SMALL POP BOX FUNKY MONKEY</x:v>
      </x:c>
      <x:c r="D2102" s="13" t="n">
        <x:v>570.45</x:v>
      </x:c>
      <x:c r="E2102" s="13" t="n">
        <x:v>0</x:v>
      </x:c>
      <x:c r="F2102" s="13" t="n">
        <x:f>D2102-E2102</x:f>
        <x:v>570.45</x:v>
      </x:c>
      <x:c r="G2102" s="3" t="n">
        <x:v>410</x:v>
      </x:c>
      <x:c r="H2102" s="3" t="n">
        <x:v>0</x:v>
      </x:c>
      <x:c r="I2102" s="3" t="n">
        <x:v>121</x:v>
      </x:c>
      <x:c r="J2102" s="15" t="n">
        <x:f>IF(D2102=0,"n.a.",E2102/D2102)</x:f>
        <x:v>0</x:v>
      </x:c>
      <x:c r="K2102" s="15" t="n">
        <x:f>F2102/'Datos'!$F$7</x:f>
        <x:v>0.00005825252305726079</x:v>
      </x:c>
      <x:c r="L2102" s="3"/>
    </x:row>
    <x:row r="2103" ht="22" customHeight="1">
      <x:c r="A2103" s="3"/>
      <x:c r="B2103" s="3" t="str">
        <x:v>23455</x:v>
      </x:c>
      <x:c r="C2103" s="3" t="str">
        <x:v>SMALL PARLOUR PICTURE FRAME</x:v>
      </x:c>
      <x:c r="D2103" s="13" t="n">
        <x:v>569.43</x:v>
      </x:c>
      <x:c r="E2103" s="13" t="n">
        <x:v>0</x:v>
      </x:c>
      <x:c r="F2103" s="13" t="n">
        <x:f>D2103-E2103</x:f>
        <x:v>569.43</x:v>
      </x:c>
      <x:c r="G2103" s="3" t="n">
        <x:v>207</x:v>
      </x:c>
      <x:c r="H2103" s="3" t="n">
        <x:v>0</x:v>
      </x:c>
      <x:c r="I2103" s="3" t="n">
        <x:v>35</x:v>
      </x:c>
      <x:c r="J2103" s="15" t="n">
        <x:f>IF(D2103=0,"n.a.",E2103/D2103)</x:f>
        <x:v>0</x:v>
      </x:c>
      <x:c r="K2103" s="15" t="n">
        <x:f>F2103/'Datos'!$F$7</x:f>
        <x:v>0.000058148363931100025</x:v>
      </x:c>
      <x:c r="L2103" s="3"/>
    </x:row>
    <x:row r="2104" ht="22" customHeight="1">
      <x:c r="A2104" s="3"/>
      <x:c r="B2104" s="3" t="str">
        <x:v>85130D</x:v>
      </x:c>
      <x:c r="C2104" s="3" t="str">
        <x:v>BEADED CRYSTAL HEART PINK LARGE</x:v>
      </x:c>
      <x:c r="D2104" s="13" t="n">
        <x:v>569.29</x:v>
      </x:c>
      <x:c r="E2104" s="13" t="n">
        <x:v>0</x:v>
      </x:c>
      <x:c r="F2104" s="13" t="n">
        <x:f>D2104-E2104</x:f>
        <x:v>569.29</x:v>
      </x:c>
      <x:c r="G2104" s="3" t="n">
        <x:v>565</x:v>
      </x:c>
      <x:c r="H2104" s="3" t="n">
        <x:v>0</x:v>
      </x:c>
      <x:c r="I2104" s="3" t="n">
        <x:v>62</x:v>
      </x:c>
      <x:c r="J2104" s="15" t="n">
        <x:f>IF(D2104=0,"n.a.",E2104/D2104)</x:f>
        <x:v>0</x:v>
      </x:c>
      <x:c r="K2104" s="15" t="n">
        <x:f>F2104/'Datos'!$F$7</x:f>
        <x:v>0.00005813406758045051</x:v>
      </x:c>
      <x:c r="L2104" s="3"/>
    </x:row>
    <x:row r="2105" ht="22" customHeight="1">
      <x:c r="A2105" s="3"/>
      <x:c r="B2105" s="3" t="str">
        <x:v>21251</x:v>
      </x:c>
      <x:c r="C2105" s="3" t="str">
        <x:v>DINOSAUR HEIGHT CHART STICKER SET</x:v>
      </x:c>
      <x:c r="D2105" s="13" t="n">
        <x:v>568.98</x:v>
      </x:c>
      <x:c r="E2105" s="13" t="n">
        <x:v>0</x:v>
      </x:c>
      <x:c r="F2105" s="13" t="n">
        <x:f>D2105-E2105</x:f>
        <x:v>568.98</x:v>
      </x:c>
      <x:c r="G2105" s="3" t="n">
        <x:v>182</x:v>
      </x:c>
      <x:c r="H2105" s="3" t="n">
        <x:v>0</x:v>
      </x:c>
      <x:c r="I2105" s="3" t="n">
        <x:v>46</x:v>
      </x:c>
      <x:c r="J2105" s="15" t="n">
        <x:f>IF(D2105=0,"n.a.",E2105/D2105)</x:f>
        <x:v>0</x:v>
      </x:c>
      <x:c r="K2105" s="15" t="n">
        <x:f>F2105/'Datos'!$F$7</x:f>
        <x:v>0.00005810241137544087</x:v>
      </x:c>
      <x:c r="L2105" s="3"/>
    </x:row>
    <x:row r="2106" ht="22" customHeight="1">
      <x:c r="A2106" s="3"/>
      <x:c r="B2106" s="3" t="str">
        <x:v>23069</x:v>
      </x:c>
      <x:c r="C2106" s="3" t="str">
        <x:v>EDWARDIAN PHOTO FRAME</x:v>
      </x:c>
      <x:c r="D2106" s="13" t="n">
        <x:v>568.71</x:v>
      </x:c>
      <x:c r="E2106" s="13" t="n">
        <x:v>0</x:v>
      </x:c>
      <x:c r="F2106" s="13" t="n">
        <x:f>D2106-E2106</x:f>
        <x:v>568.71</x:v>
      </x:c>
      <x:c r="G2106" s="3" t="n">
        <x:v>90</x:v>
      </x:c>
      <x:c r="H2106" s="3" t="n">
        <x:v>0</x:v>
      </x:c>
      <x:c r="I2106" s="3" t="n">
        <x:v>32</x:v>
      </x:c>
      <x:c r="J2106" s="15" t="n">
        <x:f>IF(D2106=0,"n.a.",E2106/D2106)</x:f>
        <x:v>0</x:v>
      </x:c>
      <x:c r="K2106" s="15" t="n">
        <x:f>F2106/'Datos'!$F$7</x:f>
        <x:v>0.000058074839842045375</x:v>
      </x:c>
      <x:c r="L2106" s="3"/>
    </x:row>
    <x:row r="2107" ht="22" customHeight="1">
      <x:c r="A2107" s="3"/>
      <x:c r="B2107" s="3" t="str">
        <x:v>85161</x:v>
      </x:c>
      <x:c r="C2107" s="3" t="str">
        <x:v>ACRYLIC GEOMETRIC LAMP</x:v>
      </x:c>
      <x:c r="D2107" s="13" t="n">
        <x:v>568.65</x:v>
      </x:c>
      <x:c r="E2107" s="13" t="n">
        <x:v>0</x:v>
      </x:c>
      <x:c r="F2107" s="13" t="n">
        <x:f>D2107-E2107</x:f>
        <x:v>568.65</x:v>
      </x:c>
      <x:c r="G2107" s="3" t="n">
        <x:v>35</x:v>
      </x:c>
      <x:c r="H2107" s="3" t="n">
        <x:v>0</x:v>
      </x:c>
      <x:c r="I2107" s="3" t="n">
        <x:v>20</x:v>
      </x:c>
      <x:c r="J2107" s="15" t="n">
        <x:f>IF(D2107=0,"n.a.",E2107/D2107)</x:f>
        <x:v>0</x:v>
      </x:c>
      <x:c r="K2107" s="15" t="n">
        <x:f>F2107/'Datos'!$F$7</x:f>
        <x:v>0.000058068712834624146</x:v>
      </x:c>
      <x:c r="L2107" s="3"/>
    </x:row>
    <x:row r="2108" ht="22" customHeight="1">
      <x:c r="A2108" s="3"/>
      <x:c r="B2108" s="3" t="str">
        <x:v>23219</x:v>
      </x:c>
      <x:c r="C2108" s="3" t="str">
        <x:v>LAUREL STAR ANTIQUE SILVER</x:v>
      </x:c>
      <x:c r="D2108" s="13" t="n">
        <x:v>568.6</x:v>
      </x:c>
      <x:c r="E2108" s="13" t="n">
        <x:v>0</x:v>
      </x:c>
      <x:c r="F2108" s="13" t="n">
        <x:f>D2108-E2108</x:f>
        <x:v>568.6</x:v>
      </x:c>
      <x:c r="G2108" s="3" t="n">
        <x:v>430</x:v>
      </x:c>
      <x:c r="H2108" s="3" t="n">
        <x:v>0</x:v>
      </x:c>
      <x:c r="I2108" s="3" t="n">
        <x:v>61</x:v>
      </x:c>
      <x:c r="J2108" s="15" t="n">
        <x:f>IF(D2108=0,"n.a.",E2108/D2108)</x:f>
        <x:v>0</x:v>
      </x:c>
      <x:c r="K2108" s="15" t="n">
        <x:f>F2108/'Datos'!$F$7</x:f>
        <x:v>0.00005806360699510647</x:v>
      </x:c>
      <x:c r="L2108" s="3"/>
    </x:row>
    <x:row r="2109" ht="22" customHeight="1">
      <x:c r="A2109" s="3"/>
      <x:c r="B2109" s="3" t="str">
        <x:v>23381</x:v>
      </x:c>
      <x:c r="C2109" s="3" t="str">
        <x:v>PACK OF 12 VINTAGE LEAF TISSUES</x:v>
      </x:c>
      <x:c r="D2109" s="13" t="n">
        <x:v>567.95</x:v>
      </x:c>
      <x:c r="E2109" s="13" t="n">
        <x:v>0</x:v>
      </x:c>
      <x:c r="F2109" s="13" t="n">
        <x:f>D2109-E2109</x:f>
        <x:v>567.95</x:v>
      </x:c>
      <x:c r="G2109" s="3" t="n">
        <x:v>1509</x:v>
      </x:c>
      <x:c r="H2109" s="3" t="n">
        <x:v>0</x:v>
      </x:c>
      <x:c r="I2109" s="3" t="n">
        <x:v>80</x:v>
      </x:c>
      <x:c r="J2109" s="15" t="n">
        <x:f>IF(D2109=0,"n.a.",E2109/D2109)</x:f>
        <x:v>0</x:v>
      </x:c>
      <x:c r="K2109" s="15" t="n">
        <x:f>F2109/'Datos'!$F$7</x:f>
        <x:v>0.000057997231081376575</x:v>
      </x:c>
      <x:c r="L2109" s="3"/>
    </x:row>
    <x:row r="2110" ht="22" customHeight="1">
      <x:c r="A2110" s="3"/>
      <x:c r="B2110" s="3" t="str">
        <x:v>21488</x:v>
      </x:c>
      <x:c r="C2110" s="3" t="str">
        <x:v>RED WHITE SCARF HOT WATER BOTTLE</x:v>
      </x:c>
      <x:c r="D2110" s="13" t="n">
        <x:v>566.17</x:v>
      </x:c>
      <x:c r="E2110" s="13" t="n">
        <x:v>0</x:v>
      </x:c>
      <x:c r="F2110" s="13" t="n">
        <x:f>D2110-E2110</x:f>
        <x:v>566.17</x:v>
      </x:c>
      <x:c r="G2110" s="3" t="n">
        <x:v>69</x:v>
      </x:c>
      <x:c r="H2110" s="3" t="n">
        <x:v>0</x:v>
      </x:c>
      <x:c r="I2110" s="3" t="n">
        <x:v>16</x:v>
      </x:c>
      <x:c r="J2110" s="15" t="n">
        <x:f>IF(D2110=0,"n.a.",E2110/D2110)</x:f>
        <x:v>0</x:v>
      </x:c>
      <x:c r="K2110" s="15" t="n">
        <x:f>F2110/'Datos'!$F$7</x:f>
        <x:v>0.000057815463194547</x:v>
      </x:c>
      <x:c r="L2110" s="3"/>
    </x:row>
    <x:row r="2111" ht="22" customHeight="1">
      <x:c r="A2111" s="3"/>
      <x:c r="B2111" s="3" t="str">
        <x:v>22482</x:v>
      </x:c>
      <x:c r="C2111" s="3" t="str">
        <x:v>BLUE TEA TOWEL CLASSIC DESIGN</x:v>
      </x:c>
      <x:c r="D2111" s="13" t="n">
        <x:v>565.86</x:v>
      </x:c>
      <x:c r="E2111" s="13" t="n">
        <x:v>0</x:v>
      </x:c>
      <x:c r="F2111" s="13" t="n">
        <x:f>D2111-E2111</x:f>
        <x:v>565.86</x:v>
      </x:c>
      <x:c r="G2111" s="3" t="n">
        <x:v>478</x:v>
      </x:c>
      <x:c r="H2111" s="3" t="n">
        <x:v>0</x:v>
      </x:c>
      <x:c r="I2111" s="3" t="n">
        <x:v>53</x:v>
      </x:c>
      <x:c r="J2111" s="15" t="n">
        <x:f>IF(D2111=0,"n.a.",E2111/D2111)</x:f>
        <x:v>0</x:v>
      </x:c>
      <x:c r="K2111" s="15" t="n">
        <x:f>F2111/'Datos'!$F$7</x:f>
        <x:v>0.00005778380698953737</x:v>
      </x:c>
      <x:c r="L2111" s="3"/>
    </x:row>
    <x:row r="2112" ht="22" customHeight="1">
      <x:c r="A2112" s="3"/>
      <x:c r="B2112" s="3" t="str">
        <x:v>85019A</x:v>
      </x:c>
      <x:c r="C2112" s="3" t="str">
        <x:v>ROMANTIC IMAGES NOTEBOOK SET</x:v>
      </x:c>
      <x:c r="D2112" s="13" t="n">
        <x:v>564.35</x:v>
      </x:c>
      <x:c r="E2112" s="13" t="n">
        <x:v>0</x:v>
      </x:c>
      <x:c r="F2112" s="13" t="n">
        <x:f>D2112-E2112</x:f>
        <x:v>564.35</x:v>
      </x:c>
      <x:c r="G2112" s="3" t="n">
        <x:v>414</x:v>
      </x:c>
      <x:c r="H2112" s="3" t="n">
        <x:v>0</x:v>
      </x:c>
      <x:c r="I2112" s="3" t="n">
        <x:v>33</x:v>
      </x:c>
      <x:c r="J2112" s="15" t="n">
        <x:f>IF(D2112=0,"n.a.",E2112/D2112)</x:f>
        <x:v>0</x:v>
      </x:c>
      <x:c r="K2112" s="15" t="n">
        <x:f>F2112/'Datos'!$F$7</x:f>
        <x:v>0.0000576296106361033</x:v>
      </x:c>
      <x:c r="L2112" s="3"/>
    </x:row>
    <x:row r="2113" ht="22" customHeight="1">
      <x:c r="A2113" s="3"/>
      <x:c r="B2113" s="3" t="str">
        <x:v>21581</x:v>
      </x:c>
      <x:c r="C2113" s="3" t="str">
        <x:v>SKULLS DESIGN COTTON TOTE BAG</x:v>
      </x:c>
      <x:c r="D2113" s="13" t="n">
        <x:v>590.67</x:v>
      </x:c>
      <x:c r="E2113" s="13" t="n">
        <x:v>27</x:v>
      </x:c>
      <x:c r="F2113" s="13" t="n">
        <x:f>D2113-E2113</x:f>
        <x:v>563.67</x:v>
      </x:c>
      <x:c r="G2113" s="3" t="n">
        <x:v>252</x:v>
      </x:c>
      <x:c r="H2113" s="3" t="n">
        <x:v>12</x:v>
      </x:c>
      <x:c r="I2113" s="3" t="n">
        <x:v>79</x:v>
      </x:c>
      <x:c r="J2113" s="15" t="n">
        <x:f>IF(D2113=0,"n.a.",E2113/D2113)</x:f>
        <x:v>0.045710802986439134</x:v>
      </x:c>
      <x:c r="K2113" s="15" t="n">
        <x:f>F2113/'Datos'!$F$7</x:f>
        <x:v>0.00005756017121866279</x:v>
      </x:c>
      <x:c r="L2113" s="3"/>
    </x:row>
    <x:row r="2114" ht="22" customHeight="1">
      <x:c r="A2114" s="3"/>
      <x:c r="B2114" s="3" t="str">
        <x:v>21675</x:v>
      </x:c>
      <x:c r="C2114" s="3" t="str">
        <x:v>BUTTERFLIES STICKERS</x:v>
      </x:c>
      <x:c r="D2114" s="13" t="n">
        <x:v>573.36</x:v>
      </x:c>
      <x:c r="E2114" s="13" t="n">
        <x:v>10.2</x:v>
      </x:c>
      <x:c r="F2114" s="13" t="n">
        <x:f>D2114-E2114</x:f>
        <x:v>563.16</x:v>
      </x:c>
      <x:c r="G2114" s="3" t="n">
        <x:v>634</x:v>
      </x:c>
      <x:c r="H2114" s="3" t="n">
        <x:v>12</x:v>
      </x:c>
      <x:c r="I2114" s="3" t="n">
        <x:v>110</x:v>
      </x:c>
      <x:c r="J2114" s="15" t="n">
        <x:f>IF(D2114=0,"n.a.",E2114/D2114)</x:f>
        <x:v>0.01778987023859355</x:v>
      </x:c>
      <x:c r="K2114" s="15" t="n">
        <x:f>F2114/'Datos'!$F$7</x:f>
        <x:v>0.00005750809165558241</x:v>
      </x:c>
      <x:c r="L2114" s="3"/>
    </x:row>
    <x:row r="2115" ht="22" customHeight="1">
      <x:c r="A2115" s="3"/>
      <x:c r="B2115" s="3" t="str">
        <x:v>23272</x:v>
      </x:c>
      <x:c r="C2115" s="3" t="str">
        <x:v>TREE T-LIGHT HOLDER WILLIE WINKIE</x:v>
      </x:c>
      <x:c r="D2115" s="13" t="n">
        <x:v>562.22</x:v>
      </x:c>
      <x:c r="E2115" s="13" t="n">
        <x:v>0</x:v>
      </x:c>
      <x:c r="F2115" s="13" t="n">
        <x:f>D2115-E2115</x:f>
        <x:v>562.22</x:v>
      </x:c>
      <x:c r="G2115" s="3" t="n">
        <x:v>364</x:v>
      </x:c>
      <x:c r="H2115" s="3" t="n">
        <x:v>0</x:v>
      </x:c>
      <x:c r="I2115" s="3" t="n">
        <x:v>44</x:v>
      </x:c>
      <x:c r="J2115" s="15" t="n">
        <x:f>IF(D2115=0,"n.a.",E2115/D2115)</x:f>
        <x:v>0</x:v>
      </x:c>
      <x:c r="K2115" s="15" t="n">
        <x:f>F2115/'Datos'!$F$7</x:f>
        <x:v>0.00005741210187264995</x:v>
      </x:c>
      <x:c r="L2115" s="3"/>
    </x:row>
    <x:row r="2116" ht="22" customHeight="1">
      <x:c r="A2116" s="3"/>
      <x:c r="B2116" s="3" t="str">
        <x:v>22272</x:v>
      </x:c>
      <x:c r="C2116" s="3" t="str">
        <x:v>FELTCRAFT DOLL MARIA</x:v>
      </x:c>
      <x:c r="D2116" s="13" t="n">
        <x:v>564.92</x:v>
      </x:c>
      <x:c r="E2116" s="13" t="n">
        <x:v>2.95</x:v>
      </x:c>
      <x:c r="F2116" s="13" t="n">
        <x:f>D2116-E2116</x:f>
        <x:v>561.9699999999999</x:v>
      </x:c>
      <x:c r="G2116" s="3" t="n">
        <x:v>196</x:v>
      </x:c>
      <x:c r="H2116" s="3" t="n">
        <x:v>1</x:v>
      </x:c>
      <x:c r="I2116" s="3" t="n">
        <x:v>48</x:v>
      </x:c>
      <x:c r="J2116" s="15" t="n">
        <x:f>IF(D2116=0,"n.a.",E2116/D2116)</x:f>
        <x:v>0.005221978333215323</x:v>
      </x:c>
      <x:c r="K2116" s="15" t="n">
        <x:f>F2116/'Datos'!$F$7</x:f>
        <x:v>0.000057386572675061515</x:v>
      </x:c>
      <x:c r="L2116" s="3"/>
    </x:row>
    <x:row r="2117" ht="22" customHeight="1">
      <x:c r="A2117" s="3"/>
      <x:c r="B2117" s="3" t="str">
        <x:v>84569D</x:v>
      </x:c>
      <x:c r="C2117" s="3" t="str">
        <x:v>PACK 6 HEART/ICE-CREAM PATCHES</x:v>
      </x:c>
      <x:c r="D2117" s="13" t="n">
        <x:v>561.87</x:v>
      </x:c>
      <x:c r="E2117" s="13" t="n">
        <x:v>0</x:v>
      </x:c>
      <x:c r="F2117" s="13" t="n">
        <x:f>D2117-E2117</x:f>
        <x:v>561.87</x:v>
      </x:c>
      <x:c r="G2117" s="3" t="n">
        <x:v>468</x:v>
      </x:c>
      <x:c r="H2117" s="3" t="n">
        <x:v>0</x:v>
      </x:c>
      <x:c r="I2117" s="3" t="n">
        <x:v>98</x:v>
      </x:c>
      <x:c r="J2117" s="15" t="n">
        <x:f>IF(D2117=0,"n.a.",E2117/D2117)</x:f>
        <x:v>0</x:v>
      </x:c>
      <x:c r="K2117" s="15" t="n">
        <x:f>F2117/'Datos'!$F$7</x:f>
        <x:v>0.00005737636099602615</x:v>
      </x:c>
      <x:c r="L2117" s="3"/>
    </x:row>
    <x:row r="2118" ht="22" customHeight="1">
      <x:c r="A2118" s="3"/>
      <x:c r="B2118" s="3" t="str">
        <x:v>21219</x:v>
      </x:c>
      <x:c r="C2118" s="3" t="str">
        <x:v>SET/4 BADGES BALLOON GIRL</x:v>
      </x:c>
      <x:c r="D2118" s="13" t="n">
        <x:v>561.84</x:v>
      </x:c>
      <x:c r="E2118" s="13" t="n">
        <x:v>0</x:v>
      </x:c>
      <x:c r="F2118" s="13" t="n">
        <x:f>D2118-E2118</x:f>
        <x:v>561.84</x:v>
      </x:c>
      <x:c r="G2118" s="3" t="n">
        <x:v>448</x:v>
      </x:c>
      <x:c r="H2118" s="3" t="n">
        <x:v>0</x:v>
      </x:c>
      <x:c r="I2118" s="3" t="n">
        <x:v>89</x:v>
      </x:c>
      <x:c r="J2118" s="15" t="n">
        <x:f>IF(D2118=0,"n.a.",E2118/D2118)</x:f>
        <x:v>0</x:v>
      </x:c>
      <x:c r="K2118" s="15" t="n">
        <x:f>F2118/'Datos'!$F$7</x:f>
        <x:v>0.000057373297492315546</x:v>
      </x:c>
      <x:c r="L2118" s="3"/>
    </x:row>
    <x:row r="2119" ht="22" customHeight="1">
      <x:c r="A2119" s="3"/>
      <x:c r="B2119" s="3" t="str">
        <x:v>84912A</x:v>
      </x:c>
      <x:c r="C2119" s="3" t="str">
        <x:v>PINK ROSE WASHBAG</x:v>
      </x:c>
      <x:c r="D2119" s="13" t="n">
        <x:v>560.62</x:v>
      </x:c>
      <x:c r="E2119" s="13" t="n">
        <x:v>0</x:v>
      </x:c>
      <x:c r="F2119" s="13" t="n">
        <x:f>D2119-E2119</x:f>
        <x:v>560.62</x:v>
      </x:c>
      <x:c r="G2119" s="3" t="n">
        <x:v>156</x:v>
      </x:c>
      <x:c r="H2119" s="3" t="n">
        <x:v>0</x:v>
      </x:c>
      <x:c r="I2119" s="3" t="n">
        <x:v>74</x:v>
      </x:c>
      <x:c r="J2119" s="15" t="n">
        <x:f>IF(D2119=0,"n.a.",E2119/D2119)</x:f>
        <x:v>0</x:v>
      </x:c>
      <x:c r="K2119" s="15" t="n">
        <x:f>F2119/'Datos'!$F$7</x:f>
        <x:v>0.00005724871500808404</x:v>
      </x:c>
      <x:c r="L2119" s="3"/>
    </x:row>
    <x:row r="2120" ht="22" customHeight="1">
      <x:c r="A2120" s="3"/>
      <x:c r="B2120" s="3" t="str">
        <x:v>85016</x:v>
      </x:c>
      <x:c r="C2120" s="3" t="str">
        <x:v>SET OF 6 VINTAGE NOTELETS KIT</x:v>
      </x:c>
      <x:c r="D2120" s="13" t="n">
        <x:v>560.11</x:v>
      </x:c>
      <x:c r="E2120" s="13" t="n">
        <x:v>0</x:v>
      </x:c>
      <x:c r="F2120" s="13" t="n">
        <x:f>D2120-E2120</x:f>
        <x:v>560.11</x:v>
      </x:c>
      <x:c r="G2120" s="3" t="n">
        <x:v>563</x:v>
      </x:c>
      <x:c r="H2120" s="3" t="n">
        <x:v>0</x:v>
      </x:c>
      <x:c r="I2120" s="3" t="n">
        <x:v>42</x:v>
      </x:c>
      <x:c r="J2120" s="15" t="n">
        <x:f>IF(D2120=0,"n.a.",E2120/D2120)</x:f>
        <x:v>0</x:v>
      </x:c>
      <x:c r="K2120" s="15" t="n">
        <x:f>F2120/'Datos'!$F$7</x:f>
        <x:v>0.00005719663544500366</x:v>
      </x:c>
      <x:c r="L2120" s="3"/>
    </x:row>
    <x:row r="2121" ht="22" customHeight="1">
      <x:c r="A2121" s="3"/>
      <x:c r="B2121" s="3" t="str">
        <x:v>21264</x:v>
      </x:c>
      <x:c r="C2121" s="3" t="str">
        <x:v>WHITE GOOSE FEATHER TREE 60CM</x:v>
      </x:c>
      <x:c r="D2121" s="13" t="n">
        <x:v>575.55</x:v>
      </x:c>
      <x:c r="E2121" s="13" t="n">
        <x:v>15.6</x:v>
      </x:c>
      <x:c r="F2121" s="13" t="n">
        <x:f>D2121-E2121</x:f>
        <x:v>559.9499999999999</x:v>
      </x:c>
      <x:c r="G2121" s="3" t="n">
        <x:v>285</x:v>
      </x:c>
      <x:c r="H2121" s="3" t="n">
        <x:v>8</x:v>
      </x:c>
      <x:c r="I2121" s="3" t="n">
        <x:v>48</x:v>
      </x:c>
      <x:c r="J2121" s="15" t="n">
        <x:f>IF(D2121=0,"n.a.",E2121/D2121)</x:f>
        <x:v>0.027104508730779256</x:v>
      </x:c>
      <x:c r="K2121" s="15" t="n">
        <x:f>F2121/'Datos'!$F$7</x:f>
        <x:v>0.00005718029675854707</x:v>
      </x:c>
      <x:c r="L2121" s="3"/>
    </x:row>
    <x:row r="2122" ht="22" customHeight="1">
      <x:c r="A2122" s="3"/>
      <x:c r="B2122" s="3" t="str">
        <x:v>85163A</x:v>
      </x:c>
      <x:c r="C2122" s="3" t="str">
        <x:v>WHITE BAROQUE WALL CLOCK</x:v>
      </x:c>
      <x:c r="D2122" s="13" t="n">
        <x:v>559</x:v>
      </x:c>
      <x:c r="E2122" s="13" t="n">
        <x:v>0</x:v>
      </x:c>
      <x:c r="F2122" s="13" t="n">
        <x:f>D2122-E2122</x:f>
        <x:v>559</x:v>
      </x:c>
      <x:c r="G2122" s="3" t="n">
        <x:v>66</x:v>
      </x:c>
      <x:c r="H2122" s="3" t="n">
        <x:v>0</x:v>
      </x:c>
      <x:c r="I2122" s="3" t="n">
        <x:v>32</x:v>
      </x:c>
      <x:c r="J2122" s="15" t="n">
        <x:f>IF(D2122=0,"n.a.",E2122/D2122)</x:f>
        <x:v>0</x:v>
      </x:c>
      <x:c r="K2122" s="15" t="n">
        <x:f>F2122/'Datos'!$F$7</x:f>
        <x:v>0.00005708328580771107</x:v>
      </x:c>
      <x:c r="L2122" s="3"/>
    </x:row>
    <x:row r="2123" ht="22" customHeight="1">
      <x:c r="A2123" s="3"/>
      <x:c r="B2123" s="3" t="str">
        <x:v>21849</x:v>
      </x:c>
      <x:c r="C2123" s="3" t="str">
        <x:v>SILVER DIAMANTE PEN IN GIFT BOX</x:v>
      </x:c>
      <x:c r="D2123" s="13" t="n">
        <x:v>558.83</x:v>
      </x:c>
      <x:c r="E2123" s="13" t="n">
        <x:v>0</x:v>
      </x:c>
      <x:c r="F2123" s="13" t="n">
        <x:f>D2123-E2123</x:f>
        <x:v>558.83</x:v>
      </x:c>
      <x:c r="G2123" s="3" t="n">
        <x:v>175</x:v>
      </x:c>
      <x:c r="H2123" s="3" t="n">
        <x:v>0</x:v>
      </x:c>
      <x:c r="I2123" s="3" t="n">
        <x:v>66</x:v>
      </x:c>
      <x:c r="J2123" s="15" t="n">
        <x:f>IF(D2123=0,"n.a.",E2123/D2123)</x:f>
        <x:v>0</x:v>
      </x:c>
      <x:c r="K2123" s="15" t="n">
        <x:f>F2123/'Datos'!$F$7</x:f>
        <x:v>0.00005706592595335095</x:v>
      </x:c>
      <x:c r="L2123" s="3"/>
    </x:row>
    <x:row r="2124" ht="22" customHeight="1">
      <x:c r="A2124" s="3"/>
      <x:c r="B2124" s="3" t="str">
        <x:v>23451</x:v>
      </x:c>
      <x:c r="C2124" s="3" t="str">
        <x:v>SQUARE MINI PORTRAIT FRAME</x:v>
      </x:c>
      <x:c r="D2124" s="13" t="n">
        <x:v>558.12</x:v>
      </x:c>
      <x:c r="E2124" s="13" t="n">
        <x:v>0</x:v>
      </x:c>
      <x:c r="F2124" s="13" t="n">
        <x:f>D2124-E2124</x:f>
        <x:v>558.12</x:v>
      </x:c>
      <x:c r="G2124" s="3" t="n">
        <x:v>278</x:v>
      </x:c>
      <x:c r="H2124" s="3" t="n">
        <x:v>0</x:v>
      </x:c>
      <x:c r="I2124" s="3" t="n">
        <x:v>52</x:v>
      </x:c>
      <x:c r="J2124" s="15" t="n">
        <x:f>IF(D2124=0,"n.a.",E2124/D2124)</x:f>
        <x:v>0</x:v>
      </x:c>
      <x:c r="K2124" s="15" t="n">
        <x:f>F2124/'Datos'!$F$7</x:f>
        <x:v>0.00005699342303219983</x:v>
      </x:c>
      <x:c r="L2124" s="3"/>
    </x:row>
    <x:row r="2125" ht="22" customHeight="1">
      <x:c r="A2125" s="3"/>
      <x:c r="B2125" s="3" t="str">
        <x:v>21662</x:v>
      </x:c>
      <x:c r="C2125" s="3" t="str">
        <x:v>VINTAGE GLASS COFFEE CADDY</x:v>
      </x:c>
      <x:c r="D2125" s="13" t="n">
        <x:v>557.3</x:v>
      </x:c>
      <x:c r="E2125" s="13" t="n">
        <x:v>0</x:v>
      </x:c>
      <x:c r="F2125" s="13" t="n">
        <x:f>D2125-E2125</x:f>
        <x:v>557.3</x:v>
      </x:c>
      <x:c r="G2125" s="3" t="n">
        <x:v>86</x:v>
      </x:c>
      <x:c r="H2125" s="3" t="n">
        <x:v>0</x:v>
      </x:c>
      <x:c r="I2125" s="3" t="n">
        <x:v>26</x:v>
      </x:c>
      <x:c r="J2125" s="15" t="n">
        <x:f>IF(D2125=0,"n.a.",E2125/D2125)</x:f>
        <x:v>0</x:v>
      </x:c>
      <x:c r="K2125" s="15" t="n">
        <x:f>F2125/'Datos'!$F$7</x:f>
        <x:v>0.0000569096872641098</x:v>
      </x:c>
      <x:c r="L2125" s="3"/>
    </x:row>
    <x:row r="2126" ht="22" customHeight="1">
      <x:c r="A2126" s="3"/>
      <x:c r="B2126" s="3" t="str">
        <x:v>85025B</x:v>
      </x:c>
      <x:c r="C2126" s="3" t="str">
        <x:v>EAU DE NILE HEART SHAPE PHOTO FRAME</x:v>
      </x:c>
      <x:c r="D2126" s="13" t="n">
        <x:v>558.42</x:v>
      </x:c>
      <x:c r="E2126" s="13" t="n">
        <x:v>1.65</x:v>
      </x:c>
      <x:c r="F2126" s="13" t="n">
        <x:f>D2126-E2126</x:f>
        <x:v>556.77</x:v>
      </x:c>
      <x:c r="G2126" s="3" t="n">
        <x:v>331</x:v>
      </x:c>
      <x:c r="H2126" s="3" t="n">
        <x:v>1</x:v>
      </x:c>
      <x:c r="I2126" s="3" t="n">
        <x:v>38</x:v>
      </x:c>
      <x:c r="J2126" s="15" t="n">
        <x:f>IF(D2126=0,"n.a.",E2126/D2126)</x:f>
        <x:v>0.002954765230471688</x:v>
      </x:c>
      <x:c r="K2126" s="15" t="n">
        <x:f>F2126/'Datos'!$F$7</x:f>
        <x:v>0.00005685556536522235</x:v>
      </x:c>
      <x:c r="L2126" s="3"/>
    </x:row>
    <x:row r="2127" ht="22" customHeight="1">
      <x:c r="A2127" s="3"/>
      <x:c r="B2127" s="3" t="str">
        <x:v>85187</x:v>
      </x:c>
      <x:c r="C2127" s="3" t="str">
        <x:v>S/12 MINI RABBIT EASTER</x:v>
      </x:c>
      <x:c r="D2127" s="13" t="n">
        <x:v>556.53</x:v>
      </x:c>
      <x:c r="E2127" s="13" t="n">
        <x:v>0</x:v>
      </x:c>
      <x:c r="F2127" s="13" t="n">
        <x:f>D2127-E2127</x:f>
        <x:v>556.53</x:v>
      </x:c>
      <x:c r="G2127" s="3" t="n">
        <x:v>337</x:v>
      </x:c>
      <x:c r="H2127" s="3" t="n">
        <x:v>0</x:v>
      </x:c>
      <x:c r="I2127" s="3" t="n">
        <x:v>69</x:v>
      </x:c>
      <x:c r="J2127" s="15" t="n">
        <x:f>IF(D2127=0,"n.a.",E2127/D2127)</x:f>
        <x:v>0</x:v>
      </x:c>
      <x:c r="K2127" s="15" t="n">
        <x:f>F2127/'Datos'!$F$7</x:f>
        <x:v>0.00005683105733553746</x:v>
      </x:c>
      <x:c r="L2127" s="3"/>
    </x:row>
    <x:row r="2128" ht="22" customHeight="1">
      <x:c r="A2128" s="3"/>
      <x:c r="B2128" s="3" t="str">
        <x:v>23016</x:v>
      </x:c>
      <x:c r="C2128" s="3" t="str">
        <x:v>GLASS TWIST BON BON JAR</x:v>
      </x:c>
      <x:c r="D2128" s="13" t="n">
        <x:v>575.25</x:v>
      </x:c>
      <x:c r="E2128" s="13" t="n">
        <x:v>19.95</x:v>
      </x:c>
      <x:c r="F2128" s="13" t="n">
        <x:f>D2128-E2128</x:f>
        <x:v>555.3</x:v>
      </x:c>
      <x:c r="G2128" s="3" t="n">
        <x:v>74</x:v>
      </x:c>
      <x:c r="H2128" s="3" t="n">
        <x:v>3</x:v>
      </x:c>
      <x:c r="I2128" s="3" t="n">
        <x:v>24</x:v>
      </x:c>
      <x:c r="J2128" s="15" t="n">
        <x:f>IF(D2128=0,"n.a.",E2128/D2128)</x:f>
        <x:v>0.03468057366362451</x:v>
      </x:c>
      <x:c r="K2128" s="15" t="n">
        <x:f>F2128/'Datos'!$F$7</x:f>
        <x:v>0.000056705453683402424</x:v>
      </x:c>
      <x:c r="L2128" s="3"/>
    </x:row>
    <x:row r="2129" ht="22" customHeight="1">
      <x:c r="A2129" s="3"/>
      <x:c r="B2129" s="3" t="str">
        <x:v>23457</x:v>
      </x:c>
      <x:c r="C2129" s="3" t="str">
        <x:v>LARGE PARLOUR PICTURE FRAME</x:v>
      </x:c>
      <x:c r="D2129" s="13" t="n">
        <x:v>554.83</x:v>
      </x:c>
      <x:c r="E2129" s="13" t="n">
        <x:v>0</x:v>
      </x:c>
      <x:c r="F2129" s="13" t="n">
        <x:f>D2129-E2129</x:f>
        <x:v>554.83</x:v>
      </x:c>
      <x:c r="G2129" s="3" t="n">
        <x:v>113</x:v>
      </x:c>
      <x:c r="H2129" s="3" t="n">
        <x:v>0</x:v>
      </x:c>
      <x:c r="I2129" s="3" t="n">
        <x:v>31</x:v>
      </x:c>
      <x:c r="J2129" s="15" t="n">
        <x:f>IF(D2129=0,"n.a.",E2129/D2129)</x:f>
        <x:v>0</x:v>
      </x:c>
      <x:c r="K2129" s="15" t="n">
        <x:f>F2129/'Datos'!$F$7</x:f>
        <x:v>0.0000566574587919362</x:v>
      </x:c>
      <x:c r="L2129" s="3"/>
    </x:row>
    <x:row r="2130" ht="22" customHeight="1">
      <x:c r="A2130" s="3"/>
      <x:c r="B2130" s="3" t="str">
        <x:v>84951B</x:v>
      </x:c>
      <x:c r="C2130" s="3" t="str">
        <x:v>SET OF 4 BLACK LOVEBIRD COASTERS</x:v>
      </x:c>
      <x:c r="D2130" s="13" t="n">
        <x:v>554.78</x:v>
      </x:c>
      <x:c r="E2130" s="13" t="n">
        <x:v>0</x:v>
      </x:c>
      <x:c r="F2130" s="13" t="n">
        <x:f>D2130-E2130</x:f>
        <x:v>554.78</x:v>
      </x:c>
      <x:c r="G2130" s="3" t="n">
        <x:v>451</x:v>
      </x:c>
      <x:c r="H2130" s="3" t="n">
        <x:v>0</x:v>
      </x:c>
      <x:c r="I2130" s="3" t="n">
        <x:v>82</x:v>
      </x:c>
      <x:c r="J2130" s="15" t="n">
        <x:f>IF(D2130=0,"n.a.",E2130/D2130)</x:f>
        <x:v>0</x:v>
      </x:c>
      <x:c r="K2130" s="15" t="n">
        <x:f>F2130/'Datos'!$F$7</x:f>
        <x:v>0.00005665235295241851</x:v>
      </x:c>
      <x:c r="L2130" s="3"/>
    </x:row>
    <x:row r="2131" ht="22" customHeight="1">
      <x:c r="A2131" s="3"/>
      <x:c r="B2131" s="3" t="str">
        <x:v>85032D</x:v>
      </x:c>
      <x:c r="C2131" s="3" t="str">
        <x:v>YULETIDE IMAGES GIFT WRAP SET</x:v>
      </x:c>
      <x:c r="D2131" s="13" t="n">
        <x:v>561.34</x:v>
      </x:c>
      <x:c r="E2131" s="13" t="n">
        <x:v>7.8</x:v>
      </x:c>
      <x:c r="F2131" s="13" t="n">
        <x:f>D2131-E2131</x:f>
        <x:v>553.5400000000001</x:v>
      </x:c>
      <x:c r="G2131" s="3" t="n">
        <x:v>687</x:v>
      </x:c>
      <x:c r="H2131" s="3" t="n">
        <x:v>12</x:v>
      </x:c>
      <x:c r="I2131" s="3" t="n">
        <x:v>93</x:v>
      </x:c>
      <x:c r="J2131" s="15" t="n">
        <x:f>IF(D2131=0,"n.a.",E2131/D2131)</x:f>
        <x:v>0.013895321908290873</x:v>
      </x:c>
      <x:c r="K2131" s="15" t="n">
        <x:f>F2131/'Datos'!$F$7</x:f>
        <x:v>0.00005652572813237995</x:v>
      </x:c>
      <x:c r="L2131" s="3"/>
    </x:row>
    <x:row r="2132" ht="22" customHeight="1">
      <x:c r="A2132" s="3"/>
      <x:c r="B2132" s="3" t="str">
        <x:v>35599D</x:v>
      </x:c>
      <x:c r="C2132" s="3" t="str">
        <x:v>PINK AND WHITE CHRISTMAS TREE 120CM</x:v>
      </x:c>
      <x:c r="D2132" s="13" t="n">
        <x:v>553.07</x:v>
      </x:c>
      <x:c r="E2132" s="13" t="n">
        <x:v>0</x:v>
      </x:c>
      <x:c r="F2132" s="13" t="n">
        <x:f>D2132-E2132</x:f>
        <x:v>553.07</x:v>
      </x:c>
      <x:c r="G2132" s="3" t="n">
        <x:v>201</x:v>
      </x:c>
      <x:c r="H2132" s="3" t="n">
        <x:v>0</x:v>
      </x:c>
      <x:c r="I2132" s="3" t="n">
        <x:v>34</x:v>
      </x:c>
      <x:c r="J2132" s="15" t="n">
        <x:f>IF(D2132=0,"n.a.",E2132/D2132)</x:f>
        <x:v>0</x:v>
      </x:c>
      <x:c r="K2132" s="15" t="n">
        <x:f>F2132/'Datos'!$F$7</x:f>
        <x:v>0.000056477733240913714</x:v>
      </x:c>
      <x:c r="L2132" s="3"/>
    </x:row>
    <x:row r="2133" ht="22" customHeight="1">
      <x:c r="A2133" s="3"/>
      <x:c r="B2133" s="3" t="str">
        <x:v>23473</x:v>
      </x:c>
      <x:c r="C2133" s="3" t="str">
        <x:v>WOODLAND SMALL RED FELT HEART</x:v>
      </x:c>
      <x:c r="D2133" s="13" t="n">
        <x:v>552.85</x:v>
      </x:c>
      <x:c r="E2133" s="13" t="n">
        <x:v>0</x:v>
      </x:c>
      <x:c r="F2133" s="13" t="n">
        <x:f>D2133-E2133</x:f>
        <x:v>552.85</x:v>
      </x:c>
      <x:c r="G2133" s="3" t="n">
        <x:v>679</x:v>
      </x:c>
      <x:c r="H2133" s="3" t="n">
        <x:v>0</x:v>
      </x:c>
      <x:c r="I2133" s="3" t="n">
        <x:v>51</x:v>
      </x:c>
      <x:c r="J2133" s="15" t="n">
        <x:f>IF(D2133=0,"n.a.",E2133/D2133)</x:f>
        <x:v>0</x:v>
      </x:c>
      <x:c r="K2133" s="15" t="n">
        <x:f>F2133/'Datos'!$F$7</x:f>
        <x:v>0.0000564552675470359</x:v>
      </x:c>
      <x:c r="L2133" s="3"/>
    </x:row>
    <x:row r="2134" ht="22" customHeight="1">
      <x:c r="A2134" s="3"/>
      <x:c r="B2134" s="3" t="str">
        <x:v>17129F</x:v>
      </x:c>
      <x:c r="C2134" s="3" t="str">
        <x:v>BLUE GLASS GEMS IN BAG</x:v>
      </x:c>
      <x:c r="D2134" s="13" t="n">
        <x:v>553.83</x:v>
      </x:c>
      <x:c r="E2134" s="13" t="n">
        <x:v>1.7</x:v>
      </x:c>
      <x:c r="F2134" s="13" t="n">
        <x:f>D2134-E2134</x:f>
        <x:v>552.13</x:v>
      </x:c>
      <x:c r="G2134" s="3" t="n">
        <x:v>588</x:v>
      </x:c>
      <x:c r="H2134" s="3" t="n">
        <x:v>2</x:v>
      </x:c>
      <x:c r="I2134" s="3" t="n">
        <x:v>57</x:v>
      </x:c>
      <x:c r="J2134" s="15" t="n">
        <x:f>IF(D2134=0,"n.a.",E2134/D2134)</x:f>
        <x:v>0.0030695339725186426</x:v>
      </x:c>
      <x:c r="K2134" s="15" t="n">
        <x:f>F2134/'Datos'!$F$7</x:f>
        <x:v>0.00005638174345798124</x:v>
      </x:c>
      <x:c r="L2134" s="3"/>
    </x:row>
    <x:row r="2135" ht="22" customHeight="1">
      <x:c r="A2135" s="3"/>
      <x:c r="B2135" s="3" t="str">
        <x:v>21638</x:v>
      </x:c>
      <x:c r="C2135" s="3" t="str">
        <x:v>ASSORTED TUTTI FRUTTI NOTEBOOK</x:v>
      </x:c>
      <x:c r="D2135" s="13" t="n">
        <x:v>551.96</x:v>
      </x:c>
      <x:c r="E2135" s="13" t="n">
        <x:v>0</x:v>
      </x:c>
      <x:c r="F2135" s="13" t="n">
        <x:f>D2135-E2135</x:f>
        <x:v>551.96</x:v>
      </x:c>
      <x:c r="G2135" s="3" t="n">
        <x:v>249</x:v>
      </x:c>
      <x:c r="H2135" s="3" t="n">
        <x:v>0</x:v>
      </x:c>
      <x:c r="I2135" s="3" t="n">
        <x:v>40</x:v>
      </x:c>
      <x:c r="J2135" s="15" t="n">
        <x:f>IF(D2135=0,"n.a.",E2135/D2135)</x:f>
        <x:v>0</x:v>
      </x:c>
      <x:c r="K2135" s="15" t="n">
        <x:f>F2135/'Datos'!$F$7</x:f>
        <x:v>0.000056364383603621115</x:v>
      </x:c>
      <x:c r="L2135" s="3"/>
    </x:row>
    <x:row r="2136" ht="22" customHeight="1">
      <x:c r="A2136" s="3"/>
      <x:c r="B2136" s="3" t="str">
        <x:v>21194</x:v>
      </x:c>
      <x:c r="C2136" s="3" t="str">
        <x:v>PINK HONEYCOMB PAPER FAN</x:v>
      </x:c>
      <x:c r="D2136" s="13" t="n">
        <x:v>558.07</x:v>
      </x:c>
      <x:c r="E2136" s="13" t="n">
        <x:v>6.5</x:v>
      </x:c>
      <x:c r="F2136" s="13" t="n">
        <x:f>D2136-E2136</x:f>
        <x:v>551.57</x:v>
      </x:c>
      <x:c r="G2136" s="3" t="n">
        <x:v>499</x:v>
      </x:c>
      <x:c r="H2136" s="3" t="n">
        <x:v>10</x:v>
      </x:c>
      <x:c r="I2136" s="3" t="n">
        <x:v>65</x:v>
      </x:c>
      <x:c r="J2136" s="15" t="n">
        <x:f>IF(D2136=0,"n.a.",E2136/D2136)</x:f>
        <x:v>0.011647284390847026</x:v>
      </x:c>
      <x:c r="K2136" s="15" t="n">
        <x:f>F2136/'Datos'!$F$7</x:f>
        <x:v>0.00005632455805538318</x:v>
      </x:c>
      <x:c r="L2136" s="3"/>
    </x:row>
    <x:row r="2137" ht="22" customHeight="1">
      <x:c r="A2137" s="3"/>
      <x:c r="B2137" s="3" t="str">
        <x:v>35599B</x:v>
      </x:c>
      <x:c r="C2137" s="3" t="str">
        <x:v>BLACK CHRISTMAS TREE 120CM</x:v>
      </x:c>
      <x:c r="D2137" s="13" t="n">
        <x:v>551.13</x:v>
      </x:c>
      <x:c r="E2137" s="13" t="n">
        <x:v>0</x:v>
      </x:c>
      <x:c r="F2137" s="13" t="n">
        <x:f>D2137-E2137</x:f>
        <x:v>551.13</x:v>
      </x:c>
      <x:c r="G2137" s="3" t="n">
        <x:v>217</x:v>
      </x:c>
      <x:c r="H2137" s="3" t="n">
        <x:v>0</x:v>
      </x:c>
      <x:c r="I2137" s="3" t="n">
        <x:v>27</x:v>
      </x:c>
      <x:c r="J2137" s="15" t="n">
        <x:f>IF(D2137=0,"n.a.",E2137/D2137)</x:f>
        <x:v>0</x:v>
      </x:c>
      <x:c r="K2137" s="15" t="n">
        <x:f>F2137/'Datos'!$F$7</x:f>
        <x:v>0.000056279626667627554</x:v>
      </x:c>
      <x:c r="L2137" s="3"/>
    </x:row>
    <x:row r="2138" ht="22" customHeight="1">
      <x:c r="A2138" s="3"/>
      <x:c r="B2138" s="3" t="str">
        <x:v>22102</x:v>
      </x:c>
      <x:c r="C2138" s="3" t="str">
        <x:v>MIRROR MOSAIC T-LIGHT HOLDER</x:v>
      </x:c>
      <x:c r="D2138" s="13" t="n">
        <x:v>831.84</x:v>
      </x:c>
      <x:c r="E2138" s="13" t="n">
        <x:v>280.8</x:v>
      </x:c>
      <x:c r="F2138" s="13" t="n">
        <x:f>D2138-E2138</x:f>
        <x:v>551.04</x:v>
      </x:c>
      <x:c r="G2138" s="3" t="n">
        <x:v>1622</x:v>
      </x:c>
      <x:c r="H2138" s="3" t="n">
        <x:v>720</x:v>
      </x:c>
      <x:c r="I2138" s="3" t="n">
        <x:v>31</x:v>
      </x:c>
      <x:c r="J2138" s="15" t="n">
        <x:f>IF(D2138=0,"n.a.",E2138/D2138)</x:f>
        <x:v>0.33756491633006347</x:v>
      </x:c>
      <x:c r="K2138" s="15" t="n">
        <x:f>F2138/'Datos'!$F$7</x:f>
        <x:v>0.00005627043615649572</x:v>
      </x:c>
      <x:c r="L2138" s="3"/>
    </x:row>
    <x:row r="2139" ht="22" customHeight="1">
      <x:c r="A2139" s="3"/>
      <x:c r="B2139" s="3" t="str">
        <x:v>17012D</x:v>
      </x:c>
      <x:c r="C2139" s="3" t="str">
        <x:v>ORIGAMI ROSE INCENSE/CANDLE SET</x:v>
      </x:c>
      <x:c r="D2139" s="13" t="n">
        <x:v>550.64</x:v>
      </x:c>
      <x:c r="E2139" s="13" t="n">
        <x:v>0</x:v>
      </x:c>
      <x:c r="F2139" s="13" t="n">
        <x:f>D2139-E2139</x:f>
        <x:v>550.64</x:v>
      </x:c>
      <x:c r="G2139" s="3" t="n">
        <x:v>463</x:v>
      </x:c>
      <x:c r="H2139" s="3" t="n">
        <x:v>0</x:v>
      </x:c>
      <x:c r="I2139" s="3" t="n">
        <x:v>97</x:v>
      </x:c>
      <x:c r="J2139" s="15" t="n">
        <x:f>IF(D2139=0,"n.a.",E2139/D2139)</x:f>
        <x:v>0</x:v>
      </x:c>
      <x:c r="K2139" s="15" t="n">
        <x:f>F2139/'Datos'!$F$7</x:f>
        <x:v>0.000056229589440354246</x:v>
      </x:c>
      <x:c r="L2139" s="3"/>
    </x:row>
    <x:row r="2140" ht="22" customHeight="1">
      <x:c r="A2140" s="3"/>
      <x:c r="B2140" s="3" t="str">
        <x:v>22903</x:v>
      </x:c>
      <x:c r="C2140" s="3" t="str">
        <x:v>CALENDAR FAMILY FAVOURITES</x:v>
      </x:c>
      <x:c r="D2140" s="13" t="n">
        <x:v>550.6</x:v>
      </x:c>
      <x:c r="E2140" s="13" t="n">
        <x:v>0</x:v>
      </x:c>
      <x:c r="F2140" s="13" t="n">
        <x:f>D2140-E2140</x:f>
        <x:v>550.6</x:v>
      </x:c>
      <x:c r="G2140" s="3" t="n">
        <x:v>193</x:v>
      </x:c>
      <x:c r="H2140" s="3" t="n">
        <x:v>0</x:v>
      </x:c>
      <x:c r="I2140" s="3" t="n">
        <x:v>59</x:v>
      </x:c>
      <x:c r="J2140" s="15" t="n">
        <x:f>IF(D2140=0,"n.a.",E2140/D2140)</x:f>
        <x:v>0</x:v>
      </x:c>
      <x:c r="K2140" s="15" t="n">
        <x:f>F2140/'Datos'!$F$7</x:f>
        <x:v>0.0000562255047687401</x:v>
      </x:c>
      <x:c r="L2140" s="3"/>
    </x:row>
    <x:row r="2141" ht="22" customHeight="1">
      <x:c r="A2141" s="3"/>
      <x:c r="B2141" s="3" t="str">
        <x:v>21397</x:v>
      </x:c>
      <x:c r="C2141" s="3" t="str">
        <x:v>BLUE POLKADOT EGG CUP</x:v>
      </x:c>
      <x:c r="D2141" s="13" t="n">
        <x:v>550.43</x:v>
      </x:c>
      <x:c r="E2141" s="13" t="n">
        <x:v>0</x:v>
      </x:c>
      <x:c r="F2141" s="13" t="n">
        <x:f>D2141-E2141</x:f>
        <x:v>550.43</x:v>
      </x:c>
      <x:c r="G2141" s="3" t="n">
        <x:v>1075</x:v>
      </x:c>
      <x:c r="H2141" s="3" t="n">
        <x:v>0</x:v>
      </x:c>
      <x:c r="I2141" s="3" t="n">
        <x:v>65</x:v>
      </x:c>
      <x:c r="J2141" s="15" t="n">
        <x:f>IF(D2141=0,"n.a.",E2141/D2141)</x:f>
        <x:v>0</x:v>
      </x:c>
      <x:c r="K2141" s="15" t="n">
        <x:f>F2141/'Datos'!$F$7</x:f>
        <x:v>0.00005620814491437997</x:v>
      </x:c>
      <x:c r="L2141" s="3"/>
    </x:row>
    <x:row r="2142" ht="22" customHeight="1">
      <x:c r="A2142" s="3"/>
      <x:c r="B2142" s="3" t="str">
        <x:v>22232</x:v>
      </x:c>
      <x:c r="C2142" s="3" t="str">
        <x:v>JIGSAW TOADSTOOLS 3 PIECE</x:v>
      </x:c>
      <x:c r="D2142" s="13" t="n">
        <x:v>604.46</x:v>
      </x:c>
      <x:c r="E2142" s="13" t="n">
        <x:v>54.72</x:v>
      </x:c>
      <x:c r="F2142" s="13" t="n">
        <x:f>D2142-E2142</x:f>
        <x:v>549.74</x:v>
      </x:c>
      <x:c r="G2142" s="3" t="n">
        <x:v>690</x:v>
      </x:c>
      <x:c r="H2142" s="3" t="n">
        <x:v>64</x:v>
      </x:c>
      <x:c r="I2142" s="3" t="n">
        <x:v>83</x:v>
      </x:c>
      <x:c r="J2142" s="15" t="n">
        <x:f>IF(D2142=0,"n.a.",E2142/D2142)</x:f>
        <x:v>0.09052708202362439</x:v>
      </x:c>
      <x:c r="K2142" s="15" t="n">
        <x:f>F2142/'Datos'!$F$7</x:f>
        <x:v>0.00005613768432903593</x:v>
      </x:c>
      <x:c r="L2142" s="3"/>
    </x:row>
    <x:row r="2143" ht="22" customHeight="1">
      <x:c r="A2143" s="3"/>
      <x:c r="B2143" s="3" t="str">
        <x:v>85172</x:v>
      </x:c>
      <x:c r="C2143" s="3" t="str">
        <x:v>HYACINTH BULB T-LIGHT CANDLES</x:v>
      </x:c>
      <x:c r="D2143" s="13" t="n">
        <x:v>583.12</x:v>
      </x:c>
      <x:c r="E2143" s="13" t="n">
        <x:v>34.02</x:v>
      </x:c>
      <x:c r="F2143" s="13" t="n">
        <x:f>D2143-E2143</x:f>
        <x:v>549.1</x:v>
      </x:c>
      <x:c r="G2143" s="3" t="n">
        <x:v>1346</x:v>
      </x:c>
      <x:c r="H2143" s="3" t="n">
        <x:v>81</x:v>
      </x:c>
      <x:c r="I2143" s="3" t="n">
        <x:v>43</x:v>
      </x:c>
      <x:c r="J2143" s="15" t="n">
        <x:f>IF(D2143=0,"n.a.",E2143/D2143)</x:f>
        <x:v>0.05834133626011799</x:v>
      </x:c>
      <x:c r="K2143" s="15" t="n">
        <x:f>F2143/'Datos'!$F$7</x:f>
        <x:v>0.00005607232958320957</x:v>
      </x:c>
      <x:c r="L2143" s="3"/>
    </x:row>
    <x:row r="2144" ht="22" customHeight="1">
      <x:c r="A2144" s="3"/>
      <x:c r="B2144" s="3" t="str">
        <x:v>23549</x:v>
      </x:c>
      <x:c r="C2144" s="3" t="str">
        <x:v>WRAP BIRD GARDEN</x:v>
      </x:c>
      <x:c r="D2144" s="13" t="n">
        <x:v>548.1</x:v>
      </x:c>
      <x:c r="E2144" s="13" t="n">
        <x:v>0</x:v>
      </x:c>
      <x:c r="F2144" s="13" t="n">
        <x:f>D2144-E2144</x:f>
        <x:v>548.1</x:v>
      </x:c>
      <x:c r="G2144" s="3" t="n">
        <x:v>1305</x:v>
      </x:c>
      <x:c r="H2144" s="3" t="n">
        <x:v>0</x:v>
      </x:c>
      <x:c r="I2144" s="3" t="n">
        <x:v>52</x:v>
      </x:c>
      <x:c r="J2144" s="15" t="n">
        <x:f>IF(D2144=0,"n.a.",E2144/D2144)</x:f>
        <x:v>0</x:v>
      </x:c>
      <x:c r="K2144" s="15" t="n">
        <x:f>F2144/'Datos'!$F$7</x:f>
        <x:v>0.00005597021279285588</x:v>
      </x:c>
      <x:c r="L2144" s="3"/>
    </x:row>
    <x:row r="2145" ht="22" customHeight="1">
      <x:c r="A2145" s="3"/>
      <x:c r="B2145" s="3" t="str">
        <x:v>47563A</x:v>
      </x:c>
      <x:c r="C2145" s="3" t="str">
        <x:v>RETRO LONGBOARD IRONING BOARD COVER</x:v>
      </x:c>
      <x:c r="D2145" s="13" t="n">
        <x:v>552.76</x:v>
      </x:c>
      <x:c r="E2145" s="13" t="n">
        <x:v>5</x:v>
      </x:c>
      <x:c r="F2145" s="13" t="n">
        <x:f>D2145-E2145</x:f>
        <x:v>547.76</x:v>
      </x:c>
      <x:c r="G2145" s="3" t="n">
        <x:v>286</x:v>
      </x:c>
      <x:c r="H2145" s="3" t="n">
        <x:v>4</x:v>
      </x:c>
      <x:c r="I2145" s="3" t="n">
        <x:v>105</x:v>
      </x:c>
      <x:c r="J2145" s="15" t="n">
        <x:f>IF(D2145=0,"n.a.",E2145/D2145)</x:f>
        <x:v>0.009045517041754107</x:v>
      </x:c>
      <x:c r="K2145" s="15" t="n">
        <x:f>F2145/'Datos'!$F$7</x:f>
        <x:v>0.00005593549308413563</x:v>
      </x:c>
      <x:c r="L2145" s="3"/>
    </x:row>
    <x:row r="2146" ht="22" customHeight="1">
      <x:c r="A2146" s="3"/>
      <x:c r="B2146" s="3" t="str">
        <x:v>23484</x:v>
      </x:c>
      <x:c r="C2146" s="3" t="str">
        <x:v>HEART TRELLIS TRIPLE T-LIGHT HOLDER</x:v>
      </x:c>
      <x:c r="D2146" s="13" t="n">
        <x:v>547.35</x:v>
      </x:c>
      <x:c r="E2146" s="13" t="n">
        <x:v>0</x:v>
      </x:c>
      <x:c r="F2146" s="13" t="n">
        <x:f>D2146-E2146</x:f>
        <x:v>547.35</x:v>
      </x:c>
      <x:c r="G2146" s="3" t="n">
        <x:v>185</x:v>
      </x:c>
      <x:c r="H2146" s="3" t="n">
        <x:v>0</x:v>
      </x:c>
      <x:c r="I2146" s="3" t="n">
        <x:v>35</x:v>
      </x:c>
      <x:c r="J2146" s="15" t="n">
        <x:f>IF(D2146=0,"n.a.",E2146/D2146)</x:f>
        <x:v>0</x:v>
      </x:c>
      <x:c r="K2146" s="15" t="n">
        <x:f>F2146/'Datos'!$F$7</x:f>
        <x:v>0.00005589362520009062</x:v>
      </x:c>
      <x:c r="L2146" s="3"/>
    </x:row>
    <x:row r="2147" ht="22" customHeight="1">
      <x:c r="A2147" s="3"/>
      <x:c r="B2147" s="3" t="str">
        <x:v>21128</x:v>
      </x:c>
      <x:c r="C2147" s="3" t="str">
        <x:v>GOLD FISHING GNOME</x:v>
      </x:c>
      <x:c r="D2147" s="13" t="n">
        <x:v>546.6</x:v>
      </x:c>
      <x:c r="E2147" s="13" t="n">
        <x:v>0</x:v>
      </x:c>
      <x:c r="F2147" s="13" t="n">
        <x:f>D2147-E2147</x:f>
        <x:v>546.6</x:v>
      </x:c>
      <x:c r="G2147" s="3" t="n">
        <x:v>68</x:v>
      </x:c>
      <x:c r="H2147" s="3" t="n">
        <x:v>0</x:v>
      </x:c>
      <x:c r="I2147" s="3" t="n">
        <x:v>36</x:v>
      </x:c>
      <x:c r="J2147" s="15" t="n">
        <x:f>IF(D2147=0,"n.a.",E2147/D2147)</x:f>
        <x:v>0</x:v>
      </x:c>
      <x:c r="K2147" s="15" t="n">
        <x:f>F2147/'Datos'!$F$7</x:f>
        <x:v>0.00005581703760732535</x:v>
      </x:c>
      <x:c r="L2147" s="3"/>
    </x:row>
    <x:row r="2148" ht="22" customHeight="1">
      <x:c r="A2148" s="3"/>
      <x:c r="B2148" s="3" t="str">
        <x:v>71279</x:v>
      </x:c>
      <x:c r="C2148" s="3" t="str">
        <x:v>PINK GLASS CANDLEHOLDER</x:v>
      </x:c>
      <x:c r="D2148" s="13" t="n">
        <x:v>561.32</x:v>
      </x:c>
      <x:c r="E2148" s="13" t="n">
        <x:v>14.75</x:v>
      </x:c>
      <x:c r="F2148" s="13" t="n">
        <x:f>D2148-E2148</x:f>
        <x:v>546.57</x:v>
      </x:c>
      <x:c r="G2148" s="3" t="n">
        <x:v>176</x:v>
      </x:c>
      <x:c r="H2148" s="3" t="n">
        <x:v>5</x:v>
      </x:c>
      <x:c r="I2148" s="3" t="n">
        <x:v>38</x:v>
      </x:c>
      <x:c r="J2148" s="15" t="n">
        <x:f>IF(D2148=0,"n.a.",E2148/D2148)</x:f>
        <x:v>0.026277346255255466</x:v>
      </x:c>
      <x:c r="K2148" s="15" t="n">
        <x:f>F2148/'Datos'!$F$7</x:f>
        <x:v>0.00005581397410361475</x:v>
      </x:c>
      <x:c r="L2148" s="3"/>
    </x:row>
    <x:row r="2149" ht="22" customHeight="1">
      <x:c r="A2149" s="3"/>
      <x:c r="B2149" s="3" t="str">
        <x:v>85107</x:v>
      </x:c>
      <x:c r="C2149" s="3" t="str">
        <x:v>CUT GLASS T-LIGHT HOLDER OCTAGON</x:v>
      </x:c>
      <x:c r="D2149" s="13" t="n">
        <x:v>546.49</x:v>
      </x:c>
      <x:c r="E2149" s="13" t="n">
        <x:v>0</x:v>
      </x:c>
      <x:c r="F2149" s="13" t="n">
        <x:f>D2149-E2149</x:f>
        <x:v>546.49</x:v>
      </x:c>
      <x:c r="G2149" s="3" t="n">
        <x:v>251</x:v>
      </x:c>
      <x:c r="H2149" s="3" t="n">
        <x:v>0</x:v>
      </x:c>
      <x:c r="I2149" s="3" t="n">
        <x:v>27</x:v>
      </x:c>
      <x:c r="J2149" s="15" t="n">
        <x:f>IF(D2149=0,"n.a.",E2149/D2149)</x:f>
        <x:v>0</x:v>
      </x:c>
      <x:c r="K2149" s="15" t="n">
        <x:f>F2149/'Datos'!$F$7</x:f>
        <x:v>0.00005580580476038645</x:v>
      </x:c>
      <x:c r="L2149" s="3"/>
    </x:row>
    <x:row r="2150" ht="22" customHeight="1">
      <x:c r="A2150" s="3"/>
      <x:c r="B2150" s="3" t="str">
        <x:v>22261</x:v>
      </x:c>
      <x:c r="C2150" s="3" t="str">
        <x:v>FELT EGG COSY WHITE RABBIT</x:v>
      </x:c>
      <x:c r="D2150" s="13" t="n">
        <x:v>549.81</x:v>
      </x:c>
      <x:c r="E2150" s="13" t="n">
        <x:v>3.4</x:v>
      </x:c>
      <x:c r="F2150" s="13" t="n">
        <x:f>D2150-E2150</x:f>
        <x:v>546.41</x:v>
      </x:c>
      <x:c r="G2150" s="3" t="n">
        <x:v>585</x:v>
      </x:c>
      <x:c r="H2150" s="3" t="n">
        <x:v>4</x:v>
      </x:c>
      <x:c r="I2150" s="3" t="n">
        <x:v>107</x:v>
      </x:c>
      <x:c r="J2150" s="15" t="n">
        <x:f>IF(D2150=0,"n.a.",E2150/D2150)</x:f>
        <x:v>0.006183954456994235</x:v>
      </x:c>
      <x:c r="K2150" s="15" t="n">
        <x:f>F2150/'Datos'!$F$7</x:f>
        <x:v>0.00005579763541715815</x:v>
      </x:c>
      <x:c r="L2150" s="3"/>
    </x:row>
    <x:row r="2151" ht="22" customHeight="1">
      <x:c r="A2151" s="3"/>
      <x:c r="B2151" s="3" t="str">
        <x:v>90062</x:v>
      </x:c>
      <x:c r="C2151" s="3" t="str">
        <x:v>CARNIVAL BRACELET</x:v>
      </x:c>
      <x:c r="D2151" s="13" t="n">
        <x:v>558.03</x:v>
      </x:c>
      <x:c r="E2151" s="13" t="n">
        <x:v>12.75</x:v>
      </x:c>
      <x:c r="F2151" s="13" t="n">
        <x:f>D2151-E2151</x:f>
        <x:v>545.28</x:v>
      </x:c>
      <x:c r="G2151" s="3" t="n">
        <x:v>44</x:v>
      </x:c>
      <x:c r="H2151" s="3" t="n">
        <x:v>1</x:v>
      </x:c>
      <x:c r="I2151" s="3" t="n">
        <x:v>26</x:v>
      </x:c>
      <x:c r="J2151" s="15" t="n">
        <x:f>IF(D2151=0,"n.a.",E2151/D2151)</x:f>
        <x:v>0.02284823396591581</x:v>
      </x:c>
      <x:c r="K2151" s="15" t="n">
        <x:f>F2151/'Datos'!$F$7</x:f>
        <x:v>0.000055682243444058484</x:v>
      </x:c>
      <x:c r="L2151" s="3"/>
    </x:row>
    <x:row r="2152" ht="22" customHeight="1">
      <x:c r="A2152" s="3"/>
      <x:c r="B2152" s="3" t="str">
        <x:v>22513</x:v>
      </x:c>
      <x:c r="C2152" s="3" t="str">
        <x:v>DOORSTOP FOOTBALL DESIGN</x:v>
      </x:c>
      <x:c r="D2152" s="13" t="n">
        <x:v>543.65</x:v>
      </x:c>
      <x:c r="E2152" s="13" t="n">
        <x:v>0</x:v>
      </x:c>
      <x:c r="F2152" s="13" t="n">
        <x:f>D2152-E2152</x:f>
        <x:v>543.65</x:v>
      </x:c>
      <x:c r="G2152" s="3" t="n">
        <x:v>153</x:v>
      </x:c>
      <x:c r="H2152" s="3" t="n">
        <x:v>0</x:v>
      </x:c>
      <x:c r="I2152" s="3" t="n">
        <x:v>67</x:v>
      </x:c>
      <x:c r="J2152" s="15" t="n">
        <x:f>IF(D2152=0,"n.a.",E2152/D2152)</x:f>
        <x:v>0</x:v>
      </x:c>
      <x:c r="K2152" s="15" t="n">
        <x:f>F2152/'Datos'!$F$7</x:f>
        <x:v>0.00005551579307578197</x:v>
      </x:c>
      <x:c r="L2152" s="3"/>
    </x:row>
    <x:row r="2153" ht="22" customHeight="1">
      <x:c r="A2153" s="3"/>
      <x:c r="B2153" s="3" t="str">
        <x:v>23043</x:v>
      </x:c>
      <x:c r="C2153" s="3" t="str">
        <x:v>PAPER LANTERN 9 POINT HOLLY STAR L</x:v>
      </x:c>
      <x:c r="D2153" s="13" t="n">
        <x:v>543.51</x:v>
      </x:c>
      <x:c r="E2153" s="13" t="n">
        <x:v>0</x:v>
      </x:c>
      <x:c r="F2153" s="13" t="n">
        <x:f>D2153-E2153</x:f>
        <x:v>543.51</x:v>
      </x:c>
      <x:c r="G2153" s="3" t="n">
        <x:v>81</x:v>
      </x:c>
      <x:c r="H2153" s="3" t="n">
        <x:v>0</x:v>
      </x:c>
      <x:c r="I2153" s="3" t="n">
        <x:v>23</x:v>
      </x:c>
      <x:c r="J2153" s="15" t="n">
        <x:f>IF(D2153=0,"n.a.",E2153/D2153)</x:f>
        <x:v>0</x:v>
      </x:c>
      <x:c r="K2153" s="15" t="n">
        <x:f>F2153/'Datos'!$F$7</x:f>
        <x:v>0.00005550149672513246</x:v>
      </x:c>
      <x:c r="L2153" s="3"/>
    </x:row>
    <x:row r="2154" ht="22" customHeight="1">
      <x:c r="A2154" s="3"/>
      <x:c r="B2154" s="3" t="str">
        <x:v>23074</x:v>
      </x:c>
      <x:c r="C2154" s="3" t="str">
        <x:v>EMBOSSED HEART TRINKET BOX</x:v>
      </x:c>
      <x:c r="D2154" s="13" t="n">
        <x:v>555.59</x:v>
      </x:c>
      <x:c r="E2154" s="13" t="n">
        <x:v>12.48</x:v>
      </x:c>
      <x:c r="F2154" s="13" t="n">
        <x:f>D2154-E2154</x:f>
        <x:v>543.11</x:v>
      </x:c>
      <x:c r="G2154" s="3" t="n">
        <x:v>250</x:v>
      </x:c>
      <x:c r="H2154" s="3" t="n">
        <x:v>6</x:v>
      </x:c>
      <x:c r="I2154" s="3" t="n">
        <x:v>48</x:v>
      </x:c>
      <x:c r="J2154" s="15" t="n">
        <x:f>IF(D2154=0,"n.a.",E2154/D2154)</x:f>
        <x:v>0.02246260731834626</x:v>
      </x:c>
      <x:c r="K2154" s="15" t="n">
        <x:f>F2154/'Datos'!$F$7</x:f>
        <x:v>0.00005546065000899098</x:v>
      </x:c>
      <x:c r="L2154" s="3"/>
    </x:row>
    <x:row r="2155" ht="22" customHeight="1">
      <x:c r="A2155" s="3"/>
      <x:c r="B2155" s="3" t="str">
        <x:v>22023</x:v>
      </x:c>
      <x:c r="C2155" s="3" t="str">
        <x:v>EMPIRE BIRTHDAY CARD</x:v>
      </x:c>
      <x:c r="D2155" s="13" t="n">
        <x:v>543.76</x:v>
      </x:c>
      <x:c r="E2155" s="13" t="n">
        <x:v>5.04</x:v>
      </x:c>
      <x:c r="F2155" s="13" t="n">
        <x:f>D2155-E2155</x:f>
        <x:v>538.72</x:v>
      </x:c>
      <x:c r="G2155" s="3" t="n">
        <x:v>1218</x:v>
      </x:c>
      <x:c r="H2155" s="3" t="n">
        <x:v>12</x:v>
      </x:c>
      <x:c r="I2155" s="3" t="n">
        <x:v>146</x:v>
      </x:c>
      <x:c r="J2155" s="15" t="n">
        <x:f>IF(D2155=0,"n.a.",E2155/D2155)</x:f>
        <x:v>0.009268795056642637</x:v>
      </x:c>
      <x:c r="K2155" s="15" t="n">
        <x:f>F2155/'Datos'!$F$7</x:f>
        <x:v>0.0000550123572993383</x:v>
      </x:c>
      <x:c r="L2155" s="3"/>
    </x:row>
    <x:row r="2156" ht="22" customHeight="1">
      <x:c r="A2156" s="3"/>
      <x:c r="B2156" s="3" t="str">
        <x:v>23398</x:v>
      </x:c>
      <x:c r="C2156" s="3" t="str">
        <x:v>HANGING HEART BONHEUR</x:v>
      </x:c>
      <x:c r="D2156" s="13" t="n">
        <x:v>538.75</x:v>
      </x:c>
      <x:c r="E2156" s="13" t="n">
        <x:v>0.85</x:v>
      </x:c>
      <x:c r="F2156" s="13" t="n">
        <x:f>D2156-E2156</x:f>
        <x:v>537.9</x:v>
      </x:c>
      <x:c r="G2156" s="3" t="n">
        <x:v>610</x:v>
      </x:c>
      <x:c r="H2156" s="3" t="n">
        <x:v>1</x:v>
      </x:c>
      <x:c r="I2156" s="3" t="n">
        <x:v>69</x:v>
      </x:c>
      <x:c r="J2156" s="15" t="n">
        <x:f>IF(D2156=0,"n.a.",E2156/D2156)</x:f>
        <x:v>0.0015777262180974477</x:v>
      </x:c>
      <x:c r="K2156" s="15" t="n">
        <x:f>F2156/'Datos'!$F$7</x:f>
        <x:v>0.00005492862153124827</x:v>
      </x:c>
      <x:c r="L2156" s="3"/>
    </x:row>
    <x:row r="2157" ht="22" customHeight="1">
      <x:c r="A2157" s="3"/>
      <x:c r="B2157" s="3" t="str">
        <x:v>20893</x:v>
      </x:c>
      <x:c r="C2157" s="3" t="str">
        <x:v>HANGING BAUBLE T-LIGHT HOLDER SMALL</x:v>
      </x:c>
      <x:c r="D2157" s="13" t="n">
        <x:v>611.57</x:v>
      </x:c>
      <x:c r="E2157" s="13" t="n">
        <x:v>75.6</x:v>
      </x:c>
      <x:c r="F2157" s="13" t="n">
        <x:f>D2157-E2157</x:f>
        <x:v>535.97</x:v>
      </x:c>
      <x:c r="G2157" s="3" t="n">
        <x:v>269</x:v>
      </x:c>
      <x:c r="H2157" s="3" t="n">
        <x:v>36</x:v>
      </x:c>
      <x:c r="I2157" s="3" t="n">
        <x:v>26</x:v>
      </x:c>
      <x:c r="J2157" s="15" t="n">
        <x:f>IF(D2157=0,"n.a.",E2157/D2157)</x:f>
        <x:v>0.12361626633091877</x:v>
      </x:c>
      <x:c r="K2157" s="15" t="n">
        <x:f>F2157/'Datos'!$F$7</x:f>
        <x:v>0.00005473153612586566</x:v>
      </x:c>
      <x:c r="L2157" s="3"/>
    </x:row>
    <x:row r="2158" ht="22" customHeight="1">
      <x:c r="A2158" s="3"/>
      <x:c r="B2158" s="3" t="str">
        <x:v>22717</x:v>
      </x:c>
      <x:c r="C2158" s="3" t="str">
        <x:v>CARD DOG AND BALL</x:v>
      </x:c>
      <x:c r="D2158" s="13" t="n">
        <x:v>535.78</x:v>
      </x:c>
      <x:c r="E2158" s="13" t="n">
        <x:v>0</x:v>
      </x:c>
      <x:c r="F2158" s="13" t="n">
        <x:f>D2158-E2158</x:f>
        <x:v>535.78</x:v>
      </x:c>
      <x:c r="G2158" s="3" t="n">
        <x:v>1229</x:v>
      </x:c>
      <x:c r="H2158" s="3" t="n">
        <x:v>0</x:v>
      </x:c>
      <x:c r="I2158" s="3" t="n">
        <x:v>131</x:v>
      </x:c>
      <x:c r="J2158" s="15" t="n">
        <x:f>IF(D2158=0,"n.a.",E2158/D2158)</x:f>
        <x:v>0</x:v>
      </x:c>
      <x:c r="K2158" s="15" t="n">
        <x:f>F2158/'Datos'!$F$7</x:f>
        <x:v>0.000054712133935698457</x:v>
      </x:c>
      <x:c r="L2158" s="3"/>
    </x:row>
    <x:row r="2159" ht="22" customHeight="1">
      <x:c r="A2159" s="3"/>
      <x:c r="B2159" s="3" t="str">
        <x:v>84951A</x:v>
      </x:c>
      <x:c r="C2159" s="3" t="str">
        <x:v>SET OF 4 PISTACHIO LOVEBIRD COASTER</x:v>
      </x:c>
      <x:c r="D2159" s="13" t="n">
        <x:v>553.8</x:v>
      </x:c>
      <x:c r="E2159" s="13" t="n">
        <x:v>18.96</x:v>
      </x:c>
      <x:c r="F2159" s="13" t="n">
        <x:f>D2159-E2159</x:f>
        <x:v>534.8399999999999</x:v>
      </x:c>
      <x:c r="G2159" s="3" t="n">
        <x:v>476</x:v>
      </x:c>
      <x:c r="H2159" s="3" t="n">
        <x:v>24</x:v>
      </x:c>
      <x:c r="I2159" s="3" t="n">
        <x:v>93</x:v>
      </x:c>
      <x:c r="J2159" s="15" t="n">
        <x:f>IF(D2159=0,"n.a.",E2159/D2159)</x:f>
        <x:v>0.03423618634886241</x:v>
      </x:c>
      <x:c r="K2159" s="15" t="n">
        <x:f>F2159/'Datos'!$F$7</x:f>
        <x:v>0.000054616144152765984</x:v>
      </x:c>
      <x:c r="L2159" s="3"/>
    </x:row>
    <x:row r="2160" ht="22" customHeight="1">
      <x:c r="A2160" s="3"/>
      <x:c r="B2160" s="3" t="str">
        <x:v>22521</x:v>
      </x:c>
      <x:c r="C2160" s="3" t="str">
        <x:v>CHILDS GARDEN TROWEL PINK</x:v>
      </x:c>
      <x:c r="D2160" s="13" t="n">
        <x:v>533.16</x:v>
      </x:c>
      <x:c r="E2160" s="13" t="n">
        <x:v>0</x:v>
      </x:c>
      <x:c r="F2160" s="13" t="n">
        <x:f>D2160-E2160</x:f>
        <x:v>533.16</x:v>
      </x:c>
      <x:c r="G2160" s="3" t="n">
        <x:v>618</x:v>
      </x:c>
      <x:c r="H2160" s="3" t="n">
        <x:v>0</x:v>
      </x:c>
      <x:c r="I2160" s="3" t="n">
        <x:v>104</x:v>
      </x:c>
      <x:c r="J2160" s="15" t="n">
        <x:f>IF(D2160=0,"n.a.",E2160/D2160)</x:f>
        <x:v>0</x:v>
      </x:c>
      <x:c r="K2160" s="15" t="n">
        <x:f>F2160/'Datos'!$F$7</x:f>
        <x:v>0.00005444458794497179</x:v>
      </x:c>
      <x:c r="L2160" s="3"/>
    </x:row>
    <x:row r="2161" ht="22" customHeight="1">
      <x:c r="A2161" s="3"/>
      <x:c r="B2161" s="3" t="str">
        <x:v>35965</x:v>
      </x:c>
      <x:c r="C2161" s="3" t="str">
        <x:v>FOLKART HEART NAPKIN RINGS</x:v>
      </x:c>
      <x:c r="D2161" s="13" t="n">
        <x:v>551.13</x:v>
      </x:c>
      <x:c r="E2161" s="13" t="n">
        <x:v>18.96</x:v>
      </x:c>
      <x:c r="F2161" s="13" t="n">
        <x:f>D2161-E2161</x:f>
        <x:v>532.17</x:v>
      </x:c>
      <x:c r="G2161" s="3" t="n">
        <x:v>366</x:v>
      </x:c>
      <x:c r="H2161" s="3" t="n">
        <x:v>24</x:v>
      </x:c>
      <x:c r="I2161" s="3" t="n">
        <x:v>69</x:v>
      </x:c>
      <x:c r="J2161" s="15" t="n">
        <x:f>IF(D2161=0,"n.a.",E2161/D2161)</x:f>
        <x:v>0.03440204670404442</x:v>
      </x:c>
      <x:c r="K2161" s="15" t="n">
        <x:f>F2161/'Datos'!$F$7</x:f>
        <x:v>0.00005434349232252164</x:v>
      </x:c>
      <x:c r="L2161" s="3"/>
    </x:row>
    <x:row r="2162" ht="22" customHeight="1">
      <x:c r="A2162" s="3"/>
      <x:c r="B2162" s="3" t="str">
        <x:v>22543</x:v>
      </x:c>
      <x:c r="C2162" s="3" t="str">
        <x:v>MINI JIGSAW BAKE A CAKE</x:v>
      </x:c>
      <x:c r="D2162" s="13" t="n">
        <x:v>531.64</x:v>
      </x:c>
      <x:c r="E2162" s="13" t="n">
        <x:v>0</x:v>
      </x:c>
      <x:c r="F2162" s="13" t="n">
        <x:f>D2162-E2162</x:f>
        <x:v>531.64</x:v>
      </x:c>
      <x:c r="G2162" s="3" t="n">
        <x:v>1455</x:v>
      </x:c>
      <x:c r="H2162" s="3" t="n">
        <x:v>0</x:v>
      </x:c>
      <x:c r="I2162" s="3" t="n">
        <x:v>55</x:v>
      </x:c>
      <x:c r="J2162" s="15" t="n">
        <x:f>IF(D2162=0,"n.a.",E2162/D2162)</x:f>
        <x:v>0</x:v>
      </x:c>
      <x:c r="K2162" s="15" t="n">
        <x:f>F2162/'Datos'!$F$7</x:f>
        <x:v>0.00005428937042363419</x:v>
      </x:c>
      <x:c r="L2162" s="3"/>
    </x:row>
    <x:row r="2163" ht="22" customHeight="1">
      <x:c r="A2163" s="3"/>
      <x:c r="B2163" s="3" t="str">
        <x:v>85088</x:v>
      </x:c>
      <x:c r="C2163" s="3" t="str">
        <x:v>CANDY SPOT HAND BAG</x:v>
      </x:c>
      <x:c r="D2163" s="13" t="n">
        <x:v>534.83</x:v>
      </x:c>
      <x:c r="E2163" s="13" t="n">
        <x:v>4.2</x:v>
      </x:c>
      <x:c r="F2163" s="13" t="n">
        <x:f>D2163-E2163</x:f>
        <x:v>530.63</x:v>
      </x:c>
      <x:c r="G2163" s="3" t="n">
        <x:v>259</x:v>
      </x:c>
      <x:c r="H2163" s="3" t="n">
        <x:v>2</x:v>
      </x:c>
      <x:c r="I2163" s="3" t="n">
        <x:v>51</x:v>
      </x:c>
      <x:c r="J2163" s="15" t="n">
        <x:f>IF(D2163=0,"n.a.",E2163/D2163)</x:f>
        <x:v>0.007852962623637418</x:v>
      </x:c>
      <x:c r="K2163" s="15" t="n">
        <x:f>F2163/'Datos'!$F$7</x:f>
        <x:v>0.00005418623246537697</x:v>
      </x:c>
      <x:c r="L2163" s="3"/>
    </x:row>
    <x:row r="2164" ht="22" customHeight="1">
      <x:c r="A2164" s="3"/>
      <x:c r="B2164" s="3" t="str">
        <x:v>17012F</x:v>
      </x:c>
      <x:c r="C2164" s="3" t="str">
        <x:v>ORIGAMI SANDLEWOOD INCENSE/CAND SET</x:v>
      </x:c>
      <x:c r="D2164" s="13" t="n">
        <x:v>530.6</x:v>
      </x:c>
      <x:c r="E2164" s="13" t="n">
        <x:v>0</x:v>
      </x:c>
      <x:c r="F2164" s="13" t="n">
        <x:f>D2164-E2164</x:f>
        <x:v>530.6</x:v>
      </x:c>
      <x:c r="G2164" s="3" t="n">
        <x:v>448</x:v>
      </x:c>
      <x:c r="H2164" s="3" t="n">
        <x:v>0</x:v>
      </x:c>
      <x:c r="I2164" s="3" t="n">
        <x:v>94</x:v>
      </x:c>
      <x:c r="J2164" s="15" t="n">
        <x:f>IF(D2164=0,"n.a.",E2164/D2164)</x:f>
        <x:v>0</x:v>
      </x:c>
      <x:c r="K2164" s="15" t="n">
        <x:f>F2164/'Datos'!$F$7</x:f>
        <x:v>0.00005418316896166636</x:v>
      </x:c>
      <x:c r="L2164" s="3"/>
    </x:row>
    <x:row r="2165" ht="22" customHeight="1">
      <x:c r="A2165" s="3"/>
      <x:c r="B2165" s="3" t="str">
        <x:v>35241</x:v>
      </x:c>
      <x:c r="C2165" s="3" t="str">
        <x:v>ENAMEL BLUE RIM BISCUIT BIN</x:v>
      </x:c>
      <x:c r="D2165" s="13" t="n">
        <x:v>530.49</x:v>
      </x:c>
      <x:c r="E2165" s="13" t="n">
        <x:v>0</x:v>
      </x:c>
      <x:c r="F2165" s="13" t="n">
        <x:f>D2165-E2165</x:f>
        <x:v>530.49</x:v>
      </x:c>
      <x:c r="G2165" s="3" t="n">
        <x:v>103</x:v>
      </x:c>
      <x:c r="H2165" s="3" t="n">
        <x:v>0</x:v>
      </x:c>
      <x:c r="I2165" s="3" t="n">
        <x:v>44</x:v>
      </x:c>
      <x:c r="J2165" s="15" t="n">
        <x:f>IF(D2165=0,"n.a.",E2165/D2165)</x:f>
        <x:v>0</x:v>
      </x:c>
      <x:c r="K2165" s="15" t="n">
        <x:f>F2165/'Datos'!$F$7</x:f>
        <x:v>0.000054171936114727456</x:v>
      </x:c>
      <x:c r="L2165" s="3"/>
    </x:row>
    <x:row r="2166" ht="22" customHeight="1">
      <x:c r="A2166" s="3"/>
      <x:c r="B2166" s="3" t="str">
        <x:v>21270</x:v>
      </x:c>
      <x:c r="C2166" s="3" t="str">
        <x:v>ANTIQUE CREAM CUTLERY CUPBOARD</x:v>
      </x:c>
      <x:c r="D2166" s="13" t="n">
        <x:v>530.19</x:v>
      </x:c>
      <x:c r="E2166" s="13" t="n">
        <x:v>0</x:v>
      </x:c>
      <x:c r="F2166" s="13" t="n">
        <x:f>D2166-E2166</x:f>
        <x:v>530.19</x:v>
      </x:c>
      <x:c r="G2166" s="3" t="n">
        <x:v>50</x:v>
      </x:c>
      <x:c r="H2166" s="3" t="n">
        <x:v>0</x:v>
      </x:c>
      <x:c r="I2166" s="3" t="n">
        <x:v>36</x:v>
      </x:c>
      <x:c r="J2166" s="15" t="n">
        <x:f>IF(D2166=0,"n.a.",E2166/D2166)</x:f>
        <x:v>0</x:v>
      </x:c>
      <x:c r="K2166" s="15" t="n">
        <x:f>F2166/'Datos'!$F$7</x:f>
        <x:v>0.00005414130107762135</x:v>
      </x:c>
      <x:c r="L2166" s="3"/>
    </x:row>
    <x:row r="2167" ht="22" customHeight="1">
      <x:c r="A2167" s="3"/>
      <x:c r="B2167" s="3" t="str">
        <x:v>75131</x:v>
      </x:c>
      <x:c r="C2167" s="3" t="str">
        <x:v>METAL TUBE CHIME ON BAMBOO</x:v>
      </x:c>
      <x:c r="D2167" s="13" t="n">
        <x:v>529.21</x:v>
      </x:c>
      <x:c r="E2167" s="13" t="n">
        <x:v>0</x:v>
      </x:c>
      <x:c r="F2167" s="13" t="n">
        <x:f>D2167-E2167</x:f>
        <x:v>529.21</x:v>
      </x:c>
      <x:c r="G2167" s="3" t="n">
        <x:v>490</x:v>
      </x:c>
      <x:c r="H2167" s="3" t="n">
        <x:v>0</x:v>
      </x:c>
      <x:c r="I2167" s="3" t="n">
        <x:v>15</x:v>
      </x:c>
      <x:c r="J2167" s="15" t="n">
        <x:f>IF(D2167=0,"n.a.",E2167/D2167)</x:f>
        <x:v>0</x:v>
      </x:c>
      <x:c r="K2167" s="15" t="n">
        <x:f>F2167/'Datos'!$F$7</x:f>
        <x:v>0.00005404122662307474</x:v>
      </x:c>
      <x:c r="L2167" s="3"/>
    </x:row>
    <x:row r="2168" ht="22" customHeight="1">
      <x:c r="A2168" s="3"/>
      <x:c r="B2168" s="3" t="str">
        <x:v>22709</x:v>
      </x:c>
      <x:c r="C2168" s="3" t="str">
        <x:v>WRAP WEDDING DAY</x:v>
      </x:c>
      <x:c r="D2168" s="13" t="n">
        <x:v>528.5</x:v>
      </x:c>
      <x:c r="E2168" s="13" t="n">
        <x:v>0</x:v>
      </x:c>
      <x:c r="F2168" s="13" t="n">
        <x:f>D2168-E2168</x:f>
        <x:v>528.5</x:v>
      </x:c>
      <x:c r="G2168" s="3" t="n">
        <x:v>1325</x:v>
      </x:c>
      <x:c r="H2168" s="3" t="n">
        <x:v>0</x:v>
      </x:c>
      <x:c r="I2168" s="3" t="n">
        <x:v>39</x:v>
      </x:c>
      <x:c r="J2168" s="15" t="n">
        <x:f>IF(D2168=0,"n.a.",E2168/D2168)</x:f>
        <x:v>0</x:v>
      </x:c>
      <x:c r="K2168" s="15" t="n">
        <x:f>F2168/'Datos'!$F$7</x:f>
        <x:v>0.00005396872370192361</x:v>
      </x:c>
      <x:c r="L2168" s="3"/>
    </x:row>
    <x:row r="2169" ht="22" customHeight="1">
      <x:c r="A2169" s="3"/>
      <x:c r="B2169" s="3" t="str">
        <x:v>23060</x:v>
      </x:c>
      <x:c r="C2169" s="3" t="str">
        <x:v>HEART BEADED TRELLIS DECORATION</x:v>
      </x:c>
      <x:c r="D2169" s="13" t="n">
        <x:v>528.17</x:v>
      </x:c>
      <x:c r="E2169" s="13" t="n">
        <x:v>0</x:v>
      </x:c>
      <x:c r="F2169" s="13" t="n">
        <x:f>D2169-E2169</x:f>
        <x:v>528.17</x:v>
      </x:c>
      <x:c r="G2169" s="3" t="n">
        <x:v>249</x:v>
      </x:c>
      <x:c r="H2169" s="3" t="n">
        <x:v>0</x:v>
      </x:c>
      <x:c r="I2169" s="3" t="n">
        <x:v>42</x:v>
      </x:c>
      <x:c r="J2169" s="15" t="n">
        <x:f>IF(D2169=0,"n.a.",E2169/D2169)</x:f>
        <x:v>0</x:v>
      </x:c>
      <x:c r="K2169" s="15" t="n">
        <x:f>F2169/'Datos'!$F$7</x:f>
        <x:v>0.00005393502516110689</x:v>
      </x:c>
      <x:c r="L2169" s="3"/>
    </x:row>
    <x:row r="2170" ht="22" customHeight="1">
      <x:c r="A2170" s="3"/>
      <x:c r="B2170" s="3" t="str">
        <x:v>22707</x:v>
      </x:c>
      <x:c r="C2170" s="3" t="str">
        <x:v>WRAP MONSTER FUN</x:v>
      </x:c>
      <x:c r="D2170" s="13" t="n">
        <x:v>527.94</x:v>
      </x:c>
      <x:c r="E2170" s="13" t="n">
        <x:v>0</x:v>
      </x:c>
      <x:c r="F2170" s="13" t="n">
        <x:f>D2170-E2170</x:f>
        <x:v>527.94</x:v>
      </x:c>
      <x:c r="G2170" s="3" t="n">
        <x:v>1257</x:v>
      </x:c>
      <x:c r="H2170" s="3" t="n">
        <x:v>0</x:v>
      </x:c>
      <x:c r="I2170" s="3" t="n">
        <x:v>49</x:v>
      </x:c>
      <x:c r="J2170" s="15" t="n">
        <x:f>IF(D2170=0,"n.a.",E2170/D2170)</x:f>
        <x:v>0</x:v>
      </x:c>
      <x:c r="K2170" s="15" t="n">
        <x:f>F2170/'Datos'!$F$7</x:f>
        <x:v>0.00005391153829932556</x:v>
      </x:c>
      <x:c r="L2170" s="3"/>
    </x:row>
    <x:row r="2171" ht="22" customHeight="1">
      <x:c r="A2171" s="3"/>
      <x:c r="B2171" s="3" t="str">
        <x:v>22275</x:v>
      </x:c>
      <x:c r="C2171" s="3" t="str">
        <x:v>WEEKEND BAG VINTAGE ROSE PAISLEY</x:v>
      </x:c>
      <x:c r="D2171" s="13" t="n">
        <x:v>527.85</x:v>
      </x:c>
      <x:c r="E2171" s="13" t="n">
        <x:v>0</x:v>
      </x:c>
      <x:c r="F2171" s="13" t="n">
        <x:f>D2171-E2171</x:f>
        <x:v>527.85</x:v>
      </x:c>
      <x:c r="G2171" s="3" t="n">
        <x:v>69</x:v>
      </x:c>
      <x:c r="H2171" s="3" t="n">
        <x:v>0</x:v>
      </x:c>
      <x:c r="I2171" s="3" t="n">
        <x:v>1</x:v>
      </x:c>
      <x:c r="J2171" s="15" t="n">
        <x:f>IF(D2171=0,"n.a.",E2171/D2171)</x:f>
        <x:v>0</x:v>
      </x:c>
      <x:c r="K2171" s="15" t="n">
        <x:f>F2171/'Datos'!$F$7</x:f>
        <x:v>0.00005390234778819372</x:v>
      </x:c>
      <x:c r="L2171" s="3"/>
    </x:row>
    <x:row r="2172" ht="22" customHeight="1">
      <x:c r="A2172" s="3"/>
      <x:c r="B2172" s="3" t="str">
        <x:v>21277</x:v>
      </x:c>
      <x:c r="C2172" s="3" t="str">
        <x:v>FRENCH STYLE EMBOSSED HEART CABINET</x:v>
      </x:c>
      <x:c r="D2172" s="13" t="n">
        <x:v>571.43</x:v>
      </x:c>
      <x:c r="E2172" s="13" t="n">
        <x:v>43.9</x:v>
      </x:c>
      <x:c r="F2172" s="13" t="n">
        <x:f>D2172-E2172</x:f>
        <x:v>527.53</x:v>
      </x:c>
      <x:c r="G2172" s="3" t="n">
        <x:v>26</x:v>
      </x:c>
      <x:c r="H2172" s="3" t="n">
        <x:v>2</x:v>
      </x:c>
      <x:c r="I2172" s="3" t="n">
        <x:v>22</x:v>
      </x:c>
      <x:c r="J2172" s="15" t="n">
        <x:f>IF(D2172=0,"n.a.",E2172/D2172)</x:f>
        <x:v>0.07682480793798016</x:v>
      </x:c>
      <x:c r="K2172" s="15" t="n">
        <x:f>F2172/'Datos'!$F$7</x:f>
        <x:v>0.00005386967041528054</x:v>
      </x:c>
      <x:c r="L2172" s="3"/>
    </x:row>
    <x:row r="2173" ht="22" customHeight="1">
      <x:c r="A2173" s="3"/>
      <x:c r="B2173" s="3" t="str">
        <x:v>82613D</x:v>
      </x:c>
      <x:c r="C2173" s="3" t="str">
        <x:v>METAL SIGN CUPCAKE SINGLE HOOK</x:v>
      </x:c>
      <x:c r="D2173" s="13" t="n">
        <x:v>535.49</x:v>
      </x:c>
      <x:c r="E2173" s="13" t="n">
        <x:v>8.4</x:v>
      </x:c>
      <x:c r="F2173" s="13" t="n">
        <x:f>D2173-E2173</x:f>
        <x:v>527.09</x:v>
      </x:c>
      <x:c r="G2173" s="3" t="n">
        <x:v>697</x:v>
      </x:c>
      <x:c r="H2173" s="3" t="n">
        <x:v>20</x:v>
      </x:c>
      <x:c r="I2173" s="3" t="n">
        <x:v>111</x:v>
      </x:c>
      <x:c r="J2173" s="15" t="n">
        <x:f>IF(D2173=0,"n.a.",E2173/D2173)</x:f>
        <x:v>0.01568656744290276</x:v>
      </x:c>
      <x:c r="K2173" s="15" t="n">
        <x:f>F2173/'Datos'!$F$7</x:f>
        <x:v>0.00005382473902752492</x:v>
      </x:c>
      <x:c r="L2173" s="3"/>
    </x:row>
    <x:row r="2174" ht="22" customHeight="1">
      <x:c r="A2174" s="3"/>
      <x:c r="B2174" s="3" t="str">
        <x:v>22496</x:v>
      </x:c>
      <x:c r="C2174" s="3" t="str">
        <x:v>SET OF 2 ROUND TINS DUTCH CHEESE</x:v>
      </x:c>
      <x:c r="D2174" s="13" t="n">
        <x:v>538.06</x:v>
      </x:c>
      <x:c r="E2174" s="13" t="n">
        <x:v>11.8</x:v>
      </x:c>
      <x:c r="F2174" s="13" t="n">
        <x:f>D2174-E2174</x:f>
        <x:v>526.26</x:v>
      </x:c>
      <x:c r="G2174" s="3" t="n">
        <x:v>254</x:v>
      </x:c>
      <x:c r="H2174" s="3" t="n">
        <x:v>4</x:v>
      </x:c>
      <x:c r="I2174" s="3" t="n">
        <x:v>79</x:v>
      </x:c>
      <x:c r="J2174" s="15" t="n">
        <x:f>IF(D2174=0,"n.a.",E2174/D2174)</x:f>
        <x:v>0.02193063970560904</x:v>
      </x:c>
      <x:c r="K2174" s="15" t="n">
        <x:f>F2174/'Datos'!$F$7</x:f>
        <x:v>0.00005373998209153136</x:v>
      </x:c>
      <x:c r="L2174" s="3"/>
    </x:row>
    <x:row r="2175" ht="22" customHeight="1">
      <x:c r="A2175" s="3"/>
      <x:c r="B2175" s="3" t="str">
        <x:v>35809A</x:v>
      </x:c>
      <x:c r="C2175" s="3" t="str">
        <x:v>ENAMEL PINK TEA CONTAINER</x:v>
      </x:c>
      <x:c r="D2175" s="13" t="n">
        <x:v>526.22</x:v>
      </x:c>
      <x:c r="E2175" s="13" t="n">
        <x:v>0</x:v>
      </x:c>
      <x:c r="F2175" s="13" t="n">
        <x:f>D2175-E2175</x:f>
        <x:v>526.22</x:v>
      </x:c>
      <x:c r="G2175" s="3" t="n">
        <x:v>430</x:v>
      </x:c>
      <x:c r="H2175" s="3" t="n">
        <x:v>0</x:v>
      </x:c>
      <x:c r="I2175" s="3" t="n">
        <x:v>71</x:v>
      </x:c>
      <x:c r="J2175" s="15" t="n">
        <x:f>IF(D2175=0,"n.a.",E2175/D2175)</x:f>
        <x:v>0</x:v>
      </x:c>
      <x:c r="K2175" s="15" t="n">
        <x:f>F2175/'Datos'!$F$7</x:f>
        <x:v>0.000053735897419917214</x:v>
      </x:c>
      <x:c r="L2175" s="3"/>
    </x:row>
    <x:row r="2176" ht="22" customHeight="1">
      <x:c r="A2176" s="3"/>
      <x:c r="B2176" s="3" t="str">
        <x:v>20785</x:v>
      </x:c>
      <x:c r="C2176" s="3" t="str">
        <x:v>FUSCHIA RETRO BAR STOOL</x:v>
      </x:c>
      <x:c r="D2176" s="13" t="n">
        <x:v>523.3</x:v>
      </x:c>
      <x:c r="E2176" s="13" t="n">
        <x:v>0</x:v>
      </x:c>
      <x:c r="F2176" s="13" t="n">
        <x:f>D2176-E2176</x:f>
        <x:v>523.3</x:v>
      </x:c>
      <x:c r="G2176" s="3" t="n">
        <x:v>14</x:v>
      </x:c>
      <x:c r="H2176" s="3" t="n">
        <x:v>0</x:v>
      </x:c>
      <x:c r="I2176" s="3" t="n">
        <x:v>5</x:v>
      </x:c>
      <x:c r="J2176" s="15" t="n">
        <x:f>IF(D2176=0,"n.a.",E2176/D2176)</x:f>
        <x:v>0</x:v>
      </x:c>
      <x:c r="K2176" s="15" t="n">
        <x:f>F2176/'Datos'!$F$7</x:f>
        <x:v>0.00005343771639208444</x:v>
      </x:c>
      <x:c r="L2176" s="3"/>
    </x:row>
    <x:row r="2177" ht="22" customHeight="1">
      <x:c r="A2177" s="3"/>
      <x:c r="B2177" s="3" t="str">
        <x:v>22861</x:v>
      </x:c>
      <x:c r="C2177" s="3" t="str">
        <x:v>EASTER TIN CHICKS IN GARDEN</x:v>
      </x:c>
      <x:c r="D2177" s="13" t="n">
        <x:v>522.93</x:v>
      </x:c>
      <x:c r="E2177" s="13" t="n">
        <x:v>0</x:v>
      </x:c>
      <x:c r="F2177" s="13" t="n">
        <x:f>D2177-E2177</x:f>
        <x:v>522.93</x:v>
      </x:c>
      <x:c r="G2177" s="3" t="n">
        <x:v>305</x:v>
      </x:c>
      <x:c r="H2177" s="3" t="n">
        <x:v>0</x:v>
      </x:c>
      <x:c r="I2177" s="3" t="n">
        <x:v>50</x:v>
      </x:c>
      <x:c r="J2177" s="15" t="n">
        <x:f>IF(D2177=0,"n.a.",E2177/D2177)</x:f>
        <x:v>0</x:v>
      </x:c>
      <x:c r="K2177" s="15" t="n">
        <x:f>F2177/'Datos'!$F$7</x:f>
        <x:v>0.000053399933179653574</x:v>
      </x:c>
      <x:c r="L2177" s="3"/>
    </x:row>
    <x:row r="2178" ht="22" customHeight="1">
      <x:c r="A2178" s="3"/>
      <x:c r="B2178" s="3" t="str">
        <x:v>23336</x:v>
      </x:c>
      <x:c r="C2178" s="3" t="str">
        <x:v>EGG FRYING PAN PINK</x:v>
      </x:c>
      <x:c r="D2178" s="13" t="n">
        <x:v>521.33</x:v>
      </x:c>
      <x:c r="E2178" s="13" t="n">
        <x:v>0</x:v>
      </x:c>
      <x:c r="F2178" s="13" t="n">
        <x:f>D2178-E2178</x:f>
        <x:v>521.33</x:v>
      </x:c>
      <x:c r="G2178" s="3" t="n">
        <x:v>226</x:v>
      </x:c>
      <x:c r="H2178" s="3" t="n">
        <x:v>0</x:v>
      </x:c>
      <x:c r="I2178" s="3" t="n">
        <x:v>85</x:v>
      </x:c>
      <x:c r="J2178" s="15" t="n">
        <x:f>IF(D2178=0,"n.a.",E2178/D2178)</x:f>
        <x:v>0</x:v>
      </x:c>
      <x:c r="K2178" s="15" t="n">
        <x:f>F2178/'Datos'!$F$7</x:f>
        <x:v>0.00005323654631508768</x:v>
      </x:c>
      <x:c r="L2178" s="3"/>
    </x:row>
    <x:row r="2179" ht="22" customHeight="1">
      <x:c r="A2179" s="3"/>
      <x:c r="B2179" s="3" t="str">
        <x:v>85131B</x:v>
      </x:c>
      <x:c r="C2179" s="3" t="str">
        <x:v>BEADED CRYSTAL HEART GREEN ON STICK</x:v>
      </x:c>
      <x:c r="D2179" s="13" t="n">
        <x:v>521.11</x:v>
      </x:c>
      <x:c r="E2179" s="13" t="n">
        <x:v>0</x:v>
      </x:c>
      <x:c r="F2179" s="13" t="n">
        <x:f>D2179-E2179</x:f>
        <x:v>521.11</x:v>
      </x:c>
      <x:c r="G2179" s="3" t="n">
        <x:v>623</x:v>
      </x:c>
      <x:c r="H2179" s="3" t="n">
        <x:v>0</x:v>
      </x:c>
      <x:c r="I2179" s="3" t="n">
        <x:v>172</x:v>
      </x:c>
      <x:c r="J2179" s="15" t="n">
        <x:f>IF(D2179=0,"n.a.",E2179/D2179)</x:f>
        <x:v>0</x:v>
      </x:c>
      <x:c r="K2179" s="15" t="n">
        <x:f>F2179/'Datos'!$F$7</x:f>
        <x:v>0.00005321408062120987</x:v>
      </x:c>
      <x:c r="L2179" s="3"/>
    </x:row>
    <x:row r="2180" ht="22" customHeight="1">
      <x:c r="A2180" s="3"/>
      <x:c r="B2180" s="3" t="str">
        <x:v>85025C</x:v>
      </x:c>
      <x:c r="C2180" s="3" t="str">
        <x:v>PINK HEART SHAPE PHOTO FRAME</x:v>
      </x:c>
      <x:c r="D2180" s="13" t="n">
        <x:v>522.56</x:v>
      </x:c>
      <x:c r="E2180" s="13" t="n">
        <x:v>1.65</x:v>
      </x:c>
      <x:c r="F2180" s="13" t="n">
        <x:f>D2180-E2180</x:f>
        <x:v>520.91</x:v>
      </x:c>
      <x:c r="G2180" s="3" t="n">
        <x:v>322</x:v>
      </x:c>
      <x:c r="H2180" s="3" t="n">
        <x:v>1</x:v>
      </x:c>
      <x:c r="I2180" s="3" t="n">
        <x:v>39</x:v>
      </x:c>
      <x:c r="J2180" s="15" t="n">
        <x:f>IF(D2180=0,"n.a.",E2180/D2180)</x:f>
        <x:v>0.003157532149418249</x:v>
      </x:c>
      <x:c r="K2180" s="15" t="n">
        <x:f>F2180/'Datos'!$F$7</x:f>
        <x:v>0.00005319365726313913</x:v>
      </x:c>
      <x:c r="L2180" s="3"/>
    </x:row>
    <x:row r="2181" ht="22" customHeight="1">
      <x:c r="A2181" s="3"/>
      <x:c r="B2181" s="3" t="str">
        <x:v>84313B</x:v>
      </x:c>
      <x:c r="C2181" s="3" t="str">
        <x:v>BLUE TV TRAY TABLE</x:v>
      </x:c>
      <x:c r="D2181" s="13" t="n">
        <x:v>518.61</x:v>
      </x:c>
      <x:c r="E2181" s="13" t="n">
        <x:v>0</x:v>
      </x:c>
      <x:c r="F2181" s="13" t="n">
        <x:f>D2181-E2181</x:f>
        <x:v>518.61</x:v>
      </x:c>
      <x:c r="G2181" s="3" t="n">
        <x:v>127</x:v>
      </x:c>
      <x:c r="H2181" s="3" t="n">
        <x:v>0</x:v>
      </x:c>
      <x:c r="I2181" s="3" t="n">
        <x:v>39</x:v>
      </x:c>
      <x:c r="J2181" s="15" t="n">
        <x:f>IF(D2181=0,"n.a.",E2181/D2181)</x:f>
        <x:v>0</x:v>
      </x:c>
      <x:c r="K2181" s="15" t="n">
        <x:f>F2181/'Datos'!$F$7</x:f>
        <x:v>0.00005295878864532565</x:v>
      </x:c>
      <x:c r="L2181" s="3"/>
    </x:row>
    <x:row r="2182" ht="22" customHeight="1">
      <x:c r="A2182" s="3"/>
      <x:c r="B2182" s="3" t="str">
        <x:v>21059</x:v>
      </x:c>
      <x:c r="C2182" s="3" t="str">
        <x:v>PARTY INVITES DINOSAURS</x:v>
      </x:c>
      <x:c r="D2182" s="13" t="n">
        <x:v>528.23</x:v>
      </x:c>
      <x:c r="E2182" s="13" t="n">
        <x:v>10.2</x:v>
      </x:c>
      <x:c r="F2182" s="13" t="n">
        <x:f>D2182-E2182</x:f>
        <x:v>518.03</x:v>
      </x:c>
      <x:c r="G2182" s="3" t="n">
        <x:v>611</x:v>
      </x:c>
      <x:c r="H2182" s="3" t="n">
        <x:v>12</x:v>
      </x:c>
      <x:c r="I2182" s="3" t="n">
        <x:v>94</x:v>
      </x:c>
      <x:c r="J2182" s="15" t="n">
        <x:f>IF(D2182=0,"n.a.",E2182/D2182)</x:f>
        <x:v>0.019309770365181833</x:v>
      </x:c>
      <x:c r="K2182" s="15" t="n">
        <x:f>F2182/'Datos'!$F$7</x:f>
        <x:v>0.00005289956090692051</x:v>
      </x:c>
      <x:c r="L2182" s="3"/>
    </x:row>
    <x:row r="2183" ht="22" customHeight="1">
      <x:c r="A2183" s="3"/>
      <x:c r="B2183" s="3" t="str">
        <x:v>20761</x:v>
      </x:c>
      <x:c r="C2183" s="3" t="str">
        <x:v>BLUE PAISLEY SKETCHBOOK</x:v>
      </x:c>
      <x:c r="D2183" s="13" t="n">
        <x:v>517.22</x:v>
      </x:c>
      <x:c r="E2183" s="13" t="n">
        <x:v>0</x:v>
      </x:c>
      <x:c r="F2183" s="13" t="n">
        <x:f>D2183-E2183</x:f>
        <x:v>517.22</x:v>
      </x:c>
      <x:c r="G2183" s="3" t="n">
        <x:v>123</x:v>
      </x:c>
      <x:c r="H2183" s="3" t="n">
        <x:v>0</x:v>
      </x:c>
      <x:c r="I2183" s="3" t="n">
        <x:v>63</x:v>
      </x:c>
      <x:c r="J2183" s="15" t="n">
        <x:f>IF(D2183=0,"n.a.",E2183/D2183)</x:f>
        <x:v>0</x:v>
      </x:c>
      <x:c r="K2183" s="15" t="n">
        <x:f>F2183/'Datos'!$F$7</x:f>
        <x:v>0.00005281684630673403</x:v>
      </x:c>
      <x:c r="L2183" s="3"/>
    </x:row>
    <x:row r="2184" ht="22" customHeight="1">
      <x:c r="A2184" s="3"/>
      <x:c r="B2184" s="3" t="str">
        <x:v>85104</x:v>
      </x:c>
      <x:c r="C2184" s="3" t="str">
        <x:v>SILVER GLASS T-LIGHT SET</x:v>
      </x:c>
      <x:c r="D2184" s="13" t="n">
        <x:v>525.75</x:v>
      </x:c>
      <x:c r="E2184" s="13" t="n">
        <x:v>8.85</x:v>
      </x:c>
      <x:c r="F2184" s="13" t="n">
        <x:f>D2184-E2184</x:f>
        <x:v>516.9</x:v>
      </x:c>
      <x:c r="G2184" s="3" t="n">
        <x:v>201</x:v>
      </x:c>
      <x:c r="H2184" s="3" t="n">
        <x:v>3</x:v>
      </x:c>
      <x:c r="I2184" s="3" t="n">
        <x:v>17</x:v>
      </x:c>
      <x:c r="J2184" s="15" t="n">
        <x:f>IF(D2184=0,"n.a.",E2184/D2184)</x:f>
        <x:v>0.016833095577746076</x:v>
      </x:c>
      <x:c r="K2184" s="15" t="n">
        <x:f>F2184/'Datos'!$F$7</x:f>
        <x:v>0.000052784168933820845</x:v>
      </x:c>
      <x:c r="L2184" s="3"/>
    </x:row>
    <x:row r="2185" ht="22" customHeight="1">
      <x:c r="A2185" s="3"/>
      <x:c r="B2185" s="3" t="str">
        <x:v>85135B</x:v>
      </x:c>
      <x:c r="C2185" s="3" t="str">
        <x:v>BLUE DRAGONFLY HELICOPTER</x:v>
      </x:c>
      <x:c r="D2185" s="13" t="n">
        <x:v>524.55</x:v>
      </x:c>
      <x:c r="E2185" s="13" t="n">
        <x:v>7.95</x:v>
      </x:c>
      <x:c r="F2185" s="13" t="n">
        <x:f>D2185-E2185</x:f>
        <x:v>516.5999999999999</x:v>
      </x:c>
      <x:c r="G2185" s="3" t="n">
        <x:v>65</x:v>
      </x:c>
      <x:c r="H2185" s="3" t="n">
        <x:v>1</x:v>
      </x:c>
      <x:c r="I2185" s="3" t="n">
        <x:v>45</x:v>
      </x:c>
      <x:c r="J2185" s="15" t="n">
        <x:f>IF(D2185=0,"n.a.",E2185/D2185)</x:f>
        <x:v>0.015155847869602519</x:v>
      </x:c>
      <x:c r="K2185" s="15" t="n">
        <x:f>F2185/'Datos'!$F$7</x:f>
        <x:v>0.00005275353389671473</x:v>
      </x:c>
      <x:c r="L2185" s="3"/>
    </x:row>
    <x:row r="2186" ht="22" customHeight="1">
      <x:c r="A2186" s="3"/>
      <x:c r="B2186" s="3" t="str">
        <x:v>21801</x:v>
      </x:c>
      <x:c r="C2186" s="3" t="str">
        <x:v>CHRISTMAS TREE DECORATION WITH BELL</x:v>
      </x:c>
      <x:c r="D2186" s="13" t="n">
        <x:v>530.26</x:v>
      </x:c>
      <x:c r="E2186" s="13" t="n">
        <x:v>15.12</x:v>
      </x:c>
      <x:c r="F2186" s="13" t="n">
        <x:f>D2186-E2186</x:f>
        <x:v>515.14</x:v>
      </x:c>
      <x:c r="G2186" s="3" t="n">
        <x:v>1251</x:v>
      </x:c>
      <x:c r="H2186" s="3" t="n">
        <x:v>36</x:v>
      </x:c>
      <x:c r="I2186" s="3" t="n">
        <x:v>125</x:v>
      </x:c>
      <x:c r="J2186" s="15" t="n">
        <x:f>IF(D2186=0,"n.a.",E2186/D2186)</x:f>
        <x:v>0.02851431373288575</x:v>
      </x:c>
      <x:c r="K2186" s="15" t="n">
        <x:f>F2186/'Datos'!$F$7</x:f>
        <x:v>0.00005260444338279835</x:v>
      </x:c>
      <x:c r="L2186" s="3"/>
    </x:row>
    <x:row r="2187" ht="22" customHeight="1">
      <x:c r="A2187" s="3"/>
      <x:c r="B2187" s="3" t="str">
        <x:v>21711</x:v>
      </x:c>
      <x:c r="C2187" s="3" t="str">
        <x:v>FOLDING UMBRELLA WHITE/RED POLKADOT</x:v>
      </x:c>
      <x:c r="D2187" s="13" t="n">
        <x:v>513.02</x:v>
      </x:c>
      <x:c r="E2187" s="13" t="n">
        <x:v>0</x:v>
      </x:c>
      <x:c r="F2187" s="13" t="n">
        <x:f>D2187-E2187</x:f>
        <x:v>513.02</x:v>
      </x:c>
      <x:c r="G2187" s="3" t="n">
        <x:v>104</x:v>
      </x:c>
      <x:c r="H2187" s="3" t="n">
        <x:v>0</x:v>
      </x:c>
      <x:c r="I2187" s="3" t="n">
        <x:v>36</x:v>
      </x:c>
      <x:c r="J2187" s="15" t="n">
        <x:f>IF(D2187=0,"n.a.",E2187/D2187)</x:f>
        <x:v>0</x:v>
      </x:c>
      <x:c r="K2187" s="15" t="n">
        <x:f>F2187/'Datos'!$F$7</x:f>
        <x:v>0.00005238795578724854</x:v>
      </x:c>
      <x:c r="L2187" s="3"/>
    </x:row>
    <x:row r="2188" ht="22" customHeight="1">
      <x:c r="A2188" s="3"/>
      <x:c r="B2188" s="3" t="str">
        <x:v>22216</x:v>
      </x:c>
      <x:c r="C2188" s="3" t="str">
        <x:v>T-LIGHT HOLDER WHITE LACE</x:v>
      </x:c>
      <x:c r="D2188" s="13" t="n">
        <x:v>512.93</x:v>
      </x:c>
      <x:c r="E2188" s="13" t="n">
        <x:v>0</x:v>
      </x:c>
      <x:c r="F2188" s="13" t="n">
        <x:f>D2188-E2188</x:f>
        <x:v>512.93</x:v>
      </x:c>
      <x:c r="G2188" s="3" t="n">
        <x:v>588</x:v>
      </x:c>
      <x:c r="H2188" s="3" t="n">
        <x:v>0</x:v>
      </x:c>
      <x:c r="I2188" s="3" t="n">
        <x:v>68</x:v>
      </x:c>
      <x:c r="J2188" s="15" t="n">
        <x:f>IF(D2188=0,"n.a.",E2188/D2188)</x:f>
        <x:v>0</x:v>
      </x:c>
      <x:c r="K2188" s="15" t="n">
        <x:f>F2188/'Datos'!$F$7</x:f>
        <x:v>0.0000523787652761167</x:v>
      </x:c>
      <x:c r="L2188" s="3"/>
    </x:row>
    <x:row r="2189" ht="22" customHeight="1">
      <x:c r="A2189" s="3"/>
      <x:c r="B2189" s="3" t="str">
        <x:v>23139</x:v>
      </x:c>
      <x:c r="C2189" s="3" t="str">
        <x:v>SINGLE WIRE HOOK PINK HEART</x:v>
      </x:c>
      <x:c r="D2189" s="13" t="n">
        <x:v>530.15</x:v>
      </x:c>
      <x:c r="E2189" s="13" t="n">
        <x:v>17.4</x:v>
      </x:c>
      <x:c r="F2189" s="13" t="n">
        <x:f>D2189-E2189</x:f>
        <x:v>512.75</x:v>
      </x:c>
      <x:c r="G2189" s="3" t="n">
        <x:v>415</x:v>
      </x:c>
      <x:c r="H2189" s="3" t="n">
        <x:v>12</x:v>
      </x:c>
      <x:c r="I2189" s="3" t="n">
        <x:v>27</x:v>
      </x:c>
      <x:c r="J2189" s="15" t="n">
        <x:f>IF(D2189=0,"n.a.",E2189/D2189)</x:f>
        <x:v>0.032820899745355084</x:v>
      </x:c>
      <x:c r="K2189" s="15" t="n">
        <x:f>F2189/'Datos'!$F$7</x:f>
        <x:v>0.00005236038425385304</x:v>
      </x:c>
      <x:c r="L2189" s="3"/>
    </x:row>
    <x:row r="2190" ht="22" customHeight="1">
      <x:c r="A2190" s="3"/>
      <x:c r="B2190" s="3" t="str">
        <x:v>23136</x:v>
      </x:c>
      <x:c r="C2190" s="3" t="str">
        <x:v>IVORY WIRE SWEETHEART LETTER TRAY</x:v>
      </x:c>
      <x:c r="D2190" s="13" t="n">
        <x:v>511.89</x:v>
      </x:c>
      <x:c r="E2190" s="13" t="n">
        <x:v>0</x:v>
      </x:c>
      <x:c r="F2190" s="13" t="n">
        <x:f>D2190-E2190</x:f>
        <x:v>511.89</x:v>
      </x:c>
      <x:c r="G2190" s="3" t="n">
        <x:v>135</x:v>
      </x:c>
      <x:c r="H2190" s="3" t="n">
        <x:v>0</x:v>
      </x:c>
      <x:c r="I2190" s="3" t="n">
        <x:v>49</x:v>
      </x:c>
      <x:c r="J2190" s="15" t="n">
        <x:f>IF(D2190=0,"n.a.",E2190/D2190)</x:f>
        <x:v>0</x:v>
      </x:c>
      <x:c r="K2190" s="15" t="n">
        <x:f>F2190/'Datos'!$F$7</x:f>
        <x:v>0.00005227256381414887</x:v>
      </x:c>
      <x:c r="L2190" s="3"/>
    </x:row>
    <x:row r="2191" ht="22" customHeight="1">
      <x:c r="A2191" s="3"/>
      <x:c r="B2191" s="3" t="str">
        <x:v>22280</x:v>
      </x:c>
      <x:c r="C2191" s="3" t="str">
        <x:v>POCKET BAG PINK PAISELY BROWN SPOT</x:v>
      </x:c>
      <x:c r="D2191" s="13" t="n">
        <x:v>510.84</x:v>
      </x:c>
      <x:c r="E2191" s="13" t="n">
        <x:v>0</x:v>
      </x:c>
      <x:c r="F2191" s="13" t="n">
        <x:f>D2191-E2191</x:f>
        <x:v>510.84</x:v>
      </x:c>
      <x:c r="G2191" s="3" t="n">
        <x:v>469</x:v>
      </x:c>
      <x:c r="H2191" s="3" t="n">
        <x:v>0</x:v>
      </x:c>
      <x:c r="I2191" s="3" t="n">
        <x:v>95</x:v>
      </x:c>
      <x:c r="J2191" s="15" t="n">
        <x:f>IF(D2191=0,"n.a.",E2191/D2191)</x:f>
        <x:v>0</x:v>
      </x:c>
      <x:c r="K2191" s="15" t="n">
        <x:f>F2191/'Datos'!$F$7</x:f>
        <x:v>0.0000521653411842775</x:v>
      </x:c>
      <x:c r="L2191" s="3"/>
    </x:row>
    <x:row r="2192" ht="22" customHeight="1">
      <x:c r="A2192" s="3"/>
      <x:c r="B2192" s="3" t="str">
        <x:v>84352</x:v>
      </x:c>
      <x:c r="C2192" s="3" t="str">
        <x:v>SILVER CHRISTMAS TREE BAUBLE STAND</x:v>
      </x:c>
      <x:c r="D2192" s="13" t="n">
        <x:v>577.35</x:v>
      </x:c>
      <x:c r="E2192" s="13" t="n">
        <x:v>67.8</x:v>
      </x:c>
      <x:c r="F2192" s="13" t="n">
        <x:f>D2192-E2192</x:f>
        <x:v>509.55</x:v>
      </x:c>
      <x:c r="G2192" s="3" t="n">
        <x:v>34</x:v>
      </x:c>
      <x:c r="H2192" s="3" t="n">
        <x:v>4</x:v>
      </x:c>
      <x:c r="I2192" s="3" t="n">
        <x:v>23</x:v>
      </x:c>
      <x:c r="J2192" s="15" t="n">
        <x:f>IF(D2192=0,"n.a.",E2192/D2192)</x:f>
        <x:v>0.11743309950636528</x:v>
      </x:c>
      <x:c r="K2192" s="15" t="n">
        <x:f>F2192/'Datos'!$F$7</x:f>
        <x:v>0.00005203361052472125</x:v>
      </x:c>
      <x:c r="L2192" s="3"/>
    </x:row>
    <x:row r="2193" ht="22" customHeight="1">
      <x:c r="A2193" s="3"/>
      <x:c r="B2193" s="3" t="str">
        <x:v>21654</x:v>
      </x:c>
      <x:c r="C2193" s="3" t="str">
        <x:v>RIDGED GLASS FINGER BOWL</x:v>
      </x:c>
      <x:c r="D2193" s="13" t="n">
        <x:v>509.36</x:v>
      </x:c>
      <x:c r="E2193" s="13" t="n">
        <x:v>0</x:v>
      </x:c>
      <x:c r="F2193" s="13" t="n">
        <x:f>D2193-E2193</x:f>
        <x:v>509.36</x:v>
      </x:c>
      <x:c r="G2193" s="3" t="n">
        <x:v>986</x:v>
      </x:c>
      <x:c r="H2193" s="3" t="n">
        <x:v>0</x:v>
      </x:c>
      <x:c r="I2193" s="3" t="n">
        <x:v>59</x:v>
      </x:c>
      <x:c r="J2193" s="15" t="n">
        <x:f>IF(D2193=0,"n.a.",E2193/D2193)</x:f>
        <x:v>0</x:v>
      </x:c>
      <x:c r="K2193" s="15" t="n">
        <x:f>F2193/'Datos'!$F$7</x:f>
        <x:v>0.00005201420833455405</x:v>
      </x:c>
      <x:c r="L2193" s="3"/>
    </x:row>
    <x:row r="2194" ht="22" customHeight="1">
      <x:c r="A2194" s="3"/>
      <x:c r="B2194" s="3" t="str">
        <x:v>72819</x:v>
      </x:c>
      <x:c r="C2194" s="3" t="str">
        <x:v>CUPID DESIGN SCENTED CANDLES</x:v>
      </x:c>
      <x:c r="D2194" s="13" t="n">
        <x:v>509.07</x:v>
      </x:c>
      <x:c r="E2194" s="13" t="n">
        <x:v>0</x:v>
      </x:c>
      <x:c r="F2194" s="13" t="n">
        <x:f>D2194-E2194</x:f>
        <x:v>509.07</x:v>
      </x:c>
      <x:c r="G2194" s="3" t="n">
        <x:v>225</x:v>
      </x:c>
      <x:c r="H2194" s="3" t="n">
        <x:v>0</x:v>
      </x:c>
      <x:c r="I2194" s="3" t="n">
        <x:v>43</x:v>
      </x:c>
      <x:c r="J2194" s="15" t="n">
        <x:f>IF(D2194=0,"n.a.",E2194/D2194)</x:f>
        <x:v>0</x:v>
      </x:c>
      <x:c r="K2194" s="15" t="n">
        <x:f>F2194/'Datos'!$F$7</x:f>
        <x:v>0.00005198459446535147</x:v>
      </x:c>
      <x:c r="L2194" s="3"/>
    </x:row>
    <x:row r="2195" ht="22" customHeight="1">
      <x:c r="A2195" s="3"/>
      <x:c r="B2195" s="3" t="str">
        <x:v>22248</x:v>
      </x:c>
      <x:c r="C2195" s="3" t="str">
        <x:v>DECORATION PINK CHICK MAGIC GARDEN</x:v>
      </x:c>
      <x:c r="D2195" s="13" t="n">
        <x:v>525.94</x:v>
      </x:c>
      <x:c r="E2195" s="13" t="n">
        <x:v>17</x:v>
      </x:c>
      <x:c r="F2195" s="13" t="n">
        <x:f>D2195-E2195</x:f>
        <x:v>508.94000000000005</x:v>
      </x:c>
      <x:c r="G2195" s="3" t="n">
        <x:v>594</x:v>
      </x:c>
      <x:c r="H2195" s="3" t="n">
        <x:v>20</x:v>
      </x:c>
      <x:c r="I2195" s="3" t="n">
        <x:v>109</x:v>
      </x:c>
      <x:c r="J2195" s="15" t="n">
        <x:f>IF(D2195=0,"n.a.",E2195/D2195)</x:f>
        <x:v>0.032323078678176215</x:v>
      </x:c>
      <x:c r="K2195" s="15" t="n">
        <x:f>F2195/'Datos'!$F$7</x:f>
        <x:v>0.0000519713192826055</x:v>
      </x:c>
      <x:c r="L2195" s="3"/>
    </x:row>
    <x:row r="2196" ht="22" customHeight="1">
      <x:c r="A2196" s="3"/>
      <x:c r="B2196" s="3" t="str">
        <x:v>84520B</x:v>
      </x:c>
      <x:c r="C2196" s="3" t="str">
        <x:v>PACK 20 ENGLISH ROSE PAPER NAPKINS</x:v>
      </x:c>
      <x:c r="D2196" s="13" t="n">
        <x:v>508.37</x:v>
      </x:c>
      <x:c r="E2196" s="13" t="n">
        <x:v>0</x:v>
      </x:c>
      <x:c r="F2196" s="13" t="n">
        <x:f>D2196-E2196</x:f>
        <x:v>508.37</x:v>
      </x:c>
      <x:c r="G2196" s="3" t="n">
        <x:v>554</x:v>
      </x:c>
      <x:c r="H2196" s="3" t="n">
        <x:v>0</x:v>
      </x:c>
      <x:c r="I2196" s="3" t="n">
        <x:v>80</x:v>
      </x:c>
      <x:c r="J2196" s="15" t="n">
        <x:f>IF(D2196=0,"n.a.",E2196/D2196)</x:f>
        <x:v>0</x:v>
      </x:c>
      <x:c r="K2196" s="15" t="n">
        <x:f>F2196/'Datos'!$F$7</x:f>
        <x:v>0.000051913112712103894</x:v>
      </x:c>
      <x:c r="L2196" s="3"/>
    </x:row>
    <x:row r="2197" ht="22" customHeight="1">
      <x:c r="A2197" s="3"/>
      <x:c r="B2197" s="3" t="str">
        <x:v>23660</x:v>
      </x:c>
      <x:c r="C2197" s="3" t="str">
        <x:v>HENRIETTA HEN MUG</x:v>
      </x:c>
      <x:c r="D2197" s="13" t="n">
        <x:v>534.66</x:v>
      </x:c>
      <x:c r="E2197" s="13" t="n">
        <x:v>26.4</x:v>
      </x:c>
      <x:c r="F2197" s="13" t="n">
        <x:f>D2197-E2197</x:f>
        <x:v>508.26</x:v>
      </x:c>
      <x:c r="G2197" s="3" t="n">
        <x:v>306</x:v>
      </x:c>
      <x:c r="H2197" s="3" t="n">
        <x:v>16</x:v>
      </x:c>
      <x:c r="I2197" s="3" t="n">
        <x:v>42</x:v>
      </x:c>
      <x:c r="J2197" s="15" t="n">
        <x:f>IF(D2197=0,"n.a.",E2197/D2197)</x:f>
        <x:v>0.049377174278981036</x:v>
      </x:c>
      <x:c r="K2197" s="15" t="n">
        <x:f>F2197/'Datos'!$F$7</x:f>
        <x:v>0.00005190187986516499</x:v>
      </x:c>
      <x:c r="L2197" s="3"/>
    </x:row>
    <x:row r="2198" ht="22" customHeight="1">
      <x:c r="A2198" s="3"/>
      <x:c r="B2198" s="3" t="str">
        <x:v>84665</x:v>
      </x:c>
      <x:c r="C2198" s="3" t="str">
        <x:v>SQUARE CHERRY BLOSSOM CABINET</x:v>
      </x:c>
      <x:c r="D2198" s="13" t="n">
        <x:v>624.75</x:v>
      </x:c>
      <x:c r="E2198" s="13" t="n">
        <x:v>119</x:v>
      </x:c>
      <x:c r="F2198" s="13" t="n">
        <x:f>D2198-E2198</x:f>
        <x:v>505.75</x:v>
      </x:c>
      <x:c r="G2198" s="3" t="n">
        <x:v>105</x:v>
      </x:c>
      <x:c r="H2198" s="3" t="n">
        <x:v>20</x:v>
      </x:c>
      <x:c r="I2198" s="3" t="n">
        <x:v>17</x:v>
      </x:c>
      <x:c r="J2198" s="15" t="n">
        <x:f>IF(D2198=0,"n.a.",E2198/D2198)</x:f>
        <x:v>0.19047619047619047</x:v>
      </x:c>
      <x:c r="K2198" s="15" t="n">
        <x:f>F2198/'Datos'!$F$7</x:f>
        <x:v>0.000051645566721377235</x:v>
      </x:c>
      <x:c r="L2198" s="3"/>
    </x:row>
    <x:row r="2199" ht="22" customHeight="1">
      <x:c r="A2199" s="3"/>
      <x:c r="B2199" s="3" t="str">
        <x:v>21455</x:v>
      </x:c>
      <x:c r="C2199" s="3" t="str">
        <x:v>PAINTED YELLOW WOODEN DAISY</x:v>
      </x:c>
      <x:c r="D2199" s="13" t="n">
        <x:v>516.79</x:v>
      </x:c>
      <x:c r="E2199" s="13" t="n">
        <x:v>11.05</x:v>
      </x:c>
      <x:c r="F2199" s="13" t="n">
        <x:f>D2199-E2199</x:f>
        <x:v>505.73999999999995</x:v>
      </x:c>
      <x:c r="G2199" s="3" t="n">
        <x:v>612</x:v>
      </x:c>
      <x:c r="H2199" s="3" t="n">
        <x:v>13</x:v>
      </x:c>
      <x:c r="I2199" s="3" t="n">
        <x:v>117</x:v>
      </x:c>
      <x:c r="J2199" s="15" t="n">
        <x:f>IF(D2199=0,"n.a.",E2199/D2199)</x:f>
        <x:v>0.021381992685616986</x:v>
      </x:c>
      <x:c r="K2199" s="15" t="n">
        <x:f>F2199/'Datos'!$F$7</x:f>
        <x:v>0.000051644545553473696</x:v>
      </x:c>
      <x:c r="L2199" s="3"/>
    </x:row>
    <x:row r="2200" ht="22" customHeight="1">
      <x:c r="A2200" s="3"/>
      <x:c r="B2200" s="3" t="str">
        <x:v>20998</x:v>
      </x:c>
      <x:c r="C2200" s="3" t="str">
        <x:v>ROSE DU SUD OVEN GLOVE</x:v>
      </x:c>
      <x:c r="D2200" s="13" t="n">
        <x:v>505.2</x:v>
      </x:c>
      <x:c r="E2200" s="13" t="n">
        <x:v>0</x:v>
      </x:c>
      <x:c r="F2200" s="13" t="n">
        <x:f>D2200-E2200</x:f>
        <x:v>505.2</x:v>
      </x:c>
      <x:c r="G2200" s="3" t="n">
        <x:v>185</x:v>
      </x:c>
      <x:c r="H2200" s="3" t="n">
        <x:v>0</x:v>
      </x:c>
      <x:c r="I2200" s="3" t="n">
        <x:v>69</x:v>
      </x:c>
      <x:c r="J2200" s="15" t="n">
        <x:f>IF(D2200=0,"n.a.",E2200/D2200)</x:f>
        <x:v>0</x:v>
      </x:c>
      <x:c r="K2200" s="15" t="n">
        <x:f>F2200/'Datos'!$F$7</x:f>
        <x:v>0.000051589402486682705</x:v>
      </x:c>
      <x:c r="L2200" s="3"/>
    </x:row>
    <x:row r="2201" ht="22" customHeight="1">
      <x:c r="A2201" s="3"/>
      <x:c r="B2201" s="3" t="str">
        <x:v>23021</x:v>
      </x:c>
      <x:c r="C2201" s="3" t="str">
        <x:v>GLASS BONNE JAM JAR</x:v>
      </x:c>
      <x:c r="D2201" s="13" t="n">
        <x:v>504.97</x:v>
      </x:c>
      <x:c r="E2201" s="13" t="n">
        <x:v>0</x:v>
      </x:c>
      <x:c r="F2201" s="13" t="n">
        <x:f>D2201-E2201</x:f>
        <x:v>504.97</x:v>
      </x:c>
      <x:c r="G2201" s="3" t="n">
        <x:v>121</x:v>
      </x:c>
      <x:c r="H2201" s="3" t="n">
        <x:v>0</x:v>
      </x:c>
      <x:c r="I2201" s="3" t="n">
        <x:v>27</x:v>
      </x:c>
      <x:c r="J2201" s="15" t="n">
        <x:f>IF(D2201=0,"n.a.",E2201/D2201)</x:f>
        <x:v>0</x:v>
      </x:c>
      <x:c r="K2201" s="15" t="n">
        <x:f>F2201/'Datos'!$F$7</x:f>
        <x:v>0.000051565915624901364</x:v>
      </x:c>
      <x:c r="L2201" s="3"/>
    </x:row>
    <x:row r="2202" ht="22" customHeight="1">
      <x:c r="A2202" s="3"/>
      <x:c r="B2202" s="3" t="str">
        <x:v>22127</x:v>
      </x:c>
      <x:c r="C2202" s="3" t="str">
        <x:v>PARTY CONES CARNIVAL ASSORTED</x:v>
      </x:c>
      <x:c r="D2202" s="13" t="n">
        <x:v>504.88</x:v>
      </x:c>
      <x:c r="E2202" s="13" t="n">
        <x:v>0</x:v>
      </x:c>
      <x:c r="F2202" s="13" t="n">
        <x:f>D2202-E2202</x:f>
        <x:v>504.88</x:v>
      </x:c>
      <x:c r="G2202" s="3" t="n">
        <x:v>404</x:v>
      </x:c>
      <x:c r="H2202" s="3" t="n">
        <x:v>0</x:v>
      </x:c>
      <x:c r="I2202" s="3" t="n">
        <x:v>22</x:v>
      </x:c>
      <x:c r="J2202" s="15" t="n">
        <x:f>IF(D2202=0,"n.a.",E2202/D2202)</x:f>
        <x:v>0</x:v>
      </x:c>
      <x:c r="K2202" s="15" t="n">
        <x:f>F2202/'Datos'!$F$7</x:f>
        <x:v>0.000051556725113769524</x:v>
      </x:c>
      <x:c r="L2202" s="3"/>
    </x:row>
    <x:row r="2203" ht="22" customHeight="1">
      <x:c r="A2203" s="3"/>
      <x:c r="B2203" s="3" t="str">
        <x:v>82613B</x:v>
      </x:c>
      <x:c r="C2203" s="3" t="str">
        <x:v>METAL SIGN,CUPCAKE SINGLE HOOK</x:v>
      </x:c>
      <x:c r="D2203" s="13" t="n">
        <x:v>511.43</x:v>
      </x:c>
      <x:c r="E2203" s="13" t="n">
        <x:v>8.4</x:v>
      </x:c>
      <x:c r="F2203" s="13" t="n">
        <x:f>D2203-E2203</x:f>
        <x:v>503.03000000000003</x:v>
      </x:c>
      <x:c r="G2203" s="3" t="n">
        <x:v>588</x:v>
      </x:c>
      <x:c r="H2203" s="3" t="n">
        <x:v>20</x:v>
      </x:c>
      <x:c r="I2203" s="3" t="n">
        <x:v>115</x:v>
      </x:c>
      <x:c r="J2203" s="15" t="n">
        <x:f>IF(D2203=0,"n.a.",E2203/D2203)</x:f>
        <x:v>0.01642453512699685</x:v>
      </x:c>
      <x:c r="K2203" s="15" t="n">
        <x:f>F2203/'Datos'!$F$7</x:f>
        <x:v>0.00005136780905161521</x:v>
      </x:c>
      <x:c r="L2203" s="3"/>
    </x:row>
    <x:row r="2204" ht="22" customHeight="1">
      <x:c r="A2204" s="3"/>
      <x:c r="B2204" s="3" t="str">
        <x:v>85231G</x:v>
      </x:c>
      <x:c r="C2204" s="3" t="str">
        <x:v>ORANGE SCENTED SET/9 T-LIGHTS</x:v>
      </x:c>
      <x:c r="D2204" s="13" t="n">
        <x:v>511.05</x:v>
      </x:c>
      <x:c r="E2204" s="13" t="n">
        <x:v>8.5</x:v>
      </x:c>
      <x:c r="F2204" s="13" t="n">
        <x:f>D2204-E2204</x:f>
        <x:v>502.55</x:v>
      </x:c>
      <x:c r="G2204" s="3" t="n">
        <x:v>600</x:v>
      </x:c>
      <x:c r="H2204" s="3" t="n">
        <x:v>10</x:v>
      </x:c>
      <x:c r="I2204" s="3" t="n">
        <x:v>87</x:v>
      </x:c>
      <x:c r="J2204" s="15" t="n">
        <x:f>IF(D2204=0,"n.a.",E2204/D2204)</x:f>
        <x:v>0.016632423441933275</x:v>
      </x:c>
      <x:c r="K2204" s="15" t="n">
        <x:f>F2204/'Datos'!$F$7</x:f>
        <x:v>0.000051318792992245435</x:v>
      </x:c>
      <x:c r="L2204" s="3"/>
    </x:row>
    <x:row r="2205" ht="22" customHeight="1">
      <x:c r="A2205" s="3"/>
      <x:c r="B2205" s="3" t="str">
        <x:v>23560</x:v>
      </x:c>
      <x:c r="C2205" s="3" t="str">
        <x:v>SET OF 6 RIBBONS COUNTRY STYLE</x:v>
      </x:c>
      <x:c r="D2205" s="13" t="n">
        <x:v>502.07</x:v>
      </x:c>
      <x:c r="E2205" s="13" t="n">
        <x:v>0</x:v>
      </x:c>
      <x:c r="F2205" s="13" t="n">
        <x:f>D2205-E2205</x:f>
        <x:v>502.07</x:v>
      </x:c>
      <x:c r="G2205" s="3" t="n">
        <x:v>173</x:v>
      </x:c>
      <x:c r="H2205" s="3" t="n">
        <x:v>0</x:v>
      </x:c>
      <x:c r="I2205" s="3" t="n">
        <x:v>26</x:v>
      </x:c>
      <x:c r="J2205" s="15" t="n">
        <x:f>IF(D2205=0,"n.a.",E2205/D2205)</x:f>
        <x:v>0</x:v>
      </x:c>
      <x:c r="K2205" s="15" t="n">
        <x:f>F2205/'Datos'!$F$7</x:f>
        <x:v>0.00005126977693287567</x:v>
      </x:c>
      <x:c r="L2205" s="3"/>
    </x:row>
    <x:row r="2206" ht="22" customHeight="1">
      <x:c r="A2206" s="3"/>
      <x:c r="B2206" s="3" t="str">
        <x:v>21710</x:v>
      </x:c>
      <x:c r="C2206" s="3" t="str">
        <x:v>FOLDING UMBRELLA PINKWHITE POLKADOT</x:v>
      </x:c>
      <x:c r="D2206" s="13" t="n">
        <x:v>501.98</x:v>
      </x:c>
      <x:c r="E2206" s="13" t="n">
        <x:v>0</x:v>
      </x:c>
      <x:c r="F2206" s="13" t="n">
        <x:f>D2206-E2206</x:f>
        <x:v>501.98</x:v>
      </x:c>
      <x:c r="G2206" s="3" t="n">
        <x:v>107</x:v>
      </x:c>
      <x:c r="H2206" s="3" t="n">
        <x:v>0</x:v>
      </x:c>
      <x:c r="I2206" s="3" t="n">
        <x:v>45</x:v>
      </x:c>
      <x:c r="J2206" s="15" t="n">
        <x:f>IF(D2206=0,"n.a.",E2206/D2206)</x:f>
        <x:v>0</x:v>
      </x:c>
      <x:c r="K2206" s="15" t="n">
        <x:f>F2206/'Datos'!$F$7</x:f>
        <x:v>0.000051260586421743834</x:v>
      </x:c>
      <x:c r="L2206" s="3"/>
    </x:row>
    <x:row r="2207" ht="22" customHeight="1">
      <x:c r="A2207" s="3"/>
      <x:c r="B2207" s="3" t="str">
        <x:v>20766</x:v>
      </x:c>
      <x:c r="C2207" s="3" t="str">
        <x:v>GARDEN PATH SKETCHBOOK</x:v>
      </x:c>
      <x:c r="D2207" s="13" t="n">
        <x:v>501.07</x:v>
      </x:c>
      <x:c r="E2207" s="13" t="n">
        <x:v>0</x:v>
      </x:c>
      <x:c r="F2207" s="13" t="n">
        <x:f>D2207-E2207</x:f>
        <x:v>501.07</x:v>
      </x:c>
      <x:c r="G2207" s="3" t="n">
        <x:v>124</x:v>
      </x:c>
      <x:c r="H2207" s="3" t="n">
        <x:v>0</x:v>
      </x:c>
      <x:c r="I2207" s="3" t="n">
        <x:v>57</x:v>
      </x:c>
      <x:c r="J2207" s="15" t="n">
        <x:f>IF(D2207=0,"n.a.",E2207/D2207)</x:f>
        <x:v>0</x:v>
      </x:c>
      <x:c r="K2207" s="15" t="n">
        <x:f>F2207/'Datos'!$F$7</x:f>
        <x:v>0.00005116766014252198</x:v>
      </x:c>
      <x:c r="L2207" s="3"/>
    </x:row>
    <x:row r="2208" ht="22" customHeight="1">
      <x:c r="A2208" s="3"/>
      <x:c r="B2208" s="3" t="str">
        <x:v>20681</x:v>
      </x:c>
      <x:c r="C2208" s="3" t="str">
        <x:v>PINK POLKADOT CHILDRENS UMBRELLA</x:v>
      </x:c>
      <x:c r="D2208" s="13" t="n">
        <x:v>506.96</x:v>
      </x:c>
      <x:c r="E2208" s="13" t="n">
        <x:v>6.5</x:v>
      </x:c>
      <x:c r="F2208" s="13" t="n">
        <x:f>D2208-E2208</x:f>
        <x:v>500.46</x:v>
      </x:c>
      <x:c r="G2208" s="3" t="n">
        <x:v>140</x:v>
      </x:c>
      <x:c r="H2208" s="3" t="n">
        <x:v>2</x:v>
      </x:c>
      <x:c r="I2208" s="3" t="n">
        <x:v>46</x:v>
      </x:c>
      <x:c r="J2208" s="15" t="n">
        <x:f>IF(D2208=0,"n.a.",E2208/D2208)</x:f>
        <x:v>0.012821524380621745</x:v>
      </x:c>
      <x:c r="K2208" s="15" t="n">
        <x:f>F2208/'Datos'!$F$7</x:f>
        <x:v>0.00005110536890040623</x:v>
      </x:c>
      <x:c r="L2208" s="3"/>
    </x:row>
    <x:row r="2209" ht="22" customHeight="1">
      <x:c r="A2209" s="3"/>
      <x:c r="B2209" s="3" t="str">
        <x:v>82616C</x:v>
      </x:c>
      <x:c r="C2209" s="3" t="str">
        <x:v>MIDNIGHT GLAMOUR SCARF KNITTING KIT</x:v>
      </x:c>
      <x:c r="D2209" s="13" t="n">
        <x:v>501.44</x:v>
      </x:c>
      <x:c r="E2209" s="13" t="n">
        <x:v>3.75</x:v>
      </x:c>
      <x:c r="F2209" s="13" t="n">
        <x:f>D2209-E2209</x:f>
        <x:v>497.69</x:v>
      </x:c>
      <x:c r="G2209" s="3" t="n">
        <x:v>324</x:v>
      </x:c>
      <x:c r="H2209" s="3" t="n">
        <x:v>3</x:v>
      </x:c>
      <x:c r="I2209" s="3" t="n">
        <x:v>85</x:v>
      </x:c>
      <x:c r="J2209" s="15" t="n">
        <x:f>IF(D2209=0,"n.a.",E2209/D2209)</x:f>
        <x:v>0.007478462029355456</x:v>
      </x:c>
      <x:c r="K2209" s="15" t="n">
        <x:f>F2209/'Datos'!$F$7</x:f>
        <x:v>0.000050822505391126513</x:v>
      </x:c>
      <x:c r="L2209" s="3"/>
    </x:row>
    <x:row r="2210" ht="22" customHeight="1">
      <x:c r="A2210" s="3"/>
      <x:c r="B2210" s="3" t="str">
        <x:v>22618</x:v>
      </x:c>
      <x:c r="C2210" s="3" t="str">
        <x:v>COOKING SET RETROSPOT</x:v>
      </x:c>
      <x:c r="D2210" s="13" t="n">
        <x:v>671.53</x:v>
      </x:c>
      <x:c r="E2210" s="13" t="n">
        <x:v>174.18</x:v>
      </x:c>
      <x:c r="F2210" s="13" t="n">
        <x:f>D2210-E2210</x:f>
        <x:v>497.34999999999997</x:v>
      </x:c>
      <x:c r="G2210" s="3" t="n">
        <x:v>69</x:v>
      </x:c>
      <x:c r="H2210" s="3" t="n">
        <x:v>20</x:v>
      </x:c>
      <x:c r="I2210" s="3" t="n">
        <x:v>28</x:v>
      </x:c>
      <x:c r="J2210" s="15" t="n">
        <x:f>IF(D2210=0,"n.a.",E2210/D2210)</x:f>
        <x:v>0.2593778386669248</x:v>
      </x:c>
      <x:c r="K2210" s="15" t="n">
        <x:f>F2210/'Datos'!$F$7</x:f>
        <x:v>0.00005078778568240626</x:v>
      </x:c>
      <x:c r="L2210" s="3"/>
    </x:row>
    <x:row r="2211" ht="22" customHeight="1">
      <x:c r="A2211" s="3"/>
      <x:c r="B2211" s="3" t="str">
        <x:v>22516</x:v>
      </x:c>
      <x:c r="C2211" s="3" t="str">
        <x:v>CHILDS GARDEN RAKE BLUE</x:v>
      </x:c>
      <x:c r="D2211" s="13" t="n">
        <x:v>496.99</x:v>
      </x:c>
      <x:c r="E2211" s="13" t="n">
        <x:v>0</x:v>
      </x:c>
      <x:c r="F2211" s="13" t="n">
        <x:f>D2211-E2211</x:f>
        <x:v>496.99</x:v>
      </x:c>
      <x:c r="G2211" s="3" t="n">
        <x:v>207</x:v>
      </x:c>
      <x:c r="H2211" s="3" t="n">
        <x:v>0</x:v>
      </x:c>
      <x:c r="I2211" s="3" t="n">
        <x:v>62</x:v>
      </x:c>
      <x:c r="J2211" s="15" t="n">
        <x:f>IF(D2211=0,"n.a.",E2211/D2211)</x:f>
        <x:v>0</x:v>
      </x:c>
      <x:c r="K2211" s="15" t="n">
        <x:f>F2211/'Datos'!$F$7</x:f>
        <x:v>0.000050751023637878936</x:v>
      </x:c>
      <x:c r="L2211" s="3"/>
    </x:row>
    <x:row r="2212" ht="22" customHeight="1">
      <x:c r="A2212" s="3"/>
      <x:c r="B2212" s="3" t="str">
        <x:v>23117</x:v>
      </x:c>
      <x:c r="C2212" s="3" t="str">
        <x:v>POPPY FIELDS CHOPPING BOARD</x:v>
      </x:c>
      <x:c r="D2212" s="13" t="n">
        <x:v>501.23</x:v>
      </x:c>
      <x:c r="E2212" s="13" t="n">
        <x:v>4.95</x:v>
      </x:c>
      <x:c r="F2212" s="13" t="n">
        <x:f>D2212-E2212</x:f>
        <x:v>496.28000000000003</x:v>
      </x:c>
      <x:c r="G2212" s="3" t="n">
        <x:v>93</x:v>
      </x:c>
      <x:c r="H2212" s="3" t="n">
        <x:v>1</x:v>
      </x:c>
      <x:c r="I2212" s="3" t="n">
        <x:v>45</x:v>
      </x:c>
      <x:c r="J2212" s="15" t="n">
        <x:f>IF(D2212=0,"n.a.",E2212/D2212)</x:f>
        <x:v>0.009875705763821</x:v>
      </x:c>
      <x:c r="K2212" s="15" t="n">
        <x:f>F2212/'Datos'!$F$7</x:f>
        <x:v>0.00005067852071672782</x:v>
      </x:c>
      <x:c r="L2212" s="3"/>
    </x:row>
    <x:row r="2213" ht="22" customHeight="1">
      <x:c r="A2213" s="3"/>
      <x:c r="B2213" s="3" t="str">
        <x:v>21925</x:v>
      </x:c>
      <x:c r="C2213" s="3" t="str">
        <x:v>UNION STRIPE CUSHION COVER</x:v>
      </x:c>
      <x:c r="D2213" s="13" t="n">
        <x:v>503.75</x:v>
      </x:c>
      <x:c r="E2213" s="13" t="n">
        <x:v>7.5</x:v>
      </x:c>
      <x:c r="F2213" s="13" t="n">
        <x:f>D2213-E2213</x:f>
        <x:v>496.25</x:v>
      </x:c>
      <x:c r="G2213" s="3" t="n">
        <x:v>403</x:v>
      </x:c>
      <x:c r="H2213" s="3" t="n">
        <x:v>6</x:v>
      </x:c>
      <x:c r="I2213" s="3" t="n">
        <x:v>65</x:v>
      </x:c>
      <x:c r="J2213" s="15" t="n">
        <x:f>IF(D2213=0,"n.a.",E2213/D2213)</x:f>
        <x:v>0.01488833746898263</x:v>
      </x:c>
      <x:c r="K2213" s="15" t="n">
        <x:f>F2213/'Datos'!$F$7</x:f>
        <x:v>0.00005067545721301721</x:v>
      </x:c>
      <x:c r="L2213" s="3"/>
    </x:row>
    <x:row r="2214" ht="22" customHeight="1">
      <x:c r="A2214" s="3"/>
      <x:c r="B2214" s="3" t="str">
        <x:v>21972</x:v>
      </x:c>
      <x:c r="C2214" s="3" t="str">
        <x:v>SET OF 36 DINOSAUR PAPER DOILIES</x:v>
      </x:c>
      <x:c r="D2214" s="13" t="n">
        <x:v>499.08</x:v>
      </x:c>
      <x:c r="E2214" s="13" t="n">
        <x:v>2.9</x:v>
      </x:c>
      <x:c r="F2214" s="13" t="n">
        <x:f>D2214-E2214</x:f>
        <x:v>496.18</x:v>
      </x:c>
      <x:c r="G2214" s="3" t="n">
        <x:v>335</x:v>
      </x:c>
      <x:c r="H2214" s="3" t="n">
        <x:v>2</x:v>
      </x:c>
      <x:c r="I2214" s="3" t="n">
        <x:v>65</x:v>
      </x:c>
      <x:c r="J2214" s="15" t="n">
        <x:f>IF(D2214=0,"n.a.",E2214/D2214)</x:f>
        <x:v>0.005810691672677727</x:v>
      </x:c>
      <x:c r="K2214" s="15" t="n">
        <x:f>F2214/'Datos'!$F$7</x:f>
        <x:v>0.000050668309037692446</x:v>
      </x:c>
      <x:c r="L2214" s="3"/>
    </x:row>
    <x:row r="2215" ht="22" customHeight="1">
      <x:c r="A2215" s="3"/>
      <x:c r="B2215" s="3" t="str">
        <x:v>84625C</x:v>
      </x:c>
      <x:c r="C2215" s="3" t="str">
        <x:v>BLUE NEW BAROQUE CANDLESTICK CANDLE</x:v>
      </x:c>
      <x:c r="D2215" s="13" t="n">
        <x:v>536.41</x:v>
      </x:c>
      <x:c r="E2215" s="13" t="n">
        <x:v>41.65</x:v>
      </x:c>
      <x:c r="F2215" s="13" t="n">
        <x:f>D2215-E2215</x:f>
        <x:v>494.76</x:v>
      </x:c>
      <x:c r="G2215" s="3" t="n">
        <x:v>449</x:v>
      </x:c>
      <x:c r="H2215" s="3" t="n">
        <x:v>49</x:v>
      </x:c>
      <x:c r="I2215" s="3" t="n">
        <x:v>35</x:v>
      </x:c>
      <x:c r="J2215" s="15" t="n">
        <x:f>IF(D2215=0,"n.a.",E2215/D2215)</x:f>
        <x:v>0.07764583061464178</x:v>
      </x:c>
      <x:c r="K2215" s="15" t="n">
        <x:f>F2215/'Datos'!$F$7</x:f>
        <x:v>0.00005052330319539021</x:v>
      </x:c>
      <x:c r="L2215" s="3"/>
    </x:row>
    <x:row r="2216" ht="22" customHeight="1">
      <x:c r="A2216" s="3"/>
      <x:c r="B2216" s="3" t="str">
        <x:v>21358</x:v>
      </x:c>
      <x:c r="C2216" s="3" t="str">
        <x:v>TOAST ITS - HAPPY BIRTHDAY</x:v>
      </x:c>
      <x:c r="D2216" s="13" t="n">
        <x:v>494.54</x:v>
      </x:c>
      <x:c r="E2216" s="13" t="n">
        <x:v>0</x:v>
      </x:c>
      <x:c r="F2216" s="13" t="n">
        <x:f>D2216-E2216</x:f>
        <x:v>494.54</x:v>
      </x:c>
      <x:c r="G2216" s="3" t="n">
        <x:v>412</x:v>
      </x:c>
      <x:c r="H2216" s="3" t="n">
        <x:v>0</x:v>
      </x:c>
      <x:c r="I2216" s="3" t="n">
        <x:v>108</x:v>
      </x:c>
      <x:c r="J2216" s="15" t="n">
        <x:f>IF(D2216=0,"n.a.",E2216/D2216)</x:f>
        <x:v>0</x:v>
      </x:c>
      <x:c r="K2216" s="15" t="n">
        <x:f>F2216/'Datos'!$F$7</x:f>
        <x:v>0.0000505008375015124</x:v>
      </x:c>
      <x:c r="L2216" s="3"/>
    </x:row>
    <x:row r="2217" ht="22" customHeight="1">
      <x:c r="A2217" s="3"/>
      <x:c r="B2217" s="3" t="str">
        <x:v>82616B</x:v>
      </x:c>
      <x:c r="C2217" s="3" t="str">
        <x:v>FRAPPUCINO SCARF KNITTING KIT</x:v>
      </x:c>
      <x:c r="D2217" s="13" t="n">
        <x:v>505.69</x:v>
      </x:c>
      <x:c r="E2217" s="13" t="n">
        <x:v>11.25</x:v>
      </x:c>
      <x:c r="F2217" s="13" t="n">
        <x:f>D2217-E2217</x:f>
        <x:v>494.44</x:v>
      </x:c>
      <x:c r="G2217" s="3" t="n">
        <x:v>344</x:v>
      </x:c>
      <x:c r="H2217" s="3" t="n">
        <x:v>9</x:v>
      </x:c>
      <x:c r="I2217" s="3" t="n">
        <x:v>73</x:v>
      </x:c>
      <x:c r="J2217" s="15" t="n">
        <x:f>IF(D2217=0,"n.a.",E2217/D2217)</x:f>
        <x:v>0.022246831062508653</x:v>
      </x:c>
      <x:c r="K2217" s="15" t="n">
        <x:f>F2217/'Datos'!$F$7</x:f>
        <x:v>0.00005049062582247703</x:v>
      </x:c>
      <x:c r="L2217" s="3"/>
    </x:row>
    <x:row r="2218" ht="22" customHeight="1">
      <x:c r="A2218" s="3"/>
      <x:c r="B2218" s="3" t="str">
        <x:v>46776C</x:v>
      </x:c>
      <x:c r="C2218" s="3" t="str">
        <x:v>WOVEN FROST CUSHION COVER</x:v>
      </x:c>
      <x:c r="D2218" s="13" t="n">
        <x:v>492.79</x:v>
      </x:c>
      <x:c r="E2218" s="13" t="n">
        <x:v>0</x:v>
      </x:c>
      <x:c r="F2218" s="13" t="n">
        <x:f>D2218-E2218</x:f>
        <x:v>492.79</x:v>
      </x:c>
      <x:c r="G2218" s="3" t="n">
        <x:v>117</x:v>
      </x:c>
      <x:c r="H2218" s="3" t="n">
        <x:v>0</x:v>
      </x:c>
      <x:c r="I2218" s="3" t="n">
        <x:v>59</x:v>
      </x:c>
      <x:c r="J2218" s="15" t="n">
        <x:f>IF(D2218=0,"n.a.",E2218/D2218)</x:f>
        <x:v>0</x:v>
      </x:c>
      <x:c r="K2218" s="15" t="n">
        <x:f>F2218/'Datos'!$F$7</x:f>
        <x:v>0.000050322133118393455</x:v>
      </x:c>
      <x:c r="L2218" s="3"/>
    </x:row>
    <x:row r="2219" ht="22" customHeight="1">
      <x:c r="A2219" s="3"/>
      <x:c r="B2219" s="3" t="str">
        <x:v>21926</x:v>
      </x:c>
      <x:c r="C2219" s="3" t="str">
        <x:v>RED/CREAM STRIPE CUSHION COVER</x:v>
      </x:c>
      <x:c r="D2219" s="13" t="n">
        <x:v>509.9</x:v>
      </x:c>
      <x:c r="E2219" s="13" t="n">
        <x:v>17.5</x:v>
      </x:c>
      <x:c r="F2219" s="13" t="n">
        <x:f>D2219-E2219</x:f>
        <x:v>492.4</x:v>
      </x:c>
      <x:c r="G2219" s="3" t="n">
        <x:v>414</x:v>
      </x:c>
      <x:c r="H2219" s="3" t="n">
        <x:v>14</x:v>
      </x:c>
      <x:c r="I2219" s="3" t="n">
        <x:v>60</x:v>
      </x:c>
      <x:c r="J2219" s="15" t="n">
        <x:f>IF(D2219=0,"n.a.",E2219/D2219)</x:f>
        <x:v>0.03432045499117474</x:v>
      </x:c>
      <x:c r="K2219" s="15" t="n">
        <x:f>F2219/'Datos'!$F$7</x:f>
        <x:v>0.00005028230757015551</x:v>
      </x:c>
      <x:c r="L2219" s="3"/>
    </x:row>
    <x:row r="2220" ht="22" customHeight="1">
      <x:c r="A2220" s="3"/>
      <x:c r="B2220" s="3" t="str">
        <x:v>35598D</x:v>
      </x:c>
      <x:c r="C2220" s="3" t="str">
        <x:v>PINK/WHITE CHRISTMAS TREE 60CM</x:v>
      </x:c>
      <x:c r="D2220" s="13" t="n">
        <x:v>493.01</x:v>
      </x:c>
      <x:c r="E2220" s="13" t="n">
        <x:v>0.65</x:v>
      </x:c>
      <x:c r="F2220" s="13" t="n">
        <x:f>D2220-E2220</x:f>
        <x:v>492.36</x:v>
      </x:c>
      <x:c r="G2220" s="3" t="n">
        <x:v>684</x:v>
      </x:c>
      <x:c r="H2220" s="3" t="n">
        <x:v>1</x:v>
      </x:c>
      <x:c r="I2220" s="3" t="n">
        <x:v>42</x:v>
      </x:c>
      <x:c r="J2220" s="15" t="n">
        <x:f>IF(D2220=0,"n.a.",E2220/D2220)</x:f>
        <x:v>0.0013184316748138985</x:v>
      </x:c>
      <x:c r="K2220" s="15" t="n">
        <x:f>F2220/'Datos'!$F$7</x:f>
        <x:v>0.00005027822289854137</x:v>
      </x:c>
      <x:c r="L2220" s="3"/>
    </x:row>
    <x:row r="2221" ht="22" customHeight="1">
      <x:c r="A2221" s="3"/>
      <x:c r="B2221" s="3" t="str">
        <x:v>22511</x:v>
      </x:c>
      <x:c r="C2221" s="3" t="str">
        <x:v>RETROSPOT BABUSHKA DOORSTOP</x:v>
      </x:c>
      <x:c r="D2221" s="13" t="n">
        <x:v>495.2</x:v>
      </x:c>
      <x:c r="E2221" s="13" t="n">
        <x:v>3.75</x:v>
      </x:c>
      <x:c r="F2221" s="13" t="n">
        <x:f>D2221-E2221</x:f>
        <x:v>491.45</x:v>
      </x:c>
      <x:c r="G2221" s="3" t="n">
        <x:v>251</x:v>
      </x:c>
      <x:c r="H2221" s="3" t="n">
        <x:v>1</x:v>
      </x:c>
      <x:c r="I2221" s="3" t="n">
        <x:v>54</x:v>
      </x:c>
      <x:c r="J2221" s="15" t="n">
        <x:f>IF(D2221=0,"n.a.",E2221/D2221)</x:f>
        <x:v>0.007572697899838449</x:v>
      </x:c>
      <x:c r="K2221" s="15" t="n">
        <x:f>F2221/'Datos'!$F$7</x:f>
        <x:v>0.00005018529661931951</x:v>
      </x:c>
      <x:c r="L2221" s="3"/>
    </x:row>
    <x:row r="2222" ht="22" customHeight="1">
      <x:c r="A2222" s="3"/>
      <x:c r="B2222" s="3" t="str">
        <x:v>23466</x:v>
      </x:c>
      <x:c r="C2222" s="3" t="str">
        <x:v>TUSCAN VILLA DOVECOTE BIRD FEEDER</x:v>
      </x:c>
      <x:c r="D2222" s="13" t="n">
        <x:v>498.03</x:v>
      </x:c>
      <x:c r="E2222" s="13" t="n">
        <x:v>8.25</x:v>
      </x:c>
      <x:c r="F2222" s="13" t="n">
        <x:f>D2222-E2222</x:f>
        <x:v>489.78</x:v>
      </x:c>
      <x:c r="G2222" s="3" t="n">
        <x:v>55</x:v>
      </x:c>
      <x:c r="H2222" s="3" t="n">
        <x:v>1</x:v>
      </x:c>
      <x:c r="I2222" s="3" t="n">
        <x:v>27</x:v>
      </x:c>
      <x:c r="J2222" s="15" t="n">
        <x:f>IF(D2222=0,"n.a.",E2222/D2222)</x:f>
        <x:v>0.01656526715258117</x:v>
      </x:c>
      <x:c r="K2222" s="15" t="n">
        <x:f>F2222/'Datos'!$F$7</x:f>
        <x:v>0.00005001476157942885</x:v>
      </x:c>
      <x:c r="L2222" s="3"/>
    </x:row>
    <x:row r="2223" ht="22" customHeight="1">
      <x:c r="A2223" s="3"/>
      <x:c r="B2223" s="3" t="str">
        <x:v>21632</x:v>
      </x:c>
      <x:c r="C2223" s="3" t="str">
        <x:v>VINTAGE PINK DECORATIVE PARASOL</x:v>
      </x:c>
      <x:c r="D2223" s="13" t="n">
        <x:v>489.74</x:v>
      </x:c>
      <x:c r="E2223" s="13" t="n">
        <x:v>0</x:v>
      </x:c>
      <x:c r="F2223" s="13" t="n">
        <x:f>D2223-E2223</x:f>
        <x:v>489.74</x:v>
      </x:c>
      <x:c r="G2223" s="3" t="n">
        <x:v>88</x:v>
      </x:c>
      <x:c r="H2223" s="3" t="n">
        <x:v>0</x:v>
      </x:c>
      <x:c r="I2223" s="3" t="n">
        <x:v>24</x:v>
      </x:c>
      <x:c r="J2223" s="15" t="n">
        <x:f>IF(D2223=0,"n.a.",E2223/D2223)</x:f>
        <x:v>0</x:v>
      </x:c>
      <x:c r="K2223" s="15" t="n">
        <x:f>F2223/'Datos'!$F$7</x:f>
        <x:v>0.0000500106769078147</x:v>
      </x:c>
      <x:c r="L2223" s="3"/>
    </x:row>
    <x:row r="2224" ht="22" customHeight="1">
      <x:c r="A2224" s="3"/>
      <x:c r="B2224" s="3" t="str">
        <x:v>22050</x:v>
      </x:c>
      <x:c r="C2224" s="3" t="str">
        <x:v>PINK PAISLEY ROSE GIFT WRAP</x:v>
      </x:c>
      <x:c r="D2224" s="13" t="n">
        <x:v>498.5</x:v>
      </x:c>
      <x:c r="E2224" s="13" t="n">
        <x:v>10.5</x:v>
      </x:c>
      <x:c r="F2224" s="13" t="n">
        <x:f>D2224-E2224</x:f>
        <x:v>488</x:v>
      </x:c>
      <x:c r="G2224" s="3" t="n">
        <x:v>1225</x:v>
      </x:c>
      <x:c r="H2224" s="3" t="n">
        <x:v>25</x:v>
      </x:c>
      <x:c r="I2224" s="3" t="n">
        <x:v>40</x:v>
      </x:c>
      <x:c r="J2224" s="15" t="n">
        <x:f>IF(D2224=0,"n.a.",E2224/D2224)</x:f>
        <x:v>0.02106318956870612</x:v>
      </x:c>
      <x:c r="K2224" s="15" t="n">
        <x:f>F2224/'Datos'!$F$7</x:f>
        <x:v>0.00004983299369259929</x:v>
      </x:c>
      <x:c r="L2224" s="3"/>
    </x:row>
    <x:row r="2225" ht="22" customHeight="1">
      <x:c r="A2225" s="3"/>
      <x:c r="B2225" s="3" t="str">
        <x:v>21202</x:v>
      </x:c>
      <x:c r="C2225" s="3" t="str">
        <x:v>DOLLY HONEYCOMB GARLAND</x:v>
      </x:c>
      <x:c r="D2225" s="13" t="n">
        <x:v>487.11</x:v>
      </x:c>
      <x:c r="E2225" s="13" t="n">
        <x:v>0</x:v>
      </x:c>
      <x:c r="F2225" s="13" t="n">
        <x:f>D2225-E2225</x:f>
        <x:v>487.11</x:v>
      </x:c>
      <x:c r="G2225" s="3" t="n">
        <x:v>475</x:v>
      </x:c>
      <x:c r="H2225" s="3" t="n">
        <x:v>0</x:v>
      </x:c>
      <x:c r="I2225" s="3" t="n">
        <x:v>25</x:v>
      </x:c>
      <x:c r="J2225" s="15" t="n">
        <x:f>IF(D2225=0,"n.a.",E2225/D2225)</x:f>
        <x:v>0</x:v>
      </x:c>
      <x:c r="K2225" s="15" t="n">
        <x:f>F2225/'Datos'!$F$7</x:f>
        <x:v>0.00004974210974918451</x:v>
      </x:c>
      <x:c r="L2225" s="3"/>
    </x:row>
    <x:row r="2226" ht="22" customHeight="1">
      <x:c r="A2226" s="3"/>
      <x:c r="B2226" s="3" t="str">
        <x:v>21867</x:v>
      </x:c>
      <x:c r="C2226" s="3" t="str">
        <x:v>PINK UNION JACK LUGGAGE TAG</x:v>
      </x:c>
      <x:c r="D2226" s="13" t="n">
        <x:v>486.5</x:v>
      </x:c>
      <x:c r="E2226" s="13" t="n">
        <x:v>0</x:v>
      </x:c>
      <x:c r="F2226" s="13" t="n">
        <x:f>D2226-E2226</x:f>
        <x:v>486.5</x:v>
      </x:c>
      <x:c r="G2226" s="3" t="n">
        <x:v>353</x:v>
      </x:c>
      <x:c r="H2226" s="3" t="n">
        <x:v>0</x:v>
      </x:c>
      <x:c r="I2226" s="3" t="n">
        <x:v>121</x:v>
      </x:c>
      <x:c r="J2226" s="15" t="n">
        <x:f>IF(D2226=0,"n.a.",E2226/D2226)</x:f>
        <x:v>0</x:v>
      </x:c>
      <x:c r="K2226" s="15" t="n">
        <x:f>F2226/'Datos'!$F$7</x:f>
        <x:v>0.00004967981850706876</x:v>
      </x:c>
      <x:c r="L2226" s="3"/>
    </x:row>
    <x:row r="2227" ht="22" customHeight="1">
      <x:c r="A2227" s="3"/>
      <x:c r="B2227" s="3" t="str">
        <x:v>21454</x:v>
      </x:c>
      <x:c r="C2227" s="3" t="str">
        <x:v>PAINTED PINK RABBIT</x:v>
      </x:c>
      <x:c r="D2227" s="13" t="n">
        <x:v>486.01</x:v>
      </x:c>
      <x:c r="E2227" s="13" t="n">
        <x:v>0</x:v>
      </x:c>
      <x:c r="F2227" s="13" t="n">
        <x:f>D2227-E2227</x:f>
        <x:v>486.01</x:v>
      </x:c>
      <x:c r="G2227" s="3" t="n">
        <x:v>573</x:v>
      </x:c>
      <x:c r="H2227" s="3" t="n">
        <x:v>0</x:v>
      </x:c>
      <x:c r="I2227" s="3" t="n">
        <x:v>136</x:v>
      </x:c>
      <x:c r="J2227" s="15" t="n">
        <x:f>IF(D2227=0,"n.a.",E2227/D2227)</x:f>
        <x:v>0</x:v>
      </x:c>
      <x:c r="K2227" s="15" t="n">
        <x:f>F2227/'Datos'!$F$7</x:f>
        <x:v>0.00004962978127979545</x:v>
      </x:c>
      <x:c r="L2227" s="3"/>
    </x:row>
    <x:row r="2228" ht="22" customHeight="1">
      <x:c r="A2228" s="3"/>
      <x:c r="B2228" s="3" t="str">
        <x:v>84598</x:v>
      </x:c>
      <x:c r="C2228" s="3" t="str">
        <x:v>BOYS ALPHABET IRON ON PATCHES</x:v>
      </x:c>
      <x:c r="D2228" s="13" t="n">
        <x:v>546.04</x:v>
      </x:c>
      <x:c r="E2228" s="13" t="n">
        <x:v>60.48</x:v>
      </x:c>
      <x:c r="F2228" s="13" t="n">
        <x:f>D2228-E2228</x:f>
        <x:v>485.55999999999995</x:v>
      </x:c>
      <x:c r="G2228" s="3" t="n">
        <x:v>1975</x:v>
      </x:c>
      <x:c r="H2228" s="3" t="n">
        <x:v>288</x:v>
      </x:c>
      <x:c r="I2228" s="3" t="n">
        <x:v>99</x:v>
      </x:c>
      <x:c r="J2228" s="15" t="n">
        <x:f>IF(D2228=0,"n.a.",E2228/D2228)</x:f>
        <x:v>0.11076111640172881</x:v>
      </x:c>
      <x:c r="K2228" s="15" t="n">
        <x:f>F2228/'Datos'!$F$7</x:f>
        <x:v>0.00004958382872413629</x:v>
      </x:c>
      <x:c r="L2228" s="3"/>
    </x:row>
    <x:row r="2229" ht="22" customHeight="1">
      <x:c r="A2229" s="3"/>
      <x:c r="B2229" s="3" t="str">
        <x:v>17012C</x:v>
      </x:c>
      <x:c r="C2229" s="3" t="str">
        <x:v>ORIGAMI LAVENDER INCENSE/CANDL SET</x:v>
      </x:c>
      <x:c r="D2229" s="13" t="n">
        <x:v>484.35</x:v>
      </x:c>
      <x:c r="E2229" s="13" t="n">
        <x:v>0</x:v>
      </x:c>
      <x:c r="F2229" s="13" t="n">
        <x:f>D2229-E2229</x:f>
        <x:v>484.35</x:v>
      </x:c>
      <x:c r="G2229" s="3" t="n">
        <x:v>421</x:v>
      </x:c>
      <x:c r="H2229" s="3" t="n">
        <x:v>0</x:v>
      </x:c>
      <x:c r="I2229" s="3" t="n">
        <x:v>85</x:v>
      </x:c>
      <x:c r="J2229" s="15" t="n">
        <x:f>IF(D2229=0,"n.a.",E2229/D2229)</x:f>
        <x:v>0</x:v>
      </x:c>
      <x:c r="K2229" s="15" t="n">
        <x:f>F2229/'Datos'!$F$7</x:f>
        <x:v>0.00004946026740780833</x:v>
      </x:c>
      <x:c r="L2229" s="3"/>
    </x:row>
    <x:row r="2230" ht="22" customHeight="1">
      <x:c r="A2230" s="3"/>
      <x:c r="B2230" s="3" t="str">
        <x:v>23218</x:v>
      </x:c>
      <x:c r="C2230" s="3" t="str">
        <x:v>LAUREL STAR ANTIQUE GOLD</x:v>
      </x:c>
      <x:c r="D2230" s="13" t="n">
        <x:v>483.03</x:v>
      </x:c>
      <x:c r="E2230" s="13" t="n">
        <x:v>0</x:v>
      </x:c>
      <x:c r="F2230" s="13" t="n">
        <x:f>D2230-E2230</x:f>
        <x:v>483.03</x:v>
      </x:c>
      <x:c r="G2230" s="3" t="n">
        <x:v>379</x:v>
      </x:c>
      <x:c r="H2230" s="3" t="n">
        <x:v>0</x:v>
      </x:c>
      <x:c r="I2230" s="3" t="n">
        <x:v>40</x:v>
      </x:c>
      <x:c r="J2230" s="15" t="n">
        <x:f>IF(D2230=0,"n.a.",E2230/D2230)</x:f>
        <x:v>0</x:v>
      </x:c>
      <x:c r="K2230" s="15" t="n">
        <x:f>F2230/'Datos'!$F$7</x:f>
        <x:v>0.00004932547324454146</x:v>
      </x:c>
      <x:c r="L2230" s="3"/>
    </x:row>
    <x:row r="2231" ht="22" customHeight="1">
      <x:c r="A2231" s="3"/>
      <x:c r="B2231" s="3" t="str">
        <x:v>21634</x:v>
      </x:c>
      <x:c r="C2231" s="3" t="str">
        <x:v>ASSORTED MINI MADRAS NOTEBOOK</x:v>
      </x:c>
      <x:c r="D2231" s="13" t="n">
        <x:v>481.95</x:v>
      </x:c>
      <x:c r="E2231" s="13" t="n">
        <x:v>0</x:v>
      </x:c>
      <x:c r="F2231" s="13" t="n">
        <x:f>D2231-E2231</x:f>
        <x:v>481.95</x:v>
      </x:c>
      <x:c r="G2231" s="3" t="n">
        <x:v>976</x:v>
      </x:c>
      <x:c r="H2231" s="3" t="n">
        <x:v>0</x:v>
      </x:c>
      <x:c r="I2231" s="3" t="n">
        <x:v>28</x:v>
      </x:c>
      <x:c r="J2231" s="15" t="n">
        <x:f>IF(D2231=0,"n.a.",E2231/D2231)</x:f>
        <x:v>0</x:v>
      </x:c>
      <x:c r="K2231" s="15" t="n">
        <x:f>F2231/'Datos'!$F$7</x:f>
        <x:v>0.00004921518711095948</x:v>
      </x:c>
      <x:c r="L2231" s="3"/>
    </x:row>
    <x:row r="2232" ht="22" customHeight="1">
      <x:c r="A2232" s="3"/>
      <x:c r="B2232" s="3" t="str">
        <x:v>23691</x:v>
      </x:c>
      <x:c r="C2232" s="3" t="str">
        <x:v>WRAP KEEP CALM BIRTHDAY</x:v>
      </x:c>
      <x:c r="D2232" s="13" t="n">
        <x:v>481.5</x:v>
      </x:c>
      <x:c r="E2232" s="13" t="n">
        <x:v>0</x:v>
      </x:c>
      <x:c r="F2232" s="13" t="n">
        <x:f>D2232-E2232</x:f>
        <x:v>481.5</x:v>
      </x:c>
      <x:c r="G2232" s="3" t="n">
        <x:v>1175</x:v>
      </x:c>
      <x:c r="H2232" s="3" t="n">
        <x:v>0</x:v>
      </x:c>
      <x:c r="I2232" s="3" t="n">
        <x:v>38</x:v>
      </x:c>
      <x:c r="J2232" s="15" t="n">
        <x:f>IF(D2232=0,"n.a.",E2232/D2232)</x:f>
        <x:v>0</x:v>
      </x:c>
      <x:c r="K2232" s="15" t="n">
        <x:f>F2232/'Datos'!$F$7</x:f>
        <x:v>0.00004916923455530032</x:v>
      </x:c>
      <x:c r="L2232" s="3"/>
    </x:row>
    <x:row r="2233" ht="22" customHeight="1">
      <x:c r="A2233" s="3"/>
      <x:c r="B2233" s="3" t="str">
        <x:v>21587</x:v>
      </x:c>
      <x:c r="C2233" s="3" t="str">
        <x:v>COSY HOUR GIANT TUBE MATCHES</x:v>
      </x:c>
      <x:c r="D2233" s="13" t="n">
        <x:v>480.75</x:v>
      </x:c>
      <x:c r="E2233" s="13" t="n">
        <x:v>0</x:v>
      </x:c>
      <x:c r="F2233" s="13" t="n">
        <x:f>D2233-E2233</x:f>
        <x:v>480.75</x:v>
      </x:c>
      <x:c r="G2233" s="3" t="n">
        <x:v>197</x:v>
      </x:c>
      <x:c r="H2233" s="3" t="n">
        <x:v>0</x:v>
      </x:c>
      <x:c r="I2233" s="3" t="n">
        <x:v>26</x:v>
      </x:c>
      <x:c r="J2233" s="15" t="n">
        <x:f>IF(D2233=0,"n.a.",E2233/D2233)</x:f>
        <x:v>0</x:v>
      </x:c>
      <x:c r="K2233" s="15" t="n">
        <x:f>F2233/'Datos'!$F$7</x:f>
        <x:v>0.000049092646962535055</x:v>
      </x:c>
      <x:c r="L2233" s="3"/>
    </x:row>
    <x:row r="2234" ht="22" customHeight="1">
      <x:c r="A2234" s="3"/>
      <x:c r="B2234" s="3" t="str">
        <x:v>84687</x:v>
      </x:c>
      <x:c r="C2234" s="3" t="str">
        <x:v>BEACH HUT SHELF W 3 DRAWERS</x:v>
      </x:c>
      <x:c r="D2234" s="13" t="n">
        <x:v>504.43</x:v>
      </x:c>
      <x:c r="E2234" s="13" t="n">
        <x:v>23.8</x:v>
      </x:c>
      <x:c r="F2234" s="13" t="n">
        <x:f>D2234-E2234</x:f>
        <x:v>480.63</x:v>
      </x:c>
      <x:c r="G2234" s="3" t="n">
        <x:v>81</x:v>
      </x:c>
      <x:c r="H2234" s="3" t="n">
        <x:v>4</x:v>
      </x:c>
      <x:c r="I2234" s="3" t="n">
        <x:v>31</x:v>
      </x:c>
      <x:c r="J2234" s="15" t="n">
        <x:f>IF(D2234=0,"n.a.",E2234/D2234)</x:f>
        <x:v>0.04718196776559681</x:v>
      </x:c>
      <x:c r="K2234" s="15" t="n">
        <x:f>F2234/'Datos'!$F$7</x:f>
        <x:v>0.00004908039294769261</x:v>
      </x:c>
      <x:c r="L2234" s="3"/>
    </x:row>
    <x:row r="2235" ht="22" customHeight="1">
      <x:c r="A2235" s="3"/>
      <x:c r="B2235" s="3" t="str">
        <x:v>21741</x:v>
      </x:c>
      <x:c r="C2235" s="3" t="str">
        <x:v>COSY SLIPPER SHOES LARGE GREEN</x:v>
      </x:c>
      <x:c r="D2235" s="13" t="n">
        <x:v>480.17</x:v>
      </x:c>
      <x:c r="E2235" s="13" t="n">
        <x:v>0</x:v>
      </x:c>
      <x:c r="F2235" s="13" t="n">
        <x:f>D2235-E2235</x:f>
        <x:v>480.17</x:v>
      </x:c>
      <x:c r="G2235" s="3" t="n">
        <x:v>147</x:v>
      </x:c>
      <x:c r="H2235" s="3" t="n">
        <x:v>0</x:v>
      </x:c>
      <x:c r="I2235" s="3" t="n">
        <x:v>40</x:v>
      </x:c>
      <x:c r="J2235" s="15" t="n">
        <x:f>IF(D2235=0,"n.a.",E2235/D2235)</x:f>
        <x:v>0</x:v>
      </x:c>
      <x:c r="K2235" s="15" t="n">
        <x:f>F2235/'Datos'!$F$7</x:f>
        <x:v>0.00004903341922412992</x:v>
      </x:c>
      <x:c r="L2235" s="3"/>
    </x:row>
    <x:row r="2236" ht="22" customHeight="1">
      <x:c r="A2236" s="3"/>
      <x:c r="B2236" s="3" t="str">
        <x:v>22638</x:v>
      </x:c>
      <x:c r="C2236" s="3" t="str">
        <x:v>SET OF 4 NAPKIN CHARMS CROWNS</x:v>
      </x:c>
      <x:c r="D2236" s="13" t="n">
        <x:v>481.88</x:v>
      </x:c>
      <x:c r="E2236" s="13" t="n">
        <x:v>2.55</x:v>
      </x:c>
      <x:c r="F2236" s="13" t="n">
        <x:f>D2236-E2236</x:f>
        <x:v>479.33</x:v>
      </x:c>
      <x:c r="G2236" s="3" t="n">
        <x:v>300</x:v>
      </x:c>
      <x:c r="H2236" s="3" t="n">
        <x:v>1</x:v>
      </x:c>
      <x:c r="I2236" s="3" t="n">
        <x:v>52</x:v>
      </x:c>
      <x:c r="J2236" s="15" t="n">
        <x:f>IF(D2236=0,"n.a.",E2236/D2236)</x:f>
        <x:v>0.005291773885614676</x:v>
      </x:c>
      <x:c r="K2236" s="15" t="n">
        <x:f>F2236/'Datos'!$F$7</x:f>
        <x:v>0.00004894764112023282</x:v>
      </x:c>
      <x:c r="L2236" s="3"/>
    </x:row>
    <x:row r="2237" ht="22" customHeight="1">
      <x:c r="A2237" s="3"/>
      <x:c r="B2237" s="3" t="str">
        <x:v>22181</x:v>
      </x:c>
      <x:c r="C2237" s="3" t="str">
        <x:v>SNOWSTORM PHOTO FRAME FRIDGE MAGNET</x:v>
      </x:c>
      <x:c r="D2237" s="13" t="n">
        <x:v>500.91</x:v>
      </x:c>
      <x:c r="E2237" s="13" t="n">
        <x:v>22.95</x:v>
      </x:c>
      <x:c r="F2237" s="13" t="n">
        <x:f>D2237-E2237</x:f>
        <x:v>477.96000000000004</x:v>
      </x:c>
      <x:c r="G2237" s="3" t="n">
        <x:v>591</x:v>
      </x:c>
      <x:c r="H2237" s="3" t="n">
        <x:v>27</x:v>
      </x:c>
      <x:c r="I2237" s="3" t="n">
        <x:v>57</x:v>
      </x:c>
      <x:c r="J2237" s="15" t="n">
        <x:f>IF(D2237=0,"n.a.",E2237/D2237)</x:f>
        <x:v>0.04581661376295142</x:v>
      </x:c>
      <x:c r="K2237" s="15" t="n">
        <x:f>F2237/'Datos'!$F$7</x:f>
        <x:v>0.000048807741117448276</x:v>
      </x:c>
      <x:c r="L2237" s="3"/>
    </x:row>
    <x:row r="2238" ht="22" customHeight="1">
      <x:c r="A2238" s="3"/>
      <x:c r="B2238" s="3" t="str">
        <x:v>23422</x:v>
      </x:c>
      <x:c r="C2238" s="3" t="str">
        <x:v>PANTRY HOOK BALLOON WHISK</x:v>
      </x:c>
      <x:c r="D2238" s="13" t="n">
        <x:v>477.89</x:v>
      </x:c>
      <x:c r="E2238" s="13" t="n">
        <x:v>0</x:v>
      </x:c>
      <x:c r="F2238" s="13" t="n">
        <x:f>D2238-E2238</x:f>
        <x:v>477.89</x:v>
      </x:c>
      <x:c r="G2238" s="3" t="n">
        <x:v>213</x:v>
      </x:c>
      <x:c r="H2238" s="3" t="n">
        <x:v>0</x:v>
      </x:c>
      <x:c r="I2238" s="3" t="n">
        <x:v>47</x:v>
      </x:c>
      <x:c r="J2238" s="15" t="n">
        <x:f>IF(D2238=0,"n.a.",E2238/D2238)</x:f>
        <x:v>0</x:v>
      </x:c>
      <x:c r="K2238" s="15" t="n">
        <x:f>F2238/'Datos'!$F$7</x:f>
        <x:v>0.00004880059294212351</x:v>
      </x:c>
      <x:c r="L2238" s="3"/>
    </x:row>
    <x:row r="2239" ht="22" customHeight="1">
      <x:c r="A2239" s="3"/>
      <x:c r="B2239" s="3" t="str">
        <x:v>85049F</x:v>
      </x:c>
      <x:c r="C2239" s="3" t="str">
        <x:v>BABY BOOM RIBBONS</x:v>
      </x:c>
      <x:c r="D2239" s="13" t="n">
        <x:v>477.34</x:v>
      </x:c>
      <x:c r="E2239" s="13" t="n">
        <x:v>0</x:v>
      </x:c>
      <x:c r="F2239" s="13" t="n">
        <x:f>D2239-E2239</x:f>
        <x:v>477.34</x:v>
      </x:c>
      <x:c r="G2239" s="3" t="n">
        <x:v>378</x:v>
      </x:c>
      <x:c r="H2239" s="3" t="n">
        <x:v>0</x:v>
      </x:c>
      <x:c r="I2239" s="3" t="n">
        <x:v>88</x:v>
      </x:c>
      <x:c r="J2239" s="15" t="n">
        <x:f>IF(D2239=0,"n.a.",E2239/D2239)</x:f>
        <x:v>0</x:v>
      </x:c>
      <x:c r="K2239" s="15" t="n">
        <x:f>F2239/'Datos'!$F$7</x:f>
        <x:v>0.000048744428707428985</x:v>
      </x:c>
      <x:c r="L2239" s="3"/>
    </x:row>
    <x:row r="2240" ht="22" customHeight="1">
      <x:c r="A2240" s="3"/>
      <x:c r="B2240" s="3" t="str">
        <x:v>21067</x:v>
      </x:c>
      <x:c r="C2240" s="3" t="str">
        <x:v>VINTAGE RED TEATIME MUG</x:v>
      </x:c>
      <x:c r="D2240" s="13" t="n">
        <x:v>506.65</x:v>
      </x:c>
      <x:c r="E2240" s="13" t="n">
        <x:v>29.38</x:v>
      </x:c>
      <x:c r="F2240" s="13" t="n">
        <x:f>D2240-E2240</x:f>
        <x:v>477.27</x:v>
      </x:c>
      <x:c r="G2240" s="3" t="n">
        <x:v>319</x:v>
      </x:c>
      <x:c r="H2240" s="3" t="n">
        <x:v>27</x:v>
      </x:c>
      <x:c r="I2240" s="3" t="n">
        <x:v>76</x:v>
      </x:c>
      <x:c r="J2240" s="15" t="n">
        <x:f>IF(D2240=0,"n.a.",E2240/D2240)</x:f>
        <x:v>0.05798874962992204</x:v>
      </x:c>
      <x:c r="K2240" s="15" t="n">
        <x:f>F2240/'Datos'!$F$7</x:f>
        <x:v>0.000048737280532104224</x:v>
      </x:c>
      <x:c r="L2240" s="3"/>
    </x:row>
    <x:row r="2241" ht="22" customHeight="1">
      <x:c r="A2241" s="3"/>
      <x:c r="B2241" s="3" t="str">
        <x:v>84849B</x:v>
      </x:c>
      <x:c r="C2241" s="3" t="str">
        <x:v>FAIRY SOAP SOAP HOLDER</x:v>
      </x:c>
      <x:c r="D2241" s="13" t="n">
        <x:v>478.83</x:v>
      </x:c>
      <x:c r="E2241" s="13" t="n">
        <x:v>1.69</x:v>
      </x:c>
      <x:c r="F2241" s="13" t="n">
        <x:f>D2241-E2241</x:f>
        <x:v>477.14</x:v>
      </x:c>
      <x:c r="G2241" s="3" t="n">
        <x:v>266</x:v>
      </x:c>
      <x:c r="H2241" s="3" t="n">
        <x:v>1</x:v>
      </x:c>
      <x:c r="I2241" s="3" t="n">
        <x:v>76</x:v>
      </x:c>
      <x:c r="J2241" s="15" t="n">
        <x:f>IF(D2241=0,"n.a.",E2241/D2241)</x:f>
        <x:v>0.0035294363343984295</x:v>
      </x:c>
      <x:c r="K2241" s="15" t="n">
        <x:f>F2241/'Datos'!$F$7</x:f>
        <x:v>0.00004872400534935825</x:v>
      </x:c>
      <x:c r="L2241" s="3"/>
    </x:row>
    <x:row r="2242" ht="22" customHeight="1">
      <x:c r="A2242" s="3"/>
      <x:c r="B2242" s="3" t="str">
        <x:v>21472</x:v>
      </x:c>
      <x:c r="C2242" s="3" t="str">
        <x:v>LADYBIRD + BEE RAFFIA FOOD COVER</x:v>
      </x:c>
      <x:c r="D2242" s="13" t="n">
        <x:v>476.41</x:v>
      </x:c>
      <x:c r="E2242" s="13" t="n">
        <x:v>0</x:v>
      </x:c>
      <x:c r="F2242" s="13" t="n">
        <x:f>D2242-E2242</x:f>
        <x:v>476.41</x:v>
      </x:c>
      <x:c r="G2242" s="3" t="n">
        <x:v>123</x:v>
      </x:c>
      <x:c r="H2242" s="3" t="n">
        <x:v>0</x:v>
      </x:c>
      <x:c r="I2242" s="3" t="n">
        <x:v>37</x:v>
      </x:c>
      <x:c r="J2242" s="15" t="n">
        <x:f>IF(D2242=0,"n.a.",E2242/D2242)</x:f>
        <x:v>0</x:v>
      </x:c>
      <x:c r="K2242" s="15" t="n">
        <x:f>F2242/'Datos'!$F$7</x:f>
        <x:v>0.00004864946009240006</x:v>
      </x:c>
      <x:c r="L2242" s="3"/>
    </x:row>
    <x:row r="2243" ht="22" customHeight="1">
      <x:c r="A2243" s="3"/>
      <x:c r="B2243" s="3" t="str">
        <x:v>23561</x:v>
      </x:c>
      <x:c r="C2243" s="3" t="str">
        <x:v>SET OF 6 RIBBONS PARTY</x:v>
      </x:c>
      <x:c r="D2243" s="13" t="n">
        <x:v>476</x:v>
      </x:c>
      <x:c r="E2243" s="13" t="n">
        <x:v>0</x:v>
      </x:c>
      <x:c r="F2243" s="13" t="n">
        <x:f>D2243-E2243</x:f>
        <x:v>476</x:v>
      </x:c>
      <x:c r="G2243" s="3" t="n">
        <x:v>170</x:v>
      </x:c>
      <x:c r="H2243" s="3" t="n">
        <x:v>0</x:v>
      </x:c>
      <x:c r="I2243" s="3" t="n">
        <x:v>16</x:v>
      </x:c>
      <x:c r="J2243" s="15" t="n">
        <x:f>IF(D2243=0,"n.a.",E2243/D2243)</x:f>
        <x:v>0</x:v>
      </x:c>
      <x:c r="K2243" s="15" t="n">
        <x:f>F2243/'Datos'!$F$7</x:f>
        <x:v>0.000048607592208355045</x:v>
      </x:c>
      <x:c r="L2243" s="3"/>
    </x:row>
    <x:row r="2244" ht="22" customHeight="1">
      <x:c r="A2244" s="3"/>
      <x:c r="B2244" s="3" t="str">
        <x:v>85093</x:v>
      </x:c>
      <x:c r="C2244" s="3" t="str">
        <x:v>CANDY SPOT EGG WARMER HARE</x:v>
      </x:c>
      <x:c r="D2244" s="13" t="n">
        <x:v>475.18</x:v>
      </x:c>
      <x:c r="E2244" s="13" t="n">
        <x:v>0</x:v>
      </x:c>
      <x:c r="F2244" s="13" t="n">
        <x:f>D2244-E2244</x:f>
        <x:v>475.18</x:v>
      </x:c>
      <x:c r="G2244" s="3" t="n">
        <x:v>708</x:v>
      </x:c>
      <x:c r="H2244" s="3" t="n">
        <x:v>0</x:v>
      </x:c>
      <x:c r="I2244" s="3" t="n">
        <x:v>88</x:v>
      </x:c>
      <x:c r="J2244" s="15" t="n">
        <x:f>IF(D2244=0,"n.a.",E2244/D2244)</x:f>
        <x:v>0</x:v>
      </x:c>
      <x:c r="K2244" s="15" t="n">
        <x:f>F2244/'Datos'!$F$7</x:f>
        <x:v>0.00004852385644026502</x:v>
      </x:c>
      <x:c r="L2244" s="3"/>
    </x:row>
    <x:row r="2245" ht="22" customHeight="1">
      <x:c r="A2245" s="3"/>
      <x:c r="B2245" s="3" t="str">
        <x:v>90209C</x:v>
      </x:c>
      <x:c r="C2245" s="3" t="str">
        <x:v>PINK ENAMEL+GLASS HAIR COMB</x:v>
      </x:c>
      <x:c r="D2245" s="13" t="n">
        <x:v>480.5</x:v>
      </x:c>
      <x:c r="E2245" s="13" t="n">
        <x:v>6.3</x:v>
      </x:c>
      <x:c r="F2245" s="13" t="n">
        <x:f>D2245-E2245</x:f>
        <x:v>474.2</x:v>
      </x:c>
      <x:c r="G2245" s="3" t="n">
        <x:v>263</x:v>
      </x:c>
      <x:c r="H2245" s="3" t="n">
        <x:v>3</x:v>
      </x:c>
      <x:c r="I2245" s="3" t="n">
        <x:v>31</x:v>
      </x:c>
      <x:c r="J2245" s="15" t="n">
        <x:f>IF(D2245=0,"n.a.",E2245/D2245)</x:f>
        <x:v>0.013111342351716961</x:v>
      </x:c>
      <x:c r="K2245" s="15" t="n">
        <x:f>F2245/'Datos'!$F$7</x:f>
        <x:v>0.00004842378198571841</x:v>
      </x:c>
      <x:c r="L2245" s="3"/>
    </x:row>
    <x:row r="2246" ht="22" customHeight="1">
      <x:c r="A2246" s="3"/>
      <x:c r="B2246" s="3" t="str">
        <x:v>85194S</x:v>
      </x:c>
      <x:c r="C2246" s="3" t="str">
        <x:v>HANGING SPRING FLOWER EGG SMALL</x:v>
      </x:c>
      <x:c r="D2246" s="13" t="n">
        <x:v>489.17</x:v>
      </x:c>
      <x:c r="E2246" s="13" t="n">
        <x:v>18.39</x:v>
      </x:c>
      <x:c r="F2246" s="13" t="n">
        <x:f>D2246-E2246</x:f>
        <x:v>470.78000000000003</x:v>
      </x:c>
      <x:c r="G2246" s="3" t="n">
        <x:v>1197</x:v>
      </x:c>
      <x:c r="H2246" s="3" t="n">
        <x:v>29</x:v>
      </x:c>
      <x:c r="I2246" s="3" t="n">
        <x:v>72</x:v>
      </x:c>
      <x:c r="J2246" s="15" t="n">
        <x:f>IF(D2246=0,"n.a.",E2246/D2246)</x:f>
        <x:v>0.037594292372794734</x:v>
      </x:c>
      <x:c r="K2246" s="15" t="n">
        <x:f>F2246/'Datos'!$F$7</x:f>
        <x:v>0.0000480745425627088</x:v>
      </x:c>
      <x:c r="L2246" s="3"/>
    </x:row>
    <x:row r="2247" ht="22" customHeight="1">
      <x:c r="A2247" s="3"/>
      <x:c r="B2247" s="3" t="str">
        <x:v>21366</x:v>
      </x:c>
      <x:c r="C2247" s="3" t="str">
        <x:v>MIRRORED WALL ART PHOTO FRAMES</x:v>
      </x:c>
      <x:c r="D2247" s="13" t="n">
        <x:v>470.17</x:v>
      </x:c>
      <x:c r="E2247" s="13" t="n">
        <x:v>0</x:v>
      </x:c>
      <x:c r="F2247" s="13" t="n">
        <x:f>D2247-E2247</x:f>
        <x:v>470.17</x:v>
      </x:c>
      <x:c r="G2247" s="3" t="n">
        <x:v>89</x:v>
      </x:c>
      <x:c r="H2247" s="3" t="n">
        <x:v>0</x:v>
      </x:c>
      <x:c r="I2247" s="3" t="n">
        <x:v>46</x:v>
      </x:c>
      <x:c r="J2247" s="15" t="n">
        <x:f>IF(D2247=0,"n.a.",E2247/D2247)</x:f>
        <x:v>0</x:v>
      </x:c>
      <x:c r="K2247" s="15" t="n">
        <x:f>F2247/'Datos'!$F$7</x:f>
        <x:v>0.00004801225132059305</x:v>
      </x:c>
      <x:c r="L2247" s="3"/>
    </x:row>
    <x:row r="2248" ht="22" customHeight="1">
      <x:c r="A2248" s="3"/>
      <x:c r="B2248" s="3" t="str">
        <x:v>20716</x:v>
      </x:c>
      <x:c r="C2248" s="3" t="str">
        <x:v>PARTY FOOD SHOPPER BAG</x:v>
      </x:c>
      <x:c r="D2248" s="13" t="n">
        <x:v>469.63</x:v>
      </x:c>
      <x:c r="E2248" s="13" t="n">
        <x:v>0</x:v>
      </x:c>
      <x:c r="F2248" s="13" t="n">
        <x:f>D2248-E2248</x:f>
        <x:v>469.63</x:v>
      </x:c>
      <x:c r="G2248" s="3" t="n">
        <x:v>400</x:v>
      </x:c>
      <x:c r="H2248" s="3" t="n">
        <x:v>0</x:v>
      </x:c>
      <x:c r="I2248" s="3" t="n">
        <x:v>73</x:v>
      </x:c>
      <x:c r="J2248" s="15" t="n">
        <x:f>IF(D2248=0,"n.a.",E2248/D2248)</x:f>
        <x:v>0</x:v>
      </x:c>
      <x:c r="K2248" s="15" t="n">
        <x:f>F2248/'Datos'!$F$7</x:f>
        <x:v>0.000047957108253802056</x:v>
      </x:c>
      <x:c r="L2248" s="3"/>
    </x:row>
    <x:row r="2249" ht="22" customHeight="1">
      <x:c r="A2249" s="3"/>
      <x:c r="B2249" s="3" t="str">
        <x:v>84929</x:v>
      </x:c>
      <x:c r="C2249" s="3" t="str">
        <x:v>ASSTD FRUIT+FLOWERS FRIDGE MAGNETS</x:v>
      </x:c>
      <x:c r="D2249" s="13" t="n">
        <x:v>637.56</x:v>
      </x:c>
      <x:c r="E2249" s="13" t="n">
        <x:v>168.49</x:v>
      </x:c>
      <x:c r="F2249" s="13" t="n">
        <x:f>D2249-E2249</x:f>
        <x:v>469.06999999999994</x:v>
      </x:c>
      <x:c r="G2249" s="3" t="n">
        <x:v>2412</x:v>
      </x:c>
      <x:c r="H2249" s="3" t="n">
        <x:v>307</x:v>
      </x:c>
      <x:c r="I2249" s="3" t="n">
        <x:v>65</x:v>
      </x:c>
      <x:c r="J2249" s="15" t="n">
        <x:f>IF(D2249=0,"n.a.",E2249/D2249)</x:f>
        <x:v>0.26427316644707954</x:v>
      </x:c>
      <x:c r="K2249" s="15" t="n">
        <x:f>F2249/'Datos'!$F$7</x:f>
        <x:v>0.00004789992285120399</x:v>
      </x:c>
      <x:c r="L2249" s="3"/>
    </x:row>
    <x:row r="2250" ht="22" customHeight="1">
      <x:c r="A2250" s="3"/>
      <x:c r="B2250" s="3" t="str">
        <x:v>22230</x:v>
      </x:c>
      <x:c r="C2250" s="3" t="str">
        <x:v>JIGSAW TREE WITH WATERING CAN</x:v>
      </x:c>
      <x:c r="D2250" s="13" t="n">
        <x:v>480.92</x:v>
      </x:c>
      <x:c r="E2250" s="13" t="n">
        <x:v>13.53</x:v>
      </x:c>
      <x:c r="F2250" s="13" t="n">
        <x:f>D2250-E2250</x:f>
        <x:v>467.39000000000004</x:v>
      </x:c>
      <x:c r="G2250" s="3" t="n">
        <x:v>1048</x:v>
      </x:c>
      <x:c r="H2250" s="3" t="n">
        <x:v>16</x:v>
      </x:c>
      <x:c r="I2250" s="3" t="n">
        <x:v>101</x:v>
      </x:c>
      <x:c r="J2250" s="15" t="n">
        <x:f>IF(D2250=0,"n.a.",E2250/D2250)</x:f>
        <x:v>0.028133577310155533</x:v>
      </x:c>
      <x:c r="K2250" s="15" t="n">
        <x:f>F2250/'Datos'!$F$7</x:f>
        <x:v>0.0000477283666434098</x:v>
      </x:c>
      <x:c r="L2250" s="3"/>
    </x:row>
    <x:row r="2251" ht="22" customHeight="1">
      <x:c r="A2251" s="3"/>
      <x:c r="B2251" s="3" t="str">
        <x:v>20707</x:v>
      </x:c>
      <x:c r="C2251" s="3" t="str">
        <x:v>CRAZY DAISY HEART DECORATION</x:v>
      </x:c>
      <x:c r="D2251" s="13" t="n">
        <x:v>468.39</x:v>
      </x:c>
      <x:c r="E2251" s="13" t="n">
        <x:v>1.25</x:v>
      </x:c>
      <x:c r="F2251" s="13" t="n">
        <x:f>D2251-E2251</x:f>
        <x:v>467.14</x:v>
      </x:c>
      <x:c r="G2251" s="3" t="n">
        <x:v>464</x:v>
      </x:c>
      <x:c r="H2251" s="3" t="n">
        <x:v>1</x:v>
      </x:c>
      <x:c r="I2251" s="3" t="n">
        <x:v>149</x:v>
      </x:c>
      <x:c r="J2251" s="15" t="n">
        <x:f>IF(D2251=0,"n.a.",E2251/D2251)</x:f>
        <x:v>0.002668716240739555</x:v>
      </x:c>
      <x:c r="K2251" s="15" t="n">
        <x:f>F2251/'Datos'!$F$7</x:f>
        <x:v>0.00004770283744582137</x:v>
      </x:c>
      <x:c r="L2251" s="3"/>
    </x:row>
    <x:row r="2252" ht="22" customHeight="1">
      <x:c r="A2252" s="3"/>
      <x:c r="B2252" s="3" t="str">
        <x:v>20615</x:v>
      </x:c>
      <x:c r="C2252" s="3" t="str">
        <x:v>BLUE POLKADOT PASSPORT COVER</x:v>
      </x:c>
      <x:c r="D2252" s="13" t="n">
        <x:v>466.99</x:v>
      </x:c>
      <x:c r="E2252" s="13" t="n">
        <x:v>0</x:v>
      </x:c>
      <x:c r="F2252" s="13" t="n">
        <x:f>D2252-E2252</x:f>
        <x:v>466.99</x:v>
      </x:c>
      <x:c r="G2252" s="3" t="n">
        <x:v>309</x:v>
      </x:c>
      <x:c r="H2252" s="3" t="n">
        <x:v>0</x:v>
      </x:c>
      <x:c r="I2252" s="3" t="n">
        <x:v>95</x:v>
      </x:c>
      <x:c r="J2252" s="15" t="n">
        <x:f>IF(D2252=0,"n.a.",E2252/D2252)</x:f>
        <x:v>0</x:v>
      </x:c>
      <x:c r="K2252" s="15" t="n">
        <x:f>F2252/'Datos'!$F$7</x:f>
        <x:v>0.000047687519927268325</x:v>
      </x:c>
      <x:c r="L2252" s="3"/>
    </x:row>
    <x:row r="2253" ht="22" customHeight="1">
      <x:c r="A2253" s="3"/>
      <x:c r="B2253" s="3" t="str">
        <x:v>20831</x:v>
      </x:c>
      <x:c r="C2253" s="3" t="str">
        <x:v>GOLD PHOTO FRAME</x:v>
      </x:c>
      <x:c r="D2253" s="13" t="n">
        <x:v>466.53</x:v>
      </x:c>
      <x:c r="E2253" s="13" t="n">
        <x:v>0</x:v>
      </x:c>
      <x:c r="F2253" s="13" t="n">
        <x:f>D2253-E2253</x:f>
        <x:v>466.53</x:v>
      </x:c>
      <x:c r="G2253" s="3" t="n">
        <x:v>216</x:v>
      </x:c>
      <x:c r="H2253" s="3" t="n">
        <x:v>0</x:v>
      </x:c>
      <x:c r="I2253" s="3" t="n">
        <x:v>39</x:v>
      </x:c>
      <x:c r="J2253" s="15" t="n">
        <x:f>IF(D2253=0,"n.a.",E2253/D2253)</x:f>
        <x:v>0</x:v>
      </x:c>
      <x:c r="K2253" s="15" t="n">
        <x:f>F2253/'Datos'!$F$7</x:f>
        <x:v>0.00004764054620370562</x:v>
      </x:c>
      <x:c r="L2253" s="3"/>
    </x:row>
    <x:row r="2254" ht="22" customHeight="1">
      <x:c r="A2254" s="3"/>
      <x:c r="B2254" s="3" t="str">
        <x:v>84917</x:v>
      </x:c>
      <x:c r="C2254" s="3" t="str">
        <x:v>WHITE HAND TOWEL WITH BUTTERFLY</x:v>
      </x:c>
      <x:c r="D2254" s="13" t="n">
        <x:v>466.3</x:v>
      </x:c>
      <x:c r="E2254" s="13" t="n">
        <x:v>0</x:v>
      </x:c>
      <x:c r="F2254" s="13" t="n">
        <x:f>D2254-E2254</x:f>
        <x:v>466.3</x:v>
      </x:c>
      <x:c r="G2254" s="3" t="n">
        <x:v>184</x:v>
      </x:c>
      <x:c r="H2254" s="3" t="n">
        <x:v>0</x:v>
      </x:c>
      <x:c r="I2254" s="3" t="n">
        <x:v>27</x:v>
      </x:c>
      <x:c r="J2254" s="15" t="n">
        <x:f>IF(D2254=0,"n.a.",E2254/D2254)</x:f>
        <x:v>0</x:v>
      </x:c>
      <x:c r="K2254" s="15" t="n">
        <x:f>F2254/'Datos'!$F$7</x:f>
        <x:v>0.00004761705934192428</x:v>
      </x:c>
      <x:c r="L2254" s="3"/>
    </x:row>
    <x:row r="2255" ht="22" customHeight="1">
      <x:c r="A2255" s="3"/>
      <x:c r="B2255" s="3" t="str">
        <x:v>23379</x:v>
      </x:c>
      <x:c r="C2255" s="3" t="str">
        <x:v>PACK OF 12 RED APPLE TISSUES</x:v>
      </x:c>
      <x:c r="D2255" s="13" t="n">
        <x:v>465.36</x:v>
      </x:c>
      <x:c r="E2255" s="13" t="n">
        <x:v>0</x:v>
      </x:c>
      <x:c r="F2255" s="13" t="n">
        <x:f>D2255-E2255</x:f>
        <x:v>465.36</x:v>
      </x:c>
      <x:c r="G2255" s="3" t="n">
        <x:v>1220</x:v>
      </x:c>
      <x:c r="H2255" s="3" t="n">
        <x:v>0</x:v>
      </x:c>
      <x:c r="I2255" s="3" t="n">
        <x:v>76</x:v>
      </x:c>
      <x:c r="J2255" s="15" t="n">
        <x:f>IF(D2255=0,"n.a.",E2255/D2255)</x:f>
        <x:v>0</x:v>
      </x:c>
      <x:c r="K2255" s="15" t="n">
        <x:f>F2255/'Datos'!$F$7</x:f>
        <x:v>0.000047521069558991814</x:v>
      </x:c>
      <x:c r="L2255" s="3"/>
    </x:row>
    <x:row r="2256" ht="22" customHeight="1">
      <x:c r="A2256" s="3"/>
      <x:c r="B2256" s="3" t="str">
        <x:v>21374</x:v>
      </x:c>
      <x:c r="C2256" s="3" t="str">
        <x:v>MIRRORED WALL ART SKULLS</x:v>
      </x:c>
      <x:c r="D2256" s="13" t="n">
        <x:v>463.79</x:v>
      </x:c>
      <x:c r="E2256" s="13" t="n">
        <x:v>0</x:v>
      </x:c>
      <x:c r="F2256" s="13" t="n">
        <x:f>D2256-E2256</x:f>
        <x:v>463.79</x:v>
      </x:c>
      <x:c r="G2256" s="3" t="n">
        <x:v>304</x:v>
      </x:c>
      <x:c r="H2256" s="3" t="n">
        <x:v>0</x:v>
      </x:c>
      <x:c r="I2256" s="3" t="n">
        <x:v>46</x:v>
      </x:c>
      <x:c r="J2256" s="15" t="n">
        <x:f>IF(D2256=0,"n.a.",E2256/D2256)</x:f>
        <x:v>0</x:v>
      </x:c>
      <x:c r="K2256" s="15" t="n">
        <x:f>F2256/'Datos'!$F$7</x:f>
        <x:v>0.000047360746198136525</x:v>
      </x:c>
      <x:c r="L2256" s="3"/>
    </x:row>
    <x:row r="2257" ht="22" customHeight="1">
      <x:c r="A2257" s="3"/>
      <x:c r="B2257" s="3" t="str">
        <x:v>22517</x:v>
      </x:c>
      <x:c r="C2257" s="3" t="str">
        <x:v>CHILDS GARDEN RAKE PINK</x:v>
      </x:c>
      <x:c r="D2257" s="13" t="n">
        <x:v>462.33</x:v>
      </x:c>
      <x:c r="E2257" s="13" t="n">
        <x:v>0</x:v>
      </x:c>
      <x:c r="F2257" s="13" t="n">
        <x:f>D2257-E2257</x:f>
        <x:v>462.33</x:v>
      </x:c>
      <x:c r="G2257" s="3" t="n">
        <x:v>206</x:v>
      </x:c>
      <x:c r="H2257" s="3" t="n">
        <x:v>0</x:v>
      </x:c>
      <x:c r="I2257" s="3" t="n">
        <x:v>69</x:v>
      </x:c>
      <x:c r="J2257" s="15" t="n">
        <x:f>IF(D2257=0,"n.a.",E2257/D2257)</x:f>
        <x:v>0</x:v>
      </x:c>
      <x:c r="K2257" s="15" t="n">
        <x:f>F2257/'Datos'!$F$7</x:f>
        <x:v>0.00004721165568422014</x:v>
      </x:c>
      <x:c r="L2257" s="3"/>
    </x:row>
    <x:row r="2258" ht="22" customHeight="1">
      <x:c r="A2258" s="3"/>
      <x:c r="B2258" s="3" t="str">
        <x:v>84820</x:v>
      </x:c>
      <x:c r="C2258" s="3" t="str">
        <x:v>DANISH ROSE TRINKET TRAYS</x:v>
      </x:c>
      <x:c r="D2258" s="13" t="n">
        <x:v>484.63</x:v>
      </x:c>
      <x:c r="E2258" s="13" t="n">
        <x:v>23.8</x:v>
      </x:c>
      <x:c r="F2258" s="13" t="n">
        <x:f>D2258-E2258</x:f>
        <x:v>460.83</x:v>
      </x:c>
      <x:c r="G2258" s="3" t="n">
        <x:v>261</x:v>
      </x:c>
      <x:c r="H2258" s="3" t="n">
        <x:v>4</x:v>
      </x:c>
      <x:c r="I2258" s="3" t="n">
        <x:v>31</x:v>
      </x:c>
      <x:c r="J2258" s="15" t="n">
        <x:f>IF(D2258=0,"n.a.",E2258/D2258)</x:f>
        <x:v>0.049109630027030934</x:v>
      </x:c>
      <x:c r="K2258" s="15" t="n">
        <x:f>F2258/'Datos'!$F$7</x:f>
        <x:v>0.000047058480498689606</x:v>
      </x:c>
      <x:c r="L2258" s="3"/>
    </x:row>
    <x:row r="2259" ht="22" customHeight="1">
      <x:c r="A2259" s="3"/>
      <x:c r="B2259" s="3" t="str">
        <x:v>35598B</x:v>
      </x:c>
      <x:c r="C2259" s="3" t="str">
        <x:v>BLACK CHRISTMAS TREE 60CM</x:v>
      </x:c>
      <x:c r="D2259" s="13" t="n">
        <x:v>460.64</x:v>
      </x:c>
      <x:c r="E2259" s="13" t="n">
        <x:v>0</x:v>
      </x:c>
      <x:c r="F2259" s="13" t="n">
        <x:f>D2259-E2259</x:f>
        <x:v>460.64</x:v>
      </x:c>
      <x:c r="G2259" s="3" t="n">
        <x:v>558</x:v>
      </x:c>
      <x:c r="H2259" s="3" t="n">
        <x:v>0</x:v>
      </x:c>
      <x:c r="I2259" s="3" t="n">
        <x:v>25</x:v>
      </x:c>
      <x:c r="J2259" s="15" t="n">
        <x:f>IF(D2259=0,"n.a.",E2259/D2259)</x:f>
        <x:v>0</x:v>
      </x:c>
      <x:c r="K2259" s="15" t="n">
        <x:f>F2259/'Datos'!$F$7</x:f>
        <x:v>0.00004703907830852241</x:v>
      </x:c>
      <x:c r="L2259" s="3"/>
    </x:row>
    <x:row r="2260" ht="22" customHeight="1">
      <x:c r="A2260" s="3"/>
      <x:c r="B2260" s="3" t="str">
        <x:v>21003</x:v>
      </x:c>
      <x:c r="C2260" s="3" t="str">
        <x:v>ROSE DU SUD CUSHION COVER</x:v>
      </x:c>
      <x:c r="D2260" s="13" t="n">
        <x:v>460.58</x:v>
      </x:c>
      <x:c r="E2260" s="13" t="n">
        <x:v>0</x:v>
      </x:c>
      <x:c r="F2260" s="13" t="n">
        <x:f>D2260-E2260</x:f>
        <x:v>460.58</x:v>
      </x:c>
      <x:c r="G2260" s="3" t="n">
        <x:v>78</x:v>
      </x:c>
      <x:c r="H2260" s="3" t="n">
        <x:v>0</x:v>
      </x:c>
      <x:c r="I2260" s="3" t="n">
        <x:v>46</x:v>
      </x:c>
      <x:c r="J2260" s="15" t="n">
        <x:f>IF(D2260=0,"n.a.",E2260/D2260)</x:f>
        <x:v>0</x:v>
      </x:c>
      <x:c r="K2260" s="15" t="n">
        <x:f>F2260/'Datos'!$F$7</x:f>
        <x:v>0.000047032951301101186</x:v>
      </x:c>
      <x:c r="L2260" s="3"/>
    </x:row>
    <x:row r="2261" ht="22" customHeight="1">
      <x:c r="A2261" s="3"/>
      <x:c r="B2261" s="3" t="str">
        <x:v>22344</x:v>
      </x:c>
      <x:c r="C2261" s="3" t="str">
        <x:v>PARTY PIZZA DISH PINK POLKADOT</x:v>
      </x:c>
      <x:c r="D2261" s="13" t="n">
        <x:v>460.38</x:v>
      </x:c>
      <x:c r="E2261" s="13" t="n">
        <x:v>0</x:v>
      </x:c>
      <x:c r="F2261" s="13" t="n">
        <x:f>D2261-E2261</x:f>
        <x:v>460.38</x:v>
      </x:c>
      <x:c r="G2261" s="3" t="n">
        <x:v>1228</x:v>
      </x:c>
      <x:c r="H2261" s="3" t="n">
        <x:v>0</x:v>
      </x:c>
      <x:c r="I2261" s="3" t="n">
        <x:v>76</x:v>
      </x:c>
      <x:c r="J2261" s="15" t="n">
        <x:f>IF(D2261=0,"n.a.",E2261/D2261)</x:f>
        <x:v>0</x:v>
      </x:c>
      <x:c r="K2261" s="15" t="n">
        <x:f>F2261/'Datos'!$F$7</x:f>
        <x:v>0.00004701252794303045</x:v>
      </x:c>
      <x:c r="L2261" s="3"/>
    </x:row>
    <x:row r="2262" ht="22" customHeight="1">
      <x:c r="A2262" s="3"/>
      <x:c r="B2262" s="3" t="str">
        <x:v>21063</x:v>
      </x:c>
      <x:c r="C2262" s="3" t="str">
        <x:v>PARTY INVITES JAZZ HEARTS</x:v>
      </x:c>
      <x:c r="D2262" s="13" t="n">
        <x:v>458.31</x:v>
      </x:c>
      <x:c r="E2262" s="13" t="n">
        <x:v>0</x:v>
      </x:c>
      <x:c r="F2262" s="13" t="n">
        <x:f>D2262-E2262</x:f>
        <x:v>458.31</x:v>
      </x:c>
      <x:c r="G2262" s="3" t="n">
        <x:v>528</x:v>
      </x:c>
      <x:c r="H2262" s="3" t="n">
        <x:v>0</x:v>
      </x:c>
      <x:c r="I2262" s="3" t="n">
        <x:v>102</x:v>
      </x:c>
      <x:c r="J2262" s="15" t="n">
        <x:f>IF(D2262=0,"n.a.",E2262/D2262)</x:f>
        <x:v>0</x:v>
      </x:c>
      <x:c r="K2262" s="15" t="n">
        <x:f>F2262/'Datos'!$F$7</x:f>
        <x:v>0.00004680114618699832</x:v>
      </x:c>
      <x:c r="L2262" s="3"/>
    </x:row>
    <x:row r="2263" ht="22" customHeight="1">
      <x:c r="A2263" s="3"/>
      <x:c r="B2263" s="3" t="str">
        <x:v>21062</x:v>
      </x:c>
      <x:c r="C2263" s="3" t="str">
        <x:v>PARTY INVITES SPACEMAN</x:v>
      </x:c>
      <x:c r="D2263" s="13" t="n">
        <x:v>458.23</x:v>
      </x:c>
      <x:c r="E2263" s="13" t="n">
        <x:v>0</x:v>
      </x:c>
      <x:c r="F2263" s="13" t="n">
        <x:f>D2263-E2263</x:f>
        <x:v>458.23</x:v>
      </x:c>
      <x:c r="G2263" s="3" t="n">
        <x:v>539</x:v>
      </x:c>
      <x:c r="H2263" s="3" t="n">
        <x:v>0</x:v>
      </x:c>
      <x:c r="I2263" s="3" t="n">
        <x:v>74</x:v>
      </x:c>
      <x:c r="J2263" s="15" t="n">
        <x:f>IF(D2263=0,"n.a.",E2263/D2263)</x:f>
        <x:v>0</x:v>
      </x:c>
      <x:c r="K2263" s="15" t="n">
        <x:f>F2263/'Datos'!$F$7</x:f>
        <x:v>0.000046792976843770026</x:v>
      </x:c>
      <x:c r="L2263" s="3"/>
    </x:row>
    <x:row r="2264" ht="22" customHeight="1">
      <x:c r="A2264" s="3"/>
      <x:c r="B2264" s="3" t="str">
        <x:v>84674</x:v>
      </x:c>
      <x:c r="C2264" s="3" t="str">
        <x:v>FLYING PIG WATERING CAN</x:v>
      </x:c>
      <x:c r="D2264" s="13" t="n">
        <x:v>469.9</x:v>
      </x:c>
      <x:c r="E2264" s="13" t="n">
        <x:v>11.8</x:v>
      </x:c>
      <x:c r="F2264" s="13" t="n">
        <x:f>D2264-E2264</x:f>
        <x:v>458.09999999999997</x:v>
      </x:c>
      <x:c r="G2264" s="3" t="n">
        <x:v>194</x:v>
      </x:c>
      <x:c r="H2264" s="3" t="n">
        <x:v>4</x:v>
      </x:c>
      <x:c r="I2264" s="3" t="n">
        <x:v>47</x:v>
      </x:c>
      <x:c r="J2264" s="15" t="n">
        <x:f>IF(D2264=0,"n.a.",E2264/D2264)</x:f>
        <x:v>0.025111725899127475</x:v>
      </x:c>
      <x:c r="K2264" s="15" t="n">
        <x:f>F2264/'Datos'!$F$7</x:f>
        <x:v>0.00004677970166102404</x:v>
      </x:c>
      <x:c r="L2264" s="3"/>
    </x:row>
    <x:row r="2265" ht="22" customHeight="1">
      <x:c r="A2265" s="3"/>
      <x:c r="B2265" s="3" t="str">
        <x:v>21220</x:v>
      </x:c>
      <x:c r="C2265" s="3" t="str">
        <x:v>SET/4 BADGES DOGS</x:v>
      </x:c>
      <x:c r="D2265" s="13" t="n">
        <x:v>457.51</x:v>
      </x:c>
      <x:c r="E2265" s="13" t="n">
        <x:v>0</x:v>
      </x:c>
      <x:c r="F2265" s="13" t="n">
        <x:f>D2265-E2265</x:f>
        <x:v>457.51</x:v>
      </x:c>
      <x:c r="G2265" s="3" t="n">
        <x:v>348</x:v>
      </x:c>
      <x:c r="H2265" s="3" t="n">
        <x:v>0</x:v>
      </x:c>
      <x:c r="I2265" s="3" t="n">
        <x:v>89</x:v>
      </x:c>
      <x:c r="J2265" s="15" t="n">
        <x:f>IF(D2265=0,"n.a.",E2265/D2265)</x:f>
        <x:v>0</x:v>
      </x:c>
      <x:c r="K2265" s="15" t="n">
        <x:f>F2265/'Datos'!$F$7</x:f>
        <x:v>0.00004671945275471537</x:v>
      </x:c>
      <x:c r="L2265" s="3"/>
    </x:row>
    <x:row r="2266" ht="22" customHeight="1">
      <x:c r="A2266" s="3"/>
      <x:c r="B2266" s="3" t="str">
        <x:v>17096</x:v>
      </x:c>
      <x:c r="C2266" s="3" t="str">
        <x:v>ASSORTED LAQUERED INCENSE HOLDERS</x:v>
      </x:c>
      <x:c r="D2266" s="13" t="n">
        <x:v>455.98</x:v>
      </x:c>
      <x:c r="E2266" s="13" t="n">
        <x:v>0</x:v>
      </x:c>
      <x:c r="F2266" s="13" t="n">
        <x:f>D2266-E2266</x:f>
        <x:v>455.98</x:v>
      </x:c>
      <x:c r="G2266" s="3" t="n">
        <x:v>2545</x:v>
      </x:c>
      <x:c r="H2266" s="3" t="n">
        <x:v>0</x:v>
      </x:c>
      <x:c r="I2266" s="3" t="n">
        <x:v>24</x:v>
      </x:c>
      <x:c r="J2266" s="15" t="n">
        <x:f>IF(D2266=0,"n.a.",E2266/D2266)</x:f>
        <x:v>0</x:v>
      </x:c>
      <x:c r="K2266" s="15" t="n">
        <x:f>F2266/'Datos'!$F$7</x:f>
        <x:v>0.00004656321406547423</x:v>
      </x:c>
      <x:c r="L2266" s="3"/>
    </x:row>
    <x:row r="2267" ht="22" customHeight="1">
      <x:c r="A2267" s="3"/>
      <x:c r="B2267" s="3" t="str">
        <x:v>21851</x:v>
      </x:c>
      <x:c r="C2267" s="3" t="str">
        <x:v>LILAC DIAMANTE PEN IN GIFT BOX</x:v>
      </x:c>
      <x:c r="D2267" s="13" t="n">
        <x:v>454.99</x:v>
      </x:c>
      <x:c r="E2267" s="13" t="n">
        <x:v>0</x:v>
      </x:c>
      <x:c r="F2267" s="13" t="n">
        <x:f>D2267-E2267</x:f>
        <x:v>454.99</x:v>
      </x:c>
      <x:c r="G2267" s="3" t="n">
        <x:v>141</x:v>
      </x:c>
      <x:c r="H2267" s="3" t="n">
        <x:v>0</x:v>
      </x:c>
      <x:c r="I2267" s="3" t="n">
        <x:v>63</x:v>
      </x:c>
      <x:c r="J2267" s="15" t="n">
        <x:f>IF(D2267=0,"n.a.",E2267/D2267)</x:f>
        <x:v>0</x:v>
      </x:c>
      <x:c r="K2267" s="15" t="n">
        <x:f>F2267/'Datos'!$F$7</x:f>
        <x:v>0.00004646211844302408</x:v>
      </x:c>
      <x:c r="L2267" s="3"/>
    </x:row>
    <x:row r="2268" ht="22" customHeight="1">
      <x:c r="A2268" s="3"/>
      <x:c r="B2268" s="3" t="str">
        <x:v>22184</x:v>
      </x:c>
      <x:c r="C2268" s="3" t="str">
        <x:v>CAKE STAND VICTORIAN FILIGREE LARGE</x:v>
      </x:c>
      <x:c r="D2268" s="13" t="n">
        <x:v>471.86</x:v>
      </x:c>
      <x:c r="E2268" s="13" t="n">
        <x:v>17</x:v>
      </x:c>
      <x:c r="F2268" s="13" t="n">
        <x:f>D2268-E2268</x:f>
        <x:v>454.86</x:v>
      </x:c>
      <x:c r="G2268" s="3" t="n">
        <x:v>56</x:v>
      </x:c>
      <x:c r="H2268" s="3" t="n">
        <x:v>2</x:v>
      </x:c>
      <x:c r="I2268" s="3" t="n">
        <x:v>35</x:v>
      </x:c>
      <x:c r="J2268" s="15" t="n">
        <x:f>IF(D2268=0,"n.a.",E2268/D2268)</x:f>
        <x:v>0.0360276353155597</x:v>
      </x:c>
      <x:c r="K2268" s="15" t="n">
        <x:f>F2268/'Datos'!$F$7</x:f>
        <x:v>0.0000464488432602781</x:v>
      </x:c>
      <x:c r="L2268" s="3"/>
    </x:row>
    <x:row r="2269" ht="22" customHeight="1">
      <x:c r="A2269" s="3"/>
      <x:c r="B2269" s="3" t="str">
        <x:v>21415</x:v>
      </x:c>
      <x:c r="C2269" s="3" t="str">
        <x:v>CLAM SHELL SMALL</x:v>
      </x:c>
      <x:c r="D2269" s="13" t="n">
        <x:v>454.42</x:v>
      </x:c>
      <x:c r="E2269" s="13" t="n">
        <x:v>0</x:v>
      </x:c>
      <x:c r="F2269" s="13" t="n">
        <x:f>D2269-E2269</x:f>
        <x:v>454.42</x:v>
      </x:c>
      <x:c r="G2269" s="3" t="n">
        <x:v>223</x:v>
      </x:c>
      <x:c r="H2269" s="3" t="n">
        <x:v>0</x:v>
      </x:c>
      <x:c r="I2269" s="3" t="n">
        <x:v>46</x:v>
      </x:c>
      <x:c r="J2269" s="15" t="n">
        <x:f>IF(D2269=0,"n.a.",E2269/D2269)</x:f>
        <x:v>0</x:v>
      </x:c>
      <x:c r="K2269" s="15" t="n">
        <x:f>F2269/'Datos'!$F$7</x:f>
        <x:v>0.00004640391187252248</x:v>
      </x:c>
      <x:c r="L2269" s="3"/>
    </x:row>
    <x:row r="2270" ht="22" customHeight="1">
      <x:c r="A2270" s="3"/>
      <x:c r="B2270" s="3" t="str">
        <x:v>23023</x:v>
      </x:c>
      <x:c r="C2270" s="3" t="str">
        <x:v>RIDGED BONNE JAM JAR T-LIGHT HOLDER</x:v>
      </x:c>
      <x:c r="D2270" s="13" t="n">
        <x:v>457.62</x:v>
      </x:c>
      <x:c r="E2270" s="13" t="n">
        <x:v>3.3</x:v>
      </x:c>
      <x:c r="F2270" s="13" t="n">
        <x:f>D2270-E2270</x:f>
        <x:v>454.32</x:v>
      </x:c>
      <x:c r="G2270" s="3" t="n">
        <x:v>286</x:v>
      </x:c>
      <x:c r="H2270" s="3" t="n">
        <x:v>2</x:v>
      </x:c>
      <x:c r="I2270" s="3" t="n">
        <x:v>25</x:v>
      </x:c>
      <x:c r="J2270" s="15" t="n">
        <x:f>IF(D2270=0,"n.a.",E2270/D2270)</x:f>
        <x:v>0.007211223285695555</x:v>
      </x:c>
      <x:c r="K2270" s="15" t="n">
        <x:f>F2270/'Datos'!$F$7</x:f>
        <x:v>0.00004639370019348711</x:v>
      </x:c>
      <x:c r="L2270" s="3"/>
    </x:row>
    <x:row r="2271" ht="22" customHeight="1">
      <x:c r="A2271" s="3"/>
      <x:c r="B2271" s="3" t="str">
        <x:v>84920</x:v>
      </x:c>
      <x:c r="C2271" s="3" t="str">
        <x:v>PINK FLOWER FABRIC PONY</x:v>
      </x:c>
      <x:c r="D2271" s="13" t="n">
        <x:v>453.73</x:v>
      </x:c>
      <x:c r="E2271" s="13" t="n">
        <x:v>0</x:v>
      </x:c>
      <x:c r="F2271" s="13" t="n">
        <x:f>D2271-E2271</x:f>
        <x:v>453.73</x:v>
      </x:c>
      <x:c r="G2271" s="3" t="n">
        <x:v>117</x:v>
      </x:c>
      <x:c r="H2271" s="3" t="n">
        <x:v>0</x:v>
      </x:c>
      <x:c r="I2271" s="3" t="n">
        <x:v>48</x:v>
      </x:c>
      <x:c r="J2271" s="15" t="n">
        <x:f>IF(D2271=0,"n.a.",E2271/D2271)</x:f>
        <x:v>0</x:v>
      </x:c>
      <x:c r="K2271" s="15" t="n">
        <x:f>F2271/'Datos'!$F$7</x:f>
        <x:v>0.000046333451287178435</x:v>
      </x:c>
      <x:c r="L2271" s="3"/>
    </x:row>
    <x:row r="2272" ht="22" customHeight="1">
      <x:c r="A2272" s="3"/>
      <x:c r="B2272" s="3" t="str">
        <x:v>84916</x:v>
      </x:c>
      <x:c r="C2272" s="3" t="str">
        <x:v>HAND TOWEL PALE BLUE W FLOWERS</x:v>
      </x:c>
      <x:c r="D2272" s="13" t="n">
        <x:v>453.39</x:v>
      </x:c>
      <x:c r="E2272" s="13" t="n">
        <x:v>0</x:v>
      </x:c>
      <x:c r="F2272" s="13" t="n">
        <x:f>D2272-E2272</x:f>
        <x:v>453.39</x:v>
      </x:c>
      <x:c r="G2272" s="3" t="n">
        <x:v>223</x:v>
      </x:c>
      <x:c r="H2272" s="3" t="n">
        <x:v>0</x:v>
      </x:c>
      <x:c r="I2272" s="3" t="n">
        <x:v>29</x:v>
      </x:c>
      <x:c r="J2272" s="15" t="n">
        <x:f>IF(D2272=0,"n.a.",E2272/D2272)</x:f>
        <x:v>0</x:v>
      </x:c>
      <x:c r="K2272" s="15" t="n">
        <x:f>F2272/'Datos'!$F$7</x:f>
        <x:v>0.000046298731578458176</x:v>
      </x:c>
      <x:c r="L2272" s="3"/>
    </x:row>
    <x:row r="2273" ht="22" customHeight="1">
      <x:c r="A2273" s="3"/>
      <x:c r="B2273" s="3" t="str">
        <x:v>23509</x:v>
      </x:c>
      <x:c r="C2273" s="3" t="str">
        <x:v>MINI PLAYING CARDS FUN FAIR</x:v>
      </x:c>
      <x:c r="D2273" s="13" t="n">
        <x:v>452.72</x:v>
      </x:c>
      <x:c r="E2273" s="13" t="n">
        <x:v>0</x:v>
      </x:c>
      <x:c r="F2273" s="13" t="n">
        <x:f>D2273-E2273</x:f>
        <x:v>452.72</x:v>
      </x:c>
      <x:c r="G2273" s="3" t="n">
        <x:v>1065</x:v>
      </x:c>
      <x:c r="H2273" s="3" t="n">
        <x:v>0</x:v>
      </x:c>
      <x:c r="I2273" s="3" t="n">
        <x:v>65</x:v>
      </x:c>
      <x:c r="J2273" s="15" t="n">
        <x:f>IF(D2273=0,"n.a.",E2273/D2273)</x:f>
        <x:v>0</x:v>
      </x:c>
      <x:c r="K2273" s="15" t="n">
        <x:f>F2273/'Datos'!$F$7</x:f>
        <x:v>0.00004623031332892121</x:v>
      </x:c>
      <x:c r="L2273" s="3"/>
    </x:row>
    <x:row r="2274" ht="22" customHeight="1">
      <x:c r="A2274" s="3"/>
      <x:c r="B2274" s="3" t="str">
        <x:v>21061</x:v>
      </x:c>
      <x:c r="C2274" s="3" t="str">
        <x:v>PARTY INVITES FOOTBALL</x:v>
      </x:c>
      <x:c r="D2274" s="13" t="n">
        <x:v>451.7</x:v>
      </x:c>
      <x:c r="E2274" s="13" t="n">
        <x:v>0</x:v>
      </x:c>
      <x:c r="F2274" s="13" t="n">
        <x:f>D2274-E2274</x:f>
        <x:v>451.7</x:v>
      </x:c>
      <x:c r="G2274" s="3" t="n">
        <x:v>488</x:v>
      </x:c>
      <x:c r="H2274" s="3" t="n">
        <x:v>0</x:v>
      </x:c>
      <x:c r="I2274" s="3" t="n">
        <x:v>83</x:v>
      </x:c>
      <x:c r="J2274" s="15" t="n">
        <x:f>IF(D2274=0,"n.a.",E2274/D2274)</x:f>
        <x:v>0</x:v>
      </x:c>
      <x:c r="K2274" s="15" t="n">
        <x:f>F2274/'Datos'!$F$7</x:f>
        <x:v>0.00004612615420276045</x:v>
      </x:c>
      <x:c r="L2274" s="3"/>
    </x:row>
    <x:row r="2275" ht="22" customHeight="1">
      <x:c r="A2275" s="3"/>
      <x:c r="B2275" s="3" t="str">
        <x:v>21641</x:v>
      </x:c>
      <x:c r="C2275" s="3" t="str">
        <x:v>ASSORTED TUTTI FRUTTI KEYRING BALL</x:v>
      </x:c>
      <x:c r="D2275" s="13" t="n">
        <x:v>451.59</x:v>
      </x:c>
      <x:c r="E2275" s="13" t="n">
        <x:v>0</x:v>
      </x:c>
      <x:c r="F2275" s="13" t="n">
        <x:f>D2275-E2275</x:f>
        <x:v>451.59</x:v>
      </x:c>
      <x:c r="G2275" s="3" t="n">
        <x:v>1153</x:v>
      </x:c>
      <x:c r="H2275" s="3" t="n">
        <x:v>0</x:v>
      </x:c>
      <x:c r="I2275" s="3" t="n">
        <x:v>49</x:v>
      </x:c>
      <x:c r="J2275" s="15" t="n">
        <x:f>IF(D2275=0,"n.a.",E2275/D2275)</x:f>
        <x:v>0</x:v>
      </x:c>
      <x:c r="K2275" s="15" t="n">
        <x:f>F2275/'Datos'!$F$7</x:f>
        <x:v>0.00004611492135582154</x:v>
      </x:c>
      <x:c r="L2275" s="3"/>
    </x:row>
    <x:row r="2276" ht="22" customHeight="1">
      <x:c r="A2276" s="3"/>
      <x:c r="B2276" s="3" t="str">
        <x:v>23548</x:v>
      </x:c>
      <x:c r="C2276" s="3" t="str">
        <x:v>WRAP MAGIC FOREST</x:v>
      </x:c>
      <x:c r="D2276" s="13" t="n">
        <x:v>451.5</x:v>
      </x:c>
      <x:c r="E2276" s="13" t="n">
        <x:v>0</x:v>
      </x:c>
      <x:c r="F2276" s="13" t="n">
        <x:f>D2276-E2276</x:f>
        <x:v>451.5</x:v>
      </x:c>
      <x:c r="G2276" s="3" t="n">
        <x:v>1075</x:v>
      </x:c>
      <x:c r="H2276" s="3" t="n">
        <x:v>0</x:v>
      </x:c>
      <x:c r="I2276" s="3" t="n">
        <x:v>43</x:v>
      </x:c>
      <x:c r="J2276" s="15" t="n">
        <x:f>IF(D2276=0,"n.a.",E2276/D2276)</x:f>
        <x:v>0</x:v>
      </x:c>
      <x:c r="K2276" s="15" t="n">
        <x:f>F2276/'Datos'!$F$7</x:f>
        <x:v>0.00004610573084468971</x:v>
      </x:c>
      <x:c r="L2276" s="3"/>
    </x:row>
    <x:row r="2277" ht="22" customHeight="1">
      <x:c r="A2277" s="3"/>
      <x:c r="B2277" s="3" t="str">
        <x:v>20838</x:v>
      </x:c>
      <x:c r="C2277" s="3" t="str">
        <x:v>FRENCH LATTICE CUSHION COVER</x:v>
      </x:c>
      <x:c r="D2277" s="13" t="n">
        <x:v>461.45</x:v>
      </x:c>
      <x:c r="E2277" s="13" t="n">
        <x:v>10.2</x:v>
      </x:c>
      <x:c r="F2277" s="13" t="n">
        <x:f>D2277-E2277</x:f>
        <x:v>451.25</x:v>
      </x:c>
      <x:c r="G2277" s="3" t="n">
        <x:v>385</x:v>
      </x:c>
      <x:c r="H2277" s="3" t="n">
        <x:v>12</x:v>
      </x:c>
      <x:c r="I2277" s="3" t="n">
        <x:v>57</x:v>
      </x:c>
      <x:c r="J2277" s="15" t="n">
        <x:f>IF(D2277=0,"n.a.",E2277/D2277)</x:f>
        <x:v>0.022104236645357024</x:v>
      </x:c>
      <x:c r="K2277" s="15" t="n">
        <x:f>F2277/'Datos'!$F$7</x:f>
        <x:v>0.00004608020164710129</x:v>
      </x:c>
      <x:c r="L2277" s="3"/>
    </x:row>
    <x:row r="2278" ht="22" customHeight="1">
      <x:c r="A2278" s="3"/>
      <x:c r="B2278" s="3" t="str">
        <x:v>48189</x:v>
      </x:c>
      <x:c r="C2278" s="3" t="str">
        <x:v>DOORMAT FRIENDSHIP</x:v>
      </x:c>
      <x:c r="D2278" s="13" t="n">
        <x:v>451.11</x:v>
      </x:c>
      <x:c r="E2278" s="13" t="n">
        <x:v>0</x:v>
      </x:c>
      <x:c r="F2278" s="13" t="n">
        <x:f>D2278-E2278</x:f>
        <x:v>451.11</x:v>
      </x:c>
      <x:c r="G2278" s="3" t="n">
        <x:v>27</x:v>
      </x:c>
      <x:c r="H2278" s="3" t="n">
        <x:v>0</x:v>
      </x:c>
      <x:c r="I2278" s="3" t="n">
        <x:v>17</x:v>
      </x:c>
      <x:c r="J2278" s="15" t="n">
        <x:f>IF(D2278=0,"n.a.",E2278/D2278)</x:f>
        <x:v>0</x:v>
      </x:c>
      <x:c r="K2278" s="15" t="n">
        <x:f>F2278/'Datos'!$F$7</x:f>
        <x:v>0.000046065905296451776</x:v>
      </x:c>
      <x:c r="L2278" s="3"/>
    </x:row>
    <x:row r="2279" ht="22" customHeight="1">
      <x:c r="A2279" s="3"/>
      <x:c r="B2279" s="3" t="str">
        <x:v>35004G</x:v>
      </x:c>
      <x:c r="C2279" s="3" t="str">
        <x:v>SET OF 3 GOLD FLYING DUCKS</x:v>
      </x:c>
      <x:c r="D2279" s="13" t="n">
        <x:v>454.65</x:v>
      </x:c>
      <x:c r="E2279" s="13" t="n">
        <x:v>3.9</x:v>
      </x:c>
      <x:c r="F2279" s="13" t="n">
        <x:f>D2279-E2279</x:f>
        <x:v>450.75</x:v>
      </x:c>
      <x:c r="G2279" s="3" t="n">
        <x:v>127</x:v>
      </x:c>
      <x:c r="H2279" s="3" t="n">
        <x:v>2</x:v>
      </x:c>
      <x:c r="I2279" s="3" t="n">
        <x:v>21</x:v>
      </x:c>
      <x:c r="J2279" s="15" t="n">
        <x:f>IF(D2279=0,"n.a.",E2279/D2279)</x:f>
        <x:v>0.008578027053777632</x:v>
      </x:c>
      <x:c r="K2279" s="15" t="n">
        <x:f>F2279/'Datos'!$F$7</x:f>
        <x:v>0.000046029143251924445</x:v>
      </x:c>
      <x:c r="L2279" s="3"/>
    </x:row>
    <x:row r="2280" ht="22" customHeight="1">
      <x:c r="A2280" s="3"/>
      <x:c r="B2280" s="3" t="str">
        <x:v>20803</x:v>
      </x:c>
      <x:c r="C2280" s="3" t="str">
        <x:v>SMALL PINK GLASS SUNDAE DISH</x:v>
      </x:c>
      <x:c r="D2280" s="13" t="n">
        <x:v>478.72</x:v>
      </x:c>
      <x:c r="E2280" s="13" t="n">
        <x:v>28.56</x:v>
      </x:c>
      <x:c r="F2280" s="13" t="n">
        <x:f>D2280-E2280</x:f>
        <x:v>450.16</x:v>
      </x:c>
      <x:c r="G2280" s="3" t="n">
        <x:v>945</x:v>
      </x:c>
      <x:c r="H2280" s="3" t="n">
        <x:v>68</x:v>
      </x:c>
      <x:c r="I2280" s="3" t="n">
        <x:v>40</x:v>
      </x:c>
      <x:c r="J2280" s="15" t="n">
        <x:f>IF(D2280=0,"n.a.",E2280/D2280)</x:f>
        <x:v>0.059659090909090905</x:v>
      </x:c>
      <x:c r="K2280" s="15" t="n">
        <x:f>F2280/'Datos'!$F$7</x:f>
        <x:v>0.00004596889434561577</x:v>
      </x:c>
      <x:c r="L2280" s="3"/>
    </x:row>
    <x:row r="2281" ht="22" customHeight="1">
      <x:c r="A2281" s="3"/>
      <x:c r="B2281" s="3" t="str">
        <x:v>20770</x:v>
      </x:c>
      <x:c r="C2281" s="3" t="str">
        <x:v>ABSTRACT CIRCLE JOURNAL</x:v>
      </x:c>
      <x:c r="D2281" s="13" t="n">
        <x:v>449.8</x:v>
      </x:c>
      <x:c r="E2281" s="13" t="n">
        <x:v>0</x:v>
      </x:c>
      <x:c r="F2281" s="13" t="n">
        <x:f>D2281-E2281</x:f>
        <x:v>449.8</x:v>
      </x:c>
      <x:c r="G2281" s="3" t="n">
        <x:v>185</x:v>
      </x:c>
      <x:c r="H2281" s="3" t="n">
        <x:v>0</x:v>
      </x:c>
      <x:c r="I2281" s="3" t="n">
        <x:v>72</x:v>
      </x:c>
      <x:c r="J2281" s="15" t="n">
        <x:f>IF(D2281=0,"n.a.",E2281/D2281)</x:f>
        <x:v>0</x:v>
      </x:c>
      <x:c r="K2281" s="15" t="n">
        <x:f>F2281/'Datos'!$F$7</x:f>
        <x:v>0.00004593213230108845</x:v>
      </x:c>
      <x:c r="L2281" s="3"/>
    </x:row>
    <x:row r="2282" ht="22" customHeight="1">
      <x:c r="A2282" s="3"/>
      <x:c r="B2282" s="3" t="str">
        <x:v>22640</x:v>
      </x:c>
      <x:c r="C2282" s="3" t="str">
        <x:v>SET OF 4 NAPKIN CHARMS 3 KEYS</x:v>
      </x:c>
      <x:c r="D2282" s="13" t="n">
        <x:v>449.39</x:v>
      </x:c>
      <x:c r="E2282" s="13" t="n">
        <x:v>0</x:v>
      </x:c>
      <x:c r="F2282" s="13" t="n">
        <x:f>D2282-E2282</x:f>
        <x:v>449.39</x:v>
      </x:c>
      <x:c r="G2282" s="3" t="n">
        <x:v>238</x:v>
      </x:c>
      <x:c r="H2282" s="3" t="n">
        <x:v>0</x:v>
      </x:c>
      <x:c r="I2282" s="3" t="n">
        <x:v>57</x:v>
      </x:c>
      <x:c r="J2282" s="15" t="n">
        <x:f>IF(D2282=0,"n.a.",E2282/D2282)</x:f>
        <x:v>0</x:v>
      </x:c>
      <x:c r="K2282" s="15" t="n">
        <x:f>F2282/'Datos'!$F$7</x:f>
        <x:v>0.00004589026441704343</x:v>
      </x:c>
      <x:c r="L2282" s="3"/>
    </x:row>
    <x:row r="2283" ht="22" customHeight="1">
      <x:c r="A2283" s="3"/>
      <x:c r="B2283" s="3" t="str">
        <x:v>22647</x:v>
      </x:c>
      <x:c r="C2283" s="3" t="str">
        <x:v>CERAMIC LOVE HEART MONEY BANK</x:v>
      </x:c>
      <x:c r="D2283" s="13" t="n">
        <x:v>466.18</x:v>
      </x:c>
      <x:c r="E2283" s="13" t="n">
        <x:v>17.4</x:v>
      </x:c>
      <x:c r="F2283" s="13" t="n">
        <x:f>D2283-E2283</x:f>
        <x:v>448.78000000000003</x:v>
      </x:c>
      <x:c r="G2283" s="3" t="n">
        <x:v>732</x:v>
      </x:c>
      <x:c r="H2283" s="3" t="n">
        <x:v>12</x:v>
      </x:c>
      <x:c r="I2283" s="3" t="n">
        <x:v>45</x:v>
      </x:c>
      <x:c r="J2283" s="15" t="n">
        <x:f>IF(D2283=0,"n.a.",E2283/D2283)</x:f>
        <x:v>0.037324638551632414</x:v>
      </x:c>
      <x:c r="K2283" s="15" t="n">
        <x:f>F2283/'Datos'!$F$7</x:f>
        <x:v>0.00004582797317492769</x:v>
      </x:c>
      <x:c r="L2283" s="3"/>
    </x:row>
    <x:row r="2284" ht="22" customHeight="1">
      <x:c r="A2284" s="3"/>
      <x:c r="B2284" s="3" t="str">
        <x:v>82613C</x:v>
      </x:c>
      <x:c r="C2284" s="3" t="str">
        <x:v>METAL SIGN,CUPCAKE SINGLE HOOK</x:v>
      </x:c>
      <x:c r="D2284" s="13" t="n">
        <x:v>457.03</x:v>
      </x:c>
      <x:c r="E2284" s="13" t="n">
        <x:v>8.4</x:v>
      </x:c>
      <x:c r="F2284" s="13" t="n">
        <x:f>D2284-E2284</x:f>
        <x:v>448.63</x:v>
      </x:c>
      <x:c r="G2284" s="3" t="n">
        <x:v>543</x:v>
      </x:c>
      <x:c r="H2284" s="3" t="n">
        <x:v>20</x:v>
      </x:c>
      <x:c r="I2284" s="3" t="n">
        <x:v>100</x:v>
      </x:c>
      <x:c r="J2284" s="15" t="n">
        <x:f>IF(D2284=0,"n.a.",E2284/D2284)</x:f>
        <x:v>0.018379537448307552</x:v>
      </x:c>
      <x:c r="K2284" s="15" t="n">
        <x:f>F2284/'Datos'!$F$7</x:f>
        <x:v>0.000045812655656374626</x:v>
      </x:c>
      <x:c r="L2284" s="3"/>
    </x:row>
    <x:row r="2285" ht="22" customHeight="1">
      <x:c r="A2285" s="3"/>
      <x:c r="B2285" s="3" t="str">
        <x:v>20669</x:v>
      </x:c>
      <x:c r="C2285" s="3" t="str">
        <x:v>RED HEART LUGGAGE TAG</x:v>
      </x:c>
      <x:c r="D2285" s="13" t="n">
        <x:v>447.34</x:v>
      </x:c>
      <x:c r="E2285" s="13" t="n">
        <x:v>0</x:v>
      </x:c>
      <x:c r="F2285" s="13" t="n">
        <x:f>D2285-E2285</x:f>
        <x:v>447.34</x:v>
      </x:c>
      <x:c r="G2285" s="3" t="n">
        <x:v>304</x:v>
      </x:c>
      <x:c r="H2285" s="3" t="n">
        <x:v>0</x:v>
      </x:c>
      <x:c r="I2285" s="3" t="n">
        <x:v>96</x:v>
      </x:c>
      <x:c r="J2285" s="15" t="n">
        <x:f>IF(D2285=0,"n.a.",E2285/D2285)</x:f>
        <x:v>0</x:v>
      </x:c>
      <x:c r="K2285" s="15" t="n">
        <x:f>F2285/'Datos'!$F$7</x:f>
        <x:v>0.00004568092499681837</x:v>
      </x:c>
      <x:c r="L2285" s="3"/>
    </x:row>
    <x:row r="2286" ht="22" customHeight="1">
      <x:c r="A2286" s="3"/>
      <x:c r="B2286" s="3" t="str">
        <x:v>21365</x:v>
      </x:c>
      <x:c r="C2286" s="3" t="str">
        <x:v>MIRRORED WALL ART STARS</x:v>
      </x:c>
      <x:c r="D2286" s="13" t="n">
        <x:v>447.09</x:v>
      </x:c>
      <x:c r="E2286" s="13" t="n">
        <x:v>0</x:v>
      </x:c>
      <x:c r="F2286" s="13" t="n">
        <x:f>D2286-E2286</x:f>
        <x:v>447.09</x:v>
      </x:c>
      <x:c r="G2286" s="3" t="n">
        <x:v>363</x:v>
      </x:c>
      <x:c r="H2286" s="3" t="n">
        <x:v>0</x:v>
      </x:c>
      <x:c r="I2286" s="3" t="n">
        <x:v>52</x:v>
      </x:c>
      <x:c r="J2286" s="15" t="n">
        <x:f>IF(D2286=0,"n.a.",E2286/D2286)</x:f>
        <x:v>0</x:v>
      </x:c>
      <x:c r="K2286" s="15" t="n">
        <x:f>F2286/'Datos'!$F$7</x:f>
        <x:v>0.00004565539579922995</x:v>
      </x:c>
      <x:c r="L2286" s="3"/>
    </x:row>
    <x:row r="2287" ht="22" customHeight="1">
      <x:c r="A2287" s="3"/>
      <x:c r="B2287" s="3" t="str">
        <x:v>22390</x:v>
      </x:c>
      <x:c r="C2287" s="3" t="str">
        <x:v>PAPERWEIGHT CHILDHOOD MEMORIES</x:v>
      </x:c>
      <x:c r="D2287" s="13" t="n">
        <x:v>445.44</x:v>
      </x:c>
      <x:c r="E2287" s="13" t="n">
        <x:v>0</x:v>
      </x:c>
      <x:c r="F2287" s="13" t="n">
        <x:f>D2287-E2287</x:f>
        <x:v>445.44</x:v>
      </x:c>
      <x:c r="G2287" s="3" t="n">
        <x:v>268</x:v>
      </x:c>
      <x:c r="H2287" s="3" t="n">
        <x:v>0</x:v>
      </x:c>
      <x:c r="I2287" s="3" t="n">
        <x:v>36</x:v>
      </x:c>
      <x:c r="J2287" s="15" t="n">
        <x:f>IF(D2287=0,"n.a.",E2287/D2287)</x:f>
        <x:v>0</x:v>
      </x:c>
      <x:c r="K2287" s="15" t="n">
        <x:f>F2287/'Datos'!$F$7</x:f>
        <x:v>0.000045486903095146365</x:v>
      </x:c>
      <x:c r="L2287" s="3"/>
    </x:row>
    <x:row r="2288" ht="22" customHeight="1">
      <x:c r="A2288" s="3"/>
      <x:c r="B2288" s="3" t="str">
        <x:v>22643</x:v>
      </x:c>
      <x:c r="C2288" s="3" t="str">
        <x:v>SET OF 4 NAPKIN CHARMS LEAVES</x:v>
      </x:c>
      <x:c r="D2288" s="13" t="n">
        <x:v>445.17</x:v>
      </x:c>
      <x:c r="E2288" s="13" t="n">
        <x:v>0</x:v>
      </x:c>
      <x:c r="F2288" s="13" t="n">
        <x:f>D2288-E2288</x:f>
        <x:v>445.17</x:v>
      </x:c>
      <x:c r="G2288" s="3" t="n">
        <x:v>240</x:v>
      </x:c>
      <x:c r="H2288" s="3" t="n">
        <x:v>0</x:v>
      </x:c>
      <x:c r="I2288" s="3" t="n">
        <x:v>48</x:v>
      </x:c>
      <x:c r="J2288" s="15" t="n">
        <x:f>IF(D2288=0,"n.a.",E2288/D2288)</x:f>
        <x:v>0</x:v>
      </x:c>
      <x:c r="K2288" s="15" t="n">
        <x:f>F2288/'Datos'!$F$7</x:f>
        <x:v>0.000045459331561750873</x:v>
      </x:c>
      <x:c r="L2288" s="3"/>
    </x:row>
    <x:row r="2289" ht="22" customHeight="1">
      <x:c r="A2289" s="3"/>
      <x:c r="B2289" s="3" t="str">
        <x:v>21656</x:v>
      </x:c>
      <x:c r="C2289" s="3" t="str">
        <x:v>RIDGED GLASS POSY VASE</x:v>
      </x:c>
      <x:c r="D2289" s="13" t="n">
        <x:v>444.58</x:v>
      </x:c>
      <x:c r="E2289" s="13" t="n">
        <x:v>0</x:v>
      </x:c>
      <x:c r="F2289" s="13" t="n">
        <x:f>D2289-E2289</x:f>
        <x:v>444.58</x:v>
      </x:c>
      <x:c r="G2289" s="3" t="n">
        <x:v>219</x:v>
      </x:c>
      <x:c r="H2289" s="3" t="n">
        <x:v>0</x:v>
      </x:c>
      <x:c r="I2289" s="3" t="n">
        <x:v>47</x:v>
      </x:c>
      <x:c r="J2289" s="15" t="n">
        <x:f>IF(D2289=0,"n.a.",E2289/D2289)</x:f>
        <x:v>0</x:v>
      </x:c>
      <x:c r="K2289" s="15" t="n">
        <x:f>F2289/'Datos'!$F$7</x:f>
        <x:v>0.000045399082655442193</x:v>
      </x:c>
      <x:c r="L2289" s="3"/>
    </x:row>
    <x:row r="2290" ht="22" customHeight="1">
      <x:c r="A2290" s="3"/>
      <x:c r="B2290" s="3" t="str">
        <x:v>21580</x:v>
      </x:c>
      <x:c r="C2290" s="3" t="str">
        <x:v>RABBIT DESIGN COTTON TOTE BAG</x:v>
      </x:c>
      <x:c r="D2290" s="13" t="n">
        <x:v>444.07</x:v>
      </x:c>
      <x:c r="E2290" s="13" t="n">
        <x:v>0</x:v>
      </x:c>
      <x:c r="F2290" s="13" t="n">
        <x:f>D2290-E2290</x:f>
        <x:v>444.07</x:v>
      </x:c>
      <x:c r="G2290" s="3" t="n">
        <x:v>181</x:v>
      </x:c>
      <x:c r="H2290" s="3" t="n">
        <x:v>0</x:v>
      </x:c>
      <x:c r="I2290" s="3" t="n">
        <x:v>62</x:v>
      </x:c>
      <x:c r="J2290" s="15" t="n">
        <x:f>IF(D2290=0,"n.a.",E2290/D2290)</x:f>
        <x:v>0</x:v>
      </x:c>
      <x:c r="K2290" s="15" t="n">
        <x:f>F2290/'Datos'!$F$7</x:f>
        <x:v>0.000045347003092361814</x:v>
      </x:c>
      <x:c r="L2290" s="3"/>
    </x:row>
    <x:row r="2291" ht="22" customHeight="1">
      <x:c r="A2291" s="3"/>
      <x:c r="B2291" s="3" t="str">
        <x:v>22598</x:v>
      </x:c>
      <x:c r="C2291" s="3" t="str">
        <x:v>CHRISTMAS MUSICAL ZINC TREE</x:v>
      </x:c>
      <x:c r="D2291" s="13" t="n">
        <x:v>447.36</x:v>
      </x:c>
      <x:c r="E2291" s="13" t="n">
        <x:v>5.1</x:v>
      </x:c>
      <x:c r="F2291" s="13" t="n">
        <x:f>D2291-E2291</x:f>
        <x:v>442.26</x:v>
      </x:c>
      <x:c r="G2291" s="3" t="n">
        <x:v>994</x:v>
      </x:c>
      <x:c r="H2291" s="3" t="n">
        <x:v>6</x:v>
      </x:c>
      <x:c r="I2291" s="3" t="n">
        <x:v>95</x:v>
      </x:c>
      <x:c r="J2291" s="15" t="n">
        <x:f>IF(D2291=0,"n.a.",E2291/D2291)</x:f>
        <x:v>0.011400214592274678</x:v>
      </x:c>
      <x:c r="K2291" s="15" t="n">
        <x:f>F2291/'Datos'!$F$7</x:f>
        <x:v>0.000045162171701821644</x:v>
      </x:c>
      <x:c r="L2291" s="3"/>
    </x:row>
    <x:row r="2292" ht="22" customHeight="1">
      <x:c r="A2292" s="3"/>
      <x:c r="B2292" s="3" t="str">
        <x:v>20903</x:v>
      </x:c>
      <x:c r="C2292" s="3" t="str">
        <x:v>VINTAGE KEEPSAKE BOX TRAVELOGUE</x:v>
      </x:c>
      <x:c r="D2292" s="13" t="n">
        <x:v>441.89</x:v>
      </x:c>
      <x:c r="E2292" s="13" t="n">
        <x:v>0</x:v>
      </x:c>
      <x:c r="F2292" s="13" t="n">
        <x:f>D2292-E2292</x:f>
        <x:v>441.89</x:v>
      </x:c>
      <x:c r="G2292" s="3" t="n">
        <x:v>82</x:v>
      </x:c>
      <x:c r="H2292" s="3" t="n">
        <x:v>0</x:v>
      </x:c>
      <x:c r="I2292" s="3" t="n">
        <x:v>56</x:v>
      </x:c>
      <x:c r="J2292" s="15" t="n">
        <x:f>IF(D2292=0,"n.a.",E2292/D2292)</x:f>
        <x:v>0</x:v>
      </x:c>
      <x:c r="K2292" s="15" t="n">
        <x:f>F2292/'Datos'!$F$7</x:f>
        <x:v>0.00004512438848939078</x:v>
      </x:c>
      <x:c r="L2292" s="3"/>
    </x:row>
    <x:row r="2293" ht="22" customHeight="1">
      <x:c r="A2293" s="3"/>
      <x:c r="B2293" s="3" t="str">
        <x:v>20768</x:v>
      </x:c>
      <x:c r="C2293" s="3" t="str">
        <x:v>GREEN FERN JOURNAL</x:v>
      </x:c>
      <x:c r="D2293" s="13" t="n">
        <x:v>441.12</x:v>
      </x:c>
      <x:c r="E2293" s="13" t="n">
        <x:v>0</x:v>
      </x:c>
      <x:c r="F2293" s="13" t="n">
        <x:f>D2293-E2293</x:f>
        <x:v>441.12</x:v>
      </x:c>
      <x:c r="G2293" s="3" t="n">
        <x:v>177</x:v>
      </x:c>
      <x:c r="H2293" s="3" t="n">
        <x:v>0</x:v>
      </x:c>
      <x:c r="I2293" s="3" t="n">
        <x:v>55</x:v>
      </x:c>
      <x:c r="J2293" s="15" t="n">
        <x:f>IF(D2293=0,"n.a.",E2293/D2293)</x:f>
        <x:v>0</x:v>
      </x:c>
      <x:c r="K2293" s="15" t="n">
        <x:f>F2293/'Datos'!$F$7</x:f>
        <x:v>0.00004504575856081844</x:v>
      </x:c>
      <x:c r="L2293" s="3"/>
    </x:row>
    <x:row r="2294" ht="22" customHeight="1">
      <x:c r="A2294" s="3"/>
      <x:c r="B2294" s="3" t="str">
        <x:v>85111</x:v>
      </x:c>
      <x:c r="C2294" s="3" t="str">
        <x:v>SILVER GLITTER FLOWER VOTIVE HOLDER</x:v>
      </x:c>
      <x:c r="D2294" s="13" t="n">
        <x:v>441.07</x:v>
      </x:c>
      <x:c r="E2294" s="13" t="n">
        <x:v>0</x:v>
      </x:c>
      <x:c r="F2294" s="13" t="n">
        <x:f>D2294-E2294</x:f>
        <x:v>441.07</x:v>
      </x:c>
      <x:c r="G2294" s="3" t="n">
        <x:v>1421</x:v>
      </x:c>
      <x:c r="H2294" s="3" t="n">
        <x:v>0</x:v>
      </x:c>
      <x:c r="I2294" s="3" t="n">
        <x:v>57</x:v>
      </x:c>
      <x:c r="J2294" s="15" t="n">
        <x:f>IF(D2294=0,"n.a.",E2294/D2294)</x:f>
        <x:v>0</x:v>
      </x:c>
      <x:c r="K2294" s="15" t="n">
        <x:f>F2294/'Datos'!$F$7</x:f>
        <x:v>0.00004504065272130075</x:v>
      </x:c>
      <x:c r="L2294" s="3"/>
    </x:row>
    <x:row r="2295" ht="22" customHeight="1">
      <x:c r="A2295" s="3"/>
      <x:c r="B2295" s="3" t="str">
        <x:v>35637A</x:v>
      </x:c>
      <x:c r="C2295" s="3" t="str">
        <x:v>IVORY STRING CURTAIN WITH POLE</x:v>
      </x:c>
      <x:c r="D2295" s="13" t="n">
        <x:v>440.62</x:v>
      </x:c>
      <x:c r="E2295" s="13" t="n">
        <x:v>0</x:v>
      </x:c>
      <x:c r="F2295" s="13" t="n">
        <x:f>D2295-E2295</x:f>
        <x:v>440.62</x:v>
      </x:c>
      <x:c r="G2295" s="3" t="n">
        <x:v>170</x:v>
      </x:c>
      <x:c r="H2295" s="3" t="n">
        <x:v>0</x:v>
      </x:c>
      <x:c r="I2295" s="3" t="n">
        <x:v>28</x:v>
      </x:c>
      <x:c r="J2295" s="15" t="n">
        <x:f>IF(D2295=0,"n.a.",E2295/D2295)</x:f>
        <x:v>0</x:v>
      </x:c>
      <x:c r="K2295" s="15" t="n">
        <x:f>F2295/'Datos'!$F$7</x:f>
        <x:v>0.000044994700165641594</x:v>
      </x:c>
      <x:c r="L2295" s="3"/>
    </x:row>
    <x:row r="2296" ht="22" customHeight="1">
      <x:c r="A2296" s="3"/>
      <x:c r="B2296" s="3" t="str">
        <x:v>20619</x:v>
      </x:c>
      <x:c r="C2296" s="3" t="str">
        <x:v>TROPICAL PASSPORT COVER</x:v>
      </x:c>
      <x:c r="D2296" s="13" t="n">
        <x:v>439.65</x:v>
      </x:c>
      <x:c r="E2296" s="13" t="n">
        <x:v>0</x:v>
      </x:c>
      <x:c r="F2296" s="13" t="n">
        <x:f>D2296-E2296</x:f>
        <x:v>439.65</x:v>
      </x:c>
      <x:c r="G2296" s="3" t="n">
        <x:v>262</x:v>
      </x:c>
      <x:c r="H2296" s="3" t="n">
        <x:v>0</x:v>
      </x:c>
      <x:c r="I2296" s="3" t="n">
        <x:v>99</x:v>
      </x:c>
      <x:c r="J2296" s="15" t="n">
        <x:f>IF(D2296=0,"n.a.",E2296/D2296)</x:f>
        <x:v>0</x:v>
      </x:c>
      <x:c r="K2296" s="15" t="n">
        <x:f>F2296/'Datos'!$F$7</x:f>
        <x:v>0.00004489564687899852</x:v>
      </x:c>
      <x:c r="L2296" s="3"/>
    </x:row>
    <x:row r="2297" ht="22" customHeight="1">
      <x:c r="A2297" s="3"/>
      <x:c r="B2297" s="3" t="str">
        <x:v>21828</x:v>
      </x:c>
      <x:c r="C2297" s="3" t="str">
        <x:v>EIGHT PIECE SNAKE SET</x:v>
      </x:c>
      <x:c r="D2297" s="13" t="n">
        <x:v>439.54</x:v>
      </x:c>
      <x:c r="E2297" s="13" t="n">
        <x:v>0</x:v>
      </x:c>
      <x:c r="F2297" s="13" t="n">
        <x:f>D2297-E2297</x:f>
        <x:v>439.54</x:v>
      </x:c>
      <x:c r="G2297" s="3" t="n">
        <x:v>333</x:v>
      </x:c>
      <x:c r="H2297" s="3" t="n">
        <x:v>0</x:v>
      </x:c>
      <x:c r="I2297" s="3" t="n">
        <x:v>84</x:v>
      </x:c>
      <x:c r="J2297" s="15" t="n">
        <x:f>IF(D2297=0,"n.a.",E2297/D2297)</x:f>
        <x:v>0</x:v>
      </x:c>
      <x:c r="K2297" s="15" t="n">
        <x:f>F2297/'Datos'!$F$7</x:f>
        <x:v>0.00004488441403205961</x:v>
      </x:c>
      <x:c r="L2297" s="3"/>
    </x:row>
    <x:row r="2298" ht="22" customHeight="1">
      <x:c r="A2298" s="3"/>
      <x:c r="B2298" s="3" t="str">
        <x:v>84600</x:v>
      </x:c>
      <x:c r="C2298" s="3" t="str">
        <x:v>NEW BAROQUE JEWELLERY BOX</x:v>
      </x:c>
      <x:c r="D2298" s="13" t="n">
        <x:v>446.89</x:v>
      </x:c>
      <x:c r="E2298" s="13" t="n">
        <x:v>7.95</x:v>
      </x:c>
      <x:c r="F2298" s="13" t="n">
        <x:f>D2298-E2298</x:f>
        <x:v>438.94</x:v>
      </x:c>
      <x:c r="G2298" s="3" t="n">
        <x:v>53</x:v>
      </x:c>
      <x:c r="H2298" s="3" t="n">
        <x:v>1</x:v>
      </x:c>
      <x:c r="I2298" s="3" t="n">
        <x:v>25</x:v>
      </x:c>
      <x:c r="J2298" s="15" t="n">
        <x:f>IF(D2298=0,"n.a.",E2298/D2298)</x:f>
        <x:v>0.017789612656358388</x:v>
      </x:c>
      <x:c r="K2298" s="15" t="n">
        <x:f>F2298/'Datos'!$F$7</x:f>
        <x:v>0.0000448231439578474</x:v>
      </x:c>
      <x:c r="L2298" s="3"/>
    </x:row>
    <x:row r="2299" ht="22" customHeight="1">
      <x:c r="A2299" s="3"/>
      <x:c r="B2299" s="3" t="str">
        <x:v>85130C</x:v>
      </x:c>
      <x:c r="C2299" s="3" t="str">
        <x:v>BEADED CRYSTAL HEART BLUE LARGE</x:v>
      </x:c>
      <x:c r="D2299" s="13" t="n">
        <x:v>438.87</x:v>
      </x:c>
      <x:c r="E2299" s="13" t="n">
        <x:v>0</x:v>
      </x:c>
      <x:c r="F2299" s="13" t="n">
        <x:f>D2299-E2299</x:f>
        <x:v>438.87</x:v>
      </x:c>
      <x:c r="G2299" s="3" t="n">
        <x:v>483</x:v>
      </x:c>
      <x:c r="H2299" s="3" t="n">
        <x:v>0</x:v>
      </x:c>
      <x:c r="I2299" s="3" t="n">
        <x:v>46</x:v>
      </x:c>
      <x:c r="J2299" s="15" t="n">
        <x:f>IF(D2299=0,"n.a.",E2299/D2299)</x:f>
        <x:v>0</x:v>
      </x:c>
      <x:c r="K2299" s="15" t="n">
        <x:f>F2299/'Datos'!$F$7</x:f>
        <x:v>0.000044815995782522646</x:v>
      </x:c>
      <x:c r="L2299" s="3"/>
    </x:row>
    <x:row r="2300" ht="22" customHeight="1">
      <x:c r="A2300" s="3"/>
      <x:c r="B2300" s="3" t="str">
        <x:v>85169C</x:v>
      </x:c>
      <x:c r="C2300" s="3" t="str">
        <x:v>EAU DE NIL LOVE BIRD CANDLE</x:v>
      </x:c>
      <x:c r="D2300" s="13" t="n">
        <x:v>452.86</x:v>
      </x:c>
      <x:c r="E2300" s="13" t="n">
        <x:v>15</x:v>
      </x:c>
      <x:c r="F2300" s="13" t="n">
        <x:f>D2300-E2300</x:f>
        <x:v>437.86</x:v>
      </x:c>
      <x:c r="G2300" s="3" t="n">
        <x:v>429</x:v>
      </x:c>
      <x:c r="H2300" s="3" t="n">
        <x:v>12</x:v>
      </x:c>
      <x:c r="I2300" s="3" t="n">
        <x:v>46</x:v>
      </x:c>
      <x:c r="J2300" s="15" t="n">
        <x:f>IF(D2300=0,"n.a.",E2300/D2300)</x:f>
        <x:v>0.03312281941438855</x:v>
      </x:c>
      <x:c r="K2300" s="15" t="n">
        <x:f>F2300/'Datos'!$F$7</x:f>
        <x:v>0.00004471285782426542</x:v>
      </x:c>
      <x:c r="L2300" s="3"/>
    </x:row>
    <x:row r="2301" ht="22" customHeight="1">
      <x:c r="A2301" s="3"/>
      <x:c r="B2301" s="3" t="str">
        <x:v>84596E</x:v>
      </x:c>
      <x:c r="C2301" s="3" t="str">
        <x:v>SMALL LICORICE DES PINK BOWL</x:v>
      </x:c>
      <x:c r="D2301" s="13" t="n">
        <x:v>437.2</x:v>
      </x:c>
      <x:c r="E2301" s="13" t="n">
        <x:v>0</x:v>
      </x:c>
      <x:c r="F2301" s="13" t="n">
        <x:f>D2301-E2301</x:f>
        <x:v>437.2</x:v>
      </x:c>
      <x:c r="G2301" s="3" t="n">
        <x:v>575</x:v>
      </x:c>
      <x:c r="H2301" s="3" t="n">
        <x:v>0</x:v>
      </x:c>
      <x:c r="I2301" s="3" t="n">
        <x:v>85</x:v>
      </x:c>
      <x:c r="J2301" s="15" t="n">
        <x:f>IF(D2301=0,"n.a.",E2301/D2301)</x:f>
        <x:v>0</x:v>
      </x:c>
      <x:c r="K2301" s="15" t="n">
        <x:f>F2301/'Datos'!$F$7</x:f>
        <x:v>0.000044645460742631985</x:v>
      </x:c>
      <x:c r="L2301" s="3"/>
    </x:row>
    <x:row r="2302" ht="22" customHeight="1">
      <x:c r="A2302" s="3"/>
      <x:c r="B2302" s="3" t="str">
        <x:v>17107D</x:v>
      </x:c>
      <x:c r="C2302" s="3" t="str">
        <x:v>FLOWER FAIRY,5 SUMMER B'DRAW LINERS</x:v>
      </x:c>
      <x:c r="D2302" s="13" t="n">
        <x:v>436.05</x:v>
      </x:c>
      <x:c r="E2302" s="13" t="n">
        <x:v>0</x:v>
      </x:c>
      <x:c r="F2302" s="13" t="n">
        <x:f>D2302-E2302</x:f>
        <x:v>436.05</x:v>
      </x:c>
      <x:c r="G2302" s="3" t="n">
        <x:v>171</x:v>
      </x:c>
      <x:c r="H2302" s="3" t="n">
        <x:v>0</x:v>
      </x:c>
      <x:c r="I2302" s="3" t="n">
        <x:v>46</x:v>
      </x:c>
      <x:c r="J2302" s="15" t="n">
        <x:f>IF(D2302=0,"n.a.",E2302/D2302)</x:f>
        <x:v>0</x:v>
      </x:c>
      <x:c r="K2302" s="15" t="n">
        <x:f>F2302/'Datos'!$F$7</x:f>
        <x:v>0.00004452802643372525</x:v>
      </x:c>
      <x:c r="L2302" s="3"/>
    </x:row>
    <x:row r="2303" ht="22" customHeight="1">
      <x:c r="A2303" s="3"/>
      <x:c r="B2303" s="3" t="str">
        <x:v>23044</x:v>
      </x:c>
      <x:c r="C2303" s="3" t="str">
        <x:v>PAPER LANTERN 9 POINT HOLLY STAR S</x:v>
      </x:c>
      <x:c r="D2303" s="13" t="n">
        <x:v>435.74</x:v>
      </x:c>
      <x:c r="E2303" s="13" t="n">
        <x:v>0</x:v>
      </x:c>
      <x:c r="F2303" s="13" t="n">
        <x:f>D2303-E2303</x:f>
        <x:v>435.74</x:v>
      </x:c>
      <x:c r="G2303" s="3" t="n">
        <x:v>104</x:v>
      </x:c>
      <x:c r="H2303" s="3" t="n">
        <x:v>0</x:v>
      </x:c>
      <x:c r="I2303" s="3" t="n">
        <x:v>25</x:v>
      </x:c>
      <x:c r="J2303" s="15" t="n">
        <x:f>IF(D2303=0,"n.a.",E2303/D2303)</x:f>
        <x:v>0</x:v>
      </x:c>
      <x:c r="K2303" s="15" t="n">
        <x:f>F2303/'Datos'!$F$7</x:f>
        <x:v>0.00004449637022871561</x:v>
      </x:c>
      <x:c r="L2303" s="3"/>
    </x:row>
    <x:row r="2304" ht="22" customHeight="1">
      <x:c r="A2304" s="3"/>
      <x:c r="B2304" s="3" t="str">
        <x:v>22545</x:v>
      </x:c>
      <x:c r="C2304" s="3" t="str">
        <x:v>MINI JIGSAW BUNNIES</x:v>
      </x:c>
      <x:c r="D2304" s="13" t="n">
        <x:v>436.09</x:v>
      </x:c>
      <x:c r="E2304" s="13" t="n">
        <x:v>0.42</x:v>
      </x:c>
      <x:c r="F2304" s="13" t="n">
        <x:f>D2304-E2304</x:f>
        <x:v>435.66999999999996</x:v>
      </x:c>
      <x:c r="G2304" s="3" t="n">
        <x:v>1143</x:v>
      </x:c>
      <x:c r="H2304" s="3" t="n">
        <x:v>1</x:v>
      </x:c>
      <x:c r="I2304" s="3" t="n">
        <x:v>75</x:v>
      </x:c>
      <x:c r="J2304" s="15" t="n">
        <x:f>IF(D2304=0,"n.a.",E2304/D2304)</x:f>
        <x:v>0.0009631039464330758</x:v>
      </x:c>
      <x:c r="K2304" s="15" t="n">
        <x:f>F2304/'Datos'!$F$7</x:f>
        <x:v>0.00004448922205339084</x:v>
      </x:c>
      <x:c r="L2304" s="3"/>
    </x:row>
    <x:row r="2305" ht="22" customHeight="1">
      <x:c r="A2305" s="3"/>
      <x:c r="B2305" s="3" t="str">
        <x:v>84976</x:v>
      </x:c>
      <x:c r="C2305" s="3" t="str">
        <x:v>RECTANGULAR SHAPED MIRROR</x:v>
      </x:c>
      <x:c r="D2305" s="13" t="n">
        <x:v>446.15</x:v>
      </x:c>
      <x:c r="E2305" s="13" t="n">
        <x:v>11.06</x:v>
      </x:c>
      <x:c r="F2305" s="13" t="n">
        <x:f>D2305-E2305</x:f>
        <x:v>435.09</x:v>
      </x:c>
      <x:c r="G2305" s="3" t="n">
        <x:v>512</x:v>
      </x:c>
      <x:c r="H2305" s="3" t="n">
        <x:v>14</x:v>
      </x:c>
      <x:c r="I2305" s="3" t="n">
        <x:v>37</x:v>
      </x:c>
      <x:c r="J2305" s="15" t="n">
        <x:f>IF(D2305=0,"n.a.",E2305/D2305)</x:f>
        <x:v>0.024789868878179987</x:v>
      </x:c>
      <x:c r="K2305" s="15" t="n">
        <x:f>F2305/'Datos'!$F$7</x:f>
        <x:v>0.000044429994314985705</x:v>
      </x:c>
      <x:c r="L2305" s="3"/>
    </x:row>
    <x:row r="2306" ht="22" customHeight="1">
      <x:c r="A2306" s="3"/>
      <x:c r="B2306" s="3" t="str">
        <x:v>84360</x:v>
      </x:c>
      <x:c r="C2306" s="3" t="str">
        <x:v>TABLE LAMP WHITE SHADE WOOD BASE</x:v>
      </x:c>
      <x:c r="D2306" s="13" t="n">
        <x:v>434.12</x:v>
      </x:c>
      <x:c r="E2306" s="13" t="n">
        <x:v>0</x:v>
      </x:c>
      <x:c r="F2306" s="13" t="n">
        <x:f>D2306-E2306</x:f>
        <x:v>434.12</x:v>
      </x:c>
      <x:c r="G2306" s="3" t="n">
        <x:v>78</x:v>
      </x:c>
      <x:c r="H2306" s="3" t="n">
        <x:v>0</x:v>
      </x:c>
      <x:c r="I2306" s="3" t="n">
        <x:v>20</x:v>
      </x:c>
      <x:c r="J2306" s="15" t="n">
        <x:f>IF(D2306=0,"n.a.",E2306/D2306)</x:f>
        <x:v>0</x:v>
      </x:c>
      <x:c r="K2306" s="15" t="n">
        <x:f>F2306/'Datos'!$F$7</x:f>
        <x:v>0.00004433094102834263</x:v>
      </x:c>
      <x:c r="L2306" s="3"/>
    </x:row>
    <x:row r="2307" ht="22" customHeight="1">
      <x:c r="A2307" s="3"/>
      <x:c r="B2307" s="3" t="str">
        <x:v>35653</x:v>
      </x:c>
      <x:c r="C2307" s="3" t="str">
        <x:v>VINTAGE BEAD NOTEBOOK</x:v>
      </x:c>
      <x:c r="D2307" s="13" t="n">
        <x:v>433.19</x:v>
      </x:c>
      <x:c r="E2307" s="13" t="n">
        <x:v>0</x:v>
      </x:c>
      <x:c r="F2307" s="13" t="n">
        <x:f>D2307-E2307</x:f>
        <x:v>433.19</x:v>
      </x:c>
      <x:c r="G2307" s="3" t="n">
        <x:v>150</x:v>
      </x:c>
      <x:c r="H2307" s="3" t="n">
        <x:v>0</x:v>
      </x:c>
      <x:c r="I2307" s="3" t="n">
        <x:v>52</x:v>
      </x:c>
      <x:c r="J2307" s="15" t="n">
        <x:f>IF(D2307=0,"n.a.",E2307/D2307)</x:f>
        <x:v>0</x:v>
      </x:c>
      <x:c r="K2307" s="15" t="n">
        <x:f>F2307/'Datos'!$F$7</x:f>
        <x:v>0.0000442359724133137</x:v>
      </x:c>
      <x:c r="L2307" s="3"/>
    </x:row>
    <x:row r="2308" ht="22" customHeight="1">
      <x:c r="A2308" s="3"/>
      <x:c r="B2308" s="3" t="str">
        <x:v>85168B</x:v>
      </x:c>
      <x:c r="C2308" s="3" t="str">
        <x:v>BLACK BAROQUE CARRIAGE CLOCK</x:v>
      </x:c>
      <x:c r="D2308" s="13" t="n">
        <x:v>432.79</x:v>
      </x:c>
      <x:c r="E2308" s="13" t="n">
        <x:v>0</x:v>
      </x:c>
      <x:c r="F2308" s="13" t="n">
        <x:f>D2308-E2308</x:f>
        <x:v>432.79</x:v>
      </x:c>
      <x:c r="G2308" s="3" t="n">
        <x:v>51</x:v>
      </x:c>
      <x:c r="H2308" s="3" t="n">
        <x:v>0</x:v>
      </x:c>
      <x:c r="I2308" s="3" t="n">
        <x:v>35</x:v>
      </x:c>
      <x:c r="J2308" s="15" t="n">
        <x:f>IF(D2308=0,"n.a.",E2308/D2308)</x:f>
        <x:v>0</x:v>
      </x:c>
      <x:c r="K2308" s="15" t="n">
        <x:f>F2308/'Datos'!$F$7</x:f>
        <x:v>0.00004419512569717223</x:v>
      </x:c>
      <x:c r="L2308" s="3"/>
    </x:row>
    <x:row r="2309" ht="22" customHeight="1">
      <x:c r="A2309" s="3"/>
      <x:c r="B2309" s="3" t="str">
        <x:v>22389</x:v>
      </x:c>
      <x:c r="C2309" s="3" t="str">
        <x:v>PAPERWEIGHT SAVE THE PLANET</x:v>
      </x:c>
      <x:c r="D2309" s="13" t="n">
        <x:v>641.55</x:v>
      </x:c>
      <x:c r="E2309" s="13" t="n">
        <x:v>210</x:v>
      </x:c>
      <x:c r="F2309" s="13" t="n">
        <x:f>D2309-E2309</x:f>
        <x:v>431.54999999999995</x:v>
      </x:c>
      <x:c r="G2309" s="3" t="n">
        <x:v>338</x:v>
      </x:c>
      <x:c r="H2309" s="3" t="n">
        <x:v>100</x:v>
      </x:c>
      <x:c r="I2309" s="3" t="n">
        <x:v>45</x:v>
      </x:c>
      <x:c r="J2309" s="15" t="n">
        <x:f>IF(D2309=0,"n.a.",E2309/D2309)</x:f>
        <x:v>0.32733224222585927</x:v>
      </x:c>
      <x:c r="K2309" s="15" t="n">
        <x:f>F2309/'Datos'!$F$7</x:f>
        <x:v>0.00004406850087713365</x:v>
      </x:c>
      <x:c r="L2309" s="3"/>
    </x:row>
    <x:row r="2310" ht="22" customHeight="1">
      <x:c r="A2310" s="3"/>
      <x:c r="B2310" s="3" t="str">
        <x:v>23058</x:v>
      </x:c>
      <x:c r="C2310" s="3" t="str">
        <x:v>CHRISTMAS HANGING SNOWFLAKE</x:v>
      </x:c>
      <x:c r="D2310" s="13" t="n">
        <x:v>430.86</x:v>
      </x:c>
      <x:c r="E2310" s="13" t="n">
        <x:v>0</x:v>
      </x:c>
      <x:c r="F2310" s="13" t="n">
        <x:f>D2310-E2310</x:f>
        <x:v>430.86</x:v>
      </x:c>
      <x:c r="G2310" s="3" t="n">
        <x:v>490</x:v>
      </x:c>
      <x:c r="H2310" s="3" t="n">
        <x:v>0</x:v>
      </x:c>
      <x:c r="I2310" s="3" t="n">
        <x:v>48</x:v>
      </x:c>
      <x:c r="J2310" s="15" t="n">
        <x:f>IF(D2310=0,"n.a.",E2310/D2310)</x:f>
        <x:v>0</x:v>
      </x:c>
      <x:c r="K2310" s="15" t="n">
        <x:f>F2310/'Datos'!$F$7</x:f>
        <x:v>0.000043998040291789614</x:v>
      </x:c>
      <x:c r="L2310" s="3"/>
    </x:row>
    <x:row r="2311" ht="22" customHeight="1">
      <x:c r="A2311" s="3"/>
      <x:c r="B2311" s="3" t="str">
        <x:v>22229</x:v>
      </x:c>
      <x:c r="C2311" s="3" t="str">
        <x:v>BUNNY WOODEN PAINTED WITH FLOWER</x:v>
      </x:c>
      <x:c r="D2311" s="13" t="n">
        <x:v>432.46</x:v>
      </x:c>
      <x:c r="E2311" s="13" t="n">
        <x:v>1.7</x:v>
      </x:c>
      <x:c r="F2311" s="13" t="n">
        <x:f>D2311-E2311</x:f>
        <x:v>430.76</x:v>
      </x:c>
      <x:c r="G2311" s="3" t="n">
        <x:v>568</x:v>
      </x:c>
      <x:c r="H2311" s="3" t="n">
        <x:v>2</x:v>
      </x:c>
      <x:c r="I2311" s="3" t="n">
        <x:v>101</x:v>
      </x:c>
      <x:c r="J2311" s="15" t="n">
        <x:f>IF(D2311=0,"n.a.",E2311/D2311)</x:f>
        <x:v>0.003930999398788327</x:v>
      </x:c>
      <x:c r="K2311" s="15" t="n">
        <x:f>F2311/'Datos'!$F$7</x:f>
        <x:v>0.00004398782861275424</x:v>
      </x:c>
      <x:c r="L2311" s="3"/>
    </x:row>
    <x:row r="2312" ht="22" customHeight="1">
      <x:c r="A2312" s="3"/>
      <x:c r="B2312" s="3" t="str">
        <x:v>21002</x:v>
      </x:c>
      <x:c r="C2312" s="3" t="str">
        <x:v>ROSE DU SUD DRAWSTRING BAG</x:v>
      </x:c>
      <x:c r="D2312" s="13" t="n">
        <x:v>428.66</x:v>
      </x:c>
      <x:c r="E2312" s="13" t="n">
        <x:v>0</x:v>
      </x:c>
      <x:c r="F2312" s="13" t="n">
        <x:f>D2312-E2312</x:f>
        <x:v>428.66</x:v>
      </x:c>
      <x:c r="G2312" s="3" t="n">
        <x:v>125</x:v>
      </x:c>
      <x:c r="H2312" s="3" t="n">
        <x:v>0</x:v>
      </x:c>
      <x:c r="I2312" s="3" t="n">
        <x:v>66</x:v>
      </x:c>
      <x:c r="J2312" s="15" t="n">
        <x:f>IF(D2312=0,"n.a.",E2312/D2312)</x:f>
        <x:v>0</x:v>
      </x:c>
      <x:c r="K2312" s="15" t="n">
        <x:f>F2312/'Datos'!$F$7</x:f>
        <x:v>0.0000437733833530115</x:v>
      </x:c>
      <x:c r="L2312" s="3"/>
    </x:row>
    <x:row r="2313" ht="22" customHeight="1">
      <x:c r="A2313" s="3"/>
      <x:c r="B2313" s="3" t="str">
        <x:v>77101A</x:v>
      </x:c>
      <x:c r="C2313" s="3" t="str">
        <x:v>UNION FLAG WINDSOCK</x:v>
      </x:c>
      <x:c r="D2313" s="13" t="n">
        <x:v>428.19</x:v>
      </x:c>
      <x:c r="E2313" s="13" t="n">
        <x:v>0</x:v>
      </x:c>
      <x:c r="F2313" s="13" t="n">
        <x:f>D2313-E2313</x:f>
        <x:v>428.19</x:v>
      </x:c>
      <x:c r="G2313" s="3" t="n">
        <x:v>388</x:v>
      </x:c>
      <x:c r="H2313" s="3" t="n">
        <x:v>0</x:v>
      </x:c>
      <x:c r="I2313" s="3" t="n">
        <x:v>22</x:v>
      </x:c>
      <x:c r="J2313" s="15" t="n">
        <x:f>IF(D2313=0,"n.a.",E2313/D2313)</x:f>
        <x:v>0</x:v>
      </x:c>
      <x:c r="K2313" s="15" t="n">
        <x:f>F2313/'Datos'!$F$7</x:f>
        <x:v>0.000043725388461545265</x:v>
      </x:c>
      <x:c r="L2313" s="3"/>
    </x:row>
    <x:row r="2314" ht="22" customHeight="1">
      <x:c r="A2314" s="3"/>
      <x:c r="B2314" s="3" t="str">
        <x:v>85071C</x:v>
      </x:c>
      <x:c r="C2314" s="3" t="str">
        <x:v>CHARLIE+LOLA"EXTREMELY BUSY" SIGN</x:v>
      </x:c>
      <x:c r="D2314" s="13" t="n">
        <x:v>428</x:v>
      </x:c>
      <x:c r="E2314" s="13" t="n">
        <x:v>0</x:v>
      </x:c>
      <x:c r="F2314" s="13" t="n">
        <x:f>D2314-E2314</x:f>
        <x:v>428</x:v>
      </x:c>
      <x:c r="G2314" s="3" t="n">
        <x:v>683</x:v>
      </x:c>
      <x:c r="H2314" s="3" t="n">
        <x:v>0</x:v>
      </x:c>
      <x:c r="I2314" s="3" t="n">
        <x:v>105</x:v>
      </x:c>
      <x:c r="J2314" s="15" t="n">
        <x:f>IF(D2314=0,"n.a.",E2314/D2314)</x:f>
        <x:v>0</x:v>
      </x:c>
      <x:c r="K2314" s="15" t="n">
        <x:f>F2314/'Datos'!$F$7</x:f>
        <x:v>0.00004370598627137807</x:v>
      </x:c>
      <x:c r="L2314" s="3"/>
    </x:row>
    <x:row r="2315" ht="22" customHeight="1">
      <x:c r="A2315" s="3"/>
      <x:c r="B2315" s="3" t="str">
        <x:v>21758</x:v>
      </x:c>
      <x:c r="C2315" s="3" t="str">
        <x:v>VINTAGE SHELLS PRINT</x:v>
      </x:c>
      <x:c r="D2315" s="13" t="n">
        <x:v>427.46</x:v>
      </x:c>
      <x:c r="E2315" s="13" t="n">
        <x:v>0</x:v>
      </x:c>
      <x:c r="F2315" s="13" t="n">
        <x:f>D2315-E2315</x:f>
        <x:v>427.46</x:v>
      </x:c>
      <x:c r="G2315" s="3" t="n">
        <x:v>50</x:v>
      </x:c>
      <x:c r="H2315" s="3" t="n">
        <x:v>0</x:v>
      </x:c>
      <x:c r="I2315" s="3" t="n">
        <x:v>32</x:v>
      </x:c>
      <x:c r="J2315" s="15" t="n">
        <x:f>IF(D2315=0,"n.a.",E2315/D2315)</x:f>
        <x:v>0</x:v>
      </x:c>
      <x:c r="K2315" s="15" t="n">
        <x:f>F2315/'Datos'!$F$7</x:f>
        <x:v>0.00004365084320458707</x:v>
      </x:c>
      <x:c r="L2315" s="3"/>
    </x:row>
    <x:row r="2316" ht="22" customHeight="1">
      <x:c r="A2316" s="3"/>
      <x:c r="B2316" s="3" t="str">
        <x:v>20705</x:v>
      </x:c>
      <x:c r="C2316" s="3" t="str">
        <x:v>MRS ROBOT SOFT TOY</x:v>
      </x:c>
      <x:c r="D2316" s="13" t="n">
        <x:v>428.85</x:v>
      </x:c>
      <x:c r="E2316" s="13" t="n">
        <x:v>1.95</x:v>
      </x:c>
      <x:c r="F2316" s="13" t="n">
        <x:f>D2316-E2316</x:f>
        <x:v>426.90000000000003</x:v>
      </x:c>
      <x:c r="G2316" s="3" t="n">
        <x:v>143</x:v>
      </x:c>
      <x:c r="H2316" s="3" t="n">
        <x:v>1</x:v>
      </x:c>
      <x:c r="I2316" s="3" t="n">
        <x:v>28</x:v>
      </x:c>
      <x:c r="J2316" s="15" t="n">
        <x:f>IF(D2316=0,"n.a.",E2316/D2316)</x:f>
        <x:v>0.004547044421126268</x:v>
      </x:c>
      <x:c r="K2316" s="15" t="n">
        <x:f>F2316/'Datos'!$F$7</x:f>
        <x:v>0.000043593657801989014</x:v>
      </x:c>
      <x:c r="L2316" s="3"/>
    </x:row>
    <x:row r="2317" ht="22" customHeight="1">
      <x:c r="A2317" s="3"/>
      <x:c r="B2317" s="3" t="str">
        <x:v>84658</x:v>
      </x:c>
      <x:c r="C2317" s="3" t="str">
        <x:v>WHITE STITCHED CUSHION COVER</x:v>
      </x:c>
      <x:c r="D2317" s="13" t="n">
        <x:v>426.13</x:v>
      </x:c>
      <x:c r="E2317" s="13" t="n">
        <x:v>0</x:v>
      </x:c>
      <x:c r="F2317" s="13" t="n">
        <x:f>D2317-E2317</x:f>
        <x:v>426.13</x:v>
      </x:c>
      <x:c r="G2317" s="3" t="n">
        <x:v>59</x:v>
      </x:c>
      <x:c r="H2317" s="3" t="n">
        <x:v>0</x:v>
      </x:c>
      <x:c r="I2317" s="3" t="n">
        <x:v>22</x:v>
      </x:c>
      <x:c r="J2317" s="15" t="n">
        <x:f>IF(D2317=0,"n.a.",E2317/D2317)</x:f>
        <x:v>0</x:v>
      </x:c>
      <x:c r="K2317" s="15" t="n">
        <x:f>F2317/'Datos'!$F$7</x:f>
        <x:v>0.00004351502787341667</x:v>
      </x:c>
      <x:c r="L2317" s="3"/>
    </x:row>
    <x:row r="2318" ht="22" customHeight="1">
      <x:c r="A2318" s="3"/>
      <x:c r="B2318" s="3" t="str">
        <x:v>21088</x:v>
      </x:c>
      <x:c r="C2318" s="3" t="str">
        <x:v>SET/6 FRUIT SALAD PAPER CUPS</x:v>
      </x:c>
      <x:c r="D2318" s="13" t="n">
        <x:v>428.28</x:v>
      </x:c>
      <x:c r="E2318" s="13" t="n">
        <x:v>2.28</x:v>
      </x:c>
      <x:c r="F2318" s="13" t="n">
        <x:f>D2318-E2318</x:f>
        <x:v>426</x:v>
      </x:c>
      <x:c r="G2318" s="3" t="n">
        <x:v>1678</x:v>
      </x:c>
      <x:c r="H2318" s="3" t="n">
        <x:v>12</x:v>
      </x:c>
      <x:c r="I2318" s="3" t="n">
        <x:v>103</x:v>
      </x:c>
      <x:c r="J2318" s="15" t="n">
        <x:f>IF(D2318=0,"n.a.",E2318/D2318)</x:f>
        <x:v>0.005323620061641917</x:v>
      </x:c>
      <x:c r="K2318" s="15" t="n">
        <x:f>F2318/'Datos'!$F$7</x:f>
        <x:v>0.00004350175269067069</x:v>
      </x:c>
      <x:c r="L2318" s="3"/>
    </x:row>
    <x:row r="2319" ht="22" customHeight="1">
      <x:c r="A2319" s="3"/>
      <x:c r="B2319" s="3" t="str">
        <x:v>72799F</x:v>
      </x:c>
      <x:c r="C2319" s="3" t="str">
        <x:v>IVORY PILLAR CANDLE GOLD FLOCK</x:v>
      </x:c>
      <x:c r="D2319" s="13" t="n">
        <x:v>424.08</x:v>
      </x:c>
      <x:c r="E2319" s="13" t="n">
        <x:v>0</x:v>
      </x:c>
      <x:c r="F2319" s="13" t="n">
        <x:f>D2319-E2319</x:f>
        <x:v>424.08</x:v>
      </x:c>
      <x:c r="G2319" s="3" t="n">
        <x:v>145</x:v>
      </x:c>
      <x:c r="H2319" s="3" t="n">
        <x:v>0</x:v>
      </x:c>
      <x:c r="I2319" s="3" t="n">
        <x:v>30</x:v>
      </x:c>
      <x:c r="J2319" s="15" t="n">
        <x:f>IF(D2319=0,"n.a.",E2319/D2319)</x:f>
        <x:v>0</x:v>
      </x:c>
      <x:c r="K2319" s="15" t="n">
        <x:f>F2319/'Datos'!$F$7</x:f>
        <x:v>0.00004330568845319161</x:v>
      </x:c>
      <x:c r="L2319" s="3"/>
    </x:row>
    <x:row r="2320" ht="22" customHeight="1">
      <x:c r="A2320" s="3"/>
      <x:c r="B2320" s="3" t="str">
        <x:v>84931B</x:v>
      </x:c>
      <x:c r="C2320" s="3" t="str">
        <x:v>BLUE SCOTTIE DOG W FLOWER PATTERN</x:v>
      </x:c>
      <x:c r="D2320" s="13" t="n">
        <x:v>431.73</x:v>
      </x:c>
      <x:c r="E2320" s="13" t="n">
        <x:v>7.65</x:v>
      </x:c>
      <x:c r="F2320" s="13" t="n">
        <x:f>D2320-E2320</x:f>
        <x:v>424.08000000000004</x:v>
      </x:c>
      <x:c r="G2320" s="3" t="n">
        <x:v>180</x:v>
      </x:c>
      <x:c r="H2320" s="3" t="n">
        <x:v>3</x:v>
      </x:c>
      <x:c r="I2320" s="3" t="n">
        <x:v>49</x:v>
      </x:c>
      <x:c r="J2320" s="15" t="n">
        <x:f>IF(D2320=0,"n.a.",E2320/D2320)</x:f>
        <x:v>0.017719407963310403</x:v>
      </x:c>
      <x:c r="K2320" s="15" t="n">
        <x:f>F2320/'Datos'!$F$7</x:f>
        <x:v>0.00004330568845319162</x:v>
      </x:c>
      <x:c r="L2320" s="3"/>
    </x:row>
    <x:row r="2321" ht="22" customHeight="1">
      <x:c r="A2321" s="3"/>
      <x:c r="B2321" s="3" t="str">
        <x:v>84559A</x:v>
      </x:c>
      <x:c r="C2321" s="3" t="str">
        <x:v>3D SHEET OF DOG STICKERS</x:v>
      </x:c>
      <x:c r="D2321" s="13" t="n">
        <x:v>423.99</x:v>
      </x:c>
      <x:c r="E2321" s="13" t="n">
        <x:v>0</x:v>
      </x:c>
      <x:c r="F2321" s="13" t="n">
        <x:f>D2321-E2321</x:f>
        <x:v>423.99</x:v>
      </x:c>
      <x:c r="G2321" s="3" t="n">
        <x:v>426</x:v>
      </x:c>
      <x:c r="H2321" s="3" t="n">
        <x:v>0</x:v>
      </x:c>
      <x:c r="I2321" s="3" t="n">
        <x:v>116</x:v>
      </x:c>
      <x:c r="J2321" s="15" t="n">
        <x:f>IF(D2321=0,"n.a.",E2321/D2321)</x:f>
        <x:v>0</x:v>
      </x:c>
      <x:c r="K2321" s="15" t="n">
        <x:f>F2321/'Datos'!$F$7</x:f>
        <x:v>0.00004329649794205978</x:v>
      </x:c>
      <x:c r="L2321" s="3"/>
    </x:row>
    <x:row r="2322" ht="22" customHeight="1">
      <x:c r="A2322" s="3"/>
      <x:c r="B2322" s="3" t="str">
        <x:v>20765</x:v>
      </x:c>
      <x:c r="C2322" s="3" t="str">
        <x:v>CHRYSANTHEMUM SKETCHBOOK</x:v>
      </x:c>
      <x:c r="D2322" s="13" t="n">
        <x:v>423.55</x:v>
      </x:c>
      <x:c r="E2322" s="13" t="n">
        <x:v>0</x:v>
      </x:c>
      <x:c r="F2322" s="13" t="n">
        <x:f>D2322-E2322</x:f>
        <x:v>423.55</x:v>
      </x:c>
      <x:c r="G2322" s="3" t="n">
        <x:v>104</x:v>
      </x:c>
      <x:c r="H2322" s="3" t="n">
        <x:v>0</x:v>
      </x:c>
      <x:c r="I2322" s="3" t="n">
        <x:v>59</x:v>
      </x:c>
      <x:c r="J2322" s="15" t="n">
        <x:f>IF(D2322=0,"n.a.",E2322/D2322)</x:f>
        <x:v>0</x:v>
      </x:c>
      <x:c r="K2322" s="15" t="n">
        <x:f>F2322/'Datos'!$F$7</x:f>
        <x:v>0.00004325156655430416</x:v>
      </x:c>
      <x:c r="L2322" s="3"/>
    </x:row>
    <x:row r="2323" ht="22" customHeight="1">
      <x:c r="A2323" s="3"/>
      <x:c r="B2323" s="3" t="str">
        <x:v>90200E</x:v>
      </x:c>
      <x:c r="C2323" s="3" t="str">
        <x:v>GREEN SWEETHEART BRACELET</x:v>
      </x:c>
      <x:c r="D2323" s="13" t="n">
        <x:v>423.41</x:v>
      </x:c>
      <x:c r="E2323" s="13" t="n">
        <x:v>0</x:v>
      </x:c>
      <x:c r="F2323" s="13" t="n">
        <x:f>D2323-E2323</x:f>
        <x:v>423.41</x:v>
      </x:c>
      <x:c r="G2323" s="3" t="n">
        <x:v>103</x:v>
      </x:c>
      <x:c r="H2323" s="3" t="n">
        <x:v>0</x:v>
      </x:c>
      <x:c r="I2323" s="3" t="n">
        <x:v>44</x:v>
      </x:c>
      <x:c r="J2323" s="15" t="n">
        <x:f>IF(D2323=0,"n.a.",E2323/D2323)</x:f>
        <x:v>0</x:v>
      </x:c>
      <x:c r="K2323" s="15" t="n">
        <x:f>F2323/'Datos'!$F$7</x:f>
        <x:v>0.000043237270203654644</x:v>
      </x:c>
      <x:c r="L2323" s="3"/>
    </x:row>
    <x:row r="2324" ht="22" customHeight="1">
      <x:c r="A2324" s="3"/>
      <x:c r="B2324" s="3" t="str">
        <x:v>90154</x:v>
      </x:c>
      <x:c r="C2324" s="3" t="str">
        <x:v>LAZER CUT NECKLACE W PASTEL BEADS</x:v>
      </x:c>
      <x:c r="D2324" s="13" t="n">
        <x:v>421.75</x:v>
      </x:c>
      <x:c r="E2324" s="13" t="n">
        <x:v>0</x:v>
      </x:c>
      <x:c r="F2324" s="13" t="n">
        <x:f>D2324-E2324</x:f>
        <x:v>421.75</x:v>
      </x:c>
      <x:c r="G2324" s="3" t="n">
        <x:v>57</x:v>
      </x:c>
      <x:c r="H2324" s="3" t="n">
        <x:v>0</x:v>
      </x:c>
      <x:c r="I2324" s="3" t="n">
        <x:v>5</x:v>
      </x:c>
      <x:c r="J2324" s="15" t="n">
        <x:f>IF(D2324=0,"n.a.",E2324/D2324)</x:f>
        <x:v>0</x:v>
      </x:c>
      <x:c r="K2324" s="15" t="n">
        <x:f>F2324/'Datos'!$F$7</x:f>
        <x:v>0.00004306775633166752</x:v>
      </x:c>
      <x:c r="L2324" s="3"/>
    </x:row>
    <x:row r="2325" ht="22" customHeight="1">
      <x:c r="A2325" s="3"/>
      <x:c r="B2325" s="3" t="str">
        <x:v>85136C</x:v>
      </x:c>
      <x:c r="C2325" s="3" t="str">
        <x:v>RED SHARK HELICOPTER</x:v>
      </x:c>
      <x:c r="D2325" s="13" t="n">
        <x:v>421.18</x:v>
      </x:c>
      <x:c r="E2325" s="13" t="n">
        <x:v>0</x:v>
      </x:c>
      <x:c r="F2325" s="13" t="n">
        <x:f>D2325-E2325</x:f>
        <x:v>421.18</x:v>
      </x:c>
      <x:c r="G2325" s="3" t="n">
        <x:v>52</x:v>
      </x:c>
      <x:c r="H2325" s="3" t="n">
        <x:v>0</x:v>
      </x:c>
      <x:c r="I2325" s="3" t="n">
        <x:v>36</x:v>
      </x:c>
      <x:c r="J2325" s="15" t="n">
        <x:f>IF(D2325=0,"n.a.",E2325/D2325)</x:f>
        <x:v>0</x:v>
      </x:c>
      <x:c r="K2325" s="15" t="n">
        <x:f>F2325/'Datos'!$F$7</x:f>
        <x:v>0.00004300954976116592</x:v>
      </x:c>
      <x:c r="L2325" s="3"/>
    </x:row>
    <x:row r="2326" ht="22" customHeight="1">
      <x:c r="A2326" s="3"/>
      <x:c r="B2326" s="3" t="str">
        <x:v>20762</x:v>
      </x:c>
      <x:c r="C2326" s="3" t="str">
        <x:v>GREEN FERN SKETCHBOOK</x:v>
      </x:c>
      <x:c r="D2326" s="13" t="n">
        <x:v>420.08</x:v>
      </x:c>
      <x:c r="E2326" s="13" t="n">
        <x:v>0</x:v>
      </x:c>
      <x:c r="F2326" s="13" t="n">
        <x:f>D2326-E2326</x:f>
        <x:v>420.08</x:v>
      </x:c>
      <x:c r="G2326" s="3" t="n">
        <x:v>106</x:v>
      </x:c>
      <x:c r="H2326" s="3" t="n">
        <x:v>0</x:v>
      </x:c>
      <x:c r="I2326" s="3" t="n">
        <x:v>56</x:v>
      </x:c>
      <x:c r="J2326" s="15" t="n">
        <x:f>IF(D2326=0,"n.a.",E2326/D2326)</x:f>
        <x:v>0</x:v>
      </x:c>
      <x:c r="K2326" s="15" t="n">
        <x:f>F2326/'Datos'!$F$7</x:f>
        <x:v>0.00004289722129177686</x:v>
      </x:c>
      <x:c r="L2326" s="3"/>
    </x:row>
    <x:row r="2327" ht="22" customHeight="1">
      <x:c r="A2327" s="3"/>
      <x:c r="B2327" s="3" t="str">
        <x:v>22051</x:v>
      </x:c>
      <x:c r="C2327" s="3" t="str">
        <x:v>BLUE SCANDINAVIAN PAISLEY WRAP</x:v>
      </x:c>
      <x:c r="D2327" s="13" t="n">
        <x:v>420</x:v>
      </x:c>
      <x:c r="E2327" s="13" t="n">
        <x:v>0</x:v>
      </x:c>
      <x:c r="F2327" s="13" t="n">
        <x:f>D2327-E2327</x:f>
        <x:v>420</x:v>
      </x:c>
      <x:c r="G2327" s="3" t="n">
        <x:v>1000</x:v>
      </x:c>
      <x:c r="H2327" s="3" t="n">
        <x:v>0</x:v>
      </x:c>
      <x:c r="I2327" s="3" t="n">
        <x:v>39</x:v>
      </x:c>
      <x:c r="J2327" s="15" t="n">
        <x:f>IF(D2327=0,"n.a.",E2327/D2327)</x:f>
        <x:v>0</x:v>
      </x:c>
      <x:c r="K2327" s="15" t="n">
        <x:f>F2327/'Datos'!$F$7</x:f>
        <x:v>0.00004288905194854857</x:v>
      </x:c>
      <x:c r="L2327" s="3"/>
    </x:row>
    <x:row r="2328" ht="22" customHeight="1">
      <x:c r="A2328" s="3"/>
      <x:c r="B2328" s="3" t="str">
        <x:v>22134</x:v>
      </x:c>
      <x:c r="C2328" s="3" t="str">
        <x:v>MINI LADLE LOVE HEART RED</x:v>
      </x:c>
      <x:c r="D2328" s="13" t="n">
        <x:v>419.42</x:v>
      </x:c>
      <x:c r="E2328" s="13" t="n">
        <x:v>0</x:v>
      </x:c>
      <x:c r="F2328" s="13" t="n">
        <x:f>D2328-E2328</x:f>
        <x:v>419.42</x:v>
      </x:c>
      <x:c r="G2328" s="3" t="n">
        <x:v>890</x:v>
      </x:c>
      <x:c r="H2328" s="3" t="n">
        <x:v>0</x:v>
      </x:c>
      <x:c r="I2328" s="3" t="n">
        <x:v>162</x:v>
      </x:c>
      <x:c r="J2328" s="15" t="n">
        <x:f>IF(D2328=0,"n.a.",E2328/D2328)</x:f>
        <x:v>0</x:v>
      </x:c>
      <x:c r="K2328" s="15" t="n">
        <x:f>F2328/'Datos'!$F$7</x:f>
        <x:v>0.00004282982421014343</x:v>
      </x:c>
      <x:c r="L2328" s="3"/>
    </x:row>
    <x:row r="2329" ht="22" customHeight="1">
      <x:c r="A2329" s="3"/>
      <x:c r="B2329" s="3" t="str">
        <x:v>85208</x:v>
      </x:c>
      <x:c r="C2329" s="3" t="str">
        <x:v>SET/12 FUNKY FELT FLOWER PEG IN BAG</x:v>
      </x:c>
      <x:c r="D2329" s="13" t="n">
        <x:v>419.01</x:v>
      </x:c>
      <x:c r="E2329" s="13" t="n">
        <x:v>0</x:v>
      </x:c>
      <x:c r="F2329" s="13" t="n">
        <x:f>D2329-E2329</x:f>
        <x:v>419.01</x:v>
      </x:c>
      <x:c r="G2329" s="3" t="n">
        <x:v>224</x:v>
      </x:c>
      <x:c r="H2329" s="3" t="n">
        <x:v>0</x:v>
      </x:c>
      <x:c r="I2329" s="3" t="n">
        <x:v>48</x:v>
      </x:c>
      <x:c r="J2329" s="15" t="n">
        <x:f>IF(D2329=0,"n.a.",E2329/D2329)</x:f>
        <x:v>0</x:v>
      </x:c>
      <x:c r="K2329" s="15" t="n">
        <x:f>F2329/'Datos'!$F$7</x:f>
        <x:v>0.00004278795632609842</x:v>
      </x:c>
      <x:c r="L2329" s="3"/>
    </x:row>
    <x:row r="2330" ht="22" customHeight="1">
      <x:c r="A2330" s="3"/>
      <x:c r="B2330" s="3" t="str">
        <x:v>90114</x:v>
      </x:c>
      <x:c r="C2330" s="3" t="str">
        <x:v>SUMMER DAISIES BAG CHARM</x:v>
      </x:c>
      <x:c r="D2330" s="13" t="n">
        <x:v>417.96</x:v>
      </x:c>
      <x:c r="E2330" s="13" t="n">
        <x:v>0</x:v>
      </x:c>
      <x:c r="F2330" s="13" t="n">
        <x:f>D2330-E2330</x:f>
        <x:v>417.96</x:v>
      </x:c>
      <x:c r="G2330" s="3" t="n">
        <x:v>167</x:v>
      </x:c>
      <x:c r="H2330" s="3" t="n">
        <x:v>0</x:v>
      </x:c>
      <x:c r="I2330" s="3" t="n">
        <x:v>88</x:v>
      </x:c>
      <x:c r="J2330" s="15" t="n">
        <x:f>IF(D2330=0,"n.a.",E2330/D2330)</x:f>
        <x:v>0</x:v>
      </x:c>
      <x:c r="K2330" s="15" t="n">
        <x:f>F2330/'Datos'!$F$7</x:f>
        <x:v>0.00004268073369622704</x:v>
      </x:c>
      <x:c r="L2330" s="3"/>
    </x:row>
    <x:row r="2331" ht="22" customHeight="1">
      <x:c r="A2331" s="3"/>
      <x:c r="B2331" s="3" t="str">
        <x:v>22405</x:v>
      </x:c>
      <x:c r="C2331" s="3" t="str">
        <x:v>MONEY BOX POCKET MONEY DESIGN</x:v>
      </x:c>
      <x:c r="D2331" s="13" t="n">
        <x:v>417.86</x:v>
      </x:c>
      <x:c r="E2331" s="13" t="n">
        <x:v>1.06</x:v>
      </x:c>
      <x:c r="F2331" s="13" t="n">
        <x:f>D2331-E2331</x:f>
        <x:v>416.8</x:v>
      </x:c>
      <x:c r="G2331" s="3" t="n">
        <x:v>374</x:v>
      </x:c>
      <x:c r="H2331" s="3" t="n">
        <x:v>1</x:v>
      </x:c>
      <x:c r="I2331" s="3" t="n">
        <x:v>70</x:v>
      </x:c>
      <x:c r="J2331" s="15" t="n">
        <x:f>IF(D2331=0,"n.a.",E2331/D2331)</x:f>
        <x:v>0.0025367347915569807</x:v>
      </x:c>
      <x:c r="K2331" s="15" t="n">
        <x:f>F2331/'Datos'!$F$7</x:f>
        <x:v>0.000042562278219416774</x:v>
      </x:c>
      <x:c r="L2331" s="3"/>
    </x:row>
    <x:row r="2332" ht="22" customHeight="1">
      <x:c r="A2332" s="3"/>
      <x:c r="B2332" s="3" t="str">
        <x:v>22214</x:v>
      </x:c>
      <x:c r="C2332" s="3" t="str">
        <x:v>CANDLE PLATE LACE WHITE</x:v>
      </x:c>
      <x:c r="D2332" s="13" t="n">
        <x:v>416.6</x:v>
      </x:c>
      <x:c r="E2332" s="13" t="n">
        <x:v>0</x:v>
      </x:c>
      <x:c r="F2332" s="13" t="n">
        <x:f>D2332-E2332</x:f>
        <x:v>416.6</x:v>
      </x:c>
      <x:c r="G2332" s="3" t="n">
        <x:v>193</x:v>
      </x:c>
      <x:c r="H2332" s="3" t="n">
        <x:v>0</x:v>
      </x:c>
      <x:c r="I2332" s="3" t="n">
        <x:v>56</x:v>
      </x:c>
      <x:c r="J2332" s="15" t="n">
        <x:f>IF(D2332=0,"n.a.",E2332/D2332)</x:f>
        <x:v>0</x:v>
      </x:c>
      <x:c r="K2332" s="15" t="n">
        <x:f>F2332/'Datos'!$F$7</x:f>
        <x:v>0.000042541854861346036</x:v>
      </x:c>
      <x:c r="L2332" s="3"/>
    </x:row>
    <x:row r="2333" ht="22" customHeight="1">
      <x:c r="A2333" s="3"/>
      <x:c r="B2333" s="3" t="str">
        <x:v>21147</x:v>
      </x:c>
      <x:c r="C2333" s="3" t="str">
        <x:v>JINGLE BELLS TREE DECORATION</x:v>
      </x:c>
      <x:c r="D2333" s="13" t="n">
        <x:v>415.77</x:v>
      </x:c>
      <x:c r="E2333" s="13" t="n">
        <x:v>0</x:v>
      </x:c>
      <x:c r="F2333" s="13" t="n">
        <x:f>D2333-E2333</x:f>
        <x:v>415.77</x:v>
      </x:c>
      <x:c r="G2333" s="3" t="n">
        <x:v>203</x:v>
      </x:c>
      <x:c r="H2333" s="3" t="n">
        <x:v>0</x:v>
      </x:c>
      <x:c r="I2333" s="3" t="n">
        <x:v>76</x:v>
      </x:c>
      <x:c r="J2333" s="15" t="n">
        <x:f>IF(D2333=0,"n.a.",E2333/D2333)</x:f>
        <x:v>0</x:v>
      </x:c>
      <x:c r="K2333" s="15" t="n">
        <x:f>F2333/'Datos'!$F$7</x:f>
        <x:v>0.00004245709792535247</x:v>
      </x:c>
      <x:c r="L2333" s="3"/>
    </x:row>
    <x:row r="2334" ht="22" customHeight="1">
      <x:c r="A2334" s="3"/>
      <x:c r="B2334" s="3" t="str">
        <x:v>22108</x:v>
      </x:c>
      <x:c r="C2334" s="3" t="str">
        <x:v>PING! MICROWAVE PLATE</x:v>
      </x:c>
      <x:c r="D2334" s="13" t="n">
        <x:v>415.09</x:v>
      </x:c>
      <x:c r="E2334" s="13" t="n">
        <x:v>0</x:v>
      </x:c>
      <x:c r="F2334" s="13" t="n">
        <x:f>D2334-E2334</x:f>
        <x:v>415.09</x:v>
      </x:c>
      <x:c r="G2334" s="3" t="n">
        <x:v>152</x:v>
      </x:c>
      <x:c r="H2334" s="3" t="n">
        <x:v>0</x:v>
      </x:c>
      <x:c r="I2334" s="3" t="n">
        <x:v>63</x:v>
      </x:c>
      <x:c r="J2334" s="15" t="n">
        <x:f>IF(D2334=0,"n.a.",E2334/D2334)</x:f>
        <x:v>0</x:v>
      </x:c>
      <x:c r="K2334" s="15" t="n">
        <x:f>F2334/'Datos'!$F$7</x:f>
        <x:v>0.00004238765850791196</x:v>
      </x:c>
      <x:c r="L2334" s="3"/>
    </x:row>
    <x:row r="2335" ht="22" customHeight="1">
      <x:c r="A2335" s="3"/>
      <x:c r="B2335" s="3" t="str">
        <x:v>23045</x:v>
      </x:c>
      <x:c r="C2335" s="3" t="str">
        <x:v>PAPER LANTERN 5 POINT STAR MOON</x:v>
      </x:c>
      <x:c r="D2335" s="13" t="n">
        <x:v>497.98</x:v>
      </x:c>
      <x:c r="E2335" s="13" t="n">
        <x:v>83</x:v>
      </x:c>
      <x:c r="F2335" s="13" t="n">
        <x:f>D2335-E2335</x:f>
        <x:v>414.98</x:v>
      </x:c>
      <x:c r="G2335" s="3" t="n">
        <x:v>118</x:v>
      </x:c>
      <x:c r="H2335" s="3" t="n">
        <x:v>20</x:v>
      </x:c>
      <x:c r="I2335" s="3" t="n">
        <x:v>25</x:v>
      </x:c>
      <x:c r="J2335" s="15" t="n">
        <x:f>IF(D2335=0,"n.a.",E2335/D2335)</x:f>
        <x:v>0.1666733603759187</x:v>
      </x:c>
      <x:c r="K2335" s="15" t="n">
        <x:f>F2335/'Datos'!$F$7</x:f>
        <x:v>0.00004237642566097306</x:v>
      </x:c>
      <x:c r="L2335" s="3"/>
    </x:row>
    <x:row r="2336" ht="22" customHeight="1">
      <x:c r="A2336" s="3"/>
      <x:c r="B2336" s="3" t="str">
        <x:v>21817</x:v>
      </x:c>
      <x:c r="C2336" s="3" t="str">
        <x:v>GLITTER CHRISTMAS TREE</x:v>
      </x:c>
      <x:c r="D2336" s="13" t="n">
        <x:v>414.63</x:v>
      </x:c>
      <x:c r="E2336" s="13" t="n">
        <x:v>0</x:v>
      </x:c>
      <x:c r="F2336" s="13" t="n">
        <x:f>D2336-E2336</x:f>
        <x:v>414.63</x:v>
      </x:c>
      <x:c r="G2336" s="3" t="n">
        <x:v>912</x:v>
      </x:c>
      <x:c r="H2336" s="3" t="n">
        <x:v>0</x:v>
      </x:c>
      <x:c r="I2336" s="3" t="n">
        <x:v>58</x:v>
      </x:c>
      <x:c r="J2336" s="15" t="n">
        <x:f>IF(D2336=0,"n.a.",E2336/D2336)</x:f>
        <x:v>0</x:v>
      </x:c>
      <x:c r="K2336" s="15" t="n">
        <x:f>F2336/'Datos'!$F$7</x:f>
        <x:v>0.000042340684784349266</x:v>
      </x:c>
      <x:c r="L2336" s="3"/>
    </x:row>
    <x:row r="2337" ht="22" customHeight="1">
      <x:c r="A2337" s="3"/>
      <x:c r="B2337" s="3" t="str">
        <x:v>84616</x:v>
      </x:c>
      <x:c r="C2337" s="3" t="str">
        <x:v>SILVER ROCCOCO CHANDELIER</x:v>
      </x:c>
      <x:c r="D2337" s="13" t="n">
        <x:v>504.32</x:v>
      </x:c>
      <x:c r="E2337" s="13" t="n">
        <x:v>89.85</x:v>
      </x:c>
      <x:c r="F2337" s="13" t="n">
        <x:f>D2337-E2337</x:f>
        <x:v>414.47</x:v>
      </x:c>
      <x:c r="G2337" s="3" t="n">
        <x:v>14</x:v>
      </x:c>
      <x:c r="H2337" s="3" t="n">
        <x:v>3</x:v>
      </x:c>
      <x:c r="I2337" s="3" t="n">
        <x:v>9</x:v>
      </x:c>
      <x:c r="J2337" s="15" t="n">
        <x:f>IF(D2337=0,"n.a.",E2337/D2337)</x:f>
        <x:v>0.17816069162436549</x:v>
      </x:c>
      <x:c r="K2337" s="15" t="n">
        <x:f>F2337/'Datos'!$F$7</x:f>
        <x:v>0.00004232434609789268</x:v>
      </x:c>
      <x:c r="L2337" s="3"/>
    </x:row>
    <x:row r="2338" ht="22" customHeight="1">
      <x:c r="A2338" s="3"/>
      <x:c r="B2338" s="3" t="str">
        <x:v>21884</x:v>
      </x:c>
      <x:c r="C2338" s="3" t="str">
        <x:v>CAKES AND BOWS GIFT TAPE</x:v>
      </x:c>
      <x:c r="D2338" s="13" t="n">
        <x:v>413.76</x:v>
      </x:c>
      <x:c r="E2338" s="13" t="n">
        <x:v>0</x:v>
      </x:c>
      <x:c r="F2338" s="13" t="n">
        <x:f>D2338-E2338</x:f>
        <x:v>413.76</x:v>
      </x:c>
      <x:c r="G2338" s="3" t="n">
        <x:v>1166</x:v>
      </x:c>
      <x:c r="H2338" s="3" t="n">
        <x:v>0</x:v>
      </x:c>
      <x:c r="I2338" s="3" t="n">
        <x:v>93</x:v>
      </x:c>
      <x:c r="J2338" s="15" t="n">
        <x:f>IF(D2338=0,"n.a.",E2338/D2338)</x:f>
        <x:v>0</x:v>
      </x:c>
      <x:c r="K2338" s="15" t="n">
        <x:f>F2338/'Datos'!$F$7</x:f>
        <x:v>0.00004225184317674156</x:v>
      </x:c>
      <x:c r="L2338" s="3"/>
    </x:row>
    <x:row r="2339" ht="22" customHeight="1">
      <x:c r="A2339" s="3"/>
      <x:c r="B2339" s="3" t="str">
        <x:v>90161C</x:v>
      </x:c>
      <x:c r="C2339" s="3" t="str">
        <x:v>ANT COPPER LIME BOUDICCA BRACELET</x:v>
      </x:c>
      <x:c r="D2339" s="13" t="n">
        <x:v>412.74</x:v>
      </x:c>
      <x:c r="E2339" s="13" t="n">
        <x:v>0</x:v>
      </x:c>
      <x:c r="F2339" s="13" t="n">
        <x:f>D2339-E2339</x:f>
        <x:v>412.74</x:v>
      </x:c>
      <x:c r="G2339" s="3" t="n">
        <x:v>83</x:v>
      </x:c>
      <x:c r="H2339" s="3" t="n">
        <x:v>0</x:v>
      </x:c>
      <x:c r="I2339" s="3" t="n">
        <x:v>50</x:v>
      </x:c>
      <x:c r="J2339" s="15" t="n">
        <x:f>IF(D2339=0,"n.a.",E2339/D2339)</x:f>
        <x:v>0</x:v>
      </x:c>
      <x:c r="K2339" s="15" t="n">
        <x:f>F2339/'Datos'!$F$7</x:f>
        <x:v>0.0000421476840505808</x:v>
      </x:c>
      <x:c r="L2339" s="3"/>
    </x:row>
    <x:row r="2340" ht="22" customHeight="1">
      <x:c r="A2340" s="3"/>
      <x:c r="B2340" s="3" t="str">
        <x:v>84806B</x:v>
      </x:c>
      <x:c r="C2340" s="3" t="str">
        <x:v>WHITE CANDYSTUFT ARTIFICIAL FLOWER</x:v>
      </x:c>
      <x:c r="D2340" s="13" t="n">
        <x:v>411.56</x:v>
      </x:c>
      <x:c r="E2340" s="13" t="n">
        <x:v>0</x:v>
      </x:c>
      <x:c r="F2340" s="13" t="n">
        <x:f>D2340-E2340</x:f>
        <x:v>411.56</x:v>
      </x:c>
      <x:c r="G2340" s="3" t="n">
        <x:v>308</x:v>
      </x:c>
      <x:c r="H2340" s="3" t="n">
        <x:v>0</x:v>
      </x:c>
      <x:c r="I2340" s="3" t="n">
        <x:v>20</x:v>
      </x:c>
      <x:c r="J2340" s="15" t="n">
        <x:f>IF(D2340=0,"n.a.",E2340/D2340)</x:f>
        <x:v>0</x:v>
      </x:c>
      <x:c r="K2340" s="15" t="n">
        <x:f>F2340/'Datos'!$F$7</x:f>
        <x:v>0.00004202718623796345</x:v>
      </x:c>
      <x:c r="L2340" s="3"/>
    </x:row>
    <x:row r="2341" ht="22" customHeight="1">
      <x:c r="A2341" s="3"/>
      <x:c r="B2341" s="3" t="str">
        <x:v>22447</x:v>
      </x:c>
      <x:c r="C2341" s="3" t="str">
        <x:v>PIN CUSHION BABUSHKA BLUE</x:v>
      </x:c>
      <x:c r="D2341" s="13" t="n">
        <x:v>410.81</x:v>
      </x:c>
      <x:c r="E2341" s="13" t="n">
        <x:v>0</x:v>
      </x:c>
      <x:c r="F2341" s="13" t="n">
        <x:f>D2341-E2341</x:f>
        <x:v>410.81</x:v>
      </x:c>
      <x:c r="G2341" s="3" t="n">
        <x:v>137</x:v>
      </x:c>
      <x:c r="H2341" s="3" t="n">
        <x:v>0</x:v>
      </x:c>
      <x:c r="I2341" s="3" t="n">
        <x:v>45</x:v>
      </x:c>
      <x:c r="J2341" s="15" t="n">
        <x:f>IF(D2341=0,"n.a.",E2341/D2341)</x:f>
        <x:v>0</x:v>
      </x:c>
      <x:c r="K2341" s="15" t="n">
        <x:f>F2341/'Datos'!$F$7</x:f>
        <x:v>0.00004195059864519818</x:v>
      </x:c>
      <x:c r="L2341" s="3"/>
    </x:row>
    <x:row r="2342" ht="22" customHeight="1">
      <x:c r="A2342" s="3"/>
      <x:c r="B2342" s="3" t="str">
        <x:v>85203</x:v>
      </x:c>
      <x:c r="C2342" s="3" t="str">
        <x:v>HANGING WOOD AND FELT BUTTERFLY</x:v>
      </x:c>
      <x:c r="D2342" s="13" t="n">
        <x:v>409.41</x:v>
      </x:c>
      <x:c r="E2342" s="13" t="n">
        <x:v>0</x:v>
      </x:c>
      <x:c r="F2342" s="13" t="n">
        <x:f>D2342-E2342</x:f>
        <x:v>409.41</x:v>
      </x:c>
      <x:c r="G2342" s="3" t="n">
        <x:v>896</x:v>
      </x:c>
      <x:c r="H2342" s="3" t="n">
        <x:v>0</x:v>
      </x:c>
      <x:c r="I2342" s="3" t="n">
        <x:v>127</x:v>
      </x:c>
      <x:c r="J2342" s="15" t="n">
        <x:f>IF(D2342=0,"n.a.",E2342/D2342)</x:f>
        <x:v>0</x:v>
      </x:c>
      <x:c r="K2342" s="15" t="n">
        <x:f>F2342/'Datos'!$F$7</x:f>
        <x:v>0.000041807635138703026</x:v>
      </x:c>
      <x:c r="L2342" s="3"/>
    </x:row>
    <x:row r="2343" ht="22" customHeight="1">
      <x:c r="A2343" s="3"/>
      <x:c r="B2343" s="3" t="str">
        <x:v>21318</x:v>
      </x:c>
      <x:c r="C2343" s="3" t="str">
        <x:v>GLASS CHALICE BLUE SMALL</x:v>
      </x:c>
      <x:c r="D2343" s="13" t="n">
        <x:v>425.08</x:v>
      </x:c>
      <x:c r="E2343" s="13" t="n">
        <x:v>16.71</x:v>
      </x:c>
      <x:c r="F2343" s="13" t="n">
        <x:f>D2343-E2343</x:f>
        <x:v>408.37</x:v>
      </x:c>
      <x:c r="G2343" s="3" t="n">
        <x:v>696</x:v>
      </x:c>
      <x:c r="H2343" s="3" t="n">
        <x:v>17</x:v>
      </x:c>
      <x:c r="I2343" s="3" t="n">
        <x:v>49</x:v>
      </x:c>
      <x:c r="J2343" s="15" t="n">
        <x:f>IF(D2343=0,"n.a.",E2343/D2343)</x:f>
        <x:v>0.039310247482826764</x:v>
      </x:c>
      <x:c r="K2343" s="15" t="n">
        <x:f>F2343/'Datos'!$F$7</x:f>
        <x:v>0.00004170143367673519</x:v>
      </x:c>
      <x:c r="L2343" s="3"/>
    </x:row>
    <x:row r="2344" ht="22" customHeight="1">
      <x:c r="A2344" s="3"/>
      <x:c r="B2344" s="3" t="str">
        <x:v>20830</x:v>
      </x:c>
      <x:c r="C2344" s="3" t="str">
        <x:v>SILVER PHOTO FRAME</x:v>
      </x:c>
      <x:c r="D2344" s="13" t="n">
        <x:v>409.83</x:v>
      </x:c>
      <x:c r="E2344" s="13" t="n">
        <x:v>2.1</x:v>
      </x:c>
      <x:c r="F2344" s="13" t="n">
        <x:f>D2344-E2344</x:f>
        <x:v>407.72999999999996</x:v>
      </x:c>
      <x:c r="G2344" s="3" t="n">
        <x:v>136</x:v>
      </x:c>
      <x:c r="H2344" s="3" t="n">
        <x:v>1</x:v>
      </x:c>
      <x:c r="I2344" s="3" t="n">
        <x:v>37</x:v>
      </x:c>
      <x:c r="J2344" s="15" t="n">
        <x:f>IF(D2344=0,"n.a.",E2344/D2344)</x:f>
        <x:v>0.005124075836322378</x:v>
      </x:c>
      <x:c r="K2344" s="15" t="n">
        <x:f>F2344/'Datos'!$F$7</x:f>
        <x:v>0.000041636078930908825</x:v>
      </x:c>
      <x:c r="L2344" s="3"/>
    </x:row>
    <x:row r="2345" ht="22" customHeight="1">
      <x:c r="A2345" s="3"/>
      <x:c r="B2345" s="3" t="str">
        <x:v>84821</x:v>
      </x:c>
      <x:c r="C2345" s="3" t="str">
        <x:v>DANISH ROSE DELUXE COASTER</x:v>
      </x:c>
      <x:c r="D2345" s="13" t="n">
        <x:v>417.35</x:v>
      </x:c>
      <x:c r="E2345" s="13" t="n">
        <x:v>10.2</x:v>
      </x:c>
      <x:c r="F2345" s="13" t="n">
        <x:f>D2345-E2345</x:f>
        <x:v>407.15000000000003</x:v>
      </x:c>
      <x:c r="G2345" s="3" t="n">
        <x:v>947</x:v>
      </x:c>
      <x:c r="H2345" s="3" t="n">
        <x:v>12</x:v>
      </x:c>
      <x:c r="I2345" s="3" t="n">
        <x:v>40</x:v>
      </x:c>
      <x:c r="J2345" s="15" t="n">
        <x:f>IF(D2345=0,"n.a.",E2345/D2345)</x:f>
        <x:v>0.024439918533604884</x:v>
      </x:c>
      <x:c r="K2345" s="15" t="n">
        <x:f>F2345/'Datos'!$F$7</x:f>
        <x:v>0.00004157685119250369</x:v>
      </x:c>
      <x:c r="L2345" s="3"/>
    </x:row>
    <x:row r="2346" ht="22" customHeight="1">
      <x:c r="A2346" s="3"/>
      <x:c r="B2346" s="3" t="str">
        <x:v>22510</x:v>
      </x:c>
      <x:c r="C2346" s="3" t="str">
        <x:v>GINGHAM BABUSHKA DOORSTOP</x:v>
      </x:c>
      <x:c r="D2346" s="13" t="n">
        <x:v>406.49</x:v>
      </x:c>
      <x:c r="E2346" s="13" t="n">
        <x:v>0</x:v>
      </x:c>
      <x:c r="F2346" s="13" t="n">
        <x:f>D2346-E2346</x:f>
        <x:v>406.49</x:v>
      </x:c>
      <x:c r="G2346" s="3" t="n">
        <x:v>211</x:v>
      </x:c>
      <x:c r="H2346" s="3" t="n">
        <x:v>0</x:v>
      </x:c>
      <x:c r="I2346" s="3" t="n">
        <x:v>42</x:v>
      </x:c>
      <x:c r="J2346" s="15" t="n">
        <x:f>IF(D2346=0,"n.a.",E2346/D2346)</x:f>
        <x:v>0</x:v>
      </x:c>
      <x:c r="K2346" s="15" t="n">
        <x:f>F2346/'Datos'!$F$7</x:f>
        <x:v>0.00004150945411087026</x:v>
      </x:c>
      <x:c r="L2346" s="3"/>
    </x:row>
    <x:row r="2347" ht="22" customHeight="1">
      <x:c r="A2347" s="3"/>
      <x:c r="B2347" s="3" t="str">
        <x:v>21129</x:v>
      </x:c>
      <x:c r="C2347" s="3" t="str">
        <x:v>SILVER FISHING GNOME</x:v>
      </x:c>
      <x:c r="D2347" s="13" t="n">
        <x:v>419.52</x:v>
      </x:c>
      <x:c r="E2347" s="13" t="n">
        <x:v>13.9</x:v>
      </x:c>
      <x:c r="F2347" s="13" t="n">
        <x:f>D2347-E2347</x:f>
        <x:v>405.62</x:v>
      </x:c>
      <x:c r="G2347" s="3" t="n">
        <x:v>52</x:v>
      </x:c>
      <x:c r="H2347" s="3" t="n">
        <x:v>2</x:v>
      </x:c>
      <x:c r="I2347" s="3" t="n">
        <x:v>27</x:v>
      </x:c>
      <x:c r="J2347" s="15" t="n">
        <x:f>IF(D2347=0,"n.a.",E2347/D2347)</x:f>
        <x:v>0.03313310450038139</x:v>
      </x:c>
      <x:c r="K2347" s="15" t="n">
        <x:f>F2347/'Datos'!$F$7</x:f>
        <x:v>0.000041420612503262546</x:v>
      </x:c>
      <x:c r="L2347" s="3"/>
    </x:row>
    <x:row r="2348" ht="22" customHeight="1">
      <x:c r="A2348" s="3"/>
      <x:c r="B2348" s="3" t="str">
        <x:v>35964</x:v>
      </x:c>
      <x:c r="C2348" s="3" t="str">
        <x:v>FOLKART CLIP ON STARS</x:v>
      </x:c>
      <x:c r="D2348" s="13" t="n">
        <x:v>405.25</x:v>
      </x:c>
      <x:c r="E2348" s="13" t="n">
        <x:v>0</x:v>
      </x:c>
      <x:c r="F2348" s="13" t="n">
        <x:f>D2348-E2348</x:f>
        <x:v>405.25</x:v>
      </x:c>
      <x:c r="G2348" s="3" t="n">
        <x:v>786</x:v>
      </x:c>
      <x:c r="H2348" s="3" t="n">
        <x:v>0</x:v>
      </x:c>
      <x:c r="I2348" s="3" t="n">
        <x:v>100</x:v>
      </x:c>
      <x:c r="J2348" s="15" t="n">
        <x:f>IF(D2348=0,"n.a.",E2348/D2348)</x:f>
        <x:v>0</x:v>
      </x:c>
      <x:c r="K2348" s="15" t="n">
        <x:f>F2348/'Datos'!$F$7</x:f>
        <x:v>0.00004138282929083168</x:v>
      </x:c>
      <x:c r="L2348" s="3"/>
    </x:row>
    <x:row r="2349" ht="22" customHeight="1">
      <x:c r="A2349" s="3"/>
      <x:c r="B2349" s="3" t="str">
        <x:v>23339</x:v>
      </x:c>
      <x:c r="C2349" s="3" t="str">
        <x:v>EGG FRYING PAN BLUE</x:v>
      </x:c>
      <x:c r="D2349" s="13" t="n">
        <x:v>405</x:v>
      </x:c>
      <x:c r="E2349" s="13" t="n">
        <x:v>0</x:v>
      </x:c>
      <x:c r="F2349" s="13" t="n">
        <x:f>D2349-E2349</x:f>
        <x:v>405</x:v>
      </x:c>
      <x:c r="G2349" s="3" t="n">
        <x:v>175</x:v>
      </x:c>
      <x:c r="H2349" s="3" t="n">
        <x:v>0</x:v>
      </x:c>
      <x:c r="I2349" s="3" t="n">
        <x:v>76</x:v>
      </x:c>
      <x:c r="J2349" s="15" t="n">
        <x:f>IF(D2349=0,"n.a.",E2349/D2349)</x:f>
        <x:v>0</x:v>
      </x:c>
      <x:c r="K2349" s="15" t="n">
        <x:f>F2349/'Datos'!$F$7</x:f>
        <x:v>0.00004135730009324326</x:v>
      </x:c>
      <x:c r="L2349" s="3"/>
    </x:row>
    <x:row r="2350" ht="22" customHeight="1">
      <x:c r="A2350" s="3"/>
      <x:c r="B2350" s="3" t="str">
        <x:v>16219</x:v>
      </x:c>
      <x:c r="C2350" s="3" t="str">
        <x:v>HOUSE SHAPE PENCIL SHARPENER</x:v>
      </x:c>
      <x:c r="D2350" s="13" t="n">
        <x:v>407.72</x:v>
      </x:c>
      <x:c r="E2350" s="13" t="n">
        <x:v>2.88</x:v>
      </x:c>
      <x:c r="F2350" s="13" t="n">
        <x:f>D2350-E2350</x:f>
        <x:v>404.84000000000003</x:v>
      </x:c>
      <x:c r="G2350" s="3" t="n">
        <x:v>3048</x:v>
      </x:c>
      <x:c r="H2350" s="3" t="n">
        <x:v>48</x:v>
      </x:c>
      <x:c r="I2350" s="3" t="n">
        <x:v>100</x:v>
      </x:c>
      <x:c r="J2350" s="15" t="n">
        <x:f>IF(D2350=0,"n.a.",E2350/D2350)</x:f>
        <x:v>0.007063671146865495</x:v>
      </x:c>
      <x:c r="K2350" s="15" t="n">
        <x:f>F2350/'Datos'!$F$7</x:f>
        <x:v>0.000041340961406786674</x:v>
      </x:c>
      <x:c r="L2350" s="3"/>
    </x:row>
    <x:row r="2351" ht="22" customHeight="1">
      <x:c r="A2351" s="3"/>
      <x:c r="B2351" s="3" t="str">
        <x:v>23415</x:v>
      </x:c>
      <x:c r="C2351" s="3" t="str">
        <x:v>HOME SWEET HOME HOOK</x:v>
      </x:c>
      <x:c r="D2351" s="13" t="n">
        <x:v>412.18</x:v>
      </x:c>
      <x:c r="E2351" s="13" t="n">
        <x:v>8.25</x:v>
      </x:c>
      <x:c r="F2351" s="13" t="n">
        <x:f>D2351-E2351</x:f>
        <x:v>403.93</x:v>
      </x:c>
      <x:c r="G2351" s="3" t="n">
        <x:v>328</x:v>
      </x:c>
      <x:c r="H2351" s="3" t="n">
        <x:v>5</x:v>
      </x:c>
      <x:c r="I2351" s="3" t="n">
        <x:v>47</x:v>
      </x:c>
      <x:c r="J2351" s="15" t="n">
        <x:f>IF(D2351=0,"n.a.",E2351/D2351)</x:f>
        <x:v>0.020015527196855742</x:v>
      </x:c>
      <x:c r="K2351" s="15" t="n">
        <x:f>F2351/'Datos'!$F$7</x:f>
        <x:v>0.00004124803512756482</x:v>
      </x:c>
      <x:c r="L2351" s="3"/>
    </x:row>
    <x:row r="2352" ht="22" customHeight="1">
      <x:c r="A2352" s="3"/>
      <x:c r="B2352" s="3" t="str">
        <x:v>22406</x:v>
      </x:c>
      <x:c r="C2352" s="3" t="str">
        <x:v>MONEY BOX KINGS CHOICE DESIGN</x:v>
      </x:c>
      <x:c r="D2352" s="13" t="n">
        <x:v>403.46</x:v>
      </x:c>
      <x:c r="E2352" s="13" t="n">
        <x:v>1.25</x:v>
      </x:c>
      <x:c r="F2352" s="13" t="n">
        <x:f>D2352-E2352</x:f>
        <x:v>402.21</x:v>
      </x:c>
      <x:c r="G2352" s="3" t="n">
        <x:v>346</x:v>
      </x:c>
      <x:c r="H2352" s="3" t="n">
        <x:v>1</x:v>
      </x:c>
      <x:c r="I2352" s="3" t="n">
        <x:v>84</x:v>
      </x:c>
      <x:c r="J2352" s="15" t="n">
        <x:f>IF(D2352=0,"n.a.",E2352/D2352)</x:f>
        <x:v>0.003098200565111783</x:v>
      </x:c>
      <x:c r="K2352" s="15" t="n">
        <x:f>F2352/'Datos'!$F$7</x:f>
        <x:v>0.000041072394248156476</x:v>
      </x:c>
      <x:c r="L2352" s="3"/>
    </x:row>
    <x:row r="2353" ht="22" customHeight="1">
      <x:c r="A2353" s="3"/>
      <x:c r="B2353" s="3" t="str">
        <x:v>23576</x:v>
      </x:c>
      <x:c r="C2353" s="3" t="str">
        <x:v>SNACK TRAY RED VINTAGE DOILY</x:v>
      </x:c>
      <x:c r="D2353" s="13" t="n">
        <x:v>400.04</x:v>
      </x:c>
      <x:c r="E2353" s="13" t="n">
        <x:v>0</x:v>
      </x:c>
      <x:c r="F2353" s="13" t="n">
        <x:f>D2353-E2353</x:f>
        <x:v>400.04</x:v>
      </x:c>
      <x:c r="G2353" s="3" t="n">
        <x:v>198</x:v>
      </x:c>
      <x:c r="H2353" s="3" t="n">
        <x:v>0</x:v>
      </x:c>
      <x:c r="I2353" s="3" t="n">
        <x:v>37</x:v>
      </x:c>
      <x:c r="J2353" s="15" t="n">
        <x:f>IF(D2353=0,"n.a.",E2353/D2353)</x:f>
        <x:v>0</x:v>
      </x:c>
      <x:c r="K2353" s="15" t="n">
        <x:f>F2353/'Datos'!$F$7</x:f>
        <x:v>0.000040850800813088975</x:v>
      </x:c>
      <x:c r="L2353" s="3"/>
    </x:row>
    <x:row r="2354" ht="22" customHeight="1">
      <x:c r="A2354" s="3"/>
      <x:c r="B2354" s="3" t="str">
        <x:v>23429</x:v>
      </x:c>
      <x:c r="C2354" s="3" t="str">
        <x:v>RED RETRO KITCHEN WALL CLOCK</x:v>
      </x:c>
      <x:c r="D2354" s="13" t="n">
        <x:v>400.01</x:v>
      </x:c>
      <x:c r="E2354" s="13" t="n">
        <x:v>0</x:v>
      </x:c>
      <x:c r="F2354" s="13" t="n">
        <x:f>D2354-E2354</x:f>
        <x:v>400.01</x:v>
      </x:c>
      <x:c r="G2354" s="3" t="n">
        <x:v>47</x:v>
      </x:c>
      <x:c r="H2354" s="3" t="n">
        <x:v>0</x:v>
      </x:c>
      <x:c r="I2354" s="3" t="n">
        <x:v>23</x:v>
      </x:c>
      <x:c r="J2354" s="15" t="n">
        <x:f>IF(D2354=0,"n.a.",E2354/D2354)</x:f>
        <x:v>0</x:v>
      </x:c>
      <x:c r="K2354" s="15" t="n">
        <x:f>F2354/'Datos'!$F$7</x:f>
        <x:v>0.000040847737309378364</x:v>
      </x:c>
      <x:c r="L2354" s="3"/>
    </x:row>
    <x:row r="2355" ht="22" customHeight="1">
      <x:c r="A2355" s="3"/>
      <x:c r="B2355" s="3" t="str">
        <x:v>37476</x:v>
      </x:c>
      <x:c r="C2355" s="3" t="str">
        <x:v>CONDIMENT TRAY 4 BOWLS AND 4 SPOONS</x:v>
      </x:c>
      <x:c r="D2355" s="13" t="n">
        <x:v>399.02</x:v>
      </x:c>
      <x:c r="E2355" s="13" t="n">
        <x:v>0</x:v>
      </x:c>
      <x:c r="F2355" s="13" t="n">
        <x:f>D2355-E2355</x:f>
        <x:v>399.02</x:v>
      </x:c>
      <x:c r="G2355" s="3" t="n">
        <x:v>37</x:v>
      </x:c>
      <x:c r="H2355" s="3" t="n">
        <x:v>0</x:v>
      </x:c>
      <x:c r="I2355" s="3" t="n">
        <x:v>26</x:v>
      </x:c>
      <x:c r="J2355" s="15" t="n">
        <x:f>IF(D2355=0,"n.a.",E2355/D2355)</x:f>
        <x:v>0</x:v>
      </x:c>
      <x:c r="K2355" s="15" t="n">
        <x:f>F2355/'Datos'!$F$7</x:f>
        <x:v>0.00004074664168692821</x:v>
      </x:c>
      <x:c r="L2355" s="3"/>
    </x:row>
    <x:row r="2356" ht="22" customHeight="1">
      <x:c r="A2356" s="3"/>
      <x:c r="B2356" s="3" t="str">
        <x:v>21285</x:v>
      </x:c>
      <x:c r="C2356" s="3" t="str">
        <x:v>RETROSPOT CANDLE MEDIUM</x:v>
      </x:c>
      <x:c r="D2356" s="13" t="n">
        <x:v>413.88</x:v>
      </x:c>
      <x:c r="E2356" s="13" t="n">
        <x:v>15.6</x:v>
      </x:c>
      <x:c r="F2356" s="13" t="n">
        <x:f>D2356-E2356</x:f>
        <x:v>398.28</x:v>
      </x:c>
      <x:c r="G2356" s="3" t="n">
        <x:v>365</x:v>
      </x:c>
      <x:c r="H2356" s="3" t="n">
        <x:v>24</x:v>
      </x:c>
      <x:c r="I2356" s="3" t="n">
        <x:v>43</x:v>
      </x:c>
      <x:c r="J2356" s="15" t="n">
        <x:f>IF(D2356=0,"n.a.",E2356/D2356)</x:f>
        <x:v>0.03769208466222093</x:v>
      </x:c>
      <x:c r="K2356" s="15" t="n">
        <x:f>F2356/'Datos'!$F$7</x:f>
        <x:v>0.00004067107526206648</x:v>
      </x:c>
      <x:c r="L2356" s="3"/>
    </x:row>
    <x:row r="2357" ht="22" customHeight="1">
      <x:c r="A2357" s="3"/>
      <x:c r="B2357" s="3" t="str">
        <x:v>21131</x:v>
      </x:c>
      <x:c r="C2357" s="3" t="str">
        <x:v>GOLD STANDING GNOME</x:v>
      </x:c>
      <x:c r="D2357" s="13" t="n">
        <x:v>398.02</x:v>
      </x:c>
      <x:c r="E2357" s="13" t="n">
        <x:v>0</x:v>
      </x:c>
      <x:c r="F2357" s="13" t="n">
        <x:f>D2357-E2357</x:f>
        <x:v>398.02</x:v>
      </x:c>
      <x:c r="G2357" s="3" t="n">
        <x:v>106</x:v>
      </x:c>
      <x:c r="H2357" s="3" t="n">
        <x:v>0</x:v>
      </x:c>
      <x:c r="I2357" s="3" t="n">
        <x:v>28</x:v>
      </x:c>
      <x:c r="J2357" s="15" t="n">
        <x:f>IF(D2357=0,"n.a.",E2357/D2357)</x:f>
        <x:v>0</x:v>
      </x:c>
      <x:c r="K2357" s="15" t="n">
        <x:f>F2357/'Datos'!$F$7</x:f>
        <x:v>0.00004064452489657453</x:v>
      </x:c>
      <x:c r="L2357" s="3"/>
    </x:row>
    <x:row r="2358" ht="22" customHeight="1">
      <x:c r="A2358" s="3"/>
      <x:c r="B2358" s="3" t="str">
        <x:v>84974</x:v>
      </x:c>
      <x:c r="C2358" s="3" t="str">
        <x:v>S/2 ZINC HEART DESIGN PLANTERS</x:v>
      </x:c>
      <x:c r="D2358" s="13" t="n">
        <x:v>398</x:v>
      </x:c>
      <x:c r="E2358" s="13" t="n">
        <x:v>0</x:v>
      </x:c>
      <x:c r="F2358" s="13" t="n">
        <x:f>D2358-E2358</x:f>
        <x:v>398</x:v>
      </x:c>
      <x:c r="G2358" s="3" t="n">
        <x:v>40</x:v>
      </x:c>
      <x:c r="H2358" s="3" t="n">
        <x:v>0</x:v>
      </x:c>
      <x:c r="I2358" s="3" t="n">
        <x:v>28</x:v>
      </x:c>
      <x:c r="J2358" s="15" t="n">
        <x:f>IF(D2358=0,"n.a.",E2358/D2358)</x:f>
        <x:v>0</x:v>
      </x:c>
      <x:c r="K2358" s="15" t="n">
        <x:f>F2358/'Datos'!$F$7</x:f>
        <x:v>0.00004064248256076745</x:v>
      </x:c>
      <x:c r="L2358" s="3"/>
    </x:row>
    <x:row r="2359" ht="22" customHeight="1">
      <x:c r="A2359" s="3"/>
      <x:c r="B2359" s="3" t="str">
        <x:v>18007</x:v>
      </x:c>
      <x:c r="C2359" s="3" t="str">
        <x:v>ESSENTIAL BALM 3.5g TIN IN ENVELOPE</x:v>
      </x:c>
      <x:c r="D2359" s="13" t="n">
        <x:v>395.61</x:v>
      </x:c>
      <x:c r="E2359" s="13" t="n">
        <x:v>0</x:v>
      </x:c>
      <x:c r="F2359" s="13" t="n">
        <x:f>D2359-E2359</x:f>
        <x:v>395.61</x:v>
      </x:c>
      <x:c r="G2359" s="3" t="n">
        <x:v>5884</x:v>
      </x:c>
      <x:c r="H2359" s="3" t="n">
        <x:v>0</x:v>
      </x:c>
      <x:c r="I2359" s="3" t="n">
        <x:v>30</x:v>
      </x:c>
      <x:c r="J2359" s="15" t="n">
        <x:f>IF(D2359=0,"n.a.",E2359/D2359)</x:f>
        <x:v>0</x:v>
      </x:c>
      <x:c r="K2359" s="15" t="n">
        <x:f>F2359/'Datos'!$F$7</x:f>
        <x:v>0.00004039842343182214</x:v>
      </x:c>
      <x:c r="L2359" s="3"/>
    </x:row>
    <x:row r="2360" ht="22" customHeight="1">
      <x:c r="A2360" s="3"/>
      <x:c r="B2360" s="3" t="str">
        <x:v>47421</x:v>
      </x:c>
      <x:c r="C2360" s="3" t="str">
        <x:v>ASSORTED COLOUR LIZARD SUCTION HOOK</x:v>
      </x:c>
      <x:c r="D2360" s="13" t="n">
        <x:v>395.1</x:v>
      </x:c>
      <x:c r="E2360" s="13" t="n">
        <x:v>0</x:v>
      </x:c>
      <x:c r="F2360" s="13" t="n">
        <x:f>D2360-E2360</x:f>
        <x:v>395.1</x:v>
      </x:c>
      <x:c r="G2360" s="3" t="n">
        <x:v>999</x:v>
      </x:c>
      <x:c r="H2360" s="3" t="n">
        <x:v>0</x:v>
      </x:c>
      <x:c r="I2360" s="3" t="n">
        <x:v>55</x:v>
      </x:c>
      <x:c r="J2360" s="15" t="n">
        <x:f>IF(D2360=0,"n.a.",E2360/D2360)</x:f>
        <x:v>0</x:v>
      </x:c>
      <x:c r="K2360" s="15" t="n">
        <x:f>F2360/'Datos'!$F$7</x:f>
        <x:v>0.000040346343868741766</x:v>
      </x:c>
      <x:c r="L2360" s="3"/>
    </x:row>
    <x:row r="2361" ht="22" customHeight="1">
      <x:c r="A2361" s="3"/>
      <x:c r="B2361" s="3" t="str">
        <x:v>22256</x:v>
      </x:c>
      <x:c r="C2361" s="3" t="str">
        <x:v>FELT FARM ANIMAL CHICKEN</x:v>
      </x:c>
      <x:c r="D2361" s="13" t="n">
        <x:v>394.15</x:v>
      </x:c>
      <x:c r="E2361" s="13" t="n">
        <x:v>0</x:v>
      </x:c>
      <x:c r="F2361" s="13" t="n">
        <x:f>D2361-E2361</x:f>
        <x:v>394.15</x:v>
      </x:c>
      <x:c r="G2361" s="3" t="n">
        <x:v>291</x:v>
      </x:c>
      <x:c r="H2361" s="3" t="n">
        <x:v>0</x:v>
      </x:c>
      <x:c r="I2361" s="3" t="n">
        <x:v>50</x:v>
      </x:c>
      <x:c r="J2361" s="15" t="n">
        <x:f>IF(D2361=0,"n.a.",E2361/D2361)</x:f>
        <x:v>0</x:v>
      </x:c>
      <x:c r="K2361" s="15" t="n">
        <x:f>F2361/'Datos'!$F$7</x:f>
        <x:v>0.000040249332917905754</x:v>
      </x:c>
      <x:c r="L2361" s="3"/>
    </x:row>
    <x:row r="2362" ht="22" customHeight="1">
      <x:c r="A2362" s="3"/>
      <x:c r="B2362" s="3" t="str">
        <x:v>20867</x:v>
      </x:c>
      <x:c r="C2362" s="3" t="str">
        <x:v>PINK ROSE FABRIC MIRROR</x:v>
      </x:c>
      <x:c r="D2362" s="13" t="n">
        <x:v>393.47</x:v>
      </x:c>
      <x:c r="E2362" s="13" t="n">
        <x:v>0</x:v>
      </x:c>
      <x:c r="F2362" s="13" t="n">
        <x:f>D2362-E2362</x:f>
        <x:v>393.47</x:v>
      </x:c>
      <x:c r="G2362" s="3" t="n">
        <x:v>331</x:v>
      </x:c>
      <x:c r="H2362" s="3" t="n">
        <x:v>0</x:v>
      </x:c>
      <x:c r="I2362" s="3" t="n">
        <x:v>62</x:v>
      </x:c>
      <x:c r="J2362" s="15" t="n">
        <x:f>IF(D2362=0,"n.a.",E2362/D2362)</x:f>
        <x:v>0</x:v>
      </x:c>
      <x:c r="K2362" s="15" t="n">
        <x:f>F2362/'Datos'!$F$7</x:f>
        <x:v>0.000040179893500465255</x:v>
      </x:c>
      <x:c r="L2362" s="3"/>
    </x:row>
    <x:row r="2363" ht="22" customHeight="1">
      <x:c r="A2363" s="3"/>
      <x:c r="B2363" s="3" t="str">
        <x:v>23116</x:v>
      </x:c>
      <x:c r="C2363" s="3" t="str">
        <x:v>VEGETABLE GARDEN CHOPPING BOARD</x:v>
      </x:c>
      <x:c r="D2363" s="13" t="n">
        <x:v>392.34</x:v>
      </x:c>
      <x:c r="E2363" s="13" t="n">
        <x:v>0</x:v>
      </x:c>
      <x:c r="F2363" s="13" t="n">
        <x:f>D2363-E2363</x:f>
        <x:v>392.34</x:v>
      </x:c>
      <x:c r="G2363" s="3" t="n">
        <x:v>78</x:v>
      </x:c>
      <x:c r="H2363" s="3" t="n">
        <x:v>0</x:v>
      </x:c>
      <x:c r="I2363" s="3" t="n">
        <x:v>22</x:v>
      </x:c>
      <x:c r="J2363" s="15" t="n">
        <x:f>IF(D2363=0,"n.a.",E2363/D2363)</x:f>
        <x:v>0</x:v>
      </x:c>
      <x:c r="K2363" s="15" t="n">
        <x:f>F2363/'Datos'!$F$7</x:f>
        <x:v>0.000040064501527365585</x:v>
      </x:c>
      <x:c r="L2363" s="3"/>
    </x:row>
    <x:row r="2364" ht="22" customHeight="1">
      <x:c r="A2364" s="3"/>
      <x:c r="B2364" s="3" t="str">
        <x:v>21579</x:v>
      </x:c>
      <x:c r="C2364" s="3" t="str">
        <x:v>LOLITA DESIGN COTTON TOTE BAG</x:v>
      </x:c>
      <x:c r="D2364" s="13" t="n">
        <x:v>414.22</x:v>
      </x:c>
      <x:c r="E2364" s="13" t="n">
        <x:v>22.5</x:v>
      </x:c>
      <x:c r="F2364" s="13" t="n">
        <x:f>D2364-E2364</x:f>
        <x:v>391.72</x:v>
      </x:c>
      <x:c r="G2364" s="3" t="n">
        <x:v>178</x:v>
      </x:c>
      <x:c r="H2364" s="3" t="n">
        <x:v>10</x:v>
      </x:c>
      <x:c r="I2364" s="3" t="n">
        <x:v>50</x:v>
      </x:c>
      <x:c r="J2364" s="15" t="n">
        <x:f>IF(D2364=0,"n.a.",E2364/D2364)</x:f>
        <x:v>0.054318960938631644</x:v>
      </x:c>
      <x:c r="K2364" s="15" t="n">
        <x:f>F2364/'Datos'!$F$7</x:f>
        <x:v>0.0000400011891173463</x:v>
      </x:c>
      <x:c r="L2364" s="3"/>
    </x:row>
    <x:row r="2365" ht="22" customHeight="1">
      <x:c r="A2365" s="3"/>
      <x:c r="B2365" s="3" t="str">
        <x:v>23337</x:v>
      </x:c>
      <x:c r="C2365" s="3" t="str">
        <x:v>EGG FRYING PAN MINT</x:v>
      </x:c>
      <x:c r="D2365" s="13" t="n">
        <x:v>388.75</x:v>
      </x:c>
      <x:c r="E2365" s="13" t="n">
        <x:v>0</x:v>
      </x:c>
      <x:c r="F2365" s="13" t="n">
        <x:f>D2365-E2365</x:f>
        <x:v>388.75</x:v>
      </x:c>
      <x:c r="G2365" s="3" t="n">
        <x:v>180</x:v>
      </x:c>
      <x:c r="H2365" s="3" t="n">
        <x:v>0</x:v>
      </x:c>
      <x:c r="I2365" s="3" t="n">
        <x:v>69</x:v>
      </x:c>
      <x:c r="J2365" s="15" t="n">
        <x:f>IF(D2365=0,"n.a.",E2365/D2365)</x:f>
        <x:v>0</x:v>
      </x:c>
      <x:c r="K2365" s="15" t="n">
        <x:f>F2365/'Datos'!$F$7</x:f>
        <x:v>0.00003969790224999585</x:v>
      </x:c>
      <x:c r="L2365" s="3"/>
    </x:row>
    <x:row r="2366" ht="22" customHeight="1">
      <x:c r="A2366" s="3"/>
      <x:c r="B2366" s="3" t="str">
        <x:v>90200B</x:v>
      </x:c>
      <x:c r="C2366" s="3" t="str">
        <x:v>BLACK SWEETHEART BRACELET</x:v>
      </x:c>
      <x:c r="D2366" s="13" t="n">
        <x:v>392.83</x:v>
      </x:c>
      <x:c r="E2366" s="13" t="n">
        <x:v>4.25</x:v>
      </x:c>
      <x:c r="F2366" s="13" t="n">
        <x:f>D2366-E2366</x:f>
        <x:v>388.58</x:v>
      </x:c>
      <x:c r="G2366" s="3" t="n">
        <x:v>93</x:v>
      </x:c>
      <x:c r="H2366" s="3" t="n">
        <x:v>1</x:v>
      </x:c>
      <x:c r="I2366" s="3" t="n">
        <x:v>47</x:v>
      </x:c>
      <x:c r="J2366" s="15" t="n">
        <x:f>IF(D2366=0,"n.a.",E2366/D2366)</x:f>
        <x:v>0.010818929307843088</x:v>
      </x:c>
      <x:c r="K2366" s="15" t="n">
        <x:f>F2366/'Datos'!$F$7</x:f>
        <x:v>0.00003968054239563572</x:v>
      </x:c>
      <x:c r="L2366" s="3"/>
    </x:row>
    <x:row r="2367" ht="22" customHeight="1">
      <x:c r="A2367" s="3"/>
      <x:c r="B2367" s="3" t="str">
        <x:v>35095A</x:v>
      </x:c>
      <x:c r="C2367" s="3" t="str">
        <x:v>BLUE VICTORIAN FABRIC OVAL BOX</x:v>
      </x:c>
      <x:c r="D2367" s="13" t="n">
        <x:v>388.57</x:v>
      </x:c>
      <x:c r="E2367" s="13" t="n">
        <x:v>0</x:v>
      </x:c>
      <x:c r="F2367" s="13" t="n">
        <x:f>D2367-E2367</x:f>
        <x:v>388.57</x:v>
      </x:c>
      <x:c r="G2367" s="3" t="n">
        <x:v>925</x:v>
      </x:c>
      <x:c r="H2367" s="3" t="n">
        <x:v>0</x:v>
      </x:c>
      <x:c r="I2367" s="3" t="n">
        <x:v>100</x:v>
      </x:c>
      <x:c r="J2367" s="15" t="n">
        <x:f>IF(D2367=0,"n.a.",E2367/D2367)</x:f>
        <x:v>0</x:v>
      </x:c>
      <x:c r="K2367" s="15" t="n">
        <x:f>F2367/'Datos'!$F$7</x:f>
        <x:v>0.00003967952122773218</x:v>
      </x:c>
      <x:c r="L2367" s="3"/>
    </x:row>
    <x:row r="2368" ht="22" customHeight="1">
      <x:c r="A2368" s="3"/>
      <x:c r="B2368" s="3" t="str">
        <x:v>23150</x:v>
      </x:c>
      <x:c r="C2368" s="3" t="str">
        <x:v>IVORY SWEETHEART SOAP DISH</x:v>
      </x:c>
      <x:c r="D2368" s="13" t="n">
        <x:v>390.75</x:v>
      </x:c>
      <x:c r="E2368" s="13" t="n">
        <x:v>2.49</x:v>
      </x:c>
      <x:c r="F2368" s="13" t="n">
        <x:f>D2368-E2368</x:f>
        <x:v>388.26</x:v>
      </x:c>
      <x:c r="G2368" s="3" t="n">
        <x:v>148</x:v>
      </x:c>
      <x:c r="H2368" s="3" t="n">
        <x:v>1</x:v>
      </x:c>
      <x:c r="I2368" s="3" t="n">
        <x:v>49</x:v>
      </x:c>
      <x:c r="J2368" s="15" t="n">
        <x:f>IF(D2368=0,"n.a.",E2368/D2368)</x:f>
        <x:v>0.006372360844529751</x:v>
      </x:c>
      <x:c r="K2368" s="15" t="n">
        <x:f>F2368/'Datos'!$F$7</x:f>
        <x:v>0.00003964786502272254</x:v>
      </x:c>
      <x:c r="L2368" s="3"/>
    </x:row>
    <x:row r="2369" ht="22" customHeight="1">
      <x:c r="A2369" s="3"/>
      <x:c r="B2369" s="3" t="str">
        <x:v>23039</x:v>
      </x:c>
      <x:c r="C2369" s="3" t="str">
        <x:v>T-LIGHT HOLDER SILVER HEART HANDLE</x:v>
      </x:c>
      <x:c r="D2369" s="13" t="n">
        <x:v>399.71</x:v>
      </x:c>
      <x:c r="E2369" s="13" t="n">
        <x:v>11.7</x:v>
      </x:c>
      <x:c r="F2369" s="13" t="n">
        <x:f>D2369-E2369</x:f>
        <x:v>388.01</x:v>
      </x:c>
      <x:c r="G2369" s="3" t="n">
        <x:v>199</x:v>
      </x:c>
      <x:c r="H2369" s="3" t="n">
        <x:v>6</x:v>
      </x:c>
      <x:c r="I2369" s="3" t="n">
        <x:v>28</x:v>
      </x:c>
      <x:c r="J2369" s="15" t="n">
        <x:f>IF(D2369=0,"n.a.",E2369/D2369)</x:f>
        <x:v>0.029271221635685872</x:v>
      </x:c>
      <x:c r="K2369" s="15" t="n">
        <x:f>F2369/'Datos'!$F$7</x:f>
        <x:v>0.00003962233582513412</x:v>
      </x:c>
      <x:c r="L2369" s="3"/>
    </x:row>
    <x:row r="2370" ht="22" customHeight="1">
      <x:c r="A2370" s="3"/>
      <x:c r="B2370" s="3" t="str">
        <x:v>21879</x:v>
      </x:c>
      <x:c r="C2370" s="3" t="str">
        <x:v>HEARTS GIFT TAPE</x:v>
      </x:c>
      <x:c r="D2370" s="13" t="n">
        <x:v>386.77</x:v>
      </x:c>
      <x:c r="E2370" s="13" t="n">
        <x:v>0</x:v>
      </x:c>
      <x:c r="F2370" s="13" t="n">
        <x:f>D2370-E2370</x:f>
        <x:v>386.77</x:v>
      </x:c>
      <x:c r="G2370" s="3" t="n">
        <x:v>1178</x:v>
      </x:c>
      <x:c r="H2370" s="3" t="n">
        <x:v>0</x:v>
      </x:c>
      <x:c r="I2370" s="3" t="n">
        <x:v>94</x:v>
      </x:c>
      <x:c r="J2370" s="15" t="n">
        <x:f>IF(D2370=0,"n.a.",E2370/D2370)</x:f>
        <x:v>0</x:v>
      </x:c>
      <x:c r="K2370" s="15" t="n">
        <x:f>F2370/'Datos'!$F$7</x:f>
        <x:v>0.000039495711005095546</x:v>
      </x:c>
      <x:c r="L2370" s="3"/>
    </x:row>
    <x:row r="2371" ht="22" customHeight="1">
      <x:c r="A2371" s="3"/>
      <x:c r="B2371" s="3" t="str">
        <x:v>22345</x:v>
      </x:c>
      <x:c r="C2371" s="3" t="str">
        <x:v>PARTY PIZZA DISH BLUE POLKADOT</x:v>
      </x:c>
      <x:c r="D2371" s="13" t="n">
        <x:v>399.62</x:v>
      </x:c>
      <x:c r="E2371" s="13" t="n">
        <x:v>15.3</x:v>
      </x:c>
      <x:c r="F2371" s="13" t="n">
        <x:f>D2371-E2371</x:f>
        <x:v>384.32</x:v>
      </x:c>
      <x:c r="G2371" s="3" t="n">
        <x:v>1120</x:v>
      </x:c>
      <x:c r="H2371" s="3" t="n">
        <x:v>18</x:v>
      </x:c>
      <x:c r="I2371" s="3" t="n">
        <x:v>71</x:v>
      </x:c>
      <x:c r="J2371" s="15" t="n">
        <x:f>IF(D2371=0,"n.a.",E2371/D2371)</x:f>
        <x:v>0.03828637205345078</x:v>
      </x:c>
      <x:c r="K2371" s="15" t="n">
        <x:f>F2371/'Datos'!$F$7</x:f>
        <x:v>0.00003924552486872901</x:v>
      </x:c>
      <x:c r="L2371" s="3"/>
    </x:row>
    <x:row r="2372" ht="22" customHeight="1">
      <x:c r="A2372" s="3"/>
      <x:c r="B2372" s="3" t="str">
        <x:v>85179A</x:v>
      </x:c>
      <x:c r="C2372" s="3" t="str">
        <x:v>GREEN BITTY LIGHT CHAIN</x:v>
      </x:c>
      <x:c r="D2372" s="13" t="n">
        <x:v>383.25</x:v>
      </x:c>
      <x:c r="E2372" s="13" t="n">
        <x:v>0</x:v>
      </x:c>
      <x:c r="F2372" s="13" t="n">
        <x:f>D2372-E2372</x:f>
        <x:v>383.25</x:v>
      </x:c>
      <x:c r="G2372" s="3" t="n">
        <x:v>194</x:v>
      </x:c>
      <x:c r="H2372" s="3" t="n">
        <x:v>0</x:v>
      </x:c>
      <x:c r="I2372" s="3" t="n">
        <x:v>60</x:v>
      </x:c>
      <x:c r="J2372" s="15" t="n">
        <x:f>IF(D2372=0,"n.a.",E2372/D2372)</x:f>
        <x:v>0</x:v>
      </x:c>
      <x:c r="K2372" s="15" t="n">
        <x:f>F2372/'Datos'!$F$7</x:f>
        <x:v>0.00003913625990305057</x:v>
      </x:c>
      <x:c r="L2372" s="3"/>
    </x:row>
    <x:row r="2373" ht="22" customHeight="1">
      <x:c r="A2373" s="3"/>
      <x:c r="B2373" s="3" t="str">
        <x:v>21881</x:v>
      </x:c>
      <x:c r="C2373" s="3" t="str">
        <x:v>CUTE CATS TAPE</x:v>
      </x:c>
      <x:c r="D2373" s="13" t="n">
        <x:v>383.11</x:v>
      </x:c>
      <x:c r="E2373" s="13" t="n">
        <x:v>0</x:v>
      </x:c>
      <x:c r="F2373" s="13" t="n">
        <x:f>D2373-E2373</x:f>
        <x:v>383.11</x:v>
      </x:c>
      <x:c r="G2373" s="3" t="n">
        <x:v>1102</x:v>
      </x:c>
      <x:c r="H2373" s="3" t="n">
        <x:v>0</x:v>
      </x:c>
      <x:c r="I2373" s="3" t="n">
        <x:v>79</x:v>
      </x:c>
      <x:c r="J2373" s="15" t="n">
        <x:f>IF(D2373=0,"n.a.",E2373/D2373)</x:f>
        <x:v>0</x:v>
      </x:c>
      <x:c r="K2373" s="15" t="n">
        <x:f>F2373/'Datos'!$F$7</x:f>
        <x:v>0.000039121963552401056</x:v>
      </x:c>
      <x:c r="L2373" s="3"/>
    </x:row>
    <x:row r="2374" ht="22" customHeight="1">
      <x:c r="A2374" s="3"/>
      <x:c r="B2374" s="3" t="str">
        <x:v>22048</x:v>
      </x:c>
      <x:c r="C2374" s="3" t="str">
        <x:v>BIRTHDAY BANQUET GIFT WRAP</x:v>
      </x:c>
      <x:c r="D2374" s="13" t="n">
        <x:v>393.5</x:v>
      </x:c>
      <x:c r="E2374" s="13" t="n">
        <x:v>10.5</x:v>
      </x:c>
      <x:c r="F2374" s="13" t="n">
        <x:f>D2374-E2374</x:f>
        <x:v>383</x:v>
      </x:c>
      <x:c r="G2374" s="3" t="n">
        <x:v>975</x:v>
      </x:c>
      <x:c r="H2374" s="3" t="n">
        <x:v>25</x:v>
      </x:c>
      <x:c r="I2374" s="3" t="n">
        <x:v>32</x:v>
      </x:c>
      <x:c r="J2374" s="15" t="n">
        <x:f>IF(D2374=0,"n.a.",E2374/D2374)</x:f>
        <x:v>0.026683608640406607</x:v>
      </x:c>
      <x:c r="K2374" s="15" t="n">
        <x:f>F2374/'Datos'!$F$7</x:f>
        <x:v>0.000039110730705462144</x:v>
      </x:c>
      <x:c r="L2374" s="3"/>
    </x:row>
    <x:row r="2375" ht="22" customHeight="1">
      <x:c r="A2375" s="3"/>
      <x:c r="B2375" s="3" t="str">
        <x:v>84919</x:v>
      </x:c>
      <x:c r="C2375" s="3" t="str">
        <x:v>BLUE CUSHION COVER WITH FLOWER</x:v>
      </x:c>
      <x:c r="D2375" s="13" t="n">
        <x:v>381.78</x:v>
      </x:c>
      <x:c r="E2375" s="13" t="n">
        <x:v>0</x:v>
      </x:c>
      <x:c r="F2375" s="13" t="n">
        <x:f>D2375-E2375</x:f>
        <x:v>381.78</x:v>
      </x:c>
      <x:c r="G2375" s="3" t="n">
        <x:v>58</x:v>
      </x:c>
      <x:c r="H2375" s="3" t="n">
        <x:v>0</x:v>
      </x:c>
      <x:c r="I2375" s="3" t="n">
        <x:v>29</x:v>
      </x:c>
      <x:c r="J2375" s="15" t="n">
        <x:f>IF(D2375=0,"n.a.",E2375/D2375)</x:f>
        <x:v>0</x:v>
      </x:c>
      <x:c r="K2375" s="15" t="n">
        <x:f>F2375/'Datos'!$F$7</x:f>
        <x:v>0.00003898614822123065</x:v>
      </x:c>
      <x:c r="L2375" s="3"/>
    </x:row>
    <x:row r="2376" ht="22" customHeight="1">
      <x:c r="A2376" s="3"/>
      <x:c r="B2376" s="3" t="str">
        <x:v>22346</x:v>
      </x:c>
      <x:c r="C2376" s="3" t="str">
        <x:v>PARTY PIZZA DISH GREEN POLKADOT</x:v>
      </x:c>
      <x:c r="D2376" s="13" t="n">
        <x:v>381.66</x:v>
      </x:c>
      <x:c r="E2376" s="13" t="n">
        <x:v>0</x:v>
      </x:c>
      <x:c r="F2376" s="13" t="n">
        <x:f>D2376-E2376</x:f>
        <x:v>381.66</x:v>
      </x:c>
      <x:c r="G2376" s="3" t="n">
        <x:v>1037</x:v>
      </x:c>
      <x:c r="H2376" s="3" t="n">
        <x:v>0</x:v>
      </x:c>
      <x:c r="I2376" s="3" t="n">
        <x:v>59</x:v>
      </x:c>
      <x:c r="J2376" s="15" t="n">
        <x:f>IF(D2376=0,"n.a.",E2376/D2376)</x:f>
        <x:v>0</x:v>
      </x:c>
      <x:c r="K2376" s="15" t="n">
        <x:f>F2376/'Datos'!$F$7</x:f>
        <x:v>0.00003897389420638821</x:v>
      </x:c>
      <x:c r="L2376" s="3"/>
    </x:row>
    <x:row r="2377" ht="22" customHeight="1">
      <x:c r="A2377" s="3"/>
      <x:c r="B2377" s="3" t="str">
        <x:v>21562</x:v>
      </x:c>
      <x:c r="C2377" s="3" t="str">
        <x:v>HAWAIIAN GRASS SKIRT</x:v>
      </x:c>
      <x:c r="D2377" s="13" t="n">
        <x:v>380.36</x:v>
      </x:c>
      <x:c r="E2377" s="13" t="n">
        <x:v>0</x:v>
      </x:c>
      <x:c r="F2377" s="13" t="n">
        <x:f>D2377-E2377</x:f>
        <x:v>380.36</x:v>
      </x:c>
      <x:c r="G2377" s="3" t="n">
        <x:v>324</x:v>
      </x:c>
      <x:c r="H2377" s="3" t="n">
        <x:v>0</x:v>
      </x:c>
      <x:c r="I2377" s="3" t="n">
        <x:v>28</x:v>
      </x:c>
      <x:c r="J2377" s="15" t="n">
        <x:f>IF(D2377=0,"n.a.",E2377/D2377)</x:f>
        <x:v>0</x:v>
      </x:c>
      <x:c r="K2377" s="15" t="n">
        <x:f>F2377/'Datos'!$F$7</x:f>
        <x:v>0.00003884114237892841</x:v>
      </x:c>
      <x:c r="L2377" s="3"/>
    </x:row>
    <x:row r="2378" ht="22" customHeight="1">
      <x:c r="A2378" s="3"/>
      <x:c r="B2378" s="3" t="str">
        <x:v>21373</x:v>
      </x:c>
      <x:c r="C2378" s="3" t="str">
        <x:v>MIRRORED WALL ART SNOWFLAKES</x:v>
      </x:c>
      <x:c r="D2378" s="13" t="n">
        <x:v>389.04</x:v>
      </x:c>
      <x:c r="E2378" s="13" t="n">
        <x:v>9</x:v>
      </x:c>
      <x:c r="F2378" s="13" t="n">
        <x:f>D2378-E2378</x:f>
        <x:v>380.04</x:v>
      </x:c>
      <x:c r="G2378" s="3" t="n">
        <x:v>512</x:v>
      </x:c>
      <x:c r="H2378" s="3" t="n">
        <x:v>12</x:v>
      </x:c>
      <x:c r="I2378" s="3" t="n">
        <x:v>47</x:v>
      </x:c>
      <x:c r="J2378" s="15" t="n">
        <x:f>IF(D2378=0,"n.a.",E2378/D2378)</x:f>
        <x:v>0.02313386798272671</x:v>
      </x:c>
      <x:c r="K2378" s="15" t="n">
        <x:f>F2378/'Datos'!$F$7</x:f>
        <x:v>0.00003880846500601523</x:v>
      </x:c>
      <x:c r="L2378" s="3"/>
    </x:row>
    <x:row r="2379" ht="22" customHeight="1">
      <x:c r="A2379" s="3"/>
      <x:c r="B2379" s="3" t="str">
        <x:v>16045</x:v>
      </x:c>
      <x:c r="C2379" s="3" t="str">
        <x:v>POPART WOODEN PENCILS ASST</x:v>
      </x:c>
      <x:c r="D2379" s="13" t="n">
        <x:v>380</x:v>
      </x:c>
      <x:c r="E2379" s="13" t="n">
        <x:v>0</x:v>
      </x:c>
      <x:c r="F2379" s="13" t="n">
        <x:f>D2379-E2379</x:f>
        <x:v>380</x:v>
      </x:c>
      <x:c r="G2379" s="3" t="n">
        <x:v>8900</x:v>
      </x:c>
      <x:c r="H2379" s="3" t="n">
        <x:v>0</x:v>
      </x:c>
      <x:c r="I2379" s="3" t="n">
        <x:v>68</x:v>
      </x:c>
      <x:c r="J2379" s="15" t="n">
        <x:f>IF(D2379=0,"n.a.",E2379/D2379)</x:f>
        <x:v>0</x:v>
      </x:c>
      <x:c r="K2379" s="15" t="n">
        <x:f>F2379/'Datos'!$F$7</x:f>
        <x:v>0.00003880438033440109</x:v>
      </x:c>
      <x:c r="L2379" s="3"/>
    </x:row>
    <x:row r="2380" ht="22" customHeight="1">
      <x:c r="A2380" s="3"/>
      <x:c r="B2380" s="3" t="str">
        <x:v>46776D</x:v>
      </x:c>
      <x:c r="C2380" s="3" t="str">
        <x:v>WOVEN SUNSET CUSHION COVER</x:v>
      </x:c>
      <x:c r="D2380" s="13" t="n">
        <x:v>378.29</x:v>
      </x:c>
      <x:c r="E2380" s="13" t="n">
        <x:v>0</x:v>
      </x:c>
      <x:c r="F2380" s="13" t="n">
        <x:f>D2380-E2380</x:f>
        <x:v>378.29</x:v>
      </x:c>
      <x:c r="G2380" s="3" t="n">
        <x:v>89</x:v>
      </x:c>
      <x:c r="H2380" s="3" t="n">
        <x:v>0</x:v>
      </x:c>
      <x:c r="I2380" s="3" t="n">
        <x:v>37</x:v>
      </x:c>
      <x:c r="J2380" s="15" t="n">
        <x:f>IF(D2380=0,"n.a.",E2380/D2380)</x:f>
        <x:v>0</x:v>
      </x:c>
      <x:c r="K2380" s="15" t="n">
        <x:f>F2380/'Datos'!$F$7</x:f>
        <x:v>0.000038629760622896284</x:v>
      </x:c>
      <x:c r="L2380" s="3"/>
    </x:row>
    <x:row r="2381" ht="22" customHeight="1">
      <x:c r="A2381" s="3"/>
      <x:c r="B2381" s="3" t="str">
        <x:v>90161B</x:v>
      </x:c>
      <x:c r="C2381" s="3" t="str">
        <x:v>ANT COPPER TURQ BOUDICCA BRACELET</x:v>
      </x:c>
      <x:c r="D2381" s="13" t="n">
        <x:v>377.88</x:v>
      </x:c>
      <x:c r="E2381" s="13" t="n">
        <x:v>0</x:v>
      </x:c>
      <x:c r="F2381" s="13" t="n">
        <x:f>D2381-E2381</x:f>
        <x:v>377.88</x:v>
      </x:c>
      <x:c r="G2381" s="3" t="n">
        <x:v>76</x:v>
      </x:c>
      <x:c r="H2381" s="3" t="n">
        <x:v>0</x:v>
      </x:c>
      <x:c r="I2381" s="3" t="n">
        <x:v>37</x:v>
      </x:c>
      <x:c r="J2381" s="15" t="n">
        <x:f>IF(D2381=0,"n.a.",E2381/D2381)</x:f>
        <x:v>0</x:v>
      </x:c>
      <x:c r="K2381" s="15" t="n">
        <x:f>F2381/'Datos'!$F$7</x:f>
        <x:v>0.00003858789273885127</x:v>
      </x:c>
      <x:c r="L2381" s="3"/>
    </x:row>
    <x:row r="2382" ht="22" customHeight="1">
      <x:c r="A2382" s="3"/>
      <x:c r="B2382" s="3" t="str">
        <x:v>21051</x:v>
      </x:c>
      <x:c r="C2382" s="3" t="str">
        <x:v>RIBBONS PURSE</x:v>
      </x:c>
      <x:c r="D2382" s="13" t="n">
        <x:v>377.2</x:v>
      </x:c>
      <x:c r="E2382" s="13" t="n">
        <x:v>0</x:v>
      </x:c>
      <x:c r="F2382" s="13" t="n">
        <x:f>D2382-E2382</x:f>
        <x:v>377.2</x:v>
      </x:c>
      <x:c r="G2382" s="3" t="n">
        <x:v>192</x:v>
      </x:c>
      <x:c r="H2382" s="3" t="n">
        <x:v>0</x:v>
      </x:c>
      <x:c r="I2382" s="3" t="n">
        <x:v>51</x:v>
      </x:c>
      <x:c r="J2382" s="15" t="n">
        <x:f>IF(D2382=0,"n.a.",E2382/D2382)</x:f>
        <x:v>0</x:v>
      </x:c>
      <x:c r="K2382" s="15" t="n">
        <x:f>F2382/'Datos'!$F$7</x:f>
        <x:v>0.000038518453321410764</x:v>
      </x:c>
      <x:c r="L2382" s="3"/>
    </x:row>
    <x:row r="2383" ht="22" customHeight="1">
      <x:c r="A2383" s="3"/>
      <x:c r="B2383" s="3" t="str">
        <x:v>90160C</x:v>
      </x:c>
      <x:c r="C2383" s="3" t="str">
        <x:v>TURQ+RED BOUDICCA LARGE BRACELET</x:v>
      </x:c>
      <x:c r="D2383" s="13" t="n">
        <x:v>377.04</x:v>
      </x:c>
      <x:c r="E2383" s="13" t="n">
        <x:v>0</x:v>
      </x:c>
      <x:c r="F2383" s="13" t="n">
        <x:f>D2383-E2383</x:f>
        <x:v>377.04</x:v>
      </x:c>
      <x:c r="G2383" s="3" t="n">
        <x:v>54</x:v>
      </x:c>
      <x:c r="H2383" s="3" t="n">
        <x:v>0</x:v>
      </x:c>
      <x:c r="I2383" s="3" t="n">
        <x:v>26</x:v>
      </x:c>
      <x:c r="J2383" s="15" t="n">
        <x:f>IF(D2383=0,"n.a.",E2383/D2383)</x:f>
        <x:v>0</x:v>
      </x:c>
      <x:c r="K2383" s="15" t="n">
        <x:f>F2383/'Datos'!$F$7</x:f>
        <x:v>0.000038502114634954176</x:v>
      </x:c>
      <x:c r="L2383" s="3"/>
    </x:row>
    <x:row r="2384" ht="22" customHeight="1">
      <x:c r="A2384" s="3"/>
      <x:c r="B2384" s="3" t="str">
        <x:v>47367B</x:v>
      </x:c>
      <x:c r="C2384" s="3" t="str">
        <x:v>PAIR PADDED HANGERS PINK CHECK</x:v>
      </x:c>
      <x:c r="D2384" s="13" t="n">
        <x:v>376.27</x:v>
      </x:c>
      <x:c r="E2384" s="13" t="n">
        <x:v>0</x:v>
      </x:c>
      <x:c r="F2384" s="13" t="n">
        <x:f>D2384-E2384</x:f>
        <x:v>376.27</x:v>
      </x:c>
      <x:c r="G2384" s="3" t="n">
        <x:v>112</x:v>
      </x:c>
      <x:c r="H2384" s="3" t="n">
        <x:v>0</x:v>
      </x:c>
      <x:c r="I2384" s="3" t="n">
        <x:v>43</x:v>
      </x:c>
      <x:c r="J2384" s="15" t="n">
        <x:f>IF(D2384=0,"n.a.",E2384/D2384)</x:f>
        <x:v>0</x:v>
      </x:c>
      <x:c r="K2384" s="15" t="n">
        <x:f>F2384/'Datos'!$F$7</x:f>
        <x:v>0.00003842348470638183</x:v>
      </x:c>
      <x:c r="L2384" s="3"/>
    </x:row>
    <x:row r="2385" ht="22" customHeight="1">
      <x:c r="A2385" s="3"/>
      <x:c r="B2385" s="3" t="str">
        <x:v>17012A</x:v>
      </x:c>
      <x:c r="C2385" s="3" t="str">
        <x:v>ORIGAMI VANILLA INCENSE/CANDLE SET</x:v>
      </x:c>
      <x:c r="D2385" s="13" t="n">
        <x:v>375.93</x:v>
      </x:c>
      <x:c r="E2385" s="13" t="n">
        <x:v>0</x:v>
      </x:c>
      <x:c r="F2385" s="13" t="n">
        <x:f>D2385-E2385</x:f>
        <x:v>375.93</x:v>
      </x:c>
      <x:c r="G2385" s="3" t="n">
        <x:v>323</x:v>
      </x:c>
      <x:c r="H2385" s="3" t="n">
        <x:v>0</x:v>
      </x:c>
      <x:c r="I2385" s="3" t="n">
        <x:v>65</x:v>
      </x:c>
      <x:c r="J2385" s="15" t="n">
        <x:f>IF(D2385=0,"n.a.",E2385/D2385)</x:f>
        <x:v>0</x:v>
      </x:c>
      <x:c r="K2385" s="15" t="n">
        <x:f>F2385/'Datos'!$F$7</x:f>
        <x:v>0.00003838876499766158</x:v>
      </x:c>
      <x:c r="L2385" s="3"/>
    </x:row>
    <x:row r="2386" ht="22" customHeight="1">
      <x:c r="A2386" s="3"/>
      <x:c r="B2386" s="3" t="str">
        <x:v>23459</x:v>
      </x:c>
      <x:c r="C2386" s="3" t="str">
        <x:v>DOLLY CABINET 2 DRAWERS</x:v>
      </x:c>
      <x:c r="D2386" s="13" t="n">
        <x:v>412.5</x:v>
      </x:c>
      <x:c r="E2386" s="13" t="n">
        <x:v>37.5</x:v>
      </x:c>
      <x:c r="F2386" s="13" t="n">
        <x:f>D2386-E2386</x:f>
        <x:v>375</x:v>
      </x:c>
      <x:c r="G2386" s="3" t="n">
        <x:v>33</x:v>
      </x:c>
      <x:c r="H2386" s="3" t="n">
        <x:v>3</x:v>
      </x:c>
      <x:c r="I2386" s="3" t="n">
        <x:v>19</x:v>
      </x:c>
      <x:c r="J2386" s="15" t="n">
        <x:f>IF(D2386=0,"n.a.",E2386/D2386)</x:f>
        <x:v>0.09090909090909091</x:v>
      </x:c>
      <x:c r="K2386" s="15" t="n">
        <x:f>F2386/'Datos'!$F$7</x:f>
        <x:v>0.00003829379638263265</x:v>
      </x:c>
      <x:c r="L2386" s="3"/>
    </x:row>
    <x:row r="2387" ht="22" customHeight="1">
      <x:c r="A2387" s="3"/>
      <x:c r="B2387" s="3" t="str">
        <x:v>21635</x:v>
      </x:c>
      <x:c r="C2387" s="3" t="str">
        <x:v>MADRAS NOTEBOOK LARGE</x:v>
      </x:c>
      <x:c r="D2387" s="13" t="n">
        <x:v>374.96</x:v>
      </x:c>
      <x:c r="E2387" s="13" t="n">
        <x:v>0</x:v>
      </x:c>
      <x:c r="F2387" s="13" t="n">
        <x:f>D2387-E2387</x:f>
        <x:v>374.96</x:v>
      </x:c>
      <x:c r="G2387" s="3" t="n">
        <x:v>271</x:v>
      </x:c>
      <x:c r="H2387" s="3" t="n">
        <x:v>0</x:v>
      </x:c>
      <x:c r="I2387" s="3" t="n">
        <x:v>16</x:v>
      </x:c>
      <x:c r="J2387" s="15" t="n">
        <x:f>IF(D2387=0,"n.a.",E2387/D2387)</x:f>
        <x:v>0</x:v>
      </x:c>
      <x:c r="K2387" s="15" t="n">
        <x:f>F2387/'Datos'!$F$7</x:f>
        <x:v>0.0000382897117110185</x:v>
      </x:c>
      <x:c r="L2387" s="3"/>
    </x:row>
    <x:row r="2388" ht="22" customHeight="1">
      <x:c r="A2388" s="3"/>
      <x:c r="B2388" s="3" t="str">
        <x:v>85232A</x:v>
      </x:c>
      <x:c r="C2388" s="3" t="str">
        <x:v>SET/3 POLKADOT STACKING TINS</x:v>
      </x:c>
      <x:c r="D2388" s="13" t="n">
        <x:v>389.55</x:v>
      </x:c>
      <x:c r="E2388" s="13" t="n">
        <x:v>14.85</x:v>
      </x:c>
      <x:c r="F2388" s="13" t="n">
        <x:f>D2388-E2388</x:f>
        <x:v>374.7</x:v>
      </x:c>
      <x:c r="G2388" s="3" t="n">
        <x:v>78</x:v>
      </x:c>
      <x:c r="H2388" s="3" t="n">
        <x:v>3</x:v>
      </x:c>
      <x:c r="I2388" s="3" t="n">
        <x:v>29</x:v>
      </x:c>
      <x:c r="J2388" s="15" t="n">
        <x:f>IF(D2388=0,"n.a.",E2388/D2388)</x:f>
        <x:v>0.03812090874085483</x:v>
      </x:c>
      <x:c r="K2388" s="15" t="n">
        <x:f>F2388/'Datos'!$F$7</x:f>
        <x:v>0.00003826316134552654</x:v>
      </x:c>
      <x:c r="L2388" s="3"/>
    </x:row>
    <x:row r="2389" ht="22" customHeight="1">
      <x:c r="A2389" s="3"/>
      <x:c r="B2389" s="3" t="str">
        <x:v>20782</x:v>
      </x:c>
      <x:c r="C2389" s="3" t="str">
        <x:v>CAMOUFLAGE EAR MUFF HEADPHONES</x:v>
      </x:c>
      <x:c r="D2389" s="13" t="n">
        <x:v>373.57</x:v>
      </x:c>
      <x:c r="E2389" s="13" t="n">
        <x:v>0</x:v>
      </x:c>
      <x:c r="F2389" s="13" t="n">
        <x:f>D2389-E2389</x:f>
        <x:v>373.57</x:v>
      </x:c>
      <x:c r="G2389" s="3" t="n">
        <x:v>54</x:v>
      </x:c>
      <x:c r="H2389" s="3" t="n">
        <x:v>0</x:v>
      </x:c>
      <x:c r="I2389" s="3" t="n">
        <x:v>27</x:v>
      </x:c>
      <x:c r="J2389" s="15" t="n">
        <x:f>IF(D2389=0,"n.a.",E2389/D2389)</x:f>
        <x:v>0</x:v>
      </x:c>
      <x:c r="K2389" s="15" t="n">
        <x:f>F2389/'Datos'!$F$7</x:f>
        <x:v>0.00003814776937242688</x:v>
      </x:c>
      <x:c r="L2389" s="3"/>
    </x:row>
    <x:row r="2390" ht="22" customHeight="1">
      <x:c r="A2390" s="3"/>
      <x:c r="B2390" s="3" t="str">
        <x:v>21945</x:v>
      </x:c>
      <x:c r="C2390" s="3" t="str">
        <x:v>STRAWBERRIES DESIGN FLANNEL</x:v>
      </x:c>
      <x:c r="D2390" s="13" t="n">
        <x:v>373.34</x:v>
      </x:c>
      <x:c r="E2390" s="13" t="n">
        <x:v>0</x:v>
      </x:c>
      <x:c r="F2390" s="13" t="n">
        <x:f>D2390-E2390</x:f>
        <x:v>373.34</x:v>
      </x:c>
      <x:c r="G2390" s="3" t="n">
        <x:v>358</x:v>
      </x:c>
      <x:c r="H2390" s="3" t="n">
        <x:v>0</x:v>
      </x:c>
      <x:c r="I2390" s="3" t="n">
        <x:v>105</x:v>
      </x:c>
      <x:c r="J2390" s="15" t="n">
        <x:f>IF(D2390=0,"n.a.",E2390/D2390)</x:f>
        <x:v>0</x:v>
      </x:c>
      <x:c r="K2390" s="15" t="n">
        <x:f>F2390/'Datos'!$F$7</x:f>
        <x:v>0.00003812428251064553</x:v>
      </x:c>
      <x:c r="L2390" s="3"/>
    </x:row>
    <x:row r="2391" ht="22" customHeight="1">
      <x:c r="A2391" s="3"/>
      <x:c r="B2391" s="3" t="str">
        <x:v>16011</x:v>
      </x:c>
      <x:c r="C2391" s="3" t="str">
        <x:v>ANIMAL STICKERS</x:v>
      </x:c>
      <x:c r="D2391" s="13" t="n">
        <x:v>372.33</x:v>
      </x:c>
      <x:c r="E2391" s="13" t="n">
        <x:v>0</x:v>
      </x:c>
      <x:c r="F2391" s="13" t="n">
        <x:f>D2391-E2391</x:f>
        <x:v>372.33</x:v>
      </x:c>
      <x:c r="G2391" s="3" t="n">
        <x:v>1773</x:v>
      </x:c>
      <x:c r="H2391" s="3" t="n">
        <x:v>0</x:v>
      </x:c>
      <x:c r="I2391" s="3" t="n">
        <x:v>46</x:v>
      </x:c>
      <x:c r="J2391" s="15" t="n">
        <x:f>IF(D2391=0,"n.a.",E2391/D2391)</x:f>
        <x:v>0</x:v>
      </x:c>
      <x:c r="K2391" s="15" t="n">
        <x:f>F2391/'Datos'!$F$7</x:f>
        <x:v>0.0000380211445523883</x:v>
      </x:c>
      <x:c r="L2391" s="3"/>
    </x:row>
    <x:row r="2392" ht="22" customHeight="1">
      <x:c r="A2392" s="3"/>
      <x:c r="B2392" s="3" t="str">
        <x:v>84915</x:v>
      </x:c>
      <x:c r="C2392" s="3" t="str">
        <x:v>HAND TOWEL PINK FLOWER AND DAISY</x:v>
      </x:c>
      <x:c r="D2392" s="13" t="n">
        <x:v>372.33</x:v>
      </x:c>
      <x:c r="E2392" s="13" t="n">
        <x:v>0</x:v>
      </x:c>
      <x:c r="F2392" s="13" t="n">
        <x:f>D2392-E2392</x:f>
        <x:v>372.33</x:v>
      </x:c>
      <x:c r="G2392" s="3" t="n">
        <x:v>217</x:v>
      </x:c>
      <x:c r="H2392" s="3" t="n">
        <x:v>0</x:v>
      </x:c>
      <x:c r="I2392" s="3" t="n">
        <x:v>23</x:v>
      </x:c>
      <x:c r="J2392" s="15" t="n">
        <x:f>IF(D2392=0,"n.a.",E2392/D2392)</x:f>
        <x:v>0</x:v>
      </x:c>
      <x:c r="K2392" s="15" t="n">
        <x:f>F2392/'Datos'!$F$7</x:f>
        <x:v>0.0000380211445523883</x:v>
      </x:c>
      <x:c r="L2392" s="3"/>
    </x:row>
    <x:row r="2393" ht="22" customHeight="1">
      <x:c r="A2393" s="3"/>
      <x:c r="B2393" s="3" t="str">
        <x:v>22486</x:v>
      </x:c>
      <x:c r="C2393" s="3" t="str">
        <x:v>PLASMATRONIC LAMP</x:v>
      </x:c>
      <x:c r="D2393" s="13" t="n">
        <x:v>446.45</x:v>
      </x:c>
      <x:c r="E2393" s="13" t="n">
        <x:v>76.5</x:v>
      </x:c>
      <x:c r="F2393" s="13" t="n">
        <x:f>D2393-E2393</x:f>
        <x:v>369.95</x:v>
      </x:c>
      <x:c r="G2393" s="3" t="n">
        <x:v>71</x:v>
      </x:c>
      <x:c r="H2393" s="3" t="n">
        <x:v>6</x:v>
      </x:c>
      <x:c r="I2393" s="3" t="n">
        <x:v>25</x:v>
      </x:c>
      <x:c r="J2393" s="15" t="n">
        <x:f>IF(D2393=0,"n.a.",E2393/D2393)</x:f>
        <x:v>0.1713517751147945</x:v>
      </x:c>
      <x:c r="K2393" s="15" t="n">
        <x:f>F2393/'Datos'!$F$7</x:f>
        <x:v>0.00003777810659134653</x:v>
      </x:c>
      <x:c r="L2393" s="3"/>
    </x:row>
    <x:row r="2394" ht="22" customHeight="1">
      <x:c r="A2394" s="3"/>
      <x:c r="B2394" s="3" t="str">
        <x:v>21689</x:v>
      </x:c>
      <x:c r="C2394" s="3" t="str">
        <x:v>SILVER VANILLA FLOWER CANDLE POT</x:v>
      </x:c>
      <x:c r="D2394" s="13" t="n">
        <x:v>369.87</x:v>
      </x:c>
      <x:c r="E2394" s="13" t="n">
        <x:v>0</x:v>
      </x:c>
      <x:c r="F2394" s="13" t="n">
        <x:f>D2394-E2394</x:f>
        <x:v>369.87</x:v>
      </x:c>
      <x:c r="G2394" s="3" t="n">
        <x:v>95</x:v>
      </x:c>
      <x:c r="H2394" s="3" t="n">
        <x:v>0</x:v>
      </x:c>
      <x:c r="I2394" s="3" t="n">
        <x:v>26</x:v>
      </x:c>
      <x:c r="J2394" s="15" t="n">
        <x:f>IF(D2394=0,"n.a.",E2394/D2394)</x:f>
        <x:v>0</x:v>
      </x:c>
      <x:c r="K2394" s="15" t="n">
        <x:f>F2394/'Datos'!$F$7</x:f>
        <x:v>0.00003776993724811824</x:v>
      </x:c>
      <x:c r="L2394" s="3"/>
    </x:row>
    <x:row r="2395" ht="22" customHeight="1">
      <x:c r="A2395" s="3"/>
      <x:c r="B2395" s="3" t="str">
        <x:v>84563A</x:v>
      </x:c>
      <x:c r="C2395" s="3" t="str">
        <x:v>PINK &amp; WHITE BREAKFAST TRAY</x:v>
      </x:c>
      <x:c r="D2395" s="13" t="n">
        <x:v>369.84</x:v>
      </x:c>
      <x:c r="E2395" s="13" t="n">
        <x:v>0</x:v>
      </x:c>
      <x:c r="F2395" s="13" t="n">
        <x:f>D2395-E2395</x:f>
        <x:v>369.84</x:v>
      </x:c>
      <x:c r="G2395" s="3" t="n">
        <x:v>96</x:v>
      </x:c>
      <x:c r="H2395" s="3" t="n">
        <x:v>0</x:v>
      </x:c>
      <x:c r="I2395" s="3" t="n">
        <x:v>35</x:v>
      </x:c>
      <x:c r="J2395" s="15" t="n">
        <x:f>IF(D2395=0,"n.a.",E2395/D2395)</x:f>
        <x:v>0</x:v>
      </x:c>
      <x:c r="K2395" s="15" t="n">
        <x:f>F2395/'Datos'!$F$7</x:f>
        <x:v>0.00003776687374440762</x:v>
      </x:c>
      <x:c r="L2395" s="3"/>
    </x:row>
    <x:row r="2396" ht="22" customHeight="1">
      <x:c r="A2396" s="3"/>
      <x:c r="B2396" s="3" t="str">
        <x:v>23575</x:v>
      </x:c>
      <x:c r="C2396" s="3" t="str">
        <x:v>SNACK TRAY PAISLEY PARK</x:v>
      </x:c>
      <x:c r="D2396" s="13" t="n">
        <x:v>367.35</x:v>
      </x:c>
      <x:c r="E2396" s="13" t="n">
        <x:v>0</x:v>
      </x:c>
      <x:c r="F2396" s="13" t="n">
        <x:f>D2396-E2396</x:f>
        <x:v>367.35</x:v>
      </x:c>
      <x:c r="G2396" s="3" t="n">
        <x:v>179</x:v>
      </x:c>
      <x:c r="H2396" s="3" t="n">
        <x:v>0</x:v>
      </x:c>
      <x:c r="I2396" s="3" t="n">
        <x:v>32</x:v>
      </x:c>
      <x:c r="J2396" s="15" t="n">
        <x:f>IF(D2396=0,"n.a.",E2396/D2396)</x:f>
        <x:v>0</x:v>
      </x:c>
      <x:c r="K2396" s="15" t="n">
        <x:f>F2396/'Datos'!$F$7</x:f>
        <x:v>0.000037512602936426944</x:v>
      </x:c>
      <x:c r="L2396" s="3"/>
    </x:row>
    <x:row r="2397" ht="22" customHeight="1">
      <x:c r="A2397" s="3"/>
      <x:c r="B2397" s="3" t="str">
        <x:v>22532</x:v>
      </x:c>
      <x:c r="C2397" s="3" t="str">
        <x:v>MAGIC DRAWING SLATE LEAP FROG</x:v>
      </x:c>
      <x:c r="D2397" s="13" t="n">
        <x:v>366.75</x:v>
      </x:c>
      <x:c r="E2397" s="13" t="n">
        <x:v>0</x:v>
      </x:c>
      <x:c r="F2397" s="13" t="n">
        <x:f>D2397-E2397</x:f>
        <x:v>366.75</x:v>
      </x:c>
      <x:c r="G2397" s="3" t="n">
        <x:v>1072</x:v>
      </x:c>
      <x:c r="H2397" s="3" t="n">
        <x:v>0</x:v>
      </x:c>
      <x:c r="I2397" s="3" t="n">
        <x:v>73</x:v>
      </x:c>
      <x:c r="J2397" s="15" t="n">
        <x:f>IF(D2397=0,"n.a.",E2397/D2397)</x:f>
        <x:v>0</x:v>
      </x:c>
      <x:c r="K2397" s="15" t="n">
        <x:f>F2397/'Datos'!$F$7</x:f>
        <x:v>0.00003745133286221473</x:v>
      </x:c>
      <x:c r="L2397" s="3"/>
    </x:row>
    <x:row r="2398" ht="22" customHeight="1">
      <x:c r="A2398" s="3"/>
      <x:c r="B2398" s="3" t="str">
        <x:v>22265</x:v>
      </x:c>
      <x:c r="C2398" s="3" t="str">
        <x:v>EASTER DECORATION NATURAL CHICK</x:v>
      </x:c>
      <x:c r="D2398" s="13" t="n">
        <x:v>366.15</x:v>
      </x:c>
      <x:c r="E2398" s="13" t="n">
        <x:v>0</x:v>
      </x:c>
      <x:c r="F2398" s="13" t="n">
        <x:f>D2398-E2398</x:f>
        <x:v>366.15</x:v>
      </x:c>
      <x:c r="G2398" s="3" t="n">
        <x:v>540</x:v>
      </x:c>
      <x:c r="H2398" s="3" t="n">
        <x:v>0</x:v>
      </x:c>
      <x:c r="I2398" s="3" t="n">
        <x:v>64</x:v>
      </x:c>
      <x:c r="J2398" s="15" t="n">
        <x:f>IF(D2398=0,"n.a.",E2398/D2398)</x:f>
        <x:v>0</x:v>
      </x:c>
      <x:c r="K2398" s="15" t="n">
        <x:f>F2398/'Datos'!$F$7</x:f>
        <x:v>0.00003739006278800252</x:v>
      </x:c>
      <x:c r="L2398" s="3"/>
    </x:row>
    <x:row r="2399" ht="22" customHeight="1">
      <x:c r="A2399" s="3"/>
      <x:c r="B2399" s="3" t="str">
        <x:v>21000</x:v>
      </x:c>
      <x:c r="C2399" s="3" t="str">
        <x:v>ROSE DU SUD COSMETICS BAG</x:v>
      </x:c>
      <x:c r="D2399" s="13" t="n">
        <x:v>365.09</x:v>
      </x:c>
      <x:c r="E2399" s="13" t="n">
        <x:v>0</x:v>
      </x:c>
      <x:c r="F2399" s="13" t="n">
        <x:f>D2399-E2399</x:f>
        <x:v>365.09</x:v>
      </x:c>
      <x:c r="G2399" s="3" t="n">
        <x:v>97</x:v>
      </x:c>
      <x:c r="H2399" s="3" t="n">
        <x:v>0</x:v>
      </x:c>
      <x:c r="I2399" s="3" t="n">
        <x:v>52</x:v>
      </x:c>
      <x:c r="J2399" s="15" t="n">
        <x:f>IF(D2399=0,"n.a.",E2399/D2399)</x:f>
        <x:v>0</x:v>
      </x:c>
      <x:c r="K2399" s="15" t="n">
        <x:f>F2399/'Datos'!$F$7</x:f>
        <x:v>0.00003728181899022761</x:v>
      </x:c>
      <x:c r="L2399" s="3"/>
    </x:row>
    <x:row r="2400" ht="22" customHeight="1">
      <x:c r="A2400" s="3"/>
      <x:c r="B2400" s="3" t="str">
        <x:v>84663A</x:v>
      </x:c>
      <x:c r="C2400" s="3" t="str">
        <x:v>GRASS HOPPER WOODEN WALL CLOCK</x:v>
      </x:c>
      <x:c r="D2400" s="13" t="n">
        <x:v>374.12</x:v>
      </x:c>
      <x:c r="E2400" s="13" t="n">
        <x:v>9.11</x:v>
      </x:c>
      <x:c r="F2400" s="13" t="n">
        <x:f>D2400-E2400</x:f>
        <x:v>365.01</x:v>
      </x:c>
      <x:c r="G2400" s="3" t="n">
        <x:v>272</x:v>
      </x:c>
      <x:c r="H2400" s="3" t="n">
        <x:v>5</x:v>
      </x:c>
      <x:c r="I2400" s="3" t="n">
        <x:v>34</x:v>
      </x:c>
      <x:c r="J2400" s="15" t="n">
        <x:f>IF(D2400=0,"n.a.",E2400/D2400)</x:f>
        <x:v>0.024350475783171174</x:v>
      </x:c>
      <x:c r="K2400" s="15" t="n">
        <x:f>F2400/'Datos'!$F$7</x:f>
        <x:v>0.000037273649646999316</x:v>
      </x:c>
      <x:c r="L2400" s="3"/>
    </x:row>
    <x:row r="2401" ht="22" customHeight="1">
      <x:c r="A2401" s="3"/>
      <x:c r="B2401" s="3" t="str">
        <x:v>20854</x:v>
      </x:c>
      <x:c r="C2401" s="3" t="str">
        <x:v>BLUE PATCH PURSE PINK HEART</x:v>
      </x:c>
      <x:c r="D2401" s="13" t="n">
        <x:v>386.32</x:v>
      </x:c>
      <x:c r="E2401" s="13" t="n">
        <x:v>23.1</x:v>
      </x:c>
      <x:c r="F2401" s="13" t="n">
        <x:f>D2401-E2401</x:f>
        <x:v>363.21999999999997</x:v>
      </x:c>
      <x:c r="G2401" s="3" t="n">
        <x:v>244</x:v>
      </x:c>
      <x:c r="H2401" s="3" t="n">
        <x:v>14</x:v>
      </x:c>
      <x:c r="I2401" s="3" t="n">
        <x:v>41</x:v>
      </x:c>
      <x:c r="J2401" s="15" t="n">
        <x:f>IF(D2401=0,"n.a.",E2401/D2401)</x:f>
        <x:v>0.05979498861047836</x:v>
      </x:c>
      <x:c r="K2401" s="15" t="n">
        <x:f>F2401/'Datos'!$F$7</x:f>
        <x:v>0.00003709086059226621</x:v>
      </x:c>
      <x:c r="L2401" s="3"/>
    </x:row>
    <x:row r="2402" ht="22" customHeight="1">
      <x:c r="A2402" s="3"/>
      <x:c r="B2402" s="3" t="str">
        <x:v>23579</x:v>
      </x:c>
      <x:c r="C2402" s="3" t="str">
        <x:v>SNACK TRAY I LOVE LONDON</x:v>
      </x:c>
      <x:c r="D2402" s="13" t="n">
        <x:v>362.65</x:v>
      </x:c>
      <x:c r="E2402" s="13" t="n">
        <x:v>0</x:v>
      </x:c>
      <x:c r="F2402" s="13" t="n">
        <x:f>D2402-E2402</x:f>
        <x:v>362.65</x:v>
      </x:c>
      <x:c r="G2402" s="3" t="n">
        <x:v>171</x:v>
      </x:c>
      <x:c r="H2402" s="3" t="n">
        <x:v>0</x:v>
      </x:c>
      <x:c r="I2402" s="3" t="n">
        <x:v>35</x:v>
      </x:c>
      <x:c r="J2402" s="15" t="n">
        <x:f>IF(D2402=0,"n.a.",E2402/D2402)</x:f>
        <x:v>0</x:v>
      </x:c>
      <x:c r="K2402" s="15" t="n">
        <x:f>F2402/'Datos'!$F$7</x:f>
        <x:v>0.00003703265402176461</x:v>
      </x:c>
      <x:c r="L2402" s="3"/>
    </x:row>
    <x:row r="2403" ht="22" customHeight="1">
      <x:c r="A2403" s="3"/>
      <x:c r="B2403" s="3" t="str">
        <x:v>21286</x:v>
      </x:c>
      <x:c r="C2403" s="3" t="str">
        <x:v>RETROSPOT CANDLE LARGE</x:v>
      </x:c>
      <x:c r="D2403" s="13" t="n">
        <x:v>362.12</x:v>
      </x:c>
      <x:c r="E2403" s="13" t="n">
        <x:v>0</x:v>
      </x:c>
      <x:c r="F2403" s="13" t="n">
        <x:f>D2403-E2403</x:f>
        <x:v>362.12</x:v>
      </x:c>
      <x:c r="G2403" s="3" t="n">
        <x:v>273</x:v>
      </x:c>
      <x:c r="H2403" s="3" t="n">
        <x:v>0</x:v>
      </x:c>
      <x:c r="I2403" s="3" t="n">
        <x:v>30</x:v>
      </x:c>
      <x:c r="J2403" s="15" t="n">
        <x:f>IF(D2403=0,"n.a.",E2403/D2403)</x:f>
        <x:v>0</x:v>
      </x:c>
      <x:c r="K2403" s="15" t="n">
        <x:f>F2403/'Datos'!$F$7</x:f>
        <x:v>0.00003697853212287716</x:v>
      </x:c>
      <x:c r="L2403" s="3"/>
    </x:row>
    <x:row r="2404" ht="22" customHeight="1">
      <x:c r="A2404" s="3"/>
      <x:c r="B2404" s="3" t="str">
        <x:v>21348</x:v>
      </x:c>
      <x:c r="C2404" s="3" t="str">
        <x:v>PINK SPOTS CHOCOLATE NESTING BOXES</x:v>
      </x:c>
      <x:c r="D2404" s="13" t="n">
        <x:v>361.56</x:v>
      </x:c>
      <x:c r="E2404" s="13" t="n">
        <x:v>0</x:v>
      </x:c>
      <x:c r="F2404" s="13" t="n">
        <x:f>D2404-E2404</x:f>
        <x:v>361.56</x:v>
      </x:c>
      <x:c r="G2404" s="3" t="n">
        <x:v>140</x:v>
      </x:c>
      <x:c r="H2404" s="3" t="n">
        <x:v>0</x:v>
      </x:c>
      <x:c r="I2404" s="3" t="n">
        <x:v>6</x:v>
      </x:c>
      <x:c r="J2404" s="15" t="n">
        <x:f>IF(D2404=0,"n.a.",E2404/D2404)</x:f>
        <x:v>0</x:v>
      </x:c>
      <x:c r="K2404" s="15" t="n">
        <x:f>F2404/'Datos'!$F$7</x:f>
        <x:v>0.000036921346720279096</x:v>
      </x:c>
      <x:c r="L2404" s="3"/>
    </x:row>
    <x:row r="2405" ht="22" customHeight="1">
      <x:c r="A2405" s="3"/>
      <x:c r="B2405" s="3" t="str">
        <x:v>16008</x:v>
      </x:c>
      <x:c r="C2405" s="3" t="str">
        <x:v>SMALL FOLDING SCISSOR(POINTED EDGE)</x:v>
      </x:c>
      <x:c r="D2405" s="13" t="n">
        <x:v>360.71</x:v>
      </x:c>
      <x:c r="E2405" s="13" t="n">
        <x:v>0</x:v>
      </x:c>
      <x:c r="F2405" s="13" t="n">
        <x:f>D2405-E2405</x:f>
        <x:v>360.71</x:v>
      </x:c>
      <x:c r="G2405" s="3" t="n">
        <x:v>2892</x:v>
      </x:c>
      <x:c r="H2405" s="3" t="n">
        <x:v>0</x:v>
      </x:c>
      <x:c r="I2405" s="3" t="n">
        <x:v>70</x:v>
      </x:c>
      <x:c r="J2405" s="15" t="n">
        <x:f>IF(D2405=0,"n.a.",E2405/D2405)</x:f>
        <x:v>0</x:v>
      </x:c>
      <x:c r="K2405" s="15" t="n">
        <x:f>F2405/'Datos'!$F$7</x:f>
        <x:v>0.00003683454744847846</x:v>
      </x:c>
      <x:c r="L2405" s="3"/>
    </x:row>
    <x:row r="2406" ht="22" customHeight="1">
      <x:c r="A2406" s="3"/>
      <x:c r="B2406" s="3" t="str">
        <x:v>23661</x:v>
      </x:c>
      <x:c r="C2406" s="3" t="str">
        <x:v>MILK MAIDS MUG</x:v>
      </x:c>
      <x:c r="D2406" s="13" t="n">
        <x:v>393.59</x:v>
      </x:c>
      <x:c r="E2406" s="13" t="n">
        <x:v>33</x:v>
      </x:c>
      <x:c r="F2406" s="13" t="n">
        <x:f>D2406-E2406</x:f>
        <x:v>360.59</x:v>
      </x:c>
      <x:c r="G2406" s="3" t="n">
        <x:v>219</x:v>
      </x:c>
      <x:c r="H2406" s="3" t="n">
        <x:v>20</x:v>
      </x:c>
      <x:c r="I2406" s="3" t="n">
        <x:v>33</x:v>
      </x:c>
      <x:c r="J2406" s="15" t="n">
        <x:f>IF(D2406=0,"n.a.",E2406/D2406)</x:f>
        <x:v>0.08384359358723545</x:v>
      </x:c>
      <x:c r="K2406" s="15" t="n">
        <x:f>F2406/'Datos'!$F$7</x:f>
        <x:v>0.00003682229343363602</x:v>
      </x:c>
      <x:c r="L2406" s="3"/>
    </x:row>
    <x:row r="2407" ht="22" customHeight="1">
      <x:c r="A2407" s="3"/>
      <x:c r="B2407" s="3" t="str">
        <x:v>35954</x:v>
      </x:c>
      <x:c r="C2407" s="3" t="str">
        <x:v>SMALL FOLKART STAR CHRISTMAS DEC</x:v>
      </x:c>
      <x:c r="D2407" s="13" t="n">
        <x:v>359.6</x:v>
      </x:c>
      <x:c r="E2407" s="13" t="n">
        <x:v>0</x:v>
      </x:c>
      <x:c r="F2407" s="13" t="n">
        <x:f>D2407-E2407</x:f>
        <x:v>359.6</x:v>
      </x:c>
      <x:c r="G2407" s="3" t="n">
        <x:v>1293</x:v>
      </x:c>
      <x:c r="H2407" s="3" t="n">
        <x:v>0</x:v>
      </x:c>
      <x:c r="I2407" s="3" t="n">
        <x:v>54</x:v>
      </x:c>
      <x:c r="J2407" s="15" t="n">
        <x:f>IF(D2407=0,"n.a.",E2407/D2407)</x:f>
        <x:v>0</x:v>
      </x:c>
      <x:c r="K2407" s="15" t="n">
        <x:f>F2407/'Datos'!$F$7</x:f>
        <x:v>0.00003672119781118587</x:v>
      </x:c>
      <x:c r="L2407" s="3"/>
    </x:row>
    <x:row r="2408" ht="22" customHeight="1">
      <x:c r="A2408" s="3"/>
      <x:c r="B2408" s="3" t="str">
        <x:v>21060</x:v>
      </x:c>
      <x:c r="C2408" s="3" t="str">
        <x:v>PARTY INVITES BALLOON GIRL</x:v>
      </x:c>
      <x:c r="D2408" s="13" t="n">
        <x:v>359.29</x:v>
      </x:c>
      <x:c r="E2408" s="13" t="n">
        <x:v>0</x:v>
      </x:c>
      <x:c r="F2408" s="13" t="n">
        <x:f>D2408-E2408</x:f>
        <x:v>359.29</x:v>
      </x:c>
      <x:c r="G2408" s="3" t="n">
        <x:v>405</x:v>
      </x:c>
      <x:c r="H2408" s="3" t="n">
        <x:v>0</x:v>
      </x:c>
      <x:c r="I2408" s="3" t="n">
        <x:v>71</x:v>
      </x:c>
      <x:c r="J2408" s="15" t="n">
        <x:f>IF(D2408=0,"n.a.",E2408/D2408)</x:f>
        <x:v>0</x:v>
      </x:c>
      <x:c r="K2408" s="15" t="n">
        <x:f>F2408/'Datos'!$F$7</x:f>
        <x:v>0.00003668954160617623</x:v>
      </x:c>
      <x:c r="L2408" s="3"/>
    </x:row>
    <x:row r="2409" ht="22" customHeight="1">
      <x:c r="A2409" s="3"/>
      <x:c r="B2409" s="3" t="str">
        <x:v>84563B</x:v>
      </x:c>
      <x:c r="C2409" s="3" t="str">
        <x:v>BLUE &amp; WHITE BREAKFAST TRAY</x:v>
      </x:c>
      <x:c r="D2409" s="13" t="n">
        <x:v>358.1</x:v>
      </x:c>
      <x:c r="E2409" s="13" t="n">
        <x:v>0</x:v>
      </x:c>
      <x:c r="F2409" s="13" t="n">
        <x:f>D2409-E2409</x:f>
        <x:v>358.1</x:v>
      </x:c>
      <x:c r="G2409" s="3" t="n">
        <x:v>98</x:v>
      </x:c>
      <x:c r="H2409" s="3" t="n">
        <x:v>0</x:v>
      </x:c>
      <x:c r="I2409" s="3" t="n">
        <x:v>38</x:v>
      </x:c>
      <x:c r="J2409" s="15" t="n">
        <x:f>IF(D2409=0,"n.a.",E2409/D2409)</x:f>
        <x:v>0</x:v>
      </x:c>
      <x:c r="K2409" s="15" t="n">
        <x:f>F2409/'Datos'!$F$7</x:f>
        <x:v>0.00003656802262565534</x:v>
      </x:c>
      <x:c r="L2409" s="3"/>
    </x:row>
    <x:row r="2410" ht="22" customHeight="1">
      <x:c r="A2410" s="3"/>
      <x:c r="B2410" s="3" t="str">
        <x:v>90209B</x:v>
      </x:c>
      <x:c r="C2410" s="3" t="str">
        <x:v>GREEN ENAMEL+GLASS HAIR COMB</x:v>
      </x:c>
      <x:c r="D2410" s="13" t="n">
        <x:v>357.74</x:v>
      </x:c>
      <x:c r="E2410" s="13" t="n">
        <x:v>0</x:v>
      </x:c>
      <x:c r="F2410" s="13" t="n">
        <x:f>D2410-E2410</x:f>
        <x:v>357.74</x:v>
      </x:c>
      <x:c r="G2410" s="3" t="n">
        <x:v>185</x:v>
      </x:c>
      <x:c r="H2410" s="3" t="n">
        <x:v>0</x:v>
      </x:c>
      <x:c r="I2410" s="3" t="n">
        <x:v>54</x:v>
      </x:c>
      <x:c r="J2410" s="15" t="n">
        <x:f>IF(D2410=0,"n.a.",E2410/D2410)</x:f>
        <x:v>0</x:v>
      </x:c>
      <x:c r="K2410" s="15" t="n">
        <x:f>F2410/'Datos'!$F$7</x:f>
        <x:v>0.00003653126058112801</x:v>
      </x:c>
      <x:c r="L2410" s="3"/>
    </x:row>
    <x:row r="2411" ht="22" customHeight="1">
      <x:c r="A2411" s="3"/>
      <x:c r="B2411" s="3" t="str">
        <x:v>22100</x:v>
      </x:c>
      <x:c r="C2411" s="3" t="str">
        <x:v>SKULLS SQUARE TISSUE BOX</x:v>
      </x:c>
      <x:c r="D2411" s="13" t="n">
        <x:v>356.46</x:v>
      </x:c>
      <x:c r="E2411" s="13" t="n">
        <x:v>0</x:v>
      </x:c>
      <x:c r="F2411" s="13" t="n">
        <x:f>D2411-E2411</x:f>
        <x:v>356.46</x:v>
      </x:c>
      <x:c r="G2411" s="3" t="n">
        <x:v>757</x:v>
      </x:c>
      <x:c r="H2411" s="3" t="n">
        <x:v>0</x:v>
      </x:c>
      <x:c r="I2411" s="3" t="n">
        <x:v>59</x:v>
      </x:c>
      <x:c r="J2411" s="15" t="n">
        <x:f>IF(D2411=0,"n.a.",E2411/D2411)</x:f>
        <x:v>0</x:v>
      </x:c>
      <x:c r="K2411" s="15" t="n">
        <x:f>F2411/'Datos'!$F$7</x:f>
        <x:v>0.00003640055108947529</x:v>
      </x:c>
      <x:c r="L2411" s="3"/>
    </x:row>
    <x:row r="2412" ht="22" customHeight="1">
      <x:c r="A2412" s="3"/>
      <x:c r="B2412" s="3" t="str">
        <x:v>82095</x:v>
      </x:c>
      <x:c r="C2412" s="3" t="str">
        <x:v>HEART BUTTONS JEWELLERY BOX</x:v>
      </x:c>
      <x:c r="D2412" s="13" t="n">
        <x:v>356.11</x:v>
      </x:c>
      <x:c r="E2412" s="13" t="n">
        <x:v>0</x:v>
      </x:c>
      <x:c r="F2412" s="13" t="n">
        <x:f>D2412-E2412</x:f>
        <x:v>356.11</x:v>
      </x:c>
      <x:c r="G2412" s="3" t="n">
        <x:v>68</x:v>
      </x:c>
      <x:c r="H2412" s="3" t="n">
        <x:v>0</x:v>
      </x:c>
      <x:c r="I2412" s="3" t="n">
        <x:v>30</x:v>
      </x:c>
      <x:c r="J2412" s="15" t="n">
        <x:f>IF(D2412=0,"n.a.",E2412/D2412)</x:f>
        <x:v>0</x:v>
      </x:c>
      <x:c r="K2412" s="15" t="n">
        <x:f>F2412/'Datos'!$F$7</x:f>
        <x:v>0.0000363648102128515</x:v>
      </x:c>
      <x:c r="L2412" s="3"/>
    </x:row>
    <x:row r="2413" ht="22" customHeight="1">
      <x:c r="A2413" s="3"/>
      <x:c r="B2413" s="3" t="str">
        <x:v>85169B</x:v>
      </x:c>
      <x:c r="C2413" s="3" t="str">
        <x:v>BLACK LOVE BIRD CANDLE</x:v>
      </x:c>
      <x:c r="D2413" s="13" t="n">
        <x:v>356.06</x:v>
      </x:c>
      <x:c r="E2413" s="13" t="n">
        <x:v>0</x:v>
      </x:c>
      <x:c r="F2413" s="13" t="n">
        <x:f>D2413-E2413</x:f>
        <x:v>356.06</x:v>
      </x:c>
      <x:c r="G2413" s="3" t="n">
        <x:v>329</x:v>
      </x:c>
      <x:c r="H2413" s="3" t="n">
        <x:v>0</x:v>
      </x:c>
      <x:c r="I2413" s="3" t="n">
        <x:v>62</x:v>
      </x:c>
      <x:c r="J2413" s="15" t="n">
        <x:f>IF(D2413=0,"n.a.",E2413/D2413)</x:f>
        <x:v>0</x:v>
      </x:c>
      <x:c r="K2413" s="15" t="n">
        <x:f>F2413/'Datos'!$F$7</x:f>
        <x:v>0.00003635970437333382</x:v>
      </x:c>
      <x:c r="L2413" s="3"/>
    </x:row>
    <x:row r="2414" ht="22" customHeight="1">
      <x:c r="A2414" s="3"/>
      <x:c r="B2414" s="3" t="str">
        <x:v>84569A</x:v>
      </x:c>
      <x:c r="C2414" s="3" t="str">
        <x:v>PACK 3 IRON ON DOG PATCHES</x:v>
      </x:c>
      <x:c r="D2414" s="13" t="n">
        <x:v>355.84</x:v>
      </x:c>
      <x:c r="E2414" s="13" t="n">
        <x:v>0</x:v>
      </x:c>
      <x:c r="F2414" s="13" t="n">
        <x:f>D2414-E2414</x:f>
        <x:v>355.84</x:v>
      </x:c>
      <x:c r="G2414" s="3" t="n">
        <x:v>294</x:v>
      </x:c>
      <x:c r="H2414" s="3" t="n">
        <x:v>0</x:v>
      </x:c>
      <x:c r="I2414" s="3" t="n">
        <x:v>65</x:v>
      </x:c>
      <x:c r="J2414" s="15" t="n">
        <x:f>IF(D2414=0,"n.a.",E2414/D2414)</x:f>
        <x:v>0</x:v>
      </x:c>
      <x:c r="K2414" s="15" t="n">
        <x:f>F2414/'Datos'!$F$7</x:f>
        <x:v>0.000036337238679456</x:v>
      </x:c>
      <x:c r="L2414" s="3"/>
    </x:row>
    <x:row r="2415" ht="22" customHeight="1">
      <x:c r="A2415" s="3"/>
      <x:c r="B2415" s="3" t="str">
        <x:v>21724</x:v>
      </x:c>
      <x:c r="C2415" s="3" t="str">
        <x:v>PANDA AND BUNNIES STICKER SHEET</x:v>
      </x:c>
      <x:c r="D2415" s="13" t="n">
        <x:v>355.83</x:v>
      </x:c>
      <x:c r="E2415" s="13" t="n">
        <x:v>0</x:v>
      </x:c>
      <x:c r="F2415" s="13" t="n">
        <x:f>D2415-E2415</x:f>
        <x:v>355.83</x:v>
      </x:c>
      <x:c r="G2415" s="3" t="n">
        <x:v>408</x:v>
      </x:c>
      <x:c r="H2415" s="3" t="n">
        <x:v>0</x:v>
      </x:c>
      <x:c r="I2415" s="3" t="n">
        <x:v>81</x:v>
      </x:c>
      <x:c r="J2415" s="15" t="n">
        <x:f>IF(D2415=0,"n.a.",E2415/D2415)</x:f>
        <x:v>0</x:v>
      </x:c>
      <x:c r="K2415" s="15" t="n">
        <x:f>F2415/'Datos'!$F$7</x:f>
        <x:v>0.00003633621751155247</x:v>
      </x:c>
      <x:c r="L2415" s="3"/>
    </x:row>
    <x:row r="2416" ht="22" customHeight="1">
      <x:c r="A2416" s="3"/>
      <x:c r="B2416" s="3" t="str">
        <x:v>85169D</x:v>
      </x:c>
      <x:c r="C2416" s="3" t="str">
        <x:v>PINK LOVE BIRD CANDLE</x:v>
      </x:c>
      <x:c r="D2416" s="13" t="n">
        <x:v>356.08</x:v>
      </x:c>
      <x:c r="E2416" s="13" t="n">
        <x:v>1.25</x:v>
      </x:c>
      <x:c r="F2416" s="13" t="n">
        <x:f>D2416-E2416</x:f>
        <x:v>354.83</x:v>
      </x:c>
      <x:c r="G2416" s="3" t="n">
        <x:v>351</x:v>
      </x:c>
      <x:c r="H2416" s="3" t="n">
        <x:v>1</x:v>
      </x:c>
      <x:c r="I2416" s="3" t="n">
        <x:v>50</x:v>
      </x:c>
      <x:c r="J2416" s="15" t="n">
        <x:f>IF(D2416=0,"n.a.",E2416/D2416)</x:f>
        <x:v>0.0035104470905414514</x:v>
      </x:c>
      <x:c r="K2416" s="15" t="n">
        <x:f>F2416/'Datos'!$F$7</x:f>
        <x:v>0.00003623410072119878</x:v>
      </x:c>
      <x:c r="L2416" s="3"/>
    </x:row>
    <x:row r="2417" ht="22" customHeight="1">
      <x:c r="A2417" s="3"/>
      <x:c r="B2417" s="3" t="str">
        <x:v>21001</x:v>
      </x:c>
      <x:c r="C2417" s="3" t="str">
        <x:v>ROSE DU SUD WASHBAG</x:v>
      </x:c>
      <x:c r="D2417" s="13" t="n">
        <x:v>354.14</x:v>
      </x:c>
      <x:c r="E2417" s="13" t="n">
        <x:v>0</x:v>
      </x:c>
      <x:c r="F2417" s="13" t="n">
        <x:f>D2417-E2417</x:f>
        <x:v>354.14</x:v>
      </x:c>
      <x:c r="G2417" s="3" t="n">
        <x:v>74</x:v>
      </x:c>
      <x:c r="H2417" s="3" t="n">
        <x:v>0</x:v>
      </x:c>
      <x:c r="I2417" s="3" t="n">
        <x:v>50</x:v>
      </x:c>
      <x:c r="J2417" s="15" t="n">
        <x:f>IF(D2417=0,"n.a.",E2417/D2417)</x:f>
        <x:v>0</x:v>
      </x:c>
      <x:c r="K2417" s="15" t="n">
        <x:f>F2417/'Datos'!$F$7</x:f>
        <x:v>0.00003616364013585474</x:v>
      </x:c>
      <x:c r="L2417" s="3"/>
    </x:row>
    <x:row r="2418" ht="22" customHeight="1">
      <x:c r="A2418" s="3"/>
      <x:c r="B2418" s="3" t="str">
        <x:v>37482P</x:v>
      </x:c>
      <x:c r="C2418" s="3" t="str">
        <x:v>CUBIC MUG PINK POLKADOT</x:v>
      </x:c>
      <x:c r="D2418" s="13" t="n">
        <x:v>354.03</x:v>
      </x:c>
      <x:c r="E2418" s="13" t="n">
        <x:v>0</x:v>
      </x:c>
      <x:c r="F2418" s="13" t="n">
        <x:f>D2418-E2418</x:f>
        <x:v>354.03</x:v>
      </x:c>
      <x:c r="G2418" s="3" t="n">
        <x:v>506</x:v>
      </x:c>
      <x:c r="H2418" s="3" t="n">
        <x:v>0</x:v>
      </x:c>
      <x:c r="I2418" s="3" t="n">
        <x:v>47</x:v>
      </x:c>
      <x:c r="J2418" s="15" t="n">
        <x:f>IF(D2418=0,"n.a.",E2418/D2418)</x:f>
        <x:v>0</x:v>
      </x:c>
      <x:c r="K2418" s="15" t="n">
        <x:f>F2418/'Datos'!$F$7</x:f>
        <x:v>0.00003615240728891583</x:v>
      </x:c>
      <x:c r="L2418" s="3"/>
    </x:row>
    <x:row r="2419" ht="22" customHeight="1">
      <x:c r="A2419" s="3"/>
      <x:c r="B2419" s="3" t="str">
        <x:v>21664</x:v>
      </x:c>
      <x:c r="C2419" s="3" t="str">
        <x:v>RIDGED GLASS STORAGE JAR CREAM LID</x:v>
      </x:c>
      <x:c r="D2419" s="13" t="n">
        <x:v>353.97</x:v>
      </x:c>
      <x:c r="E2419" s="13" t="n">
        <x:v>0</x:v>
      </x:c>
      <x:c r="F2419" s="13" t="n">
        <x:f>D2419-E2419</x:f>
        <x:v>353.97</x:v>
      </x:c>
      <x:c r="G2419" s="3" t="n">
        <x:v>99</x:v>
      </x:c>
      <x:c r="H2419" s="3" t="n">
        <x:v>0</x:v>
      </x:c>
      <x:c r="I2419" s="3" t="n">
        <x:v>18</x:v>
      </x:c>
      <x:c r="J2419" s="15" t="n">
        <x:f>IF(D2419=0,"n.a.",E2419/D2419)</x:f>
        <x:v>0</x:v>
      </x:c>
      <x:c r="K2419" s="15" t="n">
        <x:f>F2419/'Datos'!$F$7</x:f>
        <x:v>0.00003614628028149462</x:v>
      </x:c>
      <x:c r="L2419" s="3"/>
    </x:row>
    <x:row r="2420" ht="22" customHeight="1">
      <x:c r="A2420" s="3"/>
      <x:c r="B2420" s="3" t="str">
        <x:v>21723</x:v>
      </x:c>
      <x:c r="C2420" s="3" t="str">
        <x:v>ALPHABET HEARTS STICKER SHEET</x:v>
      </x:c>
      <x:c r="D2420" s="13" t="n">
        <x:v>353.48</x:v>
      </x:c>
      <x:c r="E2420" s="13" t="n">
        <x:v>0</x:v>
      </x:c>
      <x:c r="F2420" s="13" t="n">
        <x:f>D2420-E2420</x:f>
        <x:v>353.48</x:v>
      </x:c>
      <x:c r="G2420" s="3" t="n">
        <x:v>401</x:v>
      </x:c>
      <x:c r="H2420" s="3" t="n">
        <x:v>0</x:v>
      </x:c>
      <x:c r="I2420" s="3" t="n">
        <x:v>59</x:v>
      </x:c>
      <x:c r="J2420" s="15" t="n">
        <x:f>IF(D2420=0,"n.a.",E2420/D2420)</x:f>
        <x:v>0</x:v>
      </x:c>
      <x:c r="K2420" s="15" t="n">
        <x:f>F2420/'Datos'!$F$7</x:f>
        <x:v>0.00003609624305422131</x:v>
      </x:c>
      <x:c r="L2420" s="3"/>
    </x:row>
    <x:row r="2421" ht="22" customHeight="1">
      <x:c r="A2421" s="3"/>
      <x:c r="B2421" s="3" t="str">
        <x:v>23420</x:v>
      </x:c>
      <x:c r="C2421" s="3" t="str">
        <x:v>PANTRY HOOK TEA STRAINER</x:v>
      </x:c>
      <x:c r="D2421" s="13" t="n">
        <x:v>353.45</x:v>
      </x:c>
      <x:c r="E2421" s="13" t="n">
        <x:v>0</x:v>
      </x:c>
      <x:c r="F2421" s="13" t="n">
        <x:f>D2421-E2421</x:f>
        <x:v>353.45</x:v>
      </x:c>
      <x:c r="G2421" s="3" t="n">
        <x:v>165</x:v>
      </x:c>
      <x:c r="H2421" s="3" t="n">
        <x:v>0</x:v>
      </x:c>
      <x:c r="I2421" s="3" t="n">
        <x:v>32</x:v>
      </x:c>
      <x:c r="J2421" s="15" t="n">
        <x:f>IF(D2421=0,"n.a.",E2421/D2421)</x:f>
        <x:v>0</x:v>
      </x:c>
      <x:c r="K2421" s="15" t="n">
        <x:f>F2421/'Datos'!$F$7</x:f>
        <x:v>0.00003609317955051069</x:v>
      </x:c>
      <x:c r="L2421" s="3"/>
    </x:row>
    <x:row r="2422" ht="22" customHeight="1">
      <x:c r="A2422" s="3"/>
      <x:c r="B2422" s="3" t="str">
        <x:v>23421</x:v>
      </x:c>
      <x:c r="C2422" s="3" t="str">
        <x:v>PANTRY HOOK SPATULA</x:v>
      </x:c>
      <x:c r="D2422" s="13" t="n">
        <x:v>353.36</x:v>
      </x:c>
      <x:c r="E2422" s="13" t="n">
        <x:v>0</x:v>
      </x:c>
      <x:c r="F2422" s="13" t="n">
        <x:f>D2422-E2422</x:f>
        <x:v>353.36</x:v>
      </x:c>
      <x:c r="G2422" s="3" t="n">
        <x:v>162</x:v>
      </x:c>
      <x:c r="H2422" s="3" t="n">
        <x:v>0</x:v>
      </x:c>
      <x:c r="I2422" s="3" t="n">
        <x:v>33</x:v>
      </x:c>
      <x:c r="J2422" s="15" t="n">
        <x:f>IF(D2422=0,"n.a.",E2422/D2422)</x:f>
        <x:v>0</x:v>
      </x:c>
      <x:c r="K2422" s="15" t="n">
        <x:f>F2422/'Datos'!$F$7</x:f>
        <x:v>0.000036083989039378865</x:v>
      </x:c>
      <x:c r="L2422" s="3"/>
    </x:row>
    <x:row r="2423" ht="22" customHeight="1">
      <x:c r="A2423" s="3"/>
      <x:c r="B2423" s="3" t="str">
        <x:v>21222</x:v>
      </x:c>
      <x:c r="C2423" s="3" t="str">
        <x:v>SET/4 BADGES BEETLES</x:v>
      </x:c>
      <x:c r="D2423" s="13" t="n">
        <x:v>353.19</x:v>
      </x:c>
      <x:c r="E2423" s="13" t="n">
        <x:v>0</x:v>
      </x:c>
      <x:c r="F2423" s="13" t="n">
        <x:f>D2423-E2423</x:f>
        <x:v>353.19</x:v>
      </x:c>
      <x:c r="G2423" s="3" t="n">
        <x:v>269</x:v>
      </x:c>
      <x:c r="H2423" s="3" t="n">
        <x:v>0</x:v>
      </x:c>
      <x:c r="I2423" s="3" t="n">
        <x:v>73</x:v>
      </x:c>
      <x:c r="J2423" s="15" t="n">
        <x:f>IF(D2423=0,"n.a.",E2423/D2423)</x:f>
        <x:v>0</x:v>
      </x:c>
      <x:c r="K2423" s="15" t="n">
        <x:f>F2423/'Datos'!$F$7</x:f>
        <x:v>0.00003606662918501873</x:v>
      </x:c>
      <x:c r="L2423" s="3"/>
    </x:row>
    <x:row r="2424" ht="22" customHeight="1">
      <x:c r="A2424" s="3"/>
      <x:c r="B2424" s="3" t="str">
        <x:v>21263</x:v>
      </x:c>
      <x:c r="C2424" s="3" t="str">
        <x:v>GREEN GOOSE FEATHER TREE 60CM</x:v>
      </x:c>
      <x:c r="D2424" s="13" t="n">
        <x:v>356.97</x:v>
      </x:c>
      <x:c r="E2424" s="13" t="n">
        <x:v>3.9</x:v>
      </x:c>
      <x:c r="F2424" s="13" t="n">
        <x:f>D2424-E2424</x:f>
        <x:v>353.07000000000005</x:v>
      </x:c>
      <x:c r="G2424" s="3" t="n">
        <x:v>171</x:v>
      </x:c>
      <x:c r="H2424" s="3" t="n">
        <x:v>2</x:v>
      </x:c>
      <x:c r="I2424" s="3" t="n">
        <x:v>42</x:v>
      </x:c>
      <x:c r="J2424" s="15" t="n">
        <x:f>IF(D2424=0,"n.a.",E2424/D2424)</x:f>
        <x:v>0.010925287839314226</x:v>
      </x:c>
      <x:c r="K2424" s="15" t="n">
        <x:f>F2424/'Datos'!$F$7</x:f>
        <x:v>0.000036054375170176295</x:v>
      </x:c>
      <x:c r="L2424" s="3"/>
    </x:row>
    <x:row r="2425" ht="22" customHeight="1">
      <x:c r="A2425" s="3"/>
      <x:c r="B2425" s="3" t="str">
        <x:v>35095B</x:v>
      </x:c>
      <x:c r="C2425" s="3" t="str">
        <x:v>RED VICTORIAN FABRIC OVAL BOX</x:v>
      </x:c>
      <x:c r="D2425" s="13" t="n">
        <x:v>352.25</x:v>
      </x:c>
      <x:c r="E2425" s="13" t="n">
        <x:v>0</x:v>
      </x:c>
      <x:c r="F2425" s="13" t="n">
        <x:f>D2425-E2425</x:f>
        <x:v>352.25</x:v>
      </x:c>
      <x:c r="G2425" s="3" t="n">
        <x:v>862</x:v>
      </x:c>
      <x:c r="H2425" s="3" t="n">
        <x:v>0</x:v>
      </x:c>
      <x:c r="I2425" s="3" t="n">
        <x:v>98</x:v>
      </x:c>
      <x:c r="J2425" s="15" t="n">
        <x:f>IF(D2425=0,"n.a.",E2425/D2425)</x:f>
        <x:v>0</x:v>
      </x:c>
      <x:c r="K2425" s="15" t="n">
        <x:f>F2425/'Datos'!$F$7</x:f>
        <x:v>0.000035970639402086266</x:v>
      </x:c>
      <x:c r="L2425" s="3"/>
    </x:row>
    <x:row r="2426" ht="22" customHeight="1">
      <x:c r="A2426" s="3"/>
      <x:c r="B2426" s="3" t="str">
        <x:v>79030D</x:v>
      </x:c>
      <x:c r="C2426" s="3" t="str">
        <x:v>TUMBLER BAROQUE</x:v>
      </x:c>
      <x:c r="D2426" s="13" t="n">
        <x:v>352.57</x:v>
      </x:c>
      <x:c r="E2426" s="13" t="n">
        <x:v>0.39</x:v>
      </x:c>
      <x:c r="F2426" s="13" t="n">
        <x:f>D2426-E2426</x:f>
        <x:v>352.18</x:v>
      </x:c>
      <x:c r="G2426" s="3" t="n">
        <x:v>587</x:v>
      </x:c>
      <x:c r="H2426" s="3" t="n">
        <x:v>1</x:v>
      </x:c>
      <x:c r="I2426" s="3" t="n">
        <x:v>47</x:v>
      </x:c>
      <x:c r="J2426" s="15" t="n">
        <x:f>IF(D2426=0,"n.a.",E2426/D2426)</x:f>
        <x:v>0.001106163315086366</x:v>
      </x:c>
      <x:c r="K2426" s="15" t="n">
        <x:f>F2426/'Datos'!$F$7</x:f>
        <x:v>0.00003596349122676151</x:v>
      </x:c>
      <x:c r="L2426" s="3"/>
    </x:row>
    <x:row r="2427" ht="22" customHeight="1">
      <x:c r="A2427" s="3"/>
      <x:c r="B2427" s="3" t="str">
        <x:v>20652</x:v>
      </x:c>
      <x:c r="C2427" s="3" t="str">
        <x:v>BLUE POLKADOT LUGGAGE TAG</x:v>
      </x:c>
      <x:c r="D2427" s="13" t="n">
        <x:v>350.61</x:v>
      </x:c>
      <x:c r="E2427" s="13" t="n">
        <x:v>0</x:v>
      </x:c>
      <x:c r="F2427" s="13" t="n">
        <x:f>D2427-E2427</x:f>
        <x:v>350.61</x:v>
      </x:c>
      <x:c r="G2427" s="3" t="n">
        <x:v>268</x:v>
      </x:c>
      <x:c r="H2427" s="3" t="n">
        <x:v>0</x:v>
      </x:c>
      <x:c r="I2427" s="3" t="n">
        <x:v>78</x:v>
      </x:c>
      <x:c r="J2427" s="15" t="n">
        <x:f>IF(D2427=0,"n.a.",E2427/D2427)</x:f>
        <x:v>0</x:v>
      </x:c>
      <x:c r="K2427" s="15" t="n">
        <x:f>F2427/'Datos'!$F$7</x:f>
        <x:v>0.00003580316786590622</x:v>
      </x:c>
      <x:c r="L2427" s="3"/>
    </x:row>
    <x:row r="2428" ht="22" customHeight="1">
      <x:c r="A2428" s="3"/>
      <x:c r="B2428" s="3" t="str">
        <x:v>21555</x:v>
      </x:c>
      <x:c r="C2428" s="3" t="str">
        <x:v>CERAMIC STRAWBERRY TRINKET TRAY</x:v>
      </x:c>
      <x:c r="D2428" s="13" t="n">
        <x:v>350.47</x:v>
      </x:c>
      <x:c r="E2428" s="13" t="n">
        <x:v>0</x:v>
      </x:c>
      <x:c r="F2428" s="13" t="n">
        <x:f>D2428-E2428</x:f>
        <x:v>350.47</x:v>
      </x:c>
      <x:c r="G2428" s="3" t="n">
        <x:v>137</x:v>
      </x:c>
      <x:c r="H2428" s="3" t="n">
        <x:v>0</x:v>
      </x:c>
      <x:c r="I2428" s="3" t="n">
        <x:v>69</x:v>
      </x:c>
      <x:c r="J2428" s="15" t="n">
        <x:f>IF(D2428=0,"n.a.",E2428/D2428)</x:f>
        <x:v>0</x:v>
      </x:c>
      <x:c r="K2428" s="15" t="n">
        <x:f>F2428/'Datos'!$F$7</x:f>
        <x:v>0.00003578887151525671</x:v>
      </x:c>
      <x:c r="L2428" s="3"/>
    </x:row>
    <x:row r="2429" ht="22" customHeight="1">
      <x:c r="A2429" s="3"/>
      <x:c r="B2429" s="3" t="str">
        <x:v>22529</x:v>
      </x:c>
      <x:c r="C2429" s="3" t="str">
        <x:v>MAGIC DRAWING SLATE GO TO THE FAIR</x:v>
      </x:c>
      <x:c r="D2429" s="13" t="n">
        <x:v>349.87</x:v>
      </x:c>
      <x:c r="E2429" s="13" t="n">
        <x:v>0</x:v>
      </x:c>
      <x:c r="F2429" s="13" t="n">
        <x:f>D2429-E2429</x:f>
        <x:v>349.87</x:v>
      </x:c>
      <x:c r="G2429" s="3" t="n">
        <x:v>853</x:v>
      </x:c>
      <x:c r="H2429" s="3" t="n">
        <x:v>0</x:v>
      </x:c>
      <x:c r="I2429" s="3" t="n">
        <x:v>70</x:v>
      </x:c>
      <x:c r="J2429" s="15" t="n">
        <x:f>IF(D2429=0,"n.a.",E2429/D2429)</x:f>
        <x:v>0</x:v>
      </x:c>
      <x:c r="K2429" s="15" t="n">
        <x:f>F2429/'Datos'!$F$7</x:f>
        <x:v>0.000035727601441044495</x:v>
      </x:c>
      <x:c r="L2429" s="3"/>
    </x:row>
    <x:row r="2430" ht="22" customHeight="1">
      <x:c r="A2430" s="3"/>
      <x:c r="B2430" s="3" t="str">
        <x:v>21320</x:v>
      </x:c>
      <x:c r="C2430" s="3" t="str">
        <x:v>GLASS CHALICE GREEN LARGE</x:v>
      </x:c>
      <x:c r="D2430" s="13" t="n">
        <x:v>364.22</x:v>
      </x:c>
      <x:c r="E2430" s="13" t="n">
        <x:v>14.7</x:v>
      </x:c>
      <x:c r="F2430" s="13" t="n">
        <x:f>D2430-E2430</x:f>
        <x:v>349.52000000000004</x:v>
      </x:c>
      <x:c r="G2430" s="3" t="n">
        <x:v>197</x:v>
      </x:c>
      <x:c r="H2430" s="3" t="n">
        <x:v>7</x:v>
      </x:c>
      <x:c r="I2430" s="3" t="n">
        <x:v>19</x:v>
      </x:c>
      <x:c r="J2430" s="15" t="n">
        <x:f>IF(D2430=0,"n.a.",E2430/D2430)</x:f>
        <x:v>0.04036022184394047</x:v>
      </x:c>
      <x:c r="K2430" s="15" t="n">
        <x:f>F2430/'Datos'!$F$7</x:f>
        <x:v>0.00003569186056442071</x:v>
      </x:c>
      <x:c r="L2430" s="3"/>
    </x:row>
    <x:row r="2431" ht="22" customHeight="1">
      <x:c r="A2431" s="3"/>
      <x:c r="B2431" s="3" t="str">
        <x:v>20934</x:v>
      </x:c>
      <x:c r="C2431" s="3" t="str">
        <x:v>SET/3 POT PLANT CANDLES</x:v>
      </x:c>
      <x:c r="D2431" s="13" t="n">
        <x:v>424.46</x:v>
      </x:c>
      <x:c r="E2431" s="13" t="n">
        <x:v>75.3</x:v>
      </x:c>
      <x:c r="F2431" s="13" t="n">
        <x:f>D2431-E2431</x:f>
        <x:v>349.15999999999997</x:v>
      </x:c>
      <x:c r="G2431" s="3" t="n">
        <x:v>68</x:v>
      </x:c>
      <x:c r="H2431" s="3" t="n">
        <x:v>14</x:v>
      </x:c>
      <x:c r="I2431" s="3" t="n">
        <x:v>32</x:v>
      </x:c>
      <x:c r="J2431" s="15" t="n">
        <x:f>IF(D2431=0,"n.a.",E2431/D2431)</x:f>
        <x:v>0.177401875323941</x:v>
      </x:c>
      <x:c r="K2431" s="15" t="n">
        <x:f>F2431/'Datos'!$F$7</x:f>
        <x:v>0.00003565509851989337</x:v>
      </x:c>
      <x:c r="L2431" s="3"/>
    </x:row>
    <x:row r="2432" ht="22" customHeight="1">
      <x:c r="A2432" s="3"/>
      <x:c r="B2432" s="3" t="str">
        <x:v>47591B</x:v>
      </x:c>
      <x:c r="C2432" s="3" t="str">
        <x:v>SCOTTIES CHILDRENS APRON</x:v>
      </x:c>
      <x:c r="D2432" s="13" t="n">
        <x:v>348.92</x:v>
      </x:c>
      <x:c r="E2432" s="13" t="n">
        <x:v>0</x:v>
      </x:c>
      <x:c r="F2432" s="13" t="n">
        <x:f>D2432-E2432</x:f>
        <x:v>348.92</x:v>
      </x:c>
      <x:c r="G2432" s="3" t="n">
        <x:v>210</x:v>
      </x:c>
      <x:c r="H2432" s="3" t="n">
        <x:v>0</x:v>
      </x:c>
      <x:c r="I2432" s="3" t="n">
        <x:v>57</x:v>
      </x:c>
      <x:c r="J2432" s="15" t="n">
        <x:f>IF(D2432=0,"n.a.",E2432/D2432)</x:f>
        <x:v>0</x:v>
      </x:c>
      <x:c r="K2432" s="15" t="n">
        <x:f>F2432/'Datos'!$F$7</x:f>
        <x:v>0.00003563059049020849</x:v>
      </x:c>
      <x:c r="L2432" s="3"/>
    </x:row>
    <x:row r="2433" ht="22" customHeight="1">
      <x:c r="A2433" s="3"/>
      <x:c r="B2433" s="3" t="str">
        <x:v>84924A</x:v>
      </x:c>
      <x:c r="C2433" s="3" t="str">
        <x:v>WAKE UP COCKEREL CALENDAR SIGN</x:v>
      </x:c>
      <x:c r="D2433" s="13" t="n">
        <x:v>348.59</x:v>
      </x:c>
      <x:c r="E2433" s="13" t="n">
        <x:v>0</x:v>
      </x:c>
      <x:c r="F2433" s="13" t="n">
        <x:f>D2433-E2433</x:f>
        <x:v>348.59</x:v>
      </x:c>
      <x:c r="G2433" s="3" t="n">
        <x:v>81</x:v>
      </x:c>
      <x:c r="H2433" s="3" t="n">
        <x:v>0</x:v>
      </x:c>
      <x:c r="I2433" s="3" t="n">
        <x:v>33</x:v>
      </x:c>
      <x:c r="J2433" s="15" t="n">
        <x:f>IF(D2433=0,"n.a.",E2433/D2433)</x:f>
        <x:v>0</x:v>
      </x:c>
      <x:c r="K2433" s="15" t="n">
        <x:f>F2433/'Datos'!$F$7</x:f>
        <x:v>0.00003559689194939177</x:v>
      </x:c>
      <x:c r="L2433" s="3"/>
    </x:row>
    <x:row r="2434" ht="22" customHeight="1">
      <x:c r="A2434" s="3"/>
      <x:c r="B2434" s="3" t="str">
        <x:v>21421</x:v>
      </x:c>
      <x:c r="C2434" s="3" t="str">
        <x:v>PORCELAIN ROSE LARGE</x:v>
      </x:c>
      <x:c r="D2434" s="13" t="n">
        <x:v>348.43</x:v>
      </x:c>
      <x:c r="E2434" s="13" t="n">
        <x:v>0</x:v>
      </x:c>
      <x:c r="F2434" s="13" t="n">
        <x:f>D2434-E2434</x:f>
        <x:v>348.43</x:v>
      </x:c>
      <x:c r="G2434" s="3" t="n">
        <x:v>299</x:v>
      </x:c>
      <x:c r="H2434" s="3" t="n">
        <x:v>0</x:v>
      </x:c>
      <x:c r="I2434" s="3" t="n">
        <x:v>14</x:v>
      </x:c>
      <x:c r="J2434" s="15" t="n">
        <x:f>IF(D2434=0,"n.a.",E2434/D2434)</x:f>
        <x:v>0</x:v>
      </x:c>
      <x:c r="K2434" s="15" t="n">
        <x:f>F2434/'Datos'!$F$7</x:f>
        <x:v>0.00003558055326293518</x:v>
      </x:c>
      <x:c r="L2434" s="3"/>
    </x:row>
    <x:row r="2435" ht="22" customHeight="1">
      <x:c r="A2435" s="3"/>
      <x:c r="B2435" s="3" t="str">
        <x:v>21197</x:v>
      </x:c>
      <x:c r="C2435" s="3" t="str">
        <x:v>MULTICOLOUR CONFETTI IN TUBE</x:v>
      </x:c>
      <x:c r="D2435" s="13" t="n">
        <x:v>382.96</x:v>
      </x:c>
      <x:c r="E2435" s="13" t="n">
        <x:v>34.65</x:v>
      </x:c>
      <x:c r="F2435" s="13" t="n">
        <x:f>D2435-E2435</x:f>
        <x:v>348.31</x:v>
      </x:c>
      <x:c r="G2435" s="3" t="n">
        <x:v>284</x:v>
      </x:c>
      <x:c r="H2435" s="3" t="n">
        <x:v>21</x:v>
      </x:c>
      <x:c r="I2435" s="3" t="n">
        <x:v>27</x:v>
      </x:c>
      <x:c r="J2435" s="15" t="n">
        <x:f>IF(D2435=0,"n.a.",E2435/D2435)</x:f>
        <x:v>0.09047942343847921</x:v>
      </x:c>
      <x:c r="K2435" s="15" t="n">
        <x:f>F2435/'Datos'!$F$7</x:f>
        <x:v>0.000035568299248092745</x:v>
      </x:c>
      <x:c r="L2435" s="3"/>
    </x:row>
    <x:row r="2436" ht="22" customHeight="1">
      <x:c r="A2436" s="3"/>
      <x:c r="B2436" s="3" t="str">
        <x:v>21284</x:v>
      </x:c>
      <x:c r="C2436" s="3" t="str">
        <x:v>RETROSPOT CANDLE SMALL</x:v>
      </x:c>
      <x:c r="D2436" s="13" t="n">
        <x:v>376.18</x:v>
      </x:c>
      <x:c r="E2436" s="13" t="n">
        <x:v>30.36</x:v>
      </x:c>
      <x:c r="F2436" s="13" t="n">
        <x:f>D2436-E2436</x:f>
        <x:v>345.82</x:v>
      </x:c>
      <x:c r="G2436" s="3" t="n">
        <x:v>404</x:v>
      </x:c>
      <x:c r="H2436" s="3" t="n">
        <x:v>36</x:v>
      </x:c>
      <x:c r="I2436" s="3" t="n">
        <x:v>42</x:v>
      </x:c>
      <x:c r="J2436" s="15" t="n">
        <x:f>IF(D2436=0,"n.a.",E2436/D2436)</x:f>
        <x:v>0.08070604497846776</x:v>
      </x:c>
      <x:c r="K2436" s="15" t="n">
        <x:f>F2436/'Datos'!$F$7</x:f>
        <x:v>0.00003531402844011206</x:v>
      </x:c>
      <x:c r="L2436" s="3"/>
    </x:row>
    <x:row r="2437" ht="22" customHeight="1">
      <x:c r="A2437" s="3"/>
      <x:c r="B2437" s="3" t="str">
        <x:v>20700</x:v>
      </x:c>
      <x:c r="C2437" s="3" t="str">
        <x:v>GREEN CAT FLORAL CUSHION COVER</x:v>
      </x:c>
      <x:c r="D2437" s="13" t="n">
        <x:v>345.17</x:v>
      </x:c>
      <x:c r="E2437" s="13" t="n">
        <x:v>0</x:v>
      </x:c>
      <x:c r="F2437" s="13" t="n">
        <x:f>D2437-E2437</x:f>
        <x:v>345.17</x:v>
      </x:c>
      <x:c r="G2437" s="3" t="n">
        <x:v>73</x:v>
      </x:c>
      <x:c r="H2437" s="3" t="n">
        <x:v>0</x:v>
      </x:c>
      <x:c r="I2437" s="3" t="n">
        <x:v>54</x:v>
      </x:c>
      <x:c r="J2437" s="15" t="n">
        <x:f>IF(D2437=0,"n.a.",E2437/D2437)</x:f>
        <x:v>0</x:v>
      </x:c>
      <x:c r="K2437" s="15" t="n">
        <x:f>F2437/'Datos'!$F$7</x:f>
        <x:v>0.00003524765252638217</x:v>
      </x:c>
      <x:c r="L2437" s="3"/>
    </x:row>
    <x:row r="2438" ht="22" customHeight="1">
      <x:c r="A2438" s="3"/>
      <x:c r="B2438" s="3" t="str">
        <x:v>85129D</x:v>
      </x:c>
      <x:c r="C2438" s="3" t="str">
        <x:v>BEADED CRYSTAL HEART PINK SMALL</x:v>
      </x:c>
      <x:c r="D2438" s="13" t="n">
        <x:v>343.99</x:v>
      </x:c>
      <x:c r="E2438" s="13" t="n">
        <x:v>0</x:v>
      </x:c>
      <x:c r="F2438" s="13" t="n">
        <x:f>D2438-E2438</x:f>
        <x:v>343.99</x:v>
      </x:c>
      <x:c r="G2438" s="3" t="n">
        <x:v>208</x:v>
      </x:c>
      <x:c r="H2438" s="3" t="n">
        <x:v>0</x:v>
      </x:c>
      <x:c r="I2438" s="3" t="n">
        <x:v>65</x:v>
      </x:c>
      <x:c r="J2438" s="15" t="n">
        <x:f>IF(D2438=0,"n.a.",E2438/D2438)</x:f>
        <x:v>0</x:v>
      </x:c>
      <x:c r="K2438" s="15" t="n">
        <x:f>F2438/'Datos'!$F$7</x:f>
        <x:v>0.000035127154713764814</x:v>
      </x:c>
      <x:c r="L2438" s="3"/>
    </x:row>
    <x:row r="2439" ht="22" customHeight="1">
      <x:c r="A2439" s="3"/>
      <x:c r="B2439" s="3" t="str">
        <x:v>22104</x:v>
      </x:c>
      <x:c r="C2439" s="3" t="str">
        <x:v>MIRROR MOSAIC CANDLE PLATE</x:v>
      </x:c>
      <x:c r="D2439" s="13" t="n">
        <x:v>343.71</x:v>
      </x:c>
      <x:c r="E2439" s="13" t="n">
        <x:v>0</x:v>
      </x:c>
      <x:c r="F2439" s="13" t="n">
        <x:f>D2439-E2439</x:f>
        <x:v>343.71</x:v>
      </x:c>
      <x:c r="G2439" s="3" t="n">
        <x:v>288</x:v>
      </x:c>
      <x:c r="H2439" s="3" t="n">
        <x:v>0</x:v>
      </x:c>
      <x:c r="I2439" s="3" t="n">
        <x:v>59</x:v>
      </x:c>
      <x:c r="J2439" s="15" t="n">
        <x:f>IF(D2439=0,"n.a.",E2439/D2439)</x:f>
        <x:v>0</x:v>
      </x:c>
      <x:c r="K2439" s="15" t="n">
        <x:f>F2439/'Datos'!$F$7</x:f>
        <x:v>0.00003509856201246578</x:v>
      </x:c>
      <x:c r="L2439" s="3"/>
    </x:row>
    <x:row r="2440" ht="22" customHeight="1">
      <x:c r="A2440" s="3"/>
      <x:c r="B2440" s="3" t="str">
        <x:v>35957</x:v>
      </x:c>
      <x:c r="C2440" s="3" t="str">
        <x:v>SMALLFOLKART BAUBLE CHRISTMAS DEC</x:v>
      </x:c>
      <x:c r="D2440" s="13" t="n">
        <x:v>361.81</x:v>
      </x:c>
      <x:c r="E2440" s="13" t="n">
        <x:v>18.24</x:v>
      </x:c>
      <x:c r="F2440" s="13" t="n">
        <x:f>D2440-E2440</x:f>
        <x:v>343.57</x:v>
      </x:c>
      <x:c r="G2440" s="3" t="n">
        <x:v>688</x:v>
      </x:c>
      <x:c r="H2440" s="3" t="n">
        <x:v>96</x:v>
      </x:c>
      <x:c r="I2440" s="3" t="n">
        <x:v>41</x:v>
      </x:c>
      <x:c r="J2440" s="15" t="n">
        <x:f>IF(D2440=0,"n.a.",E2440/D2440)</x:f>
        <x:v>0.05041320029849921</x:v>
      </x:c>
      <x:c r="K2440" s="15" t="n">
        <x:f>F2440/'Datos'!$F$7</x:f>
        <x:v>0.00003508426566181627</x:v>
      </x:c>
      <x:c r="L2440" s="3"/>
    </x:row>
    <x:row r="2441" ht="22" customHeight="1">
      <x:c r="A2441" s="3"/>
      <x:c r="B2441" s="3" t="str">
        <x:v>90149</x:v>
      </x:c>
      <x:c r="C2441" s="3" t="str">
        <x:v>SILVER FLOWR PINK SHELL NECKLACE</x:v>
      </x:c>
      <x:c r="D2441" s="13" t="n">
        <x:v>342.76</x:v>
      </x:c>
      <x:c r="E2441" s="13" t="n">
        <x:v>0</x:v>
      </x:c>
      <x:c r="F2441" s="13" t="n">
        <x:f>D2441-E2441</x:f>
        <x:v>342.76</x:v>
      </x:c>
      <x:c r="G2441" s="3" t="n">
        <x:v>53</x:v>
      </x:c>
      <x:c r="H2441" s="3" t="n">
        <x:v>0</x:v>
      </x:c>
      <x:c r="I2441" s="3" t="n">
        <x:v>4</x:v>
      </x:c>
      <x:c r="J2441" s="15" t="n">
        <x:f>IF(D2441=0,"n.a.",E2441/D2441)</x:f>
        <x:v>0</x:v>
      </x:c>
      <x:c r="K2441" s="15" t="n">
        <x:f>F2441/'Datos'!$F$7</x:f>
        <x:v>0.00003500155106162978</x:v>
      </x:c>
      <x:c r="L2441" s="3"/>
    </x:row>
    <x:row r="2442" ht="22" customHeight="1">
      <x:c r="A2442" s="3"/>
      <x:c r="B2442" s="3" t="str">
        <x:v>84826</x:v>
      </x:c>
      <x:c r="C2442" s="3" t="str">
        <x:v>ASSTD DESIGN 3D PAPER STICKERS</x:v>
      </x:c>
      <x:c r="D2442" s="13" t="n">
        <x:v>391.93</x:v>
      </x:c>
      <x:c r="E2442" s="13" t="n">
        <x:v>51</x:v>
      </x:c>
      <x:c r="F2442" s="13" t="n">
        <x:f>D2442-E2442</x:f>
        <x:v>340.93</x:v>
      </x:c>
      <x:c r="G2442" s="3" t="n">
        <x:v>1165</x:v>
      </x:c>
      <x:c r="H2442" s="3" t="n">
        <x:v>60</x:v>
      </x:c>
      <x:c r="I2442" s="3" t="n">
        <x:v>31</x:v>
      </x:c>
      <x:c r="J2442" s="15" t="n">
        <x:f>IF(D2442=0,"n.a.",E2442/D2442)</x:f>
        <x:v>0.13012527747301814</x:v>
      </x:c>
      <x:c r="K2442" s="15" t="n">
        <x:f>F2442/'Datos'!$F$7</x:f>
        <x:v>0.00003481467733528253</x:v>
      </x:c>
      <x:c r="L2442" s="3"/>
    </x:row>
    <x:row r="2443" ht="22" customHeight="1">
      <x:c r="A2443" s="3"/>
      <x:c r="B2443" s="3" t="str">
        <x:v>20856</x:v>
      </x:c>
      <x:c r="C2443" s="3" t="str">
        <x:v>DENIM PATCH PURSE PINK BUTTERFLY</x:v>
      </x:c>
      <x:c r="D2443" s="13" t="n">
        <x:v>357.29</x:v>
      </x:c>
      <x:c r="E2443" s="13" t="n">
        <x:v>16.5</x:v>
      </x:c>
      <x:c r="F2443" s="13" t="n">
        <x:f>D2443-E2443</x:f>
        <x:v>340.79</x:v>
      </x:c>
      <x:c r="G2443" s="3" t="n">
        <x:v>216</x:v>
      </x:c>
      <x:c r="H2443" s="3" t="n">
        <x:v>10</x:v>
      </x:c>
      <x:c r="I2443" s="3" t="n">
        <x:v>61</x:v>
      </x:c>
      <x:c r="J2443" s="15" t="n">
        <x:f>IF(D2443=0,"n.a.",E2443/D2443)</x:f>
        <x:v>0.04618097343894315</x:v>
      </x:c>
      <x:c r="K2443" s="15" t="n">
        <x:f>F2443/'Datos'!$F$7</x:f>
        <x:v>0.00003480038098463302</x:v>
      </x:c>
      <x:c r="L2443" s="3"/>
    </x:row>
    <x:row r="2444" ht="22" customHeight="1">
      <x:c r="A2444" s="3"/>
      <x:c r="B2444" s="3" t="str">
        <x:v>21221</x:v>
      </x:c>
      <x:c r="C2444" s="3" t="str">
        <x:v>SET/4 BADGES CUTE CREATURES</x:v>
      </x:c>
      <x:c r="D2444" s="13" t="n">
        <x:v>340.22</x:v>
      </x:c>
      <x:c r="E2444" s="13" t="n">
        <x:v>0</x:v>
      </x:c>
      <x:c r="F2444" s="13" t="n">
        <x:f>D2444-E2444</x:f>
        <x:v>340.22</x:v>
      </x:c>
      <x:c r="G2444" s="3" t="n">
        <x:v>261</x:v>
      </x:c>
      <x:c r="H2444" s="3" t="n">
        <x:v>0</x:v>
      </x:c>
      <x:c r="I2444" s="3" t="n">
        <x:v>54</x:v>
      </x:c>
      <x:c r="J2444" s="15" t="n">
        <x:f>IF(D2444=0,"n.a.",E2444/D2444)</x:f>
        <x:v>0</x:v>
      </x:c>
      <x:c r="K2444" s="15" t="n">
        <x:f>F2444/'Datos'!$F$7</x:f>
        <x:v>0.00003474217441413142</x:v>
      </x:c>
      <x:c r="L2444" s="3"/>
    </x:row>
    <x:row r="2445" ht="22" customHeight="1">
      <x:c r="A2445" s="3"/>
      <x:c r="B2445" s="3" t="str">
        <x:v>21850</x:v>
      </x:c>
      <x:c r="C2445" s="3" t="str">
        <x:v>BLUE DIAMANTE PEN IN GIFT BOX</x:v>
      </x:c>
      <x:c r="D2445" s="13" t="n">
        <x:v>493.08</x:v>
      </x:c>
      <x:c r="E2445" s="13" t="n">
        <x:v>153</x:v>
      </x:c>
      <x:c r="F2445" s="13" t="n">
        <x:f>D2445-E2445</x:f>
        <x:v>340.08</x:v>
      </x:c>
      <x:c r="G2445" s="3" t="n">
        <x:v>130</x:v>
      </x:c>
      <x:c r="H2445" s="3" t="n">
        <x:v>36</x:v>
      </x:c>
      <x:c r="I2445" s="3" t="n">
        <x:v>54</x:v>
      </x:c>
      <x:c r="J2445" s="15" t="n">
        <x:f>IF(D2445=0,"n.a.",E2445/D2445)</x:f>
        <x:v>0.3102944755414943</x:v>
      </x:c>
      <x:c r="K2445" s="15" t="n">
        <x:f>F2445/'Datos'!$F$7</x:f>
        <x:v>0.0000347278780634819</x:v>
      </x:c>
      <x:c r="L2445" s="3"/>
    </x:row>
    <x:row r="2446" ht="22" customHeight="1">
      <x:c r="A2446" s="3"/>
      <x:c r="B2446" s="3" t="str">
        <x:v>71270</x:v>
      </x:c>
      <x:c r="C2446" s="3" t="str">
        <x:v>PHOTO CLIP LINE</x:v>
      </x:c>
      <x:c r="D2446" s="13" t="n">
        <x:v>338.73</x:v>
      </x:c>
      <x:c r="E2446" s="13" t="n">
        <x:v>0</x:v>
      </x:c>
      <x:c r="F2446" s="13" t="n">
        <x:f>D2446-E2446</x:f>
        <x:v>338.73</x:v>
      </x:c>
      <x:c r="G2446" s="3" t="n">
        <x:v>239</x:v>
      </x:c>
      <x:c r="H2446" s="3" t="n">
        <x:v>0</x:v>
      </x:c>
      <x:c r="I2446" s="3" t="n">
        <x:v>49</x:v>
      </x:c>
      <x:c r="J2446" s="15" t="n">
        <x:f>IF(D2446=0,"n.a.",E2446/D2446)</x:f>
        <x:v>0</x:v>
      </x:c>
      <x:c r="K2446" s="15" t="n">
        <x:f>F2446/'Datos'!$F$7</x:f>
        <x:v>0.000034590020396504424</x:v>
      </x:c>
      <x:c r="L2446" s="3"/>
    </x:row>
    <x:row r="2447" ht="22" customHeight="1">
      <x:c r="A2447" s="3"/>
      <x:c r="B2447" s="3" t="str">
        <x:v>22547</x:v>
      </x:c>
      <x:c r="C2447" s="3" t="str">
        <x:v>MINI JIGSAW DINOSAUR</x:v>
      </x:c>
      <x:c r="D2447" s="13" t="n">
        <x:v>338.23</x:v>
      </x:c>
      <x:c r="E2447" s="13" t="n">
        <x:v>0.84</x:v>
      </x:c>
      <x:c r="F2447" s="13" t="n">
        <x:f>D2447-E2447</x:f>
        <x:v>337.39000000000004</x:v>
      </x:c>
      <x:c r="G2447" s="3" t="n">
        <x:v>809</x:v>
      </x:c>
      <x:c r="H2447" s="3" t="n">
        <x:v>2</x:v>
      </x:c>
      <x:c r="I2447" s="3" t="n">
        <x:v>101</x:v>
      </x:c>
      <x:c r="J2447" s="15" t="n">
        <x:f>IF(D2447=0,"n.a.",E2447/D2447)</x:f>
        <x:v>0.0024835171333116514</x:v>
      </x:c>
      <x:c r="K2447" s="15" t="n">
        <x:f>F2447/'Datos'!$F$7</x:f>
        <x:v>0.000034453183897430484</x:v>
      </x:c>
      <x:c r="L2447" s="3"/>
    </x:row>
    <x:row r="2448" ht="22" customHeight="1">
      <x:c r="A2448" s="3"/>
      <x:c r="B2448" s="3" t="str">
        <x:v>72122</x:v>
      </x:c>
      <x:c r="C2448" s="3" t="str">
        <x:v>COFFEE SCENT PILLAR CANDLE</x:v>
      </x:c>
      <x:c r="D2448" s="13" t="n">
        <x:v>336.74</x:v>
      </x:c>
      <x:c r="E2448" s="13" t="n">
        <x:v>0</x:v>
      </x:c>
      <x:c r="F2448" s="13" t="n">
        <x:f>D2448-E2448</x:f>
        <x:v>336.74</x:v>
      </x:c>
      <x:c r="G2448" s="3" t="n">
        <x:v>325</x:v>
      </x:c>
      <x:c r="H2448" s="3" t="n">
        <x:v>0</x:v>
      </x:c>
      <x:c r="I2448" s="3" t="n">
        <x:v>61</x:v>
      </x:c>
      <x:c r="J2448" s="15" t="n">
        <x:f>IF(D2448=0,"n.a.",E2448/D2448)</x:f>
        <x:v>0</x:v>
      </x:c>
      <x:c r="K2448" s="15" t="n">
        <x:f>F2448/'Datos'!$F$7</x:f>
        <x:v>0.00003438680798370058</x:v>
      </x:c>
      <x:c r="L2448" s="3"/>
    </x:row>
    <x:row r="2449" ht="22" customHeight="1">
      <x:c r="A2449" s="3"/>
      <x:c r="B2449" s="3" t="str">
        <x:v>84926E</x:v>
      </x:c>
      <x:c r="C2449" s="3" t="str">
        <x:v>FLOWERS TILE COASTER</x:v>
      </x:c>
      <x:c r="D2449" s="13" t="n">
        <x:v>334.76</x:v>
      </x:c>
      <x:c r="E2449" s="13" t="n">
        <x:v>0</x:v>
      </x:c>
      <x:c r="F2449" s="13" t="n">
        <x:f>D2449-E2449</x:f>
        <x:v>334.76</x:v>
      </x:c>
      <x:c r="G2449" s="3" t="n">
        <x:v>992</x:v>
      </x:c>
      <x:c r="H2449" s="3" t="n">
        <x:v>0</x:v>
      </x:c>
      <x:c r="I2449" s="3" t="n">
        <x:v>39</x:v>
      </x:c>
      <x:c r="J2449" s="15" t="n">
        <x:f>IF(D2449=0,"n.a.",E2449/D2449)</x:f>
        <x:v>0</x:v>
      </x:c>
      <x:c r="K2449" s="15" t="n">
        <x:f>F2449/'Datos'!$F$7</x:f>
        <x:v>0.00003418461673880028</x:v>
      </x:c>
      <x:c r="L2449" s="3"/>
    </x:row>
    <x:row r="2450" ht="22" customHeight="1">
      <x:c r="A2450" s="3"/>
      <x:c r="B2450" s="3" t="str">
        <x:v>23047</x:v>
      </x:c>
      <x:c r="C2450" s="3" t="str">
        <x:v>PAPER LANTERN 5 POINT SEQUIN STAR</x:v>
      </x:c>
      <x:c r="D2450" s="13" t="n">
        <x:v>333.5</x:v>
      </x:c>
      <x:c r="E2450" s="13" t="n">
        <x:v>0</x:v>
      </x:c>
      <x:c r="F2450" s="13" t="n">
        <x:f>D2450-E2450</x:f>
        <x:v>333.5</x:v>
      </x:c>
      <x:c r="G2450" s="3" t="n">
        <x:v>58</x:v>
      </x:c>
      <x:c r="H2450" s="3" t="n">
        <x:v>0</x:v>
      </x:c>
      <x:c r="I2450" s="3" t="n">
        <x:v>25</x:v>
      </x:c>
      <x:c r="J2450" s="15" t="n">
        <x:f>IF(D2450=0,"n.a.",E2450/D2450)</x:f>
        <x:v>0</x:v>
      </x:c>
      <x:c r="K2450" s="15" t="n">
        <x:f>F2450/'Datos'!$F$7</x:f>
        <x:v>0.00003405594958295464</x:v>
      </x:c>
      <x:c r="L2450" s="3"/>
    </x:row>
    <x:row r="2451" ht="22" customHeight="1">
      <x:c r="A2451" s="3"/>
      <x:c r="B2451" s="3" t="str">
        <x:v>85230B</x:v>
      </x:c>
      <x:c r="C2451" s="3" t="str">
        <x:v>CINNAMON SCENTED VOTIVE CANDLE</x:v>
      </x:c>
      <x:c r="D2451" s="13" t="n">
        <x:v>333.2</x:v>
      </x:c>
      <x:c r="E2451" s="13" t="n">
        <x:v>0</x:v>
      </x:c>
      <x:c r="F2451" s="13" t="n">
        <x:f>D2451-E2451</x:f>
        <x:v>333.2</x:v>
      </x:c>
      <x:c r="G2451" s="3" t="n">
        <x:v>1288</x:v>
      </x:c>
      <x:c r="H2451" s="3" t="n">
        <x:v>0</x:v>
      </x:c>
      <x:c r="I2451" s="3" t="n">
        <x:v>39</x:v>
      </x:c>
      <x:c r="J2451" s="15" t="n">
        <x:f>IF(D2451=0,"n.a.",E2451/D2451)</x:f>
        <x:v>0</x:v>
      </x:c>
      <x:c r="K2451" s="15" t="n">
        <x:f>F2451/'Datos'!$F$7</x:f>
        <x:v>0.00003402531454584853</x:v>
      </x:c>
      <x:c r="L2451" s="3"/>
    </x:row>
    <x:row r="2452" ht="22" customHeight="1">
      <x:c r="A2452" s="3"/>
      <x:c r="B2452" s="3" t="str">
        <x:v>85213</x:v>
      </x:c>
      <x:c r="C2452" s="3" t="str">
        <x:v>MINI ZINC GARDEN DECORATIONS</x:v>
      </x:c>
      <x:c r="D2452" s="13" t="n">
        <x:v>334.03</x:v>
      </x:c>
      <x:c r="E2452" s="13" t="n">
        <x:v>0.85</x:v>
      </x:c>
      <x:c r="F2452" s="13" t="n">
        <x:f>D2452-E2452</x:f>
        <x:v>333.17999999999995</x:v>
      </x:c>
      <x:c r="G2452" s="3" t="n">
        <x:v>841</x:v>
      </x:c>
      <x:c r="H2452" s="3" t="n">
        <x:v>1</x:v>
      </x:c>
      <x:c r="I2452" s="3" t="n">
        <x:v>33</x:v>
      </x:c>
      <x:c r="J2452" s="15" t="n">
        <x:f>IF(D2452=0,"n.a.",E2452/D2452)</x:f>
        <x:v>0.0025446816154237645</x:v>
      </x:c>
      <x:c r="K2452" s="15" t="n">
        <x:f>F2452/'Datos'!$F$7</x:f>
        <x:v>0.00003402327221004145</x:v>
      </x:c>
      <x:c r="L2452" s="3"/>
    </x:row>
    <x:row r="2453" ht="22" customHeight="1">
      <x:c r="A2453" s="3"/>
      <x:c r="B2453" s="3" t="str">
        <x:v>22259</x:v>
      </x:c>
      <x:c r="C2453" s="3" t="str">
        <x:v>FELT FARM ANIMAL HEN</x:v>
      </x:c>
      <x:c r="D2453" s="13" t="n">
        <x:v>332.84</x:v>
      </x:c>
      <x:c r="E2453" s="13" t="n">
        <x:v>0</x:v>
      </x:c>
      <x:c r="F2453" s="13" t="n">
        <x:f>D2453-E2453</x:f>
        <x:v>332.84</x:v>
      </x:c>
      <x:c r="G2453" s="3" t="n">
        <x:v>481</x:v>
      </x:c>
      <x:c r="H2453" s="3" t="n">
        <x:v>0</x:v>
      </x:c>
      <x:c r="I2453" s="3" t="n">
        <x:v>44</x:v>
      </x:c>
      <x:c r="J2453" s="15" t="n">
        <x:f>IF(D2453=0,"n.a.",E2453/D2453)</x:f>
        <x:v>0</x:v>
      </x:c>
      <x:c r="K2453" s="15" t="n">
        <x:f>F2453/'Datos'!$F$7</x:f>
        <x:v>0.000033988552501321204</x:v>
      </x:c>
      <x:c r="L2453" s="3"/>
    </x:row>
    <x:row r="2454" ht="22" customHeight="1">
      <x:c r="A2454" s="3"/>
      <x:c r="B2454" s="3" t="str">
        <x:v>84638</x:v>
      </x:c>
      <x:c r="C2454" s="3" t="str">
        <x:v>SMALL KITCHEN FLOWER POTS PLAQUE</x:v>
      </x:c>
      <x:c r="D2454" s="13" t="n">
        <x:v>331.5</x:v>
      </x:c>
      <x:c r="E2454" s="13" t="n">
        <x:v>0</x:v>
      </x:c>
      <x:c r="F2454" s="13" t="n">
        <x:f>D2454-E2454</x:f>
        <x:v>331.5</x:v>
      </x:c>
      <x:c r="G2454" s="3" t="n">
        <x:v>50</x:v>
      </x:c>
      <x:c r="H2454" s="3" t="n">
        <x:v>0</x:v>
      </x:c>
      <x:c r="I2454" s="3" t="n">
        <x:v>37</x:v>
      </x:c>
      <x:c r="J2454" s="15" t="n">
        <x:f>IF(D2454=0,"n.a.",E2454/D2454)</x:f>
        <x:v>0</x:v>
      </x:c>
      <x:c r="K2454" s="15" t="n">
        <x:f>F2454/'Datos'!$F$7</x:f>
        <x:v>0.00003385171600224726</x:v>
      </x:c>
      <x:c r="L2454" s="3"/>
    </x:row>
    <x:row r="2455" ht="22" customHeight="1">
      <x:c r="A2455" s="3"/>
      <x:c r="B2455" s="3" t="str">
        <x:v>21248</x:v>
      </x:c>
      <x:c r="C2455" s="3" t="str">
        <x:v>DOOR HANGER MUM + DADS ROOM</x:v>
      </x:c>
      <x:c r="D2455" s="13" t="n">
        <x:v>330.72</x:v>
      </x:c>
      <x:c r="E2455" s="13" t="n">
        <x:v>1.45</x:v>
      </x:c>
      <x:c r="F2455" s="13" t="n">
        <x:f>D2455-E2455</x:f>
        <x:v>329.27000000000004</x:v>
      </x:c>
      <x:c r="G2455" s="3" t="n">
        <x:v>205</x:v>
      </x:c>
      <x:c r="H2455" s="3" t="n">
        <x:v>1</x:v>
      </x:c>
      <x:c r="I2455" s="3" t="n">
        <x:v>66</x:v>
      </x:c>
      <x:c r="J2455" s="15" t="n">
        <x:f>IF(D2455=0,"n.a.",E2455/D2455)</x:f>
        <x:v>0.004384373488147073</x:v>
      </x:c>
      <x:c r="K2455" s="15" t="n">
        <x:f>F2455/'Datos'!$F$7</x:f>
        <x:v>0.00003362399555975855</x:v>
      </x:c>
      <x:c r="L2455" s="3"/>
    </x:row>
    <x:row r="2456" ht="22" customHeight="1">
      <x:c r="A2456" s="3"/>
      <x:c r="B2456" s="3" t="str">
        <x:v>90200A</x:v>
      </x:c>
      <x:c r="C2456" s="3" t="str">
        <x:v>PURPLE SWEETHEART BRACELET</x:v>
      </x:c>
      <x:c r="D2456" s="13" t="n">
        <x:v>328.44</x:v>
      </x:c>
      <x:c r="E2456" s="13" t="n">
        <x:v>0</x:v>
      </x:c>
      <x:c r="F2456" s="13" t="n">
        <x:f>D2456-E2456</x:f>
        <x:v>328.44</x:v>
      </x:c>
      <x:c r="G2456" s="3" t="n">
        <x:v>78</x:v>
      </x:c>
      <x:c r="H2456" s="3" t="n">
        <x:v>0</x:v>
      </x:c>
      <x:c r="I2456" s="3" t="n">
        <x:v>50</x:v>
      </x:c>
      <x:c r="J2456" s="15" t="n">
        <x:f>IF(D2456=0,"n.a.",E2456/D2456)</x:f>
        <x:v>0</x:v>
      </x:c>
      <x:c r="K2456" s="15" t="n">
        <x:f>F2456/'Datos'!$F$7</x:f>
        <x:v>0.00003353923862376498</x:v>
      </x:c>
      <x:c r="L2456" s="3"/>
    </x:row>
    <x:row r="2457" ht="22" customHeight="1">
      <x:c r="A2457" s="3"/>
      <x:c r="B2457" s="3" t="str">
        <x:v>21167</x:v>
      </x:c>
      <x:c r="C2457" s="3" t="str">
        <x:v>WHITE SAGE INCENSE</x:v>
      </x:c>
      <x:c r="D2457" s="13" t="n">
        <x:v>337.14</x:v>
      </x:c>
      <x:c r="E2457" s="13" t="n">
        <x:v>10.5</x:v>
      </x:c>
      <x:c r="F2457" s="13" t="n">
        <x:f>D2457-E2457</x:f>
        <x:v>326.64</x:v>
      </x:c>
      <x:c r="G2457" s="3" t="n">
        <x:v>1432</x:v>
      </x:c>
      <x:c r="H2457" s="3" t="n">
        <x:v>50</x:v>
      </x:c>
      <x:c r="I2457" s="3" t="n">
        <x:v>67</x:v>
      </x:c>
      <x:c r="J2457" s="15" t="n">
        <x:f>IF(D2457=0,"n.a.",E2457/D2457)</x:f>
        <x:v>0.031144331731624845</x:v>
      </x:c>
      <x:c r="K2457" s="15" t="n">
        <x:f>F2457/'Datos'!$F$7</x:f>
        <x:v>0.00003335542840112834</x:v>
      </x:c>
      <x:c r="L2457" s="3"/>
    </x:row>
    <x:row r="2458" ht="22" customHeight="1">
      <x:c r="A2458" s="3"/>
      <x:c r="B2458" s="3" t="str">
        <x:v>84708B</x:v>
      </x:c>
      <x:c r="C2458" s="3" t="str">
        <x:v>PINK JEWELLED PHOTO FRAME</x:v>
      </x:c>
      <x:c r="D2458" s="13" t="n">
        <x:v>326.35</x:v>
      </x:c>
      <x:c r="E2458" s="13" t="n">
        <x:v>0</x:v>
      </x:c>
      <x:c r="F2458" s="13" t="n">
        <x:f>D2458-E2458</x:f>
        <x:v>326.35</x:v>
      </x:c>
      <x:c r="G2458" s="3" t="n">
        <x:v>62</x:v>
      </x:c>
      <x:c r="H2458" s="3" t="n">
        <x:v>0</x:v>
      </x:c>
      <x:c r="I2458" s="3" t="n">
        <x:v>19</x:v>
      </x:c>
      <x:c r="J2458" s="15" t="n">
        <x:f>IF(D2458=0,"n.a.",E2458/D2458)</x:f>
        <x:v>0</x:v>
      </x:c>
      <x:c r="K2458" s="15" t="n">
        <x:f>F2458/'Datos'!$F$7</x:f>
        <x:v>0.00003332581453192578</x:v>
      </x:c>
      <x:c r="L2458" s="3"/>
    </x:row>
    <x:row r="2459" ht="22" customHeight="1">
      <x:c r="A2459" s="3"/>
      <x:c r="B2459" s="3" t="str">
        <x:v>85204</x:v>
      </x:c>
      <x:c r="C2459" s="3" t="str">
        <x:v>HANGING WOOD AND FELT FLOWER</x:v>
      </x:c>
      <x:c r="D2459" s="13" t="n">
        <x:v>325.96</x:v>
      </x:c>
      <x:c r="E2459" s="13" t="n">
        <x:v>0.12</x:v>
      </x:c>
      <x:c r="F2459" s="13" t="n">
        <x:f>D2459-E2459</x:f>
        <x:v>325.84</x:v>
      </x:c>
      <x:c r="G2459" s="3" t="n">
        <x:v>2055</x:v>
      </x:c>
      <x:c r="H2459" s="3" t="n">
        <x:v>1</x:v>
      </x:c>
      <x:c r="I2459" s="3" t="n">
        <x:v>104</x:v>
      </x:c>
      <x:c r="J2459" s="15" t="n">
        <x:f>IF(D2459=0,"n.a.",E2459/D2459)</x:f>
        <x:v>0.00036814333046999634</x:v>
      </x:c>
      <x:c r="K2459" s="15" t="n">
        <x:f>F2459/'Datos'!$F$7</x:f>
        <x:v>0.00003327373496884539</x:v>
      </x:c>
      <x:c r="L2459" s="3"/>
    </x:row>
    <x:row r="2460" ht="22" customHeight="1">
      <x:c r="A2460" s="3"/>
      <x:c r="B2460" s="3" t="str">
        <x:v>23037</x:v>
      </x:c>
      <x:c r="C2460" s="3" t="str">
        <x:v>CANDLE HOLDER SILVER MADELINE</x:v>
      </x:c>
      <x:c r="D2460" s="13" t="n">
        <x:v>325.16</x:v>
      </x:c>
      <x:c r="E2460" s="13" t="n">
        <x:v>0</x:v>
      </x:c>
      <x:c r="F2460" s="13" t="n">
        <x:f>D2460-E2460</x:f>
        <x:v>325.16</x:v>
      </x:c>
      <x:c r="G2460" s="3" t="n">
        <x:v>196</x:v>
      </x:c>
      <x:c r="H2460" s="3" t="n">
        <x:v>0</x:v>
      </x:c>
      <x:c r="I2460" s="3" t="n">
        <x:v>20</x:v>
      </x:c>
      <x:c r="J2460" s="15" t="n">
        <x:f>IF(D2460=0,"n.a.",E2460/D2460)</x:f>
        <x:v>0</x:v>
      </x:c>
      <x:c r="K2460" s="15" t="n">
        <x:f>F2460/'Datos'!$F$7</x:f>
        <x:v>0.00003320429555140489</x:v>
      </x:c>
      <x:c r="L2460" s="3"/>
    </x:row>
    <x:row r="2461" ht="22" customHeight="1">
      <x:c r="A2461" s="3"/>
      <x:c r="B2461" s="3" t="str">
        <x:v>84247E</x:v>
      </x:c>
      <x:c r="C2461" s="3" t="str">
        <x:v>PACK OF 12 CHRISTMAS FUN CARDS</x:v>
      </x:c>
      <x:c r="D2461" s="13" t="n">
        <x:v>392.94</x:v>
      </x:c>
      <x:c r="E2461" s="13" t="n">
        <x:v>67.85</x:v>
      </x:c>
      <x:c r="F2461" s="13" t="n">
        <x:f>D2461-E2461</x:f>
        <x:v>325.09000000000003</x:v>
      </x:c>
      <x:c r="G2461" s="3" t="n">
        <x:v>143</x:v>
      </x:c>
      <x:c r="H2461" s="3" t="n">
        <x:v>23</x:v>
      </x:c>
      <x:c r="I2461" s="3" t="n">
        <x:v>48</x:v>
      </x:c>
      <x:c r="J2461" s="15" t="n">
        <x:f>IF(D2461=0,"n.a.",E2461/D2461)</x:f>
        <x:v>0.17267267267267267</x:v>
      </x:c>
      <x:c r="K2461" s="15" t="n">
        <x:f>F2461/'Datos'!$F$7</x:f>
        <x:v>0.00003319714737608013</x:v>
      </x:c>
      <x:c r="L2461" s="3"/>
    </x:row>
    <x:row r="2462" ht="22" customHeight="1">
      <x:c r="A2462" s="3"/>
      <x:c r="B2462" s="3" t="str">
        <x:v>84631</x:v>
      </x:c>
      <x:c r="C2462" s="3" t="str">
        <x:v>FRUIT TREE AND BIRDS WALL PLAQUE</x:v>
      </x:c>
      <x:c r="D2462" s="13" t="n">
        <x:v>348.53</x:v>
      </x:c>
      <x:c r="E2462" s="13" t="n">
        <x:v>23.85</x:v>
      </x:c>
      <x:c r="F2462" s="13" t="n">
        <x:f>D2462-E2462</x:f>
        <x:v>324.67999999999995</x:v>
      </x:c>
      <x:c r="G2462" s="3" t="n">
        <x:v>41</x:v>
      </x:c>
      <x:c r="H2462" s="3" t="n">
        <x:v>3</x:v>
      </x:c>
      <x:c r="I2462" s="3" t="n">
        <x:v>24</x:v>
      </x:c>
      <x:c r="J2462" s="15" t="n">
        <x:f>IF(D2462=0,"n.a.",E2462/D2462)</x:f>
        <x:v>0.06843026425271857</x:v>
      </x:c>
      <x:c r="K2462" s="15" t="n">
        <x:f>F2462/'Datos'!$F$7</x:f>
        <x:v>0.00003315527949203511</x:v>
      </x:c>
      <x:c r="L2462" s="3"/>
    </x:row>
    <x:row r="2463" ht="22" customHeight="1">
      <x:c r="A2463" s="3"/>
      <x:c r="B2463" s="3" t="str">
        <x:v>23478</x:v>
      </x:c>
      <x:c r="C2463" s="3" t="str">
        <x:v>WOODLAND LARGE PINK FELT HEART</x:v>
      </x:c>
      <x:c r="D2463" s="13" t="n">
        <x:v>324.4</x:v>
      </x:c>
      <x:c r="E2463" s="13" t="n">
        <x:v>0</x:v>
      </x:c>
      <x:c r="F2463" s="13" t="n">
        <x:f>D2463-E2463</x:f>
        <x:v>324.4</x:v>
      </x:c>
      <x:c r="G2463" s="3" t="n">
        <x:v>285</x:v>
      </x:c>
      <x:c r="H2463" s="3" t="n">
        <x:v>0</x:v>
      </x:c>
      <x:c r="I2463" s="3" t="n">
        <x:v>13</x:v>
      </x:c>
      <x:c r="J2463" s="15" t="n">
        <x:f>IF(D2463=0,"n.a.",E2463/D2463)</x:f>
        <x:v>0</x:v>
      </x:c>
      <x:c r="K2463" s="15" t="n">
        <x:f>F2463/'Datos'!$F$7</x:f>
        <x:v>0.00003312668679073608</x:v>
      </x:c>
      <x:c r="L2463" s="3"/>
    </x:row>
    <x:row r="2464" ht="22" customHeight="1">
      <x:c r="A2464" s="3"/>
      <x:c r="B2464" s="3" t="str">
        <x:v>23695</x:v>
      </x:c>
      <x:c r="C2464" s="3" t="str">
        <x:v>DOILY THANK YOU CARD</x:v>
      </x:c>
      <x:c r="D2464" s="13" t="n">
        <x:v>323.32</x:v>
      </x:c>
      <x:c r="E2464" s="13" t="n">
        <x:v>0</x:v>
      </x:c>
      <x:c r="F2464" s="13" t="n">
        <x:f>D2464-E2464</x:f>
        <x:v>323.32</x:v>
      </x:c>
      <x:c r="G2464" s="3" t="n">
        <x:v>765</x:v>
      </x:c>
      <x:c r="H2464" s="3" t="n">
        <x:v>0</x:v>
      </x:c>
      <x:c r="I2464" s="3" t="n">
        <x:v>57</x:v>
      </x:c>
      <x:c r="J2464" s="15" t="n">
        <x:f>IF(D2464=0,"n.a.",E2464/D2464)</x:f>
        <x:v>0</x:v>
      </x:c>
      <x:c r="K2464" s="15" t="n">
        <x:f>F2464/'Datos'!$F$7</x:f>
        <x:v>0.000033016400657154105</x:v>
      </x:c>
      <x:c r="L2464" s="3"/>
    </x:row>
    <x:row r="2465" ht="22" customHeight="1">
      <x:c r="A2465" s="3"/>
      <x:c r="B2465" s="3" t="str">
        <x:v>85205B</x:v>
      </x:c>
      <x:c r="C2465" s="3" t="str">
        <x:v>PINK FELT EASTER RABBIT GARLAND</x:v>
      </x:c>
      <x:c r="D2465" s="13" t="n">
        <x:v>323.15</x:v>
      </x:c>
      <x:c r="E2465" s="13" t="n">
        <x:v>0</x:v>
      </x:c>
      <x:c r="F2465" s="13" t="n">
        <x:f>D2465-E2465</x:f>
        <x:v>323.15</x:v>
      </x:c>
      <x:c r="G2465" s="3" t="n">
        <x:v>122</x:v>
      </x:c>
      <x:c r="H2465" s="3" t="n">
        <x:v>0</x:v>
      </x:c>
      <x:c r="I2465" s="3" t="n">
        <x:v>29</x:v>
      </x:c>
      <x:c r="J2465" s="15" t="n">
        <x:f>IF(D2465=0,"n.a.",E2465/D2465)</x:f>
        <x:v>0</x:v>
      </x:c>
      <x:c r="K2465" s="15" t="n">
        <x:f>F2465/'Datos'!$F$7</x:f>
        <x:v>0.00003299904080279397</x:v>
      </x:c>
      <x:c r="L2465" s="3"/>
    </x:row>
    <x:row r="2466" ht="22" customHeight="1">
      <x:c r="A2466" s="3"/>
      <x:c r="B2466" s="3" t="str">
        <x:v>22135</x:v>
      </x:c>
      <x:c r="C2466" s="3" t="str">
        <x:v>MINI LADLE LOVE HEART PINK</x:v>
      </x:c>
      <x:c r="D2466" s="13" t="n">
        <x:v>322.8</x:v>
      </x:c>
      <x:c r="E2466" s="13" t="n">
        <x:v>0</x:v>
      </x:c>
      <x:c r="F2466" s="13" t="n">
        <x:f>D2466-E2466</x:f>
        <x:v>322.8</x:v>
      </x:c>
      <x:c r="G2466" s="3" t="n">
        <x:v>568</x:v>
      </x:c>
      <x:c r="H2466" s="3" t="n">
        <x:v>0</x:v>
      </x:c>
      <x:c r="I2466" s="3" t="n">
        <x:v>179</x:v>
      </x:c>
      <x:c r="J2466" s="15" t="n">
        <x:f>IF(D2466=0,"n.a.",E2466/D2466)</x:f>
        <x:v>0</x:v>
      </x:c>
      <x:c r="K2466" s="15" t="n">
        <x:f>F2466/'Datos'!$F$7</x:f>
        <x:v>0.000032963299926170186</x:v>
      </x:c>
      <x:c r="L2466" s="3"/>
    </x:row>
    <x:row r="2467" ht="22" customHeight="1">
      <x:c r="A2467" s="3"/>
      <x:c r="B2467" s="3" t="str">
        <x:v>84931A</x:v>
      </x:c>
      <x:c r="C2467" s="3" t="str">
        <x:v>PINK SCOTTIE DOG W FLOWER PATTERN</x:v>
      </x:c>
      <x:c r="D2467" s="13" t="n">
        <x:v>322.54</x:v>
      </x:c>
      <x:c r="E2467" s="13" t="n">
        <x:v>0</x:v>
      </x:c>
      <x:c r="F2467" s="13" t="n">
        <x:f>D2467-E2467</x:f>
        <x:v>322.54</x:v>
      </x:c>
      <x:c r="G2467" s="3" t="n">
        <x:v>135</x:v>
      </x:c>
      <x:c r="H2467" s="3" t="n">
        <x:v>0</x:v>
      </x:c>
      <x:c r="I2467" s="3" t="n">
        <x:v>51</x:v>
      </x:c>
      <x:c r="J2467" s="15" t="n">
        <x:f>IF(D2467=0,"n.a.",E2467/D2467)</x:f>
        <x:v>0</x:v>
      </x:c>
      <x:c r="K2467" s="15" t="n">
        <x:f>F2467/'Datos'!$F$7</x:f>
        <x:v>0.000032936749560678226</x:v>
      </x:c>
      <x:c r="L2467" s="3"/>
    </x:row>
    <x:row r="2468" ht="22" customHeight="1">
      <x:c r="A2468" s="3"/>
      <x:c r="B2468" s="3" t="str">
        <x:v>21403</x:v>
      </x:c>
      <x:c r="C2468" s="3" t="str">
        <x:v>BLUE EGG SPOON</x:v>
      </x:c>
      <x:c r="D2468" s="13" t="n">
        <x:v>322.18</x:v>
      </x:c>
      <x:c r="E2468" s="13" t="n">
        <x:v>0</x:v>
      </x:c>
      <x:c r="F2468" s="13" t="n">
        <x:f>D2468-E2468</x:f>
        <x:v>322.18</x:v>
      </x:c>
      <x:c r="G2468" s="3" t="n">
        <x:v>1857</x:v>
      </x:c>
      <x:c r="H2468" s="3" t="n">
        <x:v>0</x:v>
      </x:c>
      <x:c r="I2468" s="3" t="n">
        <x:v>106</x:v>
      </x:c>
      <x:c r="J2468" s="15" t="n">
        <x:f>IF(D2468=0,"n.a.",E2468/D2468)</x:f>
        <x:v>0</x:v>
      </x:c>
      <x:c r="K2468" s="15" t="n">
        <x:f>F2468/'Datos'!$F$7</x:f>
        <x:v>0.0000328999875161509</x:v>
      </x:c>
      <x:c r="L2468" s="3"/>
    </x:row>
    <x:row r="2469" ht="22" customHeight="1">
      <x:c r="A2469" s="3"/>
      <x:c r="B2469" s="3" t="str">
        <x:v>22092</x:v>
      </x:c>
      <x:c r="C2469" s="3" t="str">
        <x:v>BLUE PAISLEY TISSUE BOX</x:v>
      </x:c>
      <x:c r="D2469" s="13" t="n">
        <x:v>322.18</x:v>
      </x:c>
      <x:c r="E2469" s="13" t="n">
        <x:v>0</x:v>
      </x:c>
      <x:c r="F2469" s="13" t="n">
        <x:f>D2469-E2469</x:f>
        <x:v>322.18</x:v>
      </x:c>
      <x:c r="G2469" s="3" t="n">
        <x:v>672</x:v>
      </x:c>
      <x:c r="H2469" s="3" t="n">
        <x:v>0</x:v>
      </x:c>
      <x:c r="I2469" s="3" t="n">
        <x:v>91</x:v>
      </x:c>
      <x:c r="J2469" s="15" t="n">
        <x:f>IF(D2469=0,"n.a.",E2469/D2469)</x:f>
        <x:v>0</x:v>
      </x:c>
      <x:c r="K2469" s="15" t="n">
        <x:f>F2469/'Datos'!$F$7</x:f>
        <x:v>0.0000328999875161509</x:v>
      </x:c>
      <x:c r="L2469" s="3"/>
    </x:row>
    <x:row r="2470" ht="22" customHeight="1">
      <x:c r="A2470" s="3"/>
      <x:c r="B2470" s="3" t="str">
        <x:v>16238</x:v>
      </x:c>
      <x:c r="C2470" s="3" t="str">
        <x:v>PARTY TIME PENCIL ERASERS</x:v>
      </x:c>
      <x:c r="D2470" s="13" t="n">
        <x:v>322.09</x:v>
      </x:c>
      <x:c r="E2470" s="13" t="n">
        <x:v>0</x:v>
      </x:c>
      <x:c r="F2470" s="13" t="n">
        <x:f>D2470-E2470</x:f>
        <x:v>322.09</x:v>
      </x:c>
      <x:c r="G2470" s="3" t="n">
        <x:v>1398</x:v>
      </x:c>
      <x:c r="H2470" s="3" t="n">
        <x:v>0</x:v>
      </x:c>
      <x:c r="I2470" s="3" t="n">
        <x:v>134</x:v>
      </x:c>
      <x:c r="J2470" s="15" t="n">
        <x:f>IF(D2470=0,"n.a.",E2470/D2470)</x:f>
        <x:v>0</x:v>
      </x:c>
      <x:c r="K2470" s="15" t="n">
        <x:f>F2470/'Datos'!$F$7</x:f>
        <x:v>0.00003289079700501906</x:v>
      </x:c>
      <x:c r="L2470" s="3"/>
    </x:row>
    <x:row r="2471" ht="22" customHeight="1">
      <x:c r="A2471" s="3"/>
      <x:c r="B2471" s="3" t="str">
        <x:v>84952B</x:v>
      </x:c>
      <x:c r="C2471" s="3" t="str">
        <x:v>BLACK LOVE BIRD T-LIGHT HOLDER</x:v>
      </x:c>
      <x:c r="D2471" s="13" t="n">
        <x:v>332.14</x:v>
      </x:c>
      <x:c r="E2471" s="13" t="n">
        <x:v>11.25</x:v>
      </x:c>
      <x:c r="F2471" s="13" t="n">
        <x:f>D2471-E2471</x:f>
        <x:v>320.89</x:v>
      </x:c>
      <x:c r="G2471" s="3" t="n">
        <x:v>186</x:v>
      </x:c>
      <x:c r="H2471" s="3" t="n">
        <x:v>3</x:v>
      </x:c>
      <x:c r="I2471" s="3" t="n">
        <x:v>29</x:v>
      </x:c>
      <x:c r="J2471" s="15" t="n">
        <x:f>IF(D2471=0,"n.a.",E2471/D2471)</x:f>
        <x:v>0.03387125910760523</x:v>
      </x:c>
      <x:c r="K2471" s="15" t="n">
        <x:f>F2471/'Datos'!$F$7</x:f>
        <x:v>0.000032768256856594644</x:v>
      </x:c>
      <x:c r="L2471" s="3"/>
    </x:row>
    <x:row r="2472" ht="22" customHeight="1">
      <x:c r="A2472" s="3"/>
      <x:c r="B2472" s="3" t="str">
        <x:v>21425</x:v>
      </x:c>
      <x:c r="C2472" s="3" t="str">
        <x:v>SKULLS STORAGE BOX LARGE</x:v>
      </x:c>
      <x:c r="D2472" s="13" t="n">
        <x:v>320.49</x:v>
      </x:c>
      <x:c r="E2472" s="13" t="n">
        <x:v>0</x:v>
      </x:c>
      <x:c r="F2472" s="13" t="n">
        <x:f>D2472-E2472</x:f>
        <x:v>320.49</x:v>
      </x:c>
      <x:c r="G2472" s="3" t="n">
        <x:v>87</x:v>
      </x:c>
      <x:c r="H2472" s="3" t="n">
        <x:v>0</x:v>
      </x:c>
      <x:c r="I2472" s="3" t="n">
        <x:v>30</x:v>
      </x:c>
      <x:c r="J2472" s="15" t="n">
        <x:f>IF(D2472=0,"n.a.",E2472/D2472)</x:f>
        <x:v>0</x:v>
      </x:c>
      <x:c r="K2472" s="15" t="n">
        <x:f>F2472/'Datos'!$F$7</x:f>
        <x:v>0.00003272741014045317</x:v>
      </x:c>
      <x:c r="L2472" s="3"/>
    </x:row>
    <x:row r="2473" ht="22" customHeight="1">
      <x:c r="A2473" s="3"/>
      <x:c r="B2473" s="3" t="str">
        <x:v>16236</x:v>
      </x:c>
      <x:c r="C2473" s="3" t="str">
        <x:v>KITTY PENCIL ERASERS</x:v>
      </x:c>
      <x:c r="D2473" s="13" t="n">
        <x:v>320.09</x:v>
      </x:c>
      <x:c r="E2473" s="13" t="n">
        <x:v>0</x:v>
      </x:c>
      <x:c r="F2473" s="13" t="n">
        <x:f>D2473-E2473</x:f>
        <x:v>320.09</x:v>
      </x:c>
      <x:c r="G2473" s="3" t="n">
        <x:v>1438</x:v>
      </x:c>
      <x:c r="H2473" s="3" t="n">
        <x:v>0</x:v>
      </x:c>
      <x:c r="I2473" s="3" t="n">
        <x:v>136</x:v>
      </x:c>
      <x:c r="J2473" s="15" t="n">
        <x:f>IF(D2473=0,"n.a.",E2473/D2473)</x:f>
        <x:v>0</x:v>
      </x:c>
      <x:c r="K2473" s="15" t="n">
        <x:f>F2473/'Datos'!$F$7</x:f>
        <x:v>0.000032686563424311694</x:v>
      </x:c>
      <x:c r="L2473" s="3"/>
    </x:row>
    <x:row r="2474" ht="22" customHeight="1">
      <x:c r="A2474" s="3"/>
      <x:c r="B2474" s="3" t="str">
        <x:v>21371</x:v>
      </x:c>
      <x:c r="C2474" s="3" t="str">
        <x:v>MIRRORED WALL ART POPPIES</x:v>
      </x:c>
      <x:c r="D2474" s="13" t="n">
        <x:v>319.71</x:v>
      </x:c>
      <x:c r="E2474" s="13" t="n">
        <x:v>0</x:v>
      </x:c>
      <x:c r="F2474" s="13" t="n">
        <x:f>D2474-E2474</x:f>
        <x:v>319.71</x:v>
      </x:c>
      <x:c r="G2474" s="3" t="n">
        <x:v>287</x:v>
      </x:c>
      <x:c r="H2474" s="3" t="n">
        <x:v>0</x:v>
      </x:c>
      <x:c r="I2474" s="3" t="n">
        <x:v>38</x:v>
      </x:c>
      <x:c r="J2474" s="15" t="n">
        <x:f>IF(D2474=0,"n.a.",E2474/D2474)</x:f>
        <x:v>0</x:v>
      </x:c>
      <x:c r="K2474" s="15" t="n">
        <x:f>F2474/'Datos'!$F$7</x:f>
        <x:v>0.00003264775904397729</x:v>
      </x:c>
      <x:c r="L2474" s="3"/>
    </x:row>
    <x:row r="2475" ht="22" customHeight="1">
      <x:c r="A2475" s="3"/>
      <x:c r="B2475" s="3" t="str">
        <x:v>21026</x:v>
      </x:c>
      <x:c r="C2475" s="3" t="str">
        <x:v>SPACE OWL</x:v>
      </x:c>
      <x:c r="D2475" s="13" t="n">
        <x:v>319.5</x:v>
      </x:c>
      <x:c r="E2475" s="13" t="n">
        <x:v>0</x:v>
      </x:c>
      <x:c r="F2475" s="13" t="n">
        <x:f>D2475-E2475</x:f>
        <x:v>319.5</x:v>
      </x:c>
      <x:c r="G2475" s="3" t="n">
        <x:v>258</x:v>
      </x:c>
      <x:c r="H2475" s="3" t="n">
        <x:v>0</x:v>
      </x:c>
      <x:c r="I2475" s="3" t="n">
        <x:v>68</x:v>
      </x:c>
      <x:c r="J2475" s="15" t="n">
        <x:f>IF(D2475=0,"n.a.",E2475/D2475)</x:f>
        <x:v>0</x:v>
      </x:c>
      <x:c r="K2475" s="15" t="n">
        <x:f>F2475/'Datos'!$F$7</x:f>
        <x:v>0.00003262631451800302</x:v>
      </x:c>
      <x:c r="L2475" s="3"/>
    </x:row>
    <x:row r="2476" ht="22" customHeight="1">
      <x:c r="A2476" s="3"/>
      <x:c r="B2476" s="3" t="str">
        <x:v>90161D</x:v>
      </x:c>
      <x:c r="C2476" s="3" t="str">
        <x:v>ANT COPPER PINK BOUDICCA BRACELET</x:v>
      </x:c>
      <x:c r="D2476" s="13" t="n">
        <x:v>318.89</x:v>
      </x:c>
      <x:c r="E2476" s="13" t="n">
        <x:v>0</x:v>
      </x:c>
      <x:c r="F2476" s="13" t="n">
        <x:f>D2476-E2476</x:f>
        <x:v>318.89</x:v>
      </x:c>
      <x:c r="G2476" s="3" t="n">
        <x:v>64</x:v>
      </x:c>
      <x:c r="H2476" s="3" t="n">
        <x:v>0</x:v>
      </x:c>
      <x:c r="I2476" s="3" t="n">
        <x:v>34</x:v>
      </x:c>
      <x:c r="J2476" s="15" t="n">
        <x:f>IF(D2476=0,"n.a.",E2476/D2476)</x:f>
        <x:v>0</x:v>
      </x:c>
      <x:c r="K2476" s="15" t="n">
        <x:f>F2476/'Datos'!$F$7</x:f>
        <x:v>0.00003256402327588727</x:v>
      </x:c>
      <x:c r="L2476" s="3"/>
    </x:row>
    <x:row r="2477" ht="22" customHeight="1">
      <x:c r="A2477" s="3"/>
      <x:c r="B2477" s="3" t="str">
        <x:v>84876B</x:v>
      </x:c>
      <x:c r="C2477" s="3" t="str">
        <x:v>GREEN HEART COMPACT MIRROR</x:v>
      </x:c>
      <x:c r="D2477" s="13" t="n">
        <x:v>318.31</x:v>
      </x:c>
      <x:c r="E2477" s="13" t="n">
        <x:v>0</x:v>
      </x:c>
      <x:c r="F2477" s="13" t="n">
        <x:f>D2477-E2477</x:f>
        <x:v>318.31</x:v>
      </x:c>
      <x:c r="G2477" s="3" t="n">
        <x:v>220</x:v>
      </x:c>
      <x:c r="H2477" s="3" t="n">
        <x:v>0</x:v>
      </x:c>
      <x:c r="I2477" s="3" t="n">
        <x:v>33</x:v>
      </x:c>
      <x:c r="J2477" s="15" t="n">
        <x:f>IF(D2477=0,"n.a.",E2477/D2477)</x:f>
        <x:v>0</x:v>
      </x:c>
      <x:c r="K2477" s="15" t="n">
        <x:f>F2477/'Datos'!$F$7</x:f>
        <x:v>0.00003250479553748213</x:v>
      </x:c>
      <x:c r="L2477" s="3"/>
    </x:row>
    <x:row r="2478" ht="22" customHeight="1">
      <x:c r="A2478" s="3"/>
      <x:c r="B2478" s="3" t="str">
        <x:v>20780</x:v>
      </x:c>
      <x:c r="C2478" s="3" t="str">
        <x:v>BLACK EAR MUFF HEADPHONES</x:v>
      </x:c>
      <x:c r="D2478" s="13" t="n">
        <x:v>318.19</x:v>
      </x:c>
      <x:c r="E2478" s="13" t="n">
        <x:v>0</x:v>
      </x:c>
      <x:c r="F2478" s="13" t="n">
        <x:f>D2478-E2478</x:f>
        <x:v>318.19</x:v>
      </x:c>
      <x:c r="G2478" s="3" t="n">
        <x:v>48</x:v>
      </x:c>
      <x:c r="H2478" s="3" t="n">
        <x:v>0</x:v>
      </x:c>
      <x:c r="I2478" s="3" t="n">
        <x:v>28</x:v>
      </x:c>
      <x:c r="J2478" s="15" t="n">
        <x:f>IF(D2478=0,"n.a.",E2478/D2478)</x:f>
        <x:v>0</x:v>
      </x:c>
      <x:c r="K2478" s="15" t="n">
        <x:f>F2478/'Datos'!$F$7</x:f>
        <x:v>0.00003249254152263969</x:v>
      </x:c>
      <x:c r="L2478" s="3"/>
    </x:row>
    <x:row r="2479" ht="22" customHeight="1">
      <x:c r="A2479" s="3"/>
      <x:c r="B2479" s="3" t="str">
        <x:v>16259</x:v>
      </x:c>
      <x:c r="C2479" s="3" t="str">
        <x:v>PIECE OF CAMO STATIONERY SET</x:v>
      </x:c>
      <x:c r="D2479" s="13" t="n">
        <x:v>326.56</x:v>
      </x:c>
      <x:c r="E2479" s="13" t="n">
        <x:v>8.64</x:v>
      </x:c>
      <x:c r="F2479" s="13" t="n">
        <x:f>D2479-E2479</x:f>
        <x:v>317.92</x:v>
      </x:c>
      <x:c r="G2479" s="3" t="n">
        <x:v>3380</x:v>
      </x:c>
      <x:c r="H2479" s="3" t="n">
        <x:v>108</x:v>
      </x:c>
      <x:c r="I2479" s="3" t="n">
        <x:v>31</x:v>
      </x:c>
      <x:c r="J2479" s="15" t="n">
        <x:f>IF(D2479=0,"n.a.",E2479/D2479)</x:f>
        <x:v>0.026457618814306715</x:v>
      </x:c>
      <x:c r="K2479" s="15" t="n">
        <x:f>F2479/'Datos'!$F$7</x:f>
        <x:v>0.00003246496998924419</x:v>
      </x:c>
      <x:c r="L2479" s="3"/>
    </x:row>
    <x:row r="2480" ht="22" customHeight="1">
      <x:c r="A2480" s="3"/>
      <x:c r="B2480" s="3" t="str">
        <x:v>84849A</x:v>
      </x:c>
      <x:c r="C2480" s="3" t="str">
        <x:v>HELLO SAILOR BLUE SOAP HOLDER</x:v>
      </x:c>
      <x:c r="D2480" s="13" t="n">
        <x:v>344.34</x:v>
      </x:c>
      <x:c r="E2480" s="13" t="n">
        <x:v>27.04</x:v>
      </x:c>
      <x:c r="F2480" s="13" t="n">
        <x:f>D2480-E2480</x:f>
        <x:v>317.29999999999995</x:v>
      </x:c>
      <x:c r="G2480" s="3" t="n">
        <x:v>180</x:v>
      </x:c>
      <x:c r="H2480" s="3" t="n">
        <x:v>16</x:v>
      </x:c>
      <x:c r="I2480" s="3" t="n">
        <x:v>53</x:v>
      </x:c>
      <x:c r="J2480" s="15" t="n">
        <x:f>IF(D2480=0,"n.a.",E2480/D2480)</x:f>
        <x:v>0.07852703723064414</x:v>
      </x:c>
      <x:c r="K2480" s="15" t="n">
        <x:f>F2480/'Datos'!$F$7</x:f>
        <x:v>0.0000324016575792249</x:v>
      </x:c>
      <x:c r="L2480" s="3"/>
    </x:row>
    <x:row r="2481" ht="22" customHeight="1">
      <x:c r="A2481" s="3"/>
      <x:c r="B2481" s="3" t="str">
        <x:v>46118</x:v>
      </x:c>
      <x:c r="C2481" s="3" t="str">
        <x:v>FUNKY MONKEY CUSHION COVER</x:v>
      </x:c>
      <x:c r="D2481" s="13" t="n">
        <x:v>317.17</x:v>
      </x:c>
      <x:c r="E2481" s="13" t="n">
        <x:v>0</x:v>
      </x:c>
      <x:c r="F2481" s="13" t="n">
        <x:f>D2481-E2481</x:f>
        <x:v>317.17</x:v>
      </x:c>
      <x:c r="G2481" s="3" t="n">
        <x:v>232</x:v>
      </x:c>
      <x:c r="H2481" s="3" t="n">
        <x:v>0</x:v>
      </x:c>
      <x:c r="I2481" s="3" t="n">
        <x:v>46</x:v>
      </x:c>
      <x:c r="J2481" s="15" t="n">
        <x:f>IF(D2481=0,"n.a.",E2481/D2481)</x:f>
        <x:v>0</x:v>
      </x:c>
      <x:c r="K2481" s="15" t="n">
        <x:f>F2481/'Datos'!$F$7</x:f>
        <x:v>0.00003238838239647893</x:v>
      </x:c>
      <x:c r="L2481" s="3"/>
    </x:row>
    <x:row r="2482" ht="22" customHeight="1">
      <x:c r="A2482" s="3"/>
      <x:c r="B2482" s="3" t="str">
        <x:v>22765</x:v>
      </x:c>
      <x:c r="C2482" s="3" t="str">
        <x:v>NEWSPAPER STAND</x:v>
      </x:c>
      <x:c r="D2482" s="13" t="n">
        <x:v>316.95</x:v>
      </x:c>
      <x:c r="E2482" s="13" t="n">
        <x:v>0</x:v>
      </x:c>
      <x:c r="F2482" s="13" t="n">
        <x:f>D2482-E2482</x:f>
        <x:v>316.95</x:v>
      </x:c>
      <x:c r="G2482" s="3" t="n">
        <x:v>27</x:v>
      </x:c>
      <x:c r="H2482" s="3" t="n">
        <x:v>0</x:v>
      </x:c>
      <x:c r="I2482" s="3" t="n">
        <x:v>5</x:v>
      </x:c>
      <x:c r="J2482" s="15" t="n">
        <x:f>IF(D2482=0,"n.a.",E2482/D2482)</x:f>
        <x:v>0</x:v>
      </x:c>
      <x:c r="K2482" s="15" t="n">
        <x:f>F2482/'Datos'!$F$7</x:f>
        <x:v>0.000032365916702601116</x:v>
      </x:c>
      <x:c r="L2482" s="3"/>
    </x:row>
    <x:row r="2483" ht="22" customHeight="1">
      <x:c r="A2483" s="3"/>
      <x:c r="B2483" s="3" t="str">
        <x:v>20936</x:v>
      </x:c>
      <x:c r="C2483" s="3" t="str">
        <x:v>FORKED CACTUS CANDLE</x:v>
      </x:c>
      <x:c r="D2483" s="13" t="n">
        <x:v>319.66</x:v>
      </x:c>
      <x:c r="E2483" s="13" t="n">
        <x:v>2.95</x:v>
      </x:c>
      <x:c r="F2483" s="13" t="n">
        <x:f>D2483-E2483</x:f>
        <x:v>316.71000000000004</x:v>
      </x:c>
      <x:c r="G2483" s="3" t="n">
        <x:v>100</x:v>
      </x:c>
      <x:c r="H2483" s="3" t="n">
        <x:v>1</x:v>
      </x:c>
      <x:c r="I2483" s="3" t="n">
        <x:v>34</x:v>
      </x:c>
      <x:c r="J2483" s="15" t="n">
        <x:f>IF(D2483=0,"n.a.",E2483/D2483)</x:f>
        <x:v>0.009228555340048801</x:v>
      </x:c>
      <x:c r="K2483" s="15" t="n">
        <x:f>F2483/'Datos'!$F$7</x:f>
        <x:v>0.000032341408672916235</x:v>
      </x:c>
      <x:c r="L2483" s="3"/>
    </x:row>
    <x:row r="2484" ht="22" customHeight="1">
      <x:c r="A2484" s="3"/>
      <x:c r="B2484" s="3" t="str">
        <x:v>35915C</x:v>
      </x:c>
      <x:c r="C2484" s="3" t="str">
        <x:v>PEACH KNITTED HEN</x:v>
      </x:c>
      <x:c r="D2484" s="13" t="n">
        <x:v>316.46</x:v>
      </x:c>
      <x:c r="E2484" s="13" t="n">
        <x:v>0</x:v>
      </x:c>
      <x:c r="F2484" s="13" t="n">
        <x:f>D2484-E2484</x:f>
        <x:v>316.46</x:v>
      </x:c>
      <x:c r="G2484" s="3" t="n">
        <x:v>315</x:v>
      </x:c>
      <x:c r="H2484" s="3" t="n">
        <x:v>0</x:v>
      </x:c>
      <x:c r="I2484" s="3" t="n">
        <x:v>60</x:v>
      </x:c>
      <x:c r="J2484" s="15" t="n">
        <x:f>IF(D2484=0,"n.a.",E2484/D2484)</x:f>
        <x:v>0</x:v>
      </x:c>
      <x:c r="K2484" s="15" t="n">
        <x:f>F2484/'Datos'!$F$7</x:f>
        <x:v>0.00003231587947532781</x:v>
      </x:c>
      <x:c r="L2484" s="3"/>
    </x:row>
    <x:row r="2485" ht="22" customHeight="1">
      <x:c r="A2485" s="3"/>
      <x:c r="B2485" s="3" t="str">
        <x:v>90198A</x:v>
      </x:c>
      <x:c r="C2485" s="3" t="str">
        <x:v>VINTAGE ROSE BEAD BRACELET RASPBERR</x:v>
      </x:c>
      <x:c r="D2485" s="13" t="n">
        <x:v>315.73</x:v>
      </x:c>
      <x:c r="E2485" s="13" t="n">
        <x:v>0</x:v>
      </x:c>
      <x:c r="F2485" s="13" t="n">
        <x:f>D2485-E2485</x:f>
        <x:v>315.73</x:v>
      </x:c>
      <x:c r="G2485" s="3" t="n">
        <x:v>75</x:v>
      </x:c>
      <x:c r="H2485" s="3" t="n">
        <x:v>0</x:v>
      </x:c>
      <x:c r="I2485" s="3" t="n">
        <x:v>44</x:v>
      </x:c>
      <x:c r="J2485" s="15" t="n">
        <x:f>IF(D2485=0,"n.a.",E2485/D2485)</x:f>
        <x:v>0</x:v>
      </x:c>
      <x:c r="K2485" s="15" t="n">
        <x:f>F2485/'Datos'!$F$7</x:f>
        <x:v>0.00003224133421836962</x:v>
      </x:c>
      <x:c r="L2485" s="3"/>
    </x:row>
    <x:row r="2486" ht="22" customHeight="1">
      <x:c r="A2486" s="3"/>
      <x:c r="B2486" s="3" t="str">
        <x:v>22202</x:v>
      </x:c>
      <x:c r="C2486" s="3" t="str">
        <x:v>MILK PAN PINK POLKADOT</x:v>
      </x:c>
      <x:c r="D2486" s="13" t="n">
        <x:v>319.35</x:v>
      </x:c>
      <x:c r="E2486" s="13" t="n">
        <x:v>3.75</x:v>
      </x:c>
      <x:c r="F2486" s="13" t="n">
        <x:f>D2486-E2486</x:f>
        <x:v>315.6</x:v>
      </x:c>
      <x:c r="G2486" s="3" t="n">
        <x:v>64</x:v>
      </x:c>
      <x:c r="H2486" s="3" t="n">
        <x:v>1</x:v>
      </x:c>
      <x:c r="I2486" s="3" t="n">
        <x:v>37</x:v>
      </x:c>
      <x:c r="J2486" s="15" t="n">
        <x:f>IF(D2486=0,"n.a.",E2486/D2486)</x:f>
        <x:v>0.011742602160638797</x:v>
      </x:c>
      <x:c r="K2486" s="15" t="n">
        <x:f>F2486/'Datos'!$F$7</x:f>
        <x:v>0.00003222805903562364</x:v>
      </x:c>
      <x:c r="L2486" s="3"/>
    </x:row>
    <x:row r="2487" ht="22" customHeight="1">
      <x:c r="A2487" s="3"/>
      <x:c r="B2487" s="3" t="str">
        <x:v>21375</x:v>
      </x:c>
      <x:c r="C2487" s="3" t="str">
        <x:v>LARGE CAMPHOR WOOD FIELD MUSHROOM</x:v>
      </x:c>
      <x:c r="D2487" s="13" t="n">
        <x:v>315.27</x:v>
      </x:c>
      <x:c r="E2487" s="13" t="n">
        <x:v>0</x:v>
      </x:c>
      <x:c r="F2487" s="13" t="n">
        <x:f>D2487-E2487</x:f>
        <x:v>315.27</x:v>
      </x:c>
      <x:c r="G2487" s="3" t="n">
        <x:v>43</x:v>
      </x:c>
      <x:c r="H2487" s="3" t="n">
        <x:v>0</x:v>
      </x:c>
      <x:c r="I2487" s="3" t="n">
        <x:v>27</x:v>
      </x:c>
      <x:c r="J2487" s="15" t="n">
        <x:f>IF(D2487=0,"n.a.",E2487/D2487)</x:f>
        <x:v>0</x:v>
      </x:c>
      <x:c r="K2487" s="15" t="n">
        <x:f>F2487/'Datos'!$F$7</x:f>
        <x:v>0.00003219436049480692</x:v>
      </x:c>
      <x:c r="L2487" s="3"/>
    </x:row>
    <x:row r="2488" ht="22" customHeight="1">
      <x:c r="A2488" s="3"/>
      <x:c r="B2488" s="3" t="str">
        <x:v>85202</x:v>
      </x:c>
      <x:c r="C2488" s="3" t="str">
        <x:v>HANGING WOOD AND FELT HEART</x:v>
      </x:c>
      <x:c r="D2488" s="13" t="n">
        <x:v>314.81</x:v>
      </x:c>
      <x:c r="E2488" s="13" t="n">
        <x:v>0</x:v>
      </x:c>
      <x:c r="F2488" s="13" t="n">
        <x:f>D2488-E2488</x:f>
        <x:v>314.81</x:v>
      </x:c>
      <x:c r="G2488" s="3" t="n">
        <x:v>676</x:v>
      </x:c>
      <x:c r="H2488" s="3" t="n">
        <x:v>0</x:v>
      </x:c>
      <x:c r="I2488" s="3" t="n">
        <x:v>106</x:v>
      </x:c>
      <x:c r="J2488" s="15" t="n">
        <x:f>IF(D2488=0,"n.a.",E2488/D2488)</x:f>
        <x:v>0</x:v>
      </x:c>
      <x:c r="K2488" s="15" t="n">
        <x:f>F2488/'Datos'!$F$7</x:f>
        <x:v>0.000032147386771244225</x:v>
      </x:c>
      <x:c r="L2488" s="3"/>
    </x:row>
    <x:row r="2489" ht="22" customHeight="1">
      <x:c r="A2489" s="3"/>
      <x:c r="B2489" s="3" t="str">
        <x:v>85170B</x:v>
      </x:c>
      <x:c r="C2489" s="3" t="str">
        <x:v>SET/6 BLACK BIRD T-LIGHT CANDLES</x:v>
      </x:c>
      <x:c r="D2489" s="13" t="n">
        <x:v>316.75</x:v>
      </x:c>
      <x:c r="E2489" s="13" t="n">
        <x:v>2.1</x:v>
      </x:c>
      <x:c r="F2489" s="13" t="n">
        <x:f>D2489-E2489</x:f>
        <x:v>314.65</x:v>
      </x:c>
      <x:c r="G2489" s="3" t="n">
        <x:v>215</x:v>
      </x:c>
      <x:c r="H2489" s="3" t="n">
        <x:v>1</x:v>
      </x:c>
      <x:c r="I2489" s="3" t="n">
        <x:v>39</x:v>
      </x:c>
      <x:c r="J2489" s="15" t="n">
        <x:f>IF(D2489=0,"n.a.",E2489/D2489)</x:f>
        <x:v>0.0066298342541436465</x:v>
      </x:c>
      <x:c r="K2489" s="15" t="n">
        <x:f>F2489/'Datos'!$F$7</x:f>
        <x:v>0.00003213104808478763</x:v>
      </x:c>
      <x:c r="L2489" s="3"/>
    </x:row>
    <x:row r="2490" ht="22" customHeight="1">
      <x:c r="A2490" s="3"/>
      <x:c r="B2490" s="3" t="str">
        <x:v>84584</x:v>
      </x:c>
      <x:c r="C2490" s="3" t="str">
        <x:v>PINK GINGHAM CAT WITH SCARF</x:v>
      </x:c>
      <x:c r="D2490" s="13" t="n">
        <x:v>314.51</x:v>
      </x:c>
      <x:c r="E2490" s="13" t="n">
        <x:v>0</x:v>
      </x:c>
      <x:c r="F2490" s="13" t="n">
        <x:f>D2490-E2490</x:f>
        <x:v>314.51</x:v>
      </x:c>
      <x:c r="G2490" s="3" t="n">
        <x:v>144</x:v>
      </x:c>
      <x:c r="H2490" s="3" t="n">
        <x:v>0</x:v>
      </x:c>
      <x:c r="I2490" s="3" t="n">
        <x:v>30</x:v>
      </x:c>
      <x:c r="J2490" s="15" t="n">
        <x:f>IF(D2490=0,"n.a.",E2490/D2490)</x:f>
        <x:v>0</x:v>
      </x:c>
      <x:c r="K2490" s="15" t="n">
        <x:f>F2490/'Datos'!$F$7</x:f>
        <x:v>0.000032116751734138116</x:v>
      </x:c>
      <x:c r="L2490" s="3"/>
    </x:row>
    <x:row r="2491" ht="22" customHeight="1">
      <x:c r="A2491" s="3"/>
      <x:c r="B2491" s="3" t="str">
        <x:v>21841</x:v>
      </x:c>
      <x:c r="C2491" s="3" t="str">
        <x:v>BABY MOUSE RED GINGHAM DRESS</x:v>
      </x:c>
      <x:c r="D2491" s="13" t="n">
        <x:v>314.5</x:v>
      </x:c>
      <x:c r="E2491" s="13" t="n">
        <x:v>0</x:v>
      </x:c>
      <x:c r="F2491" s="13" t="n">
        <x:f>D2491-E2491</x:f>
        <x:v>314.5</x:v>
      </x:c>
      <x:c r="G2491" s="3" t="n">
        <x:v>74</x:v>
      </x:c>
      <x:c r="H2491" s="3" t="n">
        <x:v>0</x:v>
      </x:c>
      <x:c r="I2491" s="3" t="n">
        <x:v>21</x:v>
      </x:c>
      <x:c r="J2491" s="15" t="n">
        <x:f>IF(D2491=0,"n.a.",E2491/D2491)</x:f>
        <x:v>0</x:v>
      </x:c>
      <x:c r="K2491" s="15" t="n">
        <x:f>F2491/'Datos'!$F$7</x:f>
        <x:v>0.00003211573056623458</x:v>
      </x:c>
      <x:c r="L2491" s="3"/>
    </x:row>
    <x:row r="2492" ht="22" customHeight="1">
      <x:c r="A2492" s="3"/>
      <x:c r="B2492" s="3" t="str">
        <x:v>17084N</x:v>
      </x:c>
      <x:c r="C2492" s="3" t="str">
        <x:v>FAIRY DREAMS INCENSE</x:v>
      </x:c>
      <x:c r="D2492" s="13" t="n">
        <x:v>313.31</x:v>
      </x:c>
      <x:c r="E2492" s="13" t="n">
        <x:v>0</x:v>
      </x:c>
      <x:c r="F2492" s="13" t="n">
        <x:f>D2492-E2492</x:f>
        <x:v>313.31</x:v>
      </x:c>
      <x:c r="G2492" s="3" t="n">
        <x:v>1264</x:v>
      </x:c>
      <x:c r="H2492" s="3" t="n">
        <x:v>0</x:v>
      </x:c>
      <x:c r="I2492" s="3" t="n">
        <x:v>101</x:v>
      </x:c>
      <x:c r="J2492" s="15" t="n">
        <x:f>IF(D2492=0,"n.a.",E2492/D2492)</x:f>
        <x:v>0</x:v>
      </x:c>
      <x:c r="K2492" s="15" t="n">
        <x:f>F2492/'Datos'!$F$7</x:f>
        <x:v>0.0000319942115857137</x:v>
      </x:c>
      <x:c r="L2492" s="3"/>
    </x:row>
    <x:row r="2493" ht="22" customHeight="1">
      <x:c r="A2493" s="3"/>
      <x:c r="B2493" s="3" t="str">
        <x:v>84358</x:v>
      </x:c>
      <x:c r="C2493" s="3" t="str">
        <x:v>FLOOR LAMP SHADE WOOD BASE</x:v>
      </x:c>
      <x:c r="D2493" s="13" t="n">
        <x:v>312.7</x:v>
      </x:c>
      <x:c r="E2493" s="13" t="n">
        <x:v>0</x:v>
      </x:c>
      <x:c r="F2493" s="13" t="n">
        <x:f>D2493-E2493</x:f>
        <x:v>312.7</x:v>
      </x:c>
      <x:c r="G2493" s="3" t="n">
        <x:v>33</x:v>
      </x:c>
      <x:c r="H2493" s="3" t="n">
        <x:v>0</x:v>
      </x:c>
      <x:c r="I2493" s="3" t="n">
        <x:v>13</x:v>
      </x:c>
      <x:c r="J2493" s="15" t="n">
        <x:f>IF(D2493=0,"n.a.",E2493/D2493)</x:f>
        <x:v>0</x:v>
      </x:c>
      <x:c r="K2493" s="15" t="n">
        <x:f>F2493/'Datos'!$F$7</x:f>
        <x:v>0.000031931920343597946</x:v>
      </x:c>
      <x:c r="L2493" s="3"/>
    </x:row>
    <x:row r="2494" ht="22" customHeight="1">
      <x:c r="A2494" s="3"/>
      <x:c r="B2494" s="3" t="str">
        <x:v>84510C</x:v>
      </x:c>
      <x:c r="C2494" s="3" t="str">
        <x:v>SET OF 4 POLKADOT COASTERS</x:v>
      </x:c>
      <x:c r="D2494" s="13" t="n">
        <x:v>312.53</x:v>
      </x:c>
      <x:c r="E2494" s="13" t="n">
        <x:v>0</x:v>
      </x:c>
      <x:c r="F2494" s="13" t="n">
        <x:f>D2494-E2494</x:f>
        <x:v>312.53</x:v>
      </x:c>
      <x:c r="G2494" s="3" t="n">
        <x:v>174</x:v>
      </x:c>
      <x:c r="H2494" s="3" t="n">
        <x:v>0</x:v>
      </x:c>
      <x:c r="I2494" s="3" t="n">
        <x:v>77</x:v>
      </x:c>
      <x:c r="J2494" s="15" t="n">
        <x:f>IF(D2494=0,"n.a.",E2494/D2494)</x:f>
        <x:v>0</x:v>
      </x:c>
      <x:c r="K2494" s="15" t="n">
        <x:f>F2494/'Datos'!$F$7</x:f>
        <x:v>0.00003191456048923782</x:v>
      </x:c>
      <x:c r="L2494" s="3"/>
    </x:row>
    <x:row r="2495" ht="22" customHeight="1">
      <x:c r="A2495" s="3"/>
      <x:c r="B2495" s="3" t="str">
        <x:v>21442</x:v>
      </x:c>
      <x:c r="C2495" s="3" t="str">
        <x:v>GREEN BIRDHOUSE DECORATION</x:v>
      </x:c>
      <x:c r="D2495" s="13" t="n">
        <x:v>310.49</x:v>
      </x:c>
      <x:c r="E2495" s="13" t="n">
        <x:v>0</x:v>
      </x:c>
      <x:c r="F2495" s="13" t="n">
        <x:f>D2495-E2495</x:f>
        <x:v>310.49</x:v>
      </x:c>
      <x:c r="G2495" s="3" t="n">
        <x:v>440</x:v>
      </x:c>
      <x:c r="H2495" s="3" t="n">
        <x:v>0</x:v>
      </x:c>
      <x:c r="I2495" s="3" t="n">
        <x:v>59</x:v>
      </x:c>
      <x:c r="J2495" s="15" t="n">
        <x:f>IF(D2495=0,"n.a.",E2495/D2495)</x:f>
        <x:v>0</x:v>
      </x:c>
      <x:c r="K2495" s="15" t="n">
        <x:f>F2495/'Datos'!$F$7</x:f>
        <x:v>0.0000317062422369163</x:v>
      </x:c>
      <x:c r="L2495" s="3"/>
    </x:row>
    <x:row r="2496" ht="22" customHeight="1">
      <x:c r="A2496" s="3"/>
      <x:c r="B2496" s="3" t="str">
        <x:v>21944</x:v>
      </x:c>
      <x:c r="C2496" s="3" t="str">
        <x:v>KITTENS DESIGN FLANNEL</x:v>
      </x:c>
      <x:c r="D2496" s="13" t="n">
        <x:v>310.19</x:v>
      </x:c>
      <x:c r="E2496" s="13" t="n">
        <x:v>0</x:v>
      </x:c>
      <x:c r="F2496" s="13" t="n">
        <x:f>D2496-E2496</x:f>
        <x:v>310.19</x:v>
      </x:c>
      <x:c r="G2496" s="3" t="n">
        <x:v>337</x:v>
      </x:c>
      <x:c r="H2496" s="3" t="n">
        <x:v>0</x:v>
      </x:c>
      <x:c r="I2496" s="3" t="n">
        <x:v>100</x:v>
      </x:c>
      <x:c r="J2496" s="15" t="n">
        <x:f>IF(D2496=0,"n.a.",E2496/D2496)</x:f>
        <x:v>0</x:v>
      </x:c>
      <x:c r="K2496" s="15" t="n">
        <x:f>F2496/'Datos'!$F$7</x:f>
        <x:v>0.00003167560719981019</x:v>
      </x:c>
      <x:c r="L2496" s="3"/>
    </x:row>
    <x:row r="2497" ht="22" customHeight="1">
      <x:c r="A2497" s="3"/>
      <x:c r="B2497" s="3" t="str">
        <x:v>47021G</x:v>
      </x:c>
      <x:c r="C2497" s="3" t="str">
        <x:v>SET/6 BEAD COASTERS GAUZE BAG GOLD</x:v>
      </x:c>
      <x:c r="D2497" s="13" t="n">
        <x:v>309.3</x:v>
      </x:c>
      <x:c r="E2497" s="13" t="n">
        <x:v>0</x:v>
      </x:c>
      <x:c r="F2497" s="13" t="n">
        <x:f>D2497-E2497</x:f>
        <x:v>309.3</x:v>
      </x:c>
      <x:c r="G2497" s="3" t="n">
        <x:v>582</x:v>
      </x:c>
      <x:c r="H2497" s="3" t="n">
        <x:v>0</x:v>
      </x:c>
      <x:c r="I2497" s="3" t="n">
        <x:v>27</x:v>
      </x:c>
      <x:c r="J2497" s="15" t="n">
        <x:f>IF(D2497=0,"n.a.",E2497/D2497)</x:f>
        <x:v>0</x:v>
      </x:c>
      <x:c r="K2497" s="15" t="n">
        <x:f>F2497/'Datos'!$F$7</x:f>
        <x:v>0.00003158472325639541</x:v>
      </x:c>
      <x:c r="L2497" s="3"/>
    </x:row>
    <x:row r="2498" ht="22" customHeight="1">
      <x:c r="A2498" s="3"/>
      <x:c r="B2498" s="3" t="str">
        <x:v>22124</x:v>
      </x:c>
      <x:c r="C2498" s="3" t="str">
        <x:v>SET OF 2 TEA TOWELS PING MICROWAVE</x:v>
      </x:c>
      <x:c r="D2498" s="13" t="n">
        <x:v>309.11</x:v>
      </x:c>
      <x:c r="E2498" s="13" t="n">
        <x:v>0</x:v>
      </x:c>
      <x:c r="F2498" s="13" t="n">
        <x:f>D2498-E2498</x:f>
        <x:v>309.11</x:v>
      </x:c>
      <x:c r="G2498" s="3" t="n">
        <x:v>150</x:v>
      </x:c>
      <x:c r="H2498" s="3" t="n">
        <x:v>0</x:v>
      </x:c>
      <x:c r="I2498" s="3" t="n">
        <x:v>76</x:v>
      </x:c>
      <x:c r="J2498" s="15" t="n">
        <x:f>IF(D2498=0,"n.a.",E2498/D2498)</x:f>
        <x:v>0</x:v>
      </x:c>
      <x:c r="K2498" s="15" t="n">
        <x:f>F2498/'Datos'!$F$7</x:f>
        <x:v>0.00003156532106622821</x:v>
      </x:c>
      <x:c r="L2498" s="3"/>
    </x:row>
    <x:row r="2499" ht="22" customHeight="1">
      <x:c r="A2499" s="3"/>
      <x:c r="B2499" s="3" t="str">
        <x:v>21719</x:v>
      </x:c>
      <x:c r="C2499" s="3" t="str">
        <x:v>LOVELY BONBON STICKER SHEET</x:v>
      </x:c>
      <x:c r="D2499" s="13" t="n">
        <x:v>307.44</x:v>
      </x:c>
      <x:c r="E2499" s="13" t="n">
        <x:v>0</x:v>
      </x:c>
      <x:c r="F2499" s="13" t="n">
        <x:f>D2499-E2499</x:f>
        <x:v>307.44</x:v>
      </x:c>
      <x:c r="G2499" s="3" t="n">
        <x:v>345</x:v>
      </x:c>
      <x:c r="H2499" s="3" t="n">
        <x:v>0</x:v>
      </x:c>
      <x:c r="I2499" s="3" t="n">
        <x:v>58</x:v>
      </x:c>
      <x:c r="J2499" s="15" t="n">
        <x:f>IF(D2499=0,"n.a.",E2499/D2499)</x:f>
        <x:v>0</x:v>
      </x:c>
      <x:c r="K2499" s="15" t="n">
        <x:f>F2499/'Datos'!$F$7</x:f>
        <x:v>0.00003139478602633755</x:v>
      </x:c>
      <x:c r="L2499" s="3"/>
    </x:row>
    <x:row r="2500" ht="22" customHeight="1">
      <x:c r="A2500" s="3"/>
      <x:c r="B2500" s="3" t="str">
        <x:v>47594B</x:v>
      </x:c>
      <x:c r="C2500" s="3" t="str">
        <x:v>SCOTTIES DESIGN WASHBAG</x:v>
      </x:c>
      <x:c r="D2500" s="13" t="n">
        <x:v>314.55</x:v>
      </x:c>
      <x:c r="E2500" s="13" t="n">
        <x:v>7.8</x:v>
      </x:c>
      <x:c r="F2500" s="13" t="n">
        <x:f>D2500-E2500</x:f>
        <x:v>306.75</x:v>
      </x:c>
      <x:c r="G2500" s="3" t="n">
        <x:v>170</x:v>
      </x:c>
      <x:c r="H2500" s="3" t="n">
        <x:v>4</x:v>
      </x:c>
      <x:c r="I2500" s="3" t="n">
        <x:v>56</x:v>
      </x:c>
      <x:c r="J2500" s="15" t="n">
        <x:f>IF(D2500=0,"n.a.",E2500/D2500)</x:f>
        <x:v>0.02479732951835956</x:v>
      </x:c>
      <x:c r="K2500" s="15" t="n">
        <x:f>F2500/'Datos'!$F$7</x:f>
        <x:v>0.00003132432544099351</x:v>
      </x:c>
      <x:c r="L2500" s="3"/>
    </x:row>
    <x:row r="2501" ht="22" customHeight="1">
      <x:c r="A2501" s="3"/>
      <x:c r="B2501" s="3" t="str">
        <x:v>23495</x:v>
      </x:c>
      <x:c r="C2501" s="3" t="str">
        <x:v>SET OF 3 PANTRY WOODEN SPOONS</x:v>
      </x:c>
      <x:c r="D2501" s="13" t="n">
        <x:v>306.66</x:v>
      </x:c>
      <x:c r="E2501" s="13" t="n">
        <x:v>0</x:v>
      </x:c>
      <x:c r="F2501" s="13" t="n">
        <x:f>D2501-E2501</x:f>
        <x:v>306.66</x:v>
      </x:c>
      <x:c r="G2501" s="3" t="n">
        <x:v>225</x:v>
      </x:c>
      <x:c r="H2501" s="3" t="n">
        <x:v>0</x:v>
      </x:c>
      <x:c r="I2501" s="3" t="n">
        <x:v>41</x:v>
      </x:c>
      <x:c r="J2501" s="15" t="n">
        <x:f>IF(D2501=0,"n.a.",E2501/D2501)</x:f>
        <x:v>0</x:v>
      </x:c>
      <x:c r="K2501" s="15" t="n">
        <x:f>F2501/'Datos'!$F$7</x:f>
        <x:v>0.00003131513492986168</x:v>
      </x:c>
      <x:c r="L2501" s="3"/>
    </x:row>
    <x:row r="2502" ht="22" customHeight="1">
      <x:c r="A2502" s="3"/>
      <x:c r="B2502" s="3" t="str">
        <x:v>20622</x:v>
      </x:c>
      <x:c r="C2502" s="3" t="str">
        <x:v>VIPPASSPORT COVER</x:v>
      </x:c>
      <x:c r="D2502" s="13" t="n">
        <x:v>305.8</x:v>
      </x:c>
      <x:c r="E2502" s="13" t="n">
        <x:v>0</x:v>
      </x:c>
      <x:c r="F2502" s="13" t="n">
        <x:f>D2502-E2502</x:f>
        <x:v>305.8</x:v>
      </x:c>
      <x:c r="G2502" s="3" t="n">
        <x:v>186</x:v>
      </x:c>
      <x:c r="H2502" s="3" t="n">
        <x:v>0</x:v>
      </x:c>
      <x:c r="I2502" s="3" t="n">
        <x:v>51</x:v>
      </x:c>
      <x:c r="J2502" s="15" t="n">
        <x:f>IF(D2502=0,"n.a.",E2502/D2502)</x:f>
        <x:v>0</x:v>
      </x:c>
      <x:c r="K2502" s="15" t="n">
        <x:f>F2502/'Datos'!$F$7</x:f>
        <x:v>0.000031227314490157506</x:v>
      </x:c>
      <x:c r="L2502" s="3"/>
    </x:row>
    <x:row r="2503" ht="22" customHeight="1">
      <x:c r="A2503" s="3"/>
      <x:c r="B2503" s="3" t="str">
        <x:v>84661B</x:v>
      </x:c>
      <x:c r="C2503" s="3" t="str">
        <x:v>BLACK SQUARE TABLE CLOCK</x:v>
      </x:c>
      <x:c r="D2503" s="13" t="n">
        <x:v>305.2</x:v>
      </x:c>
      <x:c r="E2503" s="13" t="n">
        <x:v>0</x:v>
      </x:c>
      <x:c r="F2503" s="13" t="n">
        <x:f>D2503-E2503</x:f>
        <x:v>305.2</x:v>
      </x:c>
      <x:c r="G2503" s="3" t="n">
        <x:v>116</x:v>
      </x:c>
      <x:c r="H2503" s="3" t="n">
        <x:v>0</x:v>
      </x:c>
      <x:c r="I2503" s="3" t="n">
        <x:v>30</x:v>
      </x:c>
      <x:c r="J2503" s="15" t="n">
        <x:f>IF(D2503=0,"n.a.",E2503/D2503)</x:f>
        <x:v>0</x:v>
      </x:c>
      <x:c r="K2503" s="15" t="n">
        <x:f>F2503/'Datos'!$F$7</x:f>
        <x:v>0.00003116604441594529</x:v>
      </x:c>
      <x:c r="L2503" s="3"/>
    </x:row>
    <x:row r="2504" ht="22" customHeight="1">
      <x:c r="A2504" s="3"/>
      <x:c r="B2504" s="3" t="str">
        <x:v>22040</x:v>
      </x:c>
      <x:c r="C2504" s="3" t="str">
        <x:v>BOTANICAL ROSE GIFT WRAP</x:v>
      </x:c>
      <x:c r="D2504" s="13" t="n">
        <x:v>304.5</x:v>
      </x:c>
      <x:c r="E2504" s="13" t="n">
        <x:v>0</x:v>
      </x:c>
      <x:c r="F2504" s="13" t="n">
        <x:f>D2504-E2504</x:f>
        <x:v>304.5</x:v>
      </x:c>
      <x:c r="G2504" s="3" t="n">
        <x:v>725</x:v>
      </x:c>
      <x:c r="H2504" s="3" t="n">
        <x:v>0</x:v>
      </x:c>
      <x:c r="I2504" s="3" t="n">
        <x:v>28</x:v>
      </x:c>
      <x:c r="J2504" s="15" t="n">
        <x:f>IF(D2504=0,"n.a.",E2504/D2504)</x:f>
        <x:v>0</x:v>
      </x:c>
      <x:c r="K2504" s="15" t="n">
        <x:f>F2504/'Datos'!$F$7</x:f>
        <x:v>0.000031094562662697715</x:v>
      </x:c>
      <x:c r="L2504" s="3"/>
    </x:row>
    <x:row r="2505" ht="22" customHeight="1">
      <x:c r="A2505" s="3"/>
      <x:c r="B2505" s="3" t="str">
        <x:v>22043</x:v>
      </x:c>
      <x:c r="C2505" s="3" t="str">
        <x:v>CHRISTMAS CARD SCREEN PRINT</x:v>
      </x:c>
      <x:c r="D2505" s="13" t="n">
        <x:v>304.5</x:v>
      </x:c>
      <x:c r="E2505" s="13" t="n">
        <x:v>0</x:v>
      </x:c>
      <x:c r="F2505" s="13" t="n">
        <x:f>D2505-E2505</x:f>
        <x:v>304.5</x:v>
      </x:c>
      <x:c r="G2505" s="3" t="n">
        <x:v>1238</x:v>
      </x:c>
      <x:c r="H2505" s="3" t="n">
        <x:v>0</x:v>
      </x:c>
      <x:c r="I2505" s="3" t="n">
        <x:v>64</x:v>
      </x:c>
      <x:c r="J2505" s="15" t="n">
        <x:f>IF(D2505=0,"n.a.",E2505/D2505)</x:f>
        <x:v>0</x:v>
      </x:c>
      <x:c r="K2505" s="15" t="n">
        <x:f>F2505/'Datos'!$F$7</x:f>
        <x:v>0.000031094562662697715</x:v>
      </x:c>
      <x:c r="L2505" s="3"/>
    </x:row>
    <x:row r="2506" ht="22" customHeight="1">
      <x:c r="A2506" s="3"/>
      <x:c r="B2506" s="3" t="str">
        <x:v>90147</x:v>
      </x:c>
      <x:c r="C2506" s="3" t="str">
        <x:v>CHUNKY SILVER NECKLACE PASTEL FLOWE</x:v>
      </x:c>
      <x:c r="D2506" s="13" t="n">
        <x:v>324.01</x:v>
      </x:c>
      <x:c r="E2506" s="13" t="n">
        <x:v>19.9</x:v>
      </x:c>
      <x:c r="F2506" s="13" t="n">
        <x:f>D2506-E2506</x:f>
        <x:v>304.11</x:v>
      </x:c>
      <x:c r="G2506" s="3" t="n">
        <x:v>32</x:v>
      </x:c>
      <x:c r="H2506" s="3" t="n">
        <x:v>2</x:v>
      </x:c>
      <x:c r="I2506" s="3" t="n">
        <x:v>23</x:v>
      </x:c>
      <x:c r="J2506" s="15" t="n">
        <x:f>IF(D2506=0,"n.a.",E2506/D2506)</x:f>
        <x:v>0.061417857473534766</x:v>
      </x:c>
      <x:c r="K2506" s="15" t="n">
        <x:f>F2506/'Datos'!$F$7</x:f>
        <x:v>0.00003105473711445977</x:v>
      </x:c>
      <x:c r="L2506" s="3"/>
    </x:row>
    <x:row r="2507" ht="22" customHeight="1">
      <x:c r="A2507" s="3"/>
      <x:c r="B2507" s="3" t="str">
        <x:v>22641</x:v>
      </x:c>
      <x:c r="C2507" s="3" t="str">
        <x:v>SET OF 4 NAPKIN CHARMS INSTRUMENT</x:v>
      </x:c>
      <x:c r="D2507" s="13" t="n">
        <x:v>303.73</x:v>
      </x:c>
      <x:c r="E2507" s="13" t="n">
        <x:v>0</x:v>
      </x:c>
      <x:c r="F2507" s="13" t="n">
        <x:f>D2507-E2507</x:f>
        <x:v>303.73</x:v>
      </x:c>
      <x:c r="G2507" s="3" t="n">
        <x:v>139</x:v>
      </x:c>
      <x:c r="H2507" s="3" t="n">
        <x:v>0</x:v>
      </x:c>
      <x:c r="I2507" s="3" t="n">
        <x:v>37</x:v>
      </x:c>
      <x:c r="J2507" s="15" t="n">
        <x:f>IF(D2507=0,"n.a.",E2507/D2507)</x:f>
        <x:v>0</x:v>
      </x:c>
      <x:c r="K2507" s="15" t="n">
        <x:f>F2507/'Datos'!$F$7</x:f>
        <x:v>0.000031015932734125376</x:v>
      </x:c>
      <x:c r="L2507" s="3"/>
    </x:row>
    <x:row r="2508" ht="22" customHeight="1">
      <x:c r="A2508" s="3"/>
      <x:c r="B2508" s="3" t="str">
        <x:v>72586</x:v>
      </x:c>
      <x:c r="C2508" s="3" t="str">
        <x:v>SET OF 6 HALLOWEEN GHOST T-LIGHTS</x:v>
      </x:c>
      <x:c r="D2508" s="13" t="n">
        <x:v>318.67</x:v>
      </x:c>
      <x:c r="E2508" s="13" t="n">
        <x:v>15.12</x:v>
      </x:c>
      <x:c r="F2508" s="13" t="n">
        <x:f>D2508-E2508</x:f>
        <x:v>303.55</x:v>
      </x:c>
      <x:c r="G2508" s="3" t="n">
        <x:v>693</x:v>
      </x:c>
      <x:c r="H2508" s="3" t="n">
        <x:v>36</x:v>
      </x:c>
      <x:c r="I2508" s="3" t="n">
        <x:v>83</x:v>
      </x:c>
      <x:c r="J2508" s="15" t="n">
        <x:f>IF(D2508=0,"n.a.",E2508/D2508)</x:f>
        <x:v>0.04744720243512097</x:v>
      </x:c>
      <x:c r="K2508" s="15" t="n">
        <x:f>F2508/'Datos'!$F$7</x:f>
        <x:v>0.00003099755171186171</x:v>
      </x:c>
      <x:c r="L2508" s="3"/>
    </x:row>
    <x:row r="2509" ht="22" customHeight="1">
      <x:c r="A2509" s="3"/>
      <x:c r="B2509" s="3" t="str">
        <x:v>84766</x:v>
      </x:c>
      <x:c r="C2509" s="3" t="str">
        <x:v>SILVER ROCOCO CANDLE STICK</x:v>
      </x:c>
      <x:c r="D2509" s="13" t="n">
        <x:v>340.7</x:v>
      </x:c>
      <x:c r="E2509" s="13" t="n">
        <x:v>37.25</x:v>
      </x:c>
      <x:c r="F2509" s="13" t="n">
        <x:f>D2509-E2509</x:f>
        <x:v>303.45</x:v>
      </x:c>
      <x:c r="G2509" s="3" t="n">
        <x:v>146</x:v>
      </x:c>
      <x:c r="H2509" s="3" t="n">
        <x:v>15</x:v>
      </x:c>
      <x:c r="I2509" s="3" t="n">
        <x:v>14</x:v>
      </x:c>
      <x:c r="J2509" s="15" t="n">
        <x:f>IF(D2509=0,"n.a.",E2509/D2509)</x:f>
        <x:v>0.10933372468447315</x:v>
      </x:c>
      <x:c r="K2509" s="15" t="n">
        <x:f>F2509/'Datos'!$F$7</x:f>
        <x:v>0.00003098734003282634</x:v>
      </x:c>
      <x:c r="L2509" s="3"/>
    </x:row>
    <x:row r="2510" ht="22" customHeight="1">
      <x:c r="A2510" s="3"/>
      <x:c r="B2510" s="3" t="str">
        <x:v>21942</x:v>
      </x:c>
      <x:c r="C2510" s="3" t="str">
        <x:v>SKULLS DESIGN FLANNEL</x:v>
      </x:c>
      <x:c r="D2510" s="13" t="n">
        <x:v>313.01</x:v>
      </x:c>
      <x:c r="E2510" s="13" t="n">
        <x:v>10.2</x:v>
      </x:c>
      <x:c r="F2510" s="13" t="n">
        <x:f>D2510-E2510</x:f>
        <x:v>302.81</x:v>
      </x:c>
      <x:c r="G2510" s="3" t="n">
        <x:v>287</x:v>
      </x:c>
      <x:c r="H2510" s="3" t="n">
        <x:v>12</x:v>
      </x:c>
      <x:c r="I2510" s="3" t="n">
        <x:v>103</x:v>
      </x:c>
      <x:c r="J2510" s="15" t="n">
        <x:f>IF(D2510=0,"n.a.",E2510/D2510)</x:f>
        <x:v>0.03258681831251398</x:v>
      </x:c>
      <x:c r="K2510" s="15" t="n">
        <x:f>F2510/'Datos'!$F$7</x:f>
        <x:v>0.00003092198528699998</x:v>
      </x:c>
      <x:c r="L2510" s="3"/>
    </x:row>
    <x:row r="2511" ht="22" customHeight="1">
      <x:c r="A2511" s="3"/>
      <x:c r="B2511" s="3" t="str">
        <x:v>23430</x:v>
      </x:c>
      <x:c r="C2511" s="3" t="str">
        <x:v>BLUE RETRO KITCHEN WALL CLOCK</x:v>
      </x:c>
      <x:c r="D2511" s="13" t="n">
        <x:v>301.88</x:v>
      </x:c>
      <x:c r="E2511" s="13" t="n">
        <x:v>0</x:v>
      </x:c>
      <x:c r="F2511" s="13" t="n">
        <x:f>D2511-E2511</x:f>
        <x:v>301.88</x:v>
      </x:c>
      <x:c r="G2511" s="3" t="n">
        <x:v>36</x:v>
      </x:c>
      <x:c r="H2511" s="3" t="n">
        <x:v>0</x:v>
      </x:c>
      <x:c r="I2511" s="3" t="n">
        <x:v>18</x:v>
      </x:c>
      <x:c r="J2511" s="15" t="n">
        <x:f>IF(D2511=0,"n.a.",E2511/D2511)</x:f>
        <x:v>0</x:v>
      </x:c>
      <x:c r="K2511" s="15" t="n">
        <x:f>F2511/'Datos'!$F$7</x:f>
        <x:v>0.00003082701667197105</x:v>
      </x:c>
      <x:c r="L2511" s="3"/>
    </x:row>
    <x:row r="2512" ht="22" customHeight="1">
      <x:c r="A2512" s="3"/>
      <x:c r="B2512" s="3" t="str">
        <x:v>35912B</x:v>
      </x:c>
      <x:c r="C2512" s="3" t="str">
        <x:v>WHITE/PINK CHICK DECORATION</x:v>
      </x:c>
      <x:c r="D2512" s="13" t="n">
        <x:v>301.26</x:v>
      </x:c>
      <x:c r="E2512" s="13" t="n">
        <x:v>0</x:v>
      </x:c>
      <x:c r="F2512" s="13" t="n">
        <x:f>D2512-E2512</x:f>
        <x:v>301.26</x:v>
      </x:c>
      <x:c r="G2512" s="3" t="n">
        <x:v>252</x:v>
      </x:c>
      <x:c r="H2512" s="3" t="n">
        <x:v>0</x:v>
      </x:c>
      <x:c r="I2512" s="3" t="n">
        <x:v>20</x:v>
      </x:c>
      <x:c r="J2512" s="15" t="n">
        <x:f>IF(D2512=0,"n.a.",E2512/D2512)</x:f>
        <x:v>0</x:v>
      </x:c>
      <x:c r="K2512" s="15" t="n">
        <x:f>F2512/'Datos'!$F$7</x:f>
        <x:v>0.000030763704261951765</x:v>
      </x:c>
      <x:c r="L2512" s="3"/>
    </x:row>
    <x:row r="2513" ht="22" customHeight="1">
      <x:c r="A2513" s="3"/>
      <x:c r="B2513" s="3" t="str">
        <x:v>84632</x:v>
      </x:c>
      <x:c r="C2513" s="3" t="str">
        <x:v>DECORATIVE HANGING SHELVING UNIT</x:v>
      </x:c>
      <x:c r="D2513" s="13" t="n">
        <x:v>359.7</x:v>
      </x:c>
      <x:c r="E2513" s="13" t="n">
        <x:v>59.95</x:v>
      </x:c>
      <x:c r="F2513" s="13" t="n">
        <x:f>D2513-E2513</x:f>
        <x:v>299.75</x:v>
      </x:c>
      <x:c r="G2513" s="3" t="n">
        <x:v>6</x:v>
      </x:c>
      <x:c r="H2513" s="3" t="n">
        <x:v>1</x:v>
      </x:c>
      <x:c r="I2513" s="3" t="n">
        <x:v>5</x:v>
      </x:c>
      <x:c r="J2513" s="15" t="n">
        <x:f>IF(D2513=0,"n.a.",E2513/D2513)</x:f>
        <x:v>0.16666666666666669</x:v>
      </x:c>
      <x:c r="K2513" s="15" t="n">
        <x:f>F2513/'Datos'!$F$7</x:f>
        <x:v>0.0000306095079085177</x:v>
      </x:c>
      <x:c r="L2513" s="3"/>
    </x:row>
    <x:row r="2514" ht="22" customHeight="1">
      <x:c r="A2514" s="3"/>
      <x:c r="B2514" s="3" t="str">
        <x:v>21761</x:v>
      </x:c>
      <x:c r="C2514" s="3" t="str">
        <x:v>WOOD AND GLASS MEDICINE CABINET</x:v>
      </x:c>
      <x:c r="D2514" s="13" t="n">
        <x:v>299.5</x:v>
      </x:c>
      <x:c r="E2514" s="13" t="n">
        <x:v>0</x:v>
      </x:c>
      <x:c r="F2514" s="13" t="n">
        <x:f>D2514-E2514</x:f>
        <x:v>299.5</x:v>
      </x:c>
      <x:c r="G2514" s="3" t="n">
        <x:v>10</x:v>
      </x:c>
      <x:c r="H2514" s="3" t="n">
        <x:v>0</x:v>
      </x:c>
      <x:c r="I2514" s="3" t="n">
        <x:v>10</x:v>
      </x:c>
      <x:c r="J2514" s="15" t="n">
        <x:f>IF(D2514=0,"n.a.",E2514/D2514)</x:f>
        <x:v>0</x:v>
      </x:c>
      <x:c r="K2514" s="15" t="n">
        <x:f>F2514/'Datos'!$F$7</x:f>
        <x:v>0.00003058397871092928</x:v>
      </x:c>
      <x:c r="L2514" s="3"/>
    </x:row>
    <x:row r="2515" ht="22" customHeight="1">
      <x:c r="A2515" s="3"/>
      <x:c r="B2515" s="3" t="str">
        <x:v>23440</x:v>
      </x:c>
      <x:c r="C2515" s="3" t="str">
        <x:v>PAINT YOUR OWN EGGS IN CRATE</x:v>
      </x:c>
      <x:c r="D2515" s="13" t="n">
        <x:v>299.36</x:v>
      </x:c>
      <x:c r="E2515" s="13" t="n">
        <x:v>0</x:v>
      </x:c>
      <x:c r="F2515" s="13" t="n">
        <x:f>D2515-E2515</x:f>
        <x:v>299.36</x:v>
      </x:c>
      <x:c r="G2515" s="3" t="n">
        <x:v>164</x:v>
      </x:c>
      <x:c r="H2515" s="3" t="n">
        <x:v>0</x:v>
      </x:c>
      <x:c r="I2515" s="3" t="n">
        <x:v>5</x:v>
      </x:c>
      <x:c r="J2515" s="15" t="n">
        <x:f>IF(D2515=0,"n.a.",E2515/D2515)</x:f>
        <x:v>0</x:v>
      </x:c>
      <x:c r="K2515" s="15" t="n">
        <x:f>F2515/'Datos'!$F$7</x:f>
        <x:v>0.00003056968236027976</x:v>
      </x:c>
      <x:c r="L2515" s="3"/>
    </x:row>
    <x:row r="2516" ht="22" customHeight="1">
      <x:c r="A2516" s="3"/>
      <x:c r="B2516" s="3" t="str">
        <x:v>22409</x:v>
      </x:c>
      <x:c r="C2516" s="3" t="str">
        <x:v>MONEY BOX BISCUITS DESIGN</x:v>
      </x:c>
      <x:c r="D2516" s="13" t="n">
        <x:v>299.72</x:v>
      </x:c>
      <x:c r="E2516" s="13" t="n">
        <x:v>1.25</x:v>
      </x:c>
      <x:c r="F2516" s="13" t="n">
        <x:f>D2516-E2516</x:f>
        <x:v>298.47</x:v>
      </x:c>
      <x:c r="G2516" s="3" t="n">
        <x:v>228</x:v>
      </x:c>
      <x:c r="H2516" s="3" t="n">
        <x:v>1</x:v>
      </x:c>
      <x:c r="I2516" s="3" t="n">
        <x:v>57</x:v>
      </x:c>
      <x:c r="J2516" s="15" t="n">
        <x:f>IF(D2516=0,"n.a.",E2516/D2516)</x:f>
        <x:v>0.004170559188576004</x:v>
      </x:c>
      <x:c r="K2516" s="15" t="n">
        <x:f>F2516/'Datos'!$F$7</x:f>
        <x:v>0.000030478798416864983</x:v>
      </x:c>
      <x:c r="L2516" s="3"/>
    </x:row>
    <x:row r="2517" ht="22" customHeight="1">
      <x:c r="A2517" s="3"/>
      <x:c r="B2517" s="3" t="str">
        <x:v>90184B</x:v>
      </x:c>
      <x:c r="C2517" s="3" t="str">
        <x:v>AMETHYST CHUNKY BEAD BRACELET W STR</x:v>
      </x:c>
      <x:c r="D2517" s="13" t="n">
        <x:v>297.94</x:v>
      </x:c>
      <x:c r="E2517" s="13" t="n">
        <x:v>0</x:v>
      </x:c>
      <x:c r="F2517" s="13" t="n">
        <x:f>D2517-E2517</x:f>
        <x:v>297.94</x:v>
      </x:c>
      <x:c r="G2517" s="3" t="n">
        <x:v>33</x:v>
      </x:c>
      <x:c r="H2517" s="3" t="n">
        <x:v>0</x:v>
      </x:c>
      <x:c r="I2517" s="3" t="n">
        <x:v>21</x:v>
      </x:c>
      <x:c r="J2517" s="15" t="n">
        <x:f>IF(D2517=0,"n.a.",E2517/D2517)</x:f>
        <x:v>0</x:v>
      </x:c>
      <x:c r="K2517" s="15" t="n">
        <x:f>F2517/'Datos'!$F$7</x:f>
        <x:v>0.000030424676517977525</x:v>
      </x:c>
      <x:c r="L2517" s="3"/>
    </x:row>
    <x:row r="2518" ht="22" customHeight="1">
      <x:c r="A2518" s="3"/>
      <x:c r="B2518" s="3" t="str">
        <x:v>72801D</x:v>
      </x:c>
      <x:c r="C2518" s="3" t="str">
        <x:v>4 SKY BLUE DINNER CANDLES</x:v>
      </x:c>
      <x:c r="D2518" s="13" t="n">
        <x:v>297.91</x:v>
      </x:c>
      <x:c r="E2518" s="13" t="n">
        <x:v>0</x:v>
      </x:c>
      <x:c r="F2518" s="13" t="n">
        <x:f>D2518-E2518</x:f>
        <x:v>297.91</x:v>
      </x:c>
      <x:c r="G2518" s="3" t="n">
        <x:v>150</x:v>
      </x:c>
      <x:c r="H2518" s="3" t="n">
        <x:v>0</x:v>
      </x:c>
      <x:c r="I2518" s="3" t="n">
        <x:v>62</x:v>
      </x:c>
      <x:c r="J2518" s="15" t="n">
        <x:f>IF(D2518=0,"n.a.",E2518/D2518)</x:f>
        <x:v>0</x:v>
      </x:c>
      <x:c r="K2518" s="15" t="n">
        <x:f>F2518/'Datos'!$F$7</x:f>
        <x:v>0.000030421613014266917</x:v>
      </x:c>
      <x:c r="L2518" s="3"/>
    </x:row>
    <x:row r="2519" ht="22" customHeight="1">
      <x:c r="A2519" s="3"/>
      <x:c r="B2519" s="3" t="str">
        <x:v>84596J</x:v>
      </x:c>
      <x:c r="C2519" s="3" t="str">
        <x:v>MIXED NUTS LIGHT GREEN BOWL</x:v>
      </x:c>
      <x:c r="D2519" s="13" t="n">
        <x:v>296.45</x:v>
      </x:c>
      <x:c r="E2519" s="13" t="n">
        <x:v>0</x:v>
      </x:c>
      <x:c r="F2519" s="13" t="n">
        <x:f>D2519-E2519</x:f>
        <x:v>296.45</x:v>
      </x:c>
      <x:c r="G2519" s="3" t="n">
        <x:v>568</x:v>
      </x:c>
      <x:c r="H2519" s="3" t="n">
        <x:v>0</x:v>
      </x:c>
      <x:c r="I2519" s="3" t="n">
        <x:v>68</x:v>
      </x:c>
      <x:c r="J2519" s="15" t="n">
        <x:f>IF(D2519=0,"n.a.",E2519/D2519)</x:f>
        <x:v>0</x:v>
      </x:c>
      <x:c r="K2519" s="15" t="n">
        <x:f>F2519/'Datos'!$F$7</x:f>
        <x:v>0.00003027252250035053</x:v>
      </x:c>
      <x:c r="L2519" s="3"/>
    </x:row>
    <x:row r="2520" ht="22" customHeight="1">
      <x:c r="A2520" s="3"/>
      <x:c r="B2520" s="3" t="str">
        <x:v>85186A</x:v>
      </x:c>
      <x:c r="C2520" s="3" t="str">
        <x:v>EASTER BUNNY GARLAND OF FLOWERS</x:v>
      </x:c>
      <x:c r="D2520" s="13" t="n">
        <x:v>293.8</x:v>
      </x:c>
      <x:c r="E2520" s="13" t="n">
        <x:v>0</x:v>
      </x:c>
      <x:c r="F2520" s="13" t="n">
        <x:f>D2520-E2520</x:f>
        <x:v>293.8</x:v>
      </x:c>
      <x:c r="G2520" s="3" t="n">
        <x:v>615</x:v>
      </x:c>
      <x:c r="H2520" s="3" t="n">
        <x:v>0</x:v>
      </x:c>
      <x:c r="I2520" s="3" t="n">
        <x:v>79</x:v>
      </x:c>
      <x:c r="J2520" s="15" t="n">
        <x:f>IF(D2520=0,"n.a.",E2520/D2520)</x:f>
        <x:v>0</x:v>
      </x:c>
      <x:c r="K2520" s="15" t="n">
        <x:f>F2520/'Datos'!$F$7</x:f>
        <x:v>0.000030001913005913263</x:v>
      </x:c>
      <x:c r="L2520" s="3"/>
    </x:row>
    <x:row r="2521" ht="22" customHeight="1">
      <x:c r="A2521" s="3"/>
      <x:c r="B2521" s="3" t="str">
        <x:v>79051A</x:v>
      </x:c>
      <x:c r="C2521" s="3" t="str">
        <x:v>SMOKEY GREY COLOUR D.O.F. GLASS</x:v>
      </x:c>
      <x:c r="D2521" s="13" t="n">
        <x:v>293.31</x:v>
      </x:c>
      <x:c r="E2521" s="13" t="n">
        <x:v>0</x:v>
      </x:c>
      <x:c r="F2521" s="13" t="n">
        <x:f>D2521-E2521</x:f>
        <x:v>293.31</x:v>
      </x:c>
      <x:c r="G2521" s="3" t="n">
        <x:v>831</x:v>
      </x:c>
      <x:c r="H2521" s="3" t="n">
        <x:v>0</x:v>
      </x:c>
      <x:c r="I2521" s="3" t="n">
        <x:v>41</x:v>
      </x:c>
      <x:c r="J2521" s="15" t="n">
        <x:f>IF(D2521=0,"n.a.",E2521/D2521)</x:f>
        <x:v>0</x:v>
      </x:c>
      <x:c r="K2521" s="15" t="n">
        <x:f>F2521/'Datos'!$F$7</x:f>
        <x:v>0.000029951875778639955</x:v>
      </x:c>
      <x:c r="L2521" s="3"/>
    </x:row>
    <x:row r="2522" ht="22" customHeight="1">
      <x:c r="A2522" s="3"/>
      <x:c r="B2522" s="3" t="str">
        <x:v>46776E</x:v>
      </x:c>
      <x:c r="C2522" s="3" t="str">
        <x:v>WOVEN CANDY CUSHION COVER</x:v>
      </x:c>
      <x:c r="D2522" s="13" t="n">
        <x:v>292.56</x:v>
      </x:c>
      <x:c r="E2522" s="13" t="n">
        <x:v>0</x:v>
      </x:c>
      <x:c r="F2522" s="13" t="n">
        <x:f>D2522-E2522</x:f>
        <x:v>292.56</x:v>
      </x:c>
      <x:c r="G2522" s="3" t="n">
        <x:v>68</x:v>
      </x:c>
      <x:c r="H2522" s="3" t="n">
        <x:v>0</x:v>
      </x:c>
      <x:c r="I2522" s="3" t="n">
        <x:v>39</x:v>
      </x:c>
      <x:c r="J2522" s="15" t="n">
        <x:f>IF(D2522=0,"n.a.",E2522/D2522)</x:f>
        <x:v>0</x:v>
      </x:c>
      <x:c r="K2522" s="15" t="n">
        <x:f>F2522/'Datos'!$F$7</x:f>
        <x:v>0.000029875288185874688</x:v>
      </x:c>
      <x:c r="L2522" s="3"/>
    </x:row>
    <x:row r="2523" ht="22" customHeight="1">
      <x:c r="A2523" s="3"/>
      <x:c r="B2523" s="3" t="str">
        <x:v>20655</x:v>
      </x:c>
      <x:c r="C2523" s="3" t="str">
        <x:v>QUEEN OF SKIES LUGGAGE TAG</x:v>
      </x:c>
      <x:c r="D2523" s="13" t="n">
        <x:v>292.29</x:v>
      </x:c>
      <x:c r="E2523" s="13" t="n">
        <x:v>0</x:v>
      </x:c>
      <x:c r="F2523" s="13" t="n">
        <x:f>D2523-E2523</x:f>
        <x:v>292.29</x:v>
      </x:c>
      <x:c r="G2523" s="3" t="n">
        <x:v>197</x:v>
      </x:c>
      <x:c r="H2523" s="3" t="n">
        <x:v>0</x:v>
      </x:c>
      <x:c r="I2523" s="3" t="n">
        <x:v>99</x:v>
      </x:c>
      <x:c r="J2523" s="15" t="n">
        <x:f>IF(D2523=0,"n.a.",E2523/D2523)</x:f>
        <x:v>0</x:v>
      </x:c>
      <x:c r="K2523" s="15" t="n">
        <x:f>F2523/'Datos'!$F$7</x:f>
        <x:v>0.000029847716652479196</x:v>
      </x:c>
      <x:c r="L2523" s="3"/>
    </x:row>
    <x:row r="2524" ht="22" customHeight="1">
      <x:c r="A2524" s="3"/>
      <x:c r="B2524" s="3" t="str">
        <x:v>35911A</x:v>
      </x:c>
      <x:c r="C2524" s="3" t="str">
        <x:v>MULTICOLOUR RABBIT EGG WARMER</x:v>
      </x:c>
      <x:c r="D2524" s="13" t="n">
        <x:v>292.07</x:v>
      </x:c>
      <x:c r="E2524" s="13" t="n">
        <x:v>0</x:v>
      </x:c>
      <x:c r="F2524" s="13" t="n">
        <x:f>D2524-E2524</x:f>
        <x:v>292.07</x:v>
      </x:c>
      <x:c r="G2524" s="3" t="n">
        <x:v>319</x:v>
      </x:c>
      <x:c r="H2524" s="3" t="n">
        <x:v>0</x:v>
      </x:c>
      <x:c r="I2524" s="3" t="n">
        <x:v>70</x:v>
      </x:c>
      <x:c r="J2524" s="15" t="n">
        <x:f>IF(D2524=0,"n.a.",E2524/D2524)</x:f>
        <x:v>0</x:v>
      </x:c>
      <x:c r="K2524" s="15" t="n">
        <x:f>F2524/'Datos'!$F$7</x:f>
        <x:v>0.00002982525095860138</x:v>
      </x:c>
      <x:c r="L2524" s="3"/>
    </x:row>
    <x:row r="2525" ht="22" customHeight="1">
      <x:c r="A2525" s="3"/>
      <x:c r="B2525" s="3" t="str">
        <x:v>21441</x:v>
      </x:c>
      <x:c r="C2525" s="3" t="str">
        <x:v>BLUE BIRDHOUSE DECORATION</x:v>
      </x:c>
      <x:c r="D2525" s="13" t="n">
        <x:v>292.03</x:v>
      </x:c>
      <x:c r="E2525" s="13" t="n">
        <x:v>0</x:v>
      </x:c>
      <x:c r="F2525" s="13" t="n">
        <x:f>D2525-E2525</x:f>
        <x:v>292.03</x:v>
      </x:c>
      <x:c r="G2525" s="3" t="n">
        <x:v>421</x:v>
      </x:c>
      <x:c r="H2525" s="3" t="n">
        <x:v>0</x:v>
      </x:c>
      <x:c r="I2525" s="3" t="n">
        <x:v>62</x:v>
      </x:c>
      <x:c r="J2525" s="15" t="n">
        <x:f>IF(D2525=0,"n.a.",E2525/D2525)</x:f>
        <x:v>0</x:v>
      </x:c>
      <x:c r="K2525" s="15" t="n">
        <x:f>F2525/'Datos'!$F$7</x:f>
        <x:v>0.000029821166286987233</x:v>
      </x:c>
      <x:c r="L2525" s="3"/>
    </x:row>
    <x:row r="2526" ht="22" customHeight="1">
      <x:c r="A2526" s="3"/>
      <x:c r="B2526" s="3" t="str">
        <x:v>72800B</x:v>
      </x:c>
      <x:c r="C2526" s="3" t="str">
        <x:v>4 PURPLE FLOCK DINNER CANDLES</x:v>
      </x:c>
      <x:c r="D2526" s="13" t="n">
        <x:v>290.8</x:v>
      </x:c>
      <x:c r="E2526" s="13" t="n">
        <x:v>0</x:v>
      </x:c>
      <x:c r="F2526" s="13" t="n">
        <x:f>D2526-E2526</x:f>
        <x:v>290.8</x:v>
      </x:c>
      <x:c r="G2526" s="3" t="n">
        <x:v>144</x:v>
      </x:c>
      <x:c r="H2526" s="3" t="n">
        <x:v>0</x:v>
      </x:c>
      <x:c r="I2526" s="3" t="n">
        <x:v>38</x:v>
      </x:c>
      <x:c r="J2526" s="15" t="n">
        <x:f>IF(D2526=0,"n.a.",E2526/D2526)</x:f>
        <x:v>0</x:v>
      </x:c>
      <x:c r="K2526" s="15" t="n">
        <x:f>F2526/'Datos'!$F$7</x:f>
        <x:v>0.0000296955626348522</x:v>
      </x:c>
      <x:c r="L2526" s="3"/>
    </x:row>
    <x:row r="2527" ht="22" customHeight="1">
      <x:c r="A2527" s="3"/>
      <x:c r="B2527" s="3" t="str">
        <x:v>23567</x:v>
      </x:c>
      <x:c r="C2527" s="3" t="str">
        <x:v>EGG CUP HENRIETTA HEN PINK</x:v>
      </x:c>
      <x:c r="D2527" s="13" t="n">
        <x:v>291.58</x:v>
      </x:c>
      <x:c r="E2527" s="13" t="n">
        <x:v>1.25</x:v>
      </x:c>
      <x:c r="F2527" s="13" t="n">
        <x:f>D2527-E2527</x:f>
        <x:v>290.33</x:v>
      </x:c>
      <x:c r="G2527" s="3" t="n">
        <x:v>211</x:v>
      </x:c>
      <x:c r="H2527" s="3" t="n">
        <x:v>1</x:v>
      </x:c>
      <x:c r="I2527" s="3" t="n">
        <x:v>37</x:v>
      </x:c>
      <x:c r="J2527" s="15" t="n">
        <x:f>IF(D2527=0,"n.a.",E2527/D2527)</x:f>
        <x:v>0.004286988133616846</x:v>
      </x:c>
      <x:c r="K2527" s="15" t="n">
        <x:f>F2527/'Datos'!$F$7</x:f>
        <x:v>0.000029647567743385964</x:v>
      </x:c>
      <x:c r="L2527" s="3"/>
    </x:row>
    <x:row r="2528" ht="22" customHeight="1">
      <x:c r="A2528" s="3"/>
      <x:c r="B2528" s="3" t="str">
        <x:v>21386</x:v>
      </x:c>
      <x:c r="C2528" s="3" t="str">
        <x:v>IVORY HANGING DECORATION EGG</x:v>
      </x:c>
      <x:c r="D2528" s="13" t="n">
        <x:v>290.2</x:v>
      </x:c>
      <x:c r="E2528" s="13" t="n">
        <x:v>0</x:v>
      </x:c>
      <x:c r="F2528" s="13" t="n">
        <x:f>D2528-E2528</x:f>
        <x:v>290.2</x:v>
      </x:c>
      <x:c r="G2528" s="3" t="n">
        <x:v>733</x:v>
      </x:c>
      <x:c r="H2528" s="3" t="n">
        <x:v>0</x:v>
      </x:c>
      <x:c r="I2528" s="3" t="n">
        <x:v>51</x:v>
      </x:c>
      <x:c r="J2528" s="15" t="n">
        <x:f>IF(D2528=0,"n.a.",E2528/D2528)</x:f>
        <x:v>0</x:v>
      </x:c>
      <x:c r="K2528" s="15" t="n">
        <x:f>F2528/'Datos'!$F$7</x:f>
        <x:v>0.000029634292560639985</x:v>
      </x:c>
      <x:c r="L2528" s="3"/>
    </x:row>
    <x:row r="2529" ht="22" customHeight="1">
      <x:c r="A2529" s="3"/>
      <x:c r="B2529" s="3" t="str">
        <x:v>16015</x:v>
      </x:c>
      <x:c r="C2529" s="3" t="str">
        <x:v>MEDIUM CHINESE STYLE SCISSOR</x:v>
      </x:c>
      <x:c r="D2529" s="13" t="n">
        <x:v>289.98</x:v>
      </x:c>
      <x:c r="E2529" s="13" t="n">
        <x:v>0</x:v>
      </x:c>
      <x:c r="F2529" s="13" t="n">
        <x:f>D2529-E2529</x:f>
        <x:v>289.98</x:v>
      </x:c>
      <x:c r="G2529" s="3" t="n">
        <x:v>662</x:v>
      </x:c>
      <x:c r="H2529" s="3" t="n">
        <x:v>0</x:v>
      </x:c>
      <x:c r="I2529" s="3" t="n">
        <x:v>24</x:v>
      </x:c>
      <x:c r="J2529" s="15" t="n">
        <x:f>IF(D2529=0,"n.a.",E2529/D2529)</x:f>
        <x:v>0</x:v>
      </x:c>
      <x:c r="K2529" s="15" t="n">
        <x:f>F2529/'Datos'!$F$7</x:f>
        <x:v>0.00002961182686676218</x:v>
      </x:c>
      <x:c r="L2529" s="3"/>
    </x:row>
    <x:row r="2530" ht="22" customHeight="1">
      <x:c r="A2530" s="3"/>
      <x:c r="B2530" s="3" t="str">
        <x:v>85024B</x:v>
      </x:c>
      <x:c r="C2530" s="3" t="str">
        <x:v>EAU DE NILE JEWELLED PHOTOFRAME</x:v>
      </x:c>
      <x:c r="D2530" s="13" t="n">
        <x:v>289.65</x:v>
      </x:c>
      <x:c r="E2530" s="13" t="n">
        <x:v>0</x:v>
      </x:c>
      <x:c r="F2530" s="13" t="n">
        <x:f>D2530-E2530</x:f>
        <x:v>289.65</x:v>
      </x:c>
      <x:c r="G2530" s="3" t="n">
        <x:v>193</x:v>
      </x:c>
      <x:c r="H2530" s="3" t="n">
        <x:v>0</x:v>
      </x:c>
      <x:c r="I2530" s="3" t="n">
        <x:v>12</x:v>
      </x:c>
      <x:c r="J2530" s="15" t="n">
        <x:f>IF(D2530=0,"n.a.",E2530/D2530)</x:f>
        <x:v>0</x:v>
      </x:c>
      <x:c r="K2530" s="15" t="n">
        <x:f>F2530/'Datos'!$F$7</x:f>
        <x:v>0.000029578128325945458</x:v>
      </x:c>
      <x:c r="L2530" s="3"/>
    </x:row>
    <x:row r="2531" ht="22" customHeight="1">
      <x:c r="A2531" s="3"/>
      <x:c r="B2531" s="3" t="str">
        <x:v>23015</x:v>
      </x:c>
      <x:c r="C2531" s="3" t="str">
        <x:v>CORDIAL GLASS JUG</x:v>
      </x:c>
      <x:c r="D2531" s="13" t="n">
        <x:v>346.63</x:v>
      </x:c>
      <x:c r="E2531" s="13" t="n">
        <x:v>57.75</x:v>
      </x:c>
      <x:c r="F2531" s="13" t="n">
        <x:f>D2531-E2531</x:f>
        <x:v>288.88</x:v>
      </x:c>
      <x:c r="G2531" s="3" t="n">
        <x:v>41</x:v>
      </x:c>
      <x:c r="H2531" s="3" t="n">
        <x:v>7</x:v>
      </x:c>
      <x:c r="I2531" s="3" t="n">
        <x:v>18</x:v>
      </x:c>
      <x:c r="J2531" s="15" t="n">
        <x:f>IF(D2531=0,"n.a.",E2531/D2531)</x:f>
        <x:v>0.16660416005539047</x:v>
      </x:c>
      <x:c r="K2531" s="15" t="n">
        <x:f>F2531/'Datos'!$F$7</x:f>
        <x:v>0.00002949949839737312</x:v>
      </x:c>
      <x:c r="L2531" s="3"/>
    </x:row>
    <x:row r="2532" ht="22" customHeight="1">
      <x:c r="A2532" s="3"/>
      <x:c r="B2532" s="3" t="str">
        <x:v>21503</x:v>
      </x:c>
      <x:c r="C2532" s="3" t="str">
        <x:v>TOYBOX WRAP</x:v>
      </x:c>
      <x:c r="D2532" s="13" t="n">
        <x:v>288.92</x:v>
      </x:c>
      <x:c r="E2532" s="13" t="n">
        <x:v>0.42</x:v>
      </x:c>
      <x:c r="F2532" s="13" t="n">
        <x:f>D2532-E2532</x:f>
        <x:v>288.5</x:v>
      </x:c>
      <x:c r="G2532" s="3" t="n">
        <x:v>726</x:v>
      </x:c>
      <x:c r="H2532" s="3" t="n">
        <x:v>1</x:v>
      </x:c>
      <x:c r="I2532" s="3" t="n">
        <x:v>23</x:v>
      </x:c>
      <x:c r="J2532" s="15" t="n">
        <x:f>IF(D2532=0,"n.a.",E2532/D2532)</x:f>
        <x:v>0.001453689602658175</x:v>
      </x:c>
      <x:c r="K2532" s="15" t="n">
        <x:f>F2532/'Datos'!$F$7</x:f>
        <x:v>0.00002946069401703872</x:v>
      </x:c>
      <x:c r="L2532" s="3"/>
    </x:row>
    <x:row r="2533" ht="22" customHeight="1">
      <x:c r="A2533" s="3"/>
      <x:c r="B2533" s="3" t="str">
        <x:v>71403</x:v>
      </x:c>
      <x:c r="C2533" s="3" t="str">
        <x:v>PINK/WHITE "KEEP CLEAN" BULLET BIN</x:v>
      </x:c>
      <x:c r="D2533" s="13" t="n">
        <x:v>286.91</x:v>
      </x:c>
      <x:c r="E2533" s="13" t="n">
        <x:v>0</x:v>
      </x:c>
      <x:c r="F2533" s="13" t="n">
        <x:f>D2533-E2533</x:f>
        <x:v>286.91</x:v>
      </x:c>
      <x:c r="G2533" s="3" t="n">
        <x:v>77</x:v>
      </x:c>
      <x:c r="H2533" s="3" t="n">
        <x:v>0</x:v>
      </x:c>
      <x:c r="I2533" s="3" t="n">
        <x:v>33</x:v>
      </x:c>
      <x:c r="J2533" s="15" t="n">
        <x:f>IF(D2533=0,"n.a.",E2533/D2533)</x:f>
        <x:v>0</x:v>
      </x:c>
      <x:c r="K2533" s="15" t="n">
        <x:f>F2533/'Datos'!$F$7</x:f>
        <x:v>0.00002929832832037636</x:v>
      </x:c>
      <x:c r="L2533" s="3"/>
    </x:row>
    <x:row r="2534" ht="22" customHeight="1">
      <x:c r="A2534" s="3"/>
      <x:c r="B2534" s="3" t="str">
        <x:v>20618</x:v>
      </x:c>
      <x:c r="C2534" s="3" t="str">
        <x:v>QUEEN OF THE SKIES PASSPORT COVER</x:v>
      </x:c>
      <x:c r="D2534" s="13" t="n">
        <x:v>286.39</x:v>
      </x:c>
      <x:c r="E2534" s="13" t="n">
        <x:v>0</x:v>
      </x:c>
      <x:c r="F2534" s="13" t="n">
        <x:f>D2534-E2534</x:f>
        <x:v>286.39</x:v>
      </x:c>
      <x:c r="G2534" s="3" t="n">
        <x:v>148</x:v>
      </x:c>
      <x:c r="H2534" s="3" t="n">
        <x:v>0</x:v>
      </x:c>
      <x:c r="I2534" s="3" t="n">
        <x:v>76</x:v>
      </x:c>
      <x:c r="J2534" s="15" t="n">
        <x:f>IF(D2534=0,"n.a.",E2534/D2534)</x:f>
        <x:v>0</x:v>
      </x:c>
      <x:c r="K2534" s="15" t="n">
        <x:f>F2534/'Datos'!$F$7</x:f>
        <x:v>0.000029245227589392436</x:v>
      </x:c>
      <x:c r="L2534" s="3"/>
    </x:row>
    <x:row r="2535" ht="22" customHeight="1">
      <x:c r="A2535" s="3"/>
      <x:c r="B2535" s="3" t="str">
        <x:v>22049</x:v>
      </x:c>
      <x:c r="C2535" s="3" t="str">
        <x:v>WRAP CHRISTMAS SCREEN PRINT</x:v>
      </x:c>
      <x:c r="D2535" s="13" t="n">
        <x:v>296.25</x:v>
      </x:c>
      <x:c r="E2535" s="13" t="n">
        <x:v>10.5</x:v>
      </x:c>
      <x:c r="F2535" s="13" t="n">
        <x:f>D2535-E2535</x:f>
        <x:v>285.75</x:v>
      </x:c>
      <x:c r="G2535" s="3" t="n">
        <x:v>1075</x:v>
      </x:c>
      <x:c r="H2535" s="3" t="n">
        <x:v>25</x:v>
      </x:c>
      <x:c r="I2535" s="3" t="n">
        <x:v>33</x:v>
      </x:c>
      <x:c r="J2535" s="15" t="n">
        <x:f>IF(D2535=0,"n.a.",E2535/D2535)</x:f>
        <x:v>0.035443037974683546</x:v>
      </x:c>
      <x:c r="K2535" s="15" t="n">
        <x:f>F2535/'Datos'!$F$7</x:f>
        <x:v>0.00002917987284356608</x:v>
      </x:c>
      <x:c r="L2535" s="3"/>
    </x:row>
    <x:row r="2536" ht="22" customHeight="1">
      <x:c r="A2536" s="3"/>
      <x:c r="B2536" s="3" t="str">
        <x:v>37413</x:v>
      </x:c>
      <x:c r="C2536" s="3" t="str">
        <x:v>ICON MUG REVOLUTIONARY</x:v>
      </x:c>
      <x:c r="D2536" s="13" t="n">
        <x:v>284.49</x:v>
      </x:c>
      <x:c r="E2536" s="13" t="n">
        <x:v>0</x:v>
      </x:c>
      <x:c r="F2536" s="13" t="n">
        <x:f>D2536-E2536</x:f>
        <x:v>284.49</x:v>
      </x:c>
      <x:c r="G2536" s="3" t="n">
        <x:v>703</x:v>
      </x:c>
      <x:c r="H2536" s="3" t="n">
        <x:v>0</x:v>
      </x:c>
      <x:c r="I2536" s="3" t="n">
        <x:v>81</x:v>
      </x:c>
      <x:c r="J2536" s="15" t="n">
        <x:f>IF(D2536=0,"n.a.",E2536/D2536)</x:f>
        <x:v>0</x:v>
      </x:c>
      <x:c r="K2536" s="15" t="n">
        <x:f>F2536/'Datos'!$F$7</x:f>
        <x:v>0.000029051205687720433</x:v>
      </x:c>
      <x:c r="L2536" s="3"/>
    </x:row>
    <x:row r="2537" ht="22" customHeight="1">
      <x:c r="A2537" s="3"/>
      <x:c r="B2537" s="3" t="str">
        <x:v>18094C</x:v>
      </x:c>
      <x:c r="C2537" s="3" t="str">
        <x:v>WHITE AND BLUE CERAMIC OIL BURNER</x:v>
      </x:c>
      <x:c r="D2537" s="13" t="n">
        <x:v>283.93</x:v>
      </x:c>
      <x:c r="E2537" s="13" t="n">
        <x:v>0</x:v>
      </x:c>
      <x:c r="F2537" s="13" t="n">
        <x:f>D2537-E2537</x:f>
        <x:v>283.93</x:v>
      </x:c>
      <x:c r="G2537" s="3" t="n">
        <x:v>192</x:v>
      </x:c>
      <x:c r="H2537" s="3" t="n">
        <x:v>0</x:v>
      </x:c>
      <x:c r="I2537" s="3" t="n">
        <x:v>42</x:v>
      </x:c>
      <x:c r="J2537" s="15" t="n">
        <x:f>IF(D2537=0,"n.a.",E2537/D2537)</x:f>
        <x:v>0</x:v>
      </x:c>
      <x:c r="K2537" s="15" t="n">
        <x:f>F2537/'Datos'!$F$7</x:f>
        <x:v>0.00002899402028512237</x:v>
      </x:c>
      <x:c r="L2537" s="3"/>
    </x:row>
    <x:row r="2538" ht="22" customHeight="1">
      <x:c r="A2538" s="3"/>
      <x:c r="B2538" s="3" t="str">
        <x:v>21666</x:v>
      </x:c>
      <x:c r="C2538" s="3" t="str">
        <x:v>RIDGED GLASS T-LIGHT HOLDER</x:v>
      </x:c>
      <x:c r="D2538" s="13" t="n">
        <x:v>283.51</x:v>
      </x:c>
      <x:c r="E2538" s="13" t="n">
        <x:v>0</x:v>
      </x:c>
      <x:c r="F2538" s="13" t="n">
        <x:f>D2538-E2538</x:f>
        <x:v>283.51</x:v>
      </x:c>
      <x:c r="G2538" s="3" t="n">
        <x:v>412</x:v>
      </x:c>
      <x:c r="H2538" s="3" t="n">
        <x:v>0</x:v>
      </x:c>
      <x:c r="I2538" s="3" t="n">
        <x:v>43</x:v>
      </x:c>
      <x:c r="J2538" s="15" t="n">
        <x:f>IF(D2538=0,"n.a.",E2538/D2538)</x:f>
        <x:v>0</x:v>
      </x:c>
      <x:c r="K2538" s="15" t="n">
        <x:f>F2538/'Datos'!$F$7</x:f>
        <x:v>0.00002895113123317382</x:v>
      </x:c>
      <x:c r="L2538" s="3"/>
    </x:row>
    <x:row r="2539" ht="22" customHeight="1">
      <x:c r="A2539" s="3"/>
      <x:c r="B2539" s="3" t="str">
        <x:v>16218</x:v>
      </x:c>
      <x:c r="C2539" s="3" t="str">
        <x:v>CARTOON PENCIL SHARPENERS</x:v>
      </x:c>
      <x:c r="D2539" s="13" t="n">
        <x:v>283.31</x:v>
      </x:c>
      <x:c r="E2539" s="13" t="n">
        <x:v>0</x:v>
      </x:c>
      <x:c r="F2539" s="13" t="n">
        <x:f>D2539-E2539</x:f>
        <x:v>283.31</x:v>
      </x:c>
      <x:c r="G2539" s="3" t="n">
        <x:v>3821</x:v>
      </x:c>
      <x:c r="H2539" s="3" t="n">
        <x:v>0</x:v>
      </x:c>
      <x:c r="I2539" s="3" t="n">
        <x:v>64</x:v>
      </x:c>
      <x:c r="J2539" s="15" t="n">
        <x:f>IF(D2539=0,"n.a.",E2539/D2539)</x:f>
        <x:v>0</x:v>
      </x:c>
      <x:c r="K2539" s="15" t="n">
        <x:f>F2539/'Datos'!$F$7</x:f>
        <x:v>0.000028930707875103084</x:v>
      </x:c>
      <x:c r="L2539" s="3"/>
    </x:row>
    <x:row r="2540" ht="22" customHeight="1">
      <x:c r="A2540" s="3"/>
      <x:c r="B2540" s="3" t="str">
        <x:v>20777</x:v>
      </x:c>
      <x:c r="C2540" s="3" t="str">
        <x:v>CHRYSANTHEMUM NOTEBOOK</x:v>
      </x:c>
      <x:c r="D2540" s="13" t="n">
        <x:v>282.49</x:v>
      </x:c>
      <x:c r="E2540" s="13" t="n">
        <x:v>0</x:v>
      </x:c>
      <x:c r="F2540" s="13" t="n">
        <x:f>D2540-E2540</x:f>
        <x:v>282.49</x:v>
      </x:c>
      <x:c r="G2540" s="3" t="n">
        <x:v>169</x:v>
      </x:c>
      <x:c r="H2540" s="3" t="n">
        <x:v>0</x:v>
      </x:c>
      <x:c r="I2540" s="3" t="n">
        <x:v>80</x:v>
      </x:c>
      <x:c r="J2540" s="15" t="n">
        <x:f>IF(D2540=0,"n.a.",E2540/D2540)</x:f>
        <x:v>0</x:v>
      </x:c>
      <x:c r="K2540" s="15" t="n">
        <x:f>F2540/'Datos'!$F$7</x:f>
        <x:v>0.000028846972107013062</x:v>
      </x:c>
      <x:c r="L2540" s="3"/>
    </x:row>
    <x:row r="2541" ht="22" customHeight="1">
      <x:c r="A2541" s="3"/>
      <x:c r="B2541" s="3" t="str">
        <x:v>84341B</x:v>
      </x:c>
      <x:c r="C2541" s="3" t="str">
        <x:v>SMALL PINK MAGIC CHRISTMAS TREE</x:v>
      </x:c>
      <x:c r="D2541" s="13" t="n">
        <x:v>282.38</x:v>
      </x:c>
      <x:c r="E2541" s="13" t="n">
        <x:v>0</x:v>
      </x:c>
      <x:c r="F2541" s="13" t="n">
        <x:f>D2541-E2541</x:f>
        <x:v>282.38</x:v>
      </x:c>
      <x:c r="G2541" s="3" t="n">
        <x:v>645</x:v>
      </x:c>
      <x:c r="H2541" s="3" t="n">
        <x:v>0</x:v>
      </x:c>
      <x:c r="I2541" s="3" t="n">
        <x:v>40</x:v>
      </x:c>
      <x:c r="J2541" s="15" t="n">
        <x:f>IF(D2541=0,"n.a.",E2541/D2541)</x:f>
        <x:v>0</x:v>
      </x:c>
      <x:c r="K2541" s="15" t="n">
        <x:f>F2541/'Datos'!$F$7</x:f>
        <x:v>0.000028835739260074154</x:v>
      </x:c>
      <x:c r="L2541" s="3"/>
    </x:row>
    <x:row r="2542" ht="22" customHeight="1">
      <x:c r="A2542" s="3"/>
      <x:c r="B2542" s="3" t="str">
        <x:v>23410</x:v>
      </x:c>
      <x:c r="C2542" s="3" t="str">
        <x:v>CURIO CABINET LINEN AND LACE</x:v>
      </x:c>
      <x:c r="D2542" s="13" t="n">
        <x:v>290.1</x:v>
      </x:c>
      <x:c r="E2542" s="13" t="n">
        <x:v>8.15</x:v>
      </x:c>
      <x:c r="F2542" s="13" t="n">
        <x:f>D2542-E2542</x:f>
        <x:v>281.95000000000005</x:v>
      </x:c>
      <x:c r="G2542" s="3" t="n">
        <x:v>36</x:v>
      </x:c>
      <x:c r="H2542" s="3" t="n">
        <x:v>1</x:v>
      </x:c>
      <x:c r="I2542" s="3" t="n">
        <x:v>18</x:v>
      </x:c>
      <x:c r="J2542" s="15" t="n">
        <x:f>IF(D2542=0,"n.a.",E2542/D2542)</x:f>
        <x:v>0.028093760772147536</x:v>
      </x:c>
      <x:c r="K2542" s="15" t="n">
        <x:f>F2542/'Datos'!$F$7</x:f>
        <x:v>0.000028791829040222075</x:v>
      </x:c>
      <x:c r="L2542" s="3"/>
    </x:row>
    <x:row r="2543" ht="22" customHeight="1">
      <x:c r="A2543" s="3"/>
      <x:c r="B2543" s="3" t="str">
        <x:v>79190B</x:v>
      </x:c>
      <x:c r="C2543" s="3" t="str">
        <x:v>RETRO PLASTIC POLKA TRAY</x:v>
      </x:c>
      <x:c r="D2543" s="13" t="n">
        <x:v>288.36</x:v>
      </x:c>
      <x:c r="E2543" s="13" t="n">
        <x:v>6.72</x:v>
      </x:c>
      <x:c r="F2543" s="13" t="n">
        <x:f>D2543-E2543</x:f>
        <x:v>281.64</x:v>
      </x:c>
      <x:c r="G2543" s="3" t="n">
        <x:v>707</x:v>
      </x:c>
      <x:c r="H2543" s="3" t="n">
        <x:v>16</x:v>
      </x:c>
      <x:c r="I2543" s="3" t="n">
        <x:v>57</x:v>
      </x:c>
      <x:c r="J2543" s="15" t="n">
        <x:f>IF(D2543=0,"n.a.",E2543/D2543)</x:f>
        <x:v>0.023304203079483977</x:v>
      </x:c>
      <x:c r="K2543" s="15" t="n">
        <x:f>F2543/'Datos'!$F$7</x:f>
        <x:v>0.000028760172835212426</x:v>
      </x:c>
      <x:c r="L2543" s="3"/>
    </x:row>
    <x:row r="2544" ht="22" customHeight="1">
      <x:c r="A2544" s="3"/>
      <x:c r="B2544" s="3" t="str">
        <x:v>23481</x:v>
      </x:c>
      <x:c r="C2544" s="3" t="str">
        <x:v>PEARLISED IVORY HEART SMALL</x:v>
      </x:c>
      <x:c r="D2544" s="13" t="n">
        <x:v>281.17</x:v>
      </x:c>
      <x:c r="E2544" s="13" t="n">
        <x:v>0</x:v>
      </x:c>
      <x:c r="F2544" s="13" t="n">
        <x:f>D2544-E2544</x:f>
        <x:v>281.17</x:v>
      </x:c>
      <x:c r="G2544" s="3" t="n">
        <x:v>228</x:v>
      </x:c>
      <x:c r="H2544" s="3" t="n">
        <x:v>0</x:v>
      </x:c>
      <x:c r="I2544" s="3" t="n">
        <x:v>29</x:v>
      </x:c>
      <x:c r="J2544" s="15" t="n">
        <x:f>IF(D2544=0,"n.a.",E2544/D2544)</x:f>
        <x:v>0</x:v>
      </x:c>
      <x:c r="K2544" s="15" t="n">
        <x:f>F2544/'Datos'!$F$7</x:f>
        <x:v>0.000028712177943746193</x:v>
      </x:c>
      <x:c r="L2544" s="3"/>
    </x:row>
    <x:row r="2545" ht="22" customHeight="1">
      <x:c r="A2545" s="3"/>
      <x:c r="B2545" s="3" t="str">
        <x:v>22257</x:v>
      </x:c>
      <x:c r="C2545" s="3" t="str">
        <x:v>FELT FARM ANIMAL SHEEP</x:v>
      </x:c>
      <x:c r="D2545" s="13" t="n">
        <x:v>280.42</x:v>
      </x:c>
      <x:c r="E2545" s="13" t="n">
        <x:v>0</x:v>
      </x:c>
      <x:c r="F2545" s="13" t="n">
        <x:f>D2545-E2545</x:f>
        <x:v>280.42</x:v>
      </x:c>
      <x:c r="G2545" s="3" t="n">
        <x:v>373</x:v>
      </x:c>
      <x:c r="H2545" s="3" t="n">
        <x:v>0</x:v>
      </x:c>
      <x:c r="I2545" s="3" t="n">
        <x:v>42</x:v>
      </x:c>
      <x:c r="J2545" s="15" t="n">
        <x:f>IF(D2545=0,"n.a.",E2545/D2545)</x:f>
        <x:v>0</x:v>
      </x:c>
      <x:c r="K2545" s="15" t="n">
        <x:f>F2545/'Datos'!$F$7</x:f>
        <x:v>0.00002863559035098093</x:v>
      </x:c>
      <x:c r="L2545" s="3"/>
    </x:row>
    <x:row r="2546" ht="22" customHeight="1">
      <x:c r="A2546" s="3"/>
      <x:c r="B2546" s="3" t="str">
        <x:v>71101E</x:v>
      </x:c>
      <x:c r="C2546" s="3" t="str">
        <x:v>STANDING FAIRY POLE SUPPORT</x:v>
      </x:c>
      <x:c r="D2546" s="13" t="n">
        <x:v>280.2</x:v>
      </x:c>
      <x:c r="E2546" s="13" t="n">
        <x:v>0</x:v>
      </x:c>
      <x:c r="F2546" s="13" t="n">
        <x:f>D2546-E2546</x:f>
        <x:v>280.2</x:v>
      </x:c>
      <x:c r="G2546" s="3" t="n">
        <x:v>348</x:v>
      </x:c>
      <x:c r="H2546" s="3" t="n">
        <x:v>0</x:v>
      </x:c>
      <x:c r="I2546" s="3" t="n">
        <x:v>22</x:v>
      </x:c>
      <x:c r="J2546" s="15" t="n">
        <x:f>IF(D2546=0,"n.a.",E2546/D2546)</x:f>
        <x:v>0</x:v>
      </x:c>
      <x:c r="K2546" s="15" t="n">
        <x:f>F2546/'Datos'!$F$7</x:f>
        <x:v>0.000028613124657103117</x:v>
      </x:c>
      <x:c r="L2546" s="3"/>
    </x:row>
    <x:row r="2547" ht="22" customHeight="1">
      <x:c r="A2547" s="3"/>
      <x:c r="B2547" s="3" t="str">
        <x:v>84816</x:v>
      </x:c>
      <x:c r="C2547" s="3" t="str">
        <x:v>DANISH ROSE BEDSIDE CABINET</x:v>
      </x:c>
      <x:c r="D2547" s="13" t="n">
        <x:v>519.35</x:v>
      </x:c>
      <x:c r="E2547" s="13" t="n">
        <x:v>239.7</x:v>
      </x:c>
      <x:c r="F2547" s="13" t="n">
        <x:f>D2547-E2547</x:f>
        <x:v>279.65000000000003</x:v>
      </x:c>
      <x:c r="G2547" s="3" t="n">
        <x:v>13</x:v>
      </x:c>
      <x:c r="H2547" s="3" t="n">
        <x:v>6</x:v>
      </x:c>
      <x:c r="I2547" s="3" t="n">
        <x:v>10</x:v>
      </x:c>
      <x:c r="J2547" s="15" t="n">
        <x:f>IF(D2547=0,"n.a.",E2547/D2547)</x:f>
        <x:v>0.4615384615384615</x:v>
      </x:c>
      <x:c r="K2547" s="15" t="n">
        <x:f>F2547/'Datos'!$F$7</x:f>
        <x:v>0.00002855696042240859</x:v>
      </x:c>
      <x:c r="L2547" s="3"/>
    </x:row>
    <x:row r="2548" ht="22" customHeight="1">
      <x:c r="A2548" s="3"/>
      <x:c r="B2548" s="3" t="str">
        <x:v>21725</x:v>
      </x:c>
      <x:c r="C2548" s="3" t="str">
        <x:v>SWEETIES STICKERS</x:v>
      </x:c>
      <x:c r="D2548" s="13" t="n">
        <x:v>277.24</x:v>
      </x:c>
      <x:c r="E2548" s="13" t="n">
        <x:v>0</x:v>
      </x:c>
      <x:c r="F2548" s="13" t="n">
        <x:f>D2548-E2548</x:f>
        <x:v>277.24</x:v>
      </x:c>
      <x:c r="G2548" s="3" t="n">
        <x:v>301</x:v>
      </x:c>
      <x:c r="H2548" s="3" t="n">
        <x:v>0</x:v>
      </x:c>
      <x:c r="I2548" s="3" t="n">
        <x:v>50</x:v>
      </x:c>
      <x:c r="J2548" s="15" t="n">
        <x:f>IF(D2548=0,"n.a.",E2548/D2548)</x:f>
        <x:v>0</x:v>
      </x:c>
      <x:c r="K2548" s="15" t="n">
        <x:f>F2548/'Datos'!$F$7</x:f>
        <x:v>0.000028310858957656204</x:v>
      </x:c>
      <x:c r="L2548" s="3"/>
    </x:row>
    <x:row r="2549" ht="22" customHeight="1">
      <x:c r="A2549" s="3"/>
      <x:c r="B2549" s="3" t="str">
        <x:v>16169M</x:v>
      </x:c>
      <x:c r="C2549" s="3" t="str">
        <x:v>WRAP DAISY CARPET</x:v>
      </x:c>
      <x:c r="D2549" s="13" t="n">
        <x:v>277.2</x:v>
      </x:c>
      <x:c r="E2549" s="13" t="n">
        <x:v>0</x:v>
      </x:c>
      <x:c r="F2549" s="13" t="n">
        <x:f>D2549-E2549</x:f>
        <x:v>277.2</x:v>
      </x:c>
      <x:c r="G2549" s="3" t="n">
        <x:v>660</x:v>
      </x:c>
      <x:c r="H2549" s="3" t="n">
        <x:v>0</x:v>
      </x:c>
      <x:c r="I2549" s="3" t="n">
        <x:v>25</x:v>
      </x:c>
      <x:c r="J2549" s="15" t="n">
        <x:f>IF(D2549=0,"n.a.",E2549/D2549)</x:f>
        <x:v>0</x:v>
      </x:c>
      <x:c r="K2549" s="15" t="n">
        <x:f>F2549/'Datos'!$F$7</x:f>
        <x:v>0.000028306774286042054</x:v>
      </x:c>
      <x:c r="L2549" s="3"/>
    </x:row>
    <x:row r="2550" ht="22" customHeight="1">
      <x:c r="A2550" s="3"/>
      <x:c r="B2550" s="3" t="str">
        <x:v>21293</x:v>
      </x:c>
      <x:c r="C2550" s="3" t="str">
        <x:v>MIRRORED DOVE WALL DECORATION</x:v>
      </x:c>
      <x:c r="D2550" s="13" t="n">
        <x:v>276.72</x:v>
      </x:c>
      <x:c r="E2550" s="13" t="n">
        <x:v>0</x:v>
      </x:c>
      <x:c r="F2550" s="13" t="n">
        <x:f>D2550-E2550</x:f>
        <x:v>276.72</x:v>
      </x:c>
      <x:c r="G2550" s="3" t="n">
        <x:v>116</x:v>
      </x:c>
      <x:c r="H2550" s="3" t="n">
        <x:v>0</x:v>
      </x:c>
      <x:c r="I2550" s="3" t="n">
        <x:v>24</x:v>
      </x:c>
      <x:c r="J2550" s="15" t="n">
        <x:f>IF(D2550=0,"n.a.",E2550/D2550)</x:f>
        <x:v>0</x:v>
      </x:c>
      <x:c r="K2550" s="15" t="n">
        <x:f>F2550/'Datos'!$F$7</x:f>
        <x:v>0.00002825775822667229</x:v>
      </x:c>
      <x:c r="L2550" s="3"/>
    </x:row>
    <x:row r="2551" ht="22" customHeight="1">
      <x:c r="A2551" s="3"/>
      <x:c r="B2551" s="3" t="str">
        <x:v>72801C</x:v>
      </x:c>
      <x:c r="C2551" s="3" t="str">
        <x:v>4 ROSE PINK DINNER CANDLES</x:v>
      </x:c>
      <x:c r="D2551" s="13" t="n">
        <x:v>276.59</x:v>
      </x:c>
      <x:c r="E2551" s="13" t="n">
        <x:v>0</x:v>
      </x:c>
      <x:c r="F2551" s="13" t="n">
        <x:f>D2551-E2551</x:f>
        <x:v>276.59</x:v>
      </x:c>
      <x:c r="G2551" s="3" t="n">
        <x:v>184</x:v>
      </x:c>
      <x:c r="H2551" s="3" t="n">
        <x:v>0</x:v>
      </x:c>
      <x:c r="I2551" s="3" t="n">
        <x:v>44</x:v>
      </x:c>
      <x:c r="J2551" s="15" t="n">
        <x:f>IF(D2551=0,"n.a.",E2551/D2551)</x:f>
        <x:v>0</x:v>
      </x:c>
      <x:c r="K2551" s="15" t="n">
        <x:f>F2551/'Datos'!$F$7</x:f>
        <x:v>0.000028244483043926302</x:v>
      </x:c>
      <x:c r="L2551" s="3"/>
    </x:row>
    <x:row r="2552" ht="22" customHeight="1">
      <x:c r="A2552" s="3"/>
      <x:c r="B2552" s="3" t="str">
        <x:v>84926D</x:v>
      </x:c>
      <x:c r="C2552" s="3" t="str">
        <x:v>LA PALMIERA TILE COASTER</x:v>
      </x:c>
      <x:c r="D2552" s="13" t="n">
        <x:v>276.53</x:v>
      </x:c>
      <x:c r="E2552" s="13" t="n">
        <x:v>0</x:v>
      </x:c>
      <x:c r="F2552" s="13" t="n">
        <x:f>D2552-E2552</x:f>
        <x:v>276.53</x:v>
      </x:c>
      <x:c r="G2552" s="3" t="n">
        <x:v>709</x:v>
      </x:c>
      <x:c r="H2552" s="3" t="n">
        <x:v>0</x:v>
      </x:c>
      <x:c r="I2552" s="3" t="n">
        <x:v>34</x:v>
      </x:c>
      <x:c r="J2552" s="15" t="n">
        <x:f>IF(D2552=0,"n.a.",E2552/D2552)</x:f>
        <x:v>0</x:v>
      </x:c>
      <x:c r="K2552" s="15" t="n">
        <x:f>F2552/'Datos'!$F$7</x:f>
        <x:v>0.00002823835603650508</x:v>
      </x:c>
      <x:c r="L2552" s="3"/>
    </x:row>
    <x:row r="2553" ht="22" customHeight="1">
      <x:c r="A2553" s="3"/>
      <x:c r="B2553" s="3" t="str">
        <x:v>23137</x:v>
      </x:c>
      <x:c r="C2553" s="3" t="str">
        <x:v>ZINC WIRE SWEETHEART LETTER TRAY</x:v>
      </x:c>
      <x:c r="D2553" s="13" t="n">
        <x:v>275.62</x:v>
      </x:c>
      <x:c r="E2553" s="13" t="n">
        <x:v>0</x:v>
      </x:c>
      <x:c r="F2553" s="13" t="n">
        <x:f>D2553-E2553</x:f>
        <x:v>275.62</x:v>
      </x:c>
      <x:c r="G2553" s="3" t="n">
        <x:v>83</x:v>
      </x:c>
      <x:c r="H2553" s="3" t="n">
        <x:v>0</x:v>
      </x:c>
      <x:c r="I2553" s="3" t="n">
        <x:v>23</x:v>
      </x:c>
      <x:c r="J2553" s="15" t="n">
        <x:f>IF(D2553=0,"n.a.",E2553/D2553)</x:f>
        <x:v>0</x:v>
      </x:c>
      <x:c r="K2553" s="15" t="n">
        <x:f>F2553/'Datos'!$F$7</x:f>
        <x:v>0.00002814542975728323</x:v>
      </x:c>
      <x:c r="L2553" s="3"/>
    </x:row>
    <x:row r="2554" ht="22" customHeight="1">
      <x:c r="A2554" s="3"/>
      <x:c r="B2554" s="3" t="str">
        <x:v>85188A</x:v>
      </x:c>
      <x:c r="C2554" s="3" t="str">
        <x:v>GREEN METAL SWINGING BUNNY</x:v>
      </x:c>
      <x:c r="D2554" s="13" t="n">
        <x:v>278.17</x:v>
      </x:c>
      <x:c r="E2554" s="13" t="n">
        <x:v>2.55</x:v>
      </x:c>
      <x:c r="F2554" s="13" t="n">
        <x:f>D2554-E2554</x:f>
        <x:v>275.62</x:v>
      </x:c>
      <x:c r="G2554" s="3" t="n">
        <x:v>319</x:v>
      </x:c>
      <x:c r="H2554" s="3" t="n">
        <x:v>3</x:v>
      </x:c>
      <x:c r="I2554" s="3" t="n">
        <x:v>42</x:v>
      </x:c>
      <x:c r="J2554" s="15" t="n">
        <x:f>IF(D2554=0,"n.a.",E2554/D2554)</x:f>
        <x:v>0.009167056116763128</x:v>
      </x:c>
      <x:c r="K2554" s="15" t="n">
        <x:f>F2554/'Datos'!$F$7</x:f>
        <x:v>0.00002814542975728323</x:v>
      </x:c>
      <x:c r="L2554" s="3"/>
    </x:row>
    <x:row r="2555" ht="22" customHeight="1">
      <x:c r="A2555" s="3"/>
      <x:c r="B2555" s="3" t="str">
        <x:v>21250</x:v>
      </x:c>
      <x:c r="C2555" s="3" t="str">
        <x:v>SET OF SKULL WALL STICKERS</x:v>
      </x:c>
      <x:c r="D2555" s="13" t="n">
        <x:v>274.37</x:v>
      </x:c>
      <x:c r="E2555" s="13" t="n">
        <x:v>0</x:v>
      </x:c>
      <x:c r="F2555" s="13" t="n">
        <x:f>D2555-E2555</x:f>
        <x:v>274.37</x:v>
      </x:c>
      <x:c r="G2555" s="3" t="n">
        <x:v>95</x:v>
      </x:c>
      <x:c r="H2555" s="3" t="n">
        <x:v>0</x:v>
      </x:c>
      <x:c r="I2555" s="3" t="n">
        <x:v>20</x:v>
      </x:c>
      <x:c r="J2555" s="15" t="n">
        <x:f>IF(D2555=0,"n.a.",E2555/D2555)</x:f>
        <x:v>0</x:v>
      </x:c>
      <x:c r="K2555" s="15" t="n">
        <x:f>F2555/'Datos'!$F$7</x:f>
        <x:v>0.000028017783769341122</x:v>
      </x:c>
      <x:c r="L2555" s="3"/>
    </x:row>
    <x:row r="2556" ht="22" customHeight="1">
      <x:c r="A2556" s="3"/>
      <x:c r="B2556" s="3" t="str">
        <x:v>20684</x:v>
      </x:c>
      <x:c r="C2556" s="3" t="str">
        <x:v>STRAWBERRY DREAM CHILDS UMBRELLA</x:v>
      </x:c>
      <x:c r="D2556" s="13" t="n">
        <x:v>273.81</x:v>
      </x:c>
      <x:c r="E2556" s="13" t="n">
        <x:v>0</x:v>
      </x:c>
      <x:c r="F2556" s="13" t="n">
        <x:f>D2556-E2556</x:f>
        <x:v>273.81</x:v>
      </x:c>
      <x:c r="G2556" s="3" t="n">
        <x:v>81</x:v>
      </x:c>
      <x:c r="H2556" s="3" t="n">
        <x:v>0</x:v>
      </x:c>
      <x:c r="I2556" s="3" t="n">
        <x:v>35</x:v>
      </x:c>
      <x:c r="J2556" s="15" t="n">
        <x:f>IF(D2556=0,"n.a.",E2556/D2556)</x:f>
        <x:v>0</x:v>
      </x:c>
      <x:c r="K2556" s="15" t="n">
        <x:f>F2556/'Datos'!$F$7</x:f>
        <x:v>0.000027960598366743056</x:v>
      </x:c>
      <x:c r="L2556" s="3"/>
    </x:row>
    <x:row r="2557" ht="22" customHeight="1">
      <x:c r="A2557" s="3"/>
      <x:c r="B2557" s="3" t="str">
        <x:v>22512</x:v>
      </x:c>
      <x:c r="C2557" s="3" t="str">
        <x:v>DOORSTOP RACING CAR DESIGN</x:v>
      </x:c>
      <x:c r="D2557" s="13" t="n">
        <x:v>273.46</x:v>
      </x:c>
      <x:c r="E2557" s="13" t="n">
        <x:v>0</x:v>
      </x:c>
      <x:c r="F2557" s="13" t="n">
        <x:f>D2557-E2557</x:f>
        <x:v>273.46</x:v>
      </x:c>
      <x:c r="G2557" s="3" t="n">
        <x:v>123</x:v>
      </x:c>
      <x:c r="H2557" s="3" t="n">
        <x:v>0</x:v>
      </x:c>
      <x:c r="I2557" s="3" t="n">
        <x:v>37</x:v>
      </x:c>
      <x:c r="J2557" s="15" t="n">
        <x:f>IF(D2557=0,"n.a.",E2557/D2557)</x:f>
        <x:v>0</x:v>
      </x:c>
      <x:c r="K2557" s="15" t="n">
        <x:f>F2557/'Datos'!$F$7</x:f>
        <x:v>0.000027924857490119264</x:v>
      </x:c>
      <x:c r="L2557" s="3"/>
    </x:row>
    <x:row r="2558" ht="22" customHeight="1">
      <x:c r="A2558" s="3"/>
      <x:c r="B2558" s="3" t="str">
        <x:v>84859A</x:v>
      </x:c>
      <x:c r="C2558" s="3" t="str">
        <x:v>SILVER DISCO HANDBAG</x:v>
      </x:c>
      <x:c r="D2558" s="13" t="n">
        <x:v>272.99</x:v>
      </x:c>
      <x:c r="E2558" s="13" t="n">
        <x:v>0</x:v>
      </x:c>
      <x:c r="F2558" s="13" t="n">
        <x:f>D2558-E2558</x:f>
        <x:v>272.99</x:v>
      </x:c>
      <x:c r="G2558" s="3" t="n">
        <x:v>129</x:v>
      </x:c>
      <x:c r="H2558" s="3" t="n">
        <x:v>0</x:v>
      </x:c>
      <x:c r="I2558" s="3" t="n">
        <x:v>35</x:v>
      </x:c>
      <x:c r="J2558" s="15" t="n">
        <x:f>IF(D2558=0,"n.a.",E2558/D2558)</x:f>
        <x:v>0</x:v>
      </x:c>
      <x:c r="K2558" s="15" t="n">
        <x:f>F2558/'Datos'!$F$7</x:f>
        <x:v>0.000027876862598653034</x:v>
      </x:c>
      <x:c r="L2558" s="3"/>
    </x:row>
    <x:row r="2559" ht="22" customHeight="1">
      <x:c r="A2559" s="3"/>
      <x:c r="B2559" s="3" t="str">
        <x:v>23141</x:v>
      </x:c>
      <x:c r="C2559" s="3" t="str">
        <x:v>TRIPLE WIRE HOOK PINK HEART</x:v>
      </x:c>
      <x:c r="D2559" s="13" t="n">
        <x:v>272.91</x:v>
      </x:c>
      <x:c r="E2559" s="13" t="n">
        <x:v>0</x:v>
      </x:c>
      <x:c r="F2559" s="13" t="n">
        <x:f>D2559-E2559</x:f>
        <x:v>272.91</x:v>
      </x:c>
      <x:c r="G2559" s="3" t="n">
        <x:v>79</x:v>
      </x:c>
      <x:c r="H2559" s="3" t="n">
        <x:v>0</x:v>
      </x:c>
      <x:c r="I2559" s="3" t="n">
        <x:v>25</x:v>
      </x:c>
      <x:c r="J2559" s="15" t="n">
        <x:f>IF(D2559=0,"n.a.",E2559/D2559)</x:f>
        <x:v>0</x:v>
      </x:c>
      <x:c r="K2559" s="15" t="n">
        <x:f>F2559/'Datos'!$F$7</x:f>
        <x:v>0.00002786869325542474</x:v>
      </x:c>
      <x:c r="L2559" s="3"/>
    </x:row>
    <x:row r="2560" ht="22" customHeight="1">
      <x:c r="A2560" s="3"/>
      <x:c r="B2560" s="3" t="str">
        <x:v>22889</x:v>
      </x:c>
      <x:c r="C2560" s="3" t="str">
        <x:v>NUMBER TILE VINTAGE FONT No</x:v>
      </x:c>
      <x:c r="D2560" s="13" t="n">
        <x:v>272.2</x:v>
      </x:c>
      <x:c r="E2560" s="13" t="n">
        <x:v>0</x:v>
      </x:c>
      <x:c r="F2560" s="13" t="n">
        <x:f>D2560-E2560</x:f>
        <x:v>272.2</x:v>
      </x:c>
      <x:c r="G2560" s="3" t="n">
        <x:v>173</x:v>
      </x:c>
      <x:c r="H2560" s="3" t="n">
        <x:v>0</x:v>
      </x:c>
      <x:c r="I2560" s="3" t="n">
        <x:v>33</x:v>
      </x:c>
      <x:c r="J2560" s="15" t="n">
        <x:f>IF(D2560=0,"n.a.",E2560/D2560)</x:f>
        <x:v>0</x:v>
      </x:c>
      <x:c r="K2560" s="15" t="n">
        <x:f>F2560/'Datos'!$F$7</x:f>
        <x:v>0.00002779619033427362</x:v>
      </x:c>
      <x:c r="L2560" s="3"/>
    </x:row>
    <x:row r="2561" ht="22" customHeight="1">
      <x:c r="A2561" s="3"/>
      <x:c r="B2561" s="3" t="str">
        <x:v>20755</x:v>
      </x:c>
      <x:c r="C2561" s="3" t="str">
        <x:v>BLUE PAISLEY POCKET BOOK</x:v>
      </x:c>
      <x:c r="D2561" s="13" t="n">
        <x:v>272.02</x:v>
      </x:c>
      <x:c r="E2561" s="13" t="n">
        <x:v>0</x:v>
      </x:c>
      <x:c r="F2561" s="13" t="n">
        <x:f>D2561-E2561</x:f>
        <x:v>272.02</x:v>
      </x:c>
      <x:c r="G2561" s="3" t="n">
        <x:v>307</x:v>
      </x:c>
      <x:c r="H2561" s="3" t="n">
        <x:v>0</x:v>
      </x:c>
      <x:c r="I2561" s="3" t="n">
        <x:v>62</x:v>
      </x:c>
      <x:c r="J2561" s="15" t="n">
        <x:f>IF(D2561=0,"n.a.",E2561/D2561)</x:f>
        <x:v>0</x:v>
      </x:c>
      <x:c r="K2561" s="15" t="n">
        <x:f>F2561/'Datos'!$F$7</x:f>
        <x:v>0.000027777809312009954</x:v>
      </x:c>
      <x:c r="L2561" s="3"/>
    </x:row>
    <x:row r="2562" ht="22" customHeight="1">
      <x:c r="A2562" s="3"/>
      <x:c r="B2562" s="3" t="str">
        <x:v>21815</x:v>
      </x:c>
      <x:c r="C2562" s="3" t="str">
        <x:v>STAR T-LIGHT HOLDER</x:v>
      </x:c>
      <x:c r="D2562" s="13" t="n">
        <x:v>271.68</x:v>
      </x:c>
      <x:c r="E2562" s="13" t="n">
        <x:v>0</x:v>
      </x:c>
      <x:c r="F2562" s="13" t="n">
        <x:f>D2562-E2562</x:f>
        <x:v>271.68</x:v>
      </x:c>
      <x:c r="G2562" s="3" t="n">
        <x:v>159</x:v>
      </x:c>
      <x:c r="H2562" s="3" t="n">
        <x:v>0</x:v>
      </x:c>
      <x:c r="I2562" s="3" t="n">
        <x:v>29</x:v>
      </x:c>
      <x:c r="J2562" s="15" t="n">
        <x:f>IF(D2562=0,"n.a.",E2562/D2562)</x:f>
        <x:v>0</x:v>
      </x:c>
      <x:c r="K2562" s="15" t="n">
        <x:f>F2562/'Datos'!$F$7</x:f>
        <x:v>0.000027743089603289705</x:v>
      </x:c>
      <x:c r="L2562" s="3"/>
    </x:row>
    <x:row r="2563" ht="22" customHeight="1">
      <x:c r="A2563" s="3"/>
      <x:c r="B2563" s="3" t="str">
        <x:v>20734</x:v>
      </x:c>
      <x:c r="C2563" s="3" t="str">
        <x:v>SILVER MINI TAPE MEASURE</x:v>
      </x:c>
      <x:c r="D2563" s="13" t="n">
        <x:v>271.22</x:v>
      </x:c>
      <x:c r="E2563" s="13" t="n">
        <x:v>0</x:v>
      </x:c>
      <x:c r="F2563" s="13" t="n">
        <x:f>D2563-E2563</x:f>
        <x:v>271.22</x:v>
      </x:c>
      <x:c r="G2563" s="3" t="n">
        <x:v>158</x:v>
      </x:c>
      <x:c r="H2563" s="3" t="n">
        <x:v>0</x:v>
      </x:c>
      <x:c r="I2563" s="3" t="n">
        <x:v>26</x:v>
      </x:c>
      <x:c r="J2563" s="15" t="n">
        <x:f>IF(D2563=0,"n.a.",E2563/D2563)</x:f>
        <x:v>0</x:v>
      </x:c>
      <x:c r="K2563" s="15" t="n">
        <x:f>F2563/'Datos'!$F$7</x:f>
        <x:v>0.000027696115879727008</x:v>
      </x:c>
      <x:c r="L2563" s="3"/>
    </x:row>
    <x:row r="2564" ht="22" customHeight="1">
      <x:c r="A2564" s="3"/>
      <x:c r="B2564" s="3" t="str">
        <x:v>85214</x:v>
      </x:c>
      <x:c r="C2564" s="3" t="str">
        <x:v>TUB 24 PINK FLOWER PEGS</x:v>
      </x:c>
      <x:c r="D2564" s="13" t="n">
        <x:v>271.04</x:v>
      </x:c>
      <x:c r="E2564" s="13" t="n">
        <x:v>0</x:v>
      </x:c>
      <x:c r="F2564" s="13" t="n">
        <x:f>D2564-E2564</x:f>
        <x:v>271.04</x:v>
      </x:c>
      <x:c r="G2564" s="3" t="n">
        <x:v>164</x:v>
      </x:c>
      <x:c r="H2564" s="3" t="n">
        <x:v>0</x:v>
      </x:c>
      <x:c r="I2564" s="3" t="n">
        <x:v>58</x:v>
      </x:c>
      <x:c r="J2564" s="15" t="n">
        <x:f>IF(D2564=0,"n.a.",E2564/D2564)</x:f>
        <x:v>0</x:v>
      </x:c>
      <x:c r="K2564" s="15" t="n">
        <x:f>F2564/'Datos'!$F$7</x:f>
        <x:v>0.000027677734857463346</x:v>
      </x:c>
      <x:c r="L2564" s="3"/>
    </x:row>
    <x:row r="2565" ht="22" customHeight="1">
      <x:c r="A2565" s="3"/>
      <x:c r="B2565" s="3" t="str">
        <x:v>23474</x:v>
      </x:c>
      <x:c r="C2565" s="3" t="str">
        <x:v>WOODLAND SMALL BLUE FELT HEART</x:v>
      </x:c>
      <x:c r="D2565" s="13" t="n">
        <x:v>270.96</x:v>
      </x:c>
      <x:c r="E2565" s="13" t="n">
        <x:v>0</x:v>
      </x:c>
      <x:c r="F2565" s="13" t="n">
        <x:f>D2565-E2565</x:f>
        <x:v>270.96</x:v>
      </x:c>
      <x:c r="G2565" s="3" t="n">
        <x:v>312</x:v>
      </x:c>
      <x:c r="H2565" s="3" t="n">
        <x:v>0</x:v>
      </x:c>
      <x:c r="I2565" s="3" t="n">
        <x:v>37</x:v>
      </x:c>
      <x:c r="J2565" s="15" t="n">
        <x:f>IF(D2565=0,"n.a.",E2565/D2565)</x:f>
        <x:v>0</x:v>
      </x:c>
      <x:c r="K2565" s="15" t="n">
        <x:f>F2565/'Datos'!$F$7</x:f>
        <x:v>0.000027669565514235045</x:v>
      </x:c>
      <x:c r="L2565" s="3"/>
    </x:row>
    <x:row r="2566" ht="22" customHeight="1">
      <x:c r="A2566" s="3"/>
      <x:c r="B2566" s="3" t="str">
        <x:v>20771</x:v>
      </x:c>
      <x:c r="C2566" s="3" t="str">
        <x:v>CHRYSANTHEMUM JOURNAL</x:v>
      </x:c>
      <x:c r="D2566" s="13" t="n">
        <x:v>269.68</x:v>
      </x:c>
      <x:c r="E2566" s="13" t="n">
        <x:v>0</x:v>
      </x:c>
      <x:c r="F2566" s="13" t="n">
        <x:f>D2566-E2566</x:f>
        <x:v>269.68</x:v>
      </x:c>
      <x:c r="G2566" s="3" t="n">
        <x:v>103</x:v>
      </x:c>
      <x:c r="H2566" s="3" t="n">
        <x:v>0</x:v>
      </x:c>
      <x:c r="I2566" s="3" t="n">
        <x:v>40</x:v>
      </x:c>
      <x:c r="J2566" s="15" t="n">
        <x:f>IF(D2566=0,"n.a.",E2566/D2566)</x:f>
        <x:v>0</x:v>
      </x:c>
      <x:c r="K2566" s="15" t="n">
        <x:f>F2566/'Datos'!$F$7</x:f>
        <x:v>0.00002753885602258233</x:v>
      </x:c>
      <x:c r="L2566" s="3"/>
    </x:row>
    <x:row r="2567" ht="22" customHeight="1">
      <x:c r="A2567" s="3"/>
      <x:c r="B2567" s="3" t="str">
        <x:v>21785</x:v>
      </x:c>
      <x:c r="C2567" s="3" t="str">
        <x:v>RAIN PONCHO</x:v>
      </x:c>
      <x:c r="D2567" s="13" t="n">
        <x:v>269.61</x:v>
      </x:c>
      <x:c r="E2567" s="13" t="n">
        <x:v>0</x:v>
      </x:c>
      <x:c r="F2567" s="13" t="n">
        <x:f>D2567-E2567</x:f>
        <x:v>269.61</x:v>
      </x:c>
      <x:c r="G2567" s="3" t="n">
        <x:v>412</x:v>
      </x:c>
      <x:c r="H2567" s="3" t="n">
        <x:v>0</x:v>
      </x:c>
      <x:c r="I2567" s="3" t="n">
        <x:v>5</x:v>
      </x:c>
      <x:c r="J2567" s="15" t="n">
        <x:f>IF(D2567=0,"n.a.",E2567/D2567)</x:f>
        <x:v>0</x:v>
      </x:c>
      <x:c r="K2567" s="15" t="n">
        <x:f>F2567/'Datos'!$F$7</x:f>
        <x:v>0.000027531707847257572</x:v>
      </x:c>
      <x:c r="L2567" s="3"/>
    </x:row>
    <x:row r="2568" ht="22" customHeight="1">
      <x:c r="A2568" s="3"/>
      <x:c r="B2568" s="3" t="str">
        <x:v>21332</x:v>
      </x:c>
      <x:c r="C2568" s="3" t="str">
        <x:v>MOROCCAN BEATEN METAL MIRROR</x:v>
      </x:c>
      <x:c r="D2568" s="13" t="n">
        <x:v>268.1</x:v>
      </x:c>
      <x:c r="E2568" s="13" t="n">
        <x:v>0</x:v>
      </x:c>
      <x:c r="F2568" s="13" t="n">
        <x:f>D2568-E2568</x:f>
        <x:v>268.1</x:v>
      </x:c>
      <x:c r="G2568" s="3" t="n">
        <x:v>19</x:v>
      </x:c>
      <x:c r="H2568" s="3" t="n">
        <x:v>0</x:v>
      </x:c>
      <x:c r="I2568" s="3" t="n">
        <x:v>13</x:v>
      </x:c>
      <x:c r="J2568" s="15" t="n">
        <x:f>IF(D2568=0,"n.a.",E2568/D2568)</x:f>
        <x:v>0</x:v>
      </x:c>
      <x:c r="K2568" s="15" t="n">
        <x:f>F2568/'Datos'!$F$7</x:f>
        <x:v>0.000027377511493823505</x:v>
      </x:c>
      <x:c r="L2568" s="3"/>
    </x:row>
    <x:row r="2569" ht="22" customHeight="1">
      <x:c r="A2569" s="3"/>
      <x:c r="B2569" s="3" t="str">
        <x:v>17013D</x:v>
      </x:c>
      <x:c r="C2569" s="3" t="str">
        <x:v>ORIGAMI ROSE INCENSE IN TUBE</x:v>
      </x:c>
      <x:c r="D2569" s="13" t="n">
        <x:v>267.82</x:v>
      </x:c>
      <x:c r="E2569" s="13" t="n">
        <x:v>0</x:v>
      </x:c>
      <x:c r="F2569" s="13" t="n">
        <x:f>D2569-E2569</x:f>
        <x:v>267.82</x:v>
      </x:c>
      <x:c r="G2569" s="3" t="n">
        <x:v>535</x:v>
      </x:c>
      <x:c r="H2569" s="3" t="n">
        <x:v>0</x:v>
      </x:c>
      <x:c r="I2569" s="3" t="n">
        <x:v>13</x:v>
      </x:c>
      <x:c r="J2569" s="15" t="n">
        <x:f>IF(D2569=0,"n.a.",E2569/D2569)</x:f>
        <x:v>0</x:v>
      </x:c>
      <x:c r="K2569" s="15" t="n">
        <x:f>F2569/'Datos'!$F$7</x:f>
        <x:v>0.00002734891879252447</x:v>
      </x:c>
      <x:c r="L2569" s="3"/>
    </x:row>
    <x:row r="2570" ht="22" customHeight="1">
      <x:c r="A2570" s="3"/>
      <x:c r="B2570" s="3" t="str">
        <x:v>85230E</x:v>
      </x:c>
      <x:c r="C2570" s="3" t="str">
        <x:v>STRAWBRY SCENTED VOTIVE CANDLE</x:v>
      </x:c>
      <x:c r="D2570" s="13" t="n">
        <x:v>267.45</x:v>
      </x:c>
      <x:c r="E2570" s="13" t="n">
        <x:v>0</x:v>
      </x:c>
      <x:c r="F2570" s="13" t="n">
        <x:f>D2570-E2570</x:f>
        <x:v>267.45</x:v>
      </x:c>
      <x:c r="G2570" s="3" t="n">
        <x:v>1101</x:v>
      </x:c>
      <x:c r="H2570" s="3" t="n">
        <x:v>0</x:v>
      </x:c>
      <x:c r="I2570" s="3" t="n">
        <x:v>24</x:v>
      </x:c>
      <x:c r="J2570" s="15" t="n">
        <x:f>IF(D2570=0,"n.a.",E2570/D2570)</x:f>
        <x:v>0</x:v>
      </x:c>
      <x:c r="K2570" s="15" t="n">
        <x:f>F2570/'Datos'!$F$7</x:f>
        <x:v>0.000027311135580093606</x:v>
      </x:c>
      <x:c r="L2570" s="3"/>
    </x:row>
    <x:row r="2571" ht="22" customHeight="1">
      <x:c r="A2571" s="3"/>
      <x:c r="B2571" s="3" t="str">
        <x:v>21265</x:v>
      </x:c>
      <x:c r="C2571" s="3" t="str">
        <x:v>PINK GOOSE FEATHER TREE 60CM</x:v>
      </x:c>
      <x:c r="D2571" s="13" t="n">
        <x:v>267.21</x:v>
      </x:c>
      <x:c r="E2571" s="13" t="n">
        <x:v>0</x:v>
      </x:c>
      <x:c r="F2571" s="13" t="n">
        <x:f>D2571-E2571</x:f>
        <x:v>267.21</x:v>
      </x:c>
      <x:c r="G2571" s="3" t="n">
        <x:v>131</x:v>
      </x:c>
      <x:c r="H2571" s="3" t="n">
        <x:v>0</x:v>
      </x:c>
      <x:c r="I2571" s="3" t="n">
        <x:v>19</x:v>
      </x:c>
      <x:c r="J2571" s="15" t="n">
        <x:f>IF(D2571=0,"n.a.",E2571/D2571)</x:f>
        <x:v>0</x:v>
      </x:c>
      <x:c r="K2571" s="15" t="n">
        <x:f>F2571/'Datos'!$F$7</x:f>
        <x:v>0.00002728662755040872</x:v>
      </x:c>
      <x:c r="L2571" s="3"/>
    </x:row>
    <x:row r="2572" ht="22" customHeight="1">
      <x:c r="A2572" s="3"/>
      <x:c r="B2572" s="3" t="str">
        <x:v>35001W</x:v>
      </x:c>
      <x:c r="C2572" s="3" t="str">
        <x:v>HAND OPEN SHAPE DECO.WHITE</x:v>
      </x:c>
      <x:c r="D2572" s="13" t="n">
        <x:v>270.02</x:v>
      </x:c>
      <x:c r="E2572" s="13" t="n">
        <x:v>3.49</x:v>
      </x:c>
      <x:c r="F2572" s="13" t="n">
        <x:f>D2572-E2572</x:f>
        <x:v>266.53</x:v>
      </x:c>
      <x:c r="G2572" s="3" t="n">
        <x:v>92</x:v>
      </x:c>
      <x:c r="H2572" s="3" t="n">
        <x:v>1</x:v>
      </x:c>
      <x:c r="I2572" s="3" t="n">
        <x:v>5</x:v>
      </x:c>
      <x:c r="J2572" s="15" t="n">
        <x:f>IF(D2572=0,"n.a.",E2572/D2572)</x:f>
        <x:v>0.01292496852085031</x:v>
      </x:c>
      <x:c r="K2572" s="15" t="n">
        <x:f>F2572/'Datos'!$F$7</x:f>
        <x:v>0.000027217188132968213</x:v>
      </x:c>
      <x:c r="L2572" s="3"/>
    </x:row>
    <x:row r="2573" ht="22" customHeight="1">
      <x:c r="A2573" s="3"/>
      <x:c r="B2573" s="3" t="str">
        <x:v>20699</x:v>
      </x:c>
      <x:c r="C2573" s="3" t="str">
        <x:v>MOUSEY LONG LEGS SOFT TOY</x:v>
      </x:c>
      <x:c r="D2573" s="13" t="n">
        <x:v>266.03</x:v>
      </x:c>
      <x:c r="E2573" s="13" t="n">
        <x:v>0</x:v>
      </x:c>
      <x:c r="F2573" s="13" t="n">
        <x:f>D2573-E2573</x:f>
        <x:v>266.03</x:v>
      </x:c>
      <x:c r="G2573" s="3" t="n">
        <x:v>97</x:v>
      </x:c>
      <x:c r="H2573" s="3" t="n">
        <x:v>0</x:v>
      </x:c>
      <x:c r="I2573" s="3" t="n">
        <x:v>41</x:v>
      </x:c>
      <x:c r="J2573" s="15" t="n">
        <x:f>IF(D2573=0,"n.a.",E2573/D2573)</x:f>
        <x:v>0</x:v>
      </x:c>
      <x:c r="K2573" s="15" t="n">
        <x:f>F2573/'Datos'!$F$7</x:f>
        <x:v>0.00002716612973779137</x:v>
      </x:c>
      <x:c r="L2573" s="3"/>
    </x:row>
    <x:row r="2574" ht="22" customHeight="1">
      <x:c r="A2574" s="3"/>
      <x:c r="B2574" s="3" t="str">
        <x:v>72800C</x:v>
      </x:c>
      <x:c r="C2574" s="3" t="str">
        <x:v>4 PINK DINNER CANDLE SILVER FLOCK</x:v>
      </x:c>
      <x:c r="D2574" s="13" t="n">
        <x:v>264.82</x:v>
      </x:c>
      <x:c r="E2574" s="13" t="n">
        <x:v>0</x:v>
      </x:c>
      <x:c r="F2574" s="13" t="n">
        <x:f>D2574-E2574</x:f>
        <x:v>264.82</x:v>
      </x:c>
      <x:c r="G2574" s="3" t="n">
        <x:v>132</x:v>
      </x:c>
      <x:c r="H2574" s="3" t="n">
        <x:v>0</x:v>
      </x:c>
      <x:c r="I2574" s="3" t="n">
        <x:v>35</x:v>
      </x:c>
      <x:c r="J2574" s="15" t="n">
        <x:f>IF(D2574=0,"n.a.",E2574/D2574)</x:f>
        <x:v>0</x:v>
      </x:c>
      <x:c r="K2574" s="15" t="n">
        <x:f>F2574/'Datos'!$F$7</x:f>
        <x:v>0.000027042568421463408</x:v>
      </x:c>
      <x:c r="L2574" s="3"/>
    </x:row>
    <x:row r="2575" ht="22" customHeight="1">
      <x:c r="A2575" s="3"/>
      <x:c r="B2575" s="3" t="str">
        <x:v>23476</x:v>
      </x:c>
      <x:c r="C2575" s="3" t="str">
        <x:v>WOODLAND LARGE RED FELT HEART</x:v>
      </x:c>
      <x:c r="D2575" s="13" t="n">
        <x:v>264.72</x:v>
      </x:c>
      <x:c r="E2575" s="13" t="n">
        <x:v>0</x:v>
      </x:c>
      <x:c r="F2575" s="13" t="n">
        <x:f>D2575-E2575</x:f>
        <x:v>264.72</x:v>
      </x:c>
      <x:c r="G2575" s="3" t="n">
        <x:v>205</x:v>
      </x:c>
      <x:c r="H2575" s="3" t="n">
        <x:v>0</x:v>
      </x:c>
      <x:c r="I2575" s="3" t="n">
        <x:v>22</x:v>
      </x:c>
      <x:c r="J2575" s="15" t="n">
        <x:f>IF(D2575=0,"n.a.",E2575/D2575)</x:f>
        <x:v>0</x:v>
      </x:c>
      <x:c r="K2575" s="15" t="n">
        <x:f>F2575/'Datos'!$F$7</x:f>
        <x:v>0.000027032356742428043</x:v>
      </x:c>
      <x:c r="L2575" s="3"/>
    </x:row>
    <x:row r="2576" ht="22" customHeight="1">
      <x:c r="A2576" s="3"/>
      <x:c r="B2576" s="3" t="str">
        <x:v>90160D</x:v>
      </x:c>
      <x:c r="C2576" s="3" t="str">
        <x:v>PINK BOUDICCA LARGE BRACELET</x:v>
      </x:c>
      <x:c r="D2576" s="13" t="n">
        <x:v>264.7</x:v>
      </x:c>
      <x:c r="E2576" s="13" t="n">
        <x:v>0</x:v>
      </x:c>
      <x:c r="F2576" s="13" t="n">
        <x:f>D2576-E2576</x:f>
        <x:v>264.7</x:v>
      </x:c>
      <x:c r="G2576" s="3" t="n">
        <x:v>38</x:v>
      </x:c>
      <x:c r="H2576" s="3" t="n">
        <x:v>0</x:v>
      </x:c>
      <x:c r="I2576" s="3" t="n">
        <x:v>12</x:v>
      </x:c>
      <x:c r="J2576" s="15" t="n">
        <x:f>IF(D2576=0,"n.a.",E2576/D2576)</x:f>
        <x:v>0</x:v>
      </x:c>
      <x:c r="K2576" s="15" t="n">
        <x:f>F2576/'Datos'!$F$7</x:f>
        <x:v>0.000027030314406620964</x:v>
      </x:c>
      <x:c r="L2576" s="3"/>
    </x:row>
    <x:row r="2577" ht="22" customHeight="1">
      <x:c r="A2577" s="3"/>
      <x:c r="B2577" s="3" t="str">
        <x:v>84952A</x:v>
      </x:c>
      <x:c r="C2577" s="3" t="str">
        <x:v>CLEAR LOVE BIRD T-LIGHT HOLDER</x:v>
      </x:c>
      <x:c r="D2577" s="13" t="n">
        <x:v>264.47</x:v>
      </x:c>
      <x:c r="E2577" s="13" t="n">
        <x:v>0</x:v>
      </x:c>
      <x:c r="F2577" s="13" t="n">
        <x:f>D2577-E2577</x:f>
        <x:v>264.47</x:v>
      </x:c>
      <x:c r="G2577" s="3" t="n">
        <x:v>92</x:v>
      </x:c>
      <x:c r="H2577" s="3" t="n">
        <x:v>0</x:v>
      </x:c>
      <x:c r="I2577" s="3" t="n">
        <x:v>26</x:v>
      </x:c>
      <x:c r="J2577" s="15" t="n">
        <x:f>IF(D2577=0,"n.a.",E2577/D2577)</x:f>
        <x:v>0</x:v>
      </x:c>
      <x:c r="K2577" s="15" t="n">
        <x:f>F2577/'Datos'!$F$7</x:f>
        <x:v>0.000027006827544839623</x:v>
      </x:c>
      <x:c r="L2577" s="3"/>
    </x:row>
    <x:row r="2578" ht="22" customHeight="1">
      <x:c r="A2578" s="3"/>
      <x:c r="B2578" s="3" t="str">
        <x:v>85039C</x:v>
      </x:c>
      <x:c r="C2578" s="3" t="str">
        <x:v>S/4 BLACK MINI ROSE CANDLE IN BOWL</x:v>
      </x:c>
      <x:c r="D2578" s="13" t="n">
        <x:v>265.77</x:v>
      </x:c>
      <x:c r="E2578" s="13" t="n">
        <x:v>1.65</x:v>
      </x:c>
      <x:c r="F2578" s="13" t="n">
        <x:f>D2578-E2578</x:f>
        <x:v>264.12</x:v>
      </x:c>
      <x:c r="G2578" s="3" t="n">
        <x:v>305</x:v>
      </x:c>
      <x:c r="H2578" s="3" t="n">
        <x:v>1</x:v>
      </x:c>
      <x:c r="I2578" s="3" t="n">
        <x:v>67</x:v>
      </x:c>
      <x:c r="J2578" s="15" t="n">
        <x:f>IF(D2578=0,"n.a.",E2578/D2578)</x:f>
        <x:v>0.006208375663167401</x:v>
      </x:c>
      <x:c r="K2578" s="15" t="n">
        <x:f>F2578/'Datos'!$F$7</x:f>
        <x:v>0.00002697108666821583</x:v>
      </x:c>
      <x:c r="L2578" s="3"/>
    </x:row>
    <x:row r="2579" ht="22" customHeight="1">
      <x:c r="A2579" s="3"/>
      <x:c r="B2579" s="3" t="str">
        <x:v>20897</x:v>
      </x:c>
      <x:c r="C2579" s="3" t="str">
        <x:v>VINTAGE NOTEBOOK PARIS DAYS</x:v>
      </x:c>
      <x:c r="D2579" s="13" t="n">
        <x:v>298.27</x:v>
      </x:c>
      <x:c r="E2579" s="13" t="n">
        <x:v>35.4</x:v>
      </x:c>
      <x:c r="F2579" s="13" t="n">
        <x:f>D2579-E2579</x:f>
        <x:v>262.87</x:v>
      </x:c>
      <x:c r="G2579" s="3" t="n">
        <x:v>107</x:v>
      </x:c>
      <x:c r="H2579" s="3" t="n">
        <x:v>12</x:v>
      </x:c>
      <x:c r="I2579" s="3" t="n">
        <x:v>24</x:v>
      </x:c>
      <x:c r="J2579" s="15" t="n">
        <x:f>IF(D2579=0,"n.a.",E2579/D2579)</x:f>
        <x:v>0.1186844134509002</x:v>
      </x:c>
      <x:c r="K2579" s="15" t="n">
        <x:f>F2579/'Datos'!$F$7</x:f>
        <x:v>0.00002684344068027372</x:v>
      </x:c>
      <x:c r="L2579" s="3"/>
    </x:row>
    <x:row r="2580" ht="22" customHeight="1">
      <x:c r="A2580" s="3"/>
      <x:c r="B2580" s="3" t="str">
        <x:v>21445</x:v>
      </x:c>
      <x:c r="C2580" s="3" t="str">
        <x:v>12 PINK ROSE PEG PLACE SETTINGS</x:v>
      </x:c>
      <x:c r="D2580" s="13" t="n">
        <x:v>267.5</x:v>
      </x:c>
      <x:c r="E2580" s="13" t="n">
        <x:v>5</x:v>
      </x:c>
      <x:c r="F2580" s="13" t="n">
        <x:f>D2580-E2580</x:f>
        <x:v>262.5</x:v>
      </x:c>
      <x:c r="G2580" s="3" t="n">
        <x:v>214</x:v>
      </x:c>
      <x:c r="H2580" s="3" t="n">
        <x:v>4</x:v>
      </x:c>
      <x:c r="I2580" s="3" t="n">
        <x:v>21</x:v>
      </x:c>
      <x:c r="J2580" s="15" t="n">
        <x:f>IF(D2580=0,"n.a.",E2580/D2580)</x:f>
        <x:v>0.018691588785046728</x:v>
      </x:c>
      <x:c r="K2580" s="15" t="n">
        <x:f>F2580/'Datos'!$F$7</x:f>
        <x:v>0.000026805657467842855</x:v>
      </x:c>
      <x:c r="L2580" s="3"/>
    </x:row>
    <x:row r="2581" ht="22" customHeight="1">
      <x:c r="A2581" s="3"/>
      <x:c r="B2581" s="3" t="str">
        <x:v>85124C</x:v>
      </x:c>
      <x:c r="C2581" s="3" t="str">
        <x:v>GREEN JUICY FRUIT PHOTO FRAME</x:v>
      </x:c>
      <x:c r="D2581" s="13" t="n">
        <x:v>261.89</x:v>
      </x:c>
      <x:c r="E2581" s="13" t="n">
        <x:v>0</x:v>
      </x:c>
      <x:c r="F2581" s="13" t="n">
        <x:f>D2581-E2581</x:f>
        <x:v>261.89</x:v>
      </x:c>
      <x:c r="G2581" s="3" t="n">
        <x:v>94</x:v>
      </x:c>
      <x:c r="H2581" s="3" t="n">
        <x:v>0</x:v>
      </x:c>
      <x:c r="I2581" s="3" t="n">
        <x:v>39</x:v>
      </x:c>
      <x:c r="J2581" s="15" t="n">
        <x:f>IF(D2581=0,"n.a.",E2581/D2581)</x:f>
        <x:v>0</x:v>
      </x:c>
      <x:c r="K2581" s="15" t="n">
        <x:f>F2581/'Datos'!$F$7</x:f>
        <x:v>0.000026743366225727103</x:v>
      </x:c>
      <x:c r="L2581" s="3"/>
    </x:row>
    <x:row r="2582" ht="22" customHeight="1">
      <x:c r="A2582" s="3"/>
      <x:c r="B2582" s="3" t="str">
        <x:v>84858C</x:v>
      </x:c>
      <x:c r="C2582" s="3" t="str">
        <x:v>PINK RIVIERA HANDBAG</x:v>
      </x:c>
      <x:c r="D2582" s="13" t="n">
        <x:v>261.68</x:v>
      </x:c>
      <x:c r="E2582" s="13" t="n">
        <x:v>0</x:v>
      </x:c>
      <x:c r="F2582" s="13" t="n">
        <x:f>D2582-E2582</x:f>
        <x:v>261.68</x:v>
      </x:c>
      <x:c r="G2582" s="3" t="n">
        <x:v>186</x:v>
      </x:c>
      <x:c r="H2582" s="3" t="n">
        <x:v>0</x:v>
      </x:c>
      <x:c r="I2582" s="3" t="n">
        <x:v>6</x:v>
      </x:c>
      <x:c r="J2582" s="15" t="n">
        <x:f>IF(D2582=0,"n.a.",E2582/D2582)</x:f>
        <x:v>0</x:v>
      </x:c>
      <x:c r="K2582" s="15" t="n">
        <x:f>F2582/'Datos'!$F$7</x:f>
        <x:v>0.000026721921699752834</x:v>
      </x:c>
      <x:c r="L2582" s="3"/>
    </x:row>
    <x:row r="2583" ht="22" customHeight="1">
      <x:c r="A2583" s="3"/>
      <x:c r="B2583" s="3" t="str">
        <x:v>16012</x:v>
      </x:c>
      <x:c r="C2583" s="3" t="str">
        <x:v>FOOD/DRINK SPONGE STICKERS</x:v>
      </x:c>
      <x:c r="D2583" s="13" t="n">
        <x:v>261.24</x:v>
      </x:c>
      <x:c r="E2583" s="13" t="n">
        <x:v>0</x:v>
      </x:c>
      <x:c r="F2583" s="13" t="n">
        <x:f>D2583-E2583</x:f>
        <x:v>261.24</x:v>
      </x:c>
      <x:c r="G2583" s="3" t="n">
        <x:v>1244</x:v>
      </x:c>
      <x:c r="H2583" s="3" t="n">
        <x:v>0</x:v>
      </x:c>
      <x:c r="I2583" s="3" t="n">
        <x:v>35</x:v>
      </x:c>
      <x:c r="J2583" s="15" t="n">
        <x:f>IF(D2583=0,"n.a.",E2583/D2583)</x:f>
        <x:v>0</x:v>
      </x:c>
      <x:c r="K2583" s="15" t="n">
        <x:f>F2583/'Datos'!$F$7</x:f>
        <x:v>0.000026676990311997212</x:v>
      </x:c>
      <x:c r="L2583" s="3"/>
    </x:row>
    <x:row r="2584" ht="22" customHeight="1">
      <x:c r="A2584" s="3"/>
      <x:c r="B2584" s="3" t="str">
        <x:v>47422</x:v>
      </x:c>
      <x:c r="C2584" s="3" t="str">
        <x:v>ASSORTED MONKEY SUCTION CUP HOOK</x:v>
      </x:c>
      <x:c r="D2584" s="13" t="n">
        <x:v>261.3</x:v>
      </x:c>
      <x:c r="E2584" s="13" t="n">
        <x:v>0.42</x:v>
      </x:c>
      <x:c r="F2584" s="13" t="n">
        <x:f>D2584-E2584</x:f>
        <x:v>260.88</x:v>
      </x:c>
      <x:c r="G2584" s="3" t="n">
        <x:v>653</x:v>
      </x:c>
      <x:c r="H2584" s="3" t="n">
        <x:v>1</x:v>
      </x:c>
      <x:c r="I2584" s="3" t="n">
        <x:v>45</x:v>
      </x:c>
      <x:c r="J2584" s="15" t="n">
        <x:f>IF(D2584=0,"n.a.",E2584/D2584)</x:f>
        <x:v>0.0016073478760045923</x:v>
      </x:c>
      <x:c r="K2584" s="15" t="n">
        <x:f>F2584/'Datos'!$F$7</x:f>
        <x:v>0.00002664022826746988</x:v>
      </x:c>
      <x:c r="L2584" s="3"/>
    </x:row>
    <x:row r="2585" ht="22" customHeight="1">
      <x:c r="A2585" s="3"/>
      <x:c r="B2585" s="3" t="str">
        <x:v>85186C</x:v>
      </x:c>
      <x:c r="C2585" s="3" t="str">
        <x:v>BUNNY EGG GARLAND</x:v>
      </x:c>
      <x:c r="D2585" s="13" t="n">
        <x:v>269.17</x:v>
      </x:c>
      <x:c r="E2585" s="13" t="n">
        <x:v>8.4</x:v>
      </x:c>
      <x:c r="F2585" s="13" t="n">
        <x:f>D2585-E2585</x:f>
        <x:v>260.77000000000004</x:v>
      </x:c>
      <x:c r="G2585" s="3" t="n">
        <x:v>528</x:v>
      </x:c>
      <x:c r="H2585" s="3" t="n">
        <x:v>20</x:v>
      </x:c>
      <x:c r="I2585" s="3" t="n">
        <x:v>78</x:v>
      </x:c>
      <x:c r="J2585" s="15" t="n">
        <x:f>IF(D2585=0,"n.a.",E2585/D2585)</x:f>
        <x:v>0.031207043875617638</x:v>
      </x:c>
      <x:c r="K2585" s="15" t="n">
        <x:f>F2585/'Datos'!$F$7</x:f>
        <x:v>0.00002662899542053098</x:v>
      </x:c>
      <x:c r="L2585" s="3"/>
    </x:row>
    <x:row r="2586" ht="22" customHeight="1">
      <x:c r="A2586" s="3"/>
      <x:c r="B2586" s="3" t="str">
        <x:v>20794</x:v>
      </x:c>
      <x:c r="C2586" s="3" t="str">
        <x:v>BLUE TILE HOOK</x:v>
      </x:c>
      <x:c r="D2586" s="13" t="n">
        <x:v>282.79</x:v>
      </x:c>
      <x:c r="E2586" s="13" t="n">
        <x:v>22.95</x:v>
      </x:c>
      <x:c r="F2586" s="13" t="n">
        <x:f>D2586-E2586</x:f>
        <x:v>259.84000000000003</x:v>
      </x:c>
      <x:c r="G2586" s="3" t="n">
        <x:v>99</x:v>
      </x:c>
      <x:c r="H2586" s="3" t="n">
        <x:v>9</x:v>
      </x:c>
      <x:c r="I2586" s="3" t="n">
        <x:v>27</x:v>
      </x:c>
      <x:c r="J2586" s="15" t="n">
        <x:f>IF(D2586=0,"n.a.",E2586/D2586)</x:f>
        <x:v>0.08115562785105554</x:v>
      </x:c>
      <x:c r="K2586" s="15" t="n">
        <x:f>F2586/'Datos'!$F$7</x:f>
        <x:v>0.00002653402680550205</x:v>
      </x:c>
      <x:c r="L2586" s="3"/>
    </x:row>
    <x:row r="2587" ht="22" customHeight="1">
      <x:c r="A2587" s="3"/>
      <x:c r="B2587" s="3" t="str">
        <x:v>21324</x:v>
      </x:c>
      <x:c r="C2587" s="3" t="str">
        <x:v>HANGING MEDINA LANTERN SMALL</x:v>
      </x:c>
      <x:c r="D2587" s="13" t="n">
        <x:v>259.67</x:v>
      </x:c>
      <x:c r="E2587" s="13" t="n">
        <x:v>0</x:v>
      </x:c>
      <x:c r="F2587" s="13" t="n">
        <x:f>D2587-E2587</x:f>
        <x:v>259.67</x:v>
      </x:c>
      <x:c r="G2587" s="3" t="n">
        <x:v>81</x:v>
      </x:c>
      <x:c r="H2587" s="3" t="n">
        <x:v>0</x:v>
      </x:c>
      <x:c r="I2587" s="3" t="n">
        <x:v>28</x:v>
      </x:c>
      <x:c r="J2587" s="15" t="n">
        <x:f>IF(D2587=0,"n.a.",E2587/D2587)</x:f>
        <x:v>0</x:v>
      </x:c>
      <x:c r="K2587" s="15" t="n">
        <x:f>F2587/'Datos'!$F$7</x:f>
        <x:v>0.000026516666951141923</x:v>
      </x:c>
      <x:c r="L2587" s="3"/>
    </x:row>
    <x:row r="2588" ht="22" customHeight="1">
      <x:c r="A2588" s="3"/>
      <x:c r="B2588" s="3" t="str">
        <x:v>21279</x:v>
      </x:c>
      <x:c r="C2588" s="3" t="str">
        <x:v>VINTAGE KITCHEN PRINT FRUITS</x:v>
      </x:c>
      <x:c r="D2588" s="13" t="n">
        <x:v>266.15</x:v>
      </x:c>
      <x:c r="E2588" s="13" t="n">
        <x:v>7.65</x:v>
      </x:c>
      <x:c r="F2588" s="13" t="n">
        <x:f>D2588-E2588</x:f>
        <x:v>258.5</x:v>
      </x:c>
      <x:c r="G2588" s="3" t="n">
        <x:v>85</x:v>
      </x:c>
      <x:c r="H2588" s="3" t="n">
        <x:v>3</x:v>
      </x:c>
      <x:c r="I2588" s="3" t="n">
        <x:v>29</x:v>
      </x:c>
      <x:c r="J2588" s="15" t="n">
        <x:f>IF(D2588=0,"n.a.",E2588/D2588)</x:f>
        <x:v>0.02874318993049033</x:v>
      </x:c>
      <x:c r="K2588" s="15" t="n">
        <x:f>F2588/'Datos'!$F$7</x:f>
        <x:v>0.000026397190306428105</x:v>
      </x:c>
      <x:c r="L2588" s="3"/>
    </x:row>
    <x:row r="2589" ht="22" customHeight="1">
      <x:c r="A2589" s="3"/>
      <x:c r="B2589" s="3" t="str">
        <x:v>78124</x:v>
      </x:c>
      <x:c r="C2589" s="3" t="str">
        <x:v>MAGAZINE RACK GEBRA ASSORTED</x:v>
      </x:c>
      <x:c r="D2589" s="13" t="n">
        <x:v>257.75</x:v>
      </x:c>
      <x:c r="E2589" s="13" t="n">
        <x:v>0</x:v>
      </x:c>
      <x:c r="F2589" s="13" t="n">
        <x:f>D2589-E2589</x:f>
        <x:v>257.75</x:v>
      </x:c>
      <x:c r="G2589" s="3" t="n">
        <x:v>199</x:v>
      </x:c>
      <x:c r="H2589" s="3" t="n">
        <x:v>0</x:v>
      </x:c>
      <x:c r="I2589" s="3" t="n">
        <x:v>18</x:v>
      </x:c>
      <x:c r="J2589" s="15" t="n">
        <x:f>IF(D2589=0,"n.a.",E2589/D2589)</x:f>
        <x:v>0</x:v>
      </x:c>
      <x:c r="K2589" s="15" t="n">
        <x:f>F2589/'Datos'!$F$7</x:f>
        <x:v>0.00002632060271366284</x:v>
      </x:c>
      <x:c r="L2589" s="3"/>
    </x:row>
    <x:row r="2590" ht="22" customHeight="1">
      <x:c r="A2590" s="3"/>
      <x:c r="B2590" s="3" t="str">
        <x:v>79337</x:v>
      </x:c>
      <x:c r="C2590" s="3" t="str">
        <x:v>BLUE FLOCK GLASS CANDLEHOLDER</x:v>
      </x:c>
      <x:c r="D2590" s="13" t="n">
        <x:v>259.96</x:v>
      </x:c>
      <x:c r="E2590" s="13" t="n">
        <x:v>2.28</x:v>
      </x:c>
      <x:c r="F2590" s="13" t="n">
        <x:f>D2590-E2590</x:f>
        <x:v>257.68</x:v>
      </x:c>
      <x:c r="G2590" s="3" t="n">
        <x:v>644</x:v>
      </x:c>
      <x:c r="H2590" s="3" t="n">
        <x:v>6</x:v>
      </x:c>
      <x:c r="I2590" s="3" t="n">
        <x:v>10</x:v>
      </x:c>
      <x:c r="J2590" s="15" t="n">
        <x:f>IF(D2590=0,"n.a.",E2590/D2590)</x:f>
        <x:v>0.008770580089244499</x:v>
      </x:c>
      <x:c r="K2590" s="15" t="n">
        <x:f>F2590/'Datos'!$F$7</x:f>
        <x:v>0.000026313454538338084</x:v>
      </x:c>
      <x:c r="L2590" s="3"/>
    </x:row>
    <x:row r="2591" ht="22" customHeight="1">
      <x:c r="A2591" s="3"/>
      <x:c r="B2591" s="3" t="str">
        <x:v>20997</x:v>
      </x:c>
      <x:c r="C2591" s="3" t="str">
        <x:v>ROSE DU SUD CUSHION COVER</x:v>
      </x:c>
      <x:c r="D2591" s="13" t="n">
        <x:v>257.61</x:v>
      </x:c>
      <x:c r="E2591" s="13" t="n">
        <x:v>0</x:v>
      </x:c>
      <x:c r="F2591" s="13" t="n">
        <x:f>D2591-E2591</x:f>
        <x:v>257.61</x:v>
      </x:c>
      <x:c r="G2591" s="3" t="n">
        <x:v>59</x:v>
      </x:c>
      <x:c r="H2591" s="3" t="n">
        <x:v>0</x:v>
      </x:c>
      <x:c r="I2591" s="3" t="n">
        <x:v>34</x:v>
      </x:c>
      <x:c r="J2591" s="15" t="n">
        <x:f>IF(D2591=0,"n.a.",E2591/D2591)</x:f>
        <x:v>0</x:v>
      </x:c>
      <x:c r="K2591" s="15" t="n">
        <x:f>F2591/'Datos'!$F$7</x:f>
        <x:v>0.000026306306363013326</x:v>
      </x:c>
      <x:c r="L2591" s="3"/>
    </x:row>
    <x:row r="2592" ht="22" customHeight="1">
      <x:c r="A2592" s="3"/>
      <x:c r="B2592" s="3" t="str">
        <x:v>35915B</x:v>
      </x:c>
      <x:c r="C2592" s="3" t="str">
        <x:v>BLUE KNITTED HEN</x:v>
      </x:c>
      <x:c r="D2592" s="13" t="n">
        <x:v>257.22</x:v>
      </x:c>
      <x:c r="E2592" s="13" t="n">
        <x:v>0</x:v>
      </x:c>
      <x:c r="F2592" s="13" t="n">
        <x:f>D2592-E2592</x:f>
        <x:v>257.22</x:v>
      </x:c>
      <x:c r="G2592" s="3" t="n">
        <x:v>220</x:v>
      </x:c>
      <x:c r="H2592" s="3" t="n">
        <x:v>0</x:v>
      </x:c>
      <x:c r="I2592" s="3" t="n">
        <x:v>50</x:v>
      </x:c>
      <x:c r="J2592" s="15" t="n">
        <x:f>IF(D2592=0,"n.a.",E2592/D2592)</x:f>
        <x:v>0</x:v>
      </x:c>
      <x:c r="K2592" s="15" t="n">
        <x:f>F2592/'Datos'!$F$7</x:f>
        <x:v>0.00002626648081477539</x:v>
      </x:c>
      <x:c r="L2592" s="3"/>
    </x:row>
    <x:row r="2593" ht="22" customHeight="1">
      <x:c r="A2593" s="3"/>
      <x:c r="B2593" s="3" t="str">
        <x:v>21458</x:v>
      </x:c>
      <x:c r="C2593" s="3" t="str">
        <x:v>2 PICTURE BOOK EGGS EASTER BUNNY</x:v>
      </x:c>
      <x:c r="D2593" s="13" t="n">
        <x:v>256.54</x:v>
      </x:c>
      <x:c r="E2593" s="13" t="n">
        <x:v>0</x:v>
      </x:c>
      <x:c r="F2593" s="13" t="n">
        <x:f>D2593-E2593</x:f>
        <x:v>256.54</x:v>
      </x:c>
      <x:c r="G2593" s="3" t="n">
        <x:v>182</x:v>
      </x:c>
      <x:c r="H2593" s="3" t="n">
        <x:v>0</x:v>
      </x:c>
      <x:c r="I2593" s="3" t="n">
        <x:v>36</x:v>
      </x:c>
      <x:c r="J2593" s="15" t="n">
        <x:f>IF(D2593=0,"n.a.",E2593/D2593)</x:f>
        <x:v>0</x:v>
      </x:c>
      <x:c r="K2593" s="15" t="n">
        <x:f>F2593/'Datos'!$F$7</x:f>
        <x:v>0.000026197041397334884</x:v>
      </x:c>
      <x:c r="L2593" s="3"/>
    </x:row>
    <x:row r="2594" ht="22" customHeight="1">
      <x:c r="A2594" s="3"/>
      <x:c r="B2594" s="3" t="str">
        <x:v>84952C</x:v>
      </x:c>
      <x:c r="C2594" s="3" t="str">
        <x:v>MIRROR LOVE BIRD T-LIGHT HOLDER</x:v>
      </x:c>
      <x:c r="D2594" s="13" t="n">
        <x:v>255</x:v>
      </x:c>
      <x:c r="E2594" s="13" t="n">
        <x:v>0</x:v>
      </x:c>
      <x:c r="F2594" s="13" t="n">
        <x:f>D2594-E2594</x:f>
        <x:v>255</x:v>
      </x:c>
      <x:c r="G2594" s="3" t="n">
        <x:v>144</x:v>
      </x:c>
      <x:c r="H2594" s="3" t="n">
        <x:v>0</x:v>
      </x:c>
      <x:c r="I2594" s="3" t="n">
        <x:v>12</x:v>
      </x:c>
      <x:c r="J2594" s="15" t="n">
        <x:f>IF(D2594=0,"n.a.",E2594/D2594)</x:f>
        <x:v>0</x:v>
      </x:c>
      <x:c r="K2594" s="15" t="n">
        <x:f>F2594/'Datos'!$F$7</x:f>
        <x:v>0.000026039781540190203</x:v>
      </x:c>
      <x:c r="L2594" s="3"/>
    </x:row>
    <x:row r="2595" ht="22" customHeight="1">
      <x:c r="A2595" s="3"/>
      <x:c r="B2595" s="3" t="str">
        <x:v>21269</x:v>
      </x:c>
      <x:c r="C2595" s="3" t="str">
        <x:v>ANTIQUE CREAM CUTLERY SHELF</x:v>
      </x:c>
      <x:c r="D2595" s="13" t="n">
        <x:v>254.98</x:v>
      </x:c>
      <x:c r="E2595" s="13" t="n">
        <x:v>0</x:v>
      </x:c>
      <x:c r="F2595" s="13" t="n">
        <x:f>D2595-E2595</x:f>
        <x:v>254.98</x:v>
      </x:c>
      <x:c r="G2595" s="3" t="n">
        <x:v>29</x:v>
      </x:c>
      <x:c r="H2595" s="3" t="n">
        <x:v>0</x:v>
      </x:c>
      <x:c r="I2595" s="3" t="n">
        <x:v>19</x:v>
      </x:c>
      <x:c r="J2595" s="15" t="n">
        <x:f>IF(D2595=0,"n.a.",E2595/D2595)</x:f>
        <x:v>0</x:v>
      </x:c>
      <x:c r="K2595" s="15" t="n">
        <x:f>F2595/'Datos'!$F$7</x:f>
        <x:v>0.000026037739204383127</x:v>
      </x:c>
      <x:c r="L2595" s="3"/>
    </x:row>
    <x:row r="2596" ht="22" customHeight="1">
      <x:c r="A2596" s="3"/>
      <x:c r="B2596" s="3" t="str">
        <x:v>21379</x:v>
      </x:c>
      <x:c r="C2596" s="3" t="str">
        <x:v>CAMPHOR WOOD PORTOBELLO MUSHROOM</x:v>
      </x:c>
      <x:c r="D2596" s="13" t="n">
        <x:v>254.33</x:v>
      </x:c>
      <x:c r="E2596" s="13" t="n">
        <x:v>0</x:v>
      </x:c>
      <x:c r="F2596" s="13" t="n">
        <x:f>D2596-E2596</x:f>
        <x:v>254.33</x:v>
      </x:c>
      <x:c r="G2596" s="3" t="n">
        <x:v>184</x:v>
      </x:c>
      <x:c r="H2596" s="3" t="n">
        <x:v>0</x:v>
      </x:c>
      <x:c r="I2596" s="3" t="n">
        <x:v>50</x:v>
      </x:c>
      <x:c r="J2596" s="15" t="n">
        <x:f>IF(D2596=0,"n.a.",E2596/D2596)</x:f>
        <x:v>0</x:v>
      </x:c>
      <x:c r="K2596" s="15" t="n">
        <x:f>F2596/'Datos'!$F$7</x:f>
        <x:v>0.000025971363290653232</x:v>
      </x:c>
      <x:c r="L2596" s="3"/>
    </x:row>
    <x:row r="2597" ht="22" customHeight="1">
      <x:c r="A2597" s="3"/>
      <x:c r="B2597" s="3" t="str">
        <x:v>21547</x:v>
      </x:c>
      <x:c r="C2597" s="3" t="str">
        <x:v>CERAMIC BIRDHOUSE CRESTED TIT SMALL</x:v>
      </x:c>
      <x:c r="D2597" s="13" t="n">
        <x:v>253.53</x:v>
      </x:c>
      <x:c r="E2597" s="13" t="n">
        <x:v>0</x:v>
      </x:c>
      <x:c r="F2597" s="13" t="n">
        <x:f>D2597-E2597</x:f>
        <x:v>253.53</x:v>
      </x:c>
      <x:c r="G2597" s="3" t="n">
        <x:v>79</x:v>
      </x:c>
      <x:c r="H2597" s="3" t="n">
        <x:v>0</x:v>
      </x:c>
      <x:c r="I2597" s="3" t="n">
        <x:v>22</x:v>
      </x:c>
      <x:c r="J2597" s="15" t="n">
        <x:f>IF(D2597=0,"n.a.",E2597/D2597)</x:f>
        <x:v>0</x:v>
      </x:c>
      <x:c r="K2597" s="15" t="n">
        <x:f>F2597/'Datos'!$F$7</x:f>
        <x:v>0.000025889669858370282</x:v>
      </x:c>
      <x:c r="L2597" s="3"/>
    </x:row>
    <x:row r="2598" ht="22" customHeight="1">
      <x:c r="A2598" s="3"/>
      <x:c r="B2598" s="3" t="str">
        <x:v>21882</x:v>
      </x:c>
      <x:c r="C2598" s="3" t="str">
        <x:v>SKULLS TAPE</x:v>
      </x:c>
      <x:c r="D2598" s="13" t="n">
        <x:v>252.47</x:v>
      </x:c>
      <x:c r="E2598" s="13" t="n">
        <x:v>0</x:v>
      </x:c>
      <x:c r="F2598" s="13" t="n">
        <x:f>D2598-E2598</x:f>
        <x:v>252.47</x:v>
      </x:c>
      <x:c r="G2598" s="3" t="n">
        <x:v>706</x:v>
      </x:c>
      <x:c r="H2598" s="3" t="n">
        <x:v>0</x:v>
      </x:c>
      <x:c r="I2598" s="3" t="n">
        <x:v>70</x:v>
      </x:c>
      <x:c r="J2598" s="15" t="n">
        <x:f>IF(D2598=0,"n.a.",E2598/D2598)</x:f>
        <x:v>0</x:v>
      </x:c>
      <x:c r="K2598" s="15" t="n">
        <x:f>F2598/'Datos'!$F$7</x:f>
        <x:v>0.000025781426060595373</x:v>
      </x:c>
      <x:c r="L2598" s="3"/>
    </x:row>
    <x:row r="2599" ht="22" customHeight="1">
      <x:c r="A2599" s="3"/>
      <x:c r="B2599" s="3" t="str">
        <x:v>35967</x:v>
      </x:c>
      <x:c r="C2599" s="3" t="str">
        <x:v>FOLK ART METAL STAR T-LIGHT HOLDER</x:v>
      </x:c>
      <x:c r="D2599" s="13" t="n">
        <x:v>252.33</x:v>
      </x:c>
      <x:c r="E2599" s="13" t="n">
        <x:v>0</x:v>
      </x:c>
      <x:c r="F2599" s="13" t="n">
        <x:f>D2599-E2599</x:f>
        <x:v>252.33</x:v>
      </x:c>
      <x:c r="G2599" s="3" t="n">
        <x:v>485</x:v>
      </x:c>
      <x:c r="H2599" s="3" t="n">
        <x:v>0</x:v>
      </x:c>
      <x:c r="I2599" s="3" t="n">
        <x:v>67</x:v>
      </x:c>
      <x:c r="J2599" s="15" t="n">
        <x:f>IF(D2599=0,"n.a.",E2599/D2599)</x:f>
        <x:v>0</x:v>
      </x:c>
      <x:c r="K2599" s="15" t="n">
        <x:f>F2599/'Datos'!$F$7</x:f>
        <x:v>0.000025767129709945857</x:v>
      </x:c>
      <x:c r="L2599" s="3"/>
    </x:row>
    <x:row r="2600" ht="22" customHeight="1">
      <x:c r="A2600" s="3"/>
      <x:c r="B2600" s="3" t="str">
        <x:v>84559B</x:v>
      </x:c>
      <x:c r="C2600" s="3" t="str">
        <x:v>3D SHEET OF CAT STICKERS</x:v>
      </x:c>
      <x:c r="D2600" s="13" t="n">
        <x:v>255.62</x:v>
      </x:c>
      <x:c r="E2600" s="13" t="n">
        <x:v>3.4</x:v>
      </x:c>
      <x:c r="F2600" s="13" t="n">
        <x:f>D2600-E2600</x:f>
        <x:v>252.22</x:v>
      </x:c>
      <x:c r="G2600" s="3" t="n">
        <x:v>260</x:v>
      </x:c>
      <x:c r="H2600" s="3" t="n">
        <x:v>4</x:v>
      </x:c>
      <x:c r="I2600" s="3" t="n">
        <x:v>75</x:v>
      </x:c>
      <x:c r="J2600" s="15" t="n">
        <x:f>IF(D2600=0,"n.a.",E2600/D2600)</x:f>
        <x:v>0.013300993662467725</x:v>
      </x:c>
      <x:c r="K2600" s="15" t="n">
        <x:f>F2600/'Datos'!$F$7</x:f>
        <x:v>0.000025755896863006953</x:v>
      </x:c>
      <x:c r="L2600" s="3"/>
    </x:row>
    <x:row r="2601" ht="22" customHeight="1">
      <x:c r="A2601" s="3"/>
      <x:c r="B2601" s="3" t="str">
        <x:v>22052</x:v>
      </x:c>
      <x:c r="C2601" s="3" t="str">
        <x:v>VINTAGE CARAVAN GIFT WRAP</x:v>
      </x:c>
      <x:c r="D2601" s="13" t="n">
        <x:v>273</x:v>
      </x:c>
      <x:c r="E2601" s="13" t="n">
        <x:v>21</x:v>
      </x:c>
      <x:c r="F2601" s="13" t="n">
        <x:f>D2601-E2601</x:f>
        <x:v>252</x:v>
      </x:c>
      <x:c r="G2601" s="3" t="n">
        <x:v>650</x:v>
      </x:c>
      <x:c r="H2601" s="3" t="n">
        <x:v>50</x:v>
      </x:c>
      <x:c r="I2601" s="3" t="n">
        <x:v>27</x:v>
      </x:c>
      <x:c r="J2601" s="15" t="n">
        <x:f>IF(D2601=0,"n.a.",E2601/D2601)</x:f>
        <x:v>0.07692307692307693</x:v>
      </x:c>
      <x:c r="K2601" s="15" t="n">
        <x:f>F2601/'Datos'!$F$7</x:f>
        <x:v>0.00002573343116912914</x:v>
      </x:c>
      <x:c r="L2601" s="3"/>
    </x:row>
    <x:row r="2602" ht="22" customHeight="1">
      <x:c r="A2602" s="3"/>
      <x:c r="B2602" s="3" t="str">
        <x:v>22164</x:v>
      </x:c>
      <x:c r="C2602" s="3" t="str">
        <x:v>STRING OF STARS CARD HOLDER</x:v>
      </x:c>
      <x:c r="D2602" s="13" t="n">
        <x:v>250.22</x:v>
      </x:c>
      <x:c r="E2602" s="13" t="n">
        <x:v>0</x:v>
      </x:c>
      <x:c r="F2602" s="13" t="n">
        <x:f>D2602-E2602</x:f>
        <x:v>250.22</x:v>
      </x:c>
      <x:c r="G2602" s="3" t="n">
        <x:v>78</x:v>
      </x:c>
      <x:c r="H2602" s="3" t="n">
        <x:v>0</x:v>
      </x:c>
      <x:c r="I2602" s="3" t="n">
        <x:v>15</x:v>
      </x:c>
      <x:c r="J2602" s="15" t="n">
        <x:f>IF(D2602=0,"n.a.",E2602/D2602)</x:f>
        <x:v>0</x:v>
      </x:c>
      <x:c r="K2602" s="15" t="n">
        <x:f>F2602/'Datos'!$F$7</x:f>
        <x:v>0.000025551663282299578</x:v>
      </x:c>
      <x:c r="L2602" s="3"/>
    </x:row>
    <x:row r="2603" ht="22" customHeight="1">
      <x:c r="A2603" s="3"/>
      <x:c r="B2603" s="3" t="str">
        <x:v>21427</x:v>
      </x:c>
      <x:c r="C2603" s="3" t="str">
        <x:v>SKULLS STORAGE BOX SMALL</x:v>
      </x:c>
      <x:c r="D2603" s="13" t="n">
        <x:v>256.44</x:v>
      </x:c>
      <x:c r="E2603" s="13" t="n">
        <x:v>6.3</x:v>
      </x:c>
      <x:c r="F2603" s="13" t="n">
        <x:f>D2603-E2603</x:f>
        <x:v>250.14</x:v>
      </x:c>
      <x:c r="G2603" s="3" t="n">
        <x:v>96</x:v>
      </x:c>
      <x:c r="H2603" s="3" t="n">
        <x:v>3</x:v>
      </x:c>
      <x:c r="I2603" s="3" t="n">
        <x:v>41</x:v>
      </x:c>
      <x:c r="J2603" s="15" t="n">
        <x:f>IF(D2603=0,"n.a.",E2603/D2603)</x:f>
        <x:v>0.024567150210575574</x:v>
      </x:c>
      <x:c r="K2603" s="15" t="n">
        <x:f>F2603/'Datos'!$F$7</x:f>
        <x:v>0.00002554349393907128</x:v>
      </x:c>
      <x:c r="L2603" s="3"/>
    </x:row>
    <x:row r="2604" ht="22" customHeight="1">
      <x:c r="A2604" s="3"/>
      <x:c r="B2604" s="3" t="str">
        <x:v>85071D</x:v>
      </x:c>
      <x:c r="C2604" s="3" t="str">
        <x:v>CHARLIE+LOLA MY ROOM DOOR SIGN</x:v>
      </x:c>
      <x:c r="D2604" s="13" t="n">
        <x:v>249.49</x:v>
      </x:c>
      <x:c r="E2604" s="13" t="n">
        <x:v>0</x:v>
      </x:c>
      <x:c r="F2604" s="13" t="n">
        <x:f>D2604-E2604</x:f>
        <x:v>249.49</x:v>
      </x:c>
      <x:c r="G2604" s="3" t="n">
        <x:v>403</x:v>
      </x:c>
      <x:c r="H2604" s="3" t="n">
        <x:v>0</x:v>
      </x:c>
      <x:c r="I2604" s="3" t="n">
        <x:v>84</x:v>
      </x:c>
      <x:c r="J2604" s="15" t="n">
        <x:f>IF(D2604=0,"n.a.",E2604/D2604)</x:f>
        <x:v>0</x:v>
      </x:c>
      <x:c r="K2604" s="15" t="n">
        <x:f>F2604/'Datos'!$F$7</x:f>
        <x:v>0.00002547711802534139</x:v>
      </x:c>
      <x:c r="L2604" s="3"/>
    </x:row>
    <x:row r="2605" ht="22" customHeight="1">
      <x:c r="A2605" s="3"/>
      <x:c r="B2605" s="3" t="str">
        <x:v>85124B</x:v>
      </x:c>
      <x:c r="C2605" s="3" t="str">
        <x:v>BLUE JUICY FRUIT PHOTO FRAME</x:v>
      </x:c>
      <x:c r="D2605" s="13" t="n">
        <x:v>264.06</x:v>
      </x:c>
      <x:c r="E2605" s="13" t="n">
        <x:v>15.3</x:v>
      </x:c>
      <x:c r="F2605" s="13" t="n">
        <x:f>D2605-E2605</x:f>
        <x:v>248.76</x:v>
      </x:c>
      <x:c r="G2605" s="3" t="n">
        <x:v>93</x:v>
      </x:c>
      <x:c r="H2605" s="3" t="n">
        <x:v>6</x:v>
      </x:c>
      <x:c r="I2605" s="3" t="n">
        <x:v>39</x:v>
      </x:c>
      <x:c r="J2605" s="15" t="n">
        <x:f>IF(D2605=0,"n.a.",E2605/D2605)</x:f>
        <x:v>0.05794137695978187</x:v>
      </x:c>
      <x:c r="K2605" s="15" t="n">
        <x:f>F2605/'Datos'!$F$7</x:f>
        <x:v>0.000025402572768383193</x:v>
      </x:c>
      <x:c r="L2605" s="3"/>
    </x:row>
    <x:row r="2606" ht="22" customHeight="1">
      <x:c r="A2606" s="3"/>
      <x:c r="B2606" s="3" t="str">
        <x:v>20659</x:v>
      </x:c>
      <x:c r="C2606" s="3" t="str">
        <x:v>ECONOMY LUGGAGE TAG</x:v>
      </x:c>
      <x:c r="D2606" s="13" t="n">
        <x:v>248.09</x:v>
      </x:c>
      <x:c r="E2606" s="13" t="n">
        <x:v>0</x:v>
      </x:c>
      <x:c r="F2606" s="13" t="n">
        <x:f>D2606-E2606</x:f>
        <x:v>248.09</x:v>
      </x:c>
      <x:c r="G2606" s="3" t="n">
        <x:v>159</x:v>
      </x:c>
      <x:c r="H2606" s="3" t="n">
        <x:v>0</x:v>
      </x:c>
      <x:c r="I2606" s="3" t="n">
        <x:v>62</x:v>
      </x:c>
      <x:c r="J2606" s="15" t="n">
        <x:f>IF(D2606=0,"n.a.",E2606/D2606)</x:f>
        <x:v>0</x:v>
      </x:c>
      <x:c r="K2606" s="15" t="n">
        <x:f>F2606/'Datos'!$F$7</x:f>
        <x:v>0.000025334154518846223</x:v>
      </x:c>
      <x:c r="L2606" s="3"/>
    </x:row>
    <x:row r="2607" ht="22" customHeight="1">
      <x:c r="A2607" s="3"/>
      <x:c r="B2607" s="3" t="str">
        <x:v>23465</x:v>
      </x:c>
      <x:c r="C2607" s="3" t="str">
        <x:v>TUSCAN VILLA BIRD FEEDER</x:v>
      </x:c>
      <x:c r="D2607" s="13" t="n">
        <x:v>247.63</x:v>
      </x:c>
      <x:c r="E2607" s="13" t="n">
        <x:v>0</x:v>
      </x:c>
      <x:c r="F2607" s="13" t="n">
        <x:f>D2607-E2607</x:f>
        <x:v>247.63</x:v>
      </x:c>
      <x:c r="G2607" s="3" t="n">
        <x:v>29</x:v>
      </x:c>
      <x:c r="H2607" s="3" t="n">
        <x:v>0</x:v>
      </x:c>
      <x:c r="I2607" s="3" t="n">
        <x:v>16</x:v>
      </x:c>
      <x:c r="J2607" s="15" t="n">
        <x:f>IF(D2607=0,"n.a.",E2607/D2607)</x:f>
        <x:v>0</x:v>
      </x:c>
      <x:c r="K2607" s="15" t="n">
        <x:f>F2607/'Datos'!$F$7</x:f>
        <x:v>0.00002528718079528353</x:v>
      </x:c>
      <x:c r="L2607" s="3"/>
    </x:row>
    <x:row r="2608" ht="22" customHeight="1">
      <x:c r="A2608" s="3"/>
      <x:c r="B2608" s="3" t="str">
        <x:v>22410</x:v>
      </x:c>
      <x:c r="C2608" s="3" t="str">
        <x:v>MONEY BOX HOUSEKEEPING DESIGN</x:v>
      </x:c>
      <x:c r="D2608" s="13" t="n">
        <x:v>247.42</x:v>
      </x:c>
      <x:c r="E2608" s="13" t="n">
        <x:v>0</x:v>
      </x:c>
      <x:c r="F2608" s="13" t="n">
        <x:f>D2608-E2608</x:f>
        <x:v>247.42</x:v>
      </x:c>
      <x:c r="G2608" s="3" t="n">
        <x:v>237</x:v>
      </x:c>
      <x:c r="H2608" s="3" t="n">
        <x:v>0</x:v>
      </x:c>
      <x:c r="I2608" s="3" t="n">
        <x:v>58</x:v>
      </x:c>
      <x:c r="J2608" s="15" t="n">
        <x:f>IF(D2608=0,"n.a.",E2608/D2608)</x:f>
        <x:v>0</x:v>
      </x:c>
      <x:c r="K2608" s="15" t="n">
        <x:f>F2608/'Datos'!$F$7</x:f>
        <x:v>0.000025265736269309253</x:v>
      </x:c>
      <x:c r="L2608" s="3"/>
    </x:row>
    <x:row r="2609" ht="22" customHeight="1">
      <x:c r="A2609" s="3"/>
      <x:c r="B2609" s="3" t="str">
        <x:v>22954</x:v>
      </x:c>
      <x:c r="C2609" s="3" t="str">
        <x:v>HEN PARTY CORDON BARRIER TAPE</x:v>
      </x:c>
      <x:c r="D2609" s="13" t="n">
        <x:v>247.63</x:v>
      </x:c>
      <x:c r="E2609" s="13" t="n">
        <x:v>1.25</x:v>
      </x:c>
      <x:c r="F2609" s="13" t="n">
        <x:f>D2609-E2609</x:f>
        <x:v>246.38</x:v>
      </x:c>
      <x:c r="G2609" s="3" t="n">
        <x:v>202</x:v>
      </x:c>
      <x:c r="H2609" s="3" t="n">
        <x:v>1</x:v>
      </x:c>
      <x:c r="I2609" s="3" t="n">
        <x:v>40</x:v>
      </x:c>
      <x:c r="J2609" s="15" t="n">
        <x:f>IF(D2609=0,"n.a.",E2609/D2609)</x:f>
        <x:v>0.005047853652626903</x:v>
      </x:c>
      <x:c r="K2609" s="15" t="n">
        <x:f>F2609/'Datos'!$F$7</x:f>
        <x:v>0.00002515953480734142</x:v>
      </x:c>
      <x:c r="L2609" s="3"/>
    </x:row>
    <x:row r="2610" ht="22" customHeight="1">
      <x:c r="A2610" s="3"/>
      <x:c r="B2610" s="3" t="str">
        <x:v>21647</x:v>
      </x:c>
      <x:c r="C2610" s="3" t="str">
        <x:v>ASSORTED TUTTI FRUTTI LARGE PURSE</x:v>
      </x:c>
      <x:c r="D2610" s="13" t="n">
        <x:v>247.8</x:v>
      </x:c>
      <x:c r="E2610" s="13" t="n">
        <x:v>2.1</x:v>
      </x:c>
      <x:c r="F2610" s="13" t="n">
        <x:f>D2610-E2610</x:f>
        <x:v>245.70000000000002</x:v>
      </x:c>
      <x:c r="G2610" s="3" t="n">
        <x:v>118</x:v>
      </x:c>
      <x:c r="H2610" s="3" t="n">
        <x:v>1</x:v>
      </x:c>
      <x:c r="I2610" s="3" t="n">
        <x:v>25</x:v>
      </x:c>
      <x:c r="J2610" s="15" t="n">
        <x:f>IF(D2610=0,"n.a.",E2610/D2610)</x:f>
        <x:v>0.00847457627118644</x:v>
      </x:c>
      <x:c r="K2610" s="15" t="n">
        <x:f>F2610/'Datos'!$F$7</x:f>
        <x:v>0.000025090095389900913</x:v>
      </x:c>
      <x:c r="L2610" s="3"/>
    </x:row>
    <x:row r="2611" ht="22" customHeight="1">
      <x:c r="A2611" s="3"/>
      <x:c r="B2611" s="3" t="str">
        <x:v>90175A</x:v>
      </x:c>
      <x:c r="C2611" s="3" t="str">
        <x:v>WHITE GLASS CHUNKY CHARM BRACELET</x:v>
      </x:c>
      <x:c r="D2611" s="13" t="n">
        <x:v>245.63</x:v>
      </x:c>
      <x:c r="E2611" s="13" t="n">
        <x:v>0</x:v>
      </x:c>
      <x:c r="F2611" s="13" t="n">
        <x:f>D2611-E2611</x:f>
        <x:v>245.63</x:v>
      </x:c>
      <x:c r="G2611" s="3" t="n">
        <x:v>27</x:v>
      </x:c>
      <x:c r="H2611" s="3" t="n">
        <x:v>0</x:v>
      </x:c>
      <x:c r="I2611" s="3" t="n">
        <x:v>25</x:v>
      </x:c>
      <x:c r="J2611" s="15" t="n">
        <x:f>IF(D2611=0,"n.a.",E2611/D2611)</x:f>
        <x:v>0</x:v>
      </x:c>
      <x:c r="K2611" s="15" t="n">
        <x:f>F2611/'Datos'!$F$7</x:f>
        <x:v>0.000025082947214576155</x:v>
      </x:c>
      <x:c r="L2611" s="3"/>
    </x:row>
    <x:row r="2612" ht="22" customHeight="1">
      <x:c r="A2612" s="3"/>
      <x:c r="B2612" s="3" t="str">
        <x:v>22391</x:v>
      </x:c>
      <x:c r="C2612" s="3" t="str">
        <x:v>PAPERWEIGHT HOME SWEET HOME</x:v>
      </x:c>
      <x:c r="D2612" s="13" t="n">
        <x:v>245.58</x:v>
      </x:c>
      <x:c r="E2612" s="13" t="n">
        <x:v>0</x:v>
      </x:c>
      <x:c r="F2612" s="13" t="n">
        <x:f>D2612-E2612</x:f>
        <x:v>245.58</x:v>
      </x:c>
      <x:c r="G2612" s="3" t="n">
        <x:v>158</x:v>
      </x:c>
      <x:c r="H2612" s="3" t="n">
        <x:v>0</x:v>
      </x:c>
      <x:c r="I2612" s="3" t="n">
        <x:v>29</x:v>
      </x:c>
      <x:c r="J2612" s="15" t="n">
        <x:f>IF(D2612=0,"n.a.",E2612/D2612)</x:f>
        <x:v>0</x:v>
      </x:c>
      <x:c r="K2612" s="15" t="n">
        <x:f>F2612/'Datos'!$F$7</x:f>
        <x:v>0.000025077841375058472</x:v>
      </x:c>
      <x:c r="L2612" s="3"/>
    </x:row>
    <x:row r="2613" ht="22" customHeight="1">
      <x:c r="A2613" s="3"/>
      <x:c r="B2613" s="3" t="str">
        <x:v>21676</x:v>
      </x:c>
      <x:c r="C2613" s="3" t="str">
        <x:v>FLOWERS STICKERS</x:v>
      </x:c>
      <x:c r="D2613" s="13" t="n">
        <x:v>245.36</x:v>
      </x:c>
      <x:c r="E2613" s="13" t="n">
        <x:v>0</x:v>
      </x:c>
      <x:c r="F2613" s="13" t="n">
        <x:f>D2613-E2613</x:f>
        <x:v>245.36</x:v>
      </x:c>
      <x:c r="G2613" s="3" t="n">
        <x:v>257</x:v>
      </x:c>
      <x:c r="H2613" s="3" t="n">
        <x:v>0</x:v>
      </x:c>
      <x:c r="I2613" s="3" t="n">
        <x:v>61</x:v>
      </x:c>
      <x:c r="J2613" s="15" t="n">
        <x:f>IF(D2613=0,"n.a.",E2613/D2613)</x:f>
        <x:v>0</x:v>
      </x:c>
      <x:c r="K2613" s="15" t="n">
        <x:f>F2613/'Datos'!$F$7</x:f>
        <x:v>0.00002505537568118066</x:v>
      </x:c>
      <x:c r="L2613" s="3"/>
    </x:row>
    <x:row r="2614" ht="22" customHeight="1">
      <x:c r="A2614" s="3"/>
      <x:c r="B2614" s="3" t="str">
        <x:v>20819</x:v>
      </x:c>
      <x:c r="C2614" s="3" t="str">
        <x:v>SILVER TEDDY BEAR</x:v>
      </x:c>
      <x:c r="D2614" s="13" t="n">
        <x:v>244.72</x:v>
      </x:c>
      <x:c r="E2614" s="13" t="n">
        <x:v>0</x:v>
      </x:c>
      <x:c r="F2614" s="13" t="n">
        <x:f>D2614-E2614</x:f>
        <x:v>244.72</x:v>
      </x:c>
      <x:c r="G2614" s="3" t="n">
        <x:v>64</x:v>
      </x:c>
      <x:c r="H2614" s="3" t="n">
        <x:v>0</x:v>
      </x:c>
      <x:c r="I2614" s="3" t="n">
        <x:v>27</x:v>
      </x:c>
      <x:c r="J2614" s="15" t="n">
        <x:f>IF(D2614=0,"n.a.",E2614/D2614)</x:f>
        <x:v>0</x:v>
      </x:c>
      <x:c r="K2614" s="15" t="n">
        <x:f>F2614/'Datos'!$F$7</x:f>
        <x:v>0.0000249900209353543</x:v>
      </x:c>
      <x:c r="L2614" s="3"/>
    </x:row>
    <x:row r="2615" ht="22" customHeight="1">
      <x:c r="A2615" s="3"/>
      <x:c r="B2615" s="3" t="str">
        <x:v>22869</x:v>
      </x:c>
      <x:c r="C2615" s="3" t="str">
        <x:v>NUMBER TILE COTTAGE GARDEN 1</x:v>
      </x:c>
      <x:c r="D2615" s="13" t="n">
        <x:v>246.14</x:v>
      </x:c>
      <x:c r="E2615" s="13" t="n">
        <x:v>1.95</x:v>
      </x:c>
      <x:c r="F2615" s="13" t="n">
        <x:f>D2615-E2615</x:f>
        <x:v>244.19</x:v>
      </x:c>
      <x:c r="G2615" s="3" t="n">
        <x:v>96</x:v>
      </x:c>
      <x:c r="H2615" s="3" t="n">
        <x:v>1</x:v>
      </x:c>
      <x:c r="I2615" s="3" t="n">
        <x:v>44</x:v>
      </x:c>
      <x:c r="J2615" s="15" t="n">
        <x:f>IF(D2615=0,"n.a.",E2615/D2615)</x:f>
        <x:v>0.007922320630535468</x:v>
      </x:c>
      <x:c r="K2615" s="15" t="n">
        <x:f>F2615/'Datos'!$F$7</x:f>
        <x:v>0.000024935899036466845</x:v>
      </x:c>
      <x:c r="L2615" s="3"/>
    </x:row>
    <x:row r="2616" ht="22" customHeight="1">
      <x:c r="A2616" s="3"/>
      <x:c r="B2616" s="3" t="str">
        <x:v>20616</x:v>
      </x:c>
      <x:c r="C2616" s="3" t="str">
        <x:v>CHERRY BLOSSOM PASSPORT COVER</x:v>
      </x:c>
      <x:c r="D2616" s="13" t="n">
        <x:v>243.53</x:v>
      </x:c>
      <x:c r="E2616" s="13" t="n">
        <x:v>0</x:v>
      </x:c>
      <x:c r="F2616" s="13" t="n">
        <x:f>D2616-E2616</x:f>
        <x:v>243.53</x:v>
      </x:c>
      <x:c r="G2616" s="3" t="n">
        <x:v>194</x:v>
      </x:c>
      <x:c r="H2616" s="3" t="n">
        <x:v>0</x:v>
      </x:c>
      <x:c r="I2616" s="3" t="n">
        <x:v>71</x:v>
      </x:c>
      <x:c r="J2616" s="15" t="n">
        <x:f>IF(D2616=0,"n.a.",E2616/D2616)</x:f>
        <x:v>0</x:v>
      </x:c>
      <x:c r="K2616" s="15" t="n">
        <x:f>F2616/'Datos'!$F$7</x:f>
        <x:v>0.00002486850195483341</x:v>
      </x:c>
      <x:c r="L2616" s="3"/>
    </x:row>
    <x:row r="2617" ht="22" customHeight="1">
      <x:c r="A2617" s="3"/>
      <x:c r="B2617" s="3" t="str">
        <x:v>85095</x:v>
      </x:c>
      <x:c r="C2617" s="3" t="str">
        <x:v>THREE CANVAS LUGGAGE TAGS</x:v>
      </x:c>
      <x:c r="D2617" s="13" t="n">
        <x:v>243.49</x:v>
      </x:c>
      <x:c r="E2617" s="13" t="n">
        <x:v>0</x:v>
      </x:c>
      <x:c r="F2617" s="13" t="n">
        <x:f>D2617-E2617</x:f>
        <x:v>243.49</x:v>
      </x:c>
      <x:c r="G2617" s="3" t="n">
        <x:v>150</x:v>
      </x:c>
      <x:c r="H2617" s="3" t="n">
        <x:v>0</x:v>
      </x:c>
      <x:c r="I2617" s="3" t="n">
        <x:v>48</x:v>
      </x:c>
      <x:c r="J2617" s="15" t="n">
        <x:f>IF(D2617=0,"n.a.",E2617/D2617)</x:f>
        <x:v>0</x:v>
      </x:c>
      <x:c r="K2617" s="15" t="n">
        <x:f>F2617/'Datos'!$F$7</x:f>
        <x:v>0.000024864417283219264</x:v>
      </x:c>
      <x:c r="L2617" s="3"/>
    </x:row>
    <x:row r="2618" ht="22" customHeight="1">
      <x:c r="A2618" s="3"/>
      <x:c r="B2618" s="3" t="str">
        <x:v>85230G</x:v>
      </x:c>
      <x:c r="C2618" s="3" t="str">
        <x:v>ORANGE VOTIVE CANDLE</x:v>
      </x:c>
      <x:c r="D2618" s="13" t="n">
        <x:v>257.04</x:v>
      </x:c>
      <x:c r="E2618" s="13" t="n">
        <x:v>13.92</x:v>
      </x:c>
      <x:c r="F2618" s="13" t="n">
        <x:f>D2618-E2618</x:f>
        <x:v>243.12000000000003</x:v>
      </x:c>
      <x:c r="G2618" s="3" t="n">
        <x:v>1032</x:v>
      </x:c>
      <x:c r="H2618" s="3" t="n">
        <x:v>48</x:v>
      </x:c>
      <x:c r="I2618" s="3" t="n">
        <x:v>25</x:v>
      </x:c>
      <x:c r="J2618" s="15" t="n">
        <x:f>IF(D2618=0,"n.a.",E2618/D2618)</x:f>
        <x:v>0.054154995331465915</x:v>
      </x:c>
      <x:c r="K2618" s="15" t="n">
        <x:f>F2618/'Datos'!$F$7</x:f>
        <x:v>0.000024826634070788404</x:v>
      </x:c>
      <x:c r="L2618" s="3"/>
    </x:row>
    <x:row r="2619" ht="22" customHeight="1">
      <x:c r="A2619" s="3"/>
      <x:c r="B2619" s="3" t="str">
        <x:v>85094</x:v>
      </x:c>
      <x:c r="C2619" s="3" t="str">
        <x:v>CANDY SPOT EGG WARMER RABBIT</x:v>
      </x:c>
      <x:c r="D2619" s="13" t="n">
        <x:v>242.32</x:v>
      </x:c>
      <x:c r="E2619" s="13" t="n">
        <x:v>0</x:v>
      </x:c>
      <x:c r="F2619" s="13" t="n">
        <x:f>D2619-E2619</x:f>
        <x:v>242.32</x:v>
      </x:c>
      <x:c r="G2619" s="3" t="n">
        <x:v>641</x:v>
      </x:c>
      <x:c r="H2619" s="3" t="n">
        <x:v>0</x:v>
      </x:c>
      <x:c r="I2619" s="3" t="n">
        <x:v>90</x:v>
      </x:c>
      <x:c r="J2619" s="15" t="n">
        <x:f>IF(D2619=0,"n.a.",E2619/D2619)</x:f>
        <x:v>0</x:v>
      </x:c>
      <x:c r="K2619" s="15" t="n">
        <x:f>F2619/'Datos'!$F$7</x:f>
        <x:v>0.00002474494063850545</x:v>
      </x:c>
      <x:c r="L2619" s="3"/>
    </x:row>
    <x:row r="2620" ht="22" customHeight="1">
      <x:c r="A2620" s="3"/>
      <x:c r="B2620" s="3" t="str">
        <x:v>22870</x:v>
      </x:c>
      <x:c r="C2620" s="3" t="str">
        <x:v>NUMBER TILE COTTAGE GARDEN 2</x:v>
      </x:c>
      <x:c r="D2620" s="13" t="n">
        <x:v>242.24</x:v>
      </x:c>
      <x:c r="E2620" s="13" t="n">
        <x:v>0</x:v>
      </x:c>
      <x:c r="F2620" s="13" t="n">
        <x:f>D2620-E2620</x:f>
        <x:v>242.24</x:v>
      </x:c>
      <x:c r="G2620" s="3" t="n">
        <x:v>94</x:v>
      </x:c>
      <x:c r="H2620" s="3" t="n">
        <x:v>0</x:v>
      </x:c>
      <x:c r="I2620" s="3" t="n">
        <x:v>39</x:v>
      </x:c>
      <x:c r="J2620" s="15" t="n">
        <x:f>IF(D2620=0,"n.a.",E2620/D2620)</x:f>
        <x:v>0</x:v>
      </x:c>
      <x:c r="K2620" s="15" t="n">
        <x:f>F2620/'Datos'!$F$7</x:f>
        <x:v>0.000024736771295277157</x:v>
      </x:c>
      <x:c r="L2620" s="3"/>
    </x:row>
    <x:row r="2621" ht="22" customHeight="1">
      <x:c r="A2621" s="3"/>
      <x:c r="B2621" s="3" t="str">
        <x:v>23475</x:v>
      </x:c>
      <x:c r="C2621" s="3" t="str">
        <x:v>WOODLAND SMALL PINK FELT HEART</x:v>
      </x:c>
      <x:c r="D2621" s="13" t="n">
        <x:v>242.18</x:v>
      </x:c>
      <x:c r="E2621" s="13" t="n">
        <x:v>0</x:v>
      </x:c>
      <x:c r="F2621" s="13" t="n">
        <x:f>D2621-E2621</x:f>
        <x:v>242.18</x:v>
      </x:c>
      <x:c r="G2621" s="3" t="n">
        <x:v>286</x:v>
      </x:c>
      <x:c r="H2621" s="3" t="n">
        <x:v>0</x:v>
      </x:c>
      <x:c r="I2621" s="3" t="n">
        <x:v>31</x:v>
      </x:c>
      <x:c r="J2621" s="15" t="n">
        <x:f>IF(D2621=0,"n.a.",E2621/D2621)</x:f>
        <x:v>0</x:v>
      </x:c>
      <x:c r="K2621" s="15" t="n">
        <x:f>F2621/'Datos'!$F$7</x:f>
        <x:v>0.000024730644287855935</x:v>
      </x:c>
      <x:c r="L2621" s="3"/>
    </x:row>
    <x:row r="2622" ht="22" customHeight="1">
      <x:c r="A2622" s="3"/>
      <x:c r="B2622" s="3" t="str">
        <x:v>84678</x:v>
      </x:c>
      <x:c r="C2622" s="3" t="str">
        <x:v>CLASSICAL ROSE SMALL VASE</x:v>
      </x:c>
      <x:c r="D2622" s="13" t="n">
        <x:v>247.04</x:v>
      </x:c>
      <x:c r="E2622" s="13" t="n">
        <x:v>5.05</x:v>
      </x:c>
      <x:c r="F2622" s="13" t="n">
        <x:f>D2622-E2622</x:f>
        <x:v>241.98999999999998</x:v>
      </x:c>
      <x:c r="G2622" s="3" t="n">
        <x:v>142</x:v>
      </x:c>
      <x:c r="H2622" s="3" t="n">
        <x:v>3</x:v>
      </x:c>
      <x:c r="I2622" s="3" t="n">
        <x:v>13</x:v>
      </x:c>
      <x:c r="J2622" s="15" t="n">
        <x:f>IF(D2622=0,"n.a.",E2622/D2622)</x:f>
        <x:v>0.020442033678756476</x:v>
      </x:c>
      <x:c r="K2622" s="15" t="n">
        <x:f>F2622/'Datos'!$F$7</x:f>
        <x:v>0.000024711242097688733</x:v>
      </x:c>
      <x:c r="L2622" s="3"/>
    </x:row>
    <x:row r="2623" ht="22" customHeight="1">
      <x:c r="A2623" s="3"/>
      <x:c r="B2623" s="3" t="str">
        <x:v>84592</x:v>
      </x:c>
      <x:c r="C2623" s="3" t="str">
        <x:v>CROCHET ROSE PURSE WITH SUEDE BACK</x:v>
      </x:c>
      <x:c r="D2623" s="13" t="n">
        <x:v>241.24</x:v>
      </x:c>
      <x:c r="E2623" s="13" t="n">
        <x:v>0</x:v>
      </x:c>
      <x:c r="F2623" s="13" t="n">
        <x:f>D2623-E2623</x:f>
        <x:v>241.24</x:v>
      </x:c>
      <x:c r="G2623" s="3" t="n">
        <x:v>76</x:v>
      </x:c>
      <x:c r="H2623" s="3" t="n">
        <x:v>0</x:v>
      </x:c>
      <x:c r="I2623" s="3" t="n">
        <x:v>22</x:v>
      </x:c>
      <x:c r="J2623" s="15" t="n">
        <x:f>IF(D2623=0,"n.a.",E2623/D2623)</x:f>
        <x:v>0</x:v>
      </x:c>
      <x:c r="K2623" s="15" t="n">
        <x:f>F2623/'Datos'!$F$7</x:f>
        <x:v>0.00002463465450492347</x:v>
      </x:c>
      <x:c r="L2623" s="3"/>
    </x:row>
    <x:row r="2624" ht="22" customHeight="1">
      <x:c r="A2624" s="3"/>
      <x:c r="B2624" s="3" t="str">
        <x:v>23143</x:v>
      </x:c>
      <x:c r="C2624" s="3" t="str">
        <x:v>ZINC WIRE KITCHEN ORGANISER</x:v>
      </x:c>
      <x:c r="D2624" s="13" t="n">
        <x:v>239.97</x:v>
      </x:c>
      <x:c r="E2624" s="13" t="n">
        <x:v>0</x:v>
      </x:c>
      <x:c r="F2624" s="13" t="n">
        <x:f>D2624-E2624</x:f>
        <x:v>239.97</x:v>
      </x:c>
      <x:c r="G2624" s="3" t="n">
        <x:v>30</x:v>
      </x:c>
      <x:c r="H2624" s="3" t="n">
        <x:v>0</x:v>
      </x:c>
      <x:c r="I2624" s="3" t="n">
        <x:v>16</x:v>
      </x:c>
      <x:c r="J2624" s="15" t="n">
        <x:f>IF(D2624=0,"n.a.",E2624/D2624)</x:f>
        <x:v>0</x:v>
      </x:c>
      <x:c r="K2624" s="15" t="n">
        <x:f>F2624/'Datos'!$F$7</x:f>
        <x:v>0.000024504966181174286</x:v>
      </x:c>
      <x:c r="L2624" s="3"/>
    </x:row>
    <x:row r="2625" ht="22" customHeight="1">
      <x:c r="A2625" s="3"/>
      <x:c r="B2625" s="3" t="str">
        <x:v>21028</x:v>
      </x:c>
      <x:c r="C2625" s="3" t="str">
        <x:v>NINJA RABBIT BLACK</x:v>
      </x:c>
      <x:c r="D2625" s="13" t="n">
        <x:v>239.24</x:v>
      </x:c>
      <x:c r="E2625" s="13" t="n">
        <x:v>0</x:v>
      </x:c>
      <x:c r="F2625" s="13" t="n">
        <x:f>D2625-E2625</x:f>
        <x:v>239.24</x:v>
      </x:c>
      <x:c r="G2625" s="3" t="n">
        <x:v>187</x:v>
      </x:c>
      <x:c r="H2625" s="3" t="n">
        <x:v>0</x:v>
      </x:c>
      <x:c r="I2625" s="3" t="n">
        <x:v>58</x:v>
      </x:c>
      <x:c r="J2625" s="15" t="n">
        <x:f>IF(D2625=0,"n.a.",E2625/D2625)</x:f>
        <x:v>0</x:v>
      </x:c>
      <x:c r="K2625" s="15" t="n">
        <x:f>F2625/'Datos'!$F$7</x:f>
        <x:v>0.000024430420924216094</x:v>
      </x:c>
      <x:c r="L2625" s="3"/>
    </x:row>
    <x:row r="2626" ht="22" customHeight="1">
      <x:c r="A2626" s="3"/>
      <x:c r="B2626" s="3" t="str">
        <x:v>72131</x:v>
      </x:c>
      <x:c r="C2626" s="3" t="str">
        <x:v>COLUMBIAN CANDLE RECTANGLE</x:v>
      </x:c>
      <x:c r="D2626" s="13" t="n">
        <x:v>238.35</x:v>
      </x:c>
      <x:c r="E2626" s="13" t="n">
        <x:v>0</x:v>
      </x:c>
      <x:c r="F2626" s="13" t="n">
        <x:f>D2626-E2626</x:f>
        <x:v>238.35</x:v>
      </x:c>
      <x:c r="G2626" s="3" t="n">
        <x:v>137</x:v>
      </x:c>
      <x:c r="H2626" s="3" t="n">
        <x:v>0</x:v>
      </x:c>
      <x:c r="I2626" s="3" t="n">
        <x:v>18</x:v>
      </x:c>
      <x:c r="J2626" s="15" t="n">
        <x:f>IF(D2626=0,"n.a.",E2626/D2626)</x:f>
        <x:v>0</x:v>
      </x:c>
      <x:c r="K2626" s="15" t="n">
        <x:f>F2626/'Datos'!$F$7</x:f>
        <x:v>0.00002433953698080131</x:v>
      </x:c>
      <x:c r="L2626" s="3"/>
    </x:row>
    <x:row r="2627" ht="22" customHeight="1">
      <x:c r="A2627" s="3"/>
      <x:c r="B2627" s="3" t="str">
        <x:v>22137</x:v>
      </x:c>
      <x:c r="C2627" s="3" t="str">
        <x:v>BATHROOM SET LOVE HEART DESIGN</x:v>
      </x:c>
      <x:c r="D2627" s="13" t="n">
        <x:v>237.98</x:v>
      </x:c>
      <x:c r="E2627" s="13" t="n">
        <x:v>0</x:v>
      </x:c>
      <x:c r="F2627" s="13" t="n">
        <x:f>D2627-E2627</x:f>
        <x:v>237.98</x:v>
      </x:c>
      <x:c r="G2627" s="3" t="n">
        <x:v>82</x:v>
      </x:c>
      <x:c r="H2627" s="3" t="n">
        <x:v>0</x:v>
      </x:c>
      <x:c r="I2627" s="3" t="n">
        <x:v>14</x:v>
      </x:c>
      <x:c r="J2627" s="15" t="n">
        <x:f>IF(D2627=0,"n.a.",E2627/D2627)</x:f>
        <x:v>0</x:v>
      </x:c>
      <x:c r="K2627" s="15" t="n">
        <x:f>F2627/'Datos'!$F$7</x:f>
        <x:v>0.000024301753768370447</x:v>
      </x:c>
      <x:c r="L2627" s="3"/>
    </x:row>
    <x:row r="2628" ht="22" customHeight="1">
      <x:c r="A2628" s="3"/>
      <x:c r="B2628" s="3" t="str">
        <x:v>21644</x:v>
      </x:c>
      <x:c r="C2628" s="3" t="str">
        <x:v>ASSORTED TUTTI FRUTTI HEART BOX</x:v>
      </x:c>
      <x:c r="D2628" s="13" t="n">
        <x:v>268.75</x:v>
      </x:c>
      <x:c r="E2628" s="13" t="n">
        <x:v>31.25</x:v>
      </x:c>
      <x:c r="F2628" s="13" t="n">
        <x:f>D2628-E2628</x:f>
        <x:v>237.5</x:v>
      </x:c>
      <x:c r="G2628" s="3" t="n">
        <x:v>215</x:v>
      </x:c>
      <x:c r="H2628" s="3" t="n">
        <x:v>25</x:v>
      </x:c>
      <x:c r="I2628" s="3" t="n">
        <x:v>32</x:v>
      </x:c>
      <x:c r="J2628" s="15" t="n">
        <x:f>IF(D2628=0,"n.a.",E2628/D2628)</x:f>
        <x:v>0.11627906976744186</x:v>
      </x:c>
      <x:c r="K2628" s="15" t="n">
        <x:f>F2628/'Datos'!$F$7</x:f>
        <x:v>0.00002425273770900068</x:v>
      </x:c>
      <x:c r="L2628" s="3"/>
    </x:row>
    <x:row r="2629" ht="22" customHeight="1">
      <x:c r="A2629" s="3"/>
      <x:c r="B2629" s="3" t="str">
        <x:v>90143</x:v>
      </x:c>
      <x:c r="C2629" s="3" t="str">
        <x:v>SILVER BRACELET W PASTEL FLOWER</x:v>
      </x:c>
      <x:c r="D2629" s="13" t="n">
        <x:v>252.18</x:v>
      </x:c>
      <x:c r="E2629" s="13" t="n">
        <x:v>15</x:v>
      </x:c>
      <x:c r="F2629" s="13" t="n">
        <x:f>D2629-E2629</x:f>
        <x:v>237.18</x:v>
      </x:c>
      <x:c r="G2629" s="3" t="n">
        <x:v>33</x:v>
      </x:c>
      <x:c r="H2629" s="3" t="n">
        <x:v>2</x:v>
      </x:c>
      <x:c r="I2629" s="3" t="n">
        <x:v>19</x:v>
      </x:c>
      <x:c r="J2629" s="15" t="n">
        <x:f>IF(D2629=0,"n.a.",E2629/D2629)</x:f>
        <x:v>0.05948132286462051</x:v>
      </x:c>
      <x:c r="K2629" s="15" t="n">
        <x:f>F2629/'Datos'!$F$7</x:f>
        <x:v>0.0000242200603360875</x:v>
      </x:c>
      <x:c r="L2629" s="3"/>
    </x:row>
    <x:row r="2630" ht="22" customHeight="1">
      <x:c r="A2630" s="3"/>
      <x:c r="B2630" s="3" t="str">
        <x:v>23580</x:v>
      </x:c>
      <x:c r="C2630" s="3" t="str">
        <x:v>SNACK TRAY HAPPY FOREST</x:v>
      </x:c>
      <x:c r="D2630" s="13" t="n">
        <x:v>236.87</x:v>
      </x:c>
      <x:c r="E2630" s="13" t="n">
        <x:v>0</x:v>
      </x:c>
      <x:c r="F2630" s="13" t="n">
        <x:f>D2630-E2630</x:f>
        <x:v>236.87</x:v>
      </x:c>
      <x:c r="G2630" s="3" t="n">
        <x:v>117</x:v>
      </x:c>
      <x:c r="H2630" s="3" t="n">
        <x:v>0</x:v>
      </x:c>
      <x:c r="I2630" s="3" t="n">
        <x:v>25</x:v>
      </x:c>
      <x:c r="J2630" s="15" t="n">
        <x:f>IF(D2630=0,"n.a.",E2630/D2630)</x:f>
        <x:v>0</x:v>
      </x:c>
      <x:c r="K2630" s="15" t="n">
        <x:f>F2630/'Datos'!$F$7</x:f>
        <x:v>0.000024188404131077855</x:v>
      </x:c>
      <x:c r="L2630" s="3"/>
    </x:row>
    <x:row r="2631" ht="22" customHeight="1">
      <x:c r="A2631" s="3"/>
      <x:c r="B2631" s="3" t="str">
        <x:v>21360</x:v>
      </x:c>
      <x:c r="C2631" s="3" t="str">
        <x:v>JOY LARGE WOOD LETTERS</x:v>
      </x:c>
      <x:c r="D2631" s="13" t="n">
        <x:v>236.17</x:v>
      </x:c>
      <x:c r="E2631" s="13" t="n">
        <x:v>0</x:v>
      </x:c>
      <x:c r="F2631" s="13" t="n">
        <x:f>D2631-E2631</x:f>
        <x:v>236.17</x:v>
      </x:c>
      <x:c r="G2631" s="3" t="n">
        <x:v>39</x:v>
      </x:c>
      <x:c r="H2631" s="3" t="n">
        <x:v>0</x:v>
      </x:c>
      <x:c r="I2631" s="3" t="n">
        <x:v>16</x:v>
      </x:c>
      <x:c r="J2631" s="15" t="n">
        <x:f>IF(D2631=0,"n.a.",E2631/D2631)</x:f>
        <x:v>0</x:v>
      </x:c>
      <x:c r="K2631" s="15" t="n">
        <x:f>F2631/'Datos'!$F$7</x:f>
        <x:v>0.000024116922377830274</x:v>
      </x:c>
      <x:c r="L2631" s="3"/>
    </x:row>
    <x:row r="2632" ht="22" customHeight="1">
      <x:c r="A2632" s="3"/>
      <x:c r="B2632" s="3" t="str">
        <x:v>20775</x:v>
      </x:c>
      <x:c r="C2632" s="3" t="str">
        <x:v>DAISY NOTEBOOK</x:v>
      </x:c>
      <x:c r="D2632" s="13" t="n">
        <x:v>235.19</x:v>
      </x:c>
      <x:c r="E2632" s="13" t="n">
        <x:v>0</x:v>
      </x:c>
      <x:c r="F2632" s="13" t="n">
        <x:f>D2632-E2632</x:f>
        <x:v>235.19</x:v>
      </x:c>
      <x:c r="G2632" s="3" t="n">
        <x:v>135</x:v>
      </x:c>
      <x:c r="H2632" s="3" t="n">
        <x:v>0</x:v>
      </x:c>
      <x:c r="I2632" s="3" t="n">
        <x:v>63</x:v>
      </x:c>
      <x:c r="J2632" s="15" t="n">
        <x:f>IF(D2632=0,"n.a.",E2632/D2632)</x:f>
        <x:v>0</x:v>
      </x:c>
      <x:c r="K2632" s="15" t="n">
        <x:f>F2632/'Datos'!$F$7</x:f>
        <x:v>0.00002401684792328366</x:v>
      </x:c>
      <x:c r="L2632" s="3"/>
    </x:row>
    <x:row r="2633" ht="22" customHeight="1">
      <x:c r="A2633" s="3"/>
      <x:c r="B2633" s="3" t="str">
        <x:v>16216</x:v>
      </x:c>
      <x:c r="C2633" s="3" t="str">
        <x:v>LETTER SHAPE PENCIL SHARPENER</x:v>
      </x:c>
      <x:c r="D2633" s="13" t="n">
        <x:v>234</x:v>
      </x:c>
      <x:c r="E2633" s="13" t="n">
        <x:v>0</x:v>
      </x:c>
      <x:c r="F2633" s="13" t="n">
        <x:f>D2633-E2633</x:f>
        <x:v>234</x:v>
      </x:c>
      <x:c r="G2633" s="3" t="n">
        <x:v>3333</x:v>
      </x:c>
      <x:c r="H2633" s="3" t="n">
        <x:v>0</x:v>
      </x:c>
      <x:c r="I2633" s="3" t="n">
        <x:v>45</x:v>
      </x:c>
      <x:c r="J2633" s="15" t="n">
        <x:f>IF(D2633=0,"n.a.",E2633/D2633)</x:f>
        <x:v>0</x:v>
      </x:c>
      <x:c r="K2633" s="15" t="n">
        <x:f>F2633/'Datos'!$F$7</x:f>
        <x:v>0.000023895328942762773</x:v>
      </x:c>
      <x:c r="L2633" s="3"/>
    </x:row>
    <x:row r="2634" ht="22" customHeight="1">
      <x:c r="A2634" s="3"/>
      <x:c r="B2634" s="3" t="str">
        <x:v>23036</x:v>
      </x:c>
      <x:c r="C2634" s="3" t="str">
        <x:v>T-LIGHT HOLDER SILVER PETIT FOUR</x:v>
      </x:c>
      <x:c r="D2634" s="13" t="n">
        <x:v>233.67</x:v>
      </x:c>
      <x:c r="E2634" s="13" t="n">
        <x:v>0</x:v>
      </x:c>
      <x:c r="F2634" s="13" t="n">
        <x:f>D2634-E2634</x:f>
        <x:v>233.67</x:v>
      </x:c>
      <x:c r="G2634" s="3" t="n">
        <x:v>185</x:v>
      </x:c>
      <x:c r="H2634" s="3" t="n">
        <x:v>0</x:v>
      </x:c>
      <x:c r="I2634" s="3" t="n">
        <x:v>16</x:v>
      </x:c>
      <x:c r="J2634" s="15" t="n">
        <x:f>IF(D2634=0,"n.a.",E2634/D2634)</x:f>
        <x:v>0</x:v>
      </x:c>
      <x:c r="K2634" s="15" t="n">
        <x:f>F2634/'Datos'!$F$7</x:f>
        <x:v>0.000023861630401946055</x:v>
      </x:c>
      <x:c r="L2634" s="3"/>
    </x:row>
    <x:row r="2635" ht="22" customHeight="1">
      <x:c r="A2635" s="3"/>
      <x:c r="B2635" s="3" t="str">
        <x:v>21025</x:v>
      </x:c>
      <x:c r="C2635" s="3" t="str">
        <x:v>SPACE FROG</x:v>
      </x:c>
      <x:c r="D2635" s="13" t="n">
        <x:v>233.52</x:v>
      </x:c>
      <x:c r="E2635" s="13" t="n">
        <x:v>0</x:v>
      </x:c>
      <x:c r="F2635" s="13" t="n">
        <x:f>D2635-E2635</x:f>
        <x:v>233.52</x:v>
      </x:c>
      <x:c r="G2635" s="3" t="n">
        <x:v>174</x:v>
      </x:c>
      <x:c r="H2635" s="3" t="n">
        <x:v>0</x:v>
      </x:c>
      <x:c r="I2635" s="3" t="n">
        <x:v>56</x:v>
      </x:c>
      <x:c r="J2635" s="15" t="n">
        <x:f>IF(D2635=0,"n.a.",E2635/D2635)</x:f>
        <x:v>0</x:v>
      </x:c>
      <x:c r="K2635" s="15" t="n">
        <x:f>F2635/'Datos'!$F$7</x:f>
        <x:v>0.000023846312883393004</x:v>
      </x:c>
      <x:c r="L2635" s="3"/>
    </x:row>
    <x:row r="2636" ht="22" customHeight="1">
      <x:c r="A2636" s="3"/>
      <x:c r="B2636" s="3" t="str">
        <x:v>90201B</x:v>
      </x:c>
      <x:c r="C2636" s="3" t="str">
        <x:v>BLACK ENAMEL FLOWER RING</x:v>
      </x:c>
      <x:c r="D2636" s="13" t="n">
        <x:v>252.9</x:v>
      </x:c>
      <x:c r="E2636" s="13" t="n">
        <x:v>20.65</x:v>
      </x:c>
      <x:c r="F2636" s="13" t="n">
        <x:f>D2636-E2636</x:f>
        <x:v>232.25</x:v>
      </x:c>
      <x:c r="G2636" s="3" t="n">
        <x:v>86</x:v>
      </x:c>
      <x:c r="H2636" s="3" t="n">
        <x:v>7</x:v>
      </x:c>
      <x:c r="I2636" s="3" t="n">
        <x:v>23</x:v>
      </x:c>
      <x:c r="J2636" s="15" t="n">
        <x:f>IF(D2636=0,"n.a.",E2636/D2636)</x:f>
        <x:v>0.08165282720442862</x:v>
      </x:c>
      <x:c r="K2636" s="15" t="n">
        <x:f>F2636/'Datos'!$F$7</x:f>
        <x:v>0.00002371662455964382</x:v>
      </x:c>
      <x:c r="L2636" s="3"/>
    </x:row>
    <x:row r="2637" ht="22" customHeight="1">
      <x:c r="A2637" s="3"/>
      <x:c r="B2637" s="3" t="str">
        <x:v>23447</x:v>
      </x:c>
      <x:c r="C2637" s="3" t="str">
        <x:v>PINK BUNNY EASTER EGG BASKET</x:v>
      </x:c>
      <x:c r="D2637" s="13" t="n">
        <x:v>231.9</x:v>
      </x:c>
      <x:c r="E2637" s="13" t="n">
        <x:v>0</x:v>
      </x:c>
      <x:c r="F2637" s="13" t="n">
        <x:f>D2637-E2637</x:f>
        <x:v>231.9</x:v>
      </x:c>
      <x:c r="G2637" s="3" t="n">
        <x:v>158</x:v>
      </x:c>
      <x:c r="H2637" s="3" t="n">
        <x:v>0</x:v>
      </x:c>
      <x:c r="I2637" s="3" t="n">
        <x:v>4</x:v>
      </x:c>
      <x:c r="J2637" s="15" t="n">
        <x:f>IF(D2637=0,"n.a.",E2637/D2637)</x:f>
        <x:v>0</x:v>
      </x:c>
      <x:c r="K2637" s="15" t="n">
        <x:f>F2637/'Datos'!$F$7</x:f>
        <x:v>0.000023680883683020032</x:v>
      </x:c>
      <x:c r="L2637" s="3"/>
    </x:row>
    <x:row r="2638" ht="22" customHeight="1">
      <x:c r="A2638" s="3"/>
      <x:c r="B2638" s="3" t="str">
        <x:v>84712B</x:v>
      </x:c>
      <x:c r="C2638" s="3" t="str">
        <x:v>PINK JEWELLED PHOTO FRAME</x:v>
      </x:c>
      <x:c r="D2638" s="13" t="n">
        <x:v>231.56</x:v>
      </x:c>
      <x:c r="E2638" s="13" t="n">
        <x:v>0</x:v>
      </x:c>
      <x:c r="F2638" s="13" t="n">
        <x:f>D2638-E2638</x:f>
        <x:v>231.56</x:v>
      </x:c>
      <x:c r="G2638" s="3" t="n">
        <x:v>30</x:v>
      </x:c>
      <x:c r="H2638" s="3" t="n">
        <x:v>0</x:v>
      </x:c>
      <x:c r="I2638" s="3" t="n">
        <x:v>20</x:v>
      </x:c>
      <x:c r="J2638" s="15" t="n">
        <x:f>IF(D2638=0,"n.a.",E2638/D2638)</x:f>
        <x:v>0</x:v>
      </x:c>
      <x:c r="K2638" s="15" t="n">
        <x:f>F2638/'Datos'!$F$7</x:f>
        <x:v>0.00002364616397429978</x:v>
      </x:c>
      <x:c r="L2638" s="3"/>
    </x:row>
    <x:row r="2639" ht="22" customHeight="1">
      <x:c r="A2639" s="3"/>
      <x:c r="B2639" s="3" t="str">
        <x:v>21161</x:v>
      </x:c>
      <x:c r="C2639" s="3" t="str">
        <x:v>KEEP OUT BOYS DOOR HANGER</x:v>
      </x:c>
      <x:c r="D2639" s="13" t="n">
        <x:v>231.37</x:v>
      </x:c>
      <x:c r="E2639" s="13" t="n">
        <x:v>0</x:v>
      </x:c>
      <x:c r="F2639" s="13" t="n">
        <x:f>D2639-E2639</x:f>
        <x:v>231.37</x:v>
      </x:c>
      <x:c r="G2639" s="3" t="n">
        <x:v>144</x:v>
      </x:c>
      <x:c r="H2639" s="3" t="n">
        <x:v>0</x:v>
      </x:c>
      <x:c r="I2639" s="3" t="n">
        <x:v>43</x:v>
      </x:c>
      <x:c r="J2639" s="15" t="n">
        <x:f>IF(D2639=0,"n.a.",E2639/D2639)</x:f>
        <x:v>0</x:v>
      </x:c>
      <x:c r="K2639" s="15" t="n">
        <x:f>F2639/'Datos'!$F$7</x:f>
        <x:v>0.000023626761784132578</x:v>
      </x:c>
      <x:c r="L2639" s="3"/>
    </x:row>
    <x:row r="2640" ht="22" customHeight="1">
      <x:c r="A2640" s="3"/>
      <x:c r="B2640" s="3" t="str">
        <x:v>20696</x:v>
      </x:c>
      <x:c r="C2640" s="3" t="str">
        <x:v>FLORAL SOFT CAR TOY</x:v>
      </x:c>
      <x:c r="D2640" s="13" t="n">
        <x:v>230.81</x:v>
      </x:c>
      <x:c r="E2640" s="13" t="n">
        <x:v>0</x:v>
      </x:c>
      <x:c r="F2640" s="13" t="n">
        <x:f>D2640-E2640</x:f>
        <x:v>230.81</x:v>
      </x:c>
      <x:c r="G2640" s="3" t="n">
        <x:v>54</x:v>
      </x:c>
      <x:c r="H2640" s="3" t="n">
        <x:v>0</x:v>
      </x:c>
      <x:c r="I2640" s="3" t="n">
        <x:v>30</x:v>
      </x:c>
      <x:c r="J2640" s="15" t="n">
        <x:f>IF(D2640=0,"n.a.",E2640/D2640)</x:f>
        <x:v>0</x:v>
      </x:c>
      <x:c r="K2640" s="15" t="n">
        <x:f>F2640/'Datos'!$F$7</x:f>
        <x:v>0.000023569576381534512</x:v>
      </x:c>
      <x:c r="L2640" s="3"/>
    </x:row>
    <x:row r="2641" ht="22" customHeight="1">
      <x:c r="A2641" s="3"/>
      <x:c r="B2641" s="3" t="str">
        <x:v>84857C</x:v>
      </x:c>
      <x:c r="C2641" s="3" t="str">
        <x:v>PINK MONTE CARLO HANDBAG</x:v>
      </x:c>
      <x:c r="D2641" s="13" t="n">
        <x:v>232.33</x:v>
      </x:c>
      <x:c r="E2641" s="13" t="n">
        <x:v>1.95</x:v>
      </x:c>
      <x:c r="F2641" s="13" t="n">
        <x:f>D2641-E2641</x:f>
        <x:v>230.38000000000002</x:v>
      </x:c>
      <x:c r="G2641" s="3" t="n">
        <x:v>98</x:v>
      </x:c>
      <x:c r="H2641" s="3" t="n">
        <x:v>1</x:v>
      </x:c>
      <x:c r="I2641" s="3" t="n">
        <x:v>10</x:v>
      </x:c>
      <x:c r="J2641" s="15" t="n">
        <x:f>IF(D2641=0,"n.a.",E2641/D2641)</x:f>
        <x:v>0.008393233762320837</x:v>
      </x:c>
      <x:c r="K2641" s="15" t="n">
        <x:f>F2641/'Datos'!$F$7</x:f>
        <x:v>0.00002352566616168243</x:v>
      </x:c>
      <x:c r="L2641" s="3"/>
    </x:row>
    <x:row r="2642" ht="22" customHeight="1">
      <x:c r="A2642" s="3"/>
      <x:c r="B2642" s="3" t="str">
        <x:v>23446</x:v>
      </x:c>
      <x:c r="C2642" s="3" t="str">
        <x:v>BLUE BUNNY EASTER EGG BASKET</x:v>
      </x:c>
      <x:c r="D2642" s="13" t="n">
        <x:v>230.25</x:v>
      </x:c>
      <x:c r="E2642" s="13" t="n">
        <x:v>0</x:v>
      </x:c>
      <x:c r="F2642" s="13" t="n">
        <x:f>D2642-E2642</x:f>
        <x:v>230.25</x:v>
      </x:c>
      <x:c r="G2642" s="3" t="n">
        <x:v>157</x:v>
      </x:c>
      <x:c r="H2642" s="3" t="n">
        <x:v>0</x:v>
      </x:c>
      <x:c r="I2642" s="3" t="n">
        <x:v>3</x:v>
      </x:c>
      <x:c r="J2642" s="15" t="n">
        <x:f>IF(D2642=0,"n.a.",E2642/D2642)</x:f>
        <x:v>0</x:v>
      </x:c>
      <x:c r="K2642" s="15" t="n">
        <x:f>F2642/'Datos'!$F$7</x:f>
        <x:v>0.000023512390978936446</x:v>
      </x:c>
      <x:c r="L2642" s="3"/>
    </x:row>
    <x:row r="2643" ht="22" customHeight="1">
      <x:c r="A2643" s="3"/>
      <x:c r="B2643" s="3" t="str">
        <x:v>90206C</x:v>
      </x:c>
      <x:c r="C2643" s="3" t="str">
        <x:v>CRYSTAL DIAMANTE STAR BROOCH</x:v>
      </x:c>
      <x:c r="D2643" s="13" t="n">
        <x:v>229.68</x:v>
      </x:c>
      <x:c r="E2643" s="13" t="n">
        <x:v>0</x:v>
      </x:c>
      <x:c r="F2643" s="13" t="n">
        <x:f>D2643-E2643</x:f>
        <x:v>229.68</x:v>
      </x:c>
      <x:c r="G2643" s="3" t="n">
        <x:v>46</x:v>
      </x:c>
      <x:c r="H2643" s="3" t="n">
        <x:v>0</x:v>
      </x:c>
      <x:c r="I2643" s="3" t="n">
        <x:v>31</x:v>
      </x:c>
      <x:c r="J2643" s="15" t="n">
        <x:f>IF(D2643=0,"n.a.",E2643/D2643)</x:f>
        <x:v>0</x:v>
      </x:c>
      <x:c r="K2643" s="15" t="n">
        <x:f>F2643/'Datos'!$F$7</x:f>
        <x:v>0.000023454184408434845</x:v>
      </x:c>
      <x:c r="L2643" s="3"/>
    </x:row>
    <x:row r="2644" ht="22" customHeight="1">
      <x:c r="A2644" s="3"/>
      <x:c r="B2644" s="3" t="str">
        <x:v>72800D</x:v>
      </x:c>
      <x:c r="C2644" s="3" t="str">
        <x:v>4 BLUE DINNER CANDLES SILVER FLOCK</x:v>
      </x:c>
      <x:c r="D2644" s="13" t="n">
        <x:v>229.22</x:v>
      </x:c>
      <x:c r="E2644" s="13" t="n">
        <x:v>0</x:v>
      </x:c>
      <x:c r="F2644" s="13" t="n">
        <x:f>D2644-E2644</x:f>
        <x:v>229.22</x:v>
      </x:c>
      <x:c r="G2644" s="3" t="n">
        <x:v>88</x:v>
      </x:c>
      <x:c r="H2644" s="3" t="n">
        <x:v>0</x:v>
      </x:c>
      <x:c r="I2644" s="3" t="n">
        <x:v>31</x:v>
      </x:c>
      <x:c r="J2644" s="15" t="n">
        <x:f>IF(D2644=0,"n.a.",E2644/D2644)</x:f>
        <x:v>0</x:v>
      </x:c>
      <x:c r="K2644" s="15" t="n">
        <x:f>F2644/'Datos'!$F$7</x:f>
        <x:v>0.000023407210684872148</x:v>
      </x:c>
      <x:c r="L2644" s="3"/>
    </x:row>
    <x:row r="2645" ht="22" customHeight="1">
      <x:c r="A2645" s="3"/>
      <x:c r="B2645" s="3" t="str">
        <x:v>21973</x:v>
      </x:c>
      <x:c r="C2645" s="3" t="str">
        <x:v>SET OF 36 MUSHROOM PAPER DOILIES</x:v>
      </x:c>
      <x:c r="D2645" s="13" t="n">
        <x:v>230.55</x:v>
      </x:c>
      <x:c r="E2645" s="13" t="n">
        <x:v>1.45</x:v>
      </x:c>
      <x:c r="F2645" s="13" t="n">
        <x:f>D2645-E2645</x:f>
        <x:v>229.10000000000002</x:v>
      </x:c>
      <x:c r="G2645" s="3" t="n">
        <x:v>159</x:v>
      </x:c>
      <x:c r="H2645" s="3" t="n">
        <x:v>1</x:v>
      </x:c>
      <x:c r="I2645" s="3" t="n">
        <x:v>30</x:v>
      </x:c>
      <x:c r="J2645" s="15" t="n">
        <x:f>IF(D2645=0,"n.a.",E2645/D2645)</x:f>
        <x:v>0.006289308176100628</x:v>
      </x:c>
      <x:c r="K2645" s="15" t="n">
        <x:f>F2645/'Datos'!$F$7</x:f>
        <x:v>0.00002339495667002971</x:v>
      </x:c>
      <x:c r="L2645" s="3"/>
    </x:row>
    <x:row r="2646" ht="22" customHeight="1">
      <x:c r="A2646" s="3"/>
      <x:c r="B2646" s="3" t="str">
        <x:v>85200</x:v>
      </x:c>
      <x:c r="C2646" s="3" t="str">
        <x:v>BUNNY EGG BOX</x:v>
      </x:c>
      <x:c r="D2646" s="13" t="n">
        <x:v>228.75</x:v>
      </x:c>
      <x:c r="E2646" s="13" t="n">
        <x:v>0</x:v>
      </x:c>
      <x:c r="F2646" s="13" t="n">
        <x:f>D2646-E2646</x:f>
        <x:v>228.75</x:v>
      </x:c>
      <x:c r="G2646" s="3" t="n">
        <x:v>183</x:v>
      </x:c>
      <x:c r="H2646" s="3" t="n">
        <x:v>0</x:v>
      </x:c>
      <x:c r="I2646" s="3" t="n">
        <x:v>26</x:v>
      </x:c>
      <x:c r="J2646" s="15" t="n">
        <x:f>IF(D2646=0,"n.a.",E2646/D2646)</x:f>
        <x:v>0</x:v>
      </x:c>
      <x:c r="K2646" s="15" t="n">
        <x:f>F2646/'Datos'!$F$7</x:f>
        <x:v>0.000023359215793405915</x:v>
      </x:c>
      <x:c r="L2646" s="3"/>
    </x:row>
    <x:row r="2647" ht="22" customHeight="1">
      <x:c r="A2647" s="3"/>
      <x:c r="B2647" s="3" t="str">
        <x:v>90010E</x:v>
      </x:c>
      <x:c r="C2647" s="3" t="str">
        <x:v>AMBER GLASS/SILVER BRACELET</x:v>
      </x:c>
      <x:c r="D2647" s="13" t="n">
        <x:v>227.89</x:v>
      </x:c>
      <x:c r="E2647" s="13" t="n">
        <x:v>0</x:v>
      </x:c>
      <x:c r="F2647" s="13" t="n">
        <x:f>D2647-E2647</x:f>
        <x:v>227.89</x:v>
      </x:c>
      <x:c r="G2647" s="3" t="n">
        <x:v>25</x:v>
      </x:c>
      <x:c r="H2647" s="3" t="n">
        <x:v>0</x:v>
      </x:c>
      <x:c r="I2647" s="3" t="n">
        <x:v>16</x:v>
      </x:c>
      <x:c r="J2647" s="15" t="n">
        <x:f>IF(D2647=0,"n.a.",E2647/D2647)</x:f>
        <x:v>0</x:v>
      </x:c>
      <x:c r="K2647" s="15" t="n">
        <x:f>F2647/'Datos'!$F$7</x:f>
        <x:v>0.000023271395353701743</x:v>
      </x:c>
      <x:c r="L2647" s="3"/>
    </x:row>
    <x:row r="2648" ht="22" customHeight="1">
      <x:c r="A2648" s="3"/>
      <x:c r="B2648" s="3" t="str">
        <x:v>21157</x:v>
      </x:c>
      <x:c r="C2648" s="3" t="str">
        <x:v>RED RETROSPOT WASHBAG</x:v>
      </x:c>
      <x:c r="D2648" s="13" t="n">
        <x:v>227.6</x:v>
      </x:c>
      <x:c r="E2648" s="13" t="n">
        <x:v>0</x:v>
      </x:c>
      <x:c r="F2648" s="13" t="n">
        <x:f>D2648-E2648</x:f>
        <x:v>227.6</x:v>
      </x:c>
      <x:c r="G2648" s="3" t="n">
        <x:v>79</x:v>
      </x:c>
      <x:c r="H2648" s="3" t="n">
        <x:v>0</x:v>
      </x:c>
      <x:c r="I2648" s="3" t="n">
        <x:v>34</x:v>
      </x:c>
      <x:c r="J2648" s="15" t="n">
        <x:f>IF(D2648=0,"n.a.",E2648/D2648)</x:f>
        <x:v>0</x:v>
      </x:c>
      <x:c r="K2648" s="15" t="n">
        <x:f>F2648/'Datos'!$F$7</x:f>
        <x:v>0.000023241781484499176</x:v>
      </x:c>
      <x:c r="L2648" s="3"/>
    </x:row>
    <x:row r="2649" ht="22" customHeight="1">
      <x:c r="A2649" s="3"/>
      <x:c r="B2649" s="3" t="str">
        <x:v>23003</x:v>
      </x:c>
      <x:c r="C2649" s="3" t="str">
        <x:v>TRAVEL CARD WALLET VINTAGE ROSE</x:v>
      </x:c>
      <x:c r="D2649" s="13" t="n">
        <x:v>226.2</x:v>
      </x:c>
      <x:c r="E2649" s="13" t="n">
        <x:v>0</x:v>
      </x:c>
      <x:c r="F2649" s="13" t="n">
        <x:f>D2649-E2649</x:f>
        <x:v>226.2</x:v>
      </x:c>
      <x:c r="G2649" s="3" t="n">
        <x:v>542</x:v>
      </x:c>
      <x:c r="H2649" s="3" t="n">
        <x:v>0</x:v>
      </x:c>
      <x:c r="I2649" s="3" t="n">
        <x:v>53</x:v>
      </x:c>
      <x:c r="J2649" s="15" t="n">
        <x:f>IF(D2649=0,"n.a.",E2649/D2649)</x:f>
        <x:v>0</x:v>
      </x:c>
      <x:c r="K2649" s="15" t="n">
        <x:f>F2649/'Datos'!$F$7</x:f>
        <x:v>0.000023098817978004014</x:v>
      </x:c>
      <x:c r="L2649" s="3"/>
    </x:row>
    <x:row r="2650" ht="22" customHeight="1">
      <x:c r="A2650" s="3"/>
      <x:c r="B2650" s="3" t="str">
        <x:v>90201D</x:v>
      </x:c>
      <x:c r="C2650" s="3" t="str">
        <x:v>GREEN ENAMEL FLOWER RING</x:v>
      </x:c>
      <x:c r="D2650" s="13" t="n">
        <x:v>225.84</x:v>
      </x:c>
      <x:c r="E2650" s="13" t="n">
        <x:v>0</x:v>
      </x:c>
      <x:c r="F2650" s="13" t="n">
        <x:f>D2650-E2650</x:f>
        <x:v>225.84</x:v>
      </x:c>
      <x:c r="G2650" s="3" t="n">
        <x:v>77</x:v>
      </x:c>
      <x:c r="H2650" s="3" t="n">
        <x:v>0</x:v>
      </x:c>
      <x:c r="I2650" s="3" t="n">
        <x:v>31</x:v>
      </x:c>
      <x:c r="J2650" s="15" t="n">
        <x:f>IF(D2650=0,"n.a.",E2650/D2650)</x:f>
        <x:v>0</x:v>
      </x:c>
      <x:c r="K2650" s="15" t="n">
        <x:f>F2650/'Datos'!$F$7</x:f>
        <x:v>0.00002306205593347669</x:v>
      </x:c>
      <x:c r="L2650" s="3"/>
    </x:row>
    <x:row r="2651" ht="22" customHeight="1">
      <x:c r="A2651" s="3"/>
      <x:c r="B2651" s="3" t="str">
        <x:v>47469</x:v>
      </x:c>
      <x:c r="C2651" s="3" t="str">
        <x:v>ASSORTED SHAPES PHOTO CLIP SILVER</x:v>
      </x:c>
      <x:c r="D2651" s="13" t="n">
        <x:v>241.21</x:v>
      </x:c>
      <x:c r="E2651" s="13" t="n">
        <x:v>15.6</x:v>
      </x:c>
      <x:c r="F2651" s="13" t="n">
        <x:f>D2651-E2651</x:f>
        <x:v>225.61</x:v>
      </x:c>
      <x:c r="G2651" s="3" t="n">
        <x:v>473</x:v>
      </x:c>
      <x:c r="H2651" s="3" t="n">
        <x:v>24</x:v>
      </x:c>
      <x:c r="I2651" s="3" t="n">
        <x:v>12</x:v>
      </x:c>
      <x:c r="J2651" s="15" t="n">
        <x:f>IF(D2651=0,"n.a.",E2651/D2651)</x:f>
        <x:v>0.06467393557481033</x:v>
      </x:c>
      <x:c r="K2651" s="15" t="n">
        <x:f>F2651/'Datos'!$F$7</x:f>
        <x:v>0.00002303856907169534</x:v>
      </x:c>
      <x:c r="L2651" s="3"/>
    </x:row>
    <x:row r="2652" ht="22" customHeight="1">
      <x:c r="A2652" s="3"/>
      <x:c r="B2652" s="3" t="str">
        <x:v>84422</x:v>
      </x:c>
      <x:c r="C2652" s="3" t="str">
        <x:v>PINK/BLUE DISC/MIRROR STRING</x:v>
      </x:c>
      <x:c r="D2652" s="13" t="n">
        <x:v>244.17</x:v>
      </x:c>
      <x:c r="E2652" s="13" t="n">
        <x:v>18.72</x:v>
      </x:c>
      <x:c r="F2652" s="13" t="n">
        <x:f>D2652-E2652</x:f>
        <x:v>225.45</x:v>
      </x:c>
      <x:c r="G2652" s="3" t="n">
        <x:v>566</x:v>
      </x:c>
      <x:c r="H2652" s="3" t="n">
        <x:v>48</x:v>
      </x:c>
      <x:c r="I2652" s="3" t="n">
        <x:v>15</x:v>
      </x:c>
      <x:c r="J2652" s="15" t="n">
        <x:f>IF(D2652=0,"n.a.",E2652/D2652)</x:f>
        <x:v>0.07666789531883524</x:v>
      </x:c>
      <x:c r="K2652" s="15" t="n">
        <x:f>F2652/'Datos'!$F$7</x:f>
        <x:v>0.00002302223038523875</x:v>
      </x:c>
      <x:c r="L2652" s="3"/>
    </x:row>
    <x:row r="2653" ht="22" customHeight="1">
      <x:c r="A2653" s="3"/>
      <x:c r="B2653" s="3" t="str">
        <x:v>90158</x:v>
      </x:c>
      <x:c r="C2653" s="3" t="str">
        <x:v>ST TROPEZ NECKLACE</x:v>
      </x:c>
      <x:c r="D2653" s="13" t="n">
        <x:v>224.12</x:v>
      </x:c>
      <x:c r="E2653" s="13" t="n">
        <x:v>0</x:v>
      </x:c>
      <x:c r="F2653" s="13" t="n">
        <x:f>D2653-E2653</x:f>
        <x:v>224.12</x:v>
      </x:c>
      <x:c r="G2653" s="3" t="n">
        <x:v>45</x:v>
      </x:c>
      <x:c r="H2653" s="3" t="n">
        <x:v>0</x:v>
      </x:c>
      <x:c r="I2653" s="3" t="n">
        <x:v>35</x:v>
      </x:c>
      <x:c r="J2653" s="15" t="n">
        <x:f>IF(D2653=0,"n.a.",E2653/D2653)</x:f>
        <x:v>0</x:v>
      </x:c>
      <x:c r="K2653" s="15" t="n">
        <x:f>F2653/'Datos'!$F$7</x:f>
        <x:v>0.000022886415054068345</x:v>
      </x:c>
      <x:c r="L2653" s="3"/>
    </x:row>
    <x:row r="2654" ht="22" customHeight="1">
      <x:c r="A2654" s="3"/>
      <x:c r="B2654" s="3" t="str">
        <x:v>23149</x:v>
      </x:c>
      <x:c r="C2654" s="3" t="str">
        <x:v>ANTIQUE IVORY WIRE BOWL SMALL</x:v>
      </x:c>
      <x:c r="D2654" s="13" t="n">
        <x:v>251.45</x:v>
      </x:c>
      <x:c r="E2654" s="13" t="n">
        <x:v>27.39</x:v>
      </x:c>
      <x:c r="F2654" s="13" t="n">
        <x:f>D2654-E2654</x:f>
        <x:v>224.06</x:v>
      </x:c>
      <x:c r="G2654" s="3" t="n">
        <x:v>99</x:v>
      </x:c>
      <x:c r="H2654" s="3" t="n">
        <x:v>11</x:v>
      </x:c>
      <x:c r="I2654" s="3" t="n">
        <x:v>21</x:v>
      </x:c>
      <x:c r="J2654" s="15" t="n">
        <x:f>IF(D2654=0,"n.a.",E2654/D2654)</x:f>
        <x:v>0.10892821634519786</x:v>
      </x:c>
      <x:c r="K2654" s="15" t="n">
        <x:f>F2654/'Datos'!$F$7</x:f>
        <x:v>0.000022880288046647123</x:v>
      </x:c>
      <x:c r="L2654" s="3"/>
    </x:row>
    <x:row r="2655" ht="22" customHeight="1">
      <x:c r="A2655" s="3"/>
      <x:c r="B2655" s="3" t="str">
        <x:v>21657</x:v>
      </x:c>
      <x:c r="C2655" s="3" t="str">
        <x:v>MILK BOTTLE WITH GLASS STOPPER</x:v>
      </x:c>
      <x:c r="D2655" s="13" t="n">
        <x:v>223.46</x:v>
      </x:c>
      <x:c r="E2655" s="13" t="n">
        <x:v>0</x:v>
      </x:c>
      <x:c r="F2655" s="13" t="n">
        <x:f>D2655-E2655</x:f>
        <x:v>223.46</x:v>
      </x:c>
      <x:c r="G2655" s="3" t="n">
        <x:v>30</x:v>
      </x:c>
      <x:c r="H2655" s="3" t="n">
        <x:v>0</x:v>
      </x:c>
      <x:c r="I2655" s="3" t="n">
        <x:v>17</x:v>
      </x:c>
      <x:c r="J2655" s="15" t="n">
        <x:f>IF(D2655=0,"n.a.",E2655/D2655)</x:f>
        <x:v>0</x:v>
      </x:c>
      <x:c r="K2655" s="15" t="n">
        <x:f>F2655/'Datos'!$F$7</x:f>
        <x:v>0.000022819017972434914</x:v>
      </x:c>
      <x:c r="L2655" s="3"/>
    </x:row>
    <x:row r="2656" ht="22" customHeight="1">
      <x:c r="A2656" s="3"/>
      <x:c r="B2656" s="3" t="str">
        <x:v>84218</x:v>
      </x:c>
      <x:c r="C2656" s="3" t="str">
        <x:v>BOX/12 CHICK &amp; EGG IN BASKET</x:v>
      </x:c>
      <x:c r="D2656" s="13" t="n">
        <x:v>223.11</x:v>
      </x:c>
      <x:c r="E2656" s="13" t="n">
        <x:v>0</x:v>
      </x:c>
      <x:c r="F2656" s="13" t="n">
        <x:f>D2656-E2656</x:f>
        <x:v>223.11</x:v>
      </x:c>
      <x:c r="G2656" s="3" t="n">
        <x:v>123</x:v>
      </x:c>
      <x:c r="H2656" s="3" t="n">
        <x:v>0</x:v>
      </x:c>
      <x:c r="I2656" s="3" t="n">
        <x:v>41</x:v>
      </x:c>
      <x:c r="J2656" s="15" t="n">
        <x:f>IF(D2656=0,"n.a.",E2656/D2656)</x:f>
        <x:v>0</x:v>
      </x:c>
      <x:c r="K2656" s="15" t="n">
        <x:f>F2656/'Datos'!$F$7</x:f>
        <x:v>0.000022783277095811122</x:v>
      </x:c>
      <x:c r="L2656" s="3"/>
    </x:row>
    <x:row r="2657" ht="22" customHeight="1">
      <x:c r="A2657" s="3"/>
      <x:c r="B2657" s="3" t="str">
        <x:v>85040B</x:v>
      </x:c>
      <x:c r="C2657" s="3" t="str">
        <x:v>SET/4 BLUE FLOWER CANDLES IN BOWL</x:v>
      </x:c>
      <x:c r="D2657" s="13" t="n">
        <x:v>229.47</x:v>
      </x:c>
      <x:c r="E2657" s="13" t="n">
        <x:v>6.6</x:v>
      </x:c>
      <x:c r="F2657" s="13" t="n">
        <x:f>D2657-E2657</x:f>
        <x:v>222.87</x:v>
      </x:c>
      <x:c r="G2657" s="3" t="n">
        <x:v>137</x:v>
      </x:c>
      <x:c r="H2657" s="3" t="n">
        <x:v>4</x:v>
      </x:c>
      <x:c r="I2657" s="3" t="n">
        <x:v>35</x:v>
      </x:c>
      <x:c r="J2657" s="15" t="n">
        <x:f>IF(D2657=0,"n.a.",E2657/D2657)</x:f>
        <x:v>0.028761929664008364</x:v>
      </x:c>
      <x:c r="K2657" s="15" t="n">
        <x:f>F2657/'Datos'!$F$7</x:f>
        <x:v>0.000022758769066126237</x:v>
      </x:c>
      <x:c r="L2657" s="3"/>
    </x:row>
    <x:row r="2658" ht="22" customHeight="1">
      <x:c r="A2658" s="3"/>
      <x:c r="B2658" s="3" t="str">
        <x:v>84711A</x:v>
      </x:c>
      <x:c r="C2658" s="3" t="str">
        <x:v>SILVER OVAL SHAPE TRINKET BOX</x:v>
      </x:c>
      <x:c r="D2658" s="13" t="n">
        <x:v>221.8</x:v>
      </x:c>
      <x:c r="E2658" s="13" t="n">
        <x:v>0</x:v>
      </x:c>
      <x:c r="F2658" s="13" t="n">
        <x:f>D2658-E2658</x:f>
        <x:v>221.8</x:v>
      </x:c>
      <x:c r="G2658" s="3" t="n">
        <x:v>25</x:v>
      </x:c>
      <x:c r="H2658" s="3" t="n">
        <x:v>0</x:v>
      </x:c>
      <x:c r="I2658" s="3" t="n">
        <x:v>17</x:v>
      </x:c>
      <x:c r="J2658" s="15" t="n">
        <x:f>IF(D2658=0,"n.a.",E2658/D2658)</x:f>
        <x:v>0</x:v>
      </x:c>
      <x:c r="K2658" s="15" t="n">
        <x:f>F2658/'Datos'!$F$7</x:f>
        <x:v>0.000022649504100447792</x:v>
      </x:c>
      <x:c r="L2658" s="3"/>
    </x:row>
    <x:row r="2659" ht="22" customHeight="1">
      <x:c r="A2659" s="3"/>
      <x:c r="B2659" s="3" t="str">
        <x:v>84876D</x:v>
      </x:c>
      <x:c r="C2659" s="3" t="str">
        <x:v>BLUE HEART COMPACT MIRROR</x:v>
      </x:c>
      <x:c r="D2659" s="13" t="n">
        <x:v>221.25</x:v>
      </x:c>
      <x:c r="E2659" s="13" t="n">
        <x:v>0</x:v>
      </x:c>
      <x:c r="F2659" s="13" t="n">
        <x:f>D2659-E2659</x:f>
        <x:v>221.25</x:v>
      </x:c>
      <x:c r="G2659" s="3" t="n">
        <x:v>129</x:v>
      </x:c>
      <x:c r="H2659" s="3" t="n">
        <x:v>0</x:v>
      </x:c>
      <x:c r="I2659" s="3" t="n">
        <x:v>16</x:v>
      </x:c>
      <x:c r="J2659" s="15" t="n">
        <x:f>IF(D2659=0,"n.a.",E2659/D2659)</x:f>
        <x:v>0</x:v>
      </x:c>
      <x:c r="K2659" s="15" t="n">
        <x:f>F2659/'Datos'!$F$7</x:f>
        <x:v>0.000022593339865753262</x:v>
      </x:c>
      <x:c r="L2659" s="3"/>
    </x:row>
    <x:row r="2660" ht="22" customHeight="1">
      <x:c r="A2660" s="3"/>
      <x:c r="B2660" s="3" t="str">
        <x:v>21456</x:v>
      </x:c>
      <x:c r="C2660" s="3" t="str">
        <x:v>2 PICTURE BOOK EGGS EASTER CHICKS</x:v>
      </x:c>
      <x:c r="D2660" s="13" t="n">
        <x:v>222.22</x:v>
      </x:c>
      <x:c r="E2660" s="13" t="n">
        <x:v>1.25</x:v>
      </x:c>
      <x:c r="F2660" s="13" t="n">
        <x:f>D2660-E2660</x:f>
        <x:v>220.97</x:v>
      </x:c>
      <x:c r="G2660" s="3" t="n">
        <x:v>171</x:v>
      </x:c>
      <x:c r="H2660" s="3" t="n">
        <x:v>1</x:v>
      </x:c>
      <x:c r="I2660" s="3" t="n">
        <x:v>25</x:v>
      </x:c>
      <x:c r="J2660" s="15" t="n">
        <x:f>IF(D2660=0,"n.a.",E2660/D2660)</x:f>
        <x:v>0.0056250562505625054</x:v>
      </x:c>
      <x:c r="K2660" s="15" t="n">
        <x:f>F2660/'Datos'!$F$7</x:f>
        <x:v>0.00002256474716445423</x:v>
      </x:c>
      <x:c r="L2660" s="3"/>
    </x:row>
    <x:row r="2661" ht="22" customHeight="1">
      <x:c r="A2661" s="3"/>
      <x:c r="B2661" s="3" t="str">
        <x:v>22031</x:v>
      </x:c>
      <x:c r="C2661" s="3" t="str">
        <x:v>BOTANICAL LAVENDER BIRTHDAY CARD</x:v>
      </x:c>
      <x:c r="D2661" s="13" t="n">
        <x:v>225.59</x:v>
      </x:c>
      <x:c r="E2661" s="13" t="n">
        <x:v>5.04</x:v>
      </x:c>
      <x:c r="F2661" s="13" t="n">
        <x:f>D2661-E2661</x:f>
        <x:v>220.55</x:v>
      </x:c>
      <x:c r="G2661" s="3" t="n">
        <x:v>504</x:v>
      </x:c>
      <x:c r="H2661" s="3" t="n">
        <x:v>12</x:v>
      </x:c>
      <x:c r="I2661" s="3" t="n">
        <x:v>80</x:v>
      </x:c>
      <x:c r="J2661" s="15" t="n">
        <x:f>IF(D2661=0,"n.a.",E2661/D2661)</x:f>
        <x:v>0.02234141584290084</x:v>
      </x:c>
      <x:c r="K2661" s="15" t="n">
        <x:f>F2661/'Datos'!$F$7</x:f>
        <x:v>0.000022521858112505685</x:v>
      </x:c>
      <x:c r="L2661" s="3"/>
    </x:row>
    <x:row r="2662" ht="22" customHeight="1">
      <x:c r="A2662" s="3"/>
      <x:c r="B2662" s="3" t="str">
        <x:v>22395</x:v>
      </x:c>
      <x:c r="C2662" s="3" t="str">
        <x:v>PAPERWEIGHT VINTAGE PAISLEY</x:v>
      </x:c>
      <x:c r="D2662" s="13" t="n">
        <x:v>220.04</x:v>
      </x:c>
      <x:c r="E2662" s="13" t="n">
        <x:v>0</x:v>
      </x:c>
      <x:c r="F2662" s="13" t="n">
        <x:f>D2662-E2662</x:f>
        <x:v>220.04</x:v>
      </x:c>
      <x:c r="G2662" s="3" t="n">
        <x:v>152</x:v>
      </x:c>
      <x:c r="H2662" s="3" t="n">
        <x:v>0</x:v>
      </x:c>
      <x:c r="I2662" s="3" t="n">
        <x:v>33</x:v>
      </x:c>
      <x:c r="J2662" s="15" t="n">
        <x:f>IF(D2662=0,"n.a.",E2662/D2662)</x:f>
        <x:v>0</x:v>
      </x:c>
      <x:c r="K2662" s="15" t="n">
        <x:f>F2662/'Datos'!$F$7</x:f>
        <x:v>0.0000224697785494253</x:v>
      </x:c>
      <x:c r="L2662" s="3"/>
    </x:row>
    <x:row r="2663" ht="22" customHeight="1">
      <x:c r="A2663" s="3"/>
      <x:c r="B2663" s="3" t="str">
        <x:v>85019C</x:v>
      </x:c>
      <x:c r="C2663" s="3" t="str">
        <x:v>CURIOUS IMAGES NOTEBOOK SET</x:v>
      </x:c>
      <x:c r="D2663" s="13" t="n">
        <x:v>270.72</x:v>
      </x:c>
      <x:c r="E2663" s="13" t="n">
        <x:v>51</x:v>
      </x:c>
      <x:c r="F2663" s="13" t="n">
        <x:f>D2663-E2663</x:f>
        <x:v>219.72000000000003</x:v>
      </x:c>
      <x:c r="G2663" s="3" t="n">
        <x:v>182</x:v>
      </x:c>
      <x:c r="H2663" s="3" t="n">
        <x:v>12</x:v>
      </x:c>
      <x:c r="I2663" s="3" t="n">
        <x:v>11</x:v>
      </x:c>
      <x:c r="J2663" s="15" t="n">
        <x:f>IF(D2663=0,"n.a.",E2663/D2663)</x:f>
        <x:v>0.18838652482269502</x:v>
      </x:c>
      <x:c r="K2663" s="15" t="n">
        <x:f>F2663/'Datos'!$F$7</x:f>
        <x:v>0.000022437101176512124</x:v>
      </x:c>
      <x:c r="L2663" s="3"/>
    </x:row>
    <x:row r="2664" ht="22" customHeight="1">
      <x:c r="A2664" s="3"/>
      <x:c r="B2664" s="3" t="str">
        <x:v>35914</x:v>
      </x:c>
      <x:c r="C2664" s="3" t="str">
        <x:v>PINK CHICK EGG WARMER + EGG CUP</x:v>
      </x:c>
      <x:c r="D2664" s="13" t="n">
        <x:v>219.66</x:v>
      </x:c>
      <x:c r="E2664" s="13" t="n">
        <x:v>0</x:v>
      </x:c>
      <x:c r="F2664" s="13" t="n">
        <x:f>D2664-E2664</x:f>
        <x:v>219.66</x:v>
      </x:c>
      <x:c r="G2664" s="3" t="n">
        <x:v>196</x:v>
      </x:c>
      <x:c r="H2664" s="3" t="n">
        <x:v>0</x:v>
      </x:c>
      <x:c r="I2664" s="3" t="n">
        <x:v>40</x:v>
      </x:c>
      <x:c r="J2664" s="15" t="n">
        <x:f>IF(D2664=0,"n.a.",E2664/D2664)</x:f>
        <x:v>0</x:v>
      </x:c>
      <x:c r="K2664" s="15" t="n">
        <x:f>F2664/'Datos'!$F$7</x:f>
        <x:v>0.000022430974169090902</x:v>
      </x:c>
      <x:c r="L2664" s="3"/>
    </x:row>
    <x:row r="2665" ht="22" customHeight="1">
      <x:c r="A2665" s="3"/>
      <x:c r="B2665" s="3" t="str">
        <x:v>20868</x:v>
      </x:c>
      <x:c r="C2665" s="3" t="str">
        <x:v>SILVER FABRIC MIRROR</x:v>
      </x:c>
      <x:c r="D2665" s="13" t="n">
        <x:v>219.35</x:v>
      </x:c>
      <x:c r="E2665" s="13" t="n">
        <x:v>0</x:v>
      </x:c>
      <x:c r="F2665" s="13" t="n">
        <x:f>D2665-E2665</x:f>
        <x:v>219.35</x:v>
      </x:c>
      <x:c r="G2665" s="3" t="n">
        <x:v>458</x:v>
      </x:c>
      <x:c r="H2665" s="3" t="n">
        <x:v>0</x:v>
      </x:c>
      <x:c r="I2665" s="3" t="n">
        <x:v>46</x:v>
      </x:c>
      <x:c r="J2665" s="15" t="n">
        <x:f>IF(D2665=0,"n.a.",E2665/D2665)</x:f>
        <x:v>0</x:v>
      </x:c>
      <x:c r="K2665" s="15" t="n">
        <x:f>F2665/'Datos'!$F$7</x:f>
        <x:v>0.000022399317964081256</x:v>
      </x:c>
      <x:c r="L2665" s="3"/>
    </x:row>
    <x:row r="2666" ht="22" customHeight="1">
      <x:c r="A2666" s="3"/>
      <x:c r="B2666" s="3" t="str">
        <x:v>90058B</x:v>
      </x:c>
      <x:c r="C2666" s="3" t="str">
        <x:v>CRYSTAL STUD EARRINGS ASSORTED COL</x:v>
      </x:c>
      <x:c r="D2666" s="13" t="n">
        <x:v>232.56</x:v>
      </x:c>
      <x:c r="E2666" s="13" t="n">
        <x:v>13.68</x:v>
      </x:c>
      <x:c r="F2666" s="13" t="n">
        <x:f>D2666-E2666</x:f>
        <x:v>218.88</x:v>
      </x:c>
      <x:c r="G2666" s="3" t="n">
        <x:v>612</x:v>
      </x:c>
      <x:c r="H2666" s="3" t="n">
        <x:v>36</x:v>
      </x:c>
      <x:c r="I2666" s="3" t="n">
        <x:v>15</x:v>
      </x:c>
      <x:c r="J2666" s="15" t="n">
        <x:f>IF(D2666=0,"n.a.",E2666/D2666)</x:f>
        <x:v>0.058823529411764705</x:v>
      </x:c>
      <x:c r="K2666" s="15" t="n">
        <x:f>F2666/'Datos'!$F$7</x:f>
        <x:v>0.000022351323072615023</x:v>
      </x:c>
      <x:c r="L2666" s="3"/>
    </x:row>
    <x:row r="2667" ht="22" customHeight="1">
      <x:c r="A2667" s="3"/>
      <x:c r="B2667" s="3" t="str">
        <x:v>75178</x:v>
      </x:c>
      <x:c r="C2667" s="3" t="str">
        <x:v>ASSTD COL BUTTERFLY/CRYSTAL W/CHIME</x:v>
      </x:c>
      <x:c r="D2667" s="13" t="n">
        <x:v>218.87</x:v>
      </x:c>
      <x:c r="E2667" s="13" t="n">
        <x:v>0</x:v>
      </x:c>
      <x:c r="F2667" s="13" t="n">
        <x:f>D2667-E2667</x:f>
        <x:v>218.87</x:v>
      </x:c>
      <x:c r="G2667" s="3" t="n">
        <x:v>459</x:v>
      </x:c>
      <x:c r="H2667" s="3" t="n">
        <x:v>0</x:v>
      </x:c>
      <x:c r="I2667" s="3" t="n">
        <x:v>13</x:v>
      </x:c>
      <x:c r="J2667" s="15" t="n">
        <x:f>IF(D2667=0,"n.a.",E2667/D2667)</x:f>
        <x:v>0</x:v>
      </x:c>
      <x:c r="K2667" s="15" t="n">
        <x:f>F2667/'Datos'!$F$7</x:f>
        <x:v>0.000022350301904711488</x:v>
      </x:c>
      <x:c r="L2667" s="3"/>
    </x:row>
    <x:row r="2668" ht="22" customHeight="1">
      <x:c r="A2668" s="3"/>
      <x:c r="B2668" s="3" t="str">
        <x:v>21378</x:v>
      </x:c>
      <x:c r="C2668" s="3" t="str">
        <x:v>SMALL TALL CAMPHOR WOOD TOADSTOOL</x:v>
      </x:c>
      <x:c r="D2668" s="13" t="n">
        <x:v>217.89</x:v>
      </x:c>
      <x:c r="E2668" s="13" t="n">
        <x:v>0</x:v>
      </x:c>
      <x:c r="F2668" s="13" t="n">
        <x:f>D2668-E2668</x:f>
        <x:v>217.89</x:v>
      </x:c>
      <x:c r="G2668" s="3" t="n">
        <x:v>142</x:v>
      </x:c>
      <x:c r="H2668" s="3" t="n">
        <x:v>0</x:v>
      </x:c>
      <x:c r="I2668" s="3" t="n">
        <x:v>34</x:v>
      </x:c>
      <x:c r="J2668" s="15" t="n">
        <x:f>IF(D2668=0,"n.a.",E2668/D2668)</x:f>
        <x:v>0</x:v>
      </x:c>
      <x:c r="K2668" s="15" t="n">
        <x:f>F2668/'Datos'!$F$7</x:f>
        <x:v>0.000022250227450164875</x:v>
      </x:c>
      <x:c r="L2668" s="3"/>
    </x:row>
    <x:row r="2669" ht="22" customHeight="1">
      <x:c r="A2669" s="3"/>
      <x:c r="B2669" s="3" t="str">
        <x:v>90014A</x:v>
      </x:c>
      <x:c r="C2669" s="3" t="str">
        <x:v>SILVER/MOP ORBIT NECKLACE</x:v>
      </x:c>
      <x:c r="D2669" s="13" t="n">
        <x:v>217.59</x:v>
      </x:c>
      <x:c r="E2669" s="13" t="n">
        <x:v>0</x:v>
      </x:c>
      <x:c r="F2669" s="13" t="n">
        <x:f>D2669-E2669</x:f>
        <x:v>217.59</x:v>
      </x:c>
      <x:c r="G2669" s="3" t="n">
        <x:v>27</x:v>
      </x:c>
      <x:c r="H2669" s="3" t="n">
        <x:v>0</x:v>
      </x:c>
      <x:c r="I2669" s="3" t="n">
        <x:v>21</x:v>
      </x:c>
      <x:c r="J2669" s="15" t="n">
        <x:f>IF(D2669=0,"n.a.",E2669/D2669)</x:f>
        <x:v>0</x:v>
      </x:c>
      <x:c r="K2669" s="15" t="n">
        <x:f>F2669/'Datos'!$F$7</x:f>
        <x:v>0.00002221959241305877</x:v>
      </x:c>
      <x:c r="L2669" s="3"/>
    </x:row>
    <x:row r="2670" ht="22" customHeight="1">
      <x:c r="A2670" s="3"/>
      <x:c r="B2670" s="3" t="str">
        <x:v>20847</x:v>
      </x:c>
      <x:c r="C2670" s="3" t="str">
        <x:v>ZINC HEART LATTICE CHARGER LARGE</x:v>
      </x:c>
      <x:c r="D2670" s="13" t="n">
        <x:v>217.58</x:v>
      </x:c>
      <x:c r="E2670" s="13" t="n">
        <x:v>0</x:v>
      </x:c>
      <x:c r="F2670" s="13" t="n">
        <x:f>D2670-E2670</x:f>
        <x:v>217.58</x:v>
      </x:c>
      <x:c r="G2670" s="3" t="n">
        <x:v>52</x:v>
      </x:c>
      <x:c r="H2670" s="3" t="n">
        <x:v>0</x:v>
      </x:c>
      <x:c r="I2670" s="3" t="n">
        <x:v>18</x:v>
      </x:c>
      <x:c r="J2670" s="15" t="n">
        <x:f>IF(D2670=0,"n.a.",E2670/D2670)</x:f>
        <x:v>0</x:v>
      </x:c>
      <x:c r="K2670" s="15" t="n">
        <x:f>F2670/'Datos'!$F$7</x:f>
        <x:v>0.000022218571245155233</x:v>
      </x:c>
      <x:c r="L2670" s="3"/>
    </x:row>
    <x:row r="2671" ht="22" customHeight="1">
      <x:c r="A2671" s="3"/>
      <x:c r="B2671" s="3" t="str">
        <x:v>20769</x:v>
      </x:c>
      <x:c r="C2671" s="3" t="str">
        <x:v>DAISY JOURNAL</x:v>
      </x:c>
      <x:c r="D2671" s="13" t="n">
        <x:v>217.56</x:v>
      </x:c>
      <x:c r="E2671" s="13" t="n">
        <x:v>0</x:v>
      </x:c>
      <x:c r="F2671" s="13" t="n">
        <x:f>D2671-E2671</x:f>
        <x:v>217.56</x:v>
      </x:c>
      <x:c r="G2671" s="3" t="n">
        <x:v>80</x:v>
      </x:c>
      <x:c r="H2671" s="3" t="n">
        <x:v>0</x:v>
      </x:c>
      <x:c r="I2671" s="3" t="n">
        <x:v>34</x:v>
      </x:c>
      <x:c r="J2671" s="15" t="n">
        <x:f>IF(D2671=0,"n.a.",E2671/D2671)</x:f>
        <x:v>0</x:v>
      </x:c>
      <x:c r="K2671" s="15" t="n">
        <x:f>F2671/'Datos'!$F$7</x:f>
        <x:v>0.000022216528909348158</x:v>
      </x:c>
      <x:c r="L2671" s="3"/>
    </x:row>
    <x:row r="2672" ht="22" customHeight="1">
      <x:c r="A2672" s="3"/>
      <x:c r="B2672" s="3" t="str">
        <x:v>21132</x:v>
      </x:c>
      <x:c r="C2672" s="3" t="str">
        <x:v>SILVER STANDING GNOME</x:v>
      </x:c>
      <x:c r="D2672" s="13" t="n">
        <x:v>217.36</x:v>
      </x:c>
      <x:c r="E2672" s="13" t="n">
        <x:v>0</x:v>
      </x:c>
      <x:c r="F2672" s="13" t="n">
        <x:f>D2672-E2672</x:f>
        <x:v>217.36</x:v>
      </x:c>
      <x:c r="G2672" s="3" t="n">
        <x:v>44</x:v>
      </x:c>
      <x:c r="H2672" s="3" t="n">
        <x:v>0</x:v>
      </x:c>
      <x:c r="I2672" s="3" t="n">
        <x:v>22</x:v>
      </x:c>
      <x:c r="J2672" s="15" t="n">
        <x:f>IF(D2672=0,"n.a.",E2672/D2672)</x:f>
        <x:v>0</x:v>
      </x:c>
      <x:c r="K2672" s="15" t="n">
        <x:f>F2672/'Datos'!$F$7</x:f>
        <x:v>0.000022196105551277424</x:v>
      </x:c>
      <x:c r="L2672" s="3"/>
    </x:row>
    <x:row r="2673" ht="22" customHeight="1">
      <x:c r="A2673" s="3"/>
      <x:c r="B2673" s="3" t="str">
        <x:v>90160A</x:v>
      </x:c>
      <x:c r="C2673" s="3" t="str">
        <x:v>PURPLE BOUDICCA LARGE BRACELET</x:v>
      </x:c>
      <x:c r="D2673" s="13" t="n">
        <x:v>264.94</x:v>
      </x:c>
      <x:c r="E2673" s="13" t="n">
        <x:v>48.65</x:v>
      </x:c>
      <x:c r="F2673" s="13" t="n">
        <x:f>D2673-E2673</x:f>
        <x:v>216.29</x:v>
      </x:c>
      <x:c r="G2673" s="3" t="n">
        <x:v>38</x:v>
      </x:c>
      <x:c r="H2673" s="3" t="n">
        <x:v>7</x:v>
      </x:c>
      <x:c r="I2673" s="3" t="n">
        <x:v>15</x:v>
      </x:c>
      <x:c r="J2673" s="15" t="n">
        <x:f>IF(D2673=0,"n.a.",E2673/D2673)</x:f>
        <x:v>0.18362648146750207</x:v>
      </x:c>
      <x:c r="K2673" s="15" t="n">
        <x:f>F2673/'Datos'!$F$7</x:f>
        <x:v>0.000022086840585598975</x:v>
      </x:c>
      <x:c r="L2673" s="3"/>
    </x:row>
    <x:row r="2674" ht="22" customHeight="1">
      <x:c r="A2674" s="3"/>
      <x:c r="B2674" s="3" t="str">
        <x:v>21364</x:v>
      </x:c>
      <x:c r="C2674" s="3" t="str">
        <x:v>PEACE SMALL WOOD LETTERS</x:v>
      </x:c>
      <x:c r="D2674" s="13" t="n">
        <x:v>222.96</x:v>
      </x:c>
      <x:c r="E2674" s="13" t="n">
        <x:v>6.75</x:v>
      </x:c>
      <x:c r="F2674" s="13" t="n">
        <x:f>D2674-E2674</x:f>
        <x:v>216.21</x:v>
      </x:c>
      <x:c r="G2674" s="3" t="n">
        <x:v>30</x:v>
      </x:c>
      <x:c r="H2674" s="3" t="n">
        <x:v>1</x:v>
      </x:c>
      <x:c r="I2674" s="3" t="n">
        <x:v>24</x:v>
      </x:c>
      <x:c r="J2674" s="15" t="n">
        <x:f>IF(D2674=0,"n.a.",E2674/D2674)</x:f>
        <x:v>0.030274488697524218</x:v>
      </x:c>
      <x:c r="K2674" s="15" t="n">
        <x:f>F2674/'Datos'!$F$7</x:f>
        <x:v>0.00002207867124237068</x:v>
      </x:c>
      <x:c r="L2674" s="3"/>
    </x:row>
    <x:row r="2675" ht="22" customHeight="1">
      <x:c r="A2675" s="3"/>
      <x:c r="B2675" s="3" t="str">
        <x:v>20781</x:v>
      </x:c>
      <x:c r="C2675" s="3" t="str">
        <x:v>GOLD EAR MUFF HEADPHONES</x:v>
      </x:c>
      <x:c r="D2675" s="13" t="n">
        <x:v>221.65</x:v>
      </x:c>
      <x:c r="E2675" s="13" t="n">
        <x:v>5.49</x:v>
      </x:c>
      <x:c r="F2675" s="13" t="n">
        <x:f>D2675-E2675</x:f>
        <x:v>216.16</x:v>
      </x:c>
      <x:c r="G2675" s="3" t="n">
        <x:v>38</x:v>
      </x:c>
      <x:c r="H2675" s="3" t="n">
        <x:v>1</x:v>
      </x:c>
      <x:c r="I2675" s="3" t="n">
        <x:v>25</x:v>
      </x:c>
      <x:c r="J2675" s="15" t="n">
        <x:f>IF(D2675=0,"n.a.",E2675/D2675)</x:f>
        <x:v>0.024768779607489286</x:v>
      </x:c>
      <x:c r="K2675" s="15" t="n">
        <x:f>F2675/'Datos'!$F$7</x:f>
        <x:v>0.000022073565402852996</x:v>
      </x:c>
      <x:c r="L2675" s="3"/>
    </x:row>
    <x:row r="2676" ht="22" customHeight="1">
      <x:c r="A2676" s="3"/>
      <x:c r="B2676" s="3" t="str">
        <x:v>84051</x:v>
      </x:c>
      <x:c r="C2676" s="3" t="str">
        <x:v>ASS COLOUR GLOWING TIARAS</x:v>
      </x:c>
      <x:c r="D2676" s="13" t="n">
        <x:v>216.06</x:v>
      </x:c>
      <x:c r="E2676" s="13" t="n">
        <x:v>0</x:v>
      </x:c>
      <x:c r="F2676" s="13" t="n">
        <x:f>D2676-E2676</x:f>
        <x:v>216.06</x:v>
      </x:c>
      <x:c r="G2676" s="3" t="n">
        <x:v>282</x:v>
      </x:c>
      <x:c r="H2676" s="3" t="n">
        <x:v>0</x:v>
      </x:c>
      <x:c r="I2676" s="3" t="n">
        <x:v>25</x:v>
      </x:c>
      <x:c r="J2676" s="15" t="n">
        <x:f>IF(D2676=0,"n.a.",E2676/D2676)</x:f>
        <x:v>0</x:v>
      </x:c>
      <x:c r="K2676" s="15" t="n">
        <x:f>F2676/'Datos'!$F$7</x:f>
        <x:v>0.000022063353723817627</x:v>
      </x:c>
      <x:c r="L2676" s="3"/>
    </x:row>
    <x:row r="2677" ht="22" customHeight="1">
      <x:c r="A2677" s="3"/>
      <x:c r="B2677" s="3" t="str">
        <x:v>21377</x:v>
      </x:c>
      <x:c r="C2677" s="3" t="str">
        <x:v>SMALL CAMPHOR WOOD FIELD MUSHROOM</x:v>
      </x:c>
      <x:c r="D2677" s="13" t="n">
        <x:v>215.68</x:v>
      </x:c>
      <x:c r="E2677" s="13" t="n">
        <x:v>0</x:v>
      </x:c>
      <x:c r="F2677" s="13" t="n">
        <x:f>D2677-E2677</x:f>
        <x:v>215.68</x:v>
      </x:c>
      <x:c r="G2677" s="3" t="n">
        <x:v>121</x:v>
      </x:c>
      <x:c r="H2677" s="3" t="n">
        <x:v>0</x:v>
      </x:c>
      <x:c r="I2677" s="3" t="n">
        <x:v>41</x:v>
      </x:c>
      <x:c r="J2677" s="15" t="n">
        <x:f>IF(D2677=0,"n.a.",E2677/D2677)</x:f>
        <x:v>0</x:v>
      </x:c>
      <x:c r="K2677" s="15" t="n">
        <x:f>F2677/'Datos'!$F$7</x:f>
        <x:v>0.000022024549343483227</x:v>
      </x:c>
      <x:c r="L2677" s="3"/>
    </x:row>
    <x:row r="2678" ht="22" customHeight="1">
      <x:c r="A2678" s="3"/>
      <x:c r="B2678" s="3" t="str">
        <x:v>22394</x:v>
      </x:c>
      <x:c r="C2678" s="3" t="str">
        <x:v>PAPERWEIGHT KINGS CHOICE</x:v>
      </x:c>
      <x:c r="D2678" s="13" t="n">
        <x:v>230.68</x:v>
      </x:c>
      <x:c r="E2678" s="13" t="n">
        <x:v>15.3</x:v>
      </x:c>
      <x:c r="F2678" s="13" t="n">
        <x:f>D2678-E2678</x:f>
        <x:v>215.38</x:v>
      </x:c>
      <x:c r="G2678" s="3" t="n">
        <x:v>168</x:v>
      </x:c>
      <x:c r="H2678" s="3" t="n">
        <x:v>6</x:v>
      </x:c>
      <x:c r="I2678" s="3" t="n">
        <x:v>23</x:v>
      </x:c>
      <x:c r="J2678" s="15" t="n">
        <x:f>IF(D2678=0,"n.a.",E2678/D2678)</x:f>
        <x:v>0.06632564591642101</x:v>
      </x:c>
      <x:c r="K2678" s="15" t="n">
        <x:f>F2678/'Datos'!$F$7</x:f>
        <x:v>0.00002199391430637712</x:v>
      </x:c>
      <x:c r="L2678" s="3"/>
    </x:row>
    <x:row r="2679" ht="22" customHeight="1">
      <x:c r="A2679" s="3"/>
      <x:c r="B2679" s="3" t="str">
        <x:v>90120C</x:v>
      </x:c>
      <x:c r="C2679" s="3" t="str">
        <x:v>GREEN MURANO TWIST BRACELET</x:v>
      </x:c>
      <x:c r="D2679" s="13" t="n">
        <x:v>215.2</x:v>
      </x:c>
      <x:c r="E2679" s="13" t="n">
        <x:v>0</x:v>
      </x:c>
      <x:c r="F2679" s="13" t="n">
        <x:f>D2679-E2679</x:f>
        <x:v>215.2</x:v>
      </x:c>
      <x:c r="G2679" s="3" t="n">
        <x:v>51</x:v>
      </x:c>
      <x:c r="H2679" s="3" t="n">
        <x:v>0</x:v>
      </x:c>
      <x:c r="I2679" s="3" t="n">
        <x:v>22</x:v>
      </x:c>
      <x:c r="J2679" s="15" t="n">
        <x:f>IF(D2679=0,"n.a.",E2679/D2679)</x:f>
        <x:v>0</x:v>
      </x:c>
      <x:c r="K2679" s="15" t="n">
        <x:f>F2679/'Datos'!$F$7</x:f>
        <x:v>0.000021975533284113455</x:v>
      </x:c>
      <x:c r="L2679" s="3"/>
    </x:row>
    <x:row r="2680" ht="22" customHeight="1">
      <x:c r="A2680" s="3"/>
      <x:c r="B2680" s="3" t="str">
        <x:v>21316</x:v>
      </x:c>
      <x:c r="C2680" s="3" t="str">
        <x:v>SMALL CHUNKY GLASS ROMAN BOWL</x:v>
      </x:c>
      <x:c r="D2680" s="13" t="n">
        <x:v>217.68</x:v>
      </x:c>
      <x:c r="E2680" s="13" t="n">
        <x:v>2.95</x:v>
      </x:c>
      <x:c r="F2680" s="13" t="n">
        <x:f>D2680-E2680</x:f>
        <x:v>214.73000000000002</x:v>
      </x:c>
      <x:c r="G2680" s="3" t="n">
        <x:v>160</x:v>
      </x:c>
      <x:c r="H2680" s="3" t="n">
        <x:v>1</x:v>
      </x:c>
      <x:c r="I2680" s="3" t="n">
        <x:v>15</x:v>
      </x:c>
      <x:c r="J2680" s="15" t="n">
        <x:f>IF(D2680=0,"n.a.",E2680/D2680)</x:f>
        <x:v>0.013552002940095554</x:v>
      </x:c>
      <x:c r="K2680" s="15" t="n">
        <x:f>F2680/'Datos'!$F$7</x:f>
        <x:v>0.000021927538392647226</x:v>
      </x:c>
      <x:c r="L2680" s="3"/>
    </x:row>
    <x:row r="2681" ht="22" customHeight="1">
      <x:c r="A2681" s="3"/>
      <x:c r="B2681" s="3" t="str">
        <x:v>21520</x:v>
      </x:c>
      <x:c r="C2681" s="3" t="str">
        <x:v>BOOZE &amp; WOMEN GREETING CARD</x:v>
      </x:c>
      <x:c r="D2681" s="13" t="n">
        <x:v>214.19</x:v>
      </x:c>
      <x:c r="E2681" s="13" t="n">
        <x:v>0.84</x:v>
      </x:c>
      <x:c r="F2681" s="13" t="n">
        <x:f>D2681-E2681</x:f>
        <x:v>213.35</x:v>
      </x:c>
      <x:c r="G2681" s="3" t="n">
        <x:v>504</x:v>
      </x:c>
      <x:c r="H2681" s="3" t="n">
        <x:v>2</x:v>
      </x:c>
      <x:c r="I2681" s="3" t="n">
        <x:v>58</x:v>
      </x:c>
      <x:c r="J2681" s="15" t="n">
        <x:f>IF(D2681=0,"n.a.",E2681/D2681)</x:f>
        <x:v>0.003921751715766375</x:v>
      </x:c>
      <x:c r="K2681" s="15" t="n">
        <x:f>F2681/'Datos'!$F$7</x:f>
        <x:v>0.000021786617221959135</x:v>
      </x:c>
      <x:c r="L2681" s="3"/>
    </x:row>
    <x:row r="2682" ht="22" customHeight="1">
      <x:c r="A2682" s="3"/>
      <x:c r="B2682" s="3" t="str">
        <x:v>22882</x:v>
      </x:c>
      <x:c r="C2682" s="3" t="str">
        <x:v>NUMBER TILE VINTAGE FONT 3</x:v>
      </x:c>
      <x:c r="D2682" s="13" t="n">
        <x:v>213.7</x:v>
      </x:c>
      <x:c r="E2682" s="13" t="n">
        <x:v>1.95</x:v>
      </x:c>
      <x:c r="F2682" s="13" t="n">
        <x:f>D2682-E2682</x:f>
        <x:v>211.75</x:v>
      </x:c>
      <x:c r="G2682" s="3" t="n">
        <x:v>108</x:v>
      </x:c>
      <x:c r="H2682" s="3" t="n">
        <x:v>1</x:v>
      </x:c>
      <x:c r="I2682" s="3" t="n">
        <x:v>42</x:v>
      </x:c>
      <x:c r="J2682" s="15" t="n">
        <x:f>IF(D2682=0,"n.a.",E2682/D2682)</x:f>
        <x:v>0.009124941506785214</x:v>
      </x:c>
      <x:c r="K2682" s="15" t="n">
        <x:f>F2682/'Datos'!$F$7</x:f>
        <x:v>0.000021623230357393235</x:v>
      </x:c>
      <x:c r="L2682" s="3"/>
    </x:row>
    <x:row r="2683" ht="22" customHeight="1">
      <x:c r="A2683" s="3"/>
      <x:c r="B2683" s="3" t="str">
        <x:v>90200C</x:v>
      </x:c>
      <x:c r="C2683" s="3" t="str">
        <x:v>BLUE SWEETHEART BRACELET</x:v>
      </x:c>
      <x:c r="D2683" s="13" t="n">
        <x:v>211.43</x:v>
      </x:c>
      <x:c r="E2683" s="13" t="n">
        <x:v>0</x:v>
      </x:c>
      <x:c r="F2683" s="13" t="n">
        <x:f>D2683-E2683</x:f>
        <x:v>211.43</x:v>
      </x:c>
      <x:c r="G2683" s="3" t="n">
        <x:v>50</x:v>
      </x:c>
      <x:c r="H2683" s="3" t="n">
        <x:v>0</x:v>
      </x:c>
      <x:c r="I2683" s="3" t="n">
        <x:v>26</x:v>
      </x:c>
      <x:c r="J2683" s="15" t="n">
        <x:f>IF(D2683=0,"n.a.",E2683/D2683)</x:f>
        <x:v>0</x:v>
      </x:c>
      <x:c r="K2683" s="15" t="n">
        <x:f>F2683/'Datos'!$F$7</x:f>
        <x:v>0.000021590552984480057</x:v>
      </x:c>
      <x:c r="L2683" s="3"/>
    </x:row>
    <x:row r="2684" ht="22" customHeight="1">
      <x:c r="A2684" s="3"/>
      <x:c r="B2684" s="3" t="str">
        <x:v>72127</x:v>
      </x:c>
      <x:c r="C2684" s="3" t="str">
        <x:v>COLUMBIAN CANDLE ROUND</x:v>
      </x:c>
      <x:c r="D2684" s="13" t="n">
        <x:v>210.61</x:v>
      </x:c>
      <x:c r="E2684" s="13" t="n">
        <x:v>0</x:v>
      </x:c>
      <x:c r="F2684" s="13" t="n">
        <x:f>D2684-E2684</x:f>
        <x:v>210.61</x:v>
      </x:c>
      <x:c r="G2684" s="3" t="n">
        <x:v>169</x:v>
      </x:c>
      <x:c r="H2684" s="3" t="n">
        <x:v>0</x:v>
      </x:c>
      <x:c r="I2684" s="3" t="n">
        <x:v>30</x:v>
      </x:c>
      <x:c r="J2684" s="15" t="n">
        <x:f>IF(D2684=0,"n.a.",E2684/D2684)</x:f>
        <x:v>0</x:v>
      </x:c>
      <x:c r="K2684" s="15" t="n">
        <x:f>F2684/'Datos'!$F$7</x:f>
        <x:v>0.000021506817216390035</x:v>
      </x:c>
      <x:c r="L2684" s="3"/>
    </x:row>
    <x:row r="2685" ht="22" customHeight="1">
      <x:c r="A2685" s="3"/>
      <x:c r="B2685" s="3" t="str">
        <x:v>84877B</x:v>
      </x:c>
      <x:c r="C2685" s="3" t="str">
        <x:v>GREEN ROUND COMPACT MIRROR</x:v>
      </x:c>
      <x:c r="D2685" s="13" t="n">
        <x:v>210.56</x:v>
      </x:c>
      <x:c r="E2685" s="13" t="n">
        <x:v>0</x:v>
      </x:c>
      <x:c r="F2685" s="13" t="n">
        <x:f>D2685-E2685</x:f>
        <x:v>210.56</x:v>
      </x:c>
      <x:c r="G2685" s="3" t="n">
        <x:v>144</x:v>
      </x:c>
      <x:c r="H2685" s="3" t="n">
        <x:v>0</x:v>
      </x:c>
      <x:c r="I2685" s="3" t="n">
        <x:v>21</x:v>
      </x:c>
      <x:c r="J2685" s="15" t="n">
        <x:f>IF(D2685=0,"n.a.",E2685/D2685)</x:f>
        <x:v>0</x:v>
      </x:c>
      <x:c r="K2685" s="15" t="n">
        <x:f>F2685/'Datos'!$F$7</x:f>
        <x:v>0.00002150171137687235</x:v>
      </x:c>
      <x:c r="L2685" s="3"/>
    </x:row>
    <x:row r="2686" ht="22" customHeight="1">
      <x:c r="A2686" s="3"/>
      <x:c r="B2686" s="3" t="str">
        <x:v>84707B</x:v>
      </x:c>
      <x:c r="C2686" s="3" t="str">
        <x:v>PINK JEWELLED MIRROR TRINKET TRAY</x:v>
      </x:c>
      <x:c r="D2686" s="13" t="n">
        <x:v>210.55</x:v>
      </x:c>
      <x:c r="E2686" s="13" t="n">
        <x:v>0</x:v>
      </x:c>
      <x:c r="F2686" s="13" t="n">
        <x:f>D2686-E2686</x:f>
        <x:v>210.55</x:v>
      </x:c>
      <x:c r="G2686" s="3" t="n">
        <x:v>34</x:v>
      </x:c>
      <x:c r="H2686" s="3" t="n">
        <x:v>0</x:v>
      </x:c>
      <x:c r="I2686" s="3" t="n">
        <x:v>18</x:v>
      </x:c>
      <x:c r="J2686" s="15" t="n">
        <x:f>IF(D2686=0,"n.a.",E2686/D2686)</x:f>
        <x:v>0</x:v>
      </x:c>
      <x:c r="K2686" s="15" t="n">
        <x:f>F2686/'Datos'!$F$7</x:f>
        <x:v>0.000021500690208968813</x:v>
      </x:c>
      <x:c r="L2686" s="3"/>
    </x:row>
    <x:row r="2687" ht="22" customHeight="1">
      <x:c r="A2687" s="3"/>
      <x:c r="B2687" s="3" t="str">
        <x:v>84926A</x:v>
      </x:c>
      <x:c r="C2687" s="3" t="str">
        <x:v>WAKE UP COCKEREL TILE COASTER</x:v>
      </x:c>
      <x:c r="D2687" s="13" t="n">
        <x:v>210.52</x:v>
      </x:c>
      <x:c r="E2687" s="13" t="n">
        <x:v>0</x:v>
      </x:c>
      <x:c r="F2687" s="13" t="n">
        <x:f>D2687-E2687</x:f>
        <x:v>210.52</x:v>
      </x:c>
      <x:c r="G2687" s="3" t="n">
        <x:v>604</x:v>
      </x:c>
      <x:c r="H2687" s="3" t="n">
        <x:v>0</x:v>
      </x:c>
      <x:c r="I2687" s="3" t="n">
        <x:v>35</x:v>
      </x:c>
      <x:c r="J2687" s="15" t="n">
        <x:f>IF(D2687=0,"n.a.",E2687/D2687)</x:f>
        <x:v>0</x:v>
      </x:c>
      <x:c r="K2687" s="15" t="n">
        <x:f>F2687/'Datos'!$F$7</x:f>
        <x:v>0.000021497626705258202</x:v>
      </x:c>
      <x:c r="L2687" s="3"/>
    </x:row>
    <x:row r="2688" ht="22" customHeight="1">
      <x:c r="A2688" s="3"/>
      <x:c r="B2688" s="3" t="str">
        <x:v>90175D</x:v>
      </x:c>
      <x:c r="C2688" s="3" t="str">
        <x:v>TIGRIS EYE CHUNKY CHARM BRACELET</x:v>
      </x:c>
      <x:c r="D2688" s="13" t="n">
        <x:v>210.04</x:v>
      </x:c>
      <x:c r="E2688" s="13" t="n">
        <x:v>0</x:v>
      </x:c>
      <x:c r="F2688" s="13" t="n">
        <x:f>D2688-E2688</x:f>
        <x:v>210.04</x:v>
      </x:c>
      <x:c r="G2688" s="3" t="n">
        <x:v>23</x:v>
      </x:c>
      <x:c r="H2688" s="3" t="n">
        <x:v>0</x:v>
      </x:c>
      <x:c r="I2688" s="3" t="n">
        <x:v>20</x:v>
      </x:c>
      <x:c r="J2688" s="15" t="n">
        <x:f>IF(D2688=0,"n.a.",E2688/D2688)</x:f>
        <x:v>0</x:v>
      </x:c>
      <x:c r="K2688" s="15" t="n">
        <x:f>F2688/'Datos'!$F$7</x:f>
        <x:v>0.00002144861064588843</x:v>
      </x:c>
      <x:c r="L2688" s="3"/>
    </x:row>
    <x:row r="2689" ht="22" customHeight="1">
      <x:c r="A2689" s="3"/>
      <x:c r="B2689" s="3" t="str">
        <x:v>90160B</x:v>
      </x:c>
      <x:c r="C2689" s="3" t="str">
        <x:v>RED BOUDICCA LARGE BRACELET</x:v>
      </x:c>
      <x:c r="D2689" s="13" t="n">
        <x:v>209.73</x:v>
      </x:c>
      <x:c r="E2689" s="13" t="n">
        <x:v>0</x:v>
      </x:c>
      <x:c r="F2689" s="13" t="n">
        <x:f>D2689-E2689</x:f>
        <x:v>209.73</x:v>
      </x:c>
      <x:c r="G2689" s="3" t="n">
        <x:v>30</x:v>
      </x:c>
      <x:c r="H2689" s="3" t="n">
        <x:v>0</x:v>
      </x:c>
      <x:c r="I2689" s="3" t="n">
        <x:v>12</x:v>
      </x:c>
      <x:c r="J2689" s="15" t="n">
        <x:f>IF(D2689=0,"n.a.",E2689/D2689)</x:f>
        <x:v>0</x:v>
      </x:c>
      <x:c r="K2689" s="15" t="n">
        <x:f>F2689/'Datos'!$F$7</x:f>
        <x:v>0.000021416954440878788</x:v>
      </x:c>
      <x:c r="L2689" s="3"/>
    </x:row>
    <x:row r="2690" ht="22" customHeight="1">
      <x:c r="A2690" s="3"/>
      <x:c r="B2690" s="3" t="str">
        <x:v>21750</x:v>
      </x:c>
      <x:c r="C2690" s="3" t="str">
        <x:v>LARGE SKULL WINDMILL</x:v>
      </x:c>
      <x:c r="D2690" s="13" t="n">
        <x:v>209.61</x:v>
      </x:c>
      <x:c r="E2690" s="13" t="n">
        <x:v>0</x:v>
      </x:c>
      <x:c r="F2690" s="13" t="n">
        <x:f>D2690-E2690</x:f>
        <x:v>209.61</x:v>
      </x:c>
      <x:c r="G2690" s="3" t="n">
        <x:v>91</x:v>
      </x:c>
      <x:c r="H2690" s="3" t="n">
        <x:v>0</x:v>
      </x:c>
      <x:c r="I2690" s="3" t="n">
        <x:v>24</x:v>
      </x:c>
      <x:c r="J2690" s="15" t="n">
        <x:f>IF(D2690=0,"n.a.",E2690/D2690)</x:f>
        <x:v>0</x:v>
      </x:c>
      <x:c r="K2690" s="15" t="n">
        <x:f>F2690/'Datos'!$F$7</x:f>
        <x:v>0.000021404700426036348</x:v>
      </x:c>
      <x:c r="L2690" s="3"/>
    </x:row>
    <x:row r="2691" ht="22" customHeight="1">
      <x:c r="A2691" s="3"/>
      <x:c r="B2691" s="3" t="str">
        <x:v>21651</x:v>
      </x:c>
      <x:c r="C2691" s="3" t="str">
        <x:v>HANGING GLASS ETCHED TEALIGHT</x:v>
      </x:c>
      <x:c r="D2691" s="13" t="n">
        <x:v>208.47</x:v>
      </x:c>
      <x:c r="E2691" s="13" t="n">
        <x:v>0</x:v>
      </x:c>
      <x:c r="F2691" s="13" t="n">
        <x:f>D2691-E2691</x:f>
        <x:v>208.47</x:v>
      </x:c>
      <x:c r="G2691" s="3" t="n">
        <x:v>133</x:v>
      </x:c>
      <x:c r="H2691" s="3" t="n">
        <x:v>0</x:v>
      </x:c>
      <x:c r="I2691" s="3" t="n">
        <x:v>11</x:v>
      </x:c>
      <x:c r="J2691" s="15" t="n">
        <x:f>IF(D2691=0,"n.a.",E2691/D2691)</x:f>
        <x:v>0</x:v>
      </x:c>
      <x:c r="K2691" s="15" t="n">
        <x:f>F2691/'Datos'!$F$7</x:f>
        <x:v>0.00002128828728503314</x:v>
      </x:c>
      <x:c r="L2691" s="3"/>
    </x:row>
    <x:row r="2692" ht="22" customHeight="1">
      <x:c r="A2692" s="3"/>
      <x:c r="B2692" s="3" t="str">
        <x:v>90119</x:v>
      </x:c>
      <x:c r="C2692" s="3" t="str">
        <x:v>METALIC LEAVES BAG CHARMS</x:v>
      </x:c>
      <x:c r="D2692" s="13" t="n">
        <x:v>207.61</x:v>
      </x:c>
      <x:c r="E2692" s="13" t="n">
        <x:v>0</x:v>
      </x:c>
      <x:c r="F2692" s="13" t="n">
        <x:f>D2692-E2692</x:f>
        <x:v>207.61</x:v>
      </x:c>
      <x:c r="G2692" s="3" t="n">
        <x:v>84</x:v>
      </x:c>
      <x:c r="H2692" s="3" t="n">
        <x:v>0</x:v>
      </x:c>
      <x:c r="I2692" s="3" t="n">
        <x:v>36</x:v>
      </x:c>
      <x:c r="J2692" s="15" t="n">
        <x:f>IF(D2692=0,"n.a.",E2692/D2692)</x:f>
        <x:v>0</x:v>
      </x:c>
      <x:c r="K2692" s="15" t="n">
        <x:f>F2692/'Datos'!$F$7</x:f>
        <x:v>0.000021200466845328973</x:v>
      </x:c>
      <x:c r="L2692" s="3"/>
    </x:row>
    <x:row r="2693" ht="22" customHeight="1">
      <x:c r="A2693" s="3"/>
      <x:c r="B2693" s="3" t="str">
        <x:v>16048</x:v>
      </x:c>
      <x:c r="C2693" s="3" t="str">
        <x:v>TEATIME ROUND PENCIL SHARPENER</x:v>
      </x:c>
      <x:c r="D2693" s="13" t="n">
        <x:v>205.42</x:v>
      </x:c>
      <x:c r="E2693" s="13" t="n">
        <x:v>0</x:v>
      </x:c>
      <x:c r="F2693" s="13" t="n">
        <x:f>D2693-E2693</x:f>
        <x:v>205.42</x:v>
      </x:c>
      <x:c r="G2693" s="3" t="n">
        <x:v>1461</x:v>
      </x:c>
      <x:c r="H2693" s="3" t="n">
        <x:v>0</x:v>
      </x:c>
      <x:c r="I2693" s="3" t="n">
        <x:v>67</x:v>
      </x:c>
      <x:c r="J2693" s="15" t="n">
        <x:f>IF(D2693=0,"n.a.",E2693/D2693)</x:f>
        <x:v>0</x:v>
      </x:c>
      <x:c r="K2693" s="15" t="n">
        <x:f>F2693/'Datos'!$F$7</x:f>
        <x:v>0.000020976831074454396</x:v>
      </x:c>
      <x:c r="L2693" s="3"/>
    </x:row>
    <x:row r="2694" ht="22" customHeight="1">
      <x:c r="A2694" s="3"/>
      <x:c r="B2694" s="3" t="str">
        <x:v>20763</x:v>
      </x:c>
      <x:c r="C2694" s="3" t="str">
        <x:v>DAISY SKETCHBOOK</x:v>
      </x:c>
      <x:c r="D2694" s="13" t="n">
        <x:v>205.04</x:v>
      </x:c>
      <x:c r="E2694" s="13" t="n">
        <x:v>0</x:v>
      </x:c>
      <x:c r="F2694" s="13" t="n">
        <x:f>D2694-E2694</x:f>
        <x:v>205.04</x:v>
      </x:c>
      <x:c r="G2694" s="3" t="n">
        <x:v>73</x:v>
      </x:c>
      <x:c r="H2694" s="3" t="n">
        <x:v>0</x:v>
      </x:c>
      <x:c r="I2694" s="3" t="n">
        <x:v>27</x:v>
      </x:c>
      <x:c r="J2694" s="15" t="n">
        <x:f>IF(D2694=0,"n.a.",E2694/D2694)</x:f>
        <x:v>0</x:v>
      </x:c>
      <x:c r="K2694" s="15" t="n">
        <x:f>F2694/'Datos'!$F$7</x:f>
        <x:v>0.000020938026694119996</x:v>
      </x:c>
      <x:c r="L2694" s="3"/>
    </x:row>
    <x:row r="2695" ht="22" customHeight="1">
      <x:c r="A2695" s="3"/>
      <x:c r="B2695" s="3" t="str">
        <x:v>21726</x:v>
      </x:c>
      <x:c r="C2695" s="3" t="str">
        <x:v>MULTI HEARTS STICKERS</x:v>
      </x:c>
      <x:c r="D2695" s="13" t="n">
        <x:v>204.69</x:v>
      </x:c>
      <x:c r="E2695" s="13" t="n">
        <x:v>0</x:v>
      </x:c>
      <x:c r="F2695" s="13" t="n">
        <x:f>D2695-E2695</x:f>
        <x:v>204.69</x:v>
      </x:c>
      <x:c r="G2695" s="3" t="n">
        <x:v>237</x:v>
      </x:c>
      <x:c r="H2695" s="3" t="n">
        <x:v>0</x:v>
      </x:c>
      <x:c r="I2695" s="3" t="n">
        <x:v>42</x:v>
      </x:c>
      <x:c r="J2695" s="15" t="n">
        <x:f>IF(D2695=0,"n.a.",E2695/D2695)</x:f>
        <x:v>0</x:v>
      </x:c>
      <x:c r="K2695" s="15" t="n">
        <x:f>F2695/'Datos'!$F$7</x:f>
        <x:v>0.000020902285817496204</x:v>
      </x:c>
      <x:c r="L2695" s="3"/>
    </x:row>
    <x:row r="2696" ht="22" customHeight="1">
      <x:c r="A2696" s="3"/>
      <x:c r="B2696" s="3" t="str">
        <x:v>84875B</x:v>
      </x:c>
      <x:c r="C2696" s="3" t="str">
        <x:v>GREEN SQUARE COMPACT MIRROR</x:v>
      </x:c>
      <x:c r="D2696" s="13" t="n">
        <x:v>203.51</x:v>
      </x:c>
      <x:c r="E2696" s="13" t="n">
        <x:v>0</x:v>
      </x:c>
      <x:c r="F2696" s="13" t="n">
        <x:f>D2696-E2696</x:f>
        <x:v>203.51</x:v>
      </x:c>
      <x:c r="G2696" s="3" t="n">
        <x:v>131</x:v>
      </x:c>
      <x:c r="H2696" s="3" t="n">
        <x:v>0</x:v>
      </x:c>
      <x:c r="I2696" s="3" t="n">
        <x:v>20</x:v>
      </x:c>
      <x:c r="J2696" s="15" t="n">
        <x:f>IF(D2696=0,"n.a.",E2696/D2696)</x:f>
        <x:v>0</x:v>
      </x:c>
      <x:c r="K2696" s="15" t="n">
        <x:f>F2696/'Datos'!$F$7</x:f>
        <x:v>0.000020781788004878854</x:v>
      </x:c>
      <x:c r="L2696" s="3"/>
    </x:row>
    <x:row r="2697" ht="22" customHeight="1">
      <x:c r="A2697" s="3"/>
      <x:c r="B2697" s="3" t="str">
        <x:v>85230A</x:v>
      </x:c>
      <x:c r="C2697" s="3" t="str">
        <x:v>OPIUM SCENTED VOTIVE CANDLE</x:v>
      </x:c>
      <x:c r="D2697" s="13" t="n">
        <x:v>203.28</x:v>
      </x:c>
      <x:c r="E2697" s="13" t="n">
        <x:v>0</x:v>
      </x:c>
      <x:c r="F2697" s="13" t="n">
        <x:f>D2697-E2697</x:f>
        <x:v>203.28</x:v>
      </x:c>
      <x:c r="G2697" s="3" t="n">
        <x:v>840</x:v>
      </x:c>
      <x:c r="H2697" s="3" t="n">
        <x:v>0</x:v>
      </x:c>
      <x:c r="I2697" s="3" t="n">
        <x:v>18</x:v>
      </x:c>
      <x:c r="J2697" s="15" t="n">
        <x:f>IF(D2697=0,"n.a.",E2697/D2697)</x:f>
        <x:v>0</x:v>
      </x:c>
      <x:c r="K2697" s="15" t="n">
        <x:f>F2697/'Datos'!$F$7</x:f>
        <x:v>0.000020758301143097506</x:v>
      </x:c>
      <x:c r="L2697" s="3"/>
    </x:row>
    <x:row r="2698" ht="22" customHeight="1">
      <x:c r="A2698" s="3"/>
      <x:c r="B2698" s="3" t="str">
        <x:v>47578A</x:v>
      </x:c>
      <x:c r="C2698" s="3" t="str">
        <x:v>ENGLISH ROSE SMALL SCENTED FLOWER</x:v>
      </x:c>
      <x:c r="D2698" s="13" t="n">
        <x:v>202.53</x:v>
      </x:c>
      <x:c r="E2698" s="13" t="n">
        <x:v>0</x:v>
      </x:c>
      <x:c r="F2698" s="13" t="n">
        <x:f>D2698-E2698</x:f>
        <x:v>202.53</x:v>
      </x:c>
      <x:c r="G2698" s="3" t="n">
        <x:v>219</x:v>
      </x:c>
      <x:c r="H2698" s="3" t="n">
        <x:v>0</x:v>
      </x:c>
      <x:c r="I2698" s="3" t="n">
        <x:v>45</x:v>
      </x:c>
      <x:c r="J2698" s="15" t="n">
        <x:f>IF(D2698=0,"n.a.",E2698/D2698)</x:f>
        <x:v>0</x:v>
      </x:c>
      <x:c r="K2698" s="15" t="n">
        <x:f>F2698/'Datos'!$F$7</x:f>
        <x:v>0.000020681713550332242</x:v>
      </x:c>
      <x:c r="L2698" s="3"/>
    </x:row>
    <x:row r="2699" ht="22" customHeight="1">
      <x:c r="A2699" s="3"/>
      <x:c r="B2699" s="3" t="str">
        <x:v>22541</x:v>
      </x:c>
      <x:c r="C2699" s="3" t="str">
        <x:v>MINI JIGSAW LEAP FROG</x:v>
      </x:c>
      <x:c r="D2699" s="13" t="n">
        <x:v>202.37</x:v>
      </x:c>
      <x:c r="E2699" s="13" t="n">
        <x:v>0</x:v>
      </x:c>
      <x:c r="F2699" s="13" t="n">
        <x:f>D2699-E2699</x:f>
        <x:v>202.37</x:v>
      </x:c>
      <x:c r="G2699" s="3" t="n">
        <x:v>504</x:v>
      </x:c>
      <x:c r="H2699" s="3" t="n">
        <x:v>0</x:v>
      </x:c>
      <x:c r="I2699" s="3" t="n">
        <x:v>35</x:v>
      </x:c>
      <x:c r="J2699" s="15" t="n">
        <x:f>IF(D2699=0,"n.a.",E2699/D2699)</x:f>
        <x:v>0</x:v>
      </x:c>
      <x:c r="K2699" s="15" t="n">
        <x:f>F2699/'Datos'!$F$7</x:f>
        <x:v>0.00002066537486387565</x:v>
      </x:c>
      <x:c r="L2699" s="3"/>
    </x:row>
    <x:row r="2700" ht="22" customHeight="1">
      <x:c r="A2700" s="3"/>
      <x:c r="B2700" s="3" t="str">
        <x:v>22878</x:v>
      </x:c>
      <x:c r="C2700" s="3" t="str">
        <x:v>NUMBER TILE COTTAGE GARDEN No</x:v>
      </x:c>
      <x:c r="D2700" s="13" t="n">
        <x:v>204.19</x:v>
      </x:c>
      <x:c r="E2700" s="13" t="n">
        <x:v>2.1</x:v>
      </x:c>
      <x:c r="F2700" s="13" t="n">
        <x:f>D2700-E2700</x:f>
        <x:v>202.09</x:v>
      </x:c>
      <x:c r="G2700" s="3" t="n">
        <x:v>75</x:v>
      </x:c>
      <x:c r="H2700" s="3" t="n">
        <x:v>1</x:v>
      </x:c>
      <x:c r="I2700" s="3" t="n">
        <x:v>33</x:v>
      </x:c>
      <x:c r="J2700" s="15" t="n">
        <x:f>IF(D2700=0,"n.a.",E2700/D2700)</x:f>
        <x:v>0.010284538909838875</x:v>
      </x:c>
      <x:c r="K2700" s="15" t="n">
        <x:f>F2700/'Datos'!$F$7</x:f>
        <x:v>0.00002063678216257662</x:v>
      </x:c>
      <x:c r="L2700" s="3"/>
    </x:row>
    <x:row r="2701" ht="22" customHeight="1">
      <x:c r="A2701" s="3"/>
      <x:c r="B2701" s="3" t="str">
        <x:v>85179C</x:v>
      </x:c>
      <x:c r="C2701" s="3" t="str">
        <x:v>PINK BITTY LIGHT CHAIN</x:v>
      </x:c>
      <x:c r="D2701" s="13" t="n">
        <x:v>201.31</x:v>
      </x:c>
      <x:c r="E2701" s="13" t="n">
        <x:v>0</x:v>
      </x:c>
      <x:c r="F2701" s="13" t="n">
        <x:f>D2701-E2701</x:f>
        <x:v>201.31</x:v>
      </x:c>
      <x:c r="G2701" s="3" t="n">
        <x:v>106</x:v>
      </x:c>
      <x:c r="H2701" s="3" t="n">
        <x:v>0</x:v>
      </x:c>
      <x:c r="I2701" s="3" t="n">
        <x:v>36</x:v>
      </x:c>
      <x:c r="J2701" s="15" t="n">
        <x:f>IF(D2701=0,"n.a.",E2701/D2701)</x:f>
        <x:v>0</x:v>
      </x:c>
      <x:c r="K2701" s="15" t="n">
        <x:f>F2701/'Datos'!$F$7</x:f>
        <x:v>0.000020557131066100745</x:v>
      </x:c>
      <x:c r="L2701" s="3"/>
    </x:row>
    <x:row r="2702" ht="22" customHeight="1">
      <x:c r="A2702" s="3"/>
      <x:c r="B2702" s="3" t="str">
        <x:v>22880</x:v>
      </x:c>
      <x:c r="C2702" s="3" t="str">
        <x:v>NUMBER TILE VINTAGE FONT 1</x:v>
      </x:c>
      <x:c r="D2702" s="13" t="n">
        <x:v>200.59</x:v>
      </x:c>
      <x:c r="E2702" s="13" t="n">
        <x:v>0</x:v>
      </x:c>
      <x:c r="F2702" s="13" t="n">
        <x:f>D2702-E2702</x:f>
        <x:v>200.59</x:v>
      </x:c>
      <x:c r="G2702" s="3" t="n">
        <x:v>99</x:v>
      </x:c>
      <x:c r="H2702" s="3" t="n">
        <x:v>0</x:v>
      </x:c>
      <x:c r="I2702" s="3" t="n">
        <x:v>32</x:v>
      </x:c>
      <x:c r="J2702" s="15" t="n">
        <x:f>IF(D2702=0,"n.a.",E2702/D2702)</x:f>
        <x:v>0</x:v>
      </x:c>
      <x:c r="K2702" s="15" t="n">
        <x:f>F2702/'Datos'!$F$7</x:f>
        <x:v>0.00002048360697704609</x:v>
      </x:c>
      <x:c r="L2702" s="3"/>
    </x:row>
    <x:row r="2703" ht="22" customHeight="1">
      <x:c r="A2703" s="3"/>
      <x:c r="B2703" s="3" t="str">
        <x:v>44235</x:v>
      </x:c>
      <x:c r="C2703" s="3" t="str">
        <x:v>ASSORTED COLOURED CIRCLE MOBILE</x:v>
      </x:c>
      <x:c r="D2703" s="13" t="n">
        <x:v>200.46</x:v>
      </x:c>
      <x:c r="E2703" s="13" t="n">
        <x:v>0</x:v>
      </x:c>
      <x:c r="F2703" s="13" t="n">
        <x:f>D2703-E2703</x:f>
        <x:v>200.46</x:v>
      </x:c>
      <x:c r="G2703" s="3" t="n">
        <x:v>539</x:v>
      </x:c>
      <x:c r="H2703" s="3" t="n">
        <x:v>0</x:v>
      </x:c>
      <x:c r="I2703" s="3" t="n">
        <x:v>13</x:v>
      </x:c>
      <x:c r="J2703" s="15" t="n">
        <x:f>IF(D2703=0,"n.a.",E2703/D2703)</x:f>
        <x:v>0</x:v>
      </x:c>
      <x:c r="K2703" s="15" t="n">
        <x:f>F2703/'Datos'!$F$7</x:f>
        <x:v>0.00002047033179430011</x:v>
      </x:c>
      <x:c r="L2703" s="3"/>
    </x:row>
    <x:row r="2704" ht="22" customHeight="1">
      <x:c r="A2704" s="3"/>
      <x:c r="B2704" s="3" t="str">
        <x:v>90184C</x:v>
      </x:c>
      <x:c r="C2704" s="3" t="str">
        <x:v>BLACK CHUNKY BEAD BRACELET W STRAP</x:v>
      </x:c>
      <x:c r="D2704" s="13" t="n">
        <x:v>199.67</x:v>
      </x:c>
      <x:c r="E2704" s="13" t="n">
        <x:v>0</x:v>
      </x:c>
      <x:c r="F2704" s="13" t="n">
        <x:f>D2704-E2704</x:f>
        <x:v>199.67</x:v>
      </x:c>
      <x:c r="G2704" s="3" t="n">
        <x:v>22</x:v>
      </x:c>
      <x:c r="H2704" s="3" t="n">
        <x:v>0</x:v>
      </x:c>
      <x:c r="I2704" s="3" t="n">
        <x:v>18</x:v>
      </x:c>
      <x:c r="J2704" s="15" t="n">
        <x:f>IF(D2704=0,"n.a.",E2704/D2704)</x:f>
        <x:v>0</x:v>
      </x:c>
      <x:c r="K2704" s="15" t="n">
        <x:f>F2704/'Datos'!$F$7</x:f>
        <x:v>0.000020389659529920695</x:v>
      </x:c>
      <x:c r="L2704" s="3"/>
    </x:row>
    <x:row r="2705" ht="22" customHeight="1">
      <x:c r="A2705" s="3"/>
      <x:c r="B2705" s="3" t="str">
        <x:v>16156L</x:v>
      </x:c>
      <x:c r="C2705" s="3" t="str">
        <x:v>WRAP CAROUSEL</x:v>
      </x:c>
      <x:c r="D2705" s="13" t="n">
        <x:v>199.5</x:v>
      </x:c>
      <x:c r="E2705" s="13" t="n">
        <x:v>0</x:v>
      </x:c>
      <x:c r="F2705" s="13" t="n">
        <x:f>D2705-E2705</x:f>
        <x:v>199.5</x:v>
      </x:c>
      <x:c r="G2705" s="3" t="n">
        <x:v>475</x:v>
      </x:c>
      <x:c r="H2705" s="3" t="n">
        <x:v>0</x:v>
      </x:c>
      <x:c r="I2705" s="3" t="n">
        <x:v>18</x:v>
      </x:c>
      <x:c r="J2705" s="15" t="n">
        <x:f>IF(D2705=0,"n.a.",E2705/D2705)</x:f>
        <x:v>0</x:v>
      </x:c>
      <x:c r="K2705" s="15" t="n">
        <x:f>F2705/'Datos'!$F$7</x:f>
        <x:v>0.00002037229967556057</x:v>
      </x:c>
      <x:c r="L2705" s="3"/>
    </x:row>
    <x:row r="2706" ht="22" customHeight="1">
      <x:c r="A2706" s="3"/>
      <x:c r="B2706" s="3" t="str">
        <x:v>22038</x:v>
      </x:c>
      <x:c r="C2706" s="3" t="str">
        <x:v>BOTANICAL LAVENDER GIFT WRAP</x:v>
      </x:c>
      <x:c r="D2706" s="13" t="n">
        <x:v>199.5</x:v>
      </x:c>
      <x:c r="E2706" s="13" t="n">
        <x:v>0</x:v>
      </x:c>
      <x:c r="F2706" s="13" t="n">
        <x:f>D2706-E2706</x:f>
        <x:v>199.5</x:v>
      </x:c>
      <x:c r="G2706" s="3" t="n">
        <x:v>475</x:v>
      </x:c>
      <x:c r="H2706" s="3" t="n">
        <x:v>0</x:v>
      </x:c>
      <x:c r="I2706" s="3" t="n">
        <x:v>19</x:v>
      </x:c>
      <x:c r="J2706" s="15" t="n">
        <x:f>IF(D2706=0,"n.a.",E2706/D2706)</x:f>
        <x:v>0</x:v>
      </x:c>
      <x:c r="K2706" s="15" t="n">
        <x:f>F2706/'Datos'!$F$7</x:f>
        <x:v>0.00002037229967556057</x:v>
      </x:c>
      <x:c r="L2706" s="3"/>
    </x:row>
    <x:row r="2707" ht="22" customHeight="1">
      <x:c r="A2707" s="3"/>
      <x:c r="B2707" s="3" t="str">
        <x:v>21367</x:v>
      </x:c>
      <x:c r="C2707" s="3" t="str">
        <x:v>MIRRORED WALL ART GENTS</x:v>
      </x:c>
      <x:c r="D2707" s="13" t="n">
        <x:v>199.49</x:v>
      </x:c>
      <x:c r="E2707" s="13" t="n">
        <x:v>0</x:v>
      </x:c>
      <x:c r="F2707" s="13" t="n">
        <x:f>D2707-E2707</x:f>
        <x:v>199.49</x:v>
      </x:c>
      <x:c r="G2707" s="3" t="n">
        <x:v>171</x:v>
      </x:c>
      <x:c r="H2707" s="3" t="n">
        <x:v>0</x:v>
      </x:c>
      <x:c r="I2707" s="3" t="n">
        <x:v>43</x:v>
      </x:c>
      <x:c r="J2707" s="15" t="n">
        <x:f>IF(D2707=0,"n.a.",E2707/D2707)</x:f>
        <x:v>0</x:v>
      </x:c>
      <x:c r="K2707" s="15" t="n">
        <x:f>F2707/'Datos'!$F$7</x:f>
        <x:v>0.000020371278507657033</x:v>
      </x:c>
      <x:c r="L2707" s="3"/>
    </x:row>
    <x:row r="2708" ht="22" customHeight="1">
      <x:c r="A2708" s="3"/>
      <x:c r="B2708" s="3" t="str">
        <x:v>90192</x:v>
      </x:c>
      <x:c r="C2708" s="3" t="str">
        <x:v>JADE DROP EARRINGS W FILIGREE</x:v>
      </x:c>
      <x:c r="D2708" s="13" t="n">
        <x:v>209.1</x:v>
      </x:c>
      <x:c r="E2708" s="13" t="n">
        <x:v>9.9</x:v>
      </x:c>
      <x:c r="F2708" s="13" t="n">
        <x:f>D2708-E2708</x:f>
        <x:v>199.2</x:v>
      </x:c>
      <x:c r="G2708" s="3" t="n">
        <x:v>42</x:v>
      </x:c>
      <x:c r="H2708" s="3" t="n">
        <x:v>2</x:v>
      </x:c>
      <x:c r="I2708" s="3" t="n">
        <x:v>25</x:v>
      </x:c>
      <x:c r="J2708" s="15" t="n">
        <x:f>IF(D2708=0,"n.a.",E2708/D2708)</x:f>
        <x:v>0.047345767575322814</x:v>
      </x:c>
      <x:c r="K2708" s="15" t="n">
        <x:f>F2708/'Datos'!$F$7</x:f>
        <x:v>0.000020341664638454462</x:v>
      </x:c>
      <x:c r="L2708" s="3"/>
    </x:row>
    <x:row r="2709" ht="22" customHeight="1">
      <x:c r="A2709" s="3"/>
      <x:c r="B2709" s="3" t="str">
        <x:v>22289</x:v>
      </x:c>
      <x:c r="C2709" s="3" t="str">
        <x:v>HANGING METAL CHICKEN DECORATION</x:v>
      </x:c>
      <x:c r="D2709" s="13" t="n">
        <x:v>198.52</x:v>
      </x:c>
      <x:c r="E2709" s="13" t="n">
        <x:v>0</x:v>
      </x:c>
      <x:c r="F2709" s="13" t="n">
        <x:f>D2709-E2709</x:f>
        <x:v>198.52</x:v>
      </x:c>
      <x:c r="G2709" s="3" t="n">
        <x:v>152</x:v>
      </x:c>
      <x:c r="H2709" s="3" t="n">
        <x:v>0</x:v>
      </x:c>
      <x:c r="I2709" s="3" t="n">
        <x:v>34</x:v>
      </x:c>
      <x:c r="J2709" s="15" t="n">
        <x:f>IF(D2709=0,"n.a.",E2709/D2709)</x:f>
        <x:v>0</x:v>
      </x:c>
      <x:c r="K2709" s="15" t="n">
        <x:f>F2709/'Datos'!$F$7</x:f>
        <x:v>0.000020272225221013956</x:v>
      </x:c>
      <x:c r="L2709" s="3"/>
    </x:row>
    <x:row r="2710" ht="22" customHeight="1">
      <x:c r="A2710" s="3"/>
      <x:c r="B2710" s="3" t="str">
        <x:v>21376</x:v>
      </x:c>
      <x:c r="C2710" s="3" t="str">
        <x:v>LARGE TALL CAMPHOR WOOD TOADSTOOL</x:v>
      </x:c>
      <x:c r="D2710" s="13" t="n">
        <x:v>197.81</x:v>
      </x:c>
      <x:c r="E2710" s="13" t="n">
        <x:v>0</x:v>
      </x:c>
      <x:c r="F2710" s="13" t="n">
        <x:f>D2710-E2710</x:f>
        <x:v>197.81</x:v>
      </x:c>
      <x:c r="G2710" s="3" t="n">
        <x:v>37</x:v>
      </x:c>
      <x:c r="H2710" s="3" t="n">
        <x:v>0</x:v>
      </x:c>
      <x:c r="I2710" s="3" t="n">
        <x:v>17</x:v>
      </x:c>
      <x:c r="J2710" s="15" t="n">
        <x:f>IF(D2710=0,"n.a.",E2710/D2710)</x:f>
        <x:v>0</x:v>
      </x:c>
      <x:c r="K2710" s="15" t="n">
        <x:f>F2710/'Datos'!$F$7</x:f>
        <x:v>0.00002019972229986284</x:v>
      </x:c>
      <x:c r="L2710" s="3"/>
    </x:row>
    <x:row r="2711" ht="22" customHeight="1">
      <x:c r="A2711" s="3"/>
      <x:c r="B2711" s="3" t="str">
        <x:v>22881</x:v>
      </x:c>
      <x:c r="C2711" s="3" t="str">
        <x:v>NUMBER TILE VINTAGE FONT 2</x:v>
      </x:c>
      <x:c r="D2711" s="13" t="n">
        <x:v>197.56</x:v>
      </x:c>
      <x:c r="E2711" s="13" t="n">
        <x:v>0</x:v>
      </x:c>
      <x:c r="F2711" s="13" t="n">
        <x:f>D2711-E2711</x:f>
        <x:v>197.56</x:v>
      </x:c>
      <x:c r="G2711" s="3" t="n">
        <x:v>102</x:v>
      </x:c>
      <x:c r="H2711" s="3" t="n">
        <x:v>0</x:v>
      </x:c>
      <x:c r="I2711" s="3" t="n">
        <x:v>34</x:v>
      </x:c>
      <x:c r="J2711" s="15" t="n">
        <x:f>IF(D2711=0,"n.a.",E2711/D2711)</x:f>
        <x:v>0</x:v>
      </x:c>
      <x:c r="K2711" s="15" t="n">
        <x:f>F2711/'Datos'!$F$7</x:f>
        <x:v>0.00002017419310227442</x:v>
      </x:c>
      <x:c r="L2711" s="3"/>
    </x:row>
    <x:row r="2712" ht="22" customHeight="1">
      <x:c r="A2712" s="3"/>
      <x:c r="B2712" s="3" t="str">
        <x:v>90019A</x:v>
      </x:c>
      <x:c r="C2712" s="3" t="str">
        <x:v>SILVER M.O.P ORBIT BRACELET</x:v>
      </x:c>
      <x:c r="D2712" s="13" t="n">
        <x:v>197.09</x:v>
      </x:c>
      <x:c r="E2712" s="13" t="n">
        <x:v>0</x:v>
      </x:c>
      <x:c r="F2712" s="13" t="n">
        <x:f>D2712-E2712</x:f>
        <x:v>197.09</x:v>
      </x:c>
      <x:c r="G2712" s="3" t="n">
        <x:v>38</x:v>
      </x:c>
      <x:c r="H2712" s="3" t="n">
        <x:v>0</x:v>
      </x:c>
      <x:c r="I2712" s="3" t="n">
        <x:v>27</x:v>
      </x:c>
      <x:c r="J2712" s="15" t="n">
        <x:f>IF(D2712=0,"n.a.",E2712/D2712)</x:f>
        <x:v>0</x:v>
      </x:c>
      <x:c r="K2712" s="15" t="n">
        <x:f>F2712/'Datos'!$F$7</x:f>
        <x:v>0.000020126198210808186</x:v>
      </x:c>
      <x:c r="L2712" s="3"/>
    </x:row>
    <x:row r="2713" ht="22" customHeight="1">
      <x:c r="A2713" s="3"/>
      <x:c r="B2713" s="3" t="str">
        <x:v>22044</x:v>
      </x:c>
      <x:c r="C2713" s="3" t="str">
        <x:v>CHRISTMAS CARD STACK OF PRESENTS</x:v>
      </x:c>
      <x:c r="D2713" s="13" t="n">
        <x:v>196.44</x:v>
      </x:c>
      <x:c r="E2713" s="13" t="n">
        <x:v>0</x:v>
      </x:c>
      <x:c r="F2713" s="13" t="n">
        <x:f>D2713-E2713</x:f>
        <x:v>196.44</x:v>
      </x:c>
      <x:c r="G2713" s="3" t="n">
        <x:v>816</x:v>
      </x:c>
      <x:c r="H2713" s="3" t="n">
        <x:v>0</x:v>
      </x:c>
      <x:c r="I2713" s="3" t="n">
        <x:v>36</x:v>
      </x:c>
      <x:c r="J2713" s="15" t="n">
        <x:f>IF(D2713=0,"n.a.",E2713/D2713)</x:f>
        <x:v>0</x:v>
      </x:c>
      <x:c r="K2713" s="15" t="n">
        <x:f>F2713/'Datos'!$F$7</x:f>
        <x:v>0.000020059822297078288</x:v>
      </x:c>
      <x:c r="L2713" s="3"/>
    </x:row>
    <x:row r="2714" ht="22" customHeight="1">
      <x:c r="A2714" s="3"/>
      <x:c r="B2714" s="3" t="str">
        <x:v>71143</x:v>
      </x:c>
      <x:c r="C2714" s="3" t="str">
        <x:v>SILVER BOOK MARK WITH BEADS</x:v>
      </x:c>
      <x:c r="D2714" s="13" t="n">
        <x:v>196.36</x:v>
      </x:c>
      <x:c r="E2714" s="13" t="n">
        <x:v>0</x:v>
      </x:c>
      <x:c r="F2714" s="13" t="n">
        <x:f>D2714-E2714</x:f>
        <x:v>196.36</x:v>
      </x:c>
      <x:c r="G2714" s="3" t="n">
        <x:v>178</x:v>
      </x:c>
      <x:c r="H2714" s="3" t="n">
        <x:v>0</x:v>
      </x:c>
      <x:c r="I2714" s="3" t="n">
        <x:v>37</x:v>
      </x:c>
      <x:c r="J2714" s="15" t="n">
        <x:f>IF(D2714=0,"n.a.",E2714/D2714)</x:f>
        <x:v>0</x:v>
      </x:c>
      <x:c r="K2714" s="15" t="n">
        <x:f>F2714/'Datos'!$F$7</x:f>
        <x:v>0.000020051652953849994</x:v>
      </x:c>
      <x:c r="L2714" s="3"/>
    </x:row>
    <x:row r="2715" ht="22" customHeight="1">
      <x:c r="A2715" s="3"/>
      <x:c r="B2715" s="3" t="str">
        <x:v>20617</x:v>
      </x:c>
      <x:c r="C2715" s="3" t="str">
        <x:v>FIRST CLASS PASSPORT COVER</x:v>
      </x:c>
      <x:c r="D2715" s="13" t="n">
        <x:v>194.94</x:v>
      </x:c>
      <x:c r="E2715" s="13" t="n">
        <x:v>0</x:v>
      </x:c>
      <x:c r="F2715" s="13" t="n">
        <x:f>D2715-E2715</x:f>
        <x:v>194.94</x:v>
      </x:c>
      <x:c r="G2715" s="3" t="n">
        <x:v>93</x:v>
      </x:c>
      <x:c r="H2715" s="3" t="n">
        <x:v>0</x:v>
      </x:c>
      <x:c r="I2715" s="3" t="n">
        <x:v>43</x:v>
      </x:c>
      <x:c r="J2715" s="15" t="n">
        <x:f>IF(D2715=0,"n.a.",E2715/D2715)</x:f>
        <x:v>0</x:v>
      </x:c>
      <x:c r="K2715" s="15" t="n">
        <x:f>F2715/'Datos'!$F$7</x:f>
        <x:v>0.000019906647111547756</x:v>
      </x:c>
      <x:c r="L2715" s="3"/>
    </x:row>
    <x:row r="2716" ht="22" customHeight="1">
      <x:c r="A2716" s="3"/>
      <x:c r="B2716" s="3" t="str">
        <x:v>23697</x:v>
      </x:c>
      <x:c r="C2716" s="3" t="str">
        <x:v>A PRETTY THANK YOU CARD</x:v>
      </x:c>
      <x:c r="D2716" s="13" t="n">
        <x:v>194.58</x:v>
      </x:c>
      <x:c r="E2716" s="13" t="n">
        <x:v>0</x:v>
      </x:c>
      <x:c r="F2716" s="13" t="n">
        <x:f>D2716-E2716</x:f>
        <x:v>194.58</x:v>
      </x:c>
      <x:c r="G2716" s="3" t="n">
        <x:v>456</x:v>
      </x:c>
      <x:c r="H2716" s="3" t="n">
        <x:v>0</x:v>
      </x:c>
      <x:c r="I2716" s="3" t="n">
        <x:v>35</x:v>
      </x:c>
      <x:c r="J2716" s="15" t="n">
        <x:f>IF(D2716=0,"n.a.",E2716/D2716)</x:f>
        <x:v>0</x:v>
      </x:c>
      <x:c r="K2716" s="15" t="n">
        <x:f>F2716/'Datos'!$F$7</x:f>
        <x:v>0.00001986988506702043</x:v>
      </x:c>
      <x:c r="L2716" s="3"/>
    </x:row>
    <x:row r="2717" ht="22" customHeight="1">
      <x:c r="A2717" s="3"/>
      <x:c r="B2717" s="3" t="str">
        <x:v>22884</x:v>
      </x:c>
      <x:c r="C2717" s="3" t="str">
        <x:v>NUMBER TILE VINTAGE FONT 5</x:v>
      </x:c>
      <x:c r="D2717" s="13" t="n">
        <x:v>194.05</x:v>
      </x:c>
      <x:c r="E2717" s="13" t="n">
        <x:v>0</x:v>
      </x:c>
      <x:c r="F2717" s="13" t="n">
        <x:f>D2717-E2717</x:f>
        <x:v>194.05</x:v>
      </x:c>
      <x:c r="G2717" s="3" t="n">
        <x:v>99</x:v>
      </x:c>
      <x:c r="H2717" s="3" t="n">
        <x:v>0</x:v>
      </x:c>
      <x:c r="I2717" s="3" t="n">
        <x:v>36</x:v>
      </x:c>
      <x:c r="J2717" s="15" t="n">
        <x:f>IF(D2717=0,"n.a.",E2717/D2717)</x:f>
        <x:v>0</x:v>
      </x:c>
      <x:c r="K2717" s="15" t="n">
        <x:f>F2717/'Datos'!$F$7</x:f>
        <x:v>0.000019815763168132977</x:v>
      </x:c>
      <x:c r="L2717" s="3"/>
    </x:row>
    <x:row r="2718" ht="22" customHeight="1">
      <x:c r="A2718" s="3"/>
      <x:c r="B2718" s="3" t="str">
        <x:v>20654</x:v>
      </x:c>
      <x:c r="C2718" s="3" t="str">
        <x:v>FIRST CLASS LUGGAGE TAG</x:v>
      </x:c>
      <x:c r="D2718" s="13" t="n">
        <x:v>193.59</x:v>
      </x:c>
      <x:c r="E2718" s="13" t="n">
        <x:v>0</x:v>
      </x:c>
      <x:c r="F2718" s="13" t="n">
        <x:f>D2718-E2718</x:f>
        <x:v>193.59</x:v>
      </x:c>
      <x:c r="G2718" s="3" t="n">
        <x:v>152</x:v>
      </x:c>
      <x:c r="H2718" s="3" t="n">
        <x:v>0</x:v>
      </x:c>
      <x:c r="I2718" s="3" t="n">
        <x:v>49</x:v>
      </x:c>
      <x:c r="J2718" s="15" t="n">
        <x:f>IF(D2718=0,"n.a.",E2718/D2718)</x:f>
        <x:v>0</x:v>
      </x:c>
      <x:c r="K2718" s="15" t="n">
        <x:f>F2718/'Datos'!$F$7</x:f>
        <x:v>0.00001976878944457028</x:v>
      </x:c>
      <x:c r="L2718" s="3"/>
    </x:row>
    <x:row r="2719" ht="22" customHeight="1">
      <x:c r="A2719" s="3"/>
      <x:c r="B2719" s="3" t="str">
        <x:v>21275</x:v>
      </x:c>
      <x:c r="C2719" s="3" t="str">
        <x:v>ZINC TOP 2 DOOR WOODEN SHELF</x:v>
      </x:c>
      <x:c r="D2719" s="13" t="n">
        <x:v>270.08</x:v>
      </x:c>
      <x:c r="E2719" s="13" t="n">
        <x:v>76.75</x:v>
      </x:c>
      <x:c r="F2719" s="13" t="n">
        <x:f>D2719-E2719</x:f>
        <x:v>193.32999999999998</x:v>
      </x:c>
      <x:c r="G2719" s="3" t="n">
        <x:v>13</x:v>
      </x:c>
      <x:c r="H2719" s="3" t="n">
        <x:v>5</x:v>
      </x:c>
      <x:c r="I2719" s="3" t="n">
        <x:v>12</x:v>
      </x:c>
      <x:c r="J2719" s="15" t="n">
        <x:f>IF(D2719=0,"n.a.",E2719/D2719)</x:f>
        <x:v>0.28417505924170616</x:v>
      </x:c>
      <x:c r="K2719" s="15" t="n">
        <x:f>F2719/'Datos'!$F$7</x:f>
        <x:v>0.00001974223907907832</x:v>
      </x:c>
      <x:c r="L2719" s="3"/>
    </x:row>
    <x:row r="2720" ht="22" customHeight="1">
      <x:c r="A2720" s="3"/>
      <x:c r="B2720" s="3" t="str">
        <x:v>90082A</x:v>
      </x:c>
      <x:c r="C2720" s="3" t="str">
        <x:v>DIAMANTE BOW BROOCH GREEN COLOUR</x:v>
      </x:c>
      <x:c r="D2720" s="13" t="n">
        <x:v>193.2</x:v>
      </x:c>
      <x:c r="E2720" s="13" t="n">
        <x:v>0</x:v>
      </x:c>
      <x:c r="F2720" s="13" t="n">
        <x:f>D2720-E2720</x:f>
        <x:v>193.2</x:v>
      </x:c>
      <x:c r="G2720" s="3" t="n">
        <x:v>30</x:v>
      </x:c>
      <x:c r="H2720" s="3" t="n">
        <x:v>0</x:v>
      </x:c>
      <x:c r="I2720" s="3" t="n">
        <x:v>18</x:v>
      </x:c>
      <x:c r="J2720" s="15" t="n">
        <x:f>IF(D2720=0,"n.a.",E2720/D2720)</x:f>
        <x:v>0</x:v>
      </x:c>
      <x:c r="K2720" s="15" t="n">
        <x:f>F2720/'Datos'!$F$7</x:f>
        <x:v>0.00001972896389633234</x:v>
      </x:c>
      <x:c r="L2720" s="3"/>
    </x:row>
    <x:row r="2721" ht="22" customHeight="1">
      <x:c r="A2721" s="3"/>
      <x:c r="B2721" s="3" t="str">
        <x:v>84910A</x:v>
      </x:c>
      <x:c r="C2721" s="3" t="str">
        <x:v>PINK PAISLEY CUSHION COVER</x:v>
      </x:c>
      <x:c r="D2721" s="13" t="n">
        <x:v>192.14</x:v>
      </x:c>
      <x:c r="E2721" s="13" t="n">
        <x:v>0</x:v>
      </x:c>
      <x:c r="F2721" s="13" t="n">
        <x:f>D2721-E2721</x:f>
        <x:v>192.14</x:v>
      </x:c>
      <x:c r="G2721" s="3" t="n">
        <x:v>26</x:v>
      </x:c>
      <x:c r="H2721" s="3" t="n">
        <x:v>0</x:v>
      </x:c>
      <x:c r="I2721" s="3" t="n">
        <x:v>17</x:v>
      </x:c>
      <x:c r="J2721" s="15" t="n">
        <x:f>IF(D2721=0,"n.a.",E2721/D2721)</x:f>
        <x:v>0</x:v>
      </x:c>
      <x:c r="K2721" s="15" t="n">
        <x:f>F2721/'Datos'!$F$7</x:f>
        <x:v>0.00001962072009855743</x:v>
      </x:c>
      <x:c r="L2721" s="3"/>
    </x:row>
    <x:row r="2722" ht="22" customHeight="1">
      <x:c r="A2722" s="3"/>
      <x:c r="B2722" s="3" t="str">
        <x:v>47471</x:v>
      </x:c>
      <x:c r="C2722" s="3" t="str">
        <x:v>RAINBOW PEGS PHOTO CLIP STRING</x:v>
      </x:c>
      <x:c r="D2722" s="13" t="n">
        <x:v>191.18</x:v>
      </x:c>
      <x:c r="E2722" s="13" t="n">
        <x:v>0</x:v>
      </x:c>
      <x:c r="F2722" s="13" t="n">
        <x:f>D2722-E2722</x:f>
        <x:v>191.18</x:v>
      </x:c>
      <x:c r="G2722" s="3" t="n">
        <x:v>292</x:v>
      </x:c>
      <x:c r="H2722" s="3" t="n">
        <x:v>0</x:v>
      </x:c>
      <x:c r="I2722" s="3" t="n">
        <x:v>39</x:v>
      </x:c>
      <x:c r="J2722" s="15" t="n">
        <x:f>IF(D2722=0,"n.a.",E2722/D2722)</x:f>
        <x:v>0</x:v>
      </x:c>
      <x:c r="K2722" s="15" t="n">
        <x:f>F2722/'Datos'!$F$7</x:f>
        <x:v>0.000019522687979817894</x:v>
      </x:c>
      <x:c r="L2722" s="3"/>
    </x:row>
    <x:row r="2723" ht="22" customHeight="1">
      <x:c r="A2723" s="3"/>
      <x:c r="B2723" s="3" t="str">
        <x:v>90030B</x:v>
      </x:c>
      <x:c r="C2723" s="3" t="str">
        <x:v>RED KUKUI COCONUT SEED NECKLACE</x:v>
      </x:c>
      <x:c r="D2723" s="13" t="n">
        <x:v>190.73</x:v>
      </x:c>
      <x:c r="E2723" s="13" t="n">
        <x:v>0</x:v>
      </x:c>
      <x:c r="F2723" s="13" t="n">
        <x:f>D2723-E2723</x:f>
        <x:v>190.73</x:v>
      </x:c>
      <x:c r="G2723" s="3" t="n">
        <x:v>122</x:v>
      </x:c>
      <x:c r="H2723" s="3" t="n">
        <x:v>0</x:v>
      </x:c>
      <x:c r="I2723" s="3" t="n">
        <x:v>25</x:v>
      </x:c>
      <x:c r="J2723" s="15" t="n">
        <x:f>IF(D2723=0,"n.a.",E2723/D2723)</x:f>
        <x:v>0</x:v>
      </x:c>
      <x:c r="K2723" s="15" t="n">
        <x:f>F2723/'Datos'!$F$7</x:f>
        <x:v>0.000019476735424158733</x:v>
      </x:c>
      <x:c r="L2723" s="3"/>
    </x:row>
    <x:row r="2724" ht="22" customHeight="1">
      <x:c r="A2724" s="3"/>
      <x:c r="B2724" s="3" t="str">
        <x:v>90201A</x:v>
      </x:c>
      <x:c r="C2724" s="3" t="str">
        <x:v>PURPLE ENAMEL FLOWER RING</x:v>
      </x:c>
      <x:c r="D2724" s="13" t="n">
        <x:v>202.51</x:v>
      </x:c>
      <x:c r="E2724" s="13" t="n">
        <x:v>11.8</x:v>
      </x:c>
      <x:c r="F2724" s="13" t="n">
        <x:f>D2724-E2724</x:f>
        <x:v>190.70999999999998</x:v>
      </x:c>
      <x:c r="G2724" s="3" t="n">
        <x:v>69</x:v>
      </x:c>
      <x:c r="H2724" s="3" t="n">
        <x:v>4</x:v>
      </x:c>
      <x:c r="I2724" s="3" t="n">
        <x:v>28</x:v>
      </x:c>
      <x:c r="J2724" s="15" t="n">
        <x:f>IF(D2724=0,"n.a.",E2724/D2724)</x:f>
        <x:v>0.05826872747024839</x:v>
      </x:c>
      <x:c r="K2724" s="15" t="n">
        <x:f>F2724/'Datos'!$F$7</x:f>
        <x:v>0.000019474693088351658</x:v>
      </x:c>
      <x:c r="L2724" s="3"/>
    </x:row>
    <x:row r="2725" ht="22" customHeight="1">
      <x:c r="A2725" s="3"/>
      <x:c r="B2725" s="3" t="str">
        <x:v>21027</x:v>
      </x:c>
      <x:c r="C2725" s="3" t="str">
        <x:v>NINJA RABBIT PINK</x:v>
      </x:c>
      <x:c r="D2725" s="13" t="n">
        <x:v>190.29</x:v>
      </x:c>
      <x:c r="E2725" s="13" t="n">
        <x:v>0</x:v>
      </x:c>
      <x:c r="F2725" s="13" t="n">
        <x:f>D2725-E2725</x:f>
        <x:v>190.29</x:v>
      </x:c>
      <x:c r="G2725" s="3" t="n">
        <x:v>169</x:v>
      </x:c>
      <x:c r="H2725" s="3" t="n">
        <x:v>0</x:v>
      </x:c>
      <x:c r="I2725" s="3" t="n">
        <x:v>42</x:v>
      </x:c>
      <x:c r="J2725" s="15" t="n">
        <x:f>IF(D2725=0,"n.a.",E2725/D2725)</x:f>
        <x:v>0</x:v>
      </x:c>
      <x:c r="K2725" s="15" t="n">
        <x:f>F2725/'Datos'!$F$7</x:f>
        <x:v>0.00001943180403640311</x:v>
      </x:c>
      <x:c r="L2725" s="3"/>
    </x:row>
    <x:row r="2726" ht="22" customHeight="1">
      <x:c r="A2726" s="3"/>
      <x:c r="B2726" s="3" t="str">
        <x:v>21418</x:v>
      </x:c>
      <x:c r="C2726" s="3" t="str">
        <x:v>STARFISH SOAP DISH</x:v>
      </x:c>
      <x:c r="D2726" s="13" t="n">
        <x:v>189.75</x:v>
      </x:c>
      <x:c r="E2726" s="13" t="n">
        <x:v>0</x:v>
      </x:c>
      <x:c r="F2726" s="13" t="n">
        <x:f>D2726-E2726</x:f>
        <x:v>189.75</x:v>
      </x:c>
      <x:c r="G2726" s="3" t="n">
        <x:v>74</x:v>
      </x:c>
      <x:c r="H2726" s="3" t="n">
        <x:v>0</x:v>
      </x:c>
      <x:c r="I2726" s="3" t="n">
        <x:v>25</x:v>
      </x:c>
      <x:c r="J2726" s="15" t="n">
        <x:f>IF(D2726=0,"n.a.",E2726/D2726)</x:f>
        <x:v>0</x:v>
      </x:c>
      <x:c r="K2726" s="15" t="n">
        <x:f>F2726/'Datos'!$F$7</x:f>
        <x:v>0.00001937666096961212</x:v>
      </x:c>
      <x:c r="L2726" s="3"/>
    </x:row>
    <x:row r="2727" ht="22" customHeight="1">
      <x:c r="A2727" s="3"/>
      <x:c r="B2727" s="3" t="str">
        <x:v>21196</x:v>
      </x:c>
      <x:c r="C2727" s="3" t="str">
        <x:v>ROUND WHITE CONFETTI IN TUBE</x:v>
      </x:c>
      <x:c r="D2727" s="13" t="n">
        <x:v>189.68</x:v>
      </x:c>
      <x:c r="E2727" s="13" t="n">
        <x:v>0</x:v>
      </x:c>
      <x:c r="F2727" s="13" t="n">
        <x:f>D2727-E2727</x:f>
        <x:v>189.68</x:v>
      </x:c>
      <x:c r="G2727" s="3" t="n">
        <x:v>108</x:v>
      </x:c>
      <x:c r="H2727" s="3" t="n">
        <x:v>0</x:v>
      </x:c>
      <x:c r="I2727" s="3" t="n">
        <x:v>13</x:v>
      </x:c>
      <x:c r="J2727" s="15" t="n">
        <x:f>IF(D2727=0,"n.a.",E2727/D2727)</x:f>
        <x:v>0</x:v>
      </x:c>
      <x:c r="K2727" s="15" t="n">
        <x:f>F2727/'Datos'!$F$7</x:f>
        <x:v>0.000019369512794287363</x:v>
      </x:c>
      <x:c r="L2727" s="3"/>
    </x:row>
    <x:row r="2728" ht="22" customHeight="1">
      <x:c r="A2728" s="3"/>
      <x:c r="B2728" s="3" t="str">
        <x:v>22883</x:v>
      </x:c>
      <x:c r="C2728" s="3" t="str">
        <x:v>NUMBER TILE VINTAGE FONT 4</x:v>
      </x:c>
      <x:c r="D2728" s="13" t="n">
        <x:v>191.48</x:v>
      </x:c>
      <x:c r="E2728" s="13" t="n">
        <x:v>1.95</x:v>
      </x:c>
      <x:c r="F2728" s="13" t="n">
        <x:f>D2728-E2728</x:f>
        <x:v>189.53</x:v>
      </x:c>
      <x:c r="G2728" s="3" t="n">
        <x:v>100</x:v>
      </x:c>
      <x:c r="H2728" s="3" t="n">
        <x:v>1</x:v>
      </x:c>
      <x:c r="I2728" s="3" t="n">
        <x:v>32</x:v>
      </x:c>
      <x:c r="J2728" s="15" t="n">
        <x:f>IF(D2728=0,"n.a.",E2728/D2728)</x:f>
        <x:v>0.010183831209525799</x:v>
      </x:c>
      <x:c r="K2728" s="15" t="n">
        <x:f>F2728/'Datos'!$F$7</x:f>
        <x:v>0.00001935419527573431</x:v>
      </x:c>
      <x:c r="L2728" s="3"/>
    </x:row>
    <x:row r="2729" ht="22" customHeight="1">
      <x:c r="A2729" s="3"/>
      <x:c r="B2729" s="3" t="str">
        <x:v>21807</x:v>
      </x:c>
      <x:c r="C2729" s="3" t="str">
        <x:v>WHITE CHRISTMAS STAR DECORATION</x:v>
      </x:c>
      <x:c r="D2729" s="13" t="n">
        <x:v>189.42</x:v>
      </x:c>
      <x:c r="E2729" s="13" t="n">
        <x:v>0</x:v>
      </x:c>
      <x:c r="F2729" s="13" t="n">
        <x:f>D2729-E2729</x:f>
        <x:v>189.42</x:v>
      </x:c>
      <x:c r="G2729" s="3" t="n">
        <x:v>439</x:v>
      </x:c>
      <x:c r="H2729" s="3" t="n">
        <x:v>0</x:v>
      </x:c>
      <x:c r="I2729" s="3" t="n">
        <x:v>30</x:v>
      </x:c>
      <x:c r="J2729" s="15" t="n">
        <x:f>IF(D2729=0,"n.a.",E2729/D2729)</x:f>
        <x:v>0</x:v>
      </x:c>
      <x:c r="K2729" s="15" t="n">
        <x:f>F2729/'Datos'!$F$7</x:f>
        <x:v>0.000019342962428795404</x:v>
      </x:c>
      <x:c r="L2729" s="3"/>
    </x:row>
    <x:row r="2730" ht="22" customHeight="1">
      <x:c r="A2730" s="3"/>
      <x:c r="B2730" s="3" t="str">
        <x:v>90018A</x:v>
      </x:c>
      <x:c r="C2730" s="3" t="str">
        <x:v>SILVER M.O.P ORBIT DROP EARRINGS</x:v>
      </x:c>
      <x:c r="D2730" s="13" t="n">
        <x:v>193.33</x:v>
      </x:c>
      <x:c r="E2730" s="13" t="n">
        <x:v>4.25</x:v>
      </x:c>
      <x:c r="F2730" s="13" t="n">
        <x:f>D2730-E2730</x:f>
        <x:v>189.08</x:v>
      </x:c>
      <x:c r="G2730" s="3" t="n">
        <x:v>46</x:v>
      </x:c>
      <x:c r="H2730" s="3" t="n">
        <x:v>1</x:v>
      </x:c>
      <x:c r="I2730" s="3" t="n">
        <x:v>37</x:v>
      </x:c>
      <x:c r="J2730" s="15" t="n">
        <x:f>IF(D2730=0,"n.a.",E2730/D2730)</x:f>
        <x:v>0.021983137640304143</x:v>
      </x:c>
      <x:c r="K2730" s="15" t="n">
        <x:f>F2730/'Datos'!$F$7</x:f>
        <x:v>0.00001930824272007515</x:v>
      </x:c>
      <x:c r="L2730" s="3"/>
    </x:row>
    <x:row r="2731" ht="22" customHeight="1">
      <x:c r="A2731" s="3"/>
      <x:c r="B2731" s="3" t="str">
        <x:v>85020</x:v>
      </x:c>
      <x:c r="C2731" s="3" t="str">
        <x:v>ROUND PINK HEART MIRROR</x:v>
      </x:c>
      <x:c r="D2731" s="13" t="n">
        <x:v>188.81</x:v>
      </x:c>
      <x:c r="E2731" s="13" t="n">
        <x:v>0</x:v>
      </x:c>
      <x:c r="F2731" s="13" t="n">
        <x:f>D2731-E2731</x:f>
        <x:v>188.81</x:v>
      </x:c>
      <x:c r="G2731" s="3" t="n">
        <x:v>85</x:v>
      </x:c>
      <x:c r="H2731" s="3" t="n">
        <x:v>0</x:v>
      </x:c>
      <x:c r="I2731" s="3" t="n">
        <x:v>22</x:v>
      </x:c>
      <x:c r="J2731" s="15" t="n">
        <x:f>IF(D2731=0,"n.a.",E2731/D2731)</x:f>
        <x:v>0</x:v>
      </x:c>
      <x:c r="K2731" s="15" t="n">
        <x:f>F2731/'Datos'!$F$7</x:f>
        <x:v>0.000019280671186679655</x:v>
      </x:c>
      <x:c r="L2731" s="3"/>
    </x:row>
    <x:row r="2732" ht="22" customHeight="1">
      <x:c r="A2732" s="3"/>
      <x:c r="B2732" s="3" t="str">
        <x:v>84804B</x:v>
      </x:c>
      <x:c r="C2732" s="3" t="str">
        <x:v>BLUE DELPHINIUM ARTIFICIAL FLOWER</x:v>
      </x:c>
      <x:c r="D2732" s="13" t="n">
        <x:v>188.37</x:v>
      </x:c>
      <x:c r="E2732" s="13" t="n">
        <x:v>0</x:v>
      </x:c>
      <x:c r="F2732" s="13" t="n">
        <x:f>D2732-E2732</x:f>
        <x:v>188.37</x:v>
      </x:c>
      <x:c r="G2732" s="3" t="n">
        <x:v>99</x:v>
      </x:c>
      <x:c r="H2732" s="3" t="n">
        <x:v>0</x:v>
      </x:c>
      <x:c r="I2732" s="3" t="n">
        <x:v>6</x:v>
      </x:c>
      <x:c r="J2732" s="15" t="n">
        <x:f>IF(D2732=0,"n.a.",E2732/D2732)</x:f>
        <x:v>0</x:v>
      </x:c>
      <x:c r="K2732" s="15" t="n">
        <x:f>F2732/'Datos'!$F$7</x:f>
        <x:v>0.000019235739798924033</x:v>
      </x:c>
      <x:c r="L2732" s="3"/>
    </x:row>
    <x:row r="2733" ht="22" customHeight="1">
      <x:c r="A2733" s="3"/>
      <x:c r="B2733" s="3" t="str">
        <x:v>84926F</x:v>
      </x:c>
      <x:c r="C2733" s="3" t="str">
        <x:v>PSYCHEDELIC TILE COASTER</x:v>
      </x:c>
      <x:c r="D2733" s="13" t="n">
        <x:v>195.22</x:v>
      </x:c>
      <x:c r="E2733" s="13" t="n">
        <x:v>6.96</x:v>
      </x:c>
      <x:c r="F2733" s="13" t="n">
        <x:f>D2733-E2733</x:f>
        <x:v>188.26</x:v>
      </x:c>
      <x:c r="G2733" s="3" t="n">
        <x:v>430</x:v>
      </x:c>
      <x:c r="H2733" s="3" t="n">
        <x:v>24</x:v>
      </x:c>
      <x:c r="I2733" s="3" t="n">
        <x:v>28</x:v>
      </x:c>
      <x:c r="J2733" s="15" t="n">
        <x:f>IF(D2733=0,"n.a.",E2733/D2733)</x:f>
        <x:v>0.035652084827374246</x:v>
      </x:c>
      <x:c r="K2733" s="15" t="n">
        <x:f>F2733/'Datos'!$F$7</x:f>
        <x:v>0.000019224506951985125</x:v>
      </x:c>
      <x:c r="L2733" s="3"/>
    </x:row>
    <x:row r="2734" ht="22" customHeight="1">
      <x:c r="A2734" s="3"/>
      <x:c r="B2734" s="3" t="str">
        <x:v>20694</x:v>
      </x:c>
      <x:c r="C2734" s="3" t="str">
        <x:v>FLORAL PINK MONSTER</x:v>
      </x:c>
      <x:c r="D2734" s="13" t="n">
        <x:v>187.54</x:v>
      </x:c>
      <x:c r="E2734" s="13" t="n">
        <x:v>0</x:v>
      </x:c>
      <x:c r="F2734" s="13" t="n">
        <x:f>D2734-E2734</x:f>
        <x:v>187.54</x:v>
      </x:c>
      <x:c r="G2734" s="3" t="n">
        <x:v>43</x:v>
      </x:c>
      <x:c r="H2734" s="3" t="n">
        <x:v>0</x:v>
      </x:c>
      <x:c r="I2734" s="3" t="n">
        <x:v>16</x:v>
      </x:c>
      <x:c r="J2734" s="15" t="n">
        <x:f>IF(D2734=0,"n.a.",E2734/D2734)</x:f>
        <x:v>0</x:v>
      </x:c>
      <x:c r="K2734" s="15" t="n">
        <x:f>F2734/'Datos'!$F$7</x:f>
        <x:v>0.000019150982862930472</x:v>
      </x:c>
      <x:c r="L2734" s="3"/>
    </x:row>
    <x:row r="2735" ht="22" customHeight="1">
      <x:c r="A2735" s="3"/>
      <x:c r="B2735" s="3" t="str">
        <x:v>84711B</x:v>
      </x:c>
      <x:c r="C2735" s="3" t="str">
        <x:v>PINK OVAL SHAPE TRINKET BOX</x:v>
      </x:c>
      <x:c r="D2735" s="13" t="n">
        <x:v>186.64</x:v>
      </x:c>
      <x:c r="E2735" s="13" t="n">
        <x:v>0</x:v>
      </x:c>
      <x:c r="F2735" s="13" t="n">
        <x:f>D2735-E2735</x:f>
        <x:v>186.64</x:v>
      </x:c>
      <x:c r="G2735" s="3" t="n">
        <x:v>20</x:v>
      </x:c>
      <x:c r="H2735" s="3" t="n">
        <x:v>0</x:v>
      </x:c>
      <x:c r="I2735" s="3" t="n">
        <x:v>13</x:v>
      </x:c>
      <x:c r="J2735" s="15" t="n">
        <x:f>IF(D2735=0,"n.a.",E2735/D2735)</x:f>
        <x:v>0</x:v>
      </x:c>
      <x:c r="K2735" s="15" t="n">
        <x:f>F2735/'Datos'!$F$7</x:f>
        <x:v>0.000019059077751612154</x:v>
      </x:c>
      <x:c r="L2735" s="3"/>
    </x:row>
    <x:row r="2736" ht="22" customHeight="1">
      <x:c r="A2736" s="3"/>
      <x:c r="B2736" s="3" t="str">
        <x:v>84535A</x:v>
      </x:c>
      <x:c r="C2736" s="3" t="str">
        <x:v>ENGLISH ROSE NOTEBOOK A6 SIZE</x:v>
      </x:c>
      <x:c r="D2736" s="13" t="n">
        <x:v>186.56</x:v>
      </x:c>
      <x:c r="E2736" s="13" t="n">
        <x:v>0</x:v>
      </x:c>
      <x:c r="F2736" s="13" t="n">
        <x:f>D2736-E2736</x:f>
        <x:v>186.56</x:v>
      </x:c>
      <x:c r="G2736" s="3" t="n">
        <x:v>399</x:v>
      </x:c>
      <x:c r="H2736" s="3" t="n">
        <x:v>0</x:v>
      </x:c>
      <x:c r="I2736" s="3" t="n">
        <x:v>21</x:v>
      </x:c>
      <x:c r="J2736" s="15" t="n">
        <x:f>IF(D2736=0,"n.a.",E2736/D2736)</x:f>
        <x:v>0</x:v>
      </x:c>
      <x:c r="K2736" s="15" t="n">
        <x:f>F2736/'Datos'!$F$7</x:f>
        <x:v>0.00001905090840838386</x:v>
      </x:c>
      <x:c r="L2736" s="3"/>
    </x:row>
    <x:row r="2737" ht="22" customHeight="1">
      <x:c r="A2737" s="3"/>
      <x:c r="B2737" s="3" t="str">
        <x:v>84993A</x:v>
      </x:c>
      <x:c r="C2737" s="3" t="str">
        <x:v>75 GREEN PETIT FOUR CASES</x:v>
      </x:c>
      <x:c r="D2737" s="13" t="n">
        <x:v>186.25</x:v>
      </x:c>
      <x:c r="E2737" s="13" t="n">
        <x:v>0</x:v>
      </x:c>
      <x:c r="F2737" s="13" t="n">
        <x:f>D2737-E2737</x:f>
        <x:v>186.25</x:v>
      </x:c>
      <x:c r="G2737" s="3" t="n">
        <x:v>375</x:v>
      </x:c>
      <x:c r="H2737" s="3" t="n">
        <x:v>0</x:v>
      </x:c>
      <x:c r="I2737" s="3" t="n">
        <x:v>74</x:v>
      </x:c>
      <x:c r="J2737" s="15" t="n">
        <x:f>IF(D2737=0,"n.a.",E2737/D2737)</x:f>
        <x:v>0</x:v>
      </x:c>
      <x:c r="K2737" s="15" t="n">
        <x:f>F2737/'Datos'!$F$7</x:f>
        <x:v>0.000019019252203374215</x:v>
      </x:c>
      <x:c r="L2737" s="3"/>
    </x:row>
    <x:row r="2738" ht="22" customHeight="1">
      <x:c r="A2738" s="3"/>
      <x:c r="B2738" s="3" t="str">
        <x:v>21306</x:v>
      </x:c>
      <x:c r="C2738" s="3" t="str">
        <x:v>SET/4 DAISY MIRROR MAGNETS</x:v>
      </x:c>
      <x:c r="D2738" s="13" t="n">
        <x:v>193.03</x:v>
      </x:c>
      <x:c r="E2738" s="13" t="n">
        <x:v>7.32</x:v>
      </x:c>
      <x:c r="F2738" s="13" t="n">
        <x:f>D2738-E2738</x:f>
        <x:v>185.71</x:v>
      </x:c>
      <x:c r="G2738" s="3" t="n">
        <x:v>495</x:v>
      </x:c>
      <x:c r="H2738" s="3" t="n">
        <x:v>19</x:v>
      </x:c>
      <x:c r="I2738" s="3" t="n">
        <x:v>44</x:v>
      </x:c>
      <x:c r="J2738" s="15" t="n">
        <x:f>IF(D2738=0,"n.a.",E2738/D2738)</x:f>
        <x:v>0.03792156659586593</x:v>
      </x:c>
      <x:c r="K2738" s="15" t="n">
        <x:f>F2738/'Datos'!$F$7</x:f>
        <x:v>0.000018964109136583227</x:v>
      </x:c>
      <x:c r="L2738" s="3"/>
    </x:row>
    <x:row r="2739" ht="22" customHeight="1">
      <x:c r="A2739" s="3"/>
      <x:c r="B2739" s="3" t="str">
        <x:v>21402</x:v>
      </x:c>
      <x:c r="C2739" s="3" t="str">
        <x:v>RED EGG SPOON</x:v>
      </x:c>
      <x:c r="D2739" s="13" t="n">
        <x:v>185.52</x:v>
      </x:c>
      <x:c r="E2739" s="13" t="n">
        <x:v>0</x:v>
      </x:c>
      <x:c r="F2739" s="13" t="n">
        <x:f>D2739-E2739</x:f>
        <x:v>185.52</x:v>
      </x:c>
      <x:c r="G2739" s="3" t="n">
        <x:v>1369</x:v>
      </x:c>
      <x:c r="H2739" s="3" t="n">
        <x:v>0</x:v>
      </x:c>
      <x:c r="I2739" s="3" t="n">
        <x:v>92</x:v>
      </x:c>
      <x:c r="J2739" s="15" t="n">
        <x:f>IF(D2739=0,"n.a.",E2739/D2739)</x:f>
        <x:v>0</x:v>
      </x:c>
      <x:c r="K2739" s="15" t="n">
        <x:f>F2739/'Datos'!$F$7</x:f>
        <x:v>0.000018944706946416026</x:v>
      </x:c>
      <x:c r="L2739" s="3"/>
    </x:row>
    <x:row r="2740" ht="22" customHeight="1">
      <x:c r="A2740" s="3"/>
      <x:c r="B2740" s="3" t="str">
        <x:v>84429A</x:v>
      </x:c>
      <x:c r="C2740" s="3" t="str">
        <x:v>MEDIUM PINK BUDDHA HEAD</x:v>
      </x:c>
      <x:c r="D2740" s="13" t="n">
        <x:v>185.45</x:v>
      </x:c>
      <x:c r="E2740" s="13" t="n">
        <x:v>0</x:v>
      </x:c>
      <x:c r="F2740" s="13" t="n">
        <x:f>D2740-E2740</x:f>
        <x:v>185.45</x:v>
      </x:c>
      <x:c r="G2740" s="3" t="n">
        <x:v>55</x:v>
      </x:c>
      <x:c r="H2740" s="3" t="n">
        <x:v>0</x:v>
      </x:c>
      <x:c r="I2740" s="3" t="n">
        <x:v>21</x:v>
      </x:c>
      <x:c r="J2740" s="15" t="n">
        <x:f>IF(D2740=0,"n.a.",E2740/D2740)</x:f>
        <x:v>0</x:v>
      </x:c>
      <x:c r="K2740" s="15" t="n">
        <x:f>F2740/'Datos'!$F$7</x:f>
        <x:v>0.000018937558771091265</x:v>
      </x:c>
      <x:c r="L2740" s="3"/>
    </x:row>
    <x:row r="2741" ht="22" customHeight="1">
      <x:c r="A2741" s="3"/>
      <x:c r="B2741" s="3" t="str">
        <x:v>23416</x:v>
      </x:c>
      <x:c r="C2741" s="3" t="str">
        <x:v>CHAMBRE HOOK</x:v>
      </x:c>
      <x:c r="D2741" s="13" t="n">
        <x:v>184.68</x:v>
      </x:c>
      <x:c r="E2741" s="13" t="n">
        <x:v>0</x:v>
      </x:c>
      <x:c r="F2741" s="13" t="n">
        <x:f>D2741-E2741</x:f>
        <x:v>184.68</x:v>
      </x:c>
      <x:c r="G2741" s="3" t="n">
        <x:v>132</x:v>
      </x:c>
      <x:c r="H2741" s="3" t="n">
        <x:v>0</x:v>
      </x:c>
      <x:c r="I2741" s="3" t="n">
        <x:v>25</x:v>
      </x:c>
      <x:c r="J2741" s="15" t="n">
        <x:f>IF(D2741=0,"n.a.",E2741/D2741)</x:f>
        <x:v>0</x:v>
      </x:c>
      <x:c r="K2741" s="15" t="n">
        <x:f>F2741/'Datos'!$F$7</x:f>
        <x:v>0.00001885892884251893</x:v>
      </x:c>
      <x:c r="L2741" s="3"/>
    </x:row>
    <x:row r="2742" ht="22" customHeight="1">
      <x:c r="A2742" s="3"/>
      <x:c r="B2742" s="3" t="str">
        <x:v>90016B</x:v>
      </x:c>
      <x:c r="C2742" s="3" t="str">
        <x:v>GOLD/M.O.P PENDANT ORBIT NECKLACE</x:v>
      </x:c>
      <x:c r="D2742" s="13" t="n">
        <x:v>184.66</x:v>
      </x:c>
      <x:c r="E2742" s="13" t="n">
        <x:v>0</x:v>
      </x:c>
      <x:c r="F2742" s="13" t="n">
        <x:f>D2742-E2742</x:f>
        <x:v>184.66</x:v>
      </x:c>
      <x:c r="G2742" s="3" t="n">
        <x:v>22</x:v>
      </x:c>
      <x:c r="H2742" s="3" t="n">
        <x:v>0</x:v>
      </x:c>
      <x:c r="I2742" s="3" t="n">
        <x:v>19</x:v>
      </x:c>
      <x:c r="J2742" s="15" t="n">
        <x:f>IF(D2742=0,"n.a.",E2742/D2742)</x:f>
        <x:v>0</x:v>
      </x:c>
      <x:c r="K2742" s="15" t="n">
        <x:f>F2742/'Datos'!$F$7</x:f>
        <x:v>0.000018856886506711854</x:v>
      </x:c>
      <x:c r="L2742" s="3"/>
    </x:row>
    <x:row r="2743" ht="22" customHeight="1">
      <x:c r="A2743" s="3"/>
      <x:c r="B2743" s="3" t="str">
        <x:v>85055</x:v>
      </x:c>
      <x:c r="C2743" s="3" t="str">
        <x:v>FRENCH ENAMEL UTENSIL HOLDER</x:v>
      </x:c>
      <x:c r="D2743" s="13" t="n">
        <x:v>183.71</x:v>
      </x:c>
      <x:c r="E2743" s="13" t="n">
        <x:v>0</x:v>
      </x:c>
      <x:c r="F2743" s="13" t="n">
        <x:f>D2743-E2743</x:f>
        <x:v>183.71</x:v>
      </x:c>
      <x:c r="G2743" s="3" t="n">
        <x:v>45</x:v>
      </x:c>
      <x:c r="H2743" s="3" t="n">
        <x:v>0</x:v>
      </x:c>
      <x:c r="I2743" s="3" t="n">
        <x:v>16</x:v>
      </x:c>
      <x:c r="J2743" s="15" t="n">
        <x:f>IF(D2743=0,"n.a.",E2743/D2743)</x:f>
        <x:v>0</x:v>
      </x:c>
      <x:c r="K2743" s="15" t="n">
        <x:f>F2743/'Datos'!$F$7</x:f>
        <x:v>0.000018759875555875853</x:v>
      </x:c>
      <x:c r="L2743" s="3"/>
    </x:row>
    <x:row r="2744" ht="22" customHeight="1">
      <x:c r="A2744" s="3"/>
      <x:c r="B2744" s="3" t="str">
        <x:v>84509E</x:v>
      </x:c>
      <x:c r="C2744" s="3" t="str">
        <x:v>SET OF 4 CAROUSEL PLACEMATS</x:v>
      </x:c>
      <x:c r="D2744" s="13" t="n">
        <x:v>183.45</x:v>
      </x:c>
      <x:c r="E2744" s="13" t="n">
        <x:v>0</x:v>
      </x:c>
      <x:c r="F2744" s="13" t="n">
        <x:f>D2744-E2744</x:f>
        <x:v>183.45</x:v>
      </x:c>
      <x:c r="G2744" s="3" t="n">
        <x:v>91</x:v>
      </x:c>
      <x:c r="H2744" s="3" t="n">
        <x:v>0</x:v>
      </x:c>
      <x:c r="I2744" s="3" t="n">
        <x:v>23</x:v>
      </x:c>
      <x:c r="J2744" s="15" t="n">
        <x:f>IF(D2744=0,"n.a.",E2744/D2744)</x:f>
        <x:v>0</x:v>
      </x:c>
      <x:c r="K2744" s="15" t="n">
        <x:f>F2744/'Datos'!$F$7</x:f>
        <x:v>0.00001873332519038389</x:v>
      </x:c>
      <x:c r="L2744" s="3"/>
    </x:row>
    <x:row r="2745" ht="22" customHeight="1">
      <x:c r="A2745" s="3"/>
      <x:c r="B2745" s="3" t="str">
        <x:v>21911</x:v>
      </x:c>
      <x:c r="C2745" s="3" t="str">
        <x:v>GARDEN METAL SIGN</x:v>
      </x:c>
      <x:c r="D2745" s="13" t="n">
        <x:v>203.21</x:v>
      </x:c>
      <x:c r="E2745" s="13" t="n">
        <x:v>19.8</x:v>
      </x:c>
      <x:c r="F2745" s="13" t="n">
        <x:f>D2745-E2745</x:f>
        <x:v>183.41</x:v>
      </x:c>
      <x:c r="G2745" s="3" t="n">
        <x:v>114</x:v>
      </x:c>
      <x:c r="H2745" s="3" t="n">
        <x:v>12</x:v>
      </x:c>
      <x:c r="I2745" s="3" t="n">
        <x:v>29</x:v>
      </x:c>
      <x:c r="J2745" s="15" t="n">
        <x:f>IF(D2745=0,"n.a.",E2745/D2745)</x:f>
        <x:v>0.09743614979577776</x:v>
      </x:c>
      <x:c r="K2745" s="15" t="n">
        <x:f>F2745/'Datos'!$F$7</x:f>
        <x:v>0.000018729240518769746</x:v>
      </x:c>
      <x:c r="L2745" s="3"/>
    </x:row>
    <x:row r="2746" ht="22" customHeight="1">
      <x:c r="A2746" s="3"/>
      <x:c r="B2746" s="3" t="str">
        <x:v>47594A</x:v>
      </x:c>
      <x:c r="C2746" s="3" t="str">
        <x:v>CAROUSEL DESIGN WASHBAG</x:v>
      </x:c>
      <x:c r="D2746" s="13" t="n">
        <x:v>199.84</x:v>
      </x:c>
      <x:c r="E2746" s="13" t="n">
        <x:v>17.55</x:v>
      </x:c>
      <x:c r="F2746" s="13" t="n">
        <x:f>D2746-E2746</x:f>
        <x:v>182.29</x:v>
      </x:c>
      <x:c r="G2746" s="3" t="n">
        <x:v>108</x:v>
      </x:c>
      <x:c r="H2746" s="3" t="n">
        <x:v>9</x:v>
      </x:c>
      <x:c r="I2746" s="3" t="n">
        <x:v>50</x:v>
      </x:c>
      <x:c r="J2746" s="15" t="n">
        <x:f>IF(D2746=0,"n.a.",E2746/D2746)</x:f>
        <x:v>0.08782025620496398</x:v>
      </x:c>
      <x:c r="K2746" s="15" t="n">
        <x:f>F2746/'Datos'!$F$7</x:f>
        <x:v>0.000018614869713573615</x:v>
      </x:c>
      <x:c r="L2746" s="3"/>
    </x:row>
    <x:row r="2747" ht="22" customHeight="1">
      <x:c r="A2747" s="3"/>
      <x:c r="B2747" s="3" t="str">
        <x:v>22032</x:v>
      </x:c>
      <x:c r="C2747" s="3" t="str">
        <x:v>BOTANICAL LILY GREETING CARD</x:v>
      </x:c>
      <x:c r="D2747" s="13" t="n">
        <x:v>181.98</x:v>
      </x:c>
      <x:c r="E2747" s="13" t="n">
        <x:v>0</x:v>
      </x:c>
      <x:c r="F2747" s="13" t="n">
        <x:f>D2747-E2747</x:f>
        <x:v>181.98</x:v>
      </x:c>
      <x:c r="G2747" s="3" t="n">
        <x:v>427</x:v>
      </x:c>
      <x:c r="H2747" s="3" t="n">
        <x:v>0</x:v>
      </x:c>
      <x:c r="I2747" s="3" t="n">
        <x:v>60</x:v>
      </x:c>
      <x:c r="J2747" s="15" t="n">
        <x:f>IF(D2747=0,"n.a.",E2747/D2747)</x:f>
        <x:v>0</x:v>
      </x:c>
      <x:c r="K2747" s="15" t="n">
        <x:f>F2747/'Datos'!$F$7</x:f>
        <x:v>0.000018583213508563973</x:v>
      </x:c>
      <x:c r="L2747" s="3"/>
    </x:row>
    <x:row r="2748" ht="22" customHeight="1">
      <x:c r="A2748" s="3"/>
      <x:c r="B2748" s="3" t="str">
        <x:v>21826</x:v>
      </x:c>
      <x:c r="C2748" s="3" t="str">
        <x:v>EIGHT PIECE DINOSAUR SET</x:v>
      </x:c>
      <x:c r="D2748" s="13" t="n">
        <x:v>186.43</x:v>
      </x:c>
      <x:c r="E2748" s="13" t="n">
        <x:v>5</x:v>
      </x:c>
      <x:c r="F2748" s="13" t="n">
        <x:f>D2748-E2748</x:f>
        <x:v>181.43</x:v>
      </x:c>
      <x:c r="G2748" s="3" t="n">
        <x:v>126</x:v>
      </x:c>
      <x:c r="H2748" s="3" t="n">
        <x:v>4</x:v>
      </x:c>
      <x:c r="I2748" s="3" t="n">
        <x:v>35</x:v>
      </x:c>
      <x:c r="J2748" s="15" t="n">
        <x:f>IF(D2748=0,"n.a.",E2748/D2748)</x:f>
        <x:v>0.02681971785656815</x:v>
      </x:c>
      <x:c r="K2748" s="15" t="n">
        <x:f>F2748/'Datos'!$F$7</x:f>
        <x:v>0.000018527049273869446</x:v>
      </x:c>
      <x:c r="L2748" s="3"/>
    </x:row>
    <x:row r="2749" ht="22" customHeight="1">
      <x:c r="A2749" s="3"/>
      <x:c r="B2749" s="3" t="str">
        <x:v>21311</x:v>
      </x:c>
      <x:c r="C2749" s="3" t="str">
        <x:v>SET/4 BIRD MIRROR MAGNETS</x:v>
      </x:c>
      <x:c r="D2749" s="13" t="n">
        <x:v>188.87</x:v>
      </x:c>
      <x:c r="E2749" s="13" t="n">
        <x:v>7.83</x:v>
      </x:c>
      <x:c r="F2749" s="13" t="n">
        <x:f>D2749-E2749</x:f>
        <x:v>181.04</x:v>
      </x:c>
      <x:c r="G2749" s="3" t="n">
        <x:v>485</x:v>
      </x:c>
      <x:c r="H2749" s="3" t="n">
        <x:v>27</x:v>
      </x:c>
      <x:c r="I2749" s="3" t="n">
        <x:v>51</x:v>
      </x:c>
      <x:c r="J2749" s="15" t="n">
        <x:f>IF(D2749=0,"n.a.",E2749/D2749)</x:f>
        <x:v>0.0414570868851591</x:v>
      </x:c>
      <x:c r="K2749" s="15" t="n">
        <x:f>F2749/'Datos'!$F$7</x:f>
        <x:v>0.000018487223725631507</x:v>
      </x:c>
      <x:c r="L2749" s="3"/>
    </x:row>
    <x:row r="2750" ht="22" customHeight="1">
      <x:c r="A2750" s="3"/>
      <x:c r="B2750" s="3" t="str">
        <x:v>84927F</x:v>
      </x:c>
      <x:c r="C2750" s="3" t="str">
        <x:v>PSYCHEDELIC TILE HOOK</x:v>
      </x:c>
      <x:c r="D2750" s="13" t="n">
        <x:v>182.95</x:v>
      </x:c>
      <x:c r="E2750" s="13" t="n">
        <x:v>1.95</x:v>
      </x:c>
      <x:c r="F2750" s="13" t="n">
        <x:f>D2750-E2750</x:f>
        <x:v>181</x:v>
      </x:c>
      <x:c r="G2750" s="3" t="n">
        <x:v>299</x:v>
      </x:c>
      <x:c r="H2750" s="3" t="n">
        <x:v>5</x:v>
      </x:c>
      <x:c r="I2750" s="3" t="n">
        <x:v>44</x:v>
      </x:c>
      <x:c r="J2750" s="15" t="n">
        <x:f>IF(D2750=0,"n.a.",E2750/D2750)</x:f>
        <x:v>0.01065864990434545</x:v>
      </x:c>
      <x:c r="K2750" s="15" t="n">
        <x:f>F2750/'Datos'!$F$7</x:f>
        <x:v>0.00001848313905401736</x:v>
      </x:c>
      <x:c r="L2750" s="3"/>
    </x:row>
    <x:row r="2751" ht="22" customHeight="1">
      <x:c r="A2751" s="3"/>
      <x:c r="B2751" s="3" t="str">
        <x:v>84907</x:v>
      </x:c>
      <x:c r="C2751" s="3" t="str">
        <x:v>PINK YELLOW PATCH CUSHION COVER</x:v>
      </x:c>
      <x:c r="D2751" s="13" t="n">
        <x:v>180.93</x:v>
      </x:c>
      <x:c r="E2751" s="13" t="n">
        <x:v>0</x:v>
      </x:c>
      <x:c r="F2751" s="13" t="n">
        <x:f>D2751-E2751</x:f>
        <x:v>180.93</x:v>
      </x:c>
      <x:c r="G2751" s="3" t="n">
        <x:v>29</x:v>
      </x:c>
      <x:c r="H2751" s="3" t="n">
        <x:v>0</x:v>
      </x:c>
      <x:c r="I2751" s="3" t="n">
        <x:v>23</x:v>
      </x:c>
      <x:c r="J2751" s="15" t="n">
        <x:f>IF(D2751=0,"n.a.",E2751/D2751)</x:f>
        <x:v>0</x:v>
      </x:c>
      <x:c r="K2751" s="15" t="n">
        <x:f>F2751/'Datos'!$F$7</x:f>
        <x:v>0.000018475990878692603</x:v>
      </x:c>
      <x:c r="L2751" s="3"/>
    </x:row>
    <x:row r="2752" ht="22" customHeight="1">
      <x:c r="A2752" s="3"/>
      <x:c r="B2752" s="3" t="str">
        <x:v>85215</x:v>
      </x:c>
      <x:c r="C2752" s="3" t="str">
        <x:v>ASSORTED CHEESE FRIDGE MAGNETS</x:v>
      </x:c>
      <x:c r="D2752" s="13" t="n">
        <x:v>180.71</x:v>
      </x:c>
      <x:c r="E2752" s="13" t="n">
        <x:v>0</x:v>
      </x:c>
      <x:c r="F2752" s="13" t="n">
        <x:f>D2752-E2752</x:f>
        <x:v>180.71</x:v>
      </x:c>
      <x:c r="G2752" s="3" t="n">
        <x:v>223</x:v>
      </x:c>
      <x:c r="H2752" s="3" t="n">
        <x:v>0</x:v>
      </x:c>
      <x:c r="I2752" s="3" t="n">
        <x:v>18</x:v>
      </x:c>
      <x:c r="J2752" s="15" t="n">
        <x:f>IF(D2752=0,"n.a.",E2752/D2752)</x:f>
        <x:v>0</x:v>
      </x:c>
      <x:c r="K2752" s="15" t="n">
        <x:f>F2752/'Datos'!$F$7</x:f>
        <x:v>0.00001845352518481479</x:v>
      </x:c>
      <x:c r="L2752" s="3"/>
    </x:row>
    <x:row r="2753" ht="22" customHeight="1">
      <x:c r="A2753" s="3"/>
      <x:c r="B2753" s="3" t="str">
        <x:v>84804A</x:v>
      </x:c>
      <x:c r="C2753" s="3" t="str">
        <x:v>CREAM DELPHINIUM ARTIFICIAL FLOWER</x:v>
      </x:c>
      <x:c r="D2753" s="13" t="n">
        <x:v>180.58</x:v>
      </x:c>
      <x:c r="E2753" s="13" t="n">
        <x:v>0</x:v>
      </x:c>
      <x:c r="F2753" s="13" t="n">
        <x:f>D2753-E2753</x:f>
        <x:v>180.58</x:v>
      </x:c>
      <x:c r="G2753" s="3" t="n">
        <x:v>70</x:v>
      </x:c>
      <x:c r="H2753" s="3" t="n">
        <x:v>0</x:v>
      </x:c>
      <x:c r="I2753" s="3" t="n">
        <x:v>8</x:v>
      </x:c>
      <x:c r="J2753" s="15" t="n">
        <x:f>IF(D2753=0,"n.a.",E2753/D2753)</x:f>
        <x:v>0</x:v>
      </x:c>
      <x:c r="K2753" s="15" t="n">
        <x:f>F2753/'Datos'!$F$7</x:f>
        <x:v>0.00001844025000206881</x:v>
      </x:c>
      <x:c r="L2753" s="3"/>
    </x:row>
    <x:row r="2754" ht="22" customHeight="1">
      <x:c r="A2754" s="3"/>
      <x:c r="B2754" s="3" t="str">
        <x:v>84859C</x:v>
      </x:c>
      <x:c r="C2754" s="3" t="str">
        <x:v>PINK DISCO HANDBAG</x:v>
      </x:c>
      <x:c r="D2754" s="13" t="n">
        <x:v>180.52</x:v>
      </x:c>
      <x:c r="E2754" s="13" t="n">
        <x:v>0</x:v>
      </x:c>
      <x:c r="F2754" s="13" t="n">
        <x:f>D2754-E2754</x:f>
        <x:v>180.52</x:v>
      </x:c>
      <x:c r="G2754" s="3" t="n">
        <x:v>84</x:v>
      </x:c>
      <x:c r="H2754" s="3" t="n">
        <x:v>0</x:v>
      </x:c>
      <x:c r="I2754" s="3" t="n">
        <x:v>22</x:v>
      </x:c>
      <x:c r="J2754" s="15" t="n">
        <x:f>IF(D2754=0,"n.a.",E2754/D2754)</x:f>
        <x:v>0</x:v>
      </x:c>
      <x:c r="K2754" s="15" t="n">
        <x:f>F2754/'Datos'!$F$7</x:f>
        <x:v>0.000018434122994647592</x:v>
      </x:c>
      <x:c r="L2754" s="3"/>
    </x:row>
    <x:row r="2755" ht="22" customHeight="1">
      <x:c r="A2755" s="3"/>
      <x:c r="B2755" s="3" t="str">
        <x:v>22157</x:v>
      </x:c>
      <x:c r="C2755" s="3" t="str">
        <x:v>ANGEL DECORATION WITH LACE PADDED</x:v>
      </x:c>
      <x:c r="D2755" s="13" t="n">
        <x:v>180.2</x:v>
      </x:c>
      <x:c r="E2755" s="13" t="n">
        <x:v>0</x:v>
      </x:c>
      <x:c r="F2755" s="13" t="n">
        <x:f>D2755-E2755</x:f>
        <x:v>180.2</x:v>
      </x:c>
      <x:c r="G2755" s="3" t="n">
        <x:v>212</x:v>
      </x:c>
      <x:c r="H2755" s="3" t="n">
        <x:v>0</x:v>
      </x:c>
      <x:c r="I2755" s="3" t="n">
        <x:v>11</x:v>
      </x:c>
      <x:c r="J2755" s="15" t="n">
        <x:f>IF(D2755=0,"n.a.",E2755/D2755)</x:f>
        <x:v>0</x:v>
      </x:c>
      <x:c r="K2755" s="15" t="n">
        <x:f>F2755/'Datos'!$F$7</x:f>
        <x:v>0.000018401445621734407</x:v>
      </x:c>
      <x:c r="L2755" s="3"/>
    </x:row>
    <x:row r="2756" ht="22" customHeight="1">
      <x:c r="A2756" s="3"/>
      <x:c r="B2756" s="3" t="str">
        <x:v>21721</x:v>
      </x:c>
      <x:c r="C2756" s="3" t="str">
        <x:v>CANDY SHOP STICKER SHEET</x:v>
      </x:c>
      <x:c r="D2756" s="13" t="n">
        <x:v>179.46</x:v>
      </x:c>
      <x:c r="E2756" s="13" t="n">
        <x:v>0</x:v>
      </x:c>
      <x:c r="F2756" s="13" t="n">
        <x:f>D2756-E2756</x:f>
        <x:v>179.46</x:v>
      </x:c>
      <x:c r="G2756" s="3" t="n">
        <x:v>195</x:v>
      </x:c>
      <x:c r="H2756" s="3" t="n">
        <x:v>0</x:v>
      </x:c>
      <x:c r="I2756" s="3" t="n">
        <x:v>33</x:v>
      </x:c>
      <x:c r="J2756" s="15" t="n">
        <x:f>IF(D2756=0,"n.a.",E2756/D2756)</x:f>
        <x:v>0</x:v>
      </x:c>
      <x:c r="K2756" s="15" t="n">
        <x:f>F2756/'Datos'!$F$7</x:f>
        <x:v>0.000018325879196872682</x:v>
      </x:c>
      <x:c r="L2756" s="3"/>
    </x:row>
    <x:row r="2757" ht="22" customHeight="1">
      <x:c r="A2757" s="3"/>
      <x:c r="B2757" s="3" t="str">
        <x:v>40003</x:v>
      </x:c>
      <x:c r="C2757" s="3" t="str">
        <x:v>WHITE BAMBOO RIBS LAMPSHADE</x:v>
      </x:c>
      <x:c r="D2757" s="13" t="n">
        <x:v>179.23</x:v>
      </x:c>
      <x:c r="E2757" s="13" t="n">
        <x:v>0</x:v>
      </x:c>
      <x:c r="F2757" s="13" t="n">
        <x:f>D2757-E2757</x:f>
        <x:v>179.23</x:v>
      </x:c>
      <x:c r="G2757" s="3" t="n">
        <x:v>155</x:v>
      </x:c>
      <x:c r="H2757" s="3" t="n">
        <x:v>0</x:v>
      </x:c>
      <x:c r="I2757" s="3" t="n">
        <x:v>15</x:v>
      </x:c>
      <x:c r="J2757" s="15" t="n">
        <x:f>IF(D2757=0,"n.a.",E2757/D2757)</x:f>
        <x:v>0</x:v>
      </x:c>
      <x:c r="K2757" s="15" t="n">
        <x:f>F2757/'Datos'!$F$7</x:f>
        <x:v>0.00001830239233509133</x:v>
      </x:c>
      <x:c r="L2757" s="3"/>
    </x:row>
    <x:row r="2758" ht="22" customHeight="1">
      <x:c r="A2758" s="3"/>
      <x:c r="B2758" s="3" t="str">
        <x:v>21847</x:v>
      </x:c>
      <x:c r="C2758" s="3" t="str">
        <x:v>GREEN DIAMANTE PEN IN GIFT BOX</x:v>
      </x:c>
      <x:c r="D2758" s="13" t="n">
        <x:v>178.89</x:v>
      </x:c>
      <x:c r="E2758" s="13" t="n">
        <x:v>0</x:v>
      </x:c>
      <x:c r="F2758" s="13" t="n">
        <x:f>D2758-E2758</x:f>
        <x:v>178.89</x:v>
      </x:c>
      <x:c r="G2758" s="3" t="n">
        <x:v>76</x:v>
      </x:c>
      <x:c r="H2758" s="3" t="n">
        <x:v>0</x:v>
      </x:c>
      <x:c r="I2758" s="3" t="n">
        <x:v>33</x:v>
      </x:c>
      <x:c r="J2758" s="15" t="n">
        <x:f>IF(D2758=0,"n.a.",E2758/D2758)</x:f>
        <x:v>0</x:v>
      </x:c>
      <x:c r="K2758" s="15" t="n">
        <x:f>F2758/'Datos'!$F$7</x:f>
        <x:v>0.000018267672626371078</x:v>
      </x:c>
      <x:c r="L2758" s="3"/>
    </x:row>
    <x:row r="2759" ht="22" customHeight="1">
      <x:c r="A2759" s="3"/>
      <x:c r="B2759" s="3" t="str">
        <x:v>85131C</x:v>
      </x:c>
      <x:c r="C2759" s="3" t="str">
        <x:v>BEADED CRYSTAL HEART BLUE ON STICK</x:v>
      </x:c>
      <x:c r="D2759" s="13" t="n">
        <x:v>178.85</x:v>
      </x:c>
      <x:c r="E2759" s="13" t="n">
        <x:v>0</x:v>
      </x:c>
      <x:c r="F2759" s="13" t="n">
        <x:f>D2759-E2759</x:f>
        <x:v>178.85</x:v>
      </x:c>
      <x:c r="G2759" s="3" t="n">
        <x:v>193</x:v>
      </x:c>
      <x:c r="H2759" s="3" t="n">
        <x:v>0</x:v>
      </x:c>
      <x:c r="I2759" s="3" t="n">
        <x:v>50</x:v>
      </x:c>
      <x:c r="J2759" s="15" t="n">
        <x:f>IF(D2759=0,"n.a.",E2759/D2759)</x:f>
        <x:v>0</x:v>
      </x:c>
      <x:c r="K2759" s="15" t="n">
        <x:f>F2759/'Datos'!$F$7</x:f>
        <x:v>0.00001826358795475693</x:v>
      </x:c>
      <x:c r="L2759" s="3"/>
    </x:row>
    <x:row r="2760" ht="22" customHeight="1">
      <x:c r="A2760" s="3"/>
      <x:c r="B2760" s="3" t="str">
        <x:v>16258A</x:v>
      </x:c>
      <x:c r="C2760" s="3" t="str">
        <x:v>SWIRLY CIRCULAR RUBBERS IN BAG</x:v>
      </x:c>
      <x:c r="D2760" s="13" t="n">
        <x:v>178.97</x:v>
      </x:c>
      <x:c r="E2760" s="13" t="n">
        <x:v>0.42</x:v>
      </x:c>
      <x:c r="F2760" s="13" t="n">
        <x:f>D2760-E2760</x:f>
        <x:v>178.55</x:v>
      </x:c>
      <x:c r="G2760" s="3" t="n">
        <x:v>472</x:v>
      </x:c>
      <x:c r="H2760" s="3" t="n">
        <x:v>1</x:v>
      </x:c>
      <x:c r="I2760" s="3" t="n">
        <x:v>59</x:v>
      </x:c>
      <x:c r="J2760" s="15" t="n">
        <x:f>IF(D2760=0,"n.a.",E2760/D2760)</x:f>
        <x:v>0.002346762027155389</x:v>
      </x:c>
      <x:c r="K2760" s="15" t="n">
        <x:f>F2760/'Datos'!$F$7</x:f>
        <x:v>0.000018232952917650828</x:v>
      </x:c>
      <x:c r="L2760" s="3"/>
    </x:row>
    <x:row r="2761" ht="22" customHeight="1">
      <x:c r="A2761" s="3"/>
      <x:c r="B2761" s="3" t="str">
        <x:v>79190A</x:v>
      </x:c>
      <x:c r="C2761" s="3" t="str">
        <x:v>RETRO PLASTIC 70'S TRAY</x:v>
      </x:c>
      <x:c r="D2761" s="13" t="n">
        <x:v>179.36</x:v>
      </x:c>
      <x:c r="E2761" s="13" t="n">
        <x:v>1.26</x:v>
      </x:c>
      <x:c r="F2761" s="13" t="n">
        <x:f>D2761-E2761</x:f>
        <x:v>178.10000000000002</x:v>
      </x:c>
      <x:c r="G2761" s="3" t="n">
        <x:v>384</x:v>
      </x:c>
      <x:c r="H2761" s="3" t="n">
        <x:v>3</x:v>
      </x:c>
      <x:c r="I2761" s="3" t="n">
        <x:v>63</x:v>
      </x:c>
      <x:c r="J2761" s="15" t="n">
        <x:f>IF(D2761=0,"n.a.",E2761/D2761)</x:f>
        <x:v>0.007024977698483497</x:v>
      </x:c>
      <x:c r="K2761" s="15" t="n">
        <x:f>F2761/'Datos'!$F$7</x:f>
        <x:v>0.00001818700036199167</x:v>
      </x:c>
      <x:c r="L2761" s="3"/>
    </x:row>
    <x:row r="2762" ht="22" customHeight="1">
      <x:c r="A2762" s="3"/>
      <x:c r="B2762" s="3" t="str">
        <x:v>22872</x:v>
      </x:c>
      <x:c r="C2762" s="3" t="str">
        <x:v>NUMBER TILE COTTAGE GARDEN 4</x:v>
      </x:c>
      <x:c r="D2762" s="13" t="n">
        <x:v>177.46</x:v>
      </x:c>
      <x:c r="E2762" s="13" t="n">
        <x:v>0</x:v>
      </x:c>
      <x:c r="F2762" s="13" t="n">
        <x:f>D2762-E2762</x:f>
        <x:v>177.46</x:v>
      </x:c>
      <x:c r="G2762" s="3" t="n">
        <x:v>72</x:v>
      </x:c>
      <x:c r="H2762" s="3" t="n">
        <x:v>0</x:v>
      </x:c>
      <x:c r="I2762" s="3" t="n">
        <x:v>30</x:v>
      </x:c>
      <x:c r="J2762" s="15" t="n">
        <x:f>IF(D2762=0,"n.a.",E2762/D2762)</x:f>
        <x:v>0</x:v>
      </x:c>
      <x:c r="K2762" s="15" t="n">
        <x:f>F2762/'Datos'!$F$7</x:f>
        <x:v>0.000018121645616165308</x:v>
      </x:c>
      <x:c r="L2762" s="3"/>
    </x:row>
    <x:row r="2763" ht="22" customHeight="1">
      <x:c r="A2763" s="3"/>
      <x:c r="B2763" s="3" t="str">
        <x:v>90197B</x:v>
      </x:c>
      <x:c r="C2763" s="3" t="str">
        <x:v>BLACK GLASS BRACELET W HEART CHARMS</x:v>
      </x:c>
      <x:c r="D2763" s="13" t="n">
        <x:v>174.73</x:v>
      </x:c>
      <x:c r="E2763" s="13" t="n">
        <x:v>0</x:v>
      </x:c>
      <x:c r="F2763" s="13" t="n">
        <x:f>D2763-E2763</x:f>
        <x:v>174.73</x:v>
      </x:c>
      <x:c r="G2763" s="3" t="n">
        <x:v>35</x:v>
      </x:c>
      <x:c r="H2763" s="3" t="n">
        <x:v>0</x:v>
      </x:c>
      <x:c r="I2763" s="3" t="n">
        <x:v>27</x:v>
      </x:c>
      <x:c r="J2763" s="15" t="n">
        <x:f>IF(D2763=0,"n.a.",E2763/D2763)</x:f>
        <x:v>0</x:v>
      </x:c>
      <x:c r="K2763" s="15" t="n">
        <x:f>F2763/'Datos'!$F$7</x:f>
        <x:v>0.00001784286677849974</x:v>
      </x:c>
      <x:c r="L2763" s="3"/>
    </x:row>
    <x:row r="2764" ht="22" customHeight="1">
      <x:c r="A2764" s="3"/>
      <x:c r="B2764" s="3" t="str">
        <x:v>84691</x:v>
      </x:c>
      <x:c r="C2764" s="3" t="str">
        <x:v>PACK 20 DOLLY PEGS</x:v>
      </x:c>
      <x:c r="D2764" s="13" t="n">
        <x:v>174.5</x:v>
      </x:c>
      <x:c r="E2764" s="13" t="n">
        <x:v>0</x:v>
      </x:c>
      <x:c r="F2764" s="13" t="n">
        <x:f>D2764-E2764</x:f>
        <x:v>174.5</x:v>
      </x:c>
      <x:c r="G2764" s="3" t="n">
        <x:v>242</x:v>
      </x:c>
      <x:c r="H2764" s="3" t="n">
        <x:v>0</x:v>
      </x:c>
      <x:c r="I2764" s="3" t="n">
        <x:v>4</x:v>
      </x:c>
      <x:c r="J2764" s="15" t="n">
        <x:f>IF(D2764=0,"n.a.",E2764/D2764)</x:f>
        <x:v>0</x:v>
      </x:c>
      <x:c r="K2764" s="15" t="n">
        <x:f>F2764/'Datos'!$F$7</x:f>
        <x:v>0.000017819379916718392</x:v>
      </x:c>
      <x:c r="L2764" s="3"/>
    </x:row>
    <x:row r="2765" ht="22" customHeight="1">
      <x:c r="A2765" s="3"/>
      <x:c r="B2765" s="3" t="str">
        <x:v>21319</x:v>
      </x:c>
      <x:c r="C2765" s="3" t="str">
        <x:v>GLASS CHALICE GREEN SMALL</x:v>
      </x:c>
      <x:c r="D2765" s="13" t="n">
        <x:v>175.78</x:v>
      </x:c>
      <x:c r="E2765" s="13" t="n">
        <x:v>1.65</x:v>
      </x:c>
      <x:c r="F2765" s="13" t="n">
        <x:f>D2765-E2765</x:f>
        <x:v>174.13</x:v>
      </x:c>
      <x:c r="G2765" s="3" t="n">
        <x:v>161</x:v>
      </x:c>
      <x:c r="H2765" s="3" t="n">
        <x:v>1</x:v>
      </x:c>
      <x:c r="I2765" s="3" t="n">
        <x:v>19</x:v>
      </x:c>
      <x:c r="J2765" s="15" t="n">
        <x:f>IF(D2765=0,"n.a.",E2765/D2765)</x:f>
        <x:v>0.009386733416770963</x:v>
      </x:c>
      <x:c r="K2765" s="15" t="n">
        <x:f>F2765/'Datos'!$F$7</x:f>
        <x:v>0.000017781596704287528</x:v>
      </x:c>
      <x:c r="L2765" s="3"/>
    </x:row>
    <x:row r="2766" ht="22" customHeight="1">
      <x:c r="A2766" s="3"/>
      <x:c r="B2766" s="3" t="str">
        <x:v>84685</x:v>
      </x:c>
      <x:c r="C2766" s="3" t="str">
        <x:v>BEACH HUT KEY CABINET</x:v>
      </x:c>
      <x:c r="D2766" s="13" t="n">
        <x:v>177.33</x:v>
      </x:c>
      <x:c r="E2766" s="13" t="n">
        <x:v>3.75</x:v>
      </x:c>
      <x:c r="F2766" s="13" t="n">
        <x:f>D2766-E2766</x:f>
        <x:v>173.58</x:v>
      </x:c>
      <x:c r="G2766" s="3" t="n">
        <x:v>34</x:v>
      </x:c>
      <x:c r="H2766" s="3" t="n">
        <x:v>1</x:v>
      </x:c>
      <x:c r="I2766" s="3" t="n">
        <x:v>21</x:v>
      </x:c>
      <x:c r="J2766" s="15" t="n">
        <x:f>IF(D2766=0,"n.a.",E2766/D2766)</x:f>
        <x:v>0.021147014041617323</x:v>
      </x:c>
      <x:c r="K2766" s="15" t="n">
        <x:f>F2766/'Datos'!$F$7</x:f>
        <x:v>0.000017725432469593</x:v>
      </x:c>
      <x:c r="L2766" s="3"/>
    </x:row>
    <x:row r="2767" ht="22" customHeight="1">
      <x:c r="A2767" s="3"/>
      <x:c r="B2767" s="3" t="str">
        <x:v>85211</x:v>
      </x:c>
      <x:c r="C2767" s="3" t="str">
        <x:v>S/4 GROOVY CAT MAGNETS</x:v>
      </x:c>
      <x:c r="D2767" s="13" t="n">
        <x:v>175.16</x:v>
      </x:c>
      <x:c r="E2767" s="13" t="n">
        <x:v>1.58</x:v>
      </x:c>
      <x:c r="F2767" s="13" t="n">
        <x:f>D2767-E2767</x:f>
        <x:v>173.57999999999998</x:v>
      </x:c>
      <x:c r="G2767" s="3" t="n">
        <x:v>149</x:v>
      </x:c>
      <x:c r="H2767" s="3" t="n">
        <x:v>2</x:v>
      </x:c>
      <x:c r="I2767" s="3" t="n">
        <x:v>24</x:v>
      </x:c>
      <x:c r="J2767" s="15" t="n">
        <x:f>IF(D2767=0,"n.a.",E2767/D2767)</x:f>
        <x:v>0.009020324274948619</x:v>
      </x:c>
      <x:c r="K2767" s="15" t="n">
        <x:f>F2767/'Datos'!$F$7</x:f>
        <x:v>0.000017725432469592998</x:v>
      </x:c>
      <x:c r="L2767" s="3"/>
    </x:row>
    <x:row r="2768" ht="22" customHeight="1">
      <x:c r="A2768" s="3"/>
      <x:c r="B2768" s="3" t="str">
        <x:v>84905</x:v>
      </x:c>
      <x:c r="C2768" s="3" t="str">
        <x:v>PINK BUTTERFLY CUSHION COVER</x:v>
      </x:c>
      <x:c r="D2768" s="13" t="n">
        <x:v>173.48</x:v>
      </x:c>
      <x:c r="E2768" s="13" t="n">
        <x:v>0</x:v>
      </x:c>
      <x:c r="F2768" s="13" t="n">
        <x:f>D2768-E2768</x:f>
        <x:v>173.48</x:v>
      </x:c>
      <x:c r="G2768" s="3" t="n">
        <x:v>35</x:v>
      </x:c>
      <x:c r="H2768" s="3" t="n">
        <x:v>0</x:v>
      </x:c>
      <x:c r="I2768" s="3" t="n">
        <x:v>20</x:v>
      </x:c>
      <x:c r="J2768" s="15" t="n">
        <x:f>IF(D2768=0,"n.a.",E2768/D2768)</x:f>
        <x:v>0</x:v>
      </x:c>
      <x:c r="K2768" s="15" t="n">
        <x:f>F2768/'Datos'!$F$7</x:f>
        <x:v>0.000017715220790557633</x:v>
      </x:c>
      <x:c r="L2768" s="3"/>
    </x:row>
    <x:row r="2769" ht="22" customHeight="1">
      <x:c r="A2769" s="3"/>
      <x:c r="B2769" s="3" t="str">
        <x:v>16168M</x:v>
      </x:c>
      <x:c r="C2769" s="3" t="str">
        <x:v>FUNKY MONKEY GIFT BAG MEDIUM</x:v>
      </x:c>
      <x:c r="D2769" s="13" t="n">
        <x:v>173.12</x:v>
      </x:c>
      <x:c r="E2769" s="13" t="n">
        <x:v>0</x:v>
      </x:c>
      <x:c r="F2769" s="13" t="n">
        <x:f>D2769-E2769</x:f>
        <x:v>173.12</x:v>
      </x:c>
      <x:c r="G2769" s="3" t="n">
        <x:v>371</x:v>
      </x:c>
      <x:c r="H2769" s="3" t="n">
        <x:v>0</x:v>
      </x:c>
      <x:c r="I2769" s="3" t="n">
        <x:v>41</x:v>
      </x:c>
      <x:c r="J2769" s="15" t="n">
        <x:f>IF(D2769=0,"n.a.",E2769/D2769)</x:f>
        <x:v>0</x:v>
      </x:c>
      <x:c r="K2769" s="15" t="n">
        <x:f>F2769/'Datos'!$F$7</x:f>
        <x:v>0.000017678458746030305</x:v>
      </x:c>
      <x:c r="L2769" s="3"/>
    </x:row>
    <x:row r="2770" ht="22" customHeight="1">
      <x:c r="A2770" s="3"/>
      <x:c r="B2770" s="3" t="str">
        <x:v>84661A</x:v>
      </x:c>
      <x:c r="C2770" s="3" t="str">
        <x:v>WHITE SQUARE TABLE CLOCK</x:v>
      </x:c>
      <x:c r="D2770" s="13" t="n">
        <x:v>172.75</x:v>
      </x:c>
      <x:c r="E2770" s="13" t="n">
        <x:v>0</x:v>
      </x:c>
      <x:c r="F2770" s="13" t="n">
        <x:f>D2770-E2770</x:f>
        <x:v>172.75</x:v>
      </x:c>
      <x:c r="G2770" s="3" t="n">
        <x:v>105</x:v>
      </x:c>
      <x:c r="H2770" s="3" t="n">
        <x:v>0</x:v>
      </x:c>
      <x:c r="I2770" s="3" t="n">
        <x:v>21</x:v>
      </x:c>
      <x:c r="J2770" s="15" t="n">
        <x:f>IF(D2770=0,"n.a.",E2770/D2770)</x:f>
        <x:v>0</x:v>
      </x:c>
      <x:c r="K2770" s="15" t="n">
        <x:f>F2770/'Datos'!$F$7</x:f>
        <x:v>0.00001764067553359944</x:v>
      </x:c>
      <x:c r="L2770" s="3"/>
    </x:row>
    <x:row r="2771" ht="22" customHeight="1">
      <x:c r="A2771" s="3"/>
      <x:c r="B2771" s="3" t="str">
        <x:v>21190</x:v>
      </x:c>
      <x:c r="C2771" s="3" t="str">
        <x:v>PINK HEARTS PAPER GARLAND</x:v>
      </x:c>
      <x:c r="D2771" s="13" t="n">
        <x:v>245.2</x:v>
      </x:c>
      <x:c r="E2771" s="13" t="n">
        <x:v>72.5</x:v>
      </x:c>
      <x:c r="F2771" s="13" t="n">
        <x:f>D2771-E2771</x:f>
        <x:v>172.7</x:v>
      </x:c>
      <x:c r="G2771" s="3" t="n">
        <x:v>168</x:v>
      </x:c>
      <x:c r="H2771" s="3" t="n">
        <x:v>50</x:v>
      </x:c>
      <x:c r="I2771" s="3" t="n">
        <x:v>7</x:v>
      </x:c>
      <x:c r="J2771" s="15" t="n">
        <x:f>IF(D2771=0,"n.a.",E2771/D2771)</x:f>
        <x:v>0.29567699836867867</x:v>
      </x:c>
      <x:c r="K2771" s="15" t="n">
        <x:f>F2771/'Datos'!$F$7</x:f>
        <x:v>0.000017635569694081755</x:v>
      </x:c>
      <x:c r="L2771" s="3"/>
    </x:row>
    <x:row r="2772" ht="22" customHeight="1">
      <x:c r="A2772" s="3"/>
      <x:c r="B2772" s="3" t="str">
        <x:v>47481</x:v>
      </x:c>
      <x:c r="C2772" s="3" t="str">
        <x:v>50CM METAL STRING WITH 7 CLIPS</x:v>
      </x:c>
      <x:c r="D2772" s="13" t="n">
        <x:v>172.64</x:v>
      </x:c>
      <x:c r="E2772" s="13" t="n">
        <x:v>0</x:v>
      </x:c>
      <x:c r="F2772" s="13" t="n">
        <x:f>D2772-E2772</x:f>
        <x:v>172.64</x:v>
      </x:c>
      <x:c r="G2772" s="3" t="n">
        <x:v>226</x:v>
      </x:c>
      <x:c r="H2772" s="3" t="n">
        <x:v>0</x:v>
      </x:c>
      <x:c r="I2772" s="3" t="n">
        <x:v>23</x:v>
      </x:c>
      <x:c r="J2772" s="15" t="n">
        <x:f>IF(D2772=0,"n.a.",E2772/D2772)</x:f>
        <x:v>0</x:v>
      </x:c>
      <x:c r="K2772" s="15" t="n">
        <x:f>F2772/'Datos'!$F$7</x:f>
        <x:v>0.000017629442686660533</x:v>
      </x:c>
      <x:c r="L2772" s="3"/>
    </x:row>
    <x:row r="2773" ht="22" customHeight="1">
      <x:c r="A2773" s="3"/>
      <x:c r="B2773" s="3" t="str">
        <x:v>21030</x:v>
      </x:c>
      <x:c r="C2773" s="3" t="str">
        <x:v>SPACE CADET RED</x:v>
      </x:c>
      <x:c r="D2773" s="13" t="n">
        <x:v>172.2</x:v>
      </x:c>
      <x:c r="E2773" s="13" t="n">
        <x:v>0</x:v>
      </x:c>
      <x:c r="F2773" s="13" t="n">
        <x:f>D2773-E2773</x:f>
        <x:v>172.2</x:v>
      </x:c>
      <x:c r="G2773" s="3" t="n">
        <x:v>141</x:v>
      </x:c>
      <x:c r="H2773" s="3" t="n">
        <x:v>0</x:v>
      </x:c>
      <x:c r="I2773" s="3" t="n">
        <x:v>33</x:v>
      </x:c>
      <x:c r="J2773" s="15" t="n">
        <x:f>IF(D2773=0,"n.a.",E2773/D2773)</x:f>
        <x:v>0</x:v>
      </x:c>
      <x:c r="K2773" s="15" t="n">
        <x:f>F2773/'Datos'!$F$7</x:f>
        <x:v>0.00001758451129890491</x:v>
      </x:c>
      <x:c r="L2773" s="3"/>
    </x:row>
    <x:row r="2774" ht="22" customHeight="1">
      <x:c r="A2774" s="3"/>
      <x:c r="B2774" s="3" t="str">
        <x:v>82011C</x:v>
      </x:c>
      <x:c r="C2774" s="3" t="str">
        <x:v>BATHROOM SCALES FOOTPRINTS IN SAND</x:v>
      </x:c>
      <x:c r="D2774" s="13" t="n">
        <x:v>172.05</x:v>
      </x:c>
      <x:c r="E2774" s="13" t="n">
        <x:v>0</x:v>
      </x:c>
      <x:c r="F2774" s="13" t="n">
        <x:f>D2774-E2774</x:f>
        <x:v>172.05</x:v>
      </x:c>
      <x:c r="G2774" s="3" t="n">
        <x:v>51</x:v>
      </x:c>
      <x:c r="H2774" s="3" t="n">
        <x:v>0</x:v>
      </x:c>
      <x:c r="I2774" s="3" t="n">
        <x:v>20</x:v>
      </x:c>
      <x:c r="J2774" s="15" t="n">
        <x:f>IF(D2774=0,"n.a.",E2774/D2774)</x:f>
        <x:v>0</x:v>
      </x:c>
      <x:c r="K2774" s="15" t="n">
        <x:f>F2774/'Datos'!$F$7</x:f>
        <x:v>0.000017569193780351863</x:v>
      </x:c>
      <x:c r="L2774" s="3"/>
    </x:row>
    <x:row r="2775" ht="22" customHeight="1">
      <x:c r="A2775" s="3"/>
      <x:c r="B2775" s="3" t="str">
        <x:v>84963A</x:v>
      </x:c>
      <x:c r="C2775" s="3" t="str">
        <x:v>PINK PAINTED KASHMIRI CHAIR</x:v>
      </x:c>
      <x:c r="D2775" s="13" t="n">
        <x:v>171.8</x:v>
      </x:c>
      <x:c r="E2775" s="13" t="n">
        <x:v>0</x:v>
      </x:c>
      <x:c r="F2775" s="13" t="n">
        <x:f>D2775-E2775</x:f>
        <x:v>171.8</x:v>
      </x:c>
      <x:c r="G2775" s="3" t="n">
        <x:v>4</x:v>
      </x:c>
      <x:c r="H2775" s="3" t="n">
        <x:v>0</x:v>
      </x:c>
      <x:c r="I2775" s="3" t="n">
        <x:v>1</x:v>
      </x:c>
      <x:c r="J2775" s="15" t="n">
        <x:f>IF(D2775=0,"n.a.",E2775/D2775)</x:f>
        <x:v>0</x:v>
      </x:c>
      <x:c r="K2775" s="15" t="n">
        <x:f>F2775/'Datos'!$F$7</x:f>
        <x:v>0.00001754366458276344</x:v>
      </x:c>
      <x:c r="L2775" s="3"/>
    </x:row>
    <x:row r="2776" ht="22" customHeight="1">
      <x:c r="A2776" s="3"/>
      <x:c r="B2776" s="3" t="str">
        <x:v>62086A</x:v>
      </x:c>
      <x:c r="C2776" s="3" t="str">
        <x:v>PINK RETRO BIG FLOWER BAG</x:v>
      </x:c>
      <x:c r="D2776" s="13" t="n">
        <x:v>171.6</x:v>
      </x:c>
      <x:c r="E2776" s="13" t="n">
        <x:v>0</x:v>
      </x:c>
      <x:c r="F2776" s="13" t="n">
        <x:f>D2776-E2776</x:f>
        <x:v>171.6</x:v>
      </x:c>
      <x:c r="G2776" s="3" t="n">
        <x:v>88</x:v>
      </x:c>
      <x:c r="H2776" s="3" t="n">
        <x:v>0</x:v>
      </x:c>
      <x:c r="I2776" s="3" t="n">
        <x:v>14</x:v>
      </x:c>
      <x:c r="J2776" s="15" t="n">
        <x:f>IF(D2776=0,"n.a.",E2776/D2776)</x:f>
        <x:v>0</x:v>
      </x:c>
      <x:c r="K2776" s="15" t="n">
        <x:f>F2776/'Datos'!$F$7</x:f>
        <x:v>0.0000175232412246927</x:v>
      </x:c>
      <x:c r="L2776" s="3"/>
    </x:row>
    <x:row r="2777" ht="22" customHeight="1">
      <x:c r="A2777" s="3"/>
      <x:c r="B2777" s="3" t="str">
        <x:v>90082B</x:v>
      </x:c>
      <x:c r="C2777" s="3" t="str">
        <x:v>DIAMANTE BOW BROOCH RED COLOUR</x:v>
      </x:c>
      <x:c r="D2777" s="13" t="n">
        <x:v>171.45</x:v>
      </x:c>
      <x:c r="E2777" s="13" t="n">
        <x:v>0</x:v>
      </x:c>
      <x:c r="F2777" s="13" t="n">
        <x:f>D2777-E2777</x:f>
        <x:v>171.45</x:v>
      </x:c>
      <x:c r="G2777" s="3" t="n">
        <x:v>27</x:v>
      </x:c>
      <x:c r="H2777" s="3" t="n">
        <x:v>0</x:v>
      </x:c>
      <x:c r="I2777" s="3" t="n">
        <x:v>10</x:v>
      </x:c>
      <x:c r="J2777" s="15" t="n">
        <x:f>IF(D2777=0,"n.a.",E2777/D2777)</x:f>
        <x:v>0</x:v>
      </x:c>
      <x:c r="K2777" s="15" t="n">
        <x:f>F2777/'Datos'!$F$7</x:f>
        <x:v>0.000017507923706139647</x:v>
      </x:c>
      <x:c r="L2777" s="3"/>
    </x:row>
    <x:row r="2778" ht="22" customHeight="1">
      <x:c r="A2778" s="3"/>
      <x:c r="B2778" s="3" t="str">
        <x:v>85045</x:v>
      </x:c>
      <x:c r="C2778" s="3" t="str">
        <x:v>GREEN CHRISTMAS TREE STRING 20LIGHT</x:v>
      </x:c>
      <x:c r="D2778" s="13" t="n">
        <x:v>191.1</x:v>
      </x:c>
      <x:c r="E2778" s="13" t="n">
        <x:v>19.8</x:v>
      </x:c>
      <x:c r="F2778" s="13" t="n">
        <x:f>D2778-E2778</x:f>
        <x:v>171.29999999999998</x:v>
      </x:c>
      <x:c r="G2778" s="3" t="n">
        <x:v>42</x:v>
      </x:c>
      <x:c r="H2778" s="3" t="n">
        <x:v>4</x:v>
      </x:c>
      <x:c r="I2778" s="3" t="n">
        <x:v>11</x:v>
      </x:c>
      <x:c r="J2778" s="15" t="n">
        <x:f>IF(D2778=0,"n.a.",E2778/D2778)</x:f>
        <x:v>0.10361067503924648</x:v>
      </x:c>
      <x:c r="K2778" s="15" t="n">
        <x:f>F2778/'Datos'!$F$7</x:f>
        <x:v>0.000017492606187586592</x:v>
      </x:c>
      <x:c r="L2778" s="3"/>
    </x:row>
    <x:row r="2779" ht="22" customHeight="1">
      <x:c r="A2779" s="3"/>
      <x:c r="B2779" s="3" t="str">
        <x:v>85146</x:v>
      </x:c>
      <x:c r="C2779" s="3" t="str">
        <x:v>JARDIN ETCHED GLASS SMALL BELL JAR</x:v>
      </x:c>
      <x:c r="D2779" s="13" t="n">
        <x:v>171.11</x:v>
      </x:c>
      <x:c r="E2779" s="13" t="n">
        <x:v>0</x:v>
      </x:c>
      <x:c r="F2779" s="13" t="n">
        <x:f>D2779-E2779</x:f>
        <x:v>171.11</x:v>
      </x:c>
      <x:c r="G2779" s="3" t="n">
        <x:v>45</x:v>
      </x:c>
      <x:c r="H2779" s="3" t="n">
        <x:v>0</x:v>
      </x:c>
      <x:c r="I2779" s="3" t="n">
        <x:v>9</x:v>
      </x:c>
      <x:c r="J2779" s="15" t="n">
        <x:f>IF(D2779=0,"n.a.",E2779/D2779)</x:f>
        <x:v>0</x:v>
      </x:c>
      <x:c r="K2779" s="15" t="n">
        <x:f>F2779/'Datos'!$F$7</x:f>
        <x:v>0.000017473203997419394</x:v>
      </x:c>
      <x:c r="L2779" s="3"/>
    </x:row>
    <x:row r="2780" ht="22" customHeight="1">
      <x:c r="A2780" s="3"/>
      <x:c r="B2780" s="3" t="str">
        <x:v>22885</x:v>
      </x:c>
      <x:c r="C2780" s="3" t="str">
        <x:v>NUMBER TILE VINTAGE FONT 6</x:v>
      </x:c>
      <x:c r="D2780" s="13" t="n">
        <x:v>172.78</x:v>
      </x:c>
      <x:c r="E2780" s="13" t="n">
        <x:v>1.95</x:v>
      </x:c>
      <x:c r="F2780" s="13" t="n">
        <x:f>D2780-E2780</x:f>
        <x:v>170.83</x:v>
      </x:c>
      <x:c r="G2780" s="3" t="n">
        <x:v>96</x:v>
      </x:c>
      <x:c r="H2780" s="3" t="n">
        <x:v>1</x:v>
      </x:c>
      <x:c r="I2780" s="3" t="n">
        <x:v>28</x:v>
      </x:c>
      <x:c r="J2780" s="15" t="n">
        <x:f>IF(D2780=0,"n.a.",E2780/D2780)</x:f>
        <x:v>0.011286028475518</x:v>
      </x:c>
      <x:c r="K2780" s="15" t="n">
        <x:f>F2780/'Datos'!$F$7</x:f>
        <x:v>0.000017444611296120363</x:v>
      </x:c>
      <x:c r="L2780" s="3"/>
    </x:row>
    <x:row r="2781" ht="22" customHeight="1">
      <x:c r="A2781" s="3"/>
      <x:c r="B2781" s="3" t="str">
        <x:v>21763</x:v>
      </x:c>
      <x:c r="C2781" s="3" t="str">
        <x:v>VINTAGE WOODEN BAR STOOL</x:v>
      </x:c>
      <x:c r="D2781" s="13" t="n">
        <x:v>169.75</x:v>
      </x:c>
      <x:c r="E2781" s="13" t="n">
        <x:v>0</x:v>
      </x:c>
      <x:c r="F2781" s="13" t="n">
        <x:f>D2781-E2781</x:f>
        <x:v>169.75</x:v>
      </x:c>
      <x:c r="G2781" s="3" t="n">
        <x:v>6</x:v>
      </x:c>
      <x:c r="H2781" s="3" t="n">
        <x:v>0</x:v>
      </x:c>
      <x:c r="I2781" s="3" t="n">
        <x:v>4</x:v>
      </x:c>
      <x:c r="J2781" s="15" t="n">
        <x:f>IF(D2781=0,"n.a.",E2781/D2781)</x:f>
        <x:v>0</x:v>
      </x:c>
      <x:c r="K2781" s="15" t="n">
        <x:f>F2781/'Datos'!$F$7</x:f>
        <x:v>0.000017334325162538378</x:v>
      </x:c>
      <x:c r="L2781" s="3"/>
    </x:row>
    <x:row r="2782" ht="22" customHeight="1">
      <x:c r="A2782" s="3"/>
      <x:c r="B2782" s="3" t="str">
        <x:v>84800M</x:v>
      </x:c>
      <x:c r="C2782" s="3" t="str">
        <x:v>MEDIUM WHITE/PINK ROSE ART FLOWER</x:v>
      </x:c>
      <x:c r="D2782" s="13" t="n">
        <x:v>174.31</x:v>
      </x:c>
      <x:c r="E2782" s="13" t="n">
        <x:v>5.07</x:v>
      </x:c>
      <x:c r="F2782" s="13" t="n">
        <x:f>D2782-E2782</x:f>
        <x:v>169.24</x:v>
      </x:c>
      <x:c r="G2782" s="3" t="n">
        <x:v>127</x:v>
      </x:c>
      <x:c r="H2782" s="3" t="n">
        <x:v>3</x:v>
      </x:c>
      <x:c r="I2782" s="3" t="n">
        <x:v>11</x:v>
      </x:c>
      <x:c r="J2782" s="15" t="n">
        <x:f>IF(D2782=0,"n.a.",E2782/D2782)</x:f>
        <x:v>0.029086110951752626</x:v>
      </x:c>
      <x:c r="K2782" s="15" t="n">
        <x:f>F2782/'Datos'!$F$7</x:f>
        <x:v>0.000017282245599458</x:v>
      </x:c>
      <x:c r="L2782" s="3"/>
    </x:row>
    <x:row r="2783" ht="22" customHeight="1">
      <x:c r="A2783" s="3"/>
      <x:c r="B2783" s="3" t="str">
        <x:v>85129B</x:v>
      </x:c>
      <x:c r="C2783" s="3" t="str">
        <x:v>BEADED CRYSTAL HEART GREEN SMALL</x:v>
      </x:c>
      <x:c r="D2783" s="13" t="n">
        <x:v>168.59</x:v>
      </x:c>
      <x:c r="E2783" s="13" t="n">
        <x:v>0</x:v>
      </x:c>
      <x:c r="F2783" s="13" t="n">
        <x:f>D2783-E2783</x:f>
        <x:v>168.59</x:v>
      </x:c>
      <x:c r="G2783" s="3" t="n">
        <x:v>119</x:v>
      </x:c>
      <x:c r="H2783" s="3" t="n">
        <x:v>0</x:v>
      </x:c>
      <x:c r="I2783" s="3" t="n">
        <x:v>31</x:v>
      </x:c>
      <x:c r="J2783" s="15" t="n">
        <x:f>IF(D2783=0,"n.a.",E2783/D2783)</x:f>
        <x:v>0</x:v>
      </x:c>
      <x:c r="K2783" s="15" t="n">
        <x:f>F2783/'Datos'!$F$7</x:f>
        <x:v>0.000017215869685728103</x:v>
      </x:c>
      <x:c r="L2783" s="3"/>
    </x:row>
    <x:row r="2784" ht="22" customHeight="1">
      <x:c r="A2784" s="3"/>
      <x:c r="B2784" s="3" t="str">
        <x:v>22042</x:v>
      </x:c>
      <x:c r="C2784" s="3" t="str">
        <x:v>CHRISTMAS CARD SINGING ANGEL</x:v>
      </x:c>
      <x:c r="D2784" s="13" t="n">
        <x:v>173.37</x:v>
      </x:c>
      <x:c r="E2784" s="13" t="n">
        <x:v>5.04</x:v>
      </x:c>
      <x:c r="F2784" s="13" t="n">
        <x:f>D2784-E2784</x:f>
        <x:v>168.33</x:v>
      </x:c>
      <x:c r="G2784" s="3" t="n">
        <x:v>411</x:v>
      </x:c>
      <x:c r="H2784" s="3" t="n">
        <x:v>12</x:v>
      </x:c>
      <x:c r="I2784" s="3" t="n">
        <x:v>39</x:v>
      </x:c>
      <x:c r="J2784" s="15" t="n">
        <x:f>IF(D2784=0,"n.a.",E2784/D2784)</x:f>
        <x:v>0.02907077349022322</x:v>
      </x:c>
      <x:c r="K2784" s="15" t="n">
        <x:f>F2784/'Datos'!$F$7</x:f>
        <x:v>0.000017189319320236144</x:v>
      </x:c>
      <x:c r="L2784" s="3"/>
    </x:row>
    <x:row r="2785" ht="22" customHeight="1">
      <x:c r="A2785" s="3"/>
      <x:c r="B2785" s="3" t="str">
        <x:v>21333</x:v>
      </x:c>
      <x:c r="C2785" s="3" t="str">
        <x:v>CLASSIC WHITE FRAME</x:v>
      </x:c>
      <x:c r="D2785" s="13" t="n">
        <x:v>168.16</x:v>
      </x:c>
      <x:c r="E2785" s="13" t="n">
        <x:v>0</x:v>
      </x:c>
      <x:c r="F2785" s="13" t="n">
        <x:f>D2785-E2785</x:f>
        <x:v>168.16</x:v>
      </x:c>
      <x:c r="G2785" s="3" t="n">
        <x:v>56</x:v>
      </x:c>
      <x:c r="H2785" s="3" t="n">
        <x:v>0</x:v>
      </x:c>
      <x:c r="I2785" s="3" t="n">
        <x:v>16</x:v>
      </x:c>
      <x:c r="J2785" s="15" t="n">
        <x:f>IF(D2785=0,"n.a.",E2785/D2785)</x:f>
        <x:v>0</x:v>
      </x:c>
      <x:c r="K2785" s="15" t="n">
        <x:f>F2785/'Datos'!$F$7</x:f>
        <x:v>0.000017171959465876017</x:v>
      </x:c>
      <x:c r="L2785" s="3"/>
    </x:row>
    <x:row r="2786" ht="22" customHeight="1">
      <x:c r="A2786" s="3"/>
      <x:c r="B2786" s="3" t="str">
        <x:v>90145</x:v>
      </x:c>
      <x:c r="C2786" s="3" t="str">
        <x:v>SILVER HOOP EARRINGS WITH FLOWER</x:v>
      </x:c>
      <x:c r="D2786" s="13" t="n">
        <x:v>168</x:v>
      </x:c>
      <x:c r="E2786" s="13" t="n">
        <x:v>0</x:v>
      </x:c>
      <x:c r="F2786" s="13" t="n">
        <x:f>D2786-E2786</x:f>
        <x:v>168</x:v>
      </x:c>
      <x:c r="G2786" s="3" t="n">
        <x:v>28</x:v>
      </x:c>
      <x:c r="H2786" s="3" t="n">
        <x:v>0</x:v>
      </x:c>
      <x:c r="I2786" s="3" t="n">
        <x:v>18</x:v>
      </x:c>
      <x:c r="J2786" s="15" t="n">
        <x:f>IF(D2786=0,"n.a.",E2786/D2786)</x:f>
        <x:v>0</x:v>
      </x:c>
      <x:c r="K2786" s="15" t="n">
        <x:f>F2786/'Datos'!$F$7</x:f>
        <x:v>0.000017155620779419427</x:v>
      </x:c>
      <x:c r="L2786" s="3"/>
    </x:row>
    <x:row r="2787" ht="22" customHeight="1">
      <x:c r="A2787" s="3"/>
      <x:c r="B2787" s="3" t="str">
        <x:v>90201C</x:v>
      </x:c>
      <x:c r="C2787" s="3" t="str">
        <x:v>RED ENAMEL FLOWER RING</x:v>
      </x:c>
      <x:c r="D2787" s="13" t="n">
        <x:v>185.42</x:v>
      </x:c>
      <x:c r="E2787" s="13" t="n">
        <x:v>17.7</x:v>
      </x:c>
      <x:c r="F2787" s="13" t="n">
        <x:f>D2787-E2787</x:f>
        <x:v>167.72</x:v>
      </x:c>
      <x:c r="G2787" s="3" t="n">
        <x:v>63</x:v>
      </x:c>
      <x:c r="H2787" s="3" t="n">
        <x:v>6</x:v>
      </x:c>
      <x:c r="I2787" s="3" t="n">
        <x:v>21</x:v>
      </x:c>
      <x:c r="J2787" s="15" t="n">
        <x:f>IF(D2787=0,"n.a.",E2787/D2787)</x:f>
        <x:v>0.09545895804120376</x:v>
      </x:c>
      <x:c r="K2787" s="15" t="n">
        <x:f>F2787/'Datos'!$F$7</x:f>
        <x:v>0.000017127028078120396</x:v>
      </x:c>
      <x:c r="L2787" s="3"/>
    </x:row>
    <x:row r="2788" ht="22" customHeight="1">
      <x:c r="A2788" s="3"/>
      <x:c r="B2788" s="3" t="str">
        <x:v>85145</x:v>
      </x:c>
      <x:c r="C2788" s="3" t="str">
        <x:v>JARDIN ETCHED GLASS LARGE BELL JAR</x:v>
      </x:c>
      <x:c r="D2788" s="13" t="n">
        <x:v>167.7</x:v>
      </x:c>
      <x:c r="E2788" s="13" t="n">
        <x:v>0</x:v>
      </x:c>
      <x:c r="F2788" s="13" t="n">
        <x:f>D2788-E2788</x:f>
        <x:v>167.7</x:v>
      </x:c>
      <x:c r="G2788" s="3" t="n">
        <x:v>38</x:v>
      </x:c>
      <x:c r="H2788" s="3" t="n">
        <x:v>0</x:v>
      </x:c>
      <x:c r="I2788" s="3" t="n">
        <x:v>13</x:v>
      </x:c>
      <x:c r="J2788" s="15" t="n">
        <x:f>IF(D2788=0,"n.a.",E2788/D2788)</x:f>
        <x:v>0</x:v>
      </x:c>
      <x:c r="K2788" s="15" t="n">
        <x:f>F2788/'Datos'!$F$7</x:f>
        <x:v>0.00001712498574231332</x:v>
      </x:c>
      <x:c r="L2788" s="3"/>
    </x:row>
    <x:row r="2789" ht="22" customHeight="1">
      <x:c r="A2789" s="3"/>
      <x:c r="B2789" s="3" t="str">
        <x:v>78033</x:v>
      </x:c>
      <x:c r="C2789" s="3" t="str">
        <x:v>FLAG OF ST GEORGE CHAIR</x:v>
      </x:c>
      <x:c r="D2789" s="13" t="n">
        <x:v>185.3</x:v>
      </x:c>
      <x:c r="E2789" s="13" t="n">
        <x:v>17.85</x:v>
      </x:c>
      <x:c r="F2789" s="13" t="n">
        <x:f>D2789-E2789</x:f>
        <x:v>167.45000000000002</x:v>
      </x:c>
      <x:c r="G2789" s="3" t="n">
        <x:v>38</x:v>
      </x:c>
      <x:c r="H2789" s="3" t="n">
        <x:v>3</x:v>
      </x:c>
      <x:c r="I2789" s="3" t="n">
        <x:v>8</x:v>
      </x:c>
      <x:c r="J2789" s="15" t="n">
        <x:f>IF(D2789=0,"n.a.",E2789/D2789)</x:f>
        <x:v>0.0963302752293578</x:v>
      </x:c>
      <x:c r="K2789" s="15" t="n">
        <x:f>F2789/'Datos'!$F$7</x:f>
        <x:v>0.0000170994565447249</x:v>
      </x:c>
      <x:c r="L2789" s="3"/>
    </x:row>
    <x:row r="2790" ht="22" customHeight="1">
      <x:c r="A2790" s="3"/>
      <x:c r="B2790" s="3" t="str">
        <x:v>90010A</x:v>
      </x:c>
      <x:c r="C2790" s="3" t="str">
        <x:v>MIDNIGHT BLUE GLASS/SILVER BRACELET</x:v>
      </x:c>
      <x:c r="D2790" s="13" t="n">
        <x:v>167.3</x:v>
      </x:c>
      <x:c r="E2790" s="13" t="n">
        <x:v>0</x:v>
      </x:c>
      <x:c r="F2790" s="13" t="n">
        <x:f>D2790-E2790</x:f>
        <x:v>167.3</x:v>
      </x:c>
      <x:c r="G2790" s="3" t="n">
        <x:v>18</x:v>
      </x:c>
      <x:c r="H2790" s="3" t="n">
        <x:v>0</x:v>
      </x:c>
      <x:c r="I2790" s="3" t="n">
        <x:v>15</x:v>
      </x:c>
      <x:c r="J2790" s="15" t="n">
        <x:f>IF(D2790=0,"n.a.",E2790/D2790)</x:f>
        <x:v>0</x:v>
      </x:c>
      <x:c r="K2790" s="15" t="n">
        <x:f>F2790/'Datos'!$F$7</x:f>
        <x:v>0.00001708413902617185</x:v>
      </x:c>
      <x:c r="L2790" s="3"/>
    </x:row>
    <x:row r="2791" ht="22" customHeight="1">
      <x:c r="A2791" s="3"/>
      <x:c r="B2791" s="3" t="str">
        <x:v>21457</x:v>
      </x:c>
      <x:c r="C2791" s="3" t="str">
        <x:v>2 PICTURE BOOK EGGS EASTER DUCKS</x:v>
      </x:c>
      <x:c r="D2791" s="13" t="n">
        <x:v>165.89</x:v>
      </x:c>
      <x:c r="E2791" s="13" t="n">
        <x:v>0</x:v>
      </x:c>
      <x:c r="F2791" s="13" t="n">
        <x:f>D2791-E2791</x:f>
        <x:v>165.89</x:v>
      </x:c>
      <x:c r="G2791" s="3" t="n">
        <x:v>124</x:v>
      </x:c>
      <x:c r="H2791" s="3" t="n">
        <x:v>0</x:v>
      </x:c>
      <x:c r="I2791" s="3" t="n">
        <x:v>25</x:v>
      </x:c>
      <x:c r="J2791" s="15" t="n">
        <x:f>IF(D2791=0,"n.a.",E2791/D2791)</x:f>
        <x:v>0</x:v>
      </x:c>
      <x:c r="K2791" s="15" t="n">
        <x:f>F2791/'Datos'!$F$7</x:f>
        <x:v>0.000016940154351773147</x:v>
      </x:c>
      <x:c r="L2791" s="3"/>
    </x:row>
    <x:row r="2792" ht="22" customHeight="1">
      <x:c r="A2792" s="3"/>
      <x:c r="B2792" s="3" t="str">
        <x:v>21280</x:v>
      </x:c>
      <x:c r="C2792" s="3" t="str">
        <x:v>VINTAGE KITCHEN PRINT VEGETABLES</x:v>
      </x:c>
      <x:c r="D2792" s="13" t="n">
        <x:v>165.75</x:v>
      </x:c>
      <x:c r="E2792" s="13" t="n">
        <x:v>0</x:v>
      </x:c>
      <x:c r="F2792" s="13" t="n">
        <x:f>D2792-E2792</x:f>
        <x:v>165.75</x:v>
      </x:c>
      <x:c r="G2792" s="3" t="n">
        <x:v>65</x:v>
      </x:c>
      <x:c r="H2792" s="3" t="n">
        <x:v>0</x:v>
      </x:c>
      <x:c r="I2792" s="3" t="n">
        <x:v>12</x:v>
      </x:c>
      <x:c r="J2792" s="15" t="n">
        <x:f>IF(D2792=0,"n.a.",E2792/D2792)</x:f>
        <x:v>0</x:v>
      </x:c>
      <x:c r="K2792" s="15" t="n">
        <x:f>F2792/'Datos'!$F$7</x:f>
        <x:v>0.00001692585800112363</x:v>
      </x:c>
      <x:c r="L2792" s="3"/>
    </x:row>
    <x:row r="2793" ht="22" customHeight="1">
      <x:c r="A2793" s="3"/>
      <x:c r="B2793" s="3" t="str">
        <x:v>21331</x:v>
      </x:c>
      <x:c r="C2793" s="3" t="str">
        <x:v>MOROCCAN BEATEN METAL DISH LARGE</x:v>
      </x:c>
      <x:c r="D2793" s="13" t="n">
        <x:v>165.74</x:v>
      </x:c>
      <x:c r="E2793" s="13" t="n">
        <x:v>0</x:v>
      </x:c>
      <x:c r="F2793" s="13" t="n">
        <x:f>D2793-E2793</x:f>
        <x:v>165.74</x:v>
      </x:c>
      <x:c r="G2793" s="3" t="n">
        <x:v>12</x:v>
      </x:c>
      <x:c r="H2793" s="3" t="n">
        <x:v>0</x:v>
      </x:c>
      <x:c r="I2793" s="3" t="n">
        <x:v>8</x:v>
      </x:c>
      <x:c r="J2793" s="15" t="n">
        <x:f>IF(D2793=0,"n.a.",E2793/D2793)</x:f>
        <x:v>0</x:v>
      </x:c>
      <x:c r="K2793" s="15" t="n">
        <x:f>F2793/'Datos'!$F$7</x:f>
        <x:v>0.000016924836833220096</x:v>
      </x:c>
      <x:c r="L2793" s="3"/>
    </x:row>
    <x:row r="2794" ht="22" customHeight="1">
      <x:c r="A2794" s="3"/>
      <x:c r="B2794" s="3" t="str">
        <x:v>72225C</x:v>
      </x:c>
      <x:c r="C2794" s="3" t="str">
        <x:v>LAVENDER SCENT CAKE CANDLE</x:v>
      </x:c>
      <x:c r="D2794" s="13" t="n">
        <x:v>165.6</x:v>
      </x:c>
      <x:c r="E2794" s="13" t="n">
        <x:v>0</x:v>
      </x:c>
      <x:c r="F2794" s="13" t="n">
        <x:f>D2794-E2794</x:f>
        <x:v>165.6</x:v>
      </x:c>
      <x:c r="G2794" s="3" t="n">
        <x:v>624</x:v>
      </x:c>
      <x:c r="H2794" s="3" t="n">
        <x:v>0</x:v>
      </x:c>
      <x:c r="I2794" s="3" t="n">
        <x:v>17</x:v>
      </x:c>
      <x:c r="J2794" s="15" t="n">
        <x:f>IF(D2794=0,"n.a.",E2794/D2794)</x:f>
        <x:v>0</x:v>
      </x:c>
      <x:c r="K2794" s="15" t="n">
        <x:f>F2794/'Datos'!$F$7</x:f>
        <x:v>0.000016910540482570577</x:v>
      </x:c>
      <x:c r="L2794" s="3"/>
    </x:row>
    <x:row r="2795" ht="22" customHeight="1">
      <x:c r="A2795" s="3"/>
      <x:c r="B2795" s="3" t="str">
        <x:v>90013A</x:v>
      </x:c>
      <x:c r="C2795" s="3" t="str">
        <x:v>MIDNIGHT BLUE VINTAGE EARRINGS</x:v>
      </x:c>
      <x:c r="D2795" s="13" t="n">
        <x:v>195.32</x:v>
      </x:c>
      <x:c r="E2795" s="13" t="n">
        <x:v>30</x:v>
      </x:c>
      <x:c r="F2795" s="13" t="n">
        <x:f>D2795-E2795</x:f>
        <x:v>165.32</x:v>
      </x:c>
      <x:c r="G2795" s="3" t="n">
        <x:v>52</x:v>
      </x:c>
      <x:c r="H2795" s="3" t="n">
        <x:v>8</x:v>
      </x:c>
      <x:c r="I2795" s="3" t="n">
        <x:v>32</x:v>
      </x:c>
      <x:c r="J2795" s="15" t="n">
        <x:f>IF(D2795=0,"n.a.",E2795/D2795)</x:f>
        <x:v>0.1535941019864837</x:v>
      </x:c>
      <x:c r="K2795" s="15" t="n">
        <x:f>F2795/'Datos'!$F$7</x:f>
        <x:v>0.000016881947781271546</x:v>
      </x:c>
      <x:c r="L2795" s="3"/>
    </x:row>
    <x:row r="2796" ht="22" customHeight="1">
      <x:c r="A2796" s="3"/>
      <x:c r="B2796" s="3" t="str">
        <x:v>23694</x:v>
      </x:c>
      <x:c r="C2796" s="3" t="str">
        <x:v>PAISLEY PARK CARD</x:v>
      </x:c>
      <x:c r="D2796" s="13" t="n">
        <x:v>165.08</x:v>
      </x:c>
      <x:c r="E2796" s="13" t="n">
        <x:v>0</x:v>
      </x:c>
      <x:c r="F2796" s="13" t="n">
        <x:f>D2796-E2796</x:f>
        <x:v>165.08</x:v>
      </x:c>
      <x:c r="G2796" s="3" t="n">
        <x:v>376</x:v>
      </x:c>
      <x:c r="H2796" s="3" t="n">
        <x:v>0</x:v>
      </x:c>
      <x:c r="I2796" s="3" t="n">
        <x:v>41</x:v>
      </x:c>
      <x:c r="J2796" s="15" t="n">
        <x:f>IF(D2796=0,"n.a.",E2796/D2796)</x:f>
        <x:v>0</x:v>
      </x:c>
      <x:c r="K2796" s="15" t="n">
        <x:f>F2796/'Datos'!$F$7</x:f>
        <x:v>0.00001685743975158666</x:v>
      </x:c>
      <x:c r="L2796" s="3"/>
    </x:row>
    <x:row r="2797" ht="22" customHeight="1">
      <x:c r="A2797" s="3"/>
      <x:c r="B2797" s="3" t="str">
        <x:v>22538</x:v>
      </x:c>
      <x:c r="C2797" s="3" t="str">
        <x:v>MINI JIGSAW GO TO THE FAIR</x:v>
      </x:c>
      <x:c r="D2797" s="13" t="n">
        <x:v>164.84</x:v>
      </x:c>
      <x:c r="E2797" s="13" t="n">
        <x:v>0</x:v>
      </x:c>
      <x:c r="F2797" s="13" t="n">
        <x:f>D2797-E2797</x:f>
        <x:v>164.84</x:v>
      </x:c>
      <x:c r="G2797" s="3" t="n">
        <x:v>403</x:v>
      </x:c>
      <x:c r="H2797" s="3" t="n">
        <x:v>0</x:v>
      </x:c>
      <x:c r="I2797" s="3" t="n">
        <x:v>40</x:v>
      </x:c>
      <x:c r="J2797" s="15" t="n">
        <x:f>IF(D2797=0,"n.a.",E2797/D2797)</x:f>
        <x:v>0</x:v>
      </x:c>
      <x:c r="K2797" s="15" t="n">
        <x:f>F2797/'Datos'!$F$7</x:f>
        <x:v>0.000016832931721901777</x:v>
      </x:c>
      <x:c r="L2797" s="3"/>
    </x:row>
    <x:row r="2798" ht="22" customHeight="1">
      <x:c r="A2798" s="3"/>
      <x:c r="B2798" s="3" t="str">
        <x:v>22263</x:v>
      </x:c>
      <x:c r="C2798" s="3" t="str">
        <x:v>FELT EGG COSY LADYBIRD</x:v>
      </x:c>
      <x:c r="D2798" s="13" t="n">
        <x:v>196.82</x:v>
      </x:c>
      <x:c r="E2798" s="13" t="n">
        <x:v>32.34</x:v>
      </x:c>
      <x:c r="F2798" s="13" t="n">
        <x:f>D2798-E2798</x:f>
        <x:v>164.48</x:v>
      </x:c>
      <x:c r="G2798" s="3" t="n">
        <x:v>327</x:v>
      </x:c>
      <x:c r="H2798" s="3" t="n">
        <x:v>49</x:v>
      </x:c>
      <x:c r="I2798" s="3" t="n">
        <x:v>51</x:v>
      </x:c>
      <x:c r="J2798" s="15" t="n">
        <x:f>IF(D2798=0,"n.a.",E2798/D2798)</x:f>
        <x:v>0.16431256986078652</x:v>
      </x:c>
      <x:c r="K2798" s="15" t="n">
        <x:f>F2798/'Datos'!$F$7</x:f>
        <x:v>0.00001679616967737445</x:v>
      </x:c>
      <x:c r="L2798" s="3"/>
    </x:row>
    <x:row r="2799" ht="22" customHeight="1">
      <x:c r="A2799" s="3"/>
      <x:c r="B2799" s="3" t="str">
        <x:v>21698</x:v>
      </x:c>
      <x:c r="C2799" s="3" t="str">
        <x:v>MOCK LOBSTER FRIDGE MAGNET</x:v>
      </x:c>
      <x:c r="D2799" s="13" t="n">
        <x:v>164.17</x:v>
      </x:c>
      <x:c r="E2799" s="13" t="n">
        <x:v>0</x:v>
      </x:c>
      <x:c r="F2799" s="13" t="n">
        <x:f>D2799-E2799</x:f>
        <x:v>164.17</x:v>
      </x:c>
      <x:c r="G2799" s="3" t="n">
        <x:v>296</x:v>
      </x:c>
      <x:c r="H2799" s="3" t="n">
        <x:v>0</x:v>
      </x:c>
      <x:c r="I2799" s="3" t="n">
        <x:v>45</x:v>
      </x:c>
      <x:c r="J2799" s="15" t="n">
        <x:f>IF(D2799=0,"n.a.",E2799/D2799)</x:f>
        <x:v>0</x:v>
      </x:c>
      <x:c r="K2799" s="15" t="n">
        <x:f>F2799/'Datos'!$F$7</x:f>
        <x:v>0.000016764513472364803</x:v>
      </x:c>
      <x:c r="L2799" s="3"/>
    </x:row>
    <x:row r="2800" ht="22" customHeight="1">
      <x:c r="A2800" s="3"/>
      <x:c r="B2800" s="3" t="str">
        <x:v>90120B</x:v>
      </x:c>
      <x:c r="C2800" s="3" t="str">
        <x:v>BLUE MURANO TWIST BRACELET</x:v>
      </x:c>
      <x:c r="D2800" s="13" t="n">
        <x:v>164.12</x:v>
      </x:c>
      <x:c r="E2800" s="13" t="n">
        <x:v>0</x:v>
      </x:c>
      <x:c r="F2800" s="13" t="n">
        <x:f>D2800-E2800</x:f>
        <x:v>164.12</x:v>
      </x:c>
      <x:c r="G2800" s="3" t="n">
        <x:v>39</x:v>
      </x:c>
      <x:c r="H2800" s="3" t="n">
        <x:v>0</x:v>
      </x:c>
      <x:c r="I2800" s="3" t="n">
        <x:v>15</x:v>
      </x:c>
      <x:c r="J2800" s="15" t="n">
        <x:f>IF(D2800=0,"n.a.",E2800/D2800)</x:f>
        <x:v>0</x:v>
      </x:c>
      <x:c r="K2800" s="15" t="n">
        <x:f>F2800/'Datos'!$F$7</x:f>
        <x:v>0.00001675940763284712</x:v>
      </x:c>
      <x:c r="L2800" s="3"/>
    </x:row>
    <x:row r="2801" ht="22" customHeight="1">
      <x:c r="A2801" s="3"/>
      <x:c r="B2801" s="3" t="str">
        <x:v>90191</x:v>
      </x:c>
      <x:c r="C2801" s="3" t="str">
        <x:v>SILVER LARIAT 40CM</x:v>
      </x:c>
      <x:c r="D2801" s="13" t="n">
        <x:v>163.82</x:v>
      </x:c>
      <x:c r="E2801" s="13" t="n">
        <x:v>0</x:v>
      </x:c>
      <x:c r="F2801" s="13" t="n">
        <x:f>D2801-E2801</x:f>
        <x:v>163.82</x:v>
      </x:c>
      <x:c r="G2801" s="3" t="n">
        <x:v>26</x:v>
      </x:c>
      <x:c r="H2801" s="3" t="n">
        <x:v>0</x:v>
      </x:c>
      <x:c r="I2801" s="3" t="n">
        <x:v>10</x:v>
      </x:c>
      <x:c r="J2801" s="15" t="n">
        <x:f>IF(D2801=0,"n.a.",E2801/D2801)</x:f>
        <x:v>0</x:v>
      </x:c>
      <x:c r="K2801" s="15" t="n">
        <x:f>F2801/'Datos'!$F$7</x:f>
        <x:v>0.000016728772595741015</x:v>
      </x:c>
      <x:c r="L2801" s="3"/>
    </x:row>
    <x:row r="2802" ht="22" customHeight="1">
      <x:c r="A2802" s="3"/>
      <x:c r="B2802" s="3" t="str">
        <x:v>22408</x:v>
      </x:c>
      <x:c r="C2802" s="3" t="str">
        <x:v>MONEY BOX CONFECTIONERY DESIGN</x:v>
      </x:c>
      <x:c r="D2802" s="13" t="n">
        <x:v>163.69</x:v>
      </x:c>
      <x:c r="E2802" s="13" t="n">
        <x:v>0</x:v>
      </x:c>
      <x:c r="F2802" s="13" t="n">
        <x:f>D2802-E2802</x:f>
        <x:v>163.69</x:v>
      </x:c>
      <x:c r="G2802" s="3" t="n">
        <x:v>146</x:v>
      </x:c>
      <x:c r="H2802" s="3" t="n">
        <x:v>0</x:v>
      </x:c>
      <x:c r="I2802" s="3" t="n">
        <x:v>29</x:v>
      </x:c>
      <x:c r="J2802" s="15" t="n">
        <x:f>IF(D2802=0,"n.a.",E2802/D2802)</x:f>
        <x:v>0</x:v>
      </x:c>
      <x:c r="K2802" s="15" t="n">
        <x:f>F2802/'Datos'!$F$7</x:f>
        <x:v>0.000016715497412995035</x:v>
      </x:c>
      <x:c r="L2802" s="3"/>
    </x:row>
    <x:row r="2803" ht="22" customHeight="1">
      <x:c r="A2803" s="3"/>
      <x:c r="B2803" s="3" t="str">
        <x:v>22871</x:v>
      </x:c>
      <x:c r="C2803" s="3" t="str">
        <x:v>NUMBER TILE COTTAGE GARDEN 3</x:v>
      </x:c>
      <x:c r="D2803" s="13" t="n">
        <x:v>163.35</x:v>
      </x:c>
      <x:c r="E2803" s="13" t="n">
        <x:v>0</x:v>
      </x:c>
      <x:c r="F2803" s="13" t="n">
        <x:f>D2803-E2803</x:f>
        <x:v>163.35</x:v>
      </x:c>
      <x:c r="G2803" s="3" t="n">
        <x:v>67</x:v>
      </x:c>
      <x:c r="H2803" s="3" t="n">
        <x:v>0</x:v>
      </x:c>
      <x:c r="I2803" s="3" t="n">
        <x:v>25</x:v>
      </x:c>
      <x:c r="J2803" s="15" t="n">
        <x:f>IF(D2803=0,"n.a.",E2803/D2803)</x:f>
        <x:v>0</x:v>
      </x:c>
      <x:c r="K2803" s="15" t="n">
        <x:f>F2803/'Datos'!$F$7</x:f>
        <x:v>0.000016680777704274782</x:v>
      </x:c>
      <x:c r="L2803" s="3"/>
    </x:row>
    <x:row r="2804" ht="22" customHeight="1">
      <x:c r="A2804" s="3"/>
      <x:c r="B2804" s="3" t="str">
        <x:v>35810B</x:v>
      </x:c>
      <x:c r="C2804" s="3" t="str">
        <x:v>ENAMEL BLUE RIM COFFEE CONTAINER</x:v>
      </x:c>
      <x:c r="D2804" s="13" t="n">
        <x:v>174.09</x:v>
      </x:c>
      <x:c r="E2804" s="13" t="n">
        <x:v>10.79</x:v>
      </x:c>
      <x:c r="F2804" s="13" t="n">
        <x:f>D2804-E2804</x:f>
        <x:v>163.3</x:v>
      </x:c>
      <x:c r="G2804" s="3" t="n">
        <x:v>152</x:v>
      </x:c>
      <x:c r="H2804" s="3" t="n">
        <x:v>13</x:v>
      </x:c>
      <x:c r="I2804" s="3" t="n">
        <x:v>26</x:v>
      </x:c>
      <x:c r="J2804" s="15" t="n">
        <x:f>IF(D2804=0,"n.a.",E2804/D2804)</x:f>
        <x:v>0.061979435923947376</x:v>
      </x:c>
      <x:c r="K2804" s="15" t="n">
        <x:f>F2804/'Datos'!$F$7</x:f>
        <x:v>0.0000166756718647571</x:v>
      </x:c>
      <x:c r="L2804" s="3"/>
    </x:row>
    <x:row r="2805" ht="22" customHeight="1">
      <x:c r="A2805" s="3"/>
      <x:c r="B2805" s="3" t="str">
        <x:v>16207A</x:v>
      </x:c>
      <x:c r="C2805" s="3" t="str">
        <x:v>PINK STRAWBERRY HANDBAG</x:v>
      </x:c>
      <x:c r="D2805" s="13" t="n">
        <x:v>163.1</x:v>
      </x:c>
      <x:c r="E2805" s="13" t="n">
        <x:v>0</x:v>
      </x:c>
      <x:c r="F2805" s="13" t="n">
        <x:f>D2805-E2805</x:f>
        <x:v>163.1</x:v>
      </x:c>
      <x:c r="G2805" s="3" t="n">
        <x:v>60</x:v>
      </x:c>
      <x:c r="H2805" s="3" t="n">
        <x:v>0</x:v>
      </x:c>
      <x:c r="I2805" s="3" t="n">
        <x:v>34</x:v>
      </x:c>
      <x:c r="J2805" s="15" t="n">
        <x:f>IF(D2805=0,"n.a.",E2805/D2805)</x:f>
        <x:v>0</x:v>
      </x:c>
      <x:c r="K2805" s="15" t="n">
        <x:f>F2805/'Datos'!$F$7</x:f>
        <x:v>0.00001665524850668636</x:v>
      </x:c>
      <x:c r="L2805" s="3"/>
    </x:row>
    <x:row r="2806" ht="22" customHeight="1">
      <x:c r="A2806" s="3"/>
      <x:c r="B2806" s="3" t="str">
        <x:v>21100</x:v>
      </x:c>
      <x:c r="C2806" s="3" t="str">
        <x:v>CHARLIE AND LOLA CHARLOTTE BAG</x:v>
      </x:c>
      <x:c r="D2806" s="13" t="n">
        <x:v>162.21</x:v>
      </x:c>
      <x:c r="E2806" s="13" t="n">
        <x:v>0</x:v>
      </x:c>
      <x:c r="F2806" s="13" t="n">
        <x:f>D2806-E2806</x:f>
        <x:v>162.21</x:v>
      </x:c>
      <x:c r="G2806" s="3" t="n">
        <x:v>65</x:v>
      </x:c>
      <x:c r="H2806" s="3" t="n">
        <x:v>0</x:v>
      </x:c>
      <x:c r="I2806" s="3" t="n">
        <x:v>27</x:v>
      </x:c>
      <x:c r="J2806" s="15" t="n">
        <x:f>IF(D2806=0,"n.a.",E2806/D2806)</x:f>
        <x:v>0</x:v>
      </x:c>
      <x:c r="K2806" s="15" t="n">
        <x:f>F2806/'Datos'!$F$7</x:f>
        <x:v>0.00001656436456327158</x:v>
      </x:c>
      <x:c r="L2806" s="3"/>
    </x:row>
    <x:row r="2807" ht="22" customHeight="1">
      <x:c r="A2807" s="3"/>
      <x:c r="B2807" s="3" t="str">
        <x:v>84683</x:v>
      </x:c>
      <x:c r="C2807" s="3" t="str">
        <x:v>CLASSICAL ROSE CANDLESTAND</x:v>
      </x:c>
      <x:c r="D2807" s="13" t="n">
        <x:v>162.2</x:v>
      </x:c>
      <x:c r="E2807" s="13" t="n">
        <x:v>0</x:v>
      </x:c>
      <x:c r="F2807" s="13" t="n">
        <x:f>D2807-E2807</x:f>
        <x:v>162.2</x:v>
      </x:c>
      <x:c r="G2807" s="3" t="n">
        <x:v>194</x:v>
      </x:c>
      <x:c r="H2807" s="3" t="n">
        <x:v>0</x:v>
      </x:c>
      <x:c r="I2807" s="3" t="n">
        <x:v>12</x:v>
      </x:c>
      <x:c r="J2807" s="15" t="n">
        <x:f>IF(D2807=0,"n.a.",E2807/D2807)</x:f>
        <x:v>0</x:v>
      </x:c>
      <x:c r="K2807" s="15" t="n">
        <x:f>F2807/'Datos'!$F$7</x:f>
        <x:v>0.00001656334339536804</x:v>
      </x:c>
      <x:c r="L2807" s="3"/>
    </x:row>
    <x:row r="2808" ht="22" customHeight="1">
      <x:c r="A2808" s="3"/>
      <x:c r="B2808" s="3" t="str">
        <x:v>21369</x:v>
      </x:c>
      <x:c r="C2808" s="3" t="str">
        <x:v>MIRRORED WALL ART SPLODGES</x:v>
      </x:c>
      <x:c r="D2808" s="13" t="n">
        <x:v>161.49</x:v>
      </x:c>
      <x:c r="E2808" s="13" t="n">
        <x:v>0</x:v>
      </x:c>
      <x:c r="F2808" s="13" t="n">
        <x:f>D2808-E2808</x:f>
        <x:v>161.49</x:v>
      </x:c>
      <x:c r="G2808" s="3" t="n">
        <x:v>101</x:v>
      </x:c>
      <x:c r="H2808" s="3" t="n">
        <x:v>0</x:v>
      </x:c>
      <x:c r="I2808" s="3" t="n">
        <x:v>16</x:v>
      </x:c>
      <x:c r="J2808" s="15" t="n">
        <x:f>IF(D2808=0,"n.a.",E2808/D2808)</x:f>
        <x:v>0</x:v>
      </x:c>
      <x:c r="K2808" s="15" t="n">
        <x:f>F2808/'Datos'!$F$7</x:f>
        <x:v>0.000016490840474216926</x:v>
      </x:c>
      <x:c r="L2808" s="3"/>
    </x:row>
    <x:row r="2809" ht="22" customHeight="1">
      <x:c r="A2809" s="3"/>
      <x:c r="B2809" s="3" t="str">
        <x:v>23305</x:v>
      </x:c>
      <x:c r="C2809" s="3" t="str">
        <x:v>SET 4 PICNIC CUTLERY BLUEBERRY</x:v>
      </x:c>
      <x:c r="D2809" s="13" t="n">
        <x:v>159.9</x:v>
      </x:c>
      <x:c r="E2809" s="13" t="n">
        <x:v>0</x:v>
      </x:c>
      <x:c r="F2809" s="13" t="n">
        <x:f>D2809-E2809</x:f>
        <x:v>159.9</x:v>
      </x:c>
      <x:c r="G2809" s="3" t="n">
        <x:v>82</x:v>
      </x:c>
      <x:c r="H2809" s="3" t="n">
        <x:v>0</x:v>
      </x:c>
      <x:c r="I2809" s="3" t="n">
        <x:v>9</x:v>
      </x:c>
      <x:c r="J2809" s="15" t="n">
        <x:f>IF(D2809=0,"n.a.",E2809/D2809)</x:f>
        <x:v>0</x:v>
      </x:c>
      <x:c r="K2809" s="15" t="n">
        <x:f>F2809/'Datos'!$F$7</x:f>
        <x:v>0.00001632847477755456</x:v>
      </x:c>
      <x:c r="L2809" s="3"/>
    </x:row>
    <x:row r="2810" ht="22" customHeight="1">
      <x:c r="A2810" s="3"/>
      <x:c r="B2810" s="3" t="str">
        <x:v>90014B</x:v>
      </x:c>
      <x:c r="C2810" s="3" t="str">
        <x:v>GOLD M PEARL ORBIT NECKLACE</x:v>
      </x:c>
      <x:c r="D2810" s="13" t="n">
        <x:v>158.74</x:v>
      </x:c>
      <x:c r="E2810" s="13" t="n">
        <x:v>0</x:v>
      </x:c>
      <x:c r="F2810" s="13" t="n">
        <x:f>D2810-E2810</x:f>
        <x:v>158.74</x:v>
      </x:c>
      <x:c r="G2810" s="3" t="n">
        <x:v>17</x:v>
      </x:c>
      <x:c r="H2810" s="3" t="n">
        <x:v>0</x:v>
      </x:c>
      <x:c r="I2810" s="3" t="n">
        <x:v>15</x:v>
      </x:c>
      <x:c r="J2810" s="15" t="n">
        <x:f>IF(D2810=0,"n.a.",E2810/D2810)</x:f>
        <x:v>0</x:v>
      </x:c>
      <x:c r="K2810" s="15" t="n">
        <x:f>F2810/'Datos'!$F$7</x:f>
        <x:v>0.000016210019300744287</x:v>
      </x:c>
      <x:c r="L2810" s="3"/>
    </x:row>
    <x:row r="2811" ht="22" customHeight="1">
      <x:c r="A2811" s="3"/>
      <x:c r="B2811" s="3" t="str">
        <x:v>84247G</x:v>
      </x:c>
      <x:c r="C2811" s="3" t="str">
        <x:v>DECOUPAGE,GREETING CARD,</x:v>
      </x:c>
      <x:c r="D2811" s="13" t="n">
        <x:v>158.63</x:v>
      </x:c>
      <x:c r="E2811" s="13" t="n">
        <x:v>0</x:v>
      </x:c>
      <x:c r="F2811" s="13" t="n">
        <x:f>D2811-E2811</x:f>
        <x:v>158.63</x:v>
      </x:c>
      <x:c r="G2811" s="3" t="n">
        <x:v>357</x:v>
      </x:c>
      <x:c r="H2811" s="3" t="n">
        <x:v>0</x:v>
      </x:c>
      <x:c r="I2811" s="3" t="n">
        <x:v>32</x:v>
      </x:c>
      <x:c r="J2811" s="15" t="n">
        <x:f>IF(D2811=0,"n.a.",E2811/D2811)</x:f>
        <x:v>0</x:v>
      </x:c>
      <x:c r="K2811" s="15" t="n">
        <x:f>F2811/'Datos'!$F$7</x:f>
        <x:v>0.00001619878645380538</x:v>
      </x:c>
      <x:c r="L2811" s="3"/>
    </x:row>
    <x:row r="2812" ht="22" customHeight="1">
      <x:c r="A2812" s="3"/>
      <x:c r="B2812" s="3" t="str">
        <x:v>90013C</x:v>
      </x:c>
      <x:c r="C2812" s="3" t="str">
        <x:v>GREEN VINTAGE EARRINGS</x:v>
      </x:c>
      <x:c r="D2812" s="13" t="n">
        <x:v>158.08</x:v>
      </x:c>
      <x:c r="E2812" s="13" t="n">
        <x:v>0</x:v>
      </x:c>
      <x:c r="F2812" s="13" t="n">
        <x:f>D2812-E2812</x:f>
        <x:v>158.08</x:v>
      </x:c>
      <x:c r="G2812" s="3" t="n">
        <x:v>39</x:v>
      </x:c>
      <x:c r="H2812" s="3" t="n">
        <x:v>0</x:v>
      </x:c>
      <x:c r="I2812" s="3" t="n">
        <x:v>28</x:v>
      </x:c>
      <x:c r="J2812" s="15" t="n">
        <x:f>IF(D2812=0,"n.a.",E2812/D2812)</x:f>
        <x:v>0</x:v>
      </x:c>
      <x:c r="K2812" s="15" t="n">
        <x:f>F2812/'Datos'!$F$7</x:f>
        <x:v>0.000016142622219110853</x:v>
      </x:c>
      <x:c r="L2812" s="3"/>
    </x:row>
    <x:row r="2813" ht="22" customHeight="1">
      <x:c r="A2813" s="3"/>
      <x:c r="B2813" s="3" t="str">
        <x:v>17038</x:v>
      </x:c>
      <x:c r="C2813" s="3" t="str">
        <x:v>PORCELAIN BUDAH INCENSE HOLDER</x:v>
      </x:c>
      <x:c r="D2813" s="13" t="n">
        <x:v>158.06</x:v>
      </x:c>
      <x:c r="E2813" s="13" t="n">
        <x:v>0</x:v>
      </x:c>
      <x:c r="F2813" s="13" t="n">
        <x:f>D2813-E2813</x:f>
        <x:v>158.06</x:v>
      </x:c>
      <x:c r="G2813" s="3" t="n">
        <x:v>1525</x:v>
      </x:c>
      <x:c r="H2813" s="3" t="n">
        <x:v>0</x:v>
      </x:c>
      <x:c r="I2813" s="3" t="n">
        <x:v>34</x:v>
      </x:c>
      <x:c r="J2813" s="15" t="n">
        <x:f>IF(D2813=0,"n.a.",E2813/D2813)</x:f>
        <x:v>0</x:v>
      </x:c>
      <x:c r="K2813" s="15" t="n">
        <x:f>F2813/'Datos'!$F$7</x:f>
        <x:v>0.000016140579883303777</x:v>
      </x:c>
      <x:c r="L2813" s="3"/>
    </x:row>
    <x:row r="2814" ht="22" customHeight="1">
      <x:c r="A2814" s="3"/>
      <x:c r="B2814" s="3" t="str">
        <x:v>84507C</x:v>
      </x:c>
      <x:c r="C2814" s="3" t="str">
        <x:v>BLUE CIRCLES DESIGN MONKEY DOLL</x:v>
      </x:c>
      <x:c r="D2814" s="13" t="n">
        <x:v>175.73</x:v>
      </x:c>
      <x:c r="E2814" s="13" t="n">
        <x:v>17.85</x:v>
      </x:c>
      <x:c r="F2814" s="13" t="n">
        <x:f>D2814-E2814</x:f>
        <x:v>157.88</x:v>
      </x:c>
      <x:c r="G2814" s="3" t="n">
        <x:v>66</x:v>
      </x:c>
      <x:c r="H2814" s="3" t="n">
        <x:v>7</x:v>
      </x:c>
      <x:c r="I2814" s="3" t="n">
        <x:v>28</x:v>
      </x:c>
      <x:c r="J2814" s="15" t="n">
        <x:f>IF(D2814=0,"n.a.",E2814/D2814)</x:f>
        <x:v>0.10157628179593696</x:v>
      </x:c>
      <x:c r="K2814" s="15" t="n">
        <x:f>F2814/'Datos'!$F$7</x:f>
        <x:v>0.000016122198861040115</x:v>
      </x:c>
      <x:c r="L2814" s="3"/>
    </x:row>
    <x:row r="2815" ht="22" customHeight="1">
      <x:c r="A2815" s="3"/>
      <x:c r="B2815" s="3" t="str">
        <x:v>23417</x:v>
      </x:c>
      <x:c r="C2815" s="3" t="str">
        <x:v>BATHROOM HOOK</x:v>
      </x:c>
      <x:c r="D2815" s="13" t="n">
        <x:v>157.5</x:v>
      </x:c>
      <x:c r="E2815" s="13" t="n">
        <x:v>0</x:v>
      </x:c>
      <x:c r="F2815" s="13" t="n">
        <x:f>D2815-E2815</x:f>
        <x:v>157.5</x:v>
      </x:c>
      <x:c r="G2815" s="3" t="n">
        <x:v>146</x:v>
      </x:c>
      <x:c r="H2815" s="3" t="n">
        <x:v>0</x:v>
      </x:c>
      <x:c r="I2815" s="3" t="n">
        <x:v>27</x:v>
      </x:c>
      <x:c r="J2815" s="15" t="n">
        <x:f>IF(D2815=0,"n.a.",E2815/D2815)</x:f>
        <x:v>0</x:v>
      </x:c>
      <x:c r="K2815" s="15" t="n">
        <x:f>F2815/'Datos'!$F$7</x:f>
        <x:v>0.000016083394480705712</x:v>
      </x:c>
      <x:c r="L2815" s="3"/>
    </x:row>
    <x:row r="2816" ht="22" customHeight="1">
      <x:c r="A2816" s="3"/>
      <x:c r="B2816" s="3" t="str">
        <x:v>84508C</x:v>
      </x:c>
      <x:c r="C2816" s="3" t="str">
        <x:v>BLUE CIRCLES DESIGN TEDDY</x:v>
      </x:c>
      <x:c r="D2816" s="13" t="n">
        <x:v>157.5</x:v>
      </x:c>
      <x:c r="E2816" s="13" t="n">
        <x:v>0</x:v>
      </x:c>
      <x:c r="F2816" s="13" t="n">
        <x:f>D2816-E2816</x:f>
        <x:v>157.5</x:v>
      </x:c>
      <x:c r="G2816" s="3" t="n">
        <x:v>57</x:v>
      </x:c>
      <x:c r="H2816" s="3" t="n">
        <x:v>0</x:v>
      </x:c>
      <x:c r="I2816" s="3" t="n">
        <x:v>25</x:v>
      </x:c>
      <x:c r="J2816" s="15" t="n">
        <x:f>IF(D2816=0,"n.a.",E2816/D2816)</x:f>
        <x:v>0</x:v>
      </x:c>
      <x:c r="K2816" s="15" t="n">
        <x:f>F2816/'Datos'!$F$7</x:f>
        <x:v>0.000016083394480705712</x:v>
      </x:c>
      <x:c r="L2816" s="3"/>
    </x:row>
    <x:row r="2817" ht="22" customHeight="1">
      <x:c r="A2817" s="3"/>
      <x:c r="B2817" s="3" t="str">
        <x:v>90134</x:v>
      </x:c>
      <x:c r="C2817" s="3" t="str">
        <x:v>OLD ROSE COMBO BEAD NECKLACE</x:v>
      </x:c>
      <x:c r="D2817" s="13" t="n">
        <x:v>157.5</x:v>
      </x:c>
      <x:c r="E2817" s="13" t="n">
        <x:v>0</x:v>
      </x:c>
      <x:c r="F2817" s="13" t="n">
        <x:f>D2817-E2817</x:f>
        <x:v>157.5</x:v>
      </x:c>
      <x:c r="G2817" s="3" t="n">
        <x:v>54</x:v>
      </x:c>
      <x:c r="H2817" s="3" t="n">
        <x:v>0</x:v>
      </x:c>
      <x:c r="I2817" s="3" t="n">
        <x:v>45</x:v>
      </x:c>
      <x:c r="J2817" s="15" t="n">
        <x:f>IF(D2817=0,"n.a.",E2817/D2817)</x:f>
        <x:v>0</x:v>
      </x:c>
      <x:c r="K2817" s="15" t="n">
        <x:f>F2817/'Datos'!$F$7</x:f>
        <x:v>0.000016083394480705712</x:v>
      </x:c>
      <x:c r="L2817" s="3"/>
    </x:row>
    <x:row r="2818" ht="22" customHeight="1">
      <x:c r="A2818" s="3"/>
      <x:c r="B2818" s="3" t="str">
        <x:v>84882</x:v>
      </x:c>
      <x:c r="C2818" s="3" t="str">
        <x:v>GREEN WIRE STANDING CANDLE HOLDER</x:v>
      </x:c>
      <x:c r="D2818" s="13" t="n">
        <x:v>157.34</x:v>
      </x:c>
      <x:c r="E2818" s="13" t="n">
        <x:v>0</x:v>
      </x:c>
      <x:c r="F2818" s="13" t="n">
        <x:f>D2818-E2818</x:f>
        <x:v>157.34</x:v>
      </x:c>
      <x:c r="G2818" s="3" t="n">
        <x:v>38</x:v>
      </x:c>
      <x:c r="H2818" s="3" t="n">
        <x:v>0</x:v>
      </x:c>
      <x:c r="I2818" s="3" t="n">
        <x:v>18</x:v>
      </x:c>
      <x:c r="J2818" s="15" t="n">
        <x:f>IF(D2818=0,"n.a.",E2818/D2818)</x:f>
        <x:v>0</x:v>
      </x:c>
      <x:c r="K2818" s="15" t="n">
        <x:f>F2818/'Datos'!$F$7</x:f>
        <x:v>0.000016067055794249124</x:v>
      </x:c>
      <x:c r="L2818" s="3"/>
    </x:row>
    <x:row r="2819" ht="22" customHeight="1">
      <x:c r="A2819" s="3"/>
      <x:c r="B2819" s="3" t="str">
        <x:v>35649</x:v>
      </x:c>
      <x:c r="C2819" s="3" t="str">
        <x:v>VINTAGE BEAD COSMETIC BAG</x:v>
      </x:c>
      <x:c r="D2819" s="13" t="n">
        <x:v>156.85</x:v>
      </x:c>
      <x:c r="E2819" s="13" t="n">
        <x:v>0</x:v>
      </x:c>
      <x:c r="F2819" s="13" t="n">
        <x:f>D2819-E2819</x:f>
        <x:v>156.85</x:v>
      </x:c>
      <x:c r="G2819" s="3" t="n">
        <x:v>57</x:v>
      </x:c>
      <x:c r="H2819" s="3" t="n">
        <x:v>0</x:v>
      </x:c>
      <x:c r="I2819" s="3" t="n">
        <x:v>35</x:v>
      </x:c>
      <x:c r="J2819" s="15" t="n">
        <x:f>IF(D2819=0,"n.a.",E2819/D2819)</x:f>
        <x:v>0</x:v>
      </x:c>
      <x:c r="K2819" s="15" t="n">
        <x:f>F2819/'Datos'!$F$7</x:f>
        <x:v>0.000016017018566975817</x:v>
      </x:c>
      <x:c r="L2819" s="3"/>
    </x:row>
    <x:row r="2820" ht="22" customHeight="1">
      <x:c r="A2820" s="3"/>
      <x:c r="B2820" s="3" t="str">
        <x:v>23468</x:v>
      </x:c>
      <x:c r="C2820" s="3" t="str">
        <x:v>TUSCAN VILLA BIRD TABLE</x:v>
      </x:c>
      <x:c r="D2820" s="13" t="n">
        <x:v>156.75</x:v>
      </x:c>
      <x:c r="E2820" s="13" t="n">
        <x:v>0</x:v>
      </x:c>
      <x:c r="F2820" s="13" t="n">
        <x:f>D2820-E2820</x:f>
        <x:v>156.75</x:v>
      </x:c>
      <x:c r="G2820" s="3" t="n">
        <x:v>19</x:v>
      </x:c>
      <x:c r="H2820" s="3" t="n">
        <x:v>0</x:v>
      </x:c>
      <x:c r="I2820" s="3" t="n">
        <x:v>11</x:v>
      </x:c>
      <x:c r="J2820" s="15" t="n">
        <x:f>IF(D2820=0,"n.a.",E2820/D2820)</x:f>
        <x:v>0</x:v>
      </x:c>
      <x:c r="K2820" s="15" t="n">
        <x:f>F2820/'Datos'!$F$7</x:f>
        <x:v>0.000016006806887940448</x:v>
      </x:c>
      <x:c r="L2820" s="3"/>
    </x:row>
    <x:row r="2821" ht="22" customHeight="1">
      <x:c r="A2821" s="3"/>
      <x:c r="B2821" s="3" t="str">
        <x:v>84673B</x:v>
      </x:c>
      <x:c r="C2821" s="3" t="str">
        <x:v>BLUE FLY SWAT</x:v>
      </x:c>
      <x:c r="D2821" s="13" t="n">
        <x:v>156.63</x:v>
      </x:c>
      <x:c r="E2821" s="13" t="n">
        <x:v>0</x:v>
      </x:c>
      <x:c r="F2821" s="13" t="n">
        <x:f>D2821-E2821</x:f>
        <x:v>156.63</x:v>
      </x:c>
      <x:c r="G2821" s="3" t="n">
        <x:v>179</x:v>
      </x:c>
      <x:c r="H2821" s="3" t="n">
        <x:v>0</x:v>
      </x:c>
      <x:c r="I2821" s="3" t="n">
        <x:v>66</x:v>
      </x:c>
      <x:c r="J2821" s="15" t="n">
        <x:f>IF(D2821=0,"n.a.",E2821/D2821)</x:f>
        <x:v>0</x:v>
      </x:c>
      <x:c r="K2821" s="15" t="n">
        <x:f>F2821/'Datos'!$F$7</x:f>
        <x:v>0.000015994552873098004</x:v>
      </x:c>
      <x:c r="L2821" s="3"/>
    </x:row>
    <x:row r="2822" ht="22" customHeight="1">
      <x:c r="A2822" s="3"/>
      <x:c r="B2822" s="3" t="str">
        <x:v>22353</x:v>
      </x:c>
      <x:c r="C2822" s="3" t="str">
        <x:v>LUNCH BOX WITH CUTLERY FAIRY CAKES</x:v>
      </x:c>
      <x:c r="D2822" s="13" t="n">
        <x:v>155.55</x:v>
      </x:c>
      <x:c r="E2822" s="13" t="n">
        <x:v>0</x:v>
      </x:c>
      <x:c r="F2822" s="13" t="n">
        <x:f>D2822-E2822</x:f>
        <x:v>155.55</x:v>
      </x:c>
      <x:c r="G2822" s="3" t="n">
        <x:v>61</x:v>
      </x:c>
      <x:c r="H2822" s="3" t="n">
        <x:v>0</x:v>
      </x:c>
      <x:c r="I2822" s="3" t="n">
        <x:v>24</x:v>
      </x:c>
      <x:c r="J2822" s="15" t="n">
        <x:f>IF(D2822=0,"n.a.",E2822/D2822)</x:f>
        <x:v>0</x:v>
      </x:c>
      <x:c r="K2822" s="15" t="n">
        <x:f>F2822/'Datos'!$F$7</x:f>
        <x:v>0.000015884266739516023</x:v>
      </x:c>
      <x:c r="L2822" s="3"/>
    </x:row>
    <x:row r="2823" ht="22" customHeight="1">
      <x:c r="A2823" s="3"/>
      <x:c r="B2823" s="3" t="str">
        <x:v>44234</x:v>
      </x:c>
      <x:c r="C2823" s="3" t="str">
        <x:v>ASSORTED CIRCULAR MOBILE</x:v>
      </x:c>
      <x:c r="D2823" s="13" t="n">
        <x:v>155.82</x:v>
      </x:c>
      <x:c r="E2823" s="13" t="n">
        <x:v>0.42</x:v>
      </x:c>
      <x:c r="F2823" s="13" t="n">
        <x:f>D2823-E2823</x:f>
        <x:v>155.4</x:v>
      </x:c>
      <x:c r="G2823" s="3" t="n">
        <x:v>698</x:v>
      </x:c>
      <x:c r="H2823" s="3" t="n">
        <x:v>2</x:v>
      </x:c>
      <x:c r="I2823" s="3" t="n">
        <x:v>33</x:v>
      </x:c>
      <x:c r="J2823" s="15" t="n">
        <x:f>IF(D2823=0,"n.a.",E2823/D2823)</x:f>
        <x:v>0.0026954177897574125</x:v>
      </x:c>
      <x:c r="K2823" s="15" t="n">
        <x:f>F2823/'Datos'!$F$7</x:f>
        <x:v>0.00001586894922096297</x:v>
      </x:c>
      <x:c r="L2823" s="3"/>
    </x:row>
    <x:row r="2824" ht="22" customHeight="1">
      <x:c r="A2824" s="3"/>
      <x:c r="B2824" s="3" t="str">
        <x:v>23496</x:v>
      </x:c>
      <x:c r="C2824" s="3" t="str">
        <x:v>PANTRY KITCHEN THERMOMETER</x:v>
      </x:c>
      <x:c r="D2824" s="13" t="n">
        <x:v>154.52</x:v>
      </x:c>
      <x:c r="E2824" s="13" t="n">
        <x:v>0</x:v>
      </x:c>
      <x:c r="F2824" s="13" t="n">
        <x:f>D2824-E2824</x:f>
        <x:v>154.52</x:v>
      </x:c>
      <x:c r="G2824" s="3" t="n">
        <x:v>112</x:v>
      </x:c>
      <x:c r="H2824" s="3" t="n">
        <x:v>0</x:v>
      </x:c>
      <x:c r="I2824" s="3" t="n">
        <x:v>31</x:v>
      </x:c>
      <x:c r="J2824" s="15" t="n">
        <x:f>IF(D2824=0,"n.a.",E2824/D2824)</x:f>
        <x:v>0</x:v>
      </x:c>
      <x:c r="K2824" s="15" t="n">
        <x:f>F2824/'Datos'!$F$7</x:f>
        <x:v>0.000015779086445451728</x:v>
      </x:c>
      <x:c r="L2824" s="3"/>
    </x:row>
    <x:row r="2825" ht="22" customHeight="1">
      <x:c r="A2825" s="3"/>
      <x:c r="B2825" s="3" t="str">
        <x:v>84827</x:v>
      </x:c>
      <x:c r="C2825" s="3" t="str">
        <x:v>ASS DES PHONE SPONGE CRAFT STICKER</x:v>
      </x:c>
      <x:c r="D2825" s="13" t="n">
        <x:v>154.39</x:v>
      </x:c>
      <x:c r="E2825" s="13" t="n">
        <x:v>0</x:v>
      </x:c>
      <x:c r="F2825" s="13" t="n">
        <x:f>D2825-E2825</x:f>
        <x:v>154.39</x:v>
      </x:c>
      <x:c r="G2825" s="3" t="n">
        <x:v>511</x:v>
      </x:c>
      <x:c r="H2825" s="3" t="n">
        <x:v>0</x:v>
      </x:c>
      <x:c r="I2825" s="3" t="n">
        <x:v>14</x:v>
      </x:c>
      <x:c r="J2825" s="15" t="n">
        <x:f>IF(D2825=0,"n.a.",E2825/D2825)</x:f>
        <x:v>0</x:v>
      </x:c>
      <x:c r="K2825" s="15" t="n">
        <x:f>F2825/'Datos'!$F$7</x:f>
        <x:v>0.000015765811262705745</x:v>
      </x:c>
      <x:c r="L2825" s="3"/>
    </x:row>
    <x:row r="2826" ht="22" customHeight="1">
      <x:c r="A2826" s="3"/>
      <x:c r="B2826" s="3" t="str">
        <x:v>21614</x:v>
      </x:c>
      <x:c r="C2826" s="3" t="str">
        <x:v>SET OF 12 ROSE BOTANICAL T-LIGHTS</x:v>
      </x:c>
      <x:c r="D2826" s="13" t="n">
        <x:v>153.29</x:v>
      </x:c>
      <x:c r="E2826" s="13" t="n">
        <x:v>0</x:v>
      </x:c>
      <x:c r="F2826" s="13" t="n">
        <x:f>D2826-E2826</x:f>
        <x:v>153.29</x:v>
      </x:c>
      <x:c r="G2826" s="3" t="n">
        <x:v>51</x:v>
      </x:c>
      <x:c r="H2826" s="3" t="n">
        <x:v>0</x:v>
      </x:c>
      <x:c r="I2826" s="3" t="n">
        <x:v>9</x:v>
      </x:c>
      <x:c r="J2826" s="15" t="n">
        <x:f>IF(D2826=0,"n.a.",E2826/D2826)</x:f>
        <x:v>0</x:v>
      </x:c>
      <x:c r="K2826" s="15" t="n">
        <x:f>F2826/'Datos'!$F$7</x:f>
        <x:v>0.00001565348279331669</x:v>
      </x:c>
      <x:c r="L2826" s="3"/>
    </x:row>
    <x:row r="2827" ht="22" customHeight="1">
      <x:c r="A2827" s="3"/>
      <x:c r="B2827" s="3" t="str">
        <x:v>21145</x:v>
      </x:c>
      <x:c r="C2827" s="3" t="str">
        <x:v>ANTIQUE GLASS PLACE SETTING</x:v>
      </x:c>
      <x:c r="D2827" s="13" t="n">
        <x:v>152.5</x:v>
      </x:c>
      <x:c r="E2827" s="13" t="n">
        <x:v>0</x:v>
      </x:c>
      <x:c r="F2827" s="13" t="n">
        <x:f>D2827-E2827</x:f>
        <x:v>152.5</x:v>
      </x:c>
      <x:c r="G2827" s="3" t="n">
        <x:v>122</x:v>
      </x:c>
      <x:c r="H2827" s="3" t="n">
        <x:v>0</x:v>
      </x:c>
      <x:c r="I2827" s="3" t="n">
        <x:v>8</x:v>
      </x:c>
      <x:c r="J2827" s="15" t="n">
        <x:f>IF(D2827=0,"n.a.",E2827/D2827)</x:f>
        <x:v>0</x:v>
      </x:c>
      <x:c r="K2827" s="15" t="n">
        <x:f>F2827/'Datos'!$F$7</x:f>
        <x:v>0.000015572810528937278</x:v>
      </x:c>
      <x:c r="L2827" s="3"/>
    </x:row>
    <x:row r="2828" ht="22" customHeight="1">
      <x:c r="A2828" s="3"/>
      <x:c r="B2828" s="3" t="str">
        <x:v>90198B</x:v>
      </x:c>
      <x:c r="C2828" s="3" t="str">
        <x:v>VINTAGE ROSE BEAD BRACELET BLACK</x:v>
      </x:c>
      <x:c r="D2828" s="13" t="n">
        <x:v>152.4</x:v>
      </x:c>
      <x:c r="E2828" s="13" t="n">
        <x:v>0</x:v>
      </x:c>
      <x:c r="F2828" s="13" t="n">
        <x:f>D2828-E2828</x:f>
        <x:v>152.4</x:v>
      </x:c>
      <x:c r="G2828" s="3" t="n">
        <x:v>36</x:v>
      </x:c>
      <x:c r="H2828" s="3" t="n">
        <x:v>0</x:v>
      </x:c>
      <x:c r="I2828" s="3" t="n">
        <x:v>17</x:v>
      </x:c>
      <x:c r="J2828" s="15" t="n">
        <x:f>IF(D2828=0,"n.a.",E2828/D2828)</x:f>
        <x:v>0</x:v>
      </x:c>
      <x:c r="K2828" s="15" t="n">
        <x:f>F2828/'Datos'!$F$7</x:f>
        <x:v>0.00001556259884990191</x:v>
      </x:c>
      <x:c r="L2828" s="3"/>
    </x:row>
    <x:row r="2829" ht="22" customHeight="1">
      <x:c r="A2829" s="3"/>
      <x:c r="B2829" s="3" t="str">
        <x:v>84877D</x:v>
      </x:c>
      <x:c r="C2829" s="3" t="str">
        <x:v>BLUE ROUND COMPACT MIRROR</x:v>
      </x:c>
      <x:c r="D2829" s="13" t="n">
        <x:v>152.18</x:v>
      </x:c>
      <x:c r="E2829" s="13" t="n">
        <x:v>0</x:v>
      </x:c>
      <x:c r="F2829" s="13" t="n">
        <x:f>D2829-E2829</x:f>
        <x:v>152.18</x:v>
      </x:c>
      <x:c r="G2829" s="3" t="n">
        <x:v>97</x:v>
      </x:c>
      <x:c r="H2829" s="3" t="n">
        <x:v>0</x:v>
      </x:c>
      <x:c r="I2829" s="3" t="n">
        <x:v>18</x:v>
      </x:c>
      <x:c r="J2829" s="15" t="n">
        <x:f>IF(D2829=0,"n.a.",E2829/D2829)</x:f>
        <x:v>0</x:v>
      </x:c>
      <x:c r="K2829" s="15" t="n">
        <x:f>F2829/'Datos'!$F$7</x:f>
        <x:v>0.0000155401331560241</x:v>
      </x:c>
      <x:c r="L2829" s="3"/>
    </x:row>
    <x:row r="2830" ht="22" customHeight="1">
      <x:c r="A2830" s="3"/>
      <x:c r="B2830" s="3" t="str">
        <x:v>84865</x:v>
      </x:c>
      <x:c r="C2830" s="3" t="str">
        <x:v>NEW BAROQUE BLACK PHOTO ALBUM</x:v>
      </x:c>
      <x:c r="D2830" s="13" t="n">
        <x:v>152.11</x:v>
      </x:c>
      <x:c r="E2830" s="13" t="n">
        <x:v>0</x:v>
      </x:c>
      <x:c r="F2830" s="13" t="n">
        <x:f>D2830-E2830</x:f>
        <x:v>152.11</x:v>
      </x:c>
      <x:c r="G2830" s="3" t="n">
        <x:v>29</x:v>
      </x:c>
      <x:c r="H2830" s="3" t="n">
        <x:v>0</x:v>
      </x:c>
      <x:c r="I2830" s="3" t="n">
        <x:v>14</x:v>
      </x:c>
      <x:c r="J2830" s="15" t="n">
        <x:f>IF(D2830=0,"n.a.",E2830/D2830)</x:f>
        <x:v>0</x:v>
      </x:c>
      <x:c r="K2830" s="15" t="n">
        <x:f>F2830/'Datos'!$F$7</x:f>
        <x:v>0.000015532984980699342</x:v>
      </x:c>
      <x:c r="L2830" s="3"/>
    </x:row>
    <x:row r="2831" ht="22" customHeight="1">
      <x:c r="A2831" s="3"/>
      <x:c r="B2831" s="3" t="str">
        <x:v>72128</x:v>
      </x:c>
      <x:c r="C2831" s="3" t="str">
        <x:v>COLUMBIAN CANDLE ROUND</x:v>
      </x:c>
      <x:c r="D2831" s="13" t="n">
        <x:v>152.05</x:v>
      </x:c>
      <x:c r="E2831" s="13" t="n">
        <x:v>0</x:v>
      </x:c>
      <x:c r="F2831" s="13" t="n">
        <x:f>D2831-E2831</x:f>
        <x:v>152.05</x:v>
      </x:c>
      <x:c r="G2831" s="3" t="n">
        <x:v>193</x:v>
      </x:c>
      <x:c r="H2831" s="3" t="n">
        <x:v>0</x:v>
      </x:c>
      <x:c r="I2831" s="3" t="n">
        <x:v>36</x:v>
      </x:c>
      <x:c r="J2831" s="15" t="n">
        <x:f>IF(D2831=0,"n.a.",E2831/D2831)</x:f>
        <x:v>0</x:v>
      </x:c>
      <x:c r="K2831" s="15" t="n">
        <x:f>F2831/'Datos'!$F$7</x:f>
        <x:v>0.00001552685797327812</x:v>
      </x:c>
      <x:c r="L2831" s="3"/>
    </x:row>
    <x:row r="2832" ht="22" customHeight="1">
      <x:c r="A2832" s="3"/>
      <x:c r="B2832" s="3" t="str">
        <x:v>84595E</x:v>
      </x:c>
      <x:c r="C2832" s="3" t="str">
        <x:v>LARGE TORTILLA DESIGN RED BOWL</x:v>
      </x:c>
      <x:c r="D2832" s="13" t="n">
        <x:v>154.68</x:v>
      </x:c>
      <x:c r="E2832" s="13" t="n">
        <x:v>3.29</x:v>
      </x:c>
      <x:c r="F2832" s="13" t="n">
        <x:f>D2832-E2832</x:f>
        <x:v>151.39000000000001</x:v>
      </x:c>
      <x:c r="G2832" s="3" t="n">
        <x:v>78</x:v>
      </x:c>
      <x:c r="H2832" s="3" t="n">
        <x:v>1</x:v>
      </x:c>
      <x:c r="I2832" s="3" t="n">
        <x:v>22</x:v>
      </x:c>
      <x:c r="J2832" s="15" t="n">
        <x:f>IF(D2832=0,"n.a.",E2832/D2832)</x:f>
        <x:v>0.021269718127747608</x:v>
      </x:c>
      <x:c r="K2832" s="15" t="n">
        <x:f>F2832/'Datos'!$F$7</x:f>
        <x:v>0.000015459460891644686</x:v>
      </x:c>
      <x:c r="L2832" s="3"/>
    </x:row>
    <x:row r="2833" ht="22" customHeight="1">
      <x:c r="A2833" s="3"/>
      <x:c r="B2833" s="3" t="str">
        <x:v>90209A</x:v>
      </x:c>
      <x:c r="C2833" s="3" t="str">
        <x:v>PURPLE ENAMEL+GLASS HAIR COMB</x:v>
      </x:c>
      <x:c r="D2833" s="13" t="n">
        <x:v>163.8</x:v>
      </x:c>
      <x:c r="E2833" s="13" t="n">
        <x:v>12.6</x:v>
      </x:c>
      <x:c r="F2833" s="13" t="n">
        <x:f>D2833-E2833</x:f>
        <x:v>151.20000000000002</x:v>
      </x:c>
      <x:c r="G2833" s="3" t="n">
        <x:v>84</x:v>
      </x:c>
      <x:c r="H2833" s="3" t="n">
        <x:v>6</x:v>
      </x:c>
      <x:c r="I2833" s="3" t="n">
        <x:v>4</x:v>
      </x:c>
      <x:c r="J2833" s="15" t="n">
        <x:f>IF(D2833=0,"n.a.",E2833/D2833)</x:f>
        <x:v>0.07692307692307691</x:v>
      </x:c>
      <x:c r="K2833" s="15" t="n">
        <x:f>F2833/'Datos'!$F$7</x:f>
        <x:v>0.000015440058701477488</x:v>
      </x:c>
      <x:c r="L2833" s="3"/>
    </x:row>
    <x:row r="2834" ht="22" customHeight="1">
      <x:c r="A2834" s="3"/>
      <x:c r="B2834" s="3" t="str">
        <x:v>21401</x:v>
      </x:c>
      <x:c r="C2834" s="3" t="str">
        <x:v>BLUE PUDDING SPOON</x:v>
      </x:c>
      <x:c r="D2834" s="13" t="n">
        <x:v>151.19</x:v>
      </x:c>
      <x:c r="E2834" s="13" t="n">
        <x:v>0</x:v>
      </x:c>
      <x:c r="F2834" s="13" t="n">
        <x:f>D2834-E2834</x:f>
        <x:v>151.19</x:v>
      </x:c>
      <x:c r="G2834" s="3" t="n">
        <x:v>1052</x:v>
      </x:c>
      <x:c r="H2834" s="3" t="n">
        <x:v>0</x:v>
      </x:c>
      <x:c r="I2834" s="3" t="n">
        <x:v>82</x:v>
      </x:c>
      <x:c r="J2834" s="15" t="n">
        <x:f>IF(D2834=0,"n.a.",E2834/D2834)</x:f>
        <x:v>0</x:v>
      </x:c>
      <x:c r="K2834" s="15" t="n">
        <x:f>F2834/'Datos'!$F$7</x:f>
        <x:v>0.000015439037533573948</x:v>
      </x:c>
      <x:c r="L2834" s="3"/>
    </x:row>
    <x:row r="2835" ht="22" customHeight="1">
      <x:c r="A2835" s="3"/>
      <x:c r="B2835" s="3" t="str">
        <x:v>22415</x:v>
      </x:c>
      <x:c r="C2835" s="3" t="str">
        <x:v>WHITE TISSUE REAM</x:v>
      </x:c>
      <x:c r="D2835" s="13" t="n">
        <x:v>151.05</x:v>
      </x:c>
      <x:c r="E2835" s="13" t="n">
        <x:v>0</x:v>
      </x:c>
      <x:c r="F2835" s="13" t="n">
        <x:f>D2835-E2835</x:f>
        <x:v>151.05</x:v>
      </x:c>
      <x:c r="G2835" s="3" t="n">
        <x:v>19</x:v>
      </x:c>
      <x:c r="H2835" s="3" t="n">
        <x:v>0</x:v>
      </x:c>
      <x:c r="I2835" s="3" t="n">
        <x:v>13</x:v>
      </x:c>
      <x:c r="J2835" s="15" t="n">
        <x:f>IF(D2835=0,"n.a.",E2835/D2835)</x:f>
        <x:v>0</x:v>
      </x:c>
      <x:c r="K2835" s="15" t="n">
        <x:f>F2835/'Datos'!$F$7</x:f>
        <x:v>0.000015424741182924433</x:v>
      </x:c>
      <x:c r="L2835" s="3"/>
    </x:row>
    <x:row r="2836" ht="22" customHeight="1">
      <x:c r="A2836" s="3"/>
      <x:c r="B2836" s="3" t="str">
        <x:v>85135A</x:v>
      </x:c>
      <x:c r="C2836" s="3" t="str">
        <x:v>YELLOW DRAGONFLY HELICOPTER</x:v>
      </x:c>
      <x:c r="D2836" s="13" t="n">
        <x:v>151.05</x:v>
      </x:c>
      <x:c r="E2836" s="13" t="n">
        <x:v>0</x:v>
      </x:c>
      <x:c r="F2836" s="13" t="n">
        <x:f>D2836-E2836</x:f>
        <x:v>151.05</x:v>
      </x:c>
      <x:c r="G2836" s="3" t="n">
        <x:v>19</x:v>
      </x:c>
      <x:c r="H2836" s="3" t="n">
        <x:v>0</x:v>
      </x:c>
      <x:c r="I2836" s="3" t="n">
        <x:v>8</x:v>
      </x:c>
      <x:c r="J2836" s="15" t="n">
        <x:f>IF(D2836=0,"n.a.",E2836/D2836)</x:f>
        <x:v>0</x:v>
      </x:c>
      <x:c r="K2836" s="15" t="n">
        <x:f>F2836/'Datos'!$F$7</x:f>
        <x:v>0.000015424741182924433</x:v>
      </x:c>
      <x:c r="L2836" s="3"/>
    </x:row>
    <x:row r="2837" ht="22" customHeight="1">
      <x:c r="A2837" s="3"/>
      <x:c r="B2837" s="3" t="str">
        <x:v>22874</x:v>
      </x:c>
      <x:c r="C2837" s="3" t="str">
        <x:v>NUMBER TILE COTTAGE GARDEN 6</x:v>
      </x:c>
      <x:c r="D2837" s="13" t="n">
        <x:v>150.81</x:v>
      </x:c>
      <x:c r="E2837" s="13" t="n">
        <x:v>0</x:v>
      </x:c>
      <x:c r="F2837" s="13" t="n">
        <x:f>D2837-E2837</x:f>
        <x:v>150.81</x:v>
      </x:c>
      <x:c r="G2837" s="3" t="n">
        <x:v>65</x:v>
      </x:c>
      <x:c r="H2837" s="3" t="n">
        <x:v>0</x:v>
      </x:c>
      <x:c r="I2837" s="3" t="n">
        <x:v>21</x:v>
      </x:c>
      <x:c r="J2837" s="15" t="n">
        <x:f>IF(D2837=0,"n.a.",E2837/D2837)</x:f>
        <x:v>0</x:v>
      </x:c>
      <x:c r="K2837" s="15" t="n">
        <x:f>F2837/'Datos'!$F$7</x:f>
        <x:v>0.00001540023315323955</x:v>
      </x:c>
      <x:c r="L2837" s="3"/>
    </x:row>
    <x:row r="2838" ht="22" customHeight="1">
      <x:c r="A2838" s="3"/>
      <x:c r="B2838" s="3" t="str">
        <x:v>85027L</x:v>
      </x:c>
      <x:c r="C2838" s="3" t="str">
        <x:v>FRENCH CHATEAU LARGE PLATTER</x:v>
      </x:c>
      <x:c r="D2838" s="13" t="n">
        <x:v>160.5</x:v>
      </x:c>
      <x:c r="E2838" s="13" t="n">
        <x:v>9.75</x:v>
      </x:c>
      <x:c r="F2838" s="13" t="n">
        <x:f>D2838-E2838</x:f>
        <x:v>150.75</x:v>
      </x:c>
      <x:c r="G2838" s="3" t="n">
        <x:v>70</x:v>
      </x:c>
      <x:c r="H2838" s="3" t="n">
        <x:v>5</x:v>
      </x:c>
      <x:c r="I2838" s="3" t="n">
        <x:v>18</x:v>
      </x:c>
      <x:c r="J2838" s="15" t="n">
        <x:f>IF(D2838=0,"n.a.",E2838/D2838)</x:f>
        <x:v>0.06074766355140187</x:v>
      </x:c>
      <x:c r="K2838" s="15" t="n">
        <x:f>F2838/'Datos'!$F$7</x:f>
        <x:v>0.000015394106145818326</x:v>
      </x:c>
      <x:c r="L2838" s="3"/>
    </x:row>
    <x:row r="2839" ht="22" customHeight="1">
      <x:c r="A2839" s="3"/>
      <x:c r="B2839" s="3" t="str">
        <x:v>DCGSSBOY</x:v>
      </x:c>
      <x:c r="C2839" s="3" t="str">
        <x:v>BOYS PARTY BAG</x:v>
      </x:c>
      <x:c r="D2839" s="13" t="n">
        <x:v>150.55</x:v>
      </x:c>
      <x:c r="E2839" s="13" t="n">
        <x:v>0</x:v>
      </x:c>
      <x:c r="F2839" s="13" t="n">
        <x:f>D2839-E2839</x:f>
        <x:v>150.55</x:v>
      </x:c>
      <x:c r="G2839" s="3" t="n">
        <x:v>47</x:v>
      </x:c>
      <x:c r="H2839" s="3" t="n">
        <x:v>0</x:v>
      </x:c>
      <x:c r="I2839" s="3" t="n">
        <x:v>11</x:v>
      </x:c>
      <x:c r="J2839" s="15" t="n">
        <x:f>IF(D2839=0,"n.a.",E2839/D2839)</x:f>
        <x:v>0</x:v>
      </x:c>
      <x:c r="K2839" s="15" t="n">
        <x:f>F2839/'Datos'!$F$7</x:f>
        <x:v>0.00001537368278774759</x:v>
      </x:c>
      <x:c r="L2839" s="3"/>
    </x:row>
    <x:row r="2840" ht="22" customHeight="1">
      <x:c r="A2840" s="3"/>
      <x:c r="B2840" s="3" t="str">
        <x:v>21738</x:v>
      </x:c>
      <x:c r="C2840" s="3" t="str">
        <x:v>COSY SLIPPER SHOES SMALL RED</x:v>
      </x:c>
      <x:c r="D2840" s="13" t="n">
        <x:v>150.48</x:v>
      </x:c>
      <x:c r="E2840" s="13" t="n">
        <x:v>0</x:v>
      </x:c>
      <x:c r="F2840" s="13" t="n">
        <x:f>D2840-E2840</x:f>
        <x:v>150.48</x:v>
      </x:c>
      <x:c r="G2840" s="3" t="n">
        <x:v>48</x:v>
      </x:c>
      <x:c r="H2840" s="3" t="n">
        <x:v>0</x:v>
      </x:c>
      <x:c r="I2840" s="3" t="n">
        <x:v>21</x:v>
      </x:c>
      <x:c r="J2840" s="15" t="n">
        <x:f>IF(D2840=0,"n.a.",E2840/D2840)</x:f>
        <x:v>0</x:v>
      </x:c>
      <x:c r="K2840" s="15" t="n">
        <x:f>F2840/'Datos'!$F$7</x:f>
        <x:v>0.000015366534612422828</x:v>
      </x:c>
      <x:c r="L2840" s="3"/>
    </x:row>
    <x:row r="2841" ht="22" customHeight="1">
      <x:c r="A2841" s="3"/>
      <x:c r="B2841" s="3" t="str">
        <x:v>84963B</x:v>
      </x:c>
      <x:c r="C2841" s="3" t="str">
        <x:v>BLUE PAINTED KASHMIRI CHAIR</x:v>
      </x:c>
      <x:c r="D2841" s="13" t="n">
        <x:v>149.85</x:v>
      </x:c>
      <x:c r="E2841" s="13" t="n">
        <x:v>0</x:v>
      </x:c>
      <x:c r="F2841" s="13" t="n">
        <x:f>D2841-E2841</x:f>
        <x:v>149.85</x:v>
      </x:c>
      <x:c r="G2841" s="3" t="n">
        <x:v>3</x:v>
      </x:c>
      <x:c r="H2841" s="3" t="n">
        <x:v>0</x:v>
      </x:c>
      <x:c r="I2841" s="3" t="n">
        <x:v>1</x:v>
      </x:c>
      <x:c r="J2841" s="15" t="n">
        <x:f>IF(D2841=0,"n.a.",E2841/D2841)</x:f>
        <x:v>0</x:v>
      </x:c>
      <x:c r="K2841" s="15" t="n">
        <x:f>F2841/'Datos'!$F$7</x:f>
        <x:v>0.000015302201034500008</x:v>
      </x:c>
      <x:c r="L2841" s="3"/>
    </x:row>
    <x:row r="2842" ht="22" customHeight="1">
      <x:c r="A2842" s="3"/>
      <x:c r="B2842" s="3" t="str">
        <x:v>22764</x:v>
      </x:c>
      <x:c r="C2842" s="3" t="str">
        <x:v>RUSTIC WOODEN CABINET, GLASS DOORS</x:v>
      </x:c>
      <x:c r="D2842" s="13" t="n">
        <x:v>174.77</x:v>
      </x:c>
      <x:c r="E2842" s="13" t="n">
        <x:v>24.95</x:v>
      </x:c>
      <x:c r="F2842" s="13" t="n">
        <x:f>D2842-E2842</x:f>
        <x:v>149.82000000000002</x:v>
      </x:c>
      <x:c r="G2842" s="3" t="n">
        <x:v>5</x:v>
      </x:c>
      <x:c r="H2842" s="3" t="n">
        <x:v>1</x:v>
      </x:c>
      <x:c r="I2842" s="3" t="n">
        <x:v>3</x:v>
      </x:c>
      <x:c r="J2842" s="15" t="n">
        <x:f>IF(D2842=0,"n.a.",E2842/D2842)</x:f>
        <x:v>0.14275905475768152</x:v>
      </x:c>
      <x:c r="K2842" s="15" t="n">
        <x:f>F2842/'Datos'!$F$7</x:f>
        <x:v>0.0000152991375307894</x:v>
      </x:c>
      <x:c r="L2842" s="3"/>
    </x:row>
    <x:row r="2843" ht="22" customHeight="1">
      <x:c r="A2843" s="3"/>
      <x:c r="B2843" s="3" t="str">
        <x:v>90013B</x:v>
      </x:c>
      <x:c r="C2843" s="3" t="str">
        <x:v>BLACK VINTAGE EARRINGS</x:v>
      </x:c>
      <x:c r="D2843" s="13" t="n">
        <x:v>149.41</x:v>
      </x:c>
      <x:c r="E2843" s="13" t="n">
        <x:v>0</x:v>
      </x:c>
      <x:c r="F2843" s="13" t="n">
        <x:f>D2843-E2843</x:f>
        <x:v>149.41</x:v>
      </x:c>
      <x:c r="G2843" s="3" t="n">
        <x:v>36</x:v>
      </x:c>
      <x:c r="H2843" s="3" t="n">
        <x:v>0</x:v>
      </x:c>
      <x:c r="I2843" s="3" t="n">
        <x:v>31</x:v>
      </x:c>
      <x:c r="J2843" s="15" t="n">
        <x:f>IF(D2843=0,"n.a.",E2843/D2843)</x:f>
        <x:v>0</x:v>
      </x:c>
      <x:c r="K2843" s="15" t="n">
        <x:f>F2843/'Datos'!$F$7</x:f>
        <x:v>0.000015257269646744384</x:v>
      </x:c>
      <x:c r="L2843" s="3"/>
    </x:row>
    <x:row r="2844" ht="22" customHeight="1">
      <x:c r="A2844" s="3"/>
      <x:c r="B2844" s="3" t="str">
        <x:v>46000R</x:v>
      </x:c>
      <x:c r="C2844" s="3" t="str">
        <x:v>POLYESTER FILLER PAD 45x30cm</x:v>
      </x:c>
      <x:c r="D2844" s="13" t="n">
        <x:v>149.35</x:v>
      </x:c>
      <x:c r="E2844" s="13" t="n">
        <x:v>0</x:v>
      </x:c>
      <x:c r="F2844" s="13" t="n">
        <x:f>D2844-E2844</x:f>
        <x:v>149.35</x:v>
      </x:c>
      <x:c r="G2844" s="3" t="n">
        <x:v>103</x:v>
      </x:c>
      <x:c r="H2844" s="3" t="n">
        <x:v>0</x:v>
      </x:c>
      <x:c r="I2844" s="3" t="n">
        <x:v>38</x:v>
      </x:c>
      <x:c r="J2844" s="15" t="n">
        <x:f>IF(D2844=0,"n.a.",E2844/D2844)</x:f>
        <x:v>0</x:v>
      </x:c>
      <x:c r="K2844" s="15" t="n">
        <x:f>F2844/'Datos'!$F$7</x:f>
        <x:v>0.000015251142639323162</x:v>
      </x:c>
      <x:c r="L2844" s="3"/>
    </x:row>
    <x:row r="2845" ht="22" customHeight="1">
      <x:c r="A2845" s="3"/>
      <x:c r="B2845" s="3" t="str">
        <x:v>21117</x:v>
      </x:c>
      <x:c r="C2845" s="3" t="str">
        <x:v>BLOND DOLL DOORSTOP</x:v>
      </x:c>
      <x:c r="D2845" s="13" t="n">
        <x:v>149.25</x:v>
      </x:c>
      <x:c r="E2845" s="13" t="n">
        <x:v>0</x:v>
      </x:c>
      <x:c r="F2845" s="13" t="n">
        <x:f>D2845-E2845</x:f>
        <x:v>149.25</x:v>
      </x:c>
      <x:c r="G2845" s="3" t="n">
        <x:v>115</x:v>
      </x:c>
      <x:c r="H2845" s="3" t="n">
        <x:v>0</x:v>
      </x:c>
      <x:c r="I2845" s="3" t="n">
        <x:v>14</x:v>
      </x:c>
      <x:c r="J2845" s="15" t="n">
        <x:f>IF(D2845=0,"n.a.",E2845/D2845)</x:f>
        <x:v>0</x:v>
      </x:c>
      <x:c r="K2845" s="15" t="n">
        <x:f>F2845/'Datos'!$F$7</x:f>
        <x:v>0.000015240930960287795</x:v>
      </x:c>
      <x:c r="L2845" s="3"/>
    </x:row>
    <x:row r="2846" ht="22" customHeight="1">
      <x:c r="A2846" s="3"/>
      <x:c r="B2846" s="3" t="str">
        <x:v>22875</x:v>
      </x:c>
      <x:c r="C2846" s="3" t="str">
        <x:v>NUMBER TILE COTTAGE GARDEN 7</x:v>
      </x:c>
      <x:c r="D2846" s="13" t="n">
        <x:v>149.09</x:v>
      </x:c>
      <x:c r="E2846" s="13" t="n">
        <x:v>0</x:v>
      </x:c>
      <x:c r="F2846" s="13" t="n">
        <x:f>D2846-E2846</x:f>
        <x:v>149.09</x:v>
      </x:c>
      <x:c r="G2846" s="3" t="n">
        <x:v>63</x:v>
      </x:c>
      <x:c r="H2846" s="3" t="n">
        <x:v>0</x:v>
      </x:c>
      <x:c r="I2846" s="3" t="n">
        <x:v>25</x:v>
      </x:c>
      <x:c r="J2846" s="15" t="n">
        <x:f>IF(D2846=0,"n.a.",E2846/D2846)</x:f>
        <x:v>0</x:v>
      </x:c>
      <x:c r="K2846" s="15" t="n">
        <x:f>F2846/'Datos'!$F$7</x:f>
        <x:v>0.000015224592273831205</x:v>
      </x:c>
      <x:c r="L2846" s="3"/>
    </x:row>
    <x:row r="2847" ht="22" customHeight="1">
      <x:c r="A2847" s="3"/>
      <x:c r="B2847" s="3" t="str">
        <x:v>90185D</x:v>
      </x:c>
      <x:c r="C2847" s="3" t="str">
        <x:v>CRYSTAL DIAMANTE EXPANDABLE RING</x:v>
      </x:c>
      <x:c r="D2847" s="13" t="n">
        <x:v>148.63</x:v>
      </x:c>
      <x:c r="E2847" s="13" t="n">
        <x:v>0</x:v>
      </x:c>
      <x:c r="F2847" s="13" t="n">
        <x:f>D2847-E2847</x:f>
        <x:v>148.63</x:v>
      </x:c>
      <x:c r="G2847" s="3" t="n">
        <x:v>35</x:v>
      </x:c>
      <x:c r="H2847" s="3" t="n">
        <x:v>0</x:v>
      </x:c>
      <x:c r="I2847" s="3" t="n">
        <x:v>11</x:v>
      </x:c>
      <x:c r="J2847" s="15" t="n">
        <x:f>IF(D2847=0,"n.a.",E2847/D2847)</x:f>
        <x:v>0</x:v>
      </x:c>
      <x:c r="K2847" s="15" t="n">
        <x:f>F2847/'Datos'!$F$7</x:f>
        <x:v>0.000015177618550268508</x:v>
      </x:c>
      <x:c r="L2847" s="3"/>
    </x:row>
    <x:row r="2848" ht="22" customHeight="1">
      <x:c r="A2848" s="3"/>
      <x:c r="B2848" s="3" t="str">
        <x:v>84576</x:v>
      </x:c>
      <x:c r="C2848" s="3" t="str">
        <x:v>BLUE CAT BISCUIT BARREL PINK HEART</x:v>
      </x:c>
      <x:c r="D2848" s="13" t="n">
        <x:v>148.32</x:v>
      </x:c>
      <x:c r="E2848" s="13" t="n">
        <x:v>0</x:v>
      </x:c>
      <x:c r="F2848" s="13" t="n">
        <x:f>D2848-E2848</x:f>
        <x:v>148.32</x:v>
      </x:c>
      <x:c r="G2848" s="3" t="n">
        <x:v>66</x:v>
      </x:c>
      <x:c r="H2848" s="3" t="n">
        <x:v>0</x:v>
      </x:c>
      <x:c r="I2848" s="3" t="n">
        <x:v>17</x:v>
      </x:c>
      <x:c r="J2848" s="15" t="n">
        <x:f>IF(D2848=0,"n.a.",E2848/D2848)</x:f>
        <x:v>0</x:v>
      </x:c>
      <x:c r="K2848" s="15" t="n">
        <x:f>F2848/'Datos'!$F$7</x:f>
        <x:v>0.000015145962345258866</x:v>
      </x:c>
      <x:c r="L2848" s="3"/>
    </x:row>
    <x:row r="2849" ht="22" customHeight="1">
      <x:c r="A2849" s="3"/>
      <x:c r="B2849" s="3" t="str">
        <x:v>21486</x:v>
      </x:c>
      <x:c r="C2849" s="3" t="str">
        <x:v>PINK HEART DOTS HOT WATER BOTTLE</x:v>
      </x:c>
      <x:c r="D2849" s="13" t="n">
        <x:v>147.88</x:v>
      </x:c>
      <x:c r="E2849" s="13" t="n">
        <x:v>0</x:v>
      </x:c>
      <x:c r="F2849" s="13" t="n">
        <x:f>D2849-E2849</x:f>
        <x:v>147.88</x:v>
      </x:c>
      <x:c r="G2849" s="3" t="n">
        <x:v>36</x:v>
      </x:c>
      <x:c r="H2849" s="3" t="n">
        <x:v>0</x:v>
      </x:c>
      <x:c r="I2849" s="3" t="n">
        <x:v>11</x:v>
      </x:c>
      <x:c r="J2849" s="15" t="n">
        <x:f>IF(D2849=0,"n.a.",E2849/D2849)</x:f>
        <x:v>0</x:v>
      </x:c>
      <x:c r="K2849" s="15" t="n">
        <x:f>F2849/'Datos'!$F$7</x:f>
        <x:v>0.000015101030957503244</x:v>
      </x:c>
      <x:c r="L2849" s="3"/>
    </x:row>
    <x:row r="2850" ht="22" customHeight="1">
      <x:c r="A2850" s="3"/>
      <x:c r="B2850" s="3" t="str">
        <x:v>84688</x:v>
      </x:c>
      <x:c r="C2850" s="3" t="str">
        <x:v>BEACH HUT DESIGN BLACKBOARD</x:v>
      </x:c>
      <x:c r="D2850" s="13" t="n">
        <x:v>203.07</x:v>
      </x:c>
      <x:c r="E2850" s="13" t="n">
        <x:v>55.25</x:v>
      </x:c>
      <x:c r="F2850" s="13" t="n">
        <x:f>D2850-E2850</x:f>
        <x:v>147.82</x:v>
      </x:c>
      <x:c r="G2850" s="3" t="n">
        <x:v>41</x:v>
      </x:c>
      <x:c r="H2850" s="3" t="n">
        <x:v>13</x:v>
      </x:c>
      <x:c r="I2850" s="3" t="n">
        <x:v>15</x:v>
      </x:c>
      <x:c r="J2850" s="15" t="n">
        <x:f>IF(D2850=0,"n.a.",E2850/D2850)</x:f>
        <x:v>0.27207366917811593</x:v>
      </x:c>
      <x:c r="K2850" s="15" t="n">
        <x:f>F2850/'Datos'!$F$7</x:f>
        <x:v>0.000015094903950082022</x:v>
      </x:c>
      <x:c r="L2850" s="3"/>
    </x:row>
    <x:row r="2851" ht="22" customHeight="1">
      <x:c r="A2851" s="3"/>
      <x:c r="B2851" s="3" t="str">
        <x:v>37479P</x:v>
      </x:c>
      <x:c r="C2851" s="3" t="str">
        <x:v>CUBIC MUG FLOCK PINK ON BROWN</x:v>
      </x:c>
      <x:c r="D2851" s="13" t="n">
        <x:v>146.91</x:v>
      </x:c>
      <x:c r="E2851" s="13" t="n">
        <x:v>0</x:v>
      </x:c>
      <x:c r="F2851" s="13" t="n">
        <x:f>D2851-E2851</x:f>
        <x:v>146.91</x:v>
      </x:c>
      <x:c r="G2851" s="3" t="n">
        <x:v>175</x:v>
      </x:c>
      <x:c r="H2851" s="3" t="n">
        <x:v>0</x:v>
      </x:c>
      <x:c r="I2851" s="3" t="n">
        <x:v>32</x:v>
      </x:c>
      <x:c r="J2851" s="15" t="n">
        <x:f>IF(D2851=0,"n.a.",E2851/D2851)</x:f>
        <x:v>0</x:v>
      </x:c>
      <x:c r="K2851" s="15" t="n">
        <x:f>F2851/'Datos'!$F$7</x:f>
        <x:v>0.000015001977670860167</x:v>
      </x:c>
      <x:c r="L2851" s="3"/>
    </x:row>
    <x:row r="2852" ht="22" customHeight="1">
      <x:c r="A2852" s="3"/>
      <x:c r="B2852" s="3" t="str">
        <x:v>82011B</x:v>
      </x:c>
      <x:c r="C2852" s="3" t="str">
        <x:v>BATHROOM SCALES RUBBER DUCKS</x:v>
      </x:c>
      <x:c r="D2852" s="13" t="n">
        <x:v>146.85</x:v>
      </x:c>
      <x:c r="E2852" s="13" t="n">
        <x:v>0</x:v>
      </x:c>
      <x:c r="F2852" s="13" t="n">
        <x:f>D2852-E2852</x:f>
        <x:v>146.85</x:v>
      </x:c>
      <x:c r="G2852" s="3" t="n">
        <x:v>43</x:v>
      </x:c>
      <x:c r="H2852" s="3" t="n">
        <x:v>0</x:v>
      </x:c>
      <x:c r="I2852" s="3" t="n">
        <x:v>21</x:v>
      </x:c>
      <x:c r="J2852" s="15" t="n">
        <x:f>IF(D2852=0,"n.a.",E2852/D2852)</x:f>
        <x:v>0</x:v>
      </x:c>
      <x:c r="K2852" s="15" t="n">
        <x:f>F2852/'Datos'!$F$7</x:f>
        <x:v>0.000014995850663438945</x:v>
      </x:c>
      <x:c r="L2852" s="3"/>
    </x:row>
    <x:row r="2853" ht="22" customHeight="1">
      <x:c r="A2853" s="3"/>
      <x:c r="B2853" s="3" t="str">
        <x:v>22868</x:v>
      </x:c>
      <x:c r="C2853" s="3" t="str">
        <x:v>NUMBER TILE COTTAGE GARDEN 0</x:v>
      </x:c>
      <x:c r="D2853" s="13" t="n">
        <x:v>146.6</x:v>
      </x:c>
      <x:c r="E2853" s="13" t="n">
        <x:v>0</x:v>
      </x:c>
      <x:c r="F2853" s="13" t="n">
        <x:f>D2853-E2853</x:f>
        <x:v>146.6</x:v>
      </x:c>
      <x:c r="G2853" s="3" t="n">
        <x:v>64</x:v>
      </x:c>
      <x:c r="H2853" s="3" t="n">
        <x:v>0</x:v>
      </x:c>
      <x:c r="I2853" s="3" t="n">
        <x:v>20</x:v>
      </x:c>
      <x:c r="J2853" s="15" t="n">
        <x:f>IF(D2853=0,"n.a.",E2853/D2853)</x:f>
        <x:v>0</x:v>
      </x:c>
      <x:c r="K2853" s="15" t="n">
        <x:f>F2853/'Datos'!$F$7</x:f>
        <x:v>0.000014970321465850523</x:v>
      </x:c>
      <x:c r="L2853" s="3"/>
    </x:row>
    <x:row r="2854" ht="22" customHeight="1">
      <x:c r="A2854" s="3"/>
      <x:c r="B2854" s="3" t="str">
        <x:v>22886</x:v>
      </x:c>
      <x:c r="C2854" s="3" t="str">
        <x:v>NUMBER TILE VINTAGE FONT 7</x:v>
      </x:c>
      <x:c r="D2854" s="13" t="n">
        <x:v>146.43</x:v>
      </x:c>
      <x:c r="E2854" s="13" t="n">
        <x:v>0</x:v>
      </x:c>
      <x:c r="F2854" s="13" t="n">
        <x:f>D2854-E2854</x:f>
        <x:v>146.43</x:v>
      </x:c>
      <x:c r="G2854" s="3" t="n">
        <x:v>87</x:v>
      </x:c>
      <x:c r="H2854" s="3" t="n">
        <x:v>0</x:v>
      </x:c>
      <x:c r="I2854" s="3" t="n">
        <x:v>25</x:v>
      </x:c>
      <x:c r="J2854" s="15" t="n">
        <x:f>IF(D2854=0,"n.a.",E2854/D2854)</x:f>
        <x:v>0</x:v>
      </x:c>
      <x:c r="K2854" s="15" t="n">
        <x:f>F2854/'Datos'!$F$7</x:f>
        <x:v>0.000014952961611490399</x:v>
      </x:c>
      <x:c r="L2854" s="3"/>
    </x:row>
    <x:row r="2855" ht="22" customHeight="1">
      <x:c r="A2855" s="3"/>
      <x:c r="B2855" s="3" t="str">
        <x:v>84870C</x:v>
      </x:c>
      <x:c r="C2855" s="3" t="str">
        <x:v>GREEN GEISHA GIRL</x:v>
      </x:c>
      <x:c r="D2855" s="13" t="n">
        <x:v>146.05</x:v>
      </x:c>
      <x:c r="E2855" s="13" t="n">
        <x:v>0</x:v>
      </x:c>
      <x:c r="F2855" s="13" t="n">
        <x:f>D2855-E2855</x:f>
        <x:v>146.05</x:v>
      </x:c>
      <x:c r="G2855" s="3" t="n">
        <x:v>46</x:v>
      </x:c>
      <x:c r="H2855" s="3" t="n">
        <x:v>0</x:v>
      </x:c>
      <x:c r="I2855" s="3" t="n">
        <x:v>28</x:v>
      </x:c>
      <x:c r="J2855" s="15" t="n">
        <x:f>IF(D2855=0,"n.a.",E2855/D2855)</x:f>
        <x:v>0</x:v>
      </x:c>
      <x:c r="K2855" s="15" t="n">
        <x:f>F2855/'Datos'!$F$7</x:f>
        <x:v>0.000014914157231155997</x:v>
      </x:c>
      <x:c r="L2855" s="3"/>
    </x:row>
    <x:row r="2856" ht="22" customHeight="1">
      <x:c r="A2856" s="3"/>
      <x:c r="B2856" s="3" t="str">
        <x:v>90116</x:v>
      </x:c>
      <x:c r="C2856" s="3" t="str">
        <x:v>FRUIT SALAD BAG CHARM</x:v>
      </x:c>
      <x:c r="D2856" s="13" t="n">
        <x:v>145.52</x:v>
      </x:c>
      <x:c r="E2856" s="13" t="n">
        <x:v>0</x:v>
      </x:c>
      <x:c r="F2856" s="13" t="n">
        <x:f>D2856-E2856</x:f>
        <x:v>145.52</x:v>
      </x:c>
      <x:c r="G2856" s="3" t="n">
        <x:v>64</x:v>
      </x:c>
      <x:c r="H2856" s="3" t="n">
        <x:v>0</x:v>
      </x:c>
      <x:c r="I2856" s="3" t="n">
        <x:v>45</x:v>
      </x:c>
      <x:c r="J2856" s="15" t="n">
        <x:f>IF(D2856=0,"n.a.",E2856/D2856)</x:f>
        <x:v>0</x:v>
      </x:c>
      <x:c r="K2856" s="15" t="n">
        <x:f>F2856/'Datos'!$F$7</x:f>
        <x:v>0.000014860035332268542</x:v>
      </x:c>
      <x:c r="L2856" s="3"/>
    </x:row>
    <x:row r="2857" ht="22" customHeight="1">
      <x:c r="A2857" s="3"/>
      <x:c r="B2857" s="3" t="str">
        <x:v>22873</x:v>
      </x:c>
      <x:c r="C2857" s="3" t="str">
        <x:v>NUMBER TILE COTTAGE GARDEN 5</x:v>
      </x:c>
      <x:c r="D2857" s="13" t="n">
        <x:v>145.5</x:v>
      </x:c>
      <x:c r="E2857" s="13" t="n">
        <x:v>0</x:v>
      </x:c>
      <x:c r="F2857" s="13" t="n">
        <x:f>D2857-E2857</x:f>
        <x:v>145.5</x:v>
      </x:c>
      <x:c r="G2857" s="3" t="n">
        <x:v>60</x:v>
      </x:c>
      <x:c r="H2857" s="3" t="n">
        <x:v>0</x:v>
      </x:c>
      <x:c r="I2857" s="3" t="n">
        <x:v>26</x:v>
      </x:c>
      <x:c r="J2857" s="15" t="n">
        <x:f>IF(D2857=0,"n.a.",E2857/D2857)</x:f>
        <x:v>0</x:v>
      </x:c>
      <x:c r="K2857" s="15" t="n">
        <x:f>F2857/'Datos'!$F$7</x:f>
        <x:v>0.000014857992996461469</x:v>
      </x:c>
      <x:c r="L2857" s="3"/>
    </x:row>
    <x:row r="2858" ht="22" customHeight="1">
      <x:c r="A2858" s="3"/>
      <x:c r="B2858" s="3" t="str">
        <x:v>47343A</x:v>
      </x:c>
      <x:c r="C2858" s="3" t="str">
        <x:v>FUSCHIA FLOWER PURSE WITH BEADS</x:v>
      </x:c>
      <x:c r="D2858" s="13" t="n">
        <x:v>145.17</x:v>
      </x:c>
      <x:c r="E2858" s="13" t="n">
        <x:v>0</x:v>
      </x:c>
      <x:c r="F2858" s="13" t="n">
        <x:f>D2858-E2858</x:f>
        <x:v>145.17</x:v>
      </x:c>
      <x:c r="G2858" s="3" t="n">
        <x:v>159</x:v>
      </x:c>
      <x:c r="H2858" s="3" t="n">
        <x:v>0</x:v>
      </x:c>
      <x:c r="I2858" s="3" t="n">
        <x:v>14</x:v>
      </x:c>
      <x:c r="J2858" s="15" t="n">
        <x:f>IF(D2858=0,"n.a.",E2858/D2858)</x:f>
        <x:v>0</x:v>
      </x:c>
      <x:c r="K2858" s="15" t="n">
        <x:f>F2858/'Datos'!$F$7</x:f>
        <x:v>0.00001482429445564475</x:v>
      </x:c>
      <x:c r="L2858" s="3"/>
    </x:row>
    <x:row r="2859" ht="22" customHeight="1">
      <x:c r="A2859" s="3"/>
      <x:c r="B2859" s="3" t="str">
        <x:v>84629</x:v>
      </x:c>
      <x:c r="C2859" s="3" t="str">
        <x:v>WHITE 3 FRAME BIRDS AND TREE</x:v>
      </x:c>
      <x:c r="D2859" s="13" t="n">
        <x:v>150</x:v>
      </x:c>
      <x:c r="E2859" s="13" t="n">
        <x:v>4.95</x:v>
      </x:c>
      <x:c r="F2859" s="13" t="n">
        <x:f>D2859-E2859</x:f>
        <x:v>145.05</x:v>
      </x:c>
      <x:c r="G2859" s="3" t="n">
        <x:v>20</x:v>
      </x:c>
      <x:c r="H2859" s="3" t="n">
        <x:v>1</x:v>
      </x:c>
      <x:c r="I2859" s="3" t="n">
        <x:v>10</x:v>
      </x:c>
      <x:c r="J2859" s="15" t="n">
        <x:f>IF(D2859=0,"n.a.",E2859/D2859)</x:f>
        <x:v>0.033</x:v>
      </x:c>
      <x:c r="K2859" s="15" t="n">
        <x:f>F2859/'Datos'!$F$7</x:f>
        <x:v>0.00001481204044080231</x:v>
      </x:c>
      <x:c r="L2859" s="3"/>
    </x:row>
    <x:row r="2860" ht="22" customHeight="1">
      <x:c r="A2860" s="3"/>
      <x:c r="B2860" s="3" t="str">
        <x:v>DCGSSGIRL</x:v>
      </x:c>
      <x:c r="C2860" s="3" t="str">
        <x:v>GIRLS PARTY BAG</x:v>
      </x:c>
      <x:c r="D2860" s="13" t="n">
        <x:v>144.43</x:v>
      </x:c>
      <x:c r="E2860" s="13" t="n">
        <x:v>0</x:v>
      </x:c>
      <x:c r="F2860" s="13" t="n">
        <x:f>D2860-E2860</x:f>
        <x:v>144.43</x:v>
      </x:c>
      <x:c r="G2860" s="3" t="n">
        <x:v>47</x:v>
      </x:c>
      <x:c r="H2860" s="3" t="n">
        <x:v>0</x:v>
      </x:c>
      <x:c r="I2860" s="3" t="n">
        <x:v>13</x:v>
      </x:c>
      <x:c r="J2860" s="15" t="n">
        <x:f>IF(D2860=0,"n.a.",E2860/D2860)</x:f>
        <x:v>0</x:v>
      </x:c>
      <x:c r="K2860" s="15" t="n">
        <x:f>F2860/'Datos'!$F$7</x:f>
        <x:v>0.000014748728030783024</x:v>
      </x:c>
      <x:c r="L2860" s="3"/>
    </x:row>
    <x:row r="2861" ht="22" customHeight="1">
      <x:c r="A2861" s="3"/>
      <x:c r="B2861" s="3" t="str">
        <x:v>20757</x:v>
      </x:c>
      <x:c r="C2861" s="3" t="str">
        <x:v>RED DAISY POCKET BOOK</x:v>
      </x:c>
      <x:c r="D2861" s="13" t="n">
        <x:v>144.29</x:v>
      </x:c>
      <x:c r="E2861" s="13" t="n">
        <x:v>0</x:v>
      </x:c>
      <x:c r="F2861" s="13" t="n">
        <x:f>D2861-E2861</x:f>
        <x:v>144.29</x:v>
      </x:c>
      <x:c r="G2861" s="3" t="n">
        <x:v>167</x:v>
      </x:c>
      <x:c r="H2861" s="3" t="n">
        <x:v>0</x:v>
      </x:c>
      <x:c r="I2861" s="3" t="n">
        <x:v>33</x:v>
      </x:c>
      <x:c r="J2861" s="15" t="n">
        <x:f>IF(D2861=0,"n.a.",E2861/D2861)</x:f>
        <x:v>0</x:v>
      </x:c>
      <x:c r="K2861" s="15" t="n">
        <x:f>F2861/'Datos'!$F$7</x:f>
        <x:v>0.000014734431680133506</x:v>
      </x:c>
      <x:c r="L2861" s="3"/>
    </x:row>
    <x:row r="2862" ht="22" customHeight="1">
      <x:c r="A2862" s="3"/>
      <x:c r="B2862" s="3" t="str">
        <x:v>21368</x:v>
      </x:c>
      <x:c r="C2862" s="3" t="str">
        <x:v>MIRRORED WALL ART LADIES</x:v>
      </x:c>
      <x:c r="D2862" s="13" t="n">
        <x:v>144.03</x:v>
      </x:c>
      <x:c r="E2862" s="13" t="n">
        <x:v>0</x:v>
      </x:c>
      <x:c r="F2862" s="13" t="n">
        <x:f>D2862-E2862</x:f>
        <x:v>144.03</x:v>
      </x:c>
      <x:c r="G2862" s="3" t="n">
        <x:v>164</x:v>
      </x:c>
      <x:c r="H2862" s="3" t="n">
        <x:v>0</x:v>
      </x:c>
      <x:c r="I2862" s="3" t="n">
        <x:v>33</x:v>
      </x:c>
      <x:c r="J2862" s="15" t="n">
        <x:f>IF(D2862=0,"n.a.",E2862/D2862)</x:f>
        <x:v>0</x:v>
      </x:c>
      <x:c r="K2862" s="15" t="n">
        <x:f>F2862/'Datos'!$F$7</x:f>
        <x:v>0.000014707881314641549</x:v>
      </x:c>
      <x:c r="L2862" s="3"/>
    </x:row>
    <x:row r="2863" ht="22" customHeight="1">
      <x:c r="A2863" s="3"/>
      <x:c r="B2863" s="3" t="str">
        <x:v>84192</x:v>
      </x:c>
      <x:c r="C2863" s="3" t="str">
        <x:v>ASSORTED COLOUR METAL CAT</x:v>
      </x:c>
      <x:c r="D2863" s="13" t="n">
        <x:v>143.75</x:v>
      </x:c>
      <x:c r="E2863" s="13" t="n">
        <x:v>0</x:v>
      </x:c>
      <x:c r="F2863" s="13" t="n">
        <x:f>D2863-E2863</x:f>
        <x:v>143.75</x:v>
      </x:c>
      <x:c r="G2863" s="3" t="n">
        <x:v>115</x:v>
      </x:c>
      <x:c r="H2863" s="3" t="n">
        <x:v>0</x:v>
      </x:c>
      <x:c r="I2863" s="3" t="n">
        <x:v>25</x:v>
      </x:c>
      <x:c r="J2863" s="15" t="n">
        <x:f>IF(D2863=0,"n.a.",E2863/D2863)</x:f>
        <x:v>0</x:v>
      </x:c>
      <x:c r="K2863" s="15" t="n">
        <x:f>F2863/'Datos'!$F$7</x:f>
        <x:v>0.000014679288613342516</x:v>
      </x:c>
      <x:c r="L2863" s="3"/>
    </x:row>
    <x:row r="2864" ht="22" customHeight="1">
      <x:c r="A2864" s="3"/>
      <x:c r="B2864" s="3" t="str">
        <x:v>21082</x:v>
      </x:c>
      <x:c r="C2864" s="3" t="str">
        <x:v>SET/20 FRUIT SALAD PAPER NAPKINS</x:v>
      </x:c>
      <x:c r="D2864" s="13" t="n">
        <x:v>143.44</x:v>
      </x:c>
      <x:c r="E2864" s="13" t="n">
        <x:v>0</x:v>
      </x:c>
      <x:c r="F2864" s="13" t="n">
        <x:f>D2864-E2864</x:f>
        <x:v>143.44</x:v>
      </x:c>
      <x:c r="G2864" s="3" t="n">
        <x:v>88</x:v>
      </x:c>
      <x:c r="H2864" s="3" t="n">
        <x:v>0</x:v>
      </x:c>
      <x:c r="I2864" s="3" t="n">
        <x:v>25</x:v>
      </x:c>
      <x:c r="J2864" s="15" t="n">
        <x:f>IF(D2864=0,"n.a.",E2864/D2864)</x:f>
        <x:v>0</x:v>
      </x:c>
      <x:c r="K2864" s="15" t="n">
        <x:f>F2864/'Datos'!$F$7</x:f>
        <x:v>0.000014647632408332872</x:v>
      </x:c>
      <x:c r="L2864" s="3"/>
    </x:row>
    <x:row r="2865" ht="22" customHeight="1">
      <x:c r="A2865" s="3"/>
      <x:c r="B2865" s="3" t="str">
        <x:v>20837</x:v>
      </x:c>
      <x:c r="C2865" s="3" t="str">
        <x:v>FRENCH FLORAL CUSHION COVER</x:v>
      </x:c>
      <x:c r="D2865" s="13" t="n">
        <x:v>142.47</x:v>
      </x:c>
      <x:c r="E2865" s="13" t="n">
        <x:v>0</x:v>
      </x:c>
      <x:c r="F2865" s="13" t="n">
        <x:f>D2865-E2865</x:f>
        <x:v>142.47</x:v>
      </x:c>
      <x:c r="G2865" s="3" t="n">
        <x:v>141</x:v>
      </x:c>
      <x:c r="H2865" s="3" t="n">
        <x:v>0</x:v>
      </x:c>
      <x:c r="I2865" s="3" t="n">
        <x:v>15</x:v>
      </x:c>
      <x:c r="J2865" s="15" t="n">
        <x:f>IF(D2865=0,"n.a.",E2865/D2865)</x:f>
        <x:v>0</x:v>
      </x:c>
      <x:c r="K2865" s="15" t="n">
        <x:f>F2865/'Datos'!$F$7</x:f>
        <x:v>0.000014548579121689796</x:v>
      </x:c>
      <x:c r="L2865" s="3"/>
    </x:row>
    <x:row r="2866" ht="22" customHeight="1">
      <x:c r="A2866" s="3"/>
      <x:c r="B2866" s="3" t="str">
        <x:v>84870B</x:v>
      </x:c>
      <x:c r="C2866" s="3" t="str">
        <x:v>BLUE GEISHA GIRL</x:v>
      </x:c>
      <x:c r="D2866" s="13" t="n">
        <x:v>146.08</x:v>
      </x:c>
      <x:c r="E2866" s="13" t="n">
        <x:v>3.75</x:v>
      </x:c>
      <x:c r="F2866" s="13" t="n">
        <x:f>D2866-E2866</x:f>
        <x:v>142.33</x:v>
      </x:c>
      <x:c r="G2866" s="3" t="n">
        <x:v>44</x:v>
      </x:c>
      <x:c r="H2866" s="3" t="n">
        <x:v>1</x:v>
      </x:c>
      <x:c r="I2866" s="3" t="n">
        <x:v>25</x:v>
      </x:c>
      <x:c r="J2866" s="15" t="n">
        <x:f>IF(D2866=0,"n.a.",E2866/D2866)</x:f>
        <x:v>0.025670865279299012</x:v>
      </x:c>
      <x:c r="K2866" s="15" t="n">
        <x:f>F2866/'Datos'!$F$7</x:f>
        <x:v>0.000014534282771040282</x:v>
      </x:c>
      <x:c r="L2866" s="3"/>
    </x:row>
    <x:row r="2867" ht="22" customHeight="1">
      <x:c r="A2867" s="3"/>
      <x:c r="B2867" s="3" t="str">
        <x:v>22033</x:v>
      </x:c>
      <x:c r="C2867" s="3" t="str">
        <x:v>BOTANICAL ROSE GREETING CARD</x:v>
      </x:c>
      <x:c r="D2867" s="13" t="n">
        <x:v>141.95</x:v>
      </x:c>
      <x:c r="E2867" s="13" t="n">
        <x:v>0</x:v>
      </x:c>
      <x:c r="F2867" s="13" t="n">
        <x:f>D2867-E2867</x:f>
        <x:v>141.95</x:v>
      </x:c>
      <x:c r="G2867" s="3" t="n">
        <x:v>337</x:v>
      </x:c>
      <x:c r="H2867" s="3" t="n">
        <x:v>0</x:v>
      </x:c>
      <x:c r="I2867" s="3" t="n">
        <x:v>22</x:v>
      </x:c>
      <x:c r="J2867" s="15" t="n">
        <x:f>IF(D2867=0,"n.a.",E2867/D2867)</x:f>
        <x:v>0</x:v>
      </x:c>
      <x:c r="K2867" s="15" t="n">
        <x:f>F2867/'Datos'!$F$7</x:f>
        <x:v>0.000014495478390705878</x:v>
      </x:c>
      <x:c r="L2867" s="3"/>
    </x:row>
    <x:row r="2868" ht="22" customHeight="1">
      <x:c r="A2868" s="3"/>
      <x:c r="B2868" s="3" t="str">
        <x:v>20774</x:v>
      </x:c>
      <x:c r="C2868" s="3" t="str">
        <x:v>GREEN FERN NOTEBOOK</x:v>
      </x:c>
      <x:c r="D2868" s="13" t="n">
        <x:v>141.24</x:v>
      </x:c>
      <x:c r="E2868" s="13" t="n">
        <x:v>0</x:v>
      </x:c>
      <x:c r="F2868" s="13" t="n">
        <x:f>D2868-E2868</x:f>
        <x:v>141.24</x:v>
      </x:c>
      <x:c r="G2868" s="3" t="n">
        <x:v>86</x:v>
      </x:c>
      <x:c r="H2868" s="3" t="n">
        <x:v>0</x:v>
      </x:c>
      <x:c r="I2868" s="3" t="n">
        <x:v>44</x:v>
      </x:c>
      <x:c r="J2868" s="15" t="n">
        <x:f>IF(D2868=0,"n.a.",E2868/D2868)</x:f>
        <x:v>0</x:v>
      </x:c>
      <x:c r="K2868" s="15" t="n">
        <x:f>F2868/'Datos'!$F$7</x:f>
        <x:v>0.000014422975469554763</x:v>
      </x:c>
      <x:c r="L2868" s="3"/>
    </x:row>
    <x:row r="2869" ht="22" customHeight="1">
      <x:c r="A2869" s="3"/>
      <x:c r="B2869" s="3" t="str">
        <x:v>22769</x:v>
      </x:c>
      <x:c r="C2869" s="3" t="str">
        <x:v>CHALKBOARD KITCHEN ORGANISER</x:v>
      </x:c>
      <x:c r="D2869" s="13" t="n">
        <x:v>366.73</x:v>
      </x:c>
      <x:c r="E2869" s="13" t="n">
        <x:v>225.5</x:v>
      </x:c>
      <x:c r="F2869" s="13" t="n">
        <x:f>D2869-E2869</x:f>
        <x:v>141.23000000000002</x:v>
      </x:c>
      <x:c r="G2869" s="3" t="n">
        <x:v>11</x:v>
      </x:c>
      <x:c r="H2869" s="3" t="n">
        <x:v>10</x:v>
      </x:c>
      <x:c r="I2869" s="3" t="n">
        <x:v>8</x:v>
      </x:c>
      <x:c r="J2869" s="15" t="n">
        <x:f>IF(D2869=0,"n.a.",E2869/D2869)</x:f>
        <x:v>0.6148937910724511</x:v>
      </x:c>
      <x:c r="K2869" s="15" t="n">
        <x:f>F2869/'Datos'!$F$7</x:f>
        <x:v>0.000014421954301651227</x:v>
      </x:c>
      <x:c r="L2869" s="3"/>
    </x:row>
    <x:row r="2870" ht="22" customHeight="1">
      <x:c r="A2870" s="3"/>
      <x:c r="B2870" s="3" t="str">
        <x:v>20661</x:v>
      </x:c>
      <x:c r="C2870" s="3" t="str">
        <x:v>BLUE POLKADOT PURSE</x:v>
      </x:c>
      <x:c r="D2870" s="13" t="n">
        <x:v>141.15</x:v>
      </x:c>
      <x:c r="E2870" s="13" t="n">
        <x:v>0</x:v>
      </x:c>
      <x:c r="F2870" s="13" t="n">
        <x:f>D2870-E2870</x:f>
        <x:v>141.15</x:v>
      </x:c>
      <x:c r="G2870" s="3" t="n">
        <x:v>44</x:v>
      </x:c>
      <x:c r="H2870" s="3" t="n">
        <x:v>0</x:v>
      </x:c>
      <x:c r="I2870" s="3" t="n">
        <x:v>33</x:v>
      </x:c>
      <x:c r="J2870" s="15" t="n">
        <x:f>IF(D2870=0,"n.a.",E2870/D2870)</x:f>
        <x:v>0</x:v>
      </x:c>
      <x:c r="K2870" s="15" t="n">
        <x:f>F2870/'Datos'!$F$7</x:f>
        <x:v>0.00001441378495842293</x:v>
      </x:c>
      <x:c r="L2870" s="3"/>
    </x:row>
    <x:row r="2871" ht="22" customHeight="1">
      <x:c r="A2871" s="3"/>
      <x:c r="B2871" s="3" t="str">
        <x:v>90164B</x:v>
      </x:c>
      <x:c r="C2871" s="3" t="str">
        <x:v>WHITE ROSEBUD PEARL BRACELET</x:v>
      </x:c>
      <x:c r="D2871" s="13" t="n">
        <x:v>140.98</x:v>
      </x:c>
      <x:c r="E2871" s="13" t="n">
        <x:v>0</x:v>
      </x:c>
      <x:c r="F2871" s="13" t="n">
        <x:f>D2871-E2871</x:f>
        <x:v>140.98</x:v>
      </x:c>
      <x:c r="G2871" s="3" t="n">
        <x:v>38</x:v>
      </x:c>
      <x:c r="H2871" s="3" t="n">
        <x:v>0</x:v>
      </x:c>
      <x:c r="I2871" s="3" t="n">
        <x:v>15</x:v>
      </x:c>
      <x:c r="J2871" s="15" t="n">
        <x:f>IF(D2871=0,"n.a.",E2871/D2871)</x:f>
        <x:v>0</x:v>
      </x:c>
      <x:c r="K2871" s="15" t="n">
        <x:f>F2871/'Datos'!$F$7</x:f>
        <x:v>0.000014396425104062802</x:v>
      </x:c>
      <x:c r="L2871" s="3"/>
    </x:row>
    <x:row r="2872" ht="22" customHeight="1">
      <x:c r="A2872" s="3"/>
      <x:c r="B2872" s="3" t="str">
        <x:v>84744</x:v>
      </x:c>
      <x:c r="C2872" s="3" t="str">
        <x:v>S/6 SEW ON CROCHET FLOWERS</x:v>
      </x:c>
      <x:c r="D2872" s="13" t="n">
        <x:v>140.02</x:v>
      </x:c>
      <x:c r="E2872" s="13" t="n">
        <x:v>0</x:v>
      </x:c>
      <x:c r="F2872" s="13" t="n">
        <x:f>D2872-E2872</x:f>
        <x:v>140.02</x:v>
      </x:c>
      <x:c r="G2872" s="3" t="n">
        <x:v>110</x:v>
      </x:c>
      <x:c r="H2872" s="3" t="n">
        <x:v>0</x:v>
      </x:c>
      <x:c r="I2872" s="3" t="n">
        <x:v>20</x:v>
      </x:c>
      <x:c r="J2872" s="15" t="n">
        <x:f>IF(D2872=0,"n.a.",E2872/D2872)</x:f>
        <x:v>0</x:v>
      </x:c>
      <x:c r="K2872" s="15" t="n">
        <x:f>F2872/'Datos'!$F$7</x:f>
        <x:v>0.000014298392985323265</x:v>
      </x:c>
      <x:c r="L2872" s="3"/>
    </x:row>
    <x:row r="2873" ht="22" customHeight="1">
      <x:c r="A2873" s="3"/>
      <x:c r="B2873" s="3" t="str">
        <x:v>22125</x:v>
      </x:c>
      <x:c r="C2873" s="3" t="str">
        <x:v>UNION JACK HOT WATER BOTTLE</x:v>
      </x:c>
      <x:c r="D2873" s="13" t="n">
        <x:v>139.86</x:v>
      </x:c>
      <x:c r="E2873" s="13" t="n">
        <x:v>0</x:v>
      </x:c>
      <x:c r="F2873" s="13" t="n">
        <x:f>D2873-E2873</x:f>
        <x:v>139.86</x:v>
      </x:c>
      <x:c r="G2873" s="3" t="n">
        <x:v>13</x:v>
      </x:c>
      <x:c r="H2873" s="3" t="n">
        <x:v>0</x:v>
      </x:c>
      <x:c r="I2873" s="3" t="n">
        <x:v>3</x:v>
      </x:c>
      <x:c r="J2873" s="15" t="n">
        <x:f>IF(D2873=0,"n.a.",E2873/D2873)</x:f>
        <x:v>0</x:v>
      </x:c>
      <x:c r="K2873" s="15" t="n">
        <x:f>F2873/'Datos'!$F$7</x:f>
        <x:v>0.000014282054298866674</x:v>
      </x:c>
      <x:c r="L2873" s="3"/>
    </x:row>
    <x:row r="2874" ht="22" customHeight="1">
      <x:c r="A2874" s="3"/>
      <x:c r="B2874" s="3" t="str">
        <x:v>23463</x:v>
      </x:c>
      <x:c r="C2874" s="3" t="str">
        <x:v>VINTAGE ZINC WATERING CAN</x:v>
      </x:c>
      <x:c r="D2874" s="13" t="n">
        <x:v>139.4</x:v>
      </x:c>
      <x:c r="E2874" s="13" t="n">
        <x:v>0</x:v>
      </x:c>
      <x:c r="F2874" s="13" t="n">
        <x:f>D2874-E2874</x:f>
        <x:v>139.4</x:v>
      </x:c>
      <x:c r="G2874" s="3" t="n">
        <x:v>13</x:v>
      </x:c>
      <x:c r="H2874" s="3" t="n">
        <x:v>0</x:v>
      </x:c>
      <x:c r="I2874" s="3" t="n">
        <x:v>8</x:v>
      </x:c>
      <x:c r="J2874" s="15" t="n">
        <x:f>IF(D2874=0,"n.a.",E2874/D2874)</x:f>
        <x:v>0</x:v>
      </x:c>
      <x:c r="K2874" s="15" t="n">
        <x:f>F2874/'Datos'!$F$7</x:f>
        <x:v>0.000014235080575303977</x:v>
      </x:c>
      <x:c r="L2874" s="3"/>
    </x:row>
    <x:row r="2875" ht="22" customHeight="1">
      <x:c r="A2875" s="3"/>
      <x:c r="B2875" s="3" t="str">
        <x:v>22876</x:v>
      </x:c>
      <x:c r="C2875" s="3" t="str">
        <x:v>NUMBER TILE COTTAGE GARDEN 8</x:v>
      </x:c>
      <x:c r="D2875" s="13" t="n">
        <x:v>138.81</x:v>
      </x:c>
      <x:c r="E2875" s="13" t="n">
        <x:v>0</x:v>
      </x:c>
      <x:c r="F2875" s="13" t="n">
        <x:f>D2875-E2875</x:f>
        <x:v>138.81</x:v>
      </x:c>
      <x:c r="G2875" s="3" t="n">
        <x:v>61</x:v>
      </x:c>
      <x:c r="H2875" s="3" t="n">
        <x:v>0</x:v>
      </x:c>
      <x:c r="I2875" s="3" t="n">
        <x:v>20</x:v>
      </x:c>
      <x:c r="J2875" s="15" t="n">
        <x:f>IF(D2875=0,"n.a.",E2875/D2875)</x:f>
        <x:v>0</x:v>
      </x:c>
      <x:c r="K2875" s="15" t="n">
        <x:f>F2875/'Datos'!$F$7</x:f>
        <x:v>0.000014174831668995302</x:v>
      </x:c>
      <x:c r="L2875" s="3"/>
    </x:row>
    <x:row r="2876" ht="22" customHeight="1">
      <x:c r="A2876" s="3"/>
      <x:c r="B2876" s="3" t="str">
        <x:v>75011</x:v>
      </x:c>
      <x:c r="C2876" s="3" t="str">
        <x:v>BLUE DAISY MOBILE</x:v>
      </x:c>
      <x:c r="D2876" s="13" t="n">
        <x:v>138.76</x:v>
      </x:c>
      <x:c r="E2876" s="13" t="n">
        <x:v>0</x:v>
      </x:c>
      <x:c r="F2876" s="13" t="n">
        <x:f>D2876-E2876</x:f>
        <x:v>138.76</x:v>
      </x:c>
      <x:c r="G2876" s="3" t="n">
        <x:v>172</x:v>
      </x:c>
      <x:c r="H2876" s="3" t="n">
        <x:v>0</x:v>
      </x:c>
      <x:c r="I2876" s="3" t="n">
        <x:v>12</x:v>
      </x:c>
      <x:c r="J2876" s="15" t="n">
        <x:f>IF(D2876=0,"n.a.",E2876/D2876)</x:f>
        <x:v>0</x:v>
      </x:c>
      <x:c r="K2876" s="15" t="n">
        <x:f>F2876/'Datos'!$F$7</x:f>
        <x:v>0.000014169725829477616</x:v>
      </x:c>
      <x:c r="L2876" s="3"/>
    </x:row>
    <x:row r="2877" ht="22" customHeight="1">
      <x:c r="A2877" s="3"/>
      <x:c r="B2877" s="3" t="str">
        <x:v>35922</x:v>
      </x:c>
      <x:c r="C2877" s="3" t="str">
        <x:v>EASTER BUNNY WREATH</x:v>
      </x:c>
      <x:c r="D2877" s="13" t="n">
        <x:v>138.6</x:v>
      </x:c>
      <x:c r="E2877" s="13" t="n">
        <x:v>0</x:v>
      </x:c>
      <x:c r="F2877" s="13" t="n">
        <x:f>D2877-E2877</x:f>
        <x:v>138.6</x:v>
      </x:c>
      <x:c r="G2877" s="3" t="n">
        <x:v>28</x:v>
      </x:c>
      <x:c r="H2877" s="3" t="n">
        <x:v>0</x:v>
      </x:c>
      <x:c r="I2877" s="3" t="n">
        <x:v>10</x:v>
      </x:c>
      <x:c r="J2877" s="15" t="n">
        <x:f>IF(D2877=0,"n.a.",E2877/D2877)</x:f>
        <x:v>0</x:v>
      </x:c>
      <x:c r="K2877" s="15" t="n">
        <x:f>F2877/'Datos'!$F$7</x:f>
        <x:v>0.000014153387143021027</x:v>
      </x:c>
      <x:c r="L2877" s="3"/>
    </x:row>
    <x:row r="2878" ht="22" customHeight="1">
      <x:c r="A2878" s="3"/>
      <x:c r="B2878" s="3" t="str">
        <x:v>23304</x:v>
      </x:c>
      <x:c r="C2878" s="3" t="str">
        <x:v>SET 4 PICNIC CUTLERY CHERRY</x:v>
      </x:c>
      <x:c r="D2878" s="13" t="n">
        <x:v>138.45</x:v>
      </x:c>
      <x:c r="E2878" s="13" t="n">
        <x:v>0</x:v>
      </x:c>
      <x:c r="F2878" s="13" t="n">
        <x:f>D2878-E2878</x:f>
        <x:v>138.45</x:v>
      </x:c>
      <x:c r="G2878" s="3" t="n">
        <x:v>71</x:v>
      </x:c>
      <x:c r="H2878" s="3" t="n">
        <x:v>0</x:v>
      </x:c>
      <x:c r="I2878" s="3" t="n">
        <x:v>9</x:v>
      </x:c>
      <x:c r="J2878" s="15" t="n">
        <x:f>IF(D2878=0,"n.a.",E2878/D2878)</x:f>
        <x:v>0</x:v>
      </x:c>
      <x:c r="K2878" s="15" t="n">
        <x:f>F2878/'Datos'!$F$7</x:f>
        <x:v>0.000014138069624467974</x:v>
      </x:c>
      <x:c r="L2878" s="3"/>
    </x:row>
    <x:row r="2879" ht="22" customHeight="1">
      <x:c r="A2879" s="3"/>
      <x:c r="B2879" s="3" t="str">
        <x:v>20758</x:v>
      </x:c>
      <x:c r="C2879" s="3" t="str">
        <x:v>ABSTRACT CIRCLES POCKET BOOK</x:v>
      </x:c>
      <x:c r="D2879" s="13" t="n">
        <x:v>137.7</x:v>
      </x:c>
      <x:c r="E2879" s="13" t="n">
        <x:v>0</x:v>
      </x:c>
      <x:c r="F2879" s="13" t="n">
        <x:f>D2879-E2879</x:f>
        <x:v>137.7</x:v>
      </x:c>
      <x:c r="G2879" s="3" t="n">
        <x:v>162</x:v>
      </x:c>
      <x:c r="H2879" s="3" t="n">
        <x:v>0</x:v>
      </x:c>
      <x:c r="I2879" s="3" t="n">
        <x:v>42</x:v>
      </x:c>
      <x:c r="J2879" s="15" t="n">
        <x:f>IF(D2879=0,"n.a.",E2879/D2879)</x:f>
        <x:v>0</x:v>
      </x:c>
      <x:c r="K2879" s="15" t="n">
        <x:f>F2879/'Datos'!$F$7</x:f>
        <x:v>0.000014061482031702708</x:v>
      </x:c>
      <x:c r="L2879" s="3"/>
    </x:row>
    <x:row r="2880" ht="22" customHeight="1">
      <x:c r="A2880" s="3"/>
      <x:c r="B2880" s="3" t="str">
        <x:v>90181B</x:v>
      </x:c>
      <x:c r="C2880" s="3" t="str">
        <x:v>AMETHYST GLASS/SHELL/PEARL NECKLACE</x:v>
      </x:c>
      <x:c r="D2880" s="13" t="n">
        <x:v>137.63</x:v>
      </x:c>
      <x:c r="E2880" s="13" t="n">
        <x:v>0</x:v>
      </x:c>
      <x:c r="F2880" s="13" t="n">
        <x:f>D2880-E2880</x:f>
        <x:v>137.63</x:v>
      </x:c>
      <x:c r="G2880" s="3" t="n">
        <x:v>15</x:v>
      </x:c>
      <x:c r="H2880" s="3" t="n">
        <x:v>0</x:v>
      </x:c>
      <x:c r="I2880" s="3" t="n">
        <x:v>14</x:v>
      </x:c>
      <x:c r="J2880" s="15" t="n">
        <x:f>IF(D2880=0,"n.a.",E2880/D2880)</x:f>
        <x:v>0</x:v>
      </x:c>
      <x:c r="K2880" s="15" t="n">
        <x:f>F2880/'Datos'!$F$7</x:f>
        <x:v>0.00001405433385637795</x:v>
      </x:c>
      <x:c r="L2880" s="3"/>
    </x:row>
    <x:row r="2881" ht="22" customHeight="1">
      <x:c r="A2881" s="3"/>
      <x:c r="B2881" s="3" t="str">
        <x:v>21637</x:v>
      </x:c>
      <x:c r="C2881" s="3" t="str">
        <x:v>ASSORTED SANSKRIT MINI NOTEBOOK</x:v>
      </x:c>
      <x:c r="D2881" s="13" t="n">
        <x:v>136.25</x:v>
      </x:c>
      <x:c r="E2881" s="13" t="n">
        <x:v>0</x:v>
      </x:c>
      <x:c r="F2881" s="13" t="n">
        <x:f>D2881-E2881</x:f>
        <x:v>136.25</x:v>
      </x:c>
      <x:c r="G2881" s="3" t="n">
        <x:v>109</x:v>
      </x:c>
      <x:c r="H2881" s="3" t="n">
        <x:v>0</x:v>
      </x:c>
      <x:c r="I2881" s="3" t="n">
        <x:v>6</x:v>
      </x:c>
      <x:c r="J2881" s="15" t="n">
        <x:f>IF(D2881=0,"n.a.",E2881/D2881)</x:f>
        <x:v>0</x:v>
      </x:c>
      <x:c r="K2881" s="15" t="n">
        <x:f>F2881/'Datos'!$F$7</x:f>
        <x:v>0.000013913412685689863</x:v>
      </x:c>
      <x:c r="L2881" s="3"/>
    </x:row>
    <x:row r="2882" ht="22" customHeight="1">
      <x:c r="A2882" s="3"/>
      <x:c r="B2882" s="3" t="str">
        <x:v>22877</x:v>
      </x:c>
      <x:c r="C2882" s="3" t="str">
        <x:v>NUMBER TILE COTTAGE GARDEN 9</x:v>
      </x:c>
      <x:c r="D2882" s="13" t="n">
        <x:v>138.11</x:v>
      </x:c>
      <x:c r="E2882" s="13" t="n">
        <x:v>1.95</x:v>
      </x:c>
      <x:c r="F2882" s="13" t="n">
        <x:f>D2882-E2882</x:f>
        <x:v>136.16000000000003</x:v>
      </x:c>
      <x:c r="G2882" s="3" t="n">
        <x:v>63</x:v>
      </x:c>
      <x:c r="H2882" s="3" t="n">
        <x:v>1</x:v>
      </x:c>
      <x:c r="I2882" s="3" t="n">
        <x:v>19</x:v>
      </x:c>
      <x:c r="J2882" s="15" t="n">
        <x:f>IF(D2882=0,"n.a.",E2882/D2882)</x:f>
        <x:v>0.014119180363478385</x:v>
      </x:c>
      <x:c r="K2882" s="15" t="n">
        <x:f>F2882/'Datos'!$F$7</x:f>
        <x:v>0.000013904222174558034</x:v>
      </x:c>
      <x:c r="L2882" s="3"/>
    </x:row>
    <x:row r="2883" ht="22" customHeight="1">
      <x:c r="A2883" s="3"/>
      <x:c r="B2883" s="3" t="str">
        <x:v>21736</x:v>
      </x:c>
      <x:c r="C2883" s="3" t="str">
        <x:v>GOLD SCROLL GLASS T-LIGHT HOLDER</x:v>
      </x:c>
      <x:c r="D2883" s="13" t="n">
        <x:v>137.22</x:v>
      </x:c>
      <x:c r="E2883" s="13" t="n">
        <x:v>1.17</x:v>
      </x:c>
      <x:c r="F2883" s="13" t="n">
        <x:f>D2883-E2883</x:f>
        <x:v>136.05</x:v>
      </x:c>
      <x:c r="G2883" s="3" t="n">
        <x:v>80</x:v>
      </x:c>
      <x:c r="H2883" s="3" t="n">
        <x:v>3</x:v>
      </x:c>
      <x:c r="I2883" s="3" t="n">
        <x:v>5</x:v>
      </x:c>
      <x:c r="J2883" s="15" t="n">
        <x:f>IF(D2883=0,"n.a.",E2883/D2883)</x:f>
        <x:v>0.008526453869698294</x:v>
      </x:c>
      <x:c r="K2883" s="15" t="n">
        <x:f>F2883/'Datos'!$F$7</x:f>
        <x:v>0.000013892989327619127</x:v>
      </x:c>
      <x:c r="L2883" s="3"/>
    </x:row>
    <x:row r="2884" ht="22" customHeight="1">
      <x:c r="A2884" s="3"/>
      <x:c r="B2884" s="3" t="str">
        <x:v>85071A</x:v>
      </x:c>
      <x:c r="C2884" s="3" t="str">
        <x:v>BLUE CHARLIE+LOLA PERSONAL DOORSIGN</x:v>
      </x:c>
      <x:c r="D2884" s="13" t="n">
        <x:v>583.23</x:v>
      </x:c>
      <x:c r="E2884" s="13" t="n">
        <x:v>448.4</x:v>
      </x:c>
      <x:c r="F2884" s="13" t="n">
        <x:f>D2884-E2884</x:f>
        <x:v>134.83000000000004</x:v>
      </x:c>
      <x:c r="G2884" s="3" t="n">
        <x:v>1041</x:v>
      </x:c>
      <x:c r="H2884" s="3" t="n">
        <x:v>152</x:v>
      </x:c>
      <x:c r="I2884" s="3" t="n">
        <x:v>111</x:v>
      </x:c>
      <x:c r="J2884" s="15" t="n">
        <x:f>IF(D2884=0,"n.a.",E2884/D2884)</x:f>
        <x:v>0.7688219055947053</x:v>
      </x:c>
      <x:c r="K2884" s="15" t="n">
        <x:f>F2884/'Datos'!$F$7</x:f>
        <x:v>0.00001376840684338763</x:v>
      </x:c>
      <x:c r="L2884" s="3"/>
    </x:row>
    <x:row r="2885" ht="22" customHeight="1">
      <x:c r="A2885" s="3"/>
      <x:c r="B2885" s="3" t="str">
        <x:v>21459</x:v>
      </x:c>
      <x:c r="C2885" s="3" t="str">
        <x:v>YELLOW EASTER EGG HUNT START POST</x:v>
      </x:c>
      <x:c r="D2885" s="13" t="n">
        <x:v>150.38</x:v>
      </x:c>
      <x:c r="E2885" s="13" t="n">
        <x:v>15.6</x:v>
      </x:c>
      <x:c r="F2885" s="13" t="n">
        <x:f>D2885-E2885</x:f>
        <x:v>134.78</x:v>
      </x:c>
      <x:c r="G2885" s="3" t="n">
        <x:v>76</x:v>
      </x:c>
      <x:c r="H2885" s="3" t="n">
        <x:v>8</x:v>
      </x:c>
      <x:c r="I2885" s="3" t="n">
        <x:v>19</x:v>
      </x:c>
      <x:c r="J2885" s="15" t="n">
        <x:f>IF(D2885=0,"n.a.",E2885/D2885)</x:f>
        <x:v>0.10373719909562441</x:v>
      </x:c>
      <x:c r="K2885" s="15" t="n">
        <x:f>F2885/'Datos'!$F$7</x:f>
        <x:v>0.000013763301003869943</x:v>
      </x:c>
      <x:c r="L2885" s="3"/>
    </x:row>
    <x:row r="2886" ht="22" customHeight="1">
      <x:c r="A2886" s="3"/>
      <x:c r="B2886" s="3" t="str">
        <x:v>90073</x:v>
      </x:c>
      <x:c r="C2886" s="3" t="str">
        <x:v>VINTAGE ENAMEL &amp; CRYSTAL EARRINGS</x:v>
      </x:c>
      <x:c r="D2886" s="13" t="n">
        <x:v>134.7</x:v>
      </x:c>
      <x:c r="E2886" s="13" t="n">
        <x:v>0</x:v>
      </x:c>
      <x:c r="F2886" s="13" t="n">
        <x:f>D2886-E2886</x:f>
        <x:v>134.7</x:v>
      </x:c>
      <x:c r="G2886" s="3" t="n">
        <x:v>27</x:v>
      </x:c>
      <x:c r="H2886" s="3" t="n">
        <x:v>0</x:v>
      </x:c>
      <x:c r="I2886" s="3" t="n">
        <x:v>18</x:v>
      </x:c>
      <x:c r="J2886" s="15" t="n">
        <x:f>IF(D2886=0,"n.a.",E2886/D2886)</x:f>
        <x:v>0</x:v>
      </x:c>
      <x:c r="K2886" s="15" t="n">
        <x:f>F2886/'Datos'!$F$7</x:f>
        <x:v>0.000013755131660641646</x:v>
      </x:c>
      <x:c r="L2886" s="3"/>
    </x:row>
    <x:row r="2887" ht="22" customHeight="1">
      <x:c r="A2887" s="3"/>
      <x:c r="B2887" s="3" t="str">
        <x:v>90115</x:v>
      </x:c>
      <x:c r="C2887" s="3" t="str">
        <x:v>SUMMER BUTTERFLIES BAG CHARM</x:v>
      </x:c>
      <x:c r="D2887" s="13" t="n">
        <x:v>134.53</x:v>
      </x:c>
      <x:c r="E2887" s="13" t="n">
        <x:v>0</x:v>
      </x:c>
      <x:c r="F2887" s="13" t="n">
        <x:f>D2887-E2887</x:f>
        <x:v>134.53</x:v>
      </x:c>
      <x:c r="G2887" s="3" t="n">
        <x:v>54</x:v>
      </x:c>
      <x:c r="H2887" s="3" t="n">
        <x:v>0</x:v>
      </x:c>
      <x:c r="I2887" s="3" t="n">
        <x:v>31</x:v>
      </x:c>
      <x:c r="J2887" s="15" t="n">
        <x:f>IF(D2887=0,"n.a.",E2887/D2887)</x:f>
        <x:v>0</x:v>
      </x:c>
      <x:c r="K2887" s="15" t="n">
        <x:f>F2887/'Datos'!$F$7</x:f>
        <x:v>0.000013737771806281521</x:v>
      </x:c>
      <x:c r="L2887" s="3"/>
    </x:row>
    <x:row r="2888" ht="22" customHeight="1">
      <x:c r="A2888" s="3"/>
      <x:c r="B2888" s="3" t="str">
        <x:v>21943</x:v>
      </x:c>
      <x:c r="C2888" s="3" t="str">
        <x:v>CAKES AND RABBITS DESIGN FLANNEL</x:v>
      </x:c>
      <x:c r="D2888" s="13" t="n">
        <x:v>134.49</x:v>
      </x:c>
      <x:c r="E2888" s="13" t="n">
        <x:v>0</x:v>
      </x:c>
      <x:c r="F2888" s="13" t="n">
        <x:f>D2888-E2888</x:f>
        <x:v>134.49</x:v>
      </x:c>
      <x:c r="G2888" s="3" t="n">
        <x:v>119</x:v>
      </x:c>
      <x:c r="H2888" s="3" t="n">
        <x:v>0</x:v>
      </x:c>
      <x:c r="I2888" s="3" t="n">
        <x:v>50</x:v>
      </x:c>
      <x:c r="J2888" s="15" t="n">
        <x:f>IF(D2888=0,"n.a.",E2888/D2888)</x:f>
        <x:v>0</x:v>
      </x:c>
      <x:c r="K2888" s="15" t="n">
        <x:f>F2888/'Datos'!$F$7</x:f>
        <x:v>0.000013733687134667374</x:v>
      </x:c>
      <x:c r="L2888" s="3"/>
    </x:row>
    <x:row r="2889" ht="22" customHeight="1">
      <x:c r="A2889" s="3"/>
      <x:c r="B2889" s="3" t="str">
        <x:v>47518F</x:v>
      </x:c>
      <x:c r="C2889" s="3" t="str">
        <x:v>ICON PLACEMAT POP ART ELVIS</x:v>
      </x:c>
      <x:c r="D2889" s="13" t="n">
        <x:v>134.37</x:v>
      </x:c>
      <x:c r="E2889" s="13" t="n">
        <x:v>0</x:v>
      </x:c>
      <x:c r="F2889" s="13" t="n">
        <x:f>D2889-E2889</x:f>
        <x:v>134.37</x:v>
      </x:c>
      <x:c r="G2889" s="3" t="n">
        <x:v>832</x:v>
      </x:c>
      <x:c r="H2889" s="3" t="n">
        <x:v>0</x:v>
      </x:c>
      <x:c r="I2889" s="3" t="n">
        <x:v>33</x:v>
      </x:c>
      <x:c r="J2889" s="15" t="n">
        <x:f>IF(D2889=0,"n.a.",E2889/D2889)</x:f>
        <x:v>0</x:v>
      </x:c>
      <x:c r="K2889" s="15" t="n">
        <x:f>F2889/'Datos'!$F$7</x:f>
        <x:v>0.000013721433119824932</x:v>
      </x:c>
      <x:c r="L2889" s="3"/>
    </x:row>
    <x:row r="2890" ht="22" customHeight="1">
      <x:c r="A2890" s="3"/>
      <x:c r="B2890" s="3" t="str">
        <x:v>90028</x:v>
      </x:c>
      <x:c r="C2890" s="3" t="str">
        <x:v>NEW BAROQUE LARGE NECKLACE BLK/WHIT</x:v>
      </x:c>
      <x:c r="D2890" s="13" t="n">
        <x:v>134.16</x:v>
      </x:c>
      <x:c r="E2890" s="13" t="n">
        <x:v>0</x:v>
      </x:c>
      <x:c r="F2890" s="13" t="n">
        <x:f>D2890-E2890</x:f>
        <x:v>134.16</x:v>
      </x:c>
      <x:c r="G2890" s="3" t="n">
        <x:v>16</x:v>
      </x:c>
      <x:c r="H2890" s="3" t="n">
        <x:v>0</x:v>
      </x:c>
      <x:c r="I2890" s="3" t="n">
        <x:v>14</x:v>
      </x:c>
      <x:c r="J2890" s="15" t="n">
        <x:f>IF(D2890=0,"n.a.",E2890/D2890)</x:f>
        <x:v>0</x:v>
      </x:c>
      <x:c r="K2890" s="15" t="n">
        <x:f>F2890/'Datos'!$F$7</x:f>
        <x:v>0.000013699988593850657</x:v>
      </x:c>
      <x:c r="L2890" s="3"/>
    </x:row>
    <x:row r="2891" ht="22" customHeight="1">
      <x:c r="A2891" s="3"/>
      <x:c r="B2891" s="3" t="str">
        <x:v>46000U</x:v>
      </x:c>
      <x:c r="C2891" s="3" t="str">
        <x:v>POLYESTER FILLER PAD 30CMx30CM</x:v>
      </x:c>
      <x:c r="D2891" s="13" t="n">
        <x:v>133.75</x:v>
      </x:c>
      <x:c r="E2891" s="13" t="n">
        <x:v>0</x:v>
      </x:c>
      <x:c r="F2891" s="13" t="n">
        <x:f>D2891-E2891</x:f>
        <x:v>133.75</x:v>
      </x:c>
      <x:c r="G2891" s="3" t="n">
        <x:v>107</x:v>
      </x:c>
      <x:c r="H2891" s="3" t="n">
        <x:v>0</x:v>
      </x:c>
      <x:c r="I2891" s="3" t="n">
        <x:v>26</x:v>
      </x:c>
      <x:c r="J2891" s="15" t="n">
        <x:f>IF(D2891=0,"n.a.",E2891/D2891)</x:f>
        <x:v>0</x:v>
      </x:c>
      <x:c r="K2891" s="15" t="n">
        <x:f>F2891/'Datos'!$F$7</x:f>
        <x:v>0.000013658120709805645</x:v>
      </x:c>
      <x:c r="L2891" s="3"/>
    </x:row>
    <x:row r="2892" ht="22" customHeight="1">
      <x:c r="A2892" s="3"/>
      <x:c r="B2892" s="3" t="str">
        <x:v>72130</x:v>
      </x:c>
      <x:c r="C2892" s="3" t="str">
        <x:v>COLUMBIAN CANDLE ROUND</x:v>
      </x:c>
      <x:c r="D2892" s="13" t="n">
        <x:v>133.34</x:v>
      </x:c>
      <x:c r="E2892" s="13" t="n">
        <x:v>0</x:v>
      </x:c>
      <x:c r="F2892" s="13" t="n">
        <x:f>D2892-E2892</x:f>
        <x:v>133.34</x:v>
      </x:c>
      <x:c r="G2892" s="3" t="n">
        <x:v>219</x:v>
      </x:c>
      <x:c r="H2892" s="3" t="n">
        <x:v>0</x:v>
      </x:c>
      <x:c r="I2892" s="3" t="n">
        <x:v>27</x:v>
      </x:c>
      <x:c r="J2892" s="15" t="n">
        <x:f>IF(D2892=0,"n.a.",E2892/D2892)</x:f>
        <x:v>0</x:v>
      </x:c>
      <x:c r="K2892" s="15" t="n">
        <x:f>F2892/'Datos'!$F$7</x:f>
        <x:v>0.000013616252825760634</x:v>
      </x:c>
      <x:c r="L2892" s="3"/>
    </x:row>
    <x:row r="2893" ht="22" customHeight="1">
      <x:c r="A2893" s="3"/>
      <x:c r="B2893" s="3" t="str">
        <x:v>20823</x:v>
      </x:c>
      <x:c r="C2893" s="3" t="str">
        <x:v>GOLD WINE GOBLET</x:v>
      </x:c>
      <x:c r="D2893" s="13" t="n">
        <x:v>132.72</x:v>
      </x:c>
      <x:c r="E2893" s="13" t="n">
        <x:v>0</x:v>
      </x:c>
      <x:c r="F2893" s="13" t="n">
        <x:f>D2893-E2893</x:f>
        <x:v>132.72</x:v>
      </x:c>
      <x:c r="G2893" s="3" t="n">
        <x:v>168</x:v>
      </x:c>
      <x:c r="H2893" s="3" t="n">
        <x:v>0</x:v>
      </x:c>
      <x:c r="I2893" s="3" t="n">
        <x:v>8</x:v>
      </x:c>
      <x:c r="J2893" s="15" t="n">
        <x:f>IF(D2893=0,"n.a.",E2893/D2893)</x:f>
        <x:v>0</x:v>
      </x:c>
      <x:c r="K2893" s="15" t="n">
        <x:f>F2893/'Datos'!$F$7</x:f>
        <x:v>0.000013552940415741348</x:v>
      </x:c>
      <x:c r="L2893" s="3"/>
    </x:row>
    <x:row r="2894" ht="22" customHeight="1">
      <x:c r="A2894" s="3"/>
      <x:c r="B2894" s="3" t="str">
        <x:v>62096A</x:v>
      </x:c>
      <x:c r="C2894" s="3" t="str">
        <x:v>PINK/YELLOW FLOWERS HANDBAG</x:v>
      </x:c>
      <x:c r="D2894" s="13" t="n">
        <x:v>132.5</x:v>
      </x:c>
      <x:c r="E2894" s="13" t="n">
        <x:v>0</x:v>
      </x:c>
      <x:c r="F2894" s="13" t="n">
        <x:f>D2894-E2894</x:f>
        <x:v>132.5</x:v>
      </x:c>
      <x:c r="G2894" s="3" t="n">
        <x:v>106</x:v>
      </x:c>
      <x:c r="H2894" s="3" t="n">
        <x:v>0</x:v>
      </x:c>
      <x:c r="I2894" s="3" t="n">
        <x:v>8</x:v>
      </x:c>
      <x:c r="J2894" s="15" t="n">
        <x:f>IF(D2894=0,"n.a.",E2894/D2894)</x:f>
        <x:v>0</x:v>
      </x:c>
      <x:c r="K2894" s="15" t="n">
        <x:f>F2894/'Datos'!$F$7</x:f>
        <x:v>0.000013530474721863537</x:v>
      </x:c>
      <x:c r="L2894" s="3"/>
    </x:row>
    <x:row r="2895" ht="22" customHeight="1">
      <x:c r="A2895" s="3"/>
      <x:c r="B2895" s="3" t="str">
        <x:v>21518</x:v>
      </x:c>
      <x:c r="C2895" s="3" t="str">
        <x:v>BANK ACCOUNT GREETING CARD</x:v>
      </x:c>
      <x:c r="D2895" s="13" t="n">
        <x:v>132.44</x:v>
      </x:c>
      <x:c r="E2895" s="13" t="n">
        <x:v>0</x:v>
      </x:c>
      <x:c r="F2895" s="13" t="n">
        <x:f>D2895-E2895</x:f>
        <x:v>132.44</x:v>
      </x:c>
      <x:c r="G2895" s="3" t="n">
        <x:v>318</x:v>
      </x:c>
      <x:c r="H2895" s="3" t="n">
        <x:v>0</x:v>
      </x:c>
      <x:c r="I2895" s="3" t="n">
        <x:v>38</x:v>
      </x:c>
      <x:c r="J2895" s="15" t="n">
        <x:f>IF(D2895=0,"n.a.",E2895/D2895)</x:f>
        <x:v>0</x:v>
      </x:c>
      <x:c r="K2895" s="15" t="n">
        <x:f>F2895/'Datos'!$F$7</x:f>
        <x:v>0.000013524347714442315</x:v>
      </x:c>
      <x:c r="L2895" s="3"/>
    </x:row>
    <x:row r="2896" ht="22" customHeight="1">
      <x:c r="A2896" s="3"/>
      <x:c r="B2896" s="3" t="str">
        <x:v>90210D</x:v>
      </x:c>
      <x:c r="C2896" s="3" t="str">
        <x:v>PURPLE ACRYLIC FACETED BANGLE</x:v>
      </x:c>
      <x:c r="D2896" s="13" t="n">
        <x:v>132.05</x:v>
      </x:c>
      <x:c r="E2896" s="13" t="n">
        <x:v>0</x:v>
      </x:c>
      <x:c r="F2896" s="13" t="n">
        <x:f>D2896-E2896</x:f>
        <x:v>132.05</x:v>
      </x:c>
      <x:c r="G2896" s="3" t="n">
        <x:v>107</x:v>
      </x:c>
      <x:c r="H2896" s="3" t="n">
        <x:v>0</x:v>
      </x:c>
      <x:c r="I2896" s="3" t="n">
        <x:v>8</x:v>
      </x:c>
      <x:c r="J2896" s="15" t="n">
        <x:f>IF(D2896=0,"n.a.",E2896/D2896)</x:f>
        <x:v>0</x:v>
      </x:c>
      <x:c r="K2896" s="15" t="n">
        <x:f>F2896/'Datos'!$F$7</x:f>
        <x:v>0.000013484522166204378</x:v>
      </x:c>
      <x:c r="L2896" s="3"/>
    </x:row>
    <x:row r="2897" ht="22" customHeight="1">
      <x:c r="A2897" s="3"/>
      <x:c r="B2897" s="3" t="str">
        <x:v>35921</x:v>
      </x:c>
      <x:c r="C2897" s="3" t="str">
        <x:v>EASTER BUNNY HANGING GARLAND</x:v>
      </x:c>
      <x:c r="D2897" s="13" t="n">
        <x:v>133.23</x:v>
      </x:c>
      <x:c r="E2897" s="13" t="n">
        <x:v>1.25</x:v>
      </x:c>
      <x:c r="F2897" s="13" t="n">
        <x:f>D2897-E2897</x:f>
        <x:v>131.98</x:v>
      </x:c>
      <x:c r="G2897" s="3" t="n">
        <x:v>68</x:v>
      </x:c>
      <x:c r="H2897" s="3" t="n">
        <x:v>1</x:v>
      </x:c>
      <x:c r="I2897" s="3" t="n">
        <x:v>23</x:v>
      </x:c>
      <x:c r="J2897" s="15" t="n">
        <x:f>IF(D2897=0,"n.a.",E2897/D2897)</x:f>
        <x:v>0.009382271260226676</x:v>
      </x:c>
      <x:c r="K2897" s="15" t="n">
        <x:f>F2897/'Datos'!$F$7</x:f>
        <x:v>0.000013477373990879618</x:v>
      </x:c>
      <x:c r="L2897" s="3"/>
    </x:row>
    <x:row r="2898" ht="22" customHeight="1">
      <x:c r="A2898" s="3"/>
      <x:c r="B2898" s="3" t="str">
        <x:v>20836</x:v>
      </x:c>
      <x:c r="C2898" s="3" t="str">
        <x:v>FRENCH PAISLEY CUSHION COVER</x:v>
      </x:c>
      <x:c r="D2898" s="13" t="n">
        <x:v>141.1</x:v>
      </x:c>
      <x:c r="E2898" s="13" t="n">
        <x:v>9.96</x:v>
      </x:c>
      <x:c r="F2898" s="13" t="n">
        <x:f>D2898-E2898</x:f>
        <x:v>131.14</x:v>
      </x:c>
      <x:c r="G2898" s="3" t="n">
        <x:v>170</x:v>
      </x:c>
      <x:c r="H2898" s="3" t="n">
        <x:v>12</x:v>
      </x:c>
      <x:c r="I2898" s="3" t="n">
        <x:v>17</x:v>
      </x:c>
      <x:c r="J2898" s="15" t="n">
        <x:f>IF(D2898=0,"n.a.",E2898/D2898)</x:f>
        <x:v>0.07058823529411766</x:v>
      </x:c>
      <x:c r="K2898" s="15" t="n">
        <x:f>F2898/'Datos'!$F$7</x:f>
        <x:v>0.000013391595886982521</x:v>
      </x:c>
      <x:c r="L2898" s="3"/>
    </x:row>
    <x:row r="2899" ht="22" customHeight="1">
      <x:c r="A2899" s="3"/>
      <x:c r="B2899" s="3" t="str">
        <x:v>90164A</x:v>
      </x:c>
      <x:c r="C2899" s="3" t="str">
        <x:v>PINK ROSEBUD PEARL BRACELET</x:v>
      </x:c>
      <x:c r="D2899" s="13" t="n">
        <x:v>130.67</x:v>
      </x:c>
      <x:c r="E2899" s="13" t="n">
        <x:v>0</x:v>
      </x:c>
      <x:c r="F2899" s="13" t="n">
        <x:f>D2899-E2899</x:f>
        <x:v>130.67</x:v>
      </x:c>
      <x:c r="G2899" s="3" t="n">
        <x:v>27</x:v>
      </x:c>
      <x:c r="H2899" s="3" t="n">
        <x:v>0</x:v>
      </x:c>
      <x:c r="I2899" s="3" t="n">
        <x:v>14</x:v>
      </x:c>
      <x:c r="J2899" s="15" t="n">
        <x:f>IF(D2899=0,"n.a.",E2899/D2899)</x:f>
        <x:v>0</x:v>
      </x:c>
      <x:c r="K2899" s="15" t="n">
        <x:f>F2899/'Datos'!$F$7</x:f>
        <x:v>0.000013343600995516289</x:v>
      </x:c>
      <x:c r="L2899" s="3"/>
    </x:row>
    <x:row r="2900" ht="22" customHeight="1">
      <x:c r="A2900" s="3"/>
      <x:c r="B2900" s="3" t="str">
        <x:v>90210C</x:v>
      </x:c>
      <x:c r="C2900" s="3" t="str">
        <x:v>RED ACRYLIC FACETED BANGLE</x:v>
      </x:c>
      <x:c r="D2900" s="13" t="n">
        <x:v>130.51</x:v>
      </x:c>
      <x:c r="E2900" s="13" t="n">
        <x:v>0</x:v>
      </x:c>
      <x:c r="F2900" s="13" t="n">
        <x:f>D2900-E2900</x:f>
        <x:v>130.51</x:v>
      </x:c>
      <x:c r="G2900" s="3" t="n">
        <x:v>99</x:v>
      </x:c>
      <x:c r="H2900" s="3" t="n">
        <x:v>0</x:v>
      </x:c>
      <x:c r="I2900" s="3" t="n">
        <x:v>10</x:v>
      </x:c>
      <x:c r="J2900" s="15" t="n">
        <x:f>IF(D2900=0,"n.a.",E2900/D2900)</x:f>
        <x:v>0</x:v>
      </x:c>
      <x:c r="K2900" s="15" t="n">
        <x:f>F2900/'Datos'!$F$7</x:f>
        <x:v>0.000013327262309059698</x:v>
      </x:c>
      <x:c r="L2900" s="3"/>
    </x:row>
    <x:row r="2901" ht="22" customHeight="1">
      <x:c r="A2901" s="3"/>
      <x:c r="B2901" s="3" t="str">
        <x:v>37467</x:v>
      </x:c>
      <x:c r="C2901" s="3" t="str">
        <x:v>PIG MUG IN TWO COLOUR DESIGNS</x:v>
      </x:c>
      <x:c r="D2901" s="13" t="n">
        <x:v>130.27</x:v>
      </x:c>
      <x:c r="E2901" s="13" t="n">
        <x:v>0</x:v>
      </x:c>
      <x:c r="F2901" s="13" t="n">
        <x:f>D2901-E2901</x:f>
        <x:v>130.27</x:v>
      </x:c>
      <x:c r="G2901" s="3" t="n">
        <x:v>159</x:v>
      </x:c>
      <x:c r="H2901" s="3" t="n">
        <x:v>0</x:v>
      </x:c>
      <x:c r="I2901" s="3" t="n">
        <x:v>17</x:v>
      </x:c>
      <x:c r="J2901" s="15" t="n">
        <x:f>IF(D2901=0,"n.a.",E2901/D2901)</x:f>
        <x:v>0</x:v>
      </x:c>
      <x:c r="K2901" s="15" t="n">
        <x:f>F2901/'Datos'!$F$7</x:f>
        <x:v>0.000013302754279374815</x:v>
      </x:c>
      <x:c r="L2901" s="3"/>
    </x:row>
    <x:row r="2902" ht="22" customHeight="1">
      <x:c r="A2902" s="3"/>
      <x:c r="B2902" s="3" t="str">
        <x:v>21344</x:v>
      </x:c>
      <x:c r="C2902" s="3" t="str">
        <x:v>MOROCCAN BEATEN METAL DISH</x:v>
      </x:c>
      <x:c r="D2902" s="13" t="n">
        <x:v>160.09</x:v>
      </x:c>
      <x:c r="E2902" s="13" t="n">
        <x:v>29.85</x:v>
      </x:c>
      <x:c r="F2902" s="13" t="n">
        <x:f>D2902-E2902</x:f>
        <x:v>130.24</x:v>
      </x:c>
      <x:c r="G2902" s="3" t="n">
        <x:v>15</x:v>
      </x:c>
      <x:c r="H2902" s="3" t="n">
        <x:v>3</x:v>
      </x:c>
      <x:c r="I2902" s="3" t="n">
        <x:v>6</x:v>
      </x:c>
      <x:c r="J2902" s="15" t="n">
        <x:f>IF(D2902=0,"n.a.",E2902/D2902)</x:f>
        <x:v>0.18645761759010557</x:v>
      </x:c>
      <x:c r="K2902" s="15" t="n">
        <x:f>F2902/'Datos'!$F$7</x:f>
        <x:v>0.000013299690775664204</x:v>
      </x:c>
      <x:c r="L2902" s="3"/>
    </x:row>
    <x:row r="2903" ht="22" customHeight="1">
      <x:c r="A2903" s="3"/>
      <x:c r="B2903" s="3" t="str">
        <x:v>84508B</x:v>
      </x:c>
      <x:c r="C2903" s="3" t="str">
        <x:v>STRIPES DESIGN TEDDY</x:v>
      </x:c>
      <x:c r="D2903" s="13" t="n">
        <x:v>145.35</x:v>
      </x:c>
      <x:c r="E2903" s="13" t="n">
        <x:v>15.3</x:v>
      </x:c>
      <x:c r="F2903" s="13" t="n">
        <x:f>D2903-E2903</x:f>
        <x:v>130.04999999999998</x:v>
      </x:c>
      <x:c r="G2903" s="3" t="n">
        <x:v>57</x:v>
      </x:c>
      <x:c r="H2903" s="3" t="n">
        <x:v>6</x:v>
      </x:c>
      <x:c r="I2903" s="3" t="n">
        <x:v>30</x:v>
      </x:c>
      <x:c r="J2903" s="15" t="n">
        <x:f>IF(D2903=0,"n.a.",E2903/D2903)</x:f>
        <x:v>0.10526315789473685</x:v>
      </x:c>
      <x:c r="K2903" s="15" t="n">
        <x:f>F2903/'Datos'!$F$7</x:f>
        <x:v>0.000013280288585497001</x:v>
      </x:c>
      <x:c r="L2903" s="3"/>
    </x:row>
    <x:row r="2904" ht="22" customHeight="1">
      <x:c r="A2904" s="3"/>
      <x:c r="B2904" s="3" t="str">
        <x:v>90000D</x:v>
      </x:c>
      <x:c r="C2904" s="3" t="str">
        <x:v>COPPER/OLIVE GREEN FLOWER NECKLACE</x:v>
      </x:c>
      <x:c r="D2904" s="13" t="n">
        <x:v>129.85</x:v>
      </x:c>
      <x:c r="E2904" s="13" t="n">
        <x:v>0</x:v>
      </x:c>
      <x:c r="F2904" s="13" t="n">
        <x:f>D2904-E2904</x:f>
        <x:v>129.85</x:v>
      </x:c>
      <x:c r="G2904" s="3" t="n">
        <x:v>21</x:v>
      </x:c>
      <x:c r="H2904" s="3" t="n">
        <x:v>0</x:v>
      </x:c>
      <x:c r="I2904" s="3" t="n">
        <x:v>14</x:v>
      </x:c>
      <x:c r="J2904" s="15" t="n">
        <x:f>IF(D2904=0,"n.a.",E2904/D2904)</x:f>
        <x:v>0</x:v>
      </x:c>
      <x:c r="K2904" s="15" t="n">
        <x:f>F2904/'Datos'!$F$7</x:f>
        <x:v>0.000013259865227426265</x:v>
      </x:c>
      <x:c r="L2904" s="3"/>
    </x:row>
    <x:row r="2905" ht="22" customHeight="1">
      <x:c r="A2905" s="3"/>
      <x:c r="B2905" s="3" t="str">
        <x:v>21281</x:v>
      </x:c>
      <x:c r="C2905" s="3" t="str">
        <x:v>VINTAGE KITCHEN PRINT SEAFOOD</x:v>
      </x:c>
      <x:c r="D2905" s="13" t="n">
        <x:v>129.63</x:v>
      </x:c>
      <x:c r="E2905" s="13" t="n">
        <x:v>0</x:v>
      </x:c>
      <x:c r="F2905" s="13" t="n">
        <x:f>D2905-E2905</x:f>
        <x:v>129.63</x:v>
      </x:c>
      <x:c r="G2905" s="3" t="n">
        <x:v>43</x:v>
      </x:c>
      <x:c r="H2905" s="3" t="n">
        <x:v>0</x:v>
      </x:c>
      <x:c r="I2905" s="3" t="n">
        <x:v>14</x:v>
      </x:c>
      <x:c r="J2905" s="15" t="n">
        <x:f>IF(D2905=0,"n.a.",E2905/D2905)</x:f>
        <x:v>0</x:v>
      </x:c>
      <x:c r="K2905" s="15" t="n">
        <x:f>F2905/'Datos'!$F$7</x:f>
        <x:v>0.000013237399533548454</x:v>
      </x:c>
      <x:c r="L2905" s="3"/>
    </x:row>
    <x:row r="2906" ht="22" customHeight="1">
      <x:c r="A2906" s="3"/>
      <x:c r="B2906" s="3" t="str">
        <x:v>72799C</x:v>
      </x:c>
      <x:c r="C2906" s="3" t="str">
        <x:v>PINK PILLAR CANDLE SILVER FLOCK</x:v>
      </x:c>
      <x:c r="D2906" s="13" t="n">
        <x:v>129.47</x:v>
      </x:c>
      <x:c r="E2906" s="13" t="n">
        <x:v>0</x:v>
      </x:c>
      <x:c r="F2906" s="13" t="n">
        <x:f>D2906-E2906</x:f>
        <x:v>129.47</x:v>
      </x:c>
      <x:c r="G2906" s="3" t="n">
        <x:v>81</x:v>
      </x:c>
      <x:c r="H2906" s="3" t="n">
        <x:v>0</x:v>
      </x:c>
      <x:c r="I2906" s="3" t="n">
        <x:v>19</x:v>
      </x:c>
      <x:c r="J2906" s="15" t="n">
        <x:f>IF(D2906=0,"n.a.",E2906/D2906)</x:f>
        <x:v>0</x:v>
      </x:c>
      <x:c r="K2906" s="15" t="n">
        <x:f>F2906/'Datos'!$F$7</x:f>
        <x:v>0.000013221060847091865</x:v>
      </x:c>
      <x:c r="L2906" s="3"/>
    </x:row>
    <x:row r="2907" ht="22" customHeight="1">
      <x:c r="A2907" s="3"/>
      <x:c r="B2907" s="3" t="str">
        <x:v>21400</x:v>
      </x:c>
      <x:c r="C2907" s="3" t="str">
        <x:v>RED PUDDING SPOON</x:v>
      </x:c>
      <x:c r="D2907" s="13" t="n">
        <x:v>128.63</x:v>
      </x:c>
      <x:c r="E2907" s="13" t="n">
        <x:v>0</x:v>
      </x:c>
      <x:c r="F2907" s="13" t="n">
        <x:f>D2907-E2907</x:f>
        <x:v>128.63</x:v>
      </x:c>
      <x:c r="G2907" s="3" t="n">
        <x:v>881</x:v>
      </x:c>
      <x:c r="H2907" s="3" t="n">
        <x:v>0</x:v>
      </x:c>
      <x:c r="I2907" s="3" t="n">
        <x:v>72</x:v>
      </x:c>
      <x:c r="J2907" s="15" t="n">
        <x:f>IF(D2907=0,"n.a.",E2907/D2907)</x:f>
        <x:v>0</x:v>
      </x:c>
      <x:c r="K2907" s="15" t="n">
        <x:f>F2907/'Datos'!$F$7</x:f>
        <x:v>0.000013135282743194767</x:v>
      </x:c>
      <x:c r="L2907" s="3"/>
    </x:row>
    <x:row r="2908" ht="22" customHeight="1">
      <x:c r="A2908" s="3"/>
      <x:c r="B2908" s="3" t="str">
        <x:v>21349</x:v>
      </x:c>
      <x:c r="C2908" s="3" t="str">
        <x:v>IVY HEART WREATH</x:v>
      </x:c>
      <x:c r="D2908" s="13" t="n">
        <x:v>155.6</x:v>
      </x:c>
      <x:c r="E2908" s="13" t="n">
        <x:v>27</x:v>
      </x:c>
      <x:c r="F2908" s="13" t="n">
        <x:f>D2908-E2908</x:f>
        <x:v>128.6</x:v>
      </x:c>
      <x:c r="G2908" s="3" t="n">
        <x:v>18</x:v>
      </x:c>
      <x:c r="H2908" s="3" t="n">
        <x:v>4</x:v>
      </x:c>
      <x:c r="I2908" s="3" t="n">
        <x:v>11</x:v>
      </x:c>
      <x:c r="J2908" s="15" t="n">
        <x:f>IF(D2908=0,"n.a.",E2908/D2908)</x:f>
        <x:v>0.17352185089974292</x:v>
      </x:c>
      <x:c r="K2908" s="15" t="n">
        <x:f>F2908/'Datos'!$F$7</x:f>
        <x:v>0.000013132219239484156</x:v>
      </x:c>
      <x:c r="L2908" s="3"/>
    </x:row>
    <x:row r="2909" ht="22" customHeight="1">
      <x:c r="A2909" s="3"/>
      <x:c r="B2909" s="3" t="str">
        <x:v>20826</x:v>
      </x:c>
      <x:c r="C2909" s="3" t="str">
        <x:v>SILVER APERITIF GLASS</x:v>
      </x:c>
      <x:c r="D2909" s="13" t="n">
        <x:v>128.4</x:v>
      </x:c>
      <x:c r="E2909" s="13" t="n">
        <x:v>0</x:v>
      </x:c>
      <x:c r="F2909" s="13" t="n">
        <x:f>D2909-E2909</x:f>
        <x:v>128.4</x:v>
      </x:c>
      <x:c r="G2909" s="3" t="n">
        <x:v>276</x:v>
      </x:c>
      <x:c r="H2909" s="3" t="n">
        <x:v>0</x:v>
      </x:c>
      <x:c r="I2909" s="3" t="n">
        <x:v>8</x:v>
      </x:c>
      <x:c r="J2909" s="15" t="n">
        <x:f>IF(D2909=0,"n.a.",E2909/D2909)</x:f>
        <x:v>0</x:v>
      </x:c>
      <x:c r="K2909" s="15" t="n">
        <x:f>F2909/'Datos'!$F$7</x:f>
        <x:v>0.00001311179588141342</x:v>
      </x:c>
      <x:c r="L2909" s="3"/>
    </x:row>
    <x:row r="2910" ht="22" customHeight="1">
      <x:c r="A2910" s="3"/>
      <x:c r="B2910" s="3" t="str">
        <x:v>35638B</x:v>
      </x:c>
      <x:c r="C2910" s="3" t="str">
        <x:v>PINK/BLUE STRING CURTAIN</x:v>
      </x:c>
      <x:c r="D2910" s="13" t="n">
        <x:v>128.33</x:v>
      </x:c>
      <x:c r="E2910" s="13" t="n">
        <x:v>0</x:v>
      </x:c>
      <x:c r="F2910" s="13" t="n">
        <x:f>D2910-E2910</x:f>
        <x:v>128.33</x:v>
      </x:c>
      <x:c r="G2910" s="3" t="n">
        <x:v>57</x:v>
      </x:c>
      <x:c r="H2910" s="3" t="n">
        <x:v>0</x:v>
      </x:c>
      <x:c r="I2910" s="3" t="n">
        <x:v>5</x:v>
      </x:c>
      <x:c r="J2910" s="15" t="n">
        <x:f>IF(D2910=0,"n.a.",E2910/D2910)</x:f>
        <x:v>0</x:v>
      </x:c>
      <x:c r="K2910" s="15" t="n">
        <x:f>F2910/'Datos'!$F$7</x:f>
        <x:v>0.000013104647706088662</x:v>
      </x:c>
      <x:c r="L2910" s="3"/>
    </x:row>
    <x:row r="2911" ht="22" customHeight="1">
      <x:c r="A2911" s="3"/>
      <x:c r="B2911" s="3" t="str">
        <x:v>85118</x:v>
      </x:c>
      <x:c r="C2911" s="3" t="str">
        <x:v>HEART T-LIGHT HOLDER</x:v>
      </x:c>
      <x:c r="D2911" s="13" t="n">
        <x:v>144.52</x:v>
      </x:c>
      <x:c r="E2911" s="13" t="n">
        <x:v>16.25</x:v>
      </x:c>
      <x:c r="F2911" s="13" t="n">
        <x:f>D2911-E2911</x:f>
        <x:v>128.27</x:v>
      </x:c>
      <x:c r="G2911" s="3" t="n">
        <x:v>146</x:v>
      </x:c>
      <x:c r="H2911" s="3" t="n">
        <x:v>13</x:v>
      </x:c>
      <x:c r="I2911" s="3" t="n">
        <x:v>10</x:v>
      </x:c>
      <x:c r="J2911" s="15" t="n">
        <x:f>IF(D2911=0,"n.a.",E2911/D2911)</x:f>
        <x:v>0.11244118461112648</x:v>
      </x:c>
      <x:c r="K2911" s="15" t="n">
        <x:f>F2911/'Datos'!$F$7</x:f>
        <x:v>0.000013098520698667442</x:v>
      </x:c>
      <x:c r="L2911" s="3"/>
    </x:row>
    <x:row r="2912" ht="22" customHeight="1">
      <x:c r="A2912" s="3"/>
      <x:c r="B2912" s="3" t="str">
        <x:v>84846A</x:v>
      </x:c>
      <x:c r="C2912" s="3" t="str">
        <x:v>SCENTED CANDLE IN DIGITALIS TIN</x:v>
      </x:c>
      <x:c r="D2912" s="13" t="n">
        <x:v>128.14</x:v>
      </x:c>
      <x:c r="E2912" s="13" t="n">
        <x:v>0</x:v>
      </x:c>
      <x:c r="F2912" s="13" t="n">
        <x:f>D2912-E2912</x:f>
        <x:v>128.14</x:v>
      </x:c>
      <x:c r="G2912" s="3" t="n">
        <x:v>57</x:v>
      </x:c>
      <x:c r="H2912" s="3" t="n">
        <x:v>0</x:v>
      </x:c>
      <x:c r="I2912" s="3" t="n">
        <x:v>13</x:v>
      </x:c>
      <x:c r="J2912" s="15" t="n">
        <x:f>IF(D2912=0,"n.a.",E2912/D2912)</x:f>
        <x:v>0</x:v>
      </x:c>
      <x:c r="K2912" s="15" t="n">
        <x:f>F2912/'Datos'!$F$7</x:f>
        <x:v>0.000013085245515921459</x:v>
      </x:c>
      <x:c r="L2912" s="3"/>
    </x:row>
    <x:row r="2913" ht="22" customHeight="1">
      <x:c r="A2913" s="3"/>
      <x:c r="B2913" s="3" t="str">
        <x:v>79191B</x:v>
      </x:c>
      <x:c r="C2913" s="3" t="str">
        <x:v>RETRO PLASTIC POLKA TRAY</x:v>
      </x:c>
      <x:c r="D2913" s="13" t="n">
        <x:v>138.3</x:v>
      </x:c>
      <x:c r="E2913" s="13" t="n">
        <x:v>10.2</x:v>
      </x:c>
      <x:c r="F2913" s="13" t="n">
        <x:f>D2913-E2913</x:f>
        <x:v>128.10000000000002</x:v>
      </x:c>
      <x:c r="G2913" s="3" t="n">
        <x:v>159</x:v>
      </x:c>
      <x:c r="H2913" s="3" t="n">
        <x:v>12</x:v>
      </x:c>
      <x:c r="I2913" s="3" t="n">
        <x:v>30</x:v>
      </x:c>
      <x:c r="J2913" s="15" t="n">
        <x:f>IF(D2913=0,"n.a.",E2913/D2913)</x:f>
        <x:v>0.0737527114967462</x:v>
      </x:c>
      <x:c r="K2913" s="15" t="n">
        <x:f>F2913/'Datos'!$F$7</x:f>
        <x:v>0.000013081160844307315</x:v>
      </x:c>
      <x:c r="L2913" s="3"/>
    </x:row>
    <x:row r="2914" ht="22" customHeight="1">
      <x:c r="A2914" s="3"/>
      <x:c r="B2914" s="3" t="str">
        <x:v>16054</x:v>
      </x:c>
      <x:c r="C2914" s="3" t="str">
        <x:v>POPART RECT PENCIL SHARPENER ASST</x:v>
      </x:c>
      <x:c r="D2914" s="13" t="n">
        <x:v>140.52</x:v>
      </x:c>
      <x:c r="E2914" s="13" t="n">
        <x:v>12.96</x:v>
      </x:c>
      <x:c r="F2914" s="13" t="n">
        <x:f>D2914-E2914</x:f>
        <x:v>127.56</x:v>
      </x:c>
      <x:c r="G2914" s="3" t="n">
        <x:v>1166</x:v>
      </x:c>
      <x:c r="H2914" s="3" t="n">
        <x:v>108</x:v>
      </x:c>
      <x:c r="I2914" s="3" t="n">
        <x:v>33</x:v>
      </x:c>
      <x:c r="J2914" s="15" t="n">
        <x:f>IF(D2914=0,"n.a.",E2914/D2914)</x:f>
        <x:v>0.09222886421861656</x:v>
      </x:c>
      <x:c r="K2914" s="15" t="n">
        <x:f>F2914/'Datos'!$F$7</x:f>
        <x:v>0.000013026017777516323</x:v>
      </x:c>
      <x:c r="L2914" s="3"/>
    </x:row>
    <x:row r="2915" ht="22" customHeight="1">
      <x:c r="A2915" s="3"/>
      <x:c r="B2915" s="3" t="str">
        <x:v>90180A</x:v>
      </x:c>
      <x:c r="C2915" s="3" t="str">
        <x:v>BLACK+WHITE NECKLACE W TASSEL</x:v>
      </x:c>
      <x:c r="D2915" s="13" t="n">
        <x:v>127.24</x:v>
      </x:c>
      <x:c r="E2915" s="13" t="n">
        <x:v>0</x:v>
      </x:c>
      <x:c r="F2915" s="13" t="n">
        <x:f>D2915-E2915</x:f>
        <x:v>127.24</x:v>
      </x:c>
      <x:c r="G2915" s="3" t="n">
        <x:v>17</x:v>
      </x:c>
      <x:c r="H2915" s="3" t="n">
        <x:v>0</x:v>
      </x:c>
      <x:c r="I2915" s="3" t="n">
        <x:v>9</x:v>
      </x:c>
      <x:c r="J2915" s="15" t="n">
        <x:f>IF(D2915=0,"n.a.",E2915/D2915)</x:f>
        <x:v>0</x:v>
      </x:c>
      <x:c r="K2915" s="15" t="n">
        <x:f>F2915/'Datos'!$F$7</x:f>
        <x:v>0.000012993340404603142</x:v>
      </x:c>
      <x:c r="L2915" s="3"/>
    </x:row>
    <x:row r="2916" ht="22" customHeight="1">
      <x:c r="A2916" s="3"/>
      <x:c r="B2916" s="3" t="str">
        <x:v>85130A</x:v>
      </x:c>
      <x:c r="C2916" s="3" t="str">
        <x:v>BEADED PEARL HEART WHITE LARGE</x:v>
      </x:c>
      <x:c r="D2916" s="13" t="n">
        <x:v>127.05</x:v>
      </x:c>
      <x:c r="E2916" s="13" t="n">
        <x:v>0</x:v>
      </x:c>
      <x:c r="F2916" s="13" t="n">
        <x:f>D2916-E2916</x:f>
        <x:v>127.05</x:v>
      </x:c>
      <x:c r="G2916" s="3" t="n">
        <x:v>77</x:v>
      </x:c>
      <x:c r="H2916" s="3" t="n">
        <x:v>0</x:v>
      </x:c>
      <x:c r="I2916" s="3" t="n">
        <x:v>10</x:v>
      </x:c>
      <x:c r="J2916" s="15" t="n">
        <x:f>IF(D2916=0,"n.a.",E2916/D2916)</x:f>
        <x:v>0</x:v>
      </x:c>
      <x:c r="K2916" s="15" t="n">
        <x:f>F2916/'Datos'!$F$7</x:f>
        <x:v>0.000012973938214435942</x:v>
      </x:c>
      <x:c r="L2916" s="3"/>
    </x:row>
    <x:row r="2917" ht="22" customHeight="1">
      <x:c r="A2917" s="3"/>
      <x:c r="B2917" s="3" t="str">
        <x:v>79190D</x:v>
      </x:c>
      <x:c r="C2917" s="3" t="str">
        <x:v>RETRO PLASTIC DAISY TRAY</x:v>
      </x:c>
      <x:c r="D2917" s="13" t="n">
        <x:v>126.98</x:v>
      </x:c>
      <x:c r="E2917" s="13" t="n">
        <x:v>0</x:v>
      </x:c>
      <x:c r="F2917" s="13" t="n">
        <x:f>D2917-E2917</x:f>
        <x:v>126.98</x:v>
      </x:c>
      <x:c r="G2917" s="3" t="n">
        <x:v>265</x:v>
      </x:c>
      <x:c r="H2917" s="3" t="n">
        <x:v>0</x:v>
      </x:c>
      <x:c r="I2917" s="3" t="n">
        <x:v>47</x:v>
      </x:c>
      <x:c r="J2917" s="15" t="n">
        <x:f>IF(D2917=0,"n.a.",E2917/D2917)</x:f>
        <x:v>0</x:v>
      </x:c>
      <x:c r="K2917" s="15" t="n">
        <x:f>F2917/'Datos'!$F$7</x:f>
        <x:v>0.000012966790039111184</x:v>
      </x:c>
      <x:c r="L2917" s="3"/>
    </x:row>
    <x:row r="2918" ht="22" customHeight="1">
      <x:c r="A2918" s="3"/>
      <x:c r="B2918" s="3" t="str">
        <x:v>22887</x:v>
      </x:c>
      <x:c r="C2918" s="3" t="str">
        <x:v>NUMBER TILE VINTAGE FONT 8</x:v>
      </x:c>
      <x:c r="D2918" s="13" t="n">
        <x:v>126.78</x:v>
      </x:c>
      <x:c r="E2918" s="13" t="n">
        <x:v>0</x:v>
      </x:c>
      <x:c r="F2918" s="13" t="n">
        <x:f>D2918-E2918</x:f>
        <x:v>126.78</x:v>
      </x:c>
      <x:c r="G2918" s="3" t="n">
        <x:v>78</x:v>
      </x:c>
      <x:c r="H2918" s="3" t="n">
        <x:v>0</x:v>
      </x:c>
      <x:c r="I2918" s="3" t="n">
        <x:v>23</x:v>
      </x:c>
      <x:c r="J2918" s="15" t="n">
        <x:f>IF(D2918=0,"n.a.",E2918/D2918)</x:f>
        <x:v>0</x:v>
      </x:c>
      <x:c r="K2918" s="15" t="n">
        <x:f>F2918/'Datos'!$F$7</x:f>
        <x:v>0.000012946366681040447</x:v>
      </x:c>
      <x:c r="L2918" s="3"/>
    </x:row>
    <x:row r="2919" ht="22" customHeight="1">
      <x:c r="A2919" s="3"/>
      <x:c r="B2919" s="3" t="str">
        <x:v>23303</x:v>
      </x:c>
      <x:c r="C2919" s="3" t="str">
        <x:v>SET 4 PICNIC CUTLERY FONDANT</x:v>
      </x:c>
      <x:c r="D2919" s="13" t="n">
        <x:v>126.75</x:v>
      </x:c>
      <x:c r="E2919" s="13" t="n">
        <x:v>0</x:v>
      </x:c>
      <x:c r="F2919" s="13" t="n">
        <x:f>D2919-E2919</x:f>
        <x:v>126.75</x:v>
      </x:c>
      <x:c r="G2919" s="3" t="n">
        <x:v>65</x:v>
      </x:c>
      <x:c r="H2919" s="3" t="n">
        <x:v>0</x:v>
      </x:c>
      <x:c r="I2919" s="3" t="n">
        <x:v>6</x:v>
      </x:c>
      <x:c r="J2919" s="15" t="n">
        <x:f>IF(D2919=0,"n.a.",E2919/D2919)</x:f>
        <x:v>0</x:v>
      </x:c>
      <x:c r="K2919" s="15" t="n">
        <x:f>F2919/'Datos'!$F$7</x:f>
        <x:v>0.000012943303177329836</x:v>
      </x:c>
      <x:c r="L2919" s="3"/>
    </x:row>
    <x:row r="2920" ht="22" customHeight="1">
      <x:c r="A2920" s="3"/>
      <x:c r="B2920" s="3" t="str">
        <x:v>85067</x:v>
      </x:c>
      <x:c r="C2920" s="3" t="str">
        <x:v>CREAM SWEETHEART WALL CABINET</x:v>
      </x:c>
      <x:c r="D2920" s="13" t="n">
        <x:v>126.65</x:v>
      </x:c>
      <x:c r="E2920" s="13" t="n">
        <x:v>0</x:v>
      </x:c>
      <x:c r="F2920" s="13" t="n">
        <x:f>D2920-E2920</x:f>
        <x:v>126.65</x:v>
      </x:c>
      <x:c r="G2920" s="3" t="n">
        <x:v>7</x:v>
      </x:c>
      <x:c r="H2920" s="3" t="n">
        <x:v>0</x:v>
      </x:c>
      <x:c r="I2920" s="3" t="n">
        <x:v>5</x:v>
      </x:c>
      <x:c r="J2920" s="15" t="n">
        <x:f>IF(D2920=0,"n.a.",E2920/D2920)</x:f>
        <x:v>0</x:v>
      </x:c>
      <x:c r="K2920" s="15" t="n">
        <x:f>F2920/'Datos'!$F$7</x:f>
        <x:v>0.000012933091498294467</x:v>
      </x:c>
      <x:c r="L2920" s="3"/>
    </x:row>
    <x:row r="2921" ht="22" customHeight="1">
      <x:c r="A2921" s="3"/>
      <x:c r="B2921" s="3" t="str">
        <x:v>23578</x:v>
      </x:c>
      <x:c r="C2921" s="3" t="str">
        <x:v>SNACK TRAY RED GINGHAM</x:v>
      </x:c>
      <x:c r="D2921" s="13" t="n">
        <x:v>125.72</x:v>
      </x:c>
      <x:c r="E2921" s="13" t="n">
        <x:v>0</x:v>
      </x:c>
      <x:c r="F2921" s="13" t="n">
        <x:f>D2921-E2921</x:f>
        <x:v>125.72</x:v>
      </x:c>
      <x:c r="G2921" s="3" t="n">
        <x:v>60</x:v>
      </x:c>
      <x:c r="H2921" s="3" t="n">
        <x:v>0</x:v>
      </x:c>
      <x:c r="I2921" s="3" t="n">
        <x:v>14</x:v>
      </x:c>
      <x:c r="J2921" s="15" t="n">
        <x:f>IF(D2921=0,"n.a.",E2921/D2921)</x:f>
        <x:v>0</x:v>
      </x:c>
      <x:c r="K2921" s="15" t="n">
        <x:f>F2921/'Datos'!$F$7</x:f>
        <x:v>0.000012838122883265537</x:v>
      </x:c>
      <x:c r="L2921" s="3"/>
    </x:row>
    <x:row r="2922" ht="22" customHeight="1">
      <x:c r="A2922" s="3"/>
      <x:c r="B2922" s="3" t="str">
        <x:v>84799</x:v>
      </x:c>
      <x:c r="C2922" s="3" t="str">
        <x:v>SPRIG LAVENDER ARTIFICIAL FLOWER</x:v>
      </x:c>
      <x:c r="D2922" s="13" t="n">
        <x:v>160.48</x:v>
      </x:c>
      <x:c r="E2922" s="13" t="n">
        <x:v>35.16</x:v>
      </x:c>
      <x:c r="F2922" s="13" t="n">
        <x:f>D2922-E2922</x:f>
        <x:v>125.32</x:v>
      </x:c>
      <x:c r="G2922" s="3" t="n">
        <x:v>224</x:v>
      </x:c>
      <x:c r="H2922" s="3" t="n">
        <x:v>60</x:v>
      </x:c>
      <x:c r="I2922" s="3" t="n">
        <x:v>10</x:v>
      </x:c>
      <x:c r="J2922" s="15" t="n">
        <x:f>IF(D2922=0,"n.a.",E2922/D2922)</x:f>
        <x:v>0.2190927218344965</x:v>
      </x:c>
      <x:c r="K2922" s="15" t="n">
        <x:f>F2922/'Datos'!$F$7</x:f>
        <x:v>0.000012797276167124062</x:v>
      </x:c>
      <x:c r="L2922" s="3"/>
    </x:row>
    <x:row r="2923" ht="22" customHeight="1">
      <x:c r="A2923" s="3"/>
      <x:c r="B2923" s="3" t="str">
        <x:v>84800S</x:v>
      </x:c>
      <x:c r="C2923" s="3" t="str">
        <x:v>SMALL WHITE/PINK ROSE ART FLOWER</x:v>
      </x:c>
      <x:c r="D2923" s="13" t="n">
        <x:v>127.57</x:v>
      </x:c>
      <x:c r="E2923" s="13" t="n">
        <x:v>2.5</x:v>
      </x:c>
      <x:c r="F2923" s="13" t="n">
        <x:f>D2923-E2923</x:f>
        <x:v>125.07</x:v>
      </x:c>
      <x:c r="G2923" s="3" t="n">
        <x:v>113</x:v>
      </x:c>
      <x:c r="H2923" s="3" t="n">
        <x:v>2</x:v>
      </x:c>
      <x:c r="I2923" s="3" t="n">
        <x:v>9</x:v>
      </x:c>
      <x:c r="J2923" s="15" t="n">
        <x:f>IF(D2923=0,"n.a.",E2923/D2923)</x:f>
        <x:v>0.01959708395390766</x:v>
      </x:c>
      <x:c r="K2923" s="15" t="n">
        <x:f>F2923/'Datos'!$F$7</x:f>
        <x:v>0.00001277174696953564</x:v>
      </x:c>
      <x:c r="L2923" s="3"/>
    </x:row>
    <x:row r="2924" ht="22" customHeight="1">
      <x:c r="A2924" s="3"/>
      <x:c r="B2924" s="3" t="str">
        <x:v>22888</x:v>
      </x:c>
      <x:c r="C2924" s="3" t="str">
        <x:v>NUMBER TILE VINTAGE FONT 9</x:v>
      </x:c>
      <x:c r="D2924" s="13" t="n">
        <x:v>124.98</x:v>
      </x:c>
      <x:c r="E2924" s="13" t="n">
        <x:v>0</x:v>
      </x:c>
      <x:c r="F2924" s="13" t="n">
        <x:f>D2924-E2924</x:f>
        <x:v>124.98</x:v>
      </x:c>
      <x:c r="G2924" s="3" t="n">
        <x:v>76</x:v>
      </x:c>
      <x:c r="H2924" s="3" t="n">
        <x:v>0</x:v>
      </x:c>
      <x:c r="I2924" s="3" t="n">
        <x:v>21</x:v>
      </x:c>
      <x:c r="J2924" s="15" t="n">
        <x:f>IF(D2924=0,"n.a.",E2924/D2924)</x:f>
        <x:v>0</x:v>
      </x:c>
      <x:c r="K2924" s="15" t="n">
        <x:f>F2924/'Datos'!$F$7</x:f>
        <x:v>0.000012762556458403811</x:v>
      </x:c>
      <x:c r="L2924" s="3"/>
    </x:row>
    <x:row r="2925" ht="22" customHeight="1">
      <x:c r="A2925" s="3"/>
      <x:c r="B2925" s="3" t="str">
        <x:v>84228</x:v>
      </x:c>
      <x:c r="C2925" s="3" t="str">
        <x:v>HEN HOUSE W CHICK STANDING</x:v>
      </x:c>
      <x:c r="D2925" s="13" t="n">
        <x:v>124.09</x:v>
      </x:c>
      <x:c r="E2925" s="13" t="n">
        <x:v>0.42</x:v>
      </x:c>
      <x:c r="F2925" s="13" t="n">
        <x:f>D2925-E2925</x:f>
        <x:v>123.67</x:v>
      </x:c>
      <x:c r="G2925" s="3" t="n">
        <x:v>297</x:v>
      </x:c>
      <x:c r="H2925" s="3" t="n">
        <x:v>1</x:v>
      </x:c>
      <x:c r="I2925" s="3" t="n">
        <x:v>27</x:v>
      </x:c>
      <x:c r="J2925" s="15" t="n">
        <x:f>IF(D2925=0,"n.a.",E2925/D2925)</x:f>
        <x:v>0.0033846401805141427</x:v>
      </x:c>
      <x:c r="K2925" s="15" t="n">
        <x:f>F2925/'Datos'!$F$7</x:f>
        <x:v>0.00001262878346304048</x:v>
      </x:c>
      <x:c r="L2925" s="3"/>
    </x:row>
    <x:row r="2926" ht="22" customHeight="1">
      <x:c r="A2926" s="3"/>
      <x:c r="B2926" s="3" t="str">
        <x:v>21420</x:v>
      </x:c>
      <x:c r="C2926" s="3" t="str">
        <x:v>OYSTER TRINKET BOX</x:v>
      </x:c>
      <x:c r="D2926" s="13" t="n">
        <x:v>123.66</x:v>
      </x:c>
      <x:c r="E2926" s="13" t="n">
        <x:v>0</x:v>
      </x:c>
      <x:c r="F2926" s="13" t="n">
        <x:f>D2926-E2926</x:f>
        <x:v>123.66</x:v>
      </x:c>
      <x:c r="G2926" s="3" t="n">
        <x:v>54</x:v>
      </x:c>
      <x:c r="H2926" s="3" t="n">
        <x:v>0</x:v>
      </x:c>
      <x:c r="I2926" s="3" t="n">
        <x:v>19</x:v>
      </x:c>
      <x:c r="J2926" s="15" t="n">
        <x:f>IF(D2926=0,"n.a.",E2926/D2926)</x:f>
        <x:v>0</x:v>
      </x:c>
      <x:c r="K2926" s="15" t="n">
        <x:f>F2926/'Datos'!$F$7</x:f>
        <x:v>0.000012627762295136942</x:v>
      </x:c>
      <x:c r="L2926" s="3"/>
    </x:row>
    <x:row r="2927" ht="22" customHeight="1">
      <x:c r="A2927" s="3"/>
      <x:c r="B2927" s="3" t="str">
        <x:v>23477</x:v>
      </x:c>
      <x:c r="C2927" s="3" t="str">
        <x:v>WOODLAND LARGE BLUE FELT HEART</x:v>
      </x:c>
      <x:c r="D2927" s="13" t="n">
        <x:v>123.47</x:v>
      </x:c>
      <x:c r="E2927" s="13" t="n">
        <x:v>0</x:v>
      </x:c>
      <x:c r="F2927" s="13" t="n">
        <x:f>D2927-E2927</x:f>
        <x:v>123.47</x:v>
      </x:c>
      <x:c r="G2927" s="3" t="n">
        <x:v>92</x:v>
      </x:c>
      <x:c r="H2927" s="3" t="n">
        <x:v>0</x:v>
      </x:c>
      <x:c r="I2927" s="3" t="n">
        <x:v>13</x:v>
      </x:c>
      <x:c r="J2927" s="15" t="n">
        <x:f>IF(D2927=0,"n.a.",E2927/D2927)</x:f>
        <x:v>0</x:v>
      </x:c>
      <x:c r="K2927" s="15" t="n">
        <x:f>F2927/'Datos'!$F$7</x:f>
        <x:v>0.000012608360104969742</x:v>
      </x:c>
      <x:c r="L2927" s="3"/>
    </x:row>
    <x:row r="2928" ht="22" customHeight="1">
      <x:c r="A2928" s="3"/>
      <x:c r="B2928" s="3" t="str">
        <x:v>37343</x:v>
      </x:c>
      <x:c r="C2928" s="3" t="str">
        <x:v>POLKADOT MUG PINK</x:v>
      </x:c>
      <x:c r="D2928" s="13" t="n">
        <x:v>123.3</x:v>
      </x:c>
      <x:c r="E2928" s="13" t="n">
        <x:v>0</x:v>
      </x:c>
      <x:c r="F2928" s="13" t="n">
        <x:f>D2928-E2928</x:f>
        <x:v>123.3</x:v>
      </x:c>
      <x:c r="G2928" s="3" t="n">
        <x:v>72</x:v>
      </x:c>
      <x:c r="H2928" s="3" t="n">
        <x:v>0</x:v>
      </x:c>
      <x:c r="I2928" s="3" t="n">
        <x:v>13</x:v>
      </x:c>
      <x:c r="J2928" s="15" t="n">
        <x:f>IF(D2928=0,"n.a.",E2928/D2928)</x:f>
        <x:v>0</x:v>
      </x:c>
      <x:c r="K2928" s="15" t="n">
        <x:f>F2928/'Datos'!$F$7</x:f>
        <x:v>0.000012591000250609616</x:v>
      </x:c>
      <x:c r="L2928" s="3"/>
    </x:row>
    <x:row r="2929" ht="22" customHeight="1">
      <x:c r="A2929" s="3"/>
      <x:c r="B2929" s="3" t="str">
        <x:v>90195A</x:v>
      </x:c>
      <x:c r="C2929" s="3" t="str">
        <x:v>PURPLE GEMSTONE BRACELET</x:v>
      </x:c>
      <x:c r="D2929" s="13" t="n">
        <x:v>122.84</x:v>
      </x:c>
      <x:c r="E2929" s="13" t="n">
        <x:v>0</x:v>
      </x:c>
      <x:c r="F2929" s="13" t="n">
        <x:f>D2929-E2929</x:f>
        <x:v>122.84</x:v>
      </x:c>
      <x:c r="G2929" s="3" t="n">
        <x:v>19</x:v>
      </x:c>
      <x:c r="H2929" s="3" t="n">
        <x:v>0</x:v>
      </x:c>
      <x:c r="I2929" s="3" t="n">
        <x:v>10</x:v>
      </x:c>
      <x:c r="J2929" s="15" t="n">
        <x:f>IF(D2929=0,"n.a.",E2929/D2929)</x:f>
        <x:v>0</x:v>
      </x:c>
      <x:c r="K2929" s="15" t="n">
        <x:f>F2929/'Datos'!$F$7</x:f>
        <x:v>0.00001254402652704692</x:v>
      </x:c>
      <x:c r="L2929" s="3"/>
    </x:row>
    <x:row r="2930" ht="22" customHeight="1">
      <x:c r="A2930" s="3"/>
      <x:c r="B2930" s="3" t="str">
        <x:v>85086A</x:v>
      </x:c>
      <x:c r="C2930" s="3" t="str">
        <x:v>CANDY SPOT HEART DECORATION</x:v>
      </x:c>
      <x:c r="D2930" s="13" t="n">
        <x:v>122.08</x:v>
      </x:c>
      <x:c r="E2930" s="13" t="n">
        <x:v>0</x:v>
      </x:c>
      <x:c r="F2930" s="13" t="n">
        <x:f>D2930-E2930</x:f>
        <x:v>122.08</x:v>
      </x:c>
      <x:c r="G2930" s="3" t="n">
        <x:v>146</x:v>
      </x:c>
      <x:c r="H2930" s="3" t="n">
        <x:v>0</x:v>
      </x:c>
      <x:c r="I2930" s="3" t="n">
        <x:v>50</x:v>
      </x:c>
      <x:c r="J2930" s="15" t="n">
        <x:f>IF(D2930=0,"n.a.",E2930/D2930)</x:f>
        <x:v>0</x:v>
      </x:c>
      <x:c r="K2930" s="15" t="n">
        <x:f>F2930/'Datos'!$F$7</x:f>
        <x:v>0.000012466417766378117</x:v>
      </x:c>
      <x:c r="L2930" s="3"/>
    </x:row>
    <x:row r="2931" ht="22" customHeight="1">
      <x:c r="A2931" s="3"/>
      <x:c r="B2931" s="3" t="str">
        <x:v>90129B</x:v>
      </x:c>
      <x:c r="C2931" s="3" t="str">
        <x:v>TURQUOISE GLASS TASSLE BAG CHARM</x:v>
      </x:c>
      <x:c r="D2931" s="13" t="n">
        <x:v>121.38</x:v>
      </x:c>
      <x:c r="E2931" s="13" t="n">
        <x:v>0</x:v>
      </x:c>
      <x:c r="F2931" s="13" t="n">
        <x:f>D2931-E2931</x:f>
        <x:v>121.38</x:v>
      </x:c>
      <x:c r="G2931" s="3" t="n">
        <x:v>57</x:v>
      </x:c>
      <x:c r="H2931" s="3" t="n">
        <x:v>0</x:v>
      </x:c>
      <x:c r="I2931" s="3" t="n">
        <x:v>20</x:v>
      </x:c>
      <x:c r="J2931" s="15" t="n">
        <x:f>IF(D2931=0,"n.a.",E2931/D2931)</x:f>
        <x:v>0</x:v>
      </x:c>
      <x:c r="K2931" s="15" t="n">
        <x:f>F2931/'Datos'!$F$7</x:f>
        <x:v>0.000012394936013130536</x:v>
      </x:c>
      <x:c r="L2931" s="3"/>
    </x:row>
    <x:row r="2932" ht="22" customHeight="1">
      <x:c r="A2932" s="3"/>
      <x:c r="B2932" s="3" t="str">
        <x:v>84906</x:v>
      </x:c>
      <x:c r="C2932" s="3" t="str">
        <x:v>PINK B'FLY C/COVER W BOBBLES</x:v>
      </x:c>
      <x:c r="D2932" s="13" t="n">
        <x:v>123.02</x:v>
      </x:c>
      <x:c r="E2932" s="13" t="n">
        <x:v>1.95</x:v>
      </x:c>
      <x:c r="F2932" s="13" t="n">
        <x:f>D2932-E2932</x:f>
        <x:v>121.07</x:v>
      </x:c>
      <x:c r="G2932" s="3" t="n">
        <x:v>35</x:v>
      </x:c>
      <x:c r="H2932" s="3" t="n">
        <x:v>1</x:v>
      </x:c>
      <x:c r="I2932" s="3" t="n">
        <x:v>12</x:v>
      </x:c>
      <x:c r="J2932" s="15" t="n">
        <x:f>IF(D2932=0,"n.a.",E2932/D2932)</x:f>
        <x:v>0.015851081125020323</x:v>
      </x:c>
      <x:c r="K2932" s="15" t="n">
        <x:f>F2932/'Datos'!$F$7</x:f>
        <x:v>0.000012363279808120892</x:v>
      </x:c>
      <x:c r="L2932" s="3"/>
    </x:row>
    <x:row r="2933" ht="22" customHeight="1">
      <x:c r="A2933" s="3"/>
      <x:c r="B2933" s="3" t="str">
        <x:v>37333</x:v>
      </x:c>
      <x:c r="C2933" s="3" t="str">
        <x:v>RETRO "TEA FOR ONE"</x:v>
      </x:c>
      <x:c r="D2933" s="13" t="n">
        <x:v>120.99</x:v>
      </x:c>
      <x:c r="E2933" s="13" t="n">
        <x:v>0</x:v>
      </x:c>
      <x:c r="F2933" s="13" t="n">
        <x:f>D2933-E2933</x:f>
        <x:v>120.99</x:v>
      </x:c>
      <x:c r="G2933" s="3" t="n">
        <x:v>21</x:v>
      </x:c>
      <x:c r="H2933" s="3" t="n">
        <x:v>0</x:v>
      </x:c>
      <x:c r="I2933" s="3" t="n">
        <x:v>17</x:v>
      </x:c>
      <x:c r="J2933" s="15" t="n">
        <x:f>IF(D2933=0,"n.a.",E2933/D2933)</x:f>
        <x:v>0</x:v>
      </x:c>
      <x:c r="K2933" s="15" t="n">
        <x:f>F2933/'Datos'!$F$7</x:f>
        <x:v>0.000012355110464892599</x:v>
      </x:c>
      <x:c r="L2933" s="3"/>
    </x:row>
    <x:row r="2934" ht="22" customHeight="1">
      <x:c r="A2934" s="3"/>
      <x:c r="B2934" s="3" t="str">
        <x:v>20845</x:v>
      </x:c>
      <x:c r="C2934" s="3" t="str">
        <x:v>ZINC HEART LATTICE 2 WALL PLANTER</x:v>
      </x:c>
      <x:c r="D2934" s="13" t="n">
        <x:v>120.65</x:v>
      </x:c>
      <x:c r="E2934" s="13" t="n">
        <x:v>0</x:v>
      </x:c>
      <x:c r="F2934" s="13" t="n">
        <x:f>D2934-E2934</x:f>
        <x:v>120.65</x:v>
      </x:c>
      <x:c r="G2934" s="3" t="n">
        <x:v>19</x:v>
      </x:c>
      <x:c r="H2934" s="3" t="n">
        <x:v>0</x:v>
      </x:c>
      <x:c r="I2934" s="3" t="n">
        <x:v>11</x:v>
      </x:c>
      <x:c r="J2934" s="15" t="n">
        <x:f>IF(D2934=0,"n.a.",E2934/D2934)</x:f>
        <x:v>0</x:v>
      </x:c>
      <x:c r="K2934" s="15" t="n">
        <x:f>F2934/'Datos'!$F$7</x:f>
        <x:v>0.000012320390756172346</x:v>
      </x:c>
      <x:c r="L2934" s="3"/>
    </x:row>
    <x:row r="2935" ht="22" customHeight="1">
      <x:c r="A2935" s="3"/>
      <x:c r="B2935" s="3" t="str">
        <x:v>90170</x:v>
      </x:c>
      <x:c r="C2935" s="3" t="str">
        <x:v>DAISY HAIR BAND</x:v>
      </x:c>
      <x:c r="D2935" s="13" t="n">
        <x:v>140.33</x:v>
      </x:c>
      <x:c r="E2935" s="13" t="n">
        <x:v>19.8</x:v>
      </x:c>
      <x:c r="F2935" s="13" t="n">
        <x:f>D2935-E2935</x:f>
        <x:v>120.53000000000002</x:v>
      </x:c>
      <x:c r="G2935" s="3" t="n">
        <x:v>85</x:v>
      </x:c>
      <x:c r="H2935" s="3" t="n">
        <x:v>12</x:v>
      </x:c>
      <x:c r="I2935" s="3" t="n">
        <x:v>37</x:v>
      </x:c>
      <x:c r="J2935" s="15" t="n">
        <x:f>IF(D2935=0,"n.a.",E2935/D2935)</x:f>
        <x:v>0.14109598802821918</x:v>
      </x:c>
      <x:c r="K2935" s="15" t="n">
        <x:f>F2935/'Datos'!$F$7</x:f>
        <x:v>0.000012308136741329903</x:v>
      </x:c>
      <x:c r="L2935" s="3"/>
    </x:row>
    <x:row r="2936" ht="22" customHeight="1">
      <x:c r="A2936" s="3"/>
      <x:c r="B2936" s="3" t="str">
        <x:v>90173</x:v>
      </x:c>
      <x:c r="C2936" s="3" t="str">
        <x:v>PAIR BUTTERFLY HAIR CLIPS</x:v>
      </x:c>
      <x:c r="D2936" s="13" t="n">
        <x:v>120.34</x:v>
      </x:c>
      <x:c r="E2936" s="13" t="n">
        <x:v>0</x:v>
      </x:c>
      <x:c r="F2936" s="13" t="n">
        <x:f>D2936-E2936</x:f>
        <x:v>120.34</x:v>
      </x:c>
      <x:c r="G2936" s="3" t="n">
        <x:v>32</x:v>
      </x:c>
      <x:c r="H2936" s="3" t="n">
        <x:v>0</x:v>
      </x:c>
      <x:c r="I2936" s="3" t="n">
        <x:v>17</x:v>
      </x:c>
      <x:c r="J2936" s="15" t="n">
        <x:f>IF(D2936=0,"n.a.",E2936/D2936)</x:f>
        <x:v>0</x:v>
      </x:c>
      <x:c r="K2936" s="15" t="n">
        <x:f>F2936/'Datos'!$F$7</x:f>
        <x:v>0.000012288734551162702</x:v>
      </x:c>
      <x:c r="L2936" s="3"/>
    </x:row>
    <x:row r="2937" ht="22" customHeight="1">
      <x:c r="A2937" s="3"/>
      <x:c r="B2937" s="3" t="str">
        <x:v>23467</x:v>
      </x:c>
      <x:c r="C2937" s="3" t="str">
        <x:v>VINTAGE ZINC PLANTER</x:v>
      </x:c>
      <x:c r="D2937" s="13" t="n">
        <x:v>120.08</x:v>
      </x:c>
      <x:c r="E2937" s="13" t="n">
        <x:v>0</x:v>
      </x:c>
      <x:c r="F2937" s="13" t="n">
        <x:f>D2937-E2937</x:f>
        <x:v>120.08</x:v>
      </x:c>
      <x:c r="G2937" s="3" t="n">
        <x:v>32</x:v>
      </x:c>
      <x:c r="H2937" s="3" t="n">
        <x:v>0</x:v>
      </x:c>
      <x:c r="I2937" s="3" t="n">
        <x:v>11</x:v>
      </x:c>
      <x:c r="J2937" s="15" t="n">
        <x:f>IF(D2937=0,"n.a.",E2937/D2937)</x:f>
        <x:v>0</x:v>
      </x:c>
      <x:c r="K2937" s="15" t="n">
        <x:f>F2937/'Datos'!$F$7</x:f>
        <x:v>0.000012262184185670742</x:v>
      </x:c>
      <x:c r="L2937" s="3"/>
    </x:row>
    <x:row r="2938" ht="22" customHeight="1">
      <x:c r="A2938" s="3"/>
      <x:c r="B2938" s="3" t="str">
        <x:v>35972</x:v>
      </x:c>
      <x:c r="C2938" s="3" t="str">
        <x:v>DAISY FOLKART HEART DECORATION</x:v>
      </x:c>
      <x:c r="D2938" s="13" t="n">
        <x:v>120</x:v>
      </x:c>
      <x:c r="E2938" s="13" t="n">
        <x:v>0</x:v>
      </x:c>
      <x:c r="F2938" s="13" t="n">
        <x:f>D2938-E2938</x:f>
        <x:v>120</x:v>
      </x:c>
      <x:c r="G2938" s="3" t="n">
        <x:v>96</x:v>
      </x:c>
      <x:c r="H2938" s="3" t="n">
        <x:v>0</x:v>
      </x:c>
      <x:c r="I2938" s="3" t="n">
        <x:v>16</x:v>
      </x:c>
      <x:c r="J2938" s="15" t="n">
        <x:f>IF(D2938=0,"n.a.",E2938/D2938)</x:f>
        <x:v>0</x:v>
      </x:c>
      <x:c r="K2938" s="15" t="n">
        <x:f>F2938/'Datos'!$F$7</x:f>
        <x:v>0.000012254014842442449</x:v>
      </x:c>
      <x:c r="L2938" s="3"/>
    </x:row>
    <x:row r="2939" ht="22" customHeight="1">
      <x:c r="A2939" s="3"/>
      <x:c r="B2939" s="3" t="str">
        <x:v>90161A</x:v>
      </x:c>
      <x:c r="C2939" s="3" t="str">
        <x:v>ANT COPPER RED BOUDICCA BRACELET</x:v>
      </x:c>
      <x:c r="D2939" s="13" t="n">
        <x:v>119.91</x:v>
      </x:c>
      <x:c r="E2939" s="13" t="n">
        <x:v>0</x:v>
      </x:c>
      <x:c r="F2939" s="13" t="n">
        <x:f>D2939-E2939</x:f>
        <x:v>119.91</x:v>
      </x:c>
      <x:c r="G2939" s="3" t="n">
        <x:v>24</x:v>
      </x:c>
      <x:c r="H2939" s="3" t="n">
        <x:v>0</x:v>
      </x:c>
      <x:c r="I2939" s="3" t="n">
        <x:v>21</x:v>
      </x:c>
      <x:c r="J2939" s="15" t="n">
        <x:f>IF(D2939=0,"n.a.",E2939/D2939)</x:f>
        <x:v>0</x:v>
      </x:c>
      <x:c r="K2939" s="15" t="n">
        <x:f>F2939/'Datos'!$F$7</x:f>
        <x:v>0.000012244824331310616</x:v>
      </x:c>
      <x:c r="L2939" s="3"/>
    </x:row>
    <x:row r="2940" ht="22" customHeight="1">
      <x:c r="A2940" s="3"/>
      <x:c r="B2940" s="3" t="str">
        <x:v>90124B</x:v>
      </x:c>
      <x:c r="C2940" s="3" t="str">
        <x:v>BLUE MURANO TWIST NECKLACE</x:v>
      </x:c>
      <x:c r="D2940" s="13" t="n">
        <x:v>119.89</x:v>
      </x:c>
      <x:c r="E2940" s="13" t="n">
        <x:v>0</x:v>
      </x:c>
      <x:c r="F2940" s="13" t="n">
        <x:f>D2940-E2940</x:f>
        <x:v>119.89</x:v>
      </x:c>
      <x:c r="G2940" s="3" t="n">
        <x:v>12</x:v>
      </x:c>
      <x:c r="H2940" s="3" t="n">
        <x:v>0</x:v>
      </x:c>
      <x:c r="I2940" s="3" t="n">
        <x:v>11</x:v>
      </x:c>
      <x:c r="J2940" s="15" t="n">
        <x:f>IF(D2940=0,"n.a.",E2940/D2940)</x:f>
        <x:v>0</x:v>
      </x:c>
      <x:c r="K2940" s="15" t="n">
        <x:f>F2940/'Datos'!$F$7</x:f>
        <x:v>0.000012242781995503542</x:v>
      </x:c>
      <x:c r="L2940" s="3"/>
    </x:row>
    <x:row r="2941" ht="22" customHeight="1">
      <x:c r="A2941" s="3"/>
      <x:c r="B2941" s="3" t="str">
        <x:v>84569B</x:v>
      </x:c>
      <x:c r="C2941" s="3" t="str">
        <x:v>PACK 3 FIRE ENGINE/CAR PATCHES</x:v>
      </x:c>
      <x:c r="D2941" s="13" t="n">
        <x:v>119.65</x:v>
      </x:c>
      <x:c r="E2941" s="13" t="n">
        <x:v>0</x:v>
      </x:c>
      <x:c r="F2941" s="13" t="n">
        <x:f>D2941-E2941</x:f>
        <x:v>119.65</x:v>
      </x:c>
      <x:c r="G2941" s="3" t="n">
        <x:v>86</x:v>
      </x:c>
      <x:c r="H2941" s="3" t="n">
        <x:v>0</x:v>
      </x:c>
      <x:c r="I2941" s="3" t="n">
        <x:v>19</x:v>
      </x:c>
      <x:c r="J2941" s="15" t="n">
        <x:f>IF(D2941=0,"n.a.",E2941/D2941)</x:f>
        <x:v>0</x:v>
      </x:c>
      <x:c r="K2941" s="15" t="n">
        <x:f>F2941/'Datos'!$F$7</x:f>
        <x:v>0.000012218273965818658</x:v>
      </x:c>
      <x:c r="L2941" s="3"/>
    </x:row>
    <x:row r="2942" ht="22" customHeight="1">
      <x:c r="A2942" s="3"/>
      <x:c r="B2942" s="3" t="str">
        <x:v>90122C</x:v>
      </x:c>
      <x:c r="C2942" s="3" t="str">
        <x:v>TURQUOISE CRYSTAL+GLASS BRACELET</x:v>
      </x:c>
      <x:c r="D2942" s="13" t="n">
        <x:v>119.23</x:v>
      </x:c>
      <x:c r="E2942" s="13" t="n">
        <x:v>0</x:v>
      </x:c>
      <x:c r="F2942" s="13" t="n">
        <x:f>D2942-E2942</x:f>
        <x:v>119.23</x:v>
      </x:c>
      <x:c r="G2942" s="3" t="n">
        <x:v>24</x:v>
      </x:c>
      <x:c r="H2942" s="3" t="n">
        <x:v>0</x:v>
      </x:c>
      <x:c r="I2942" s="3" t="n">
        <x:v>11</x:v>
      </x:c>
      <x:c r="J2942" s="15" t="n">
        <x:f>IF(D2942=0,"n.a.",E2942/D2942)</x:f>
        <x:v>0</x:v>
      </x:c>
      <x:c r="K2942" s="15" t="n">
        <x:f>F2942/'Datos'!$F$7</x:f>
        <x:v>0.00001217538491387011</x:v>
      </x:c>
      <x:c r="L2942" s="3"/>
    </x:row>
    <x:row r="2943" ht="22" customHeight="1">
      <x:c r="A2943" s="3"/>
      <x:c r="B2943" s="3" t="str">
        <x:v>10080</x:v>
      </x:c>
      <x:c r="C2943" s="3" t="str">
        <x:v>GROOVY CACTUS INFLATABLE</x:v>
      </x:c>
      <x:c r="D2943" s="13" t="n">
        <x:v>119.09</x:v>
      </x:c>
      <x:c r="E2943" s="13" t="n">
        <x:v>0</x:v>
      </x:c>
      <x:c r="F2943" s="13" t="n">
        <x:f>D2943-E2943</x:f>
        <x:v>119.09</x:v>
      </x:c>
      <x:c r="G2943" s="3" t="n">
        <x:v>303</x:v>
      </x:c>
      <x:c r="H2943" s="3" t="n">
        <x:v>0</x:v>
      </x:c>
      <x:c r="I2943" s="3" t="n">
        <x:v>22</x:v>
      </x:c>
      <x:c r="J2943" s="15" t="n">
        <x:f>IF(D2943=0,"n.a.",E2943/D2943)</x:f>
        <x:v>0</x:v>
      </x:c>
      <x:c r="K2943" s="15" t="n">
        <x:f>F2943/'Datos'!$F$7</x:f>
        <x:v>0.000012161088563220592</x:v>
      </x:c>
      <x:c r="L2943" s="3"/>
    </x:row>
    <x:row r="2944" ht="22" customHeight="1">
      <x:c r="A2944" s="3"/>
      <x:c r="B2944" s="3" t="str">
        <x:v>21032</x:v>
      </x:c>
      <x:c r="C2944" s="3" t="str">
        <x:v>SPACE CADET WHITE</x:v>
      </x:c>
      <x:c r="D2944" s="13" t="n">
        <x:v>119.03</x:v>
      </x:c>
      <x:c r="E2944" s="13" t="n">
        <x:v>0</x:v>
      </x:c>
      <x:c r="F2944" s="13" t="n">
        <x:f>D2944-E2944</x:f>
        <x:v>119.03</x:v>
      </x:c>
      <x:c r="G2944" s="3" t="n">
        <x:v>98</x:v>
      </x:c>
      <x:c r="H2944" s="3" t="n">
        <x:v>0</x:v>
      </x:c>
      <x:c r="I2944" s="3" t="n">
        <x:v>30</x:v>
      </x:c>
      <x:c r="J2944" s="15" t="n">
        <x:f>IF(D2944=0,"n.a.",E2944/D2944)</x:f>
        <x:v>0</x:v>
      </x:c>
      <x:c r="K2944" s="15" t="n">
        <x:f>F2944/'Datos'!$F$7</x:f>
        <x:v>0.000012154961555799372</x:v>
      </x:c>
      <x:c r="L2944" s="3"/>
    </x:row>
    <x:row r="2945" ht="22" customHeight="1">
      <x:c r="A2945" s="3"/>
      <x:c r="B2945" s="3" t="str">
        <x:v>84709B</x:v>
      </x:c>
      <x:c r="C2945" s="3" t="str">
        <x:v>PINK OVAL JEWELLED MIRROR</x:v>
      </x:c>
      <x:c r="D2945" s="13" t="n">
        <x:v>119</x:v>
      </x:c>
      <x:c r="E2945" s="13" t="n">
        <x:v>0</x:v>
      </x:c>
      <x:c r="F2945" s="13" t="n">
        <x:f>D2945-E2945</x:f>
        <x:v>119</x:v>
      </x:c>
      <x:c r="G2945" s="3" t="n">
        <x:v>20</x:v>
      </x:c>
      <x:c r="H2945" s="3" t="n">
        <x:v>0</x:v>
      </x:c>
      <x:c r="I2945" s="3" t="n">
        <x:v>11</x:v>
      </x:c>
      <x:c r="J2945" s="15" t="n">
        <x:f>IF(D2945=0,"n.a.",E2945/D2945)</x:f>
        <x:v>0</x:v>
      </x:c>
      <x:c r="K2945" s="15" t="n">
        <x:f>F2945/'Datos'!$F$7</x:f>
        <x:v>0.000012151898052088761</x:v>
      </x:c>
      <x:c r="L2945" s="3"/>
    </x:row>
    <x:row r="2946" ht="22" customHeight="1">
      <x:c r="A2946" s="3"/>
      <x:c r="B2946" s="3" t="str">
        <x:v>21095</x:v>
      </x:c>
      <x:c r="C2946" s="3" t="str">
        <x:v>SET/6 POSIES PAPER PLATES</x:v>
      </x:c>
      <x:c r="D2946" s="13" t="n">
        <x:v>118.73</x:v>
      </x:c>
      <x:c r="E2946" s="13" t="n">
        <x:v>0</x:v>
      </x:c>
      <x:c r="F2946" s="13" t="n">
        <x:f>D2946-E2946</x:f>
        <x:v>118.73</x:v>
      </x:c>
      <x:c r="G2946" s="3" t="n">
        <x:v>125</x:v>
      </x:c>
      <x:c r="H2946" s="3" t="n">
        <x:v>0</x:v>
      </x:c>
      <x:c r="I2946" s="3" t="n">
        <x:v>14</x:v>
      </x:c>
      <x:c r="J2946" s="15" t="n">
        <x:f>IF(D2946=0,"n.a.",E2946/D2946)</x:f>
        <x:v>0</x:v>
      </x:c>
      <x:c r="K2946" s="15" t="n">
        <x:f>F2946/'Datos'!$F$7</x:f>
        <x:v>0.000012124326518693266</x:v>
      </x:c>
      <x:c r="L2946" s="3"/>
    </x:row>
    <x:row r="2947" ht="22" customHeight="1">
      <x:c r="A2947" s="3"/>
      <x:c r="B2947" s="3" t="str">
        <x:v>84507B</x:v>
      </x:c>
      <x:c r="C2947" s="3" t="str">
        <x:v>STRIPES DESIGN MONKEY DOLL</x:v>
      </x:c>
      <x:c r="D2947" s="13" t="n">
        <x:v>118.73</x:v>
      </x:c>
      <x:c r="E2947" s="13" t="n">
        <x:v>0</x:v>
      </x:c>
      <x:c r="F2947" s="13" t="n">
        <x:f>D2947-E2947</x:f>
        <x:v>118.73</x:v>
      </x:c>
      <x:c r="G2947" s="3" t="n">
        <x:v>39</x:v>
      </x:c>
      <x:c r="H2947" s="3" t="n">
        <x:v>0</x:v>
      </x:c>
      <x:c r="I2947" s="3" t="n">
        <x:v>22</x:v>
      </x:c>
      <x:c r="J2947" s="15" t="n">
        <x:f>IF(D2947=0,"n.a.",E2947/D2947)</x:f>
        <x:v>0</x:v>
      </x:c>
      <x:c r="K2947" s="15" t="n">
        <x:f>F2947/'Datos'!$F$7</x:f>
        <x:v>0.000012124326518693266</x:v>
      </x:c>
      <x:c r="L2947" s="3"/>
    </x:row>
    <x:row r="2948" ht="22" customHeight="1">
      <x:c r="A2948" s="3"/>
      <x:c r="B2948" s="3" t="str">
        <x:v>90184A</x:v>
      </x:c>
      <x:c r="C2948" s="3" t="str">
        <x:v>AMBER CHUNKY BEAD BRACELET W STRAP</x:v>
      </x:c>
      <x:c r="D2948" s="13" t="n">
        <x:v>117.73</x:v>
      </x:c>
      <x:c r="E2948" s="13" t="n">
        <x:v>0</x:v>
      </x:c>
      <x:c r="F2948" s="13" t="n">
        <x:f>D2948-E2948</x:f>
        <x:v>117.73</x:v>
      </x:c>
      <x:c r="G2948" s="3" t="n">
        <x:v>13</x:v>
      </x:c>
      <x:c r="H2948" s="3" t="n">
        <x:v>0</x:v>
      </x:c>
      <x:c r="I2948" s="3" t="n">
        <x:v>9</x:v>
      </x:c>
      <x:c r="J2948" s="15" t="n">
        <x:f>IF(D2948=0,"n.a.",E2948/D2948)</x:f>
        <x:v>0</x:v>
      </x:c>
      <x:c r="K2948" s="15" t="n">
        <x:f>F2948/'Datos'!$F$7</x:f>
        <x:v>0.000012022209728339578</x:v>
      </x:c>
      <x:c r="L2948" s="3"/>
    </x:row>
    <x:row r="2949" ht="22" customHeight="1">
      <x:c r="A2949" s="3"/>
      <x:c r="B2949" s="3" t="str">
        <x:v>21814</x:v>
      </x:c>
      <x:c r="C2949" s="3" t="str">
        <x:v>HEART T-LIGHT HOLDER</x:v>
      </x:c>
      <x:c r="D2949" s="13" t="n">
        <x:v>117.57</x:v>
      </x:c>
      <x:c r="E2949" s="13" t="n">
        <x:v>0</x:v>
      </x:c>
      <x:c r="F2949" s="13" t="n">
        <x:f>D2949-E2949</x:f>
        <x:v>117.57</x:v>
      </x:c>
      <x:c r="G2949" s="3" t="n">
        <x:v>78</x:v>
      </x:c>
      <x:c r="H2949" s="3" t="n">
        <x:v>0</x:v>
      </x:c>
      <x:c r="I2949" s="3" t="n">
        <x:v>15</x:v>
      </x:c>
      <x:c r="J2949" s="15" t="n">
        <x:f>IF(D2949=0,"n.a.",E2949/D2949)</x:f>
        <x:v>0</x:v>
      </x:c>
      <x:c r="K2949" s="15" t="n">
        <x:f>F2949/'Datos'!$F$7</x:f>
        <x:v>0.000012005871041882988</x:v>
      </x:c>
      <x:c r="L2949" s="3"/>
    </x:row>
    <x:row r="2950" ht="22" customHeight="1">
      <x:c r="A2950" s="3"/>
      <x:c r="B2950" s="3" t="str">
        <x:v>90208</x:v>
      </x:c>
      <x:c r="C2950" s="3" t="str">
        <x:v>PAIR OF PINK FLOWER CLUSTER SLIDE</x:v>
      </x:c>
      <x:c r="D2950" s="13" t="n">
        <x:v>132.7</x:v>
      </x:c>
      <x:c r="E2950" s="13" t="n">
        <x:v>15.3</x:v>
      </x:c>
      <x:c r="F2950" s="13" t="n">
        <x:f>D2950-E2950</x:f>
        <x:v>117.39999999999999</x:v>
      </x:c>
      <x:c r="G2950" s="3" t="n">
        <x:v>53</x:v>
      </x:c>
      <x:c r="H2950" s="3" t="n">
        <x:v>6</x:v>
      </x:c>
      <x:c r="I2950" s="3" t="n">
        <x:v>37</x:v>
      </x:c>
      <x:c r="J2950" s="15" t="n">
        <x:f>IF(D2950=0,"n.a.",E2950/D2950)</x:f>
        <x:v>0.11529766390354183</x:v>
      </x:c>
      <x:c r="K2950" s="15" t="n">
        <x:f>F2950/'Datos'!$F$7</x:f>
        <x:v>0.000011988511187522861</x:v>
      </x:c>
      <x:c r="L2950" s="3"/>
    </x:row>
    <x:row r="2951" ht="22" customHeight="1">
      <x:c r="A2951" s="3"/>
      <x:c r="B2951" s="3" t="str">
        <x:v>84741C</x:v>
      </x:c>
      <x:c r="C2951" s="3" t="str">
        <x:v>CITRUS GARLAND FELT FLOWERS</x:v>
      </x:c>
      <x:c r="D2951" s="13" t="n">
        <x:v>117</x:v>
      </x:c>
      <x:c r="E2951" s="13" t="n">
        <x:v>0</x:v>
      </x:c>
      <x:c r="F2951" s="13" t="n">
        <x:f>D2951-E2951</x:f>
        <x:v>117</x:v>
      </x:c>
      <x:c r="G2951" s="3" t="n">
        <x:v>60</x:v>
      </x:c>
      <x:c r="H2951" s="3" t="n">
        <x:v>0</x:v>
      </x:c>
      <x:c r="I2951" s="3" t="n">
        <x:v>14</x:v>
      </x:c>
      <x:c r="J2951" s="15" t="n">
        <x:f>IF(D2951=0,"n.a.",E2951/D2951)</x:f>
        <x:v>0</x:v>
      </x:c>
      <x:c r="K2951" s="15" t="n">
        <x:f>F2951/'Datos'!$F$7</x:f>
        <x:v>0.000011947664471381386</x:v>
      </x:c>
      <x:c r="L2951" s="3"/>
    </x:row>
    <x:row r="2952" ht="22" customHeight="1">
      <x:c r="A2952" s="3"/>
      <x:c r="B2952" s="3" t="str">
        <x:v>23151</x:v>
      </x:c>
      <x:c r="C2952" s="3" t="str">
        <x:v>ZINC SWEETHEART SOAP DISH</x:v>
      </x:c>
      <x:c r="D2952" s="13" t="n">
        <x:v>116.82</x:v>
      </x:c>
      <x:c r="E2952" s="13" t="n">
        <x:v>0</x:v>
      </x:c>
      <x:c r="F2952" s="13" t="n">
        <x:f>D2952-E2952</x:f>
        <x:v>116.82</x:v>
      </x:c>
      <x:c r="G2952" s="3" t="n">
        <x:v>62</x:v>
      </x:c>
      <x:c r="H2952" s="3" t="n">
        <x:v>0</x:v>
      </x:c>
      <x:c r="I2952" s="3" t="n">
        <x:v>21</x:v>
      </x:c>
      <x:c r="J2952" s="15" t="n">
        <x:f>IF(D2952=0,"n.a.",E2952/D2952)</x:f>
        <x:v>0</x:v>
      </x:c>
      <x:c r="K2952" s="15" t="n">
        <x:f>F2952/'Datos'!$F$7</x:f>
        <x:v>0.000011929283449117722</x:v>
      </x:c>
      <x:c r="L2952" s="3"/>
    </x:row>
    <x:row r="2953" ht="22" customHeight="1">
      <x:c r="A2953" s="3"/>
      <x:c r="B2953" s="3" t="str">
        <x:v>72780</x:v>
      </x:c>
      <x:c r="C2953" s="3" t="str">
        <x:v>BLACK SILOUETTE CANDLE PLATE</x:v>
      </x:c>
      <x:c r="D2953" s="13" t="n">
        <x:v>116.45</x:v>
      </x:c>
      <x:c r="E2953" s="13" t="n">
        <x:v>0</x:v>
      </x:c>
      <x:c r="F2953" s="13" t="n">
        <x:f>D2953-E2953</x:f>
        <x:v>116.45</x:v>
      </x:c>
      <x:c r="G2953" s="3" t="n">
        <x:v>137</x:v>
      </x:c>
      <x:c r="H2953" s="3" t="n">
        <x:v>0</x:v>
      </x:c>
      <x:c r="I2953" s="3" t="n">
        <x:v>20</x:v>
      </x:c>
      <x:c r="J2953" s="15" t="n">
        <x:f>IF(D2953=0,"n.a.",E2953/D2953)</x:f>
        <x:v>0</x:v>
      </x:c>
      <x:c r="K2953" s="15" t="n">
        <x:f>F2953/'Datos'!$F$7</x:f>
        <x:v>0.00001189150023668686</x:v>
      </x:c>
      <x:c r="L2953" s="3"/>
    </x:row>
    <x:row r="2954" ht="22" customHeight="1">
      <x:c r="A2954" s="3"/>
      <x:c r="B2954" s="3" t="str">
        <x:v>23185</x:v>
      </x:c>
      <x:c r="C2954" s="3" t="str">
        <x:v>FRENCH STYLE STORAGE JAR JAM</x:v>
      </x:c>
      <x:c r="D2954" s="13" t="n">
        <x:v>116.59</x:v>
      </x:c>
      <x:c r="E2954" s="13" t="n">
        <x:v>0.29</x:v>
      </x:c>
      <x:c r="F2954" s="13" t="n">
        <x:f>D2954-E2954</x:f>
        <x:v>116.3</x:v>
      </x:c>
      <x:c r="G2954" s="3" t="n">
        <x:v>323</x:v>
      </x:c>
      <x:c r="H2954" s="3" t="n">
        <x:v>1</x:v>
      </x:c>
      <x:c r="I2954" s="3" t="n">
        <x:v>30</x:v>
      </x:c>
      <x:c r="J2954" s="15" t="n">
        <x:f>IF(D2954=0,"n.a.",E2954/D2954)</x:f>
        <x:v>0.002487348829230637</x:v>
      </x:c>
      <x:c r="K2954" s="15" t="n">
        <x:f>F2954/'Datos'!$F$7</x:f>
        <x:v>0.000011876182718133805</x:v>
      </x:c>
      <x:c r="L2954" s="3"/>
    </x:row>
    <x:row r="2955" ht="22" customHeight="1">
      <x:c r="A2955" s="3"/>
      <x:c r="B2955" s="3" t="str">
        <x:v>72812</x:v>
      </x:c>
      <x:c r="C2955" s="3" t="str">
        <x:v>LARGE ZINC GLASS CANDLEHOLDER</x:v>
      </x:c>
      <x:c r="D2955" s="13" t="n">
        <x:v>116.06</x:v>
      </x:c>
      <x:c r="E2955" s="13" t="n">
        <x:v>0</x:v>
      </x:c>
      <x:c r="F2955" s="13" t="n">
        <x:f>D2955-E2955</x:f>
        <x:v>116.06</x:v>
      </x:c>
      <x:c r="G2955" s="3" t="n">
        <x:v>34</x:v>
      </x:c>
      <x:c r="H2955" s="3" t="n">
        <x:v>0</x:v>
      </x:c>
      <x:c r="I2955" s="3" t="n">
        <x:v>11</x:v>
      </x:c>
      <x:c r="J2955" s="15" t="n">
        <x:f>IF(D2955=0,"n.a.",E2955/D2955)</x:f>
        <x:v>0</x:v>
      </x:c>
      <x:c r="K2955" s="15" t="n">
        <x:f>F2955/'Datos'!$F$7</x:f>
        <x:v>0.00001185167468844892</x:v>
      </x:c>
      <x:c r="L2955" s="3"/>
    </x:row>
    <x:row r="2956" ht="22" customHeight="1">
      <x:c r="A2956" s="3"/>
      <x:c r="B2956" s="3" t="str">
        <x:v>51020A</x:v>
      </x:c>
      <x:c r="C2956" s="3" t="str">
        <x:v>SUMMER FUN DESIGN SHOWER CAP</x:v>
      </x:c>
      <x:c r="D2956" s="13" t="n">
        <x:v>116.33</x:v>
      </x:c>
      <x:c r="E2956" s="13" t="n">
        <x:v>0.58</x:v>
      </x:c>
      <x:c r="F2956" s="13" t="n">
        <x:f>D2956-E2956</x:f>
        <x:v>115.75</x:v>
      </x:c>
      <x:c r="G2956" s="3" t="n">
        <x:v>325</x:v>
      </x:c>
      <x:c r="H2956" s="3" t="n">
        <x:v>2</x:v>
      </x:c>
      <x:c r="I2956" s="3" t="n">
        <x:v>18</x:v>
      </x:c>
      <x:c r="J2956" s="15" t="n">
        <x:f>IF(D2956=0,"n.a.",E2956/D2956)</x:f>
        <x:v>0.004985816212498925</x:v>
      </x:c>
      <x:c r="K2956" s="15" t="n">
        <x:f>F2956/'Datos'!$F$7</x:f>
        <x:v>0.000011820018483439279</x:v>
      </x:c>
      <x:c r="L2956" s="3"/>
    </x:row>
    <x:row r="2957" ht="22" customHeight="1">
      <x:c r="A2957" s="3"/>
      <x:c r="B2957" s="3" t="str">
        <x:v>16052</x:v>
      </x:c>
      <x:c r="C2957" s="3" t="str">
        <x:v>TEATIME PUSH DOWN RUBBER</x:v>
      </x:c>
      <x:c r="D2957" s="13" t="n">
        <x:v>115.3</x:v>
      </x:c>
      <x:c r="E2957" s="13" t="n">
        <x:v>0</x:v>
      </x:c>
      <x:c r="F2957" s="13" t="n">
        <x:f>D2957-E2957</x:f>
        <x:v>115.3</x:v>
      </x:c>
      <x:c r="G2957" s="3" t="n">
        <x:v>479</x:v>
      </x:c>
      <x:c r="H2957" s="3" t="n">
        <x:v>0</x:v>
      </x:c>
      <x:c r="I2957" s="3" t="n">
        <x:v>13</x:v>
      </x:c>
      <x:c r="J2957" s="15" t="n">
        <x:f>IF(D2957=0,"n.a.",E2957/D2957)</x:f>
        <x:v>0</x:v>
      </x:c>
      <x:c r="K2957" s="15" t="n">
        <x:f>F2957/'Datos'!$F$7</x:f>
        <x:v>0.00001177406592778012</x:v>
      </x:c>
      <x:c r="L2957" s="3"/>
    </x:row>
    <x:row r="2958" ht="22" customHeight="1">
      <x:c r="A2958" s="3"/>
      <x:c r="B2958" s="3" t="str">
        <x:v>90130B</x:v>
      </x:c>
      <x:c r="C2958" s="3" t="str">
        <x:v>TURQ STONE/CRYSTAL EARRINGS</x:v>
      </x:c>
      <x:c r="D2958" s="13" t="n">
        <x:v>113.97</x:v>
      </x:c>
      <x:c r="E2958" s="13" t="n">
        <x:v>0</x:v>
      </x:c>
      <x:c r="F2958" s="13" t="n">
        <x:f>D2958-E2958</x:f>
        <x:v>113.97</x:v>
      </x:c>
      <x:c r="G2958" s="3" t="n">
        <x:v>39</x:v>
      </x:c>
      <x:c r="H2958" s="3" t="n">
        <x:v>0</x:v>
      </x:c>
      <x:c r="I2958" s="3" t="n">
        <x:v>31</x:v>
      </x:c>
      <x:c r="J2958" s="15" t="n">
        <x:f>IF(D2958=0,"n.a.",E2958/D2958)</x:f>
        <x:v>0</x:v>
      </x:c>
      <x:c r="K2958" s="15" t="n">
        <x:f>F2958/'Datos'!$F$7</x:f>
        <x:v>0.000011638250596609715</x:v>
      </x:c>
      <x:c r="L2958" s="3"/>
    </x:row>
    <x:row r="2959" ht="22" customHeight="1">
      <x:c r="A2959" s="3"/>
      <x:c r="B2959" s="3" t="str">
        <x:v>90199C</x:v>
      </x:c>
      <x:c r="C2959" s="3" t="str">
        <x:v>5 STRAND GLASS NECKLACE CRYSTAL</x:v>
      </x:c>
      <x:c r="D2959" s="13" t="n">
        <x:v>126.64</x:v>
      </x:c>
      <x:c r="E2959" s="13" t="n">
        <x:v>12.7</x:v>
      </x:c>
      <x:c r="F2959" s="13" t="n">
        <x:f>D2959-E2959</x:f>
        <x:v>113.94</x:v>
      </x:c>
      <x:c r="G2959" s="3" t="n">
        <x:v>20</x:v>
      </x:c>
      <x:c r="H2959" s="3" t="n">
        <x:v>2</x:v>
      </x:c>
      <x:c r="I2959" s="3" t="n">
        <x:v>10</x:v>
      </x:c>
      <x:c r="J2959" s="15" t="n">
        <x:f>IF(D2959=0,"n.a.",E2959/D2959)</x:f>
        <x:v>0.10028427037271004</x:v>
      </x:c>
      <x:c r="K2959" s="15" t="n">
        <x:f>F2959/'Datos'!$F$7</x:f>
        <x:v>0.000011635187092899104</x:v>
      </x:c>
      <x:c r="L2959" s="3"/>
    </x:row>
    <x:row r="2960" ht="22" customHeight="1">
      <x:c r="A2960" s="3"/>
      <x:c r="B2960" s="3" t="str">
        <x:v>84457</x:v>
      </x:c>
      <x:c r="C2960" s="3" t="str">
        <x:v>SET/3 RABBITS FLOWER SKIPPPING ROPE</x:v>
      </x:c>
      <x:c r="D2960" s="13" t="n">
        <x:v>113.41</x:v>
      </x:c>
      <x:c r="E2960" s="13" t="n">
        <x:v>0</x:v>
      </x:c>
      <x:c r="F2960" s="13" t="n">
        <x:f>D2960-E2960</x:f>
        <x:v>113.41</x:v>
      </x:c>
      <x:c r="G2960" s="3" t="n">
        <x:v>127</x:v>
      </x:c>
      <x:c r="H2960" s="3" t="n">
        <x:v>0</x:v>
      </x:c>
      <x:c r="I2960" s="3" t="n">
        <x:v>26</x:v>
      </x:c>
      <x:c r="J2960" s="15" t="n">
        <x:f>IF(D2960=0,"n.a.",E2960/D2960)</x:f>
        <x:v>0</x:v>
      </x:c>
      <x:c r="K2960" s="15" t="n">
        <x:f>F2960/'Datos'!$F$7</x:f>
        <x:v>0.00001158106519401165</x:v>
      </x:c>
      <x:c r="L2960" s="3"/>
    </x:row>
    <x:row r="2961" ht="22" customHeight="1">
      <x:c r="A2961" s="3"/>
      <x:c r="B2961" s="3" t="str">
        <x:v>47503H</x:v>
      </x:c>
      <x:c r="C2961" s="3" t="str">
        <x:v>ASS FLORAL PRINT SPIRIT LEVEL</x:v>
      </x:c>
      <x:c r="D2961" s="13" t="n">
        <x:v>112.81</x:v>
      </x:c>
      <x:c r="E2961" s="13" t="n">
        <x:v>0</x:v>
      </x:c>
      <x:c r="F2961" s="13" t="n">
        <x:f>D2961-E2961</x:f>
        <x:v>112.81</x:v>
      </x:c>
      <x:c r="G2961" s="3" t="n">
        <x:v>101</x:v>
      </x:c>
      <x:c r="H2961" s="3" t="n">
        <x:v>0</x:v>
      </x:c>
      <x:c r="I2961" s="3" t="n">
        <x:v>37</x:v>
      </x:c>
      <x:c r="J2961" s="15" t="n">
        <x:f>IF(D2961=0,"n.a.",E2961/D2961)</x:f>
        <x:v>0</x:v>
      </x:c>
      <x:c r="K2961" s="15" t="n">
        <x:f>F2961/'Datos'!$F$7</x:f>
        <x:v>0.000011519795119799438</x:v>
      </x:c>
      <x:c r="L2961" s="3"/>
    </x:row>
    <x:row r="2962" ht="22" customHeight="1">
      <x:c r="A2962" s="3"/>
      <x:c r="B2962" s="3" t="str">
        <x:v>84925F</x:v>
      </x:c>
      <x:c r="C2962" s="3" t="str">
        <x:v>PSYCHEDELIC WALL THERMOMETER</x:v>
      </x:c>
      <x:c r="D2962" s="13" t="n">
        <x:v>112.48</x:v>
      </x:c>
      <x:c r="E2962" s="13" t="n">
        <x:v>0</x:v>
      </x:c>
      <x:c r="F2962" s="13" t="n">
        <x:f>D2962-E2962</x:f>
        <x:v>112.48</x:v>
      </x:c>
      <x:c r="G2962" s="3" t="n">
        <x:v>80</x:v>
      </x:c>
      <x:c r="H2962" s="3" t="n">
        <x:v>0</x:v>
      </x:c>
      <x:c r="I2962" s="3" t="n">
        <x:v>14</x:v>
      </x:c>
      <x:c r="J2962" s="15" t="n">
        <x:f>IF(D2962=0,"n.a.",E2962/D2962)</x:f>
        <x:v>0</x:v>
      </x:c>
      <x:c r="K2962" s="15" t="n">
        <x:f>F2962/'Datos'!$F$7</x:f>
        <x:v>0.000011486096578982721</x:v>
      </x:c>
      <x:c r="L2962" s="3"/>
    </x:row>
    <x:row r="2963" ht="22" customHeight="1">
      <x:c r="A2963" s="3"/>
      <x:c r="B2963" s="3" t="str">
        <x:v>90096</x:v>
      </x:c>
      <x:c r="C2963" s="3" t="str">
        <x:v>NECKLACE+BRACELET SET BLUE BLOSSOM</x:v>
      </x:c>
      <x:c r="D2963" s="13" t="n">
        <x:v>112.21</x:v>
      </x:c>
      <x:c r="E2963" s="13" t="n">
        <x:v>0</x:v>
      </x:c>
      <x:c r="F2963" s="13" t="n">
        <x:f>D2963-E2963</x:f>
        <x:v>112.21</x:v>
      </x:c>
      <x:c r="G2963" s="3" t="n">
        <x:v>45</x:v>
      </x:c>
      <x:c r="H2963" s="3" t="n">
        <x:v>0</x:v>
      </x:c>
      <x:c r="I2963" s="3" t="n">
        <x:v>26</x:v>
      </x:c>
      <x:c r="J2963" s="15" t="n">
        <x:f>IF(D2963=0,"n.a.",E2963/D2963)</x:f>
        <x:v>0</x:v>
      </x:c>
      <x:c r="K2963" s="15" t="n">
        <x:f>F2963/'Datos'!$F$7</x:f>
        <x:v>0.000011458525045587226</x:v>
      </x:c>
      <x:c r="L2963" s="3"/>
    </x:row>
    <x:row r="2964" ht="22" customHeight="1">
      <x:c r="A2964" s="3"/>
      <x:c r="B2964" s="3" t="str">
        <x:v>47351B</x:v>
      </x:c>
      <x:c r="C2964" s="3" t="str">
        <x:v>BLUE VOILE LAMPSHADE</x:v>
      </x:c>
      <x:c r="D2964" s="13" t="n">
        <x:v>234.5</x:v>
      </x:c>
      <x:c r="E2964" s="13" t="n">
        <x:v>122.4</x:v>
      </x:c>
      <x:c r="F2964" s="13" t="n">
        <x:f>D2964-E2964</x:f>
        <x:v>112.1</x:v>
      </x:c>
      <x:c r="G2964" s="3" t="n">
        <x:v>86</x:v>
      </x:c>
      <x:c r="H2964" s="3" t="n">
        <x:v>48</x:v>
      </x:c>
      <x:c r="I2964" s="3" t="n">
        <x:v>9</x:v>
      </x:c>
      <x:c r="J2964" s="15" t="n">
        <x:f>IF(D2964=0,"n.a.",E2964/D2964)</x:f>
        <x:v>0.5219616204690832</x:v>
      </x:c>
      <x:c r="K2964" s="15" t="n">
        <x:f>F2964/'Datos'!$F$7</x:f>
        <x:v>0.00001144729219864832</x:v>
      </x:c>
      <x:c r="L2964" s="3"/>
    </x:row>
    <x:row r="2965" ht="22" customHeight="1">
      <x:c r="A2965" s="3"/>
      <x:c r="B2965" s="3" t="str">
        <x:v>21678</x:v>
      </x:c>
      <x:c r="C2965" s="3" t="str">
        <x:v>PAISLEY PATTERN STICKERS</x:v>
      </x:c>
      <x:c r="D2965" s="13" t="n">
        <x:v>111.86</x:v>
      </x:c>
      <x:c r="E2965" s="13" t="n">
        <x:v>0</x:v>
      </x:c>
      <x:c r="F2965" s="13" t="n">
        <x:f>D2965-E2965</x:f>
        <x:v>111.86</x:v>
      </x:c>
      <x:c r="G2965" s="3" t="n">
        <x:v>125</x:v>
      </x:c>
      <x:c r="H2965" s="3" t="n">
        <x:v>0</x:v>
      </x:c>
      <x:c r="I2965" s="3" t="n">
        <x:v>32</x:v>
      </x:c>
      <x:c r="J2965" s="15" t="n">
        <x:f>IF(D2965=0,"n.a.",E2965/D2965)</x:f>
        <x:v>0</x:v>
      </x:c>
      <x:c r="K2965" s="15" t="n">
        <x:f>F2965/'Datos'!$F$7</x:f>
        <x:v>0.000011422784168963435</x:v>
      </x:c>
      <x:c r="L2965" s="3"/>
    </x:row>
    <x:row r="2966" ht="22" customHeight="1">
      <x:c r="A2966" s="3"/>
      <x:c r="B2966" s="3" t="str">
        <x:v>90214A</x:v>
      </x:c>
      <x:c r="C2966" s="3" t="str">
        <x:v>LETTER "A" BLING KEY RING</x:v>
      </x:c>
      <x:c r="D2966" s="13" t="n">
        <x:v>111.66</x:v>
      </x:c>
      <x:c r="E2966" s="13" t="n">
        <x:v>0</x:v>
      </x:c>
      <x:c r="F2966" s="13" t="n">
        <x:f>D2966-E2966</x:f>
        <x:v>111.66</x:v>
      </x:c>
      <x:c r="G2966" s="3" t="n">
        <x:v>130</x:v>
      </x:c>
      <x:c r="H2966" s="3" t="n">
        <x:v>0</x:v>
      </x:c>
      <x:c r="I2966" s="3" t="n">
        <x:v>56</x:v>
      </x:c>
      <x:c r="J2966" s="15" t="n">
        <x:f>IF(D2966=0,"n.a.",E2966/D2966)</x:f>
        <x:v>0</x:v>
      </x:c>
      <x:c r="K2966" s="15" t="n">
        <x:f>F2966/'Datos'!$F$7</x:f>
        <x:v>0.000011402360810892698</x:v>
      </x:c>
      <x:c r="L2966" s="3"/>
    </x:row>
    <x:row r="2967" ht="22" customHeight="1">
      <x:c r="A2967" s="3"/>
      <x:c r="B2967" s="3" t="str">
        <x:v>84809A</x:v>
      </x:c>
      <x:c r="C2967" s="3" t="str">
        <x:v>WHITE CHRYSANTHEMUMS ART FLOWER</x:v>
      </x:c>
      <x:c r="D2967" s="13" t="n">
        <x:v>115.5</x:v>
      </x:c>
      <x:c r="E2967" s="13" t="n">
        <x:v>4.2</x:v>
      </x:c>
      <x:c r="F2967" s="13" t="n">
        <x:f>D2967-E2967</x:f>
        <x:v>111.3</x:v>
      </x:c>
      <x:c r="G2967" s="3" t="n">
        <x:v>55</x:v>
      </x:c>
      <x:c r="H2967" s="3" t="n">
        <x:v>2</x:v>
      </x:c>
      <x:c r="I2967" s="3" t="n">
        <x:v>8</x:v>
      </x:c>
      <x:c r="J2967" s="15" t="n">
        <x:f>IF(D2967=0,"n.a.",E2967/D2967)</x:f>
        <x:v>0.03636363636363636</x:v>
      </x:c>
      <x:c r="K2967" s="15" t="n">
        <x:f>F2967/'Datos'!$F$7</x:f>
        <x:v>0.000011365598766365371</x:v>
      </x:c>
      <x:c r="L2967" s="3"/>
    </x:row>
    <x:row r="2968" ht="22" customHeight="1">
      <x:c r="A2968" s="3"/>
      <x:c r="B2968" s="3" t="str">
        <x:v>90036E</x:v>
      </x:c>
      <x:c r="C2968" s="3" t="str">
        <x:v>FLOWER GLASS GARLD NECKL36"AMETHYST</x:v>
      </x:c>
      <x:c r="D2968" s="13" t="n">
        <x:v>110.95</x:v>
      </x:c>
      <x:c r="E2968" s="13" t="n">
        <x:v>0</x:v>
      </x:c>
      <x:c r="F2968" s="13" t="n">
        <x:f>D2968-E2968</x:f>
        <x:v>110.95</x:v>
      </x:c>
      <x:c r="G2968" s="3" t="n">
        <x:v>14</x:v>
      </x:c>
      <x:c r="H2968" s="3" t="n">
        <x:v>0</x:v>
      </x:c>
      <x:c r="I2968" s="3" t="n">
        <x:v>11</x:v>
      </x:c>
      <x:c r="J2968" s="15" t="n">
        <x:f>IF(D2968=0,"n.a.",E2968/D2968)</x:f>
        <x:v>0</x:v>
      </x:c>
      <x:c r="K2968" s="15" t="n">
        <x:f>F2968/'Datos'!$F$7</x:f>
        <x:v>0.00001132985788974158</x:v>
      </x:c>
      <x:c r="L2968" s="3"/>
    </x:row>
    <x:row r="2969" ht="22" customHeight="1">
      <x:c r="A2969" s="3"/>
      <x:c r="B2969" s="3" t="str">
        <x:v>90125D</x:v>
      </x:c>
      <x:c r="C2969" s="3" t="str">
        <x:v>PURPLE BERTIE GLASS BEAD BAG CHARM</x:v>
      </x:c>
      <x:c r="D2969" s="13" t="n">
        <x:v>110.03</x:v>
      </x:c>
      <x:c r="E2969" s="13" t="n">
        <x:v>0</x:v>
      </x:c>
      <x:c r="F2969" s="13" t="n">
        <x:f>D2969-E2969</x:f>
        <x:v>110.03</x:v>
      </x:c>
      <x:c r="G2969" s="3" t="n">
        <x:v>95</x:v>
      </x:c>
      <x:c r="H2969" s="3" t="n">
        <x:v>0</x:v>
      </x:c>
      <x:c r="I2969" s="3" t="n">
        <x:v>19</x:v>
      </x:c>
      <x:c r="J2969" s="15" t="n">
        <x:f>IF(D2969=0,"n.a.",E2969/D2969)</x:f>
        <x:v>0</x:v>
      </x:c>
      <x:c r="K2969" s="15" t="n">
        <x:f>F2969/'Datos'!$F$7</x:f>
        <x:v>0.000011235910442616188</x:v>
      </x:c>
      <x:c r="L2969" s="3"/>
    </x:row>
    <x:row r="2970" ht="22" customHeight="1">
      <x:c r="A2970" s="3"/>
      <x:c r="B2970" s="3" t="str">
        <x:v>20731</x:v>
      </x:c>
      <x:c r="C2970" s="3" t="str">
        <x:v>POSY CANDY BAG</x:v>
      </x:c>
      <x:c r="D2970" s="13" t="n">
        <x:v>109.96</x:v>
      </x:c>
      <x:c r="E2970" s="13" t="n">
        <x:v>0</x:v>
      </x:c>
      <x:c r="F2970" s="13" t="n">
        <x:f>D2970-E2970</x:f>
        <x:v>109.96</x:v>
      </x:c>
      <x:c r="G2970" s="3" t="n">
        <x:v>92</x:v>
      </x:c>
      <x:c r="H2970" s="3" t="n">
        <x:v>0</x:v>
      </x:c>
      <x:c r="I2970" s="3" t="n">
        <x:v>16</x:v>
      </x:c>
      <x:c r="J2970" s="15" t="n">
        <x:f>IF(D2970=0,"n.a.",E2970/D2970)</x:f>
        <x:v>0</x:v>
      </x:c>
      <x:c r="K2970" s="15" t="n">
        <x:f>F2970/'Datos'!$F$7</x:f>
        <x:v>0.000011228762267291429</x:v>
      </x:c>
      <x:c r="L2970" s="3"/>
    </x:row>
    <x:row r="2971" ht="22" customHeight="1">
      <x:c r="A2971" s="3"/>
      <x:c r="B2971" s="3" t="str">
        <x:v>85167B</x:v>
      </x:c>
      <x:c r="C2971" s="3" t="str">
        <x:v>BLACK GRAND BAROQUE PHOTO FRAME</x:v>
      </x:c>
      <x:c r="D2971" s="13" t="n">
        <x:v>109.94</x:v>
      </x:c>
      <x:c r="E2971" s="13" t="n">
        <x:v>0</x:v>
      </x:c>
      <x:c r="F2971" s="13" t="n">
        <x:f>D2971-E2971</x:f>
        <x:v>109.94</x:v>
      </x:c>
      <x:c r="G2971" s="3" t="n">
        <x:v>50</x:v>
      </x:c>
      <x:c r="H2971" s="3" t="n">
        <x:v>0</x:v>
      </x:c>
      <x:c r="I2971" s="3" t="n">
        <x:v>8</x:v>
      </x:c>
      <x:c r="J2971" s="15" t="n">
        <x:f>IF(D2971=0,"n.a.",E2971/D2971)</x:f>
        <x:v>0</x:v>
      </x:c>
      <x:c r="K2971" s="15" t="n">
        <x:f>F2971/'Datos'!$F$7</x:f>
        <x:v>0.000011226719931484355</x:v>
      </x:c>
      <x:c r="L2971" s="3"/>
    </x:row>
    <x:row r="2972" ht="22" customHeight="1">
      <x:c r="A2972" s="3"/>
      <x:c r="B2972" s="3" t="str">
        <x:v>21278</x:v>
      </x:c>
      <x:c r="C2972" s="3" t="str">
        <x:v>VINTAGE KITCHEN PRINT PUDDINGS</x:v>
      </x:c>
      <x:c r="D2972" s="13" t="n">
        <x:v>109.65</x:v>
      </x:c>
      <x:c r="E2972" s="13" t="n">
        <x:v>0</x:v>
      </x:c>
      <x:c r="F2972" s="13" t="n">
        <x:f>D2972-E2972</x:f>
        <x:v>109.65</x:v>
      </x:c>
      <x:c r="G2972" s="3" t="n">
        <x:v>43</x:v>
      </x:c>
      <x:c r="H2972" s="3" t="n">
        <x:v>0</x:v>
      </x:c>
      <x:c r="I2972" s="3" t="n">
        <x:v>7</x:v>
      </x:c>
      <x:c r="J2972" s="15" t="n">
        <x:f>IF(D2972=0,"n.a.",E2972/D2972)</x:f>
        <x:v>0</x:v>
      </x:c>
      <x:c r="K2972" s="15" t="n">
        <x:f>F2972/'Datos'!$F$7</x:f>
        <x:v>0.000011197106062281787</x:v>
      </x:c>
      <x:c r="L2972" s="3"/>
    </x:row>
    <x:row r="2973" ht="22" customHeight="1">
      <x:c r="A2973" s="3"/>
      <x:c r="B2973" s="3" t="str">
        <x:v>90124C</x:v>
      </x:c>
      <x:c r="C2973" s="3" t="str">
        <x:v>GREEN MURANO TWIST NECKLACE</x:v>
      </x:c>
      <x:c r="D2973" s="13" t="n">
        <x:v>109.54</x:v>
      </x:c>
      <x:c r="E2973" s="13" t="n">
        <x:v>0</x:v>
      </x:c>
      <x:c r="F2973" s="13" t="n">
        <x:f>D2973-E2973</x:f>
        <x:v>109.54</x:v>
      </x:c>
      <x:c r="G2973" s="3" t="n">
        <x:v>11</x:v>
      </x:c>
      <x:c r="H2973" s="3" t="n">
        <x:v>0</x:v>
      </x:c>
      <x:c r="I2973" s="3" t="n">
        <x:v>8</x:v>
      </x:c>
      <x:c r="J2973" s="15" t="n">
        <x:f>IF(D2973=0,"n.a.",E2973/D2973)</x:f>
        <x:v>0</x:v>
      </x:c>
      <x:c r="K2973" s="15" t="n">
        <x:f>F2973/'Datos'!$F$7</x:f>
        <x:v>0.000011185873215342882</x:v>
      </x:c>
      <x:c r="L2973" s="3"/>
    </x:row>
    <x:row r="2974" ht="22" customHeight="1">
      <x:c r="A2974" s="3"/>
      <x:c r="B2974" s="3" t="str">
        <x:v>90122A</x:v>
      </x:c>
      <x:c r="C2974" s="3" t="str">
        <x:v>PINK CRYSTAL+GLASS BRACELET</x:v>
      </x:c>
      <x:c r="D2974" s="13" t="n">
        <x:v>109.48</x:v>
      </x:c>
      <x:c r="E2974" s="13" t="n">
        <x:v>0</x:v>
      </x:c>
      <x:c r="F2974" s="13" t="n">
        <x:f>D2974-E2974</x:f>
        <x:v>109.48</x:v>
      </x:c>
      <x:c r="G2974" s="3" t="n">
        <x:v>22</x:v>
      </x:c>
      <x:c r="H2974" s="3" t="n">
        <x:v>0</x:v>
      </x:c>
      <x:c r="I2974" s="3" t="n">
        <x:v>14</x:v>
      </x:c>
      <x:c r="J2974" s="15" t="n">
        <x:f>IF(D2974=0,"n.a.",E2974/D2974)</x:f>
        <x:v>0</x:v>
      </x:c>
      <x:c r="K2974" s="15" t="n">
        <x:f>F2974/'Datos'!$F$7</x:f>
        <x:v>0.00001117974620792166</x:v>
      </x:c>
      <x:c r="L2974" s="3"/>
    </x:row>
    <x:row r="2975" ht="22" customHeight="1">
      <x:c r="A2975" s="3"/>
      <x:c r="B2975" s="3" t="str">
        <x:v>90058A</x:v>
      </x:c>
      <x:c r="C2975" s="3" t="str">
        <x:v>CRYSTAL STUD EARRINGS CLEAR DISPLAY</x:v>
      </x:c>
      <x:c r="D2975" s="13" t="n">
        <x:v>123.12</x:v>
      </x:c>
      <x:c r="E2975" s="13" t="n">
        <x:v>13.68</x:v>
      </x:c>
      <x:c r="F2975" s="13" t="n">
        <x:f>D2975-E2975</x:f>
        <x:v>109.44</x:v>
      </x:c>
      <x:c r="G2975" s="3" t="n">
        <x:v>324</x:v>
      </x:c>
      <x:c r="H2975" s="3" t="n">
        <x:v>36</x:v>
      </x:c>
      <x:c r="I2975" s="3" t="n">
        <x:v>7</x:v>
      </x:c>
      <x:c r="J2975" s="15" t="n">
        <x:f>IF(D2975=0,"n.a.",E2975/D2975)</x:f>
        <x:v>0.1111111111111111</x:v>
      </x:c>
      <x:c r="K2975" s="15" t="n">
        <x:f>F2975/'Datos'!$F$7</x:f>
        <x:v>0.000011175661536307512</x:v>
      </x:c>
      <x:c r="L2975" s="3"/>
    </x:row>
    <x:row r="2976" ht="22" customHeight="1">
      <x:c r="A2976" s="3"/>
      <x:c r="B2976" s="3" t="str">
        <x:v>85096</x:v>
      </x:c>
      <x:c r="C2976" s="3" t="str">
        <x:v>HILDA CANDY SPOT RABBIT</x:v>
      </x:c>
      <x:c r="D2976" s="13" t="n">
        <x:v>109.23</x:v>
      </x:c>
      <x:c r="E2976" s="13" t="n">
        <x:v>0</x:v>
      </x:c>
      <x:c r="F2976" s="13" t="n">
        <x:f>D2976-E2976</x:f>
        <x:v>109.23</x:v>
      </x:c>
      <x:c r="G2976" s="3" t="n">
        <x:v>25</x:v>
      </x:c>
      <x:c r="H2976" s="3" t="n">
        <x:v>0</x:v>
      </x:c>
      <x:c r="I2976" s="3" t="n">
        <x:v>16</x:v>
      </x:c>
      <x:c r="J2976" s="15" t="n">
        <x:f>IF(D2976=0,"n.a.",E2976/D2976)</x:f>
        <x:v>0</x:v>
      </x:c>
      <x:c r="K2976" s="15" t="n">
        <x:f>F2976/'Datos'!$F$7</x:f>
        <x:v>0.000011154217010333238</x:v>
      </x:c>
      <x:c r="L2976" s="3"/>
    </x:row>
    <x:row r="2977" ht="22" customHeight="1">
      <x:c r="A2977" s="3"/>
      <x:c r="B2977" s="3" t="str">
        <x:v>20894</x:v>
      </x:c>
      <x:c r="C2977" s="3" t="str">
        <x:v>HANGING BAUBLE T-LIGHT HOLDER LARGE</x:v>
      </x:c>
      <x:c r="D2977" s="13" t="n">
        <x:v>108.71</x:v>
      </x:c>
      <x:c r="E2977" s="13" t="n">
        <x:v>0</x:v>
      </x:c>
      <x:c r="F2977" s="13" t="n">
        <x:f>D2977-E2977</x:f>
        <x:v>108.71</x:v>
      </x:c>
      <x:c r="G2977" s="3" t="n">
        <x:v>33</x:v>
      </x:c>
      <x:c r="H2977" s="3" t="n">
        <x:v>0</x:v>
      </x:c>
      <x:c r="I2977" s="3" t="n">
        <x:v>15</x:v>
      </x:c>
      <x:c r="J2977" s="15" t="n">
        <x:f>IF(D2977=0,"n.a.",E2977/D2977)</x:f>
        <x:v>0</x:v>
      </x:c>
      <x:c r="K2977" s="15" t="n">
        <x:f>F2977/'Datos'!$F$7</x:f>
        <x:v>0.000011101116279349321</x:v>
      </x:c>
      <x:c r="L2977" s="3"/>
    </x:row>
    <x:row r="2978" ht="22" customHeight="1">
      <x:c r="A2978" s="3"/>
      <x:c r="B2978" s="3" t="str">
        <x:v>21372</x:v>
      </x:c>
      <x:c r="C2978" s="3" t="str">
        <x:v>MIRRORED WALL ART TABLE LAMP</x:v>
      </x:c>
      <x:c r="D2978" s="13" t="n">
        <x:v>107.75</x:v>
      </x:c>
      <x:c r="E2978" s="13" t="n">
        <x:v>0</x:v>
      </x:c>
      <x:c r="F2978" s="13" t="n">
        <x:f>D2978-E2978</x:f>
        <x:v>107.75</x:v>
      </x:c>
      <x:c r="G2978" s="3" t="n">
        <x:v>75</x:v>
      </x:c>
      <x:c r="H2978" s="3" t="n">
        <x:v>0</x:v>
      </x:c>
      <x:c r="I2978" s="3" t="n">
        <x:v>33</x:v>
      </x:c>
      <x:c r="J2978" s="15" t="n">
        <x:f>IF(D2978=0,"n.a.",E2978/D2978)</x:f>
        <x:v>0</x:v>
      </x:c>
      <x:c r="K2978" s="15" t="n">
        <x:f>F2978/'Datos'!$F$7</x:f>
        <x:v>0.000011003084160609782</x:v>
      </x:c>
      <x:c r="L2978" s="3"/>
    </x:row>
    <x:row r="2979" ht="22" customHeight="1">
      <x:c r="A2979" s="3"/>
      <x:c r="B2979" s="3" t="str">
        <x:v>35916C</x:v>
      </x:c>
      <x:c r="C2979" s="3" t="str">
        <x:v>PINK FELT HANGING HEART W FLOWER</x:v>
      </x:c>
      <x:c r="D2979" s="13" t="n">
        <x:v>107.72</x:v>
      </x:c>
      <x:c r="E2979" s="13" t="n">
        <x:v>0</x:v>
      </x:c>
      <x:c r="F2979" s="13" t="n">
        <x:f>D2979-E2979</x:f>
        <x:v>107.72</x:v>
      </x:c>
      <x:c r="G2979" s="3" t="n">
        <x:v>106</x:v>
      </x:c>
      <x:c r="H2979" s="3" t="n">
        <x:v>0</x:v>
      </x:c>
      <x:c r="I2979" s="3" t="n">
        <x:v>20</x:v>
      </x:c>
      <x:c r="J2979" s="15" t="n">
        <x:f>IF(D2979=0,"n.a.",E2979/D2979)</x:f>
        <x:v>0</x:v>
      </x:c>
      <x:c r="K2979" s="15" t="n">
        <x:f>F2979/'Datos'!$F$7</x:f>
        <x:v>0.000011000020656899171</x:v>
      </x:c>
      <x:c r="L2979" s="3"/>
    </x:row>
    <x:row r="2980" ht="22" customHeight="1">
      <x:c r="A2980" s="3"/>
      <x:c r="B2980" s="3" t="str">
        <x:v>17090A</x:v>
      </x:c>
      <x:c r="C2980" s="3" t="str">
        <x:v>LAVENDER INCENSE 40 CONES IN TIN</x:v>
      </x:c>
      <x:c r="D2980" s="13" t="n">
        <x:v>107.45</x:v>
      </x:c>
      <x:c r="E2980" s="13" t="n">
        <x:v>0</x:v>
      </x:c>
      <x:c r="F2980" s="13" t="n">
        <x:f>D2980-E2980</x:f>
        <x:v>107.45</x:v>
      </x:c>
      <x:c r="G2980" s="3" t="n">
        <x:v>109</x:v>
      </x:c>
      <x:c r="H2980" s="3" t="n">
        <x:v>0</x:v>
      </x:c>
      <x:c r="I2980" s="3" t="n">
        <x:v>10</x:v>
      </x:c>
      <x:c r="J2980" s="15" t="n">
        <x:f>IF(D2980=0,"n.a.",E2980/D2980)</x:f>
        <x:v>0</x:v>
      </x:c>
      <x:c r="K2980" s="15" t="n">
        <x:f>F2980/'Datos'!$F$7</x:f>
        <x:v>0.000010972449123503676</x:v>
      </x:c>
      <x:c r="L2980" s="3"/>
    </x:row>
    <x:row r="2981" ht="22" customHeight="1">
      <x:c r="A2981" s="3"/>
      <x:c r="B2981" s="3" t="str">
        <x:v>85129C</x:v>
      </x:c>
      <x:c r="C2981" s="3" t="str">
        <x:v>BEADED CRYSTAL HEART BLUE SMALL</x:v>
      </x:c>
      <x:c r="D2981" s="13" t="n">
        <x:v>107.31</x:v>
      </x:c>
      <x:c r="E2981" s="13" t="n">
        <x:v>0</x:v>
      </x:c>
      <x:c r="F2981" s="13" t="n">
        <x:f>D2981-E2981</x:f>
        <x:v>107.31</x:v>
      </x:c>
      <x:c r="G2981" s="3" t="n">
        <x:v>80</x:v>
      </x:c>
      <x:c r="H2981" s="3" t="n">
        <x:v>0</x:v>
      </x:c>
      <x:c r="I2981" s="3" t="n">
        <x:v>15</x:v>
      </x:c>
      <x:c r="J2981" s="15" t="n">
        <x:f>IF(D2981=0,"n.a.",E2981/D2981)</x:f>
        <x:v>0</x:v>
      </x:c>
      <x:c r="K2981" s="15" t="n">
        <x:f>F2981/'Datos'!$F$7</x:f>
        <x:v>0.000010958152772854159</x:v>
      </x:c>
      <x:c r="L2981" s="3"/>
    </x:row>
    <x:row r="2982" ht="22" customHeight="1">
      <x:c r="A2982" s="3"/>
      <x:c r="B2982" s="3" t="str">
        <x:v>21904</x:v>
      </x:c>
      <x:c r="C2982" s="3" t="str">
        <x:v>HOUSE WRECKING METAL SIGN</x:v>
      </x:c>
      <x:c r="D2982" s="13" t="n">
        <x:v>107.1</x:v>
      </x:c>
      <x:c r="E2982" s="13" t="n">
        <x:v>0</x:v>
      </x:c>
      <x:c r="F2982" s="13" t="n">
        <x:f>D2982-E2982</x:f>
        <x:v>107.1</x:v>
      </x:c>
      <x:c r="G2982" s="3" t="n">
        <x:v>51</x:v>
      </x:c>
      <x:c r="H2982" s="3" t="n">
        <x:v>0</x:v>
      </x:c>
      <x:c r="I2982" s="3" t="n">
        <x:v>23</x:v>
      </x:c>
      <x:c r="J2982" s="15" t="n">
        <x:f>IF(D2982=0,"n.a.",E2982/D2982)</x:f>
        <x:v>0</x:v>
      </x:c>
      <x:c r="K2982" s="15" t="n">
        <x:f>F2982/'Datos'!$F$7</x:f>
        <x:v>0.000010936708246879884</x:v>
      </x:c>
      <x:c r="L2982" s="3"/>
    </x:row>
    <x:row r="2983" ht="22" customHeight="1">
      <x:c r="A2983" s="3"/>
      <x:c r="B2983" s="3" t="str">
        <x:v>23626</x:v>
      </x:c>
      <x:c r="C2983" s="3" t="str">
        <x:v>SET 10 CARDS DINKY TREE 17076</x:v>
      </x:c>
      <x:c r="D2983" s="13" t="n">
        <x:v>107.07</x:v>
      </x:c>
      <x:c r="E2983" s="13" t="n">
        <x:v>0</x:v>
      </x:c>
      <x:c r="F2983" s="13" t="n">
        <x:f>D2983-E2983</x:f>
        <x:v>107.07</x:v>
      </x:c>
      <x:c r="G2983" s="3" t="n">
        <x:v>43</x:v>
      </x:c>
      <x:c r="H2983" s="3" t="n">
        <x:v>0</x:v>
      </x:c>
      <x:c r="I2983" s="3" t="n">
        <x:v>16</x:v>
      </x:c>
      <x:c r="J2983" s="15" t="n">
        <x:f>IF(D2983=0,"n.a.",E2983/D2983)</x:f>
        <x:v>0</x:v>
      </x:c>
      <x:c r="K2983" s="15" t="n">
        <x:f>F2983/'Datos'!$F$7</x:f>
        <x:v>0.000010933644743169273</x:v>
      </x:c>
      <x:c r="L2983" s="3"/>
    </x:row>
    <x:row r="2984" ht="22" customHeight="1">
      <x:c r="A2984" s="3"/>
      <x:c r="B2984" s="3" t="str">
        <x:v>35818P</x:v>
      </x:c>
      <x:c r="C2984" s="3" t="str">
        <x:v>ACRYLIC JEWEL ICICLE, PINK</x:v>
      </x:c>
      <x:c r="D2984" s="13" t="n">
        <x:v>106.97</x:v>
      </x:c>
      <x:c r="E2984" s="13" t="n">
        <x:v>0</x:v>
      </x:c>
      <x:c r="F2984" s="13" t="n">
        <x:f>D2984-E2984</x:f>
        <x:v>106.97</x:v>
      </x:c>
      <x:c r="G2984" s="3" t="n">
        <x:v>266</x:v>
      </x:c>
      <x:c r="H2984" s="3" t="n">
        <x:v>0</x:v>
      </x:c>
      <x:c r="I2984" s="3" t="n">
        <x:v>19</x:v>
      </x:c>
      <x:c r="J2984" s="15" t="n">
        <x:f>IF(D2984=0,"n.a.",E2984/D2984)</x:f>
        <x:v>0</x:v>
      </x:c>
      <x:c r="K2984" s="15" t="n">
        <x:f>F2984/'Datos'!$F$7</x:f>
        <x:v>0.000010923433064133906</x:v>
      </x:c>
      <x:c r="L2984" s="3"/>
    </x:row>
    <x:row r="2985" ht="22" customHeight="1">
      <x:c r="A2985" s="3"/>
      <x:c r="B2985" s="3" t="str">
        <x:v>35819B</x:v>
      </x:c>
      <x:c r="C2985" s="3" t="str">
        <x:v>ACRYLIC HANGING JEWEL,BLUE</x:v>
      </x:c>
      <x:c r="D2985" s="13" t="n">
        <x:v>106.81</x:v>
      </x:c>
      <x:c r="E2985" s="13" t="n">
        <x:v>0</x:v>
      </x:c>
      <x:c r="F2985" s="13" t="n">
        <x:f>D2985-E2985</x:f>
        <x:v>106.81</x:v>
      </x:c>
      <x:c r="G2985" s="3" t="n">
        <x:v>270</x:v>
      </x:c>
      <x:c r="H2985" s="3" t="n">
        <x:v>0</x:v>
      </x:c>
      <x:c r="I2985" s="3" t="n">
        <x:v>24</x:v>
      </x:c>
      <x:c r="J2985" s="15" t="n">
        <x:f>IF(D2985=0,"n.a.",E2985/D2985)</x:f>
        <x:v>0</x:v>
      </x:c>
      <x:c r="K2985" s="15" t="n">
        <x:f>F2985/'Datos'!$F$7</x:f>
        <x:v>0.000010907094377677317</x:v>
      </x:c>
      <x:c r="L2985" s="3"/>
    </x:row>
    <x:row r="2986" ht="22" customHeight="1">
      <x:c r="A2986" s="3"/>
      <x:c r="B2986" s="3" t="str">
        <x:v>90125A</x:v>
      </x:c>
      <x:c r="C2986" s="3" t="str">
        <x:v>PINK BERTIE GLASS BEAD BAG CHARM</x:v>
      </x:c>
      <x:c r="D2986" s="13" t="n">
        <x:v>106.24</x:v>
      </x:c>
      <x:c r="E2986" s="13" t="n">
        <x:v>0</x:v>
      </x:c>
      <x:c r="F2986" s="13" t="n">
        <x:f>D2986-E2986</x:f>
        <x:v>106.24</x:v>
      </x:c>
      <x:c r="G2986" s="3" t="n">
        <x:v>115</x:v>
      </x:c>
      <x:c r="H2986" s="3" t="n">
        <x:v>0</x:v>
      </x:c>
      <x:c r="I2986" s="3" t="n">
        <x:v>10</x:v>
      </x:c>
      <x:c r="J2986" s="15" t="n">
        <x:f>IF(D2986=0,"n.a.",E2986/D2986)</x:f>
        <x:v>0</x:v>
      </x:c>
      <x:c r="K2986" s="15" t="n">
        <x:f>F2986/'Datos'!$F$7</x:f>
        <x:v>0.000010848887807175714</x:v>
      </x:c>
      <x:c r="L2986" s="3"/>
    </x:row>
    <x:row r="2987" ht="22" customHeight="1">
      <x:c r="A2987" s="3"/>
      <x:c r="B2987" s="3" t="str">
        <x:v>20657</x:v>
      </x:c>
      <x:c r="C2987" s="3" t="str">
        <x:v>TROPICAL LUGGAGE TAG</x:v>
      </x:c>
      <x:c r="D2987" s="13" t="n">
        <x:v>105.91</x:v>
      </x:c>
      <x:c r="E2987" s="13" t="n">
        <x:v>0</x:v>
      </x:c>
      <x:c r="F2987" s="13" t="n">
        <x:f>D2987-E2987</x:f>
        <x:v>105.91</x:v>
      </x:c>
      <x:c r="G2987" s="3" t="n">
        <x:v>73</x:v>
      </x:c>
      <x:c r="H2987" s="3" t="n">
        <x:v>0</x:v>
      </x:c>
      <x:c r="I2987" s="3" t="n">
        <x:v>33</x:v>
      </x:c>
      <x:c r="J2987" s="15" t="n">
        <x:f>IF(D2987=0,"n.a.",E2987/D2987)</x:f>
        <x:v>0</x:v>
      </x:c>
      <x:c r="K2987" s="15" t="n">
        <x:f>F2987/'Datos'!$F$7</x:f>
        <x:v>0.000010815189266358996</x:v>
      </x:c>
      <x:c r="L2987" s="3"/>
    </x:row>
    <x:row r="2988" ht="22" customHeight="1">
      <x:c r="A2988" s="3"/>
      <x:c r="B2988" s="3" t="str">
        <x:v>90016A</x:v>
      </x:c>
      <x:c r="C2988" s="3" t="str">
        <x:v>SILVER/M.O.P PENDANT ORBIT NECKLACE</x:v>
      </x:c>
      <x:c r="D2988" s="13" t="n">
        <x:v>105.71</x:v>
      </x:c>
      <x:c r="E2988" s="13" t="n">
        <x:v>0</x:v>
      </x:c>
      <x:c r="F2988" s="13" t="n">
        <x:f>D2988-E2988</x:f>
        <x:v>105.71</x:v>
      </x:c>
      <x:c r="G2988" s="3" t="n">
        <x:v>17</x:v>
      </x:c>
      <x:c r="H2988" s="3" t="n">
        <x:v>0</x:v>
      </x:c>
      <x:c r="I2988" s="3" t="n">
        <x:v>7</x:v>
      </x:c>
      <x:c r="J2988" s="15" t="n">
        <x:f>IF(D2988=0,"n.a.",E2988/D2988)</x:f>
        <x:v>0</x:v>
      </x:c>
      <x:c r="K2988" s="15" t="n">
        <x:f>F2988/'Datos'!$F$7</x:f>
        <x:v>0.000010794765908288259</x:v>
      </x:c>
      <x:c r="L2988" s="3"/>
    </x:row>
    <x:row r="2989" ht="22" customHeight="1">
      <x:c r="A2989" s="3"/>
      <x:c r="B2989" s="3" t="str">
        <x:v>90185A</x:v>
      </x:c>
      <x:c r="C2989" s="3" t="str">
        <x:v>AMBER DIAMANTE EXPANDABLE RING</x:v>
      </x:c>
      <x:c r="D2989" s="13" t="n">
        <x:v>131.03</x:v>
      </x:c>
      <x:c r="E2989" s="13" t="n">
        <x:v>25.5</x:v>
      </x:c>
      <x:c r="F2989" s="13" t="n">
        <x:f>D2989-E2989</x:f>
        <x:v>105.53</x:v>
      </x:c>
      <x:c r="G2989" s="3" t="n">
        <x:v>31</x:v>
      </x:c>
      <x:c r="H2989" s="3" t="n">
        <x:v>6</x:v>
      </x:c>
      <x:c r="I2989" s="3" t="n">
        <x:v>13</x:v>
      </x:c>
      <x:c r="J2989" s="15" t="n">
        <x:f>IF(D2989=0,"n.a.",E2989/D2989)</x:f>
        <x:v>0.1946119209341372</x:v>
      </x:c>
      <x:c r="K2989" s="15" t="n">
        <x:f>F2989/'Datos'!$F$7</x:f>
        <x:v>0.000010776384886024596</x:v>
      </x:c>
      <x:c r="L2989" s="3"/>
    </x:row>
    <x:row r="2990" ht="22" customHeight="1">
      <x:c r="A2990" s="3"/>
      <x:c r="B2990" s="3" t="str">
        <x:v>35920</x:v>
      </x:c>
      <x:c r="C2990" s="3" t="str">
        <x:v>FOUR RABBIT EASTER DECORATIONS</x:v>
      </x:c>
      <x:c r="D2990" s="13" t="n">
        <x:v>104.84</x:v>
      </x:c>
      <x:c r="E2990" s="13" t="n">
        <x:v>0</x:v>
      </x:c>
      <x:c r="F2990" s="13" t="n">
        <x:f>D2990-E2990</x:f>
        <x:v>104.84</x:v>
      </x:c>
      <x:c r="G2990" s="3" t="n">
        <x:v>72</x:v>
      </x:c>
      <x:c r="H2990" s="3" t="n">
        <x:v>0</x:v>
      </x:c>
      <x:c r="I2990" s="3" t="n">
        <x:v>15</x:v>
      </x:c>
      <x:c r="J2990" s="15" t="n">
        <x:f>IF(D2990=0,"n.a.",E2990/D2990)</x:f>
        <x:v>0</x:v>
      </x:c>
      <x:c r="K2990" s="15" t="n">
        <x:f>F2990/'Datos'!$F$7</x:f>
        <x:v>0.000010705924300680553</x:v>
      </x:c>
      <x:c r="L2990" s="3"/>
    </x:row>
    <x:row r="2991" ht="22" customHeight="1">
      <x:c r="A2991" s="3"/>
      <x:c r="B2991" s="3" t="str">
        <x:v>84661C</x:v>
      </x:c>
      <x:c r="C2991" s="3" t="str">
        <x:v>PINK SQUARE TABLE CLOCK</x:v>
      </x:c>
      <x:c r="D2991" s="13" t="n">
        <x:v>104.84</x:v>
      </x:c>
      <x:c r="E2991" s="13" t="n">
        <x:v>0</x:v>
      </x:c>
      <x:c r="F2991" s="13" t="n">
        <x:f>D2991-E2991</x:f>
        <x:v>104.84</x:v>
      </x:c>
      <x:c r="G2991" s="3" t="n">
        <x:v>71</x:v>
      </x:c>
      <x:c r="H2991" s="3" t="n">
        <x:v>0</x:v>
      </x:c>
      <x:c r="I2991" s="3" t="n">
        <x:v>14</x:v>
      </x:c>
      <x:c r="J2991" s="15" t="n">
        <x:f>IF(D2991=0,"n.a.",E2991/D2991)</x:f>
        <x:v>0</x:v>
      </x:c>
      <x:c r="K2991" s="15" t="n">
        <x:f>F2991/'Datos'!$F$7</x:f>
        <x:v>0.000010705924300680553</x:v>
      </x:c>
      <x:c r="L2991" s="3"/>
    </x:row>
    <x:row r="2992" ht="22" customHeight="1">
      <x:c r="A2992" s="3"/>
      <x:c r="B2992" s="3" t="str">
        <x:v>90003C</x:v>
      </x:c>
      <x:c r="C2992" s="3" t="str">
        <x:v>MIDNIGHT BLUE PAIR HEART HAIR SLIDE</x:v>
      </x:c>
      <x:c r="D2992" s="13" t="n">
        <x:v>119.84</x:v>
      </x:c>
      <x:c r="E2992" s="13" t="n">
        <x:v>15</x:v>
      </x:c>
      <x:c r="F2992" s="13" t="n">
        <x:f>D2992-E2992</x:f>
        <x:v>104.84</x:v>
      </x:c>
      <x:c r="G2992" s="3" t="n">
        <x:v>32</x:v>
      </x:c>
      <x:c r="H2992" s="3" t="n">
        <x:v>4</x:v>
      </x:c>
      <x:c r="I2992" s="3" t="n">
        <x:v>24</x:v>
      </x:c>
      <x:c r="J2992" s="15" t="n">
        <x:f>IF(D2992=0,"n.a.",E2992/D2992)</x:f>
        <x:v>0.12516688918558078</x:v>
      </x:c>
      <x:c r="K2992" s="15" t="n">
        <x:f>F2992/'Datos'!$F$7</x:f>
        <x:v>0.000010705924300680553</x:v>
      </x:c>
      <x:c r="L2992" s="3"/>
    </x:row>
    <x:row r="2993" ht="22" customHeight="1">
      <x:c r="A2993" s="3"/>
      <x:c r="B2993" s="3" t="str">
        <x:v>90070</x:v>
      </x:c>
      <x:c r="C2993" s="3" t="str">
        <x:v>RUBY GLASS CLUSTER BRACELET</x:v>
      </x:c>
      <x:c r="D2993" s="13" t="n">
        <x:v>122.64</x:v>
      </x:c>
      <x:c r="E2993" s="13" t="n">
        <x:v>17.85</x:v>
      </x:c>
      <x:c r="F2993" s="13" t="n">
        <x:f>D2993-E2993</x:f>
        <x:v>104.78999999999999</x:v>
      </x:c>
      <x:c r="G2993" s="3" t="n">
        <x:v>20</x:v>
      </x:c>
      <x:c r="H2993" s="3" t="n">
        <x:v>3</x:v>
      </x:c>
      <x:c r="I2993" s="3" t="n">
        <x:v>14</x:v>
      </x:c>
      <x:c r="J2993" s="15" t="n">
        <x:f>IF(D2993=0,"n.a.",E2993/D2993)</x:f>
        <x:v>0.14554794520547945</x:v>
      </x:c>
      <x:c r="K2993" s="15" t="n">
        <x:f>F2993/'Datos'!$F$7</x:f>
        <x:v>0.000010700818461162867</x:v>
      </x:c>
      <x:c r="L2993" s="3"/>
    </x:row>
    <x:row r="2994" ht="22" customHeight="1">
      <x:c r="A2994" s="3"/>
      <x:c r="B2994" s="3" t="str">
        <x:v>17084P</x:v>
      </x:c>
      <x:c r="C2994" s="3" t="str">
        <x:v>DRAGONS BLOOD INCENSE</x:v>
      </x:c>
      <x:c r="D2994" s="13" t="n">
        <x:v>104.44</x:v>
      </x:c>
      <x:c r="E2994" s="13" t="n">
        <x:v>0</x:v>
      </x:c>
      <x:c r="F2994" s="13" t="n">
        <x:f>D2994-E2994</x:f>
        <x:v>104.44</x:v>
      </x:c>
      <x:c r="G2994" s="3" t="n">
        <x:v>423</x:v>
      </x:c>
      <x:c r="H2994" s="3" t="n">
        <x:v>0</x:v>
      </x:c>
      <x:c r="I2994" s="3" t="n">
        <x:v>39</x:v>
      </x:c>
      <x:c r="J2994" s="15" t="n">
        <x:f>IF(D2994=0,"n.a.",E2994/D2994)</x:f>
        <x:v>0</x:v>
      </x:c>
      <x:c r="K2994" s="15" t="n">
        <x:f>F2994/'Datos'!$F$7</x:f>
        <x:v>0.000010665077584539078</x:v>
      </x:c>
      <x:c r="L2994" s="3"/>
    </x:row>
    <x:row r="2995" ht="22" customHeight="1">
      <x:c r="A2995" s="3"/>
      <x:c r="B2995" s="3" t="str">
        <x:v>20796</x:v>
      </x:c>
      <x:c r="C2995" s="3" t="str">
        <x:v>SMALL BLUE PROVENCAL CERAMIC BALL</x:v>
      </x:c>
      <x:c r="D2995" s="13" t="n">
        <x:v>103.94</x:v>
      </x:c>
      <x:c r="E2995" s="13" t="n">
        <x:v>0</x:v>
      </x:c>
      <x:c r="F2995" s="13" t="n">
        <x:f>D2995-E2995</x:f>
        <x:v>103.94</x:v>
      </x:c>
      <x:c r="G2995" s="3" t="n">
        <x:v>62</x:v>
      </x:c>
      <x:c r="H2995" s="3" t="n">
        <x:v>0</x:v>
      </x:c>
      <x:c r="I2995" s="3" t="n">
        <x:v>9</x:v>
      </x:c>
      <x:c r="J2995" s="15" t="n">
        <x:f>IF(D2995=0,"n.a.",E2995/D2995)</x:f>
        <x:v>0</x:v>
      </x:c>
      <x:c r="K2995" s="15" t="n">
        <x:f>F2995/'Datos'!$F$7</x:f>
        <x:v>0.000010614019189362234</x:v>
      </x:c>
      <x:c r="L2995" s="3"/>
    </x:row>
    <x:row r="2996" ht="22" customHeight="1">
      <x:c r="A2996" s="3"/>
      <x:c r="B2996" s="3" t="str">
        <x:v>79144B</x:v>
      </x:c>
      <x:c r="C2996" s="3" t="str">
        <x:v>PAINTED LIGHTBULB STAR+ MOON</x:v>
      </x:c>
      <x:c r="D2996" s="13" t="n">
        <x:v>103.65</x:v>
      </x:c>
      <x:c r="E2996" s="13" t="n">
        <x:v>0</x:v>
      </x:c>
      <x:c r="F2996" s="13" t="n">
        <x:f>D2996-E2996</x:f>
        <x:v>103.65</x:v>
      </x:c>
      <x:c r="G2996" s="3" t="n">
        <x:v>181</x:v>
      </x:c>
      <x:c r="H2996" s="3" t="n">
        <x:v>0</x:v>
      </x:c>
      <x:c r="I2996" s="3" t="n">
        <x:v>53</x:v>
      </x:c>
      <x:c r="J2996" s="15" t="n">
        <x:f>IF(D2996=0,"n.a.",E2996/D2996)</x:f>
        <x:v>0</x:v>
      </x:c>
      <x:c r="K2996" s="15" t="n">
        <x:f>F2996/'Datos'!$F$7</x:f>
        <x:v>0.000010584405320159665</x:v>
      </x:c>
      <x:c r="L2996" s="3"/>
    </x:row>
    <x:row r="2997" ht="22" customHeight="1">
      <x:c r="A2997" s="3"/>
      <x:c r="B2997" s="3" t="str">
        <x:v>85232B</x:v>
      </x:c>
      <x:c r="C2997" s="3" t="str">
        <x:v>SET OF 3 BABUSHKA STACKING TINS</x:v>
      </x:c>
      <x:c r="D2997" s="13" t="n">
        <x:v>1361.25</x:v>
      </x:c>
      <x:c r="E2997" s="13" t="n">
        <x:v>1258.05</x:v>
      </x:c>
      <x:c r="F2997" s="13" t="n">
        <x:f>D2997-E2997</x:f>
        <x:v>103.20000000000005</x:v>
      </x:c>
      <x:c r="G2997" s="3" t="n">
        <x:v>275</x:v>
      </x:c>
      <x:c r="H2997" s="3" t="n">
        <x:v>255</x:v>
      </x:c>
      <x:c r="I2997" s="3" t="n">
        <x:v>13</x:v>
      </x:c>
      <x:c r="J2997" s="15" t="n">
        <x:f>IF(D2997=0,"n.a.",E2997/D2997)</x:f>
        <x:v>0.9241873278236914</x:v>
      </x:c>
      <x:c r="K2997" s="15" t="n">
        <x:f>F2997/'Datos'!$F$7</x:f>
        <x:v>0.00001053845276450051</x:v>
      </x:c>
      <x:c r="L2997" s="3"/>
    </x:row>
    <x:row r="2998" ht="22" customHeight="1">
      <x:c r="A2998" s="3"/>
      <x:c r="B2998" s="3" t="str">
        <x:v>90032</x:v>
      </x:c>
      <x:c r="C2998" s="3" t="str">
        <x:v>IVORY SHELL HEART NECKLACE</x:v>
      </x:c>
      <x:c r="D2998" s="13" t="n">
        <x:v>103.13</x:v>
      </x:c>
      <x:c r="E2998" s="13" t="n">
        <x:v>0</x:v>
      </x:c>
      <x:c r="F2998" s="13" t="n">
        <x:f>D2998-E2998</x:f>
        <x:v>103.13</x:v>
      </x:c>
      <x:c r="G2998" s="3" t="n">
        <x:v>21</x:v>
      </x:c>
      <x:c r="H2998" s="3" t="n">
        <x:v>0</x:v>
      </x:c>
      <x:c r="I2998" s="3" t="n">
        <x:v>8</x:v>
      </x:c>
      <x:c r="J2998" s="15" t="n">
        <x:f>IF(D2998=0,"n.a.",E2998/D2998)</x:f>
        <x:v>0</x:v>
      </x:c>
      <x:c r="K2998" s="15" t="n">
        <x:f>F2998/'Datos'!$F$7</x:f>
        <x:v>0.000010531304589175747</x:v>
      </x:c>
      <x:c r="L2998" s="3"/>
    </x:row>
    <x:row r="2999" ht="22" customHeight="1">
      <x:c r="A2999" s="3"/>
      <x:c r="B2999" s="3" t="str">
        <x:v>84989A</x:v>
      </x:c>
      <x:c r="C2999" s="3" t="str">
        <x:v>75 GREEN FAIRY CAKE CASES</x:v>
      </x:c>
      <x:c r="D2999" s="13" t="n">
        <x:v>102.91</x:v>
      </x:c>
      <x:c r="E2999" s="13" t="n">
        <x:v>0</x:v>
      </x:c>
      <x:c r="F2999" s="13" t="n">
        <x:f>D2999-E2999</x:f>
        <x:v>102.91</x:v>
      </x:c>
      <x:c r="G2999" s="3" t="n">
        <x:v>70</x:v>
      </x:c>
      <x:c r="H2999" s="3" t="n">
        <x:v>0</x:v>
      </x:c>
      <x:c r="I2999" s="3" t="n">
        <x:v>42</x:v>
      </x:c>
      <x:c r="J2999" s="15" t="n">
        <x:f>IF(D2999=0,"n.a.",E2999/D2999)</x:f>
        <x:v>0</x:v>
      </x:c>
      <x:c r="K2999" s="15" t="n">
        <x:f>F2999/'Datos'!$F$7</x:f>
        <x:v>0.000010508838895297936</x:v>
      </x:c>
      <x:c r="L2999" s="3"/>
    </x:row>
    <x:row r="3000" ht="22" customHeight="1">
      <x:c r="A3000" s="3"/>
      <x:c r="B3000" s="3" t="str">
        <x:v>22879</x:v>
      </x:c>
      <x:c r="C3000" s="3" t="str">
        <x:v>NUMBER TILE VINTAGE FONT 0</x:v>
      </x:c>
      <x:c r="D3000" s="13" t="n">
        <x:v>102.46</x:v>
      </x:c>
      <x:c r="E3000" s="13" t="n">
        <x:v>0</x:v>
      </x:c>
      <x:c r="F3000" s="13" t="n">
        <x:f>D3000-E3000</x:f>
        <x:v>102.46</x:v>
      </x:c>
      <x:c r="G3000" s="3" t="n">
        <x:v>70</x:v>
      </x:c>
      <x:c r="H3000" s="3" t="n">
        <x:v>0</x:v>
      </x:c>
      <x:c r="I3000" s="3" t="n">
        <x:v>16</x:v>
      </x:c>
      <x:c r="J3000" s="15" t="n">
        <x:f>IF(D3000=0,"n.a.",E3000/D3000)</x:f>
        <x:v>0</x:v>
      </x:c>
      <x:c r="K3000" s="15" t="n">
        <x:f>F3000/'Datos'!$F$7</x:f>
        <x:v>0.000010462886339638776</x:v>
      </x:c>
      <x:c r="L3000" s="3"/>
    </x:row>
    <x:row r="3001" ht="22" customHeight="1">
      <x:c r="A3001" s="3"/>
      <x:c r="B3001" s="3" t="str">
        <x:v>90063A</x:v>
      </x:c>
      <x:c r="C3001" s="3" t="str">
        <x:v>WHITE VINT ART DECO CRYSTAL NECKLAC</x:v>
      </x:c>
      <x:c r="D3001" s="13" t="n">
        <x:v>102</x:v>
      </x:c>
      <x:c r="E3001" s="13" t="n">
        <x:v>0</x:v>
      </x:c>
      <x:c r="F3001" s="13" t="n">
        <x:f>D3001-E3001</x:f>
        <x:v>102</x:v>
      </x:c>
      <x:c r="G3001" s="3" t="n">
        <x:v>12</x:v>
      </x:c>
      <x:c r="H3001" s="3" t="n">
        <x:v>0</x:v>
      </x:c>
      <x:c r="I3001" s="3" t="n">
        <x:v>8</x:v>
      </x:c>
      <x:c r="J3001" s="15" t="n">
        <x:f>IF(D3001=0,"n.a.",E3001/D3001)</x:f>
        <x:v>0</x:v>
      </x:c>
      <x:c r="K3001" s="15" t="n">
        <x:f>F3001/'Datos'!$F$7</x:f>
        <x:v>0.000010415912616076081</x:v>
      </x:c>
      <x:c r="L3001" s="3"/>
    </x:row>
    <x:row r="3002" ht="22" customHeight="1">
      <x:c r="A3002" s="3"/>
      <x:c r="B3002" s="3" t="str">
        <x:v>90196A</x:v>
      </x:c>
      <x:c r="C3002" s="3" t="str">
        <x:v>PURPLE GEMSTONE NECKLACE 45CM</x:v>
      </x:c>
      <x:c r="D3002" s="13" t="n">
        <x:v>102</x:v>
      </x:c>
      <x:c r="E3002" s="13" t="n">
        <x:v>0</x:v>
      </x:c>
      <x:c r="F3002" s="13" t="n">
        <x:f>D3002-E3002</x:f>
        <x:v>102</x:v>
      </x:c>
      <x:c r="G3002" s="3" t="n">
        <x:v>8</x:v>
      </x:c>
      <x:c r="H3002" s="3" t="n">
        <x:v>0</x:v>
      </x:c>
      <x:c r="I3002" s="3" t="n">
        <x:v>5</x:v>
      </x:c>
      <x:c r="J3002" s="15" t="n">
        <x:f>IF(D3002=0,"n.a.",E3002/D3002)</x:f>
        <x:v>0</x:v>
      </x:c>
      <x:c r="K3002" s="15" t="n">
        <x:f>F3002/'Datos'!$F$7</x:f>
        <x:v>0.000010415912616076081</x:v>
      </x:c>
      <x:c r="L3002" s="3"/>
    </x:row>
    <x:row r="3003" ht="22" customHeight="1">
      <x:c r="A3003" s="3"/>
      <x:c r="B3003" s="3" t="str">
        <x:v>20701</x:v>
      </x:c>
      <x:c r="C3003" s="3" t="str">
        <x:v>PINK CAT FLORAL CUSHION COVER</x:v>
      </x:c>
      <x:c r="D3003" s="13" t="n">
        <x:v>100.97</x:v>
      </x:c>
      <x:c r="E3003" s="13" t="n">
        <x:v>0</x:v>
      </x:c>
      <x:c r="F3003" s="13" t="n">
        <x:f>D3003-E3003</x:f>
        <x:v>100.97</x:v>
      </x:c>
      <x:c r="G3003" s="3" t="n">
        <x:v>25</x:v>
      </x:c>
      <x:c r="H3003" s="3" t="n">
        <x:v>0</x:v>
      </x:c>
      <x:c r="I3003" s="3" t="n">
        <x:v>18</x:v>
      </x:c>
      <x:c r="J3003" s="15" t="n">
        <x:f>IF(D3003=0,"n.a.",E3003/D3003)</x:f>
        <x:v>0</x:v>
      </x:c>
      <x:c r="K3003" s="15" t="n">
        <x:f>F3003/'Datos'!$F$7</x:f>
        <x:v>0.000010310732322011783</x:v>
      </x:c>
      <x:c r="L3003" s="3"/>
    </x:row>
    <x:row r="3004" ht="22" customHeight="1">
      <x:c r="A3004" s="3"/>
      <x:c r="B3004" s="3" t="str">
        <x:v>35637C</x:v>
      </x:c>
      <x:c r="C3004" s="3" t="str">
        <x:v>PINK STRING CURTAIN WITH POLE</x:v>
      </x:c>
      <x:c r="D3004" s="13" t="n">
        <x:v>100.86</x:v>
      </x:c>
      <x:c r="E3004" s="13" t="n">
        <x:v>0</x:v>
      </x:c>
      <x:c r="F3004" s="13" t="n">
        <x:f>D3004-E3004</x:f>
        <x:v>100.86</x:v>
      </x:c>
      <x:c r="G3004" s="3" t="n">
        <x:v>30</x:v>
      </x:c>
      <x:c r="H3004" s="3" t="n">
        <x:v>0</x:v>
      </x:c>
      <x:c r="I3004" s="3" t="n">
        <x:v>9</x:v>
      </x:c>
      <x:c r="J3004" s="15" t="n">
        <x:f>IF(D3004=0,"n.a.",E3004/D3004)</x:f>
        <x:v>0</x:v>
      </x:c>
      <x:c r="K3004" s="15" t="n">
        <x:f>F3004/'Datos'!$F$7</x:f>
        <x:v>0.000010299499475072878</x:v>
      </x:c>
      <x:c r="L3004" s="3"/>
    </x:row>
    <x:row r="3005" ht="22" customHeight="1">
      <x:c r="A3005" s="3"/>
      <x:c r="B3005" s="3" t="str">
        <x:v>16033</x:v>
      </x:c>
      <x:c r="C3005" s="3" t="str">
        <x:v>MINI HIGHLIGHTER PENS</x:v>
      </x:c>
      <x:c r="D3005" s="13" t="n">
        <x:v>100.8</x:v>
      </x:c>
      <x:c r="E3005" s="13" t="n">
        <x:v>0</x:v>
      </x:c>
      <x:c r="F3005" s="13" t="n">
        <x:f>D3005-E3005</x:f>
        <x:v>100.8</x:v>
      </x:c>
      <x:c r="G3005" s="3" t="n">
        <x:v>840</x:v>
      </x:c>
      <x:c r="H3005" s="3" t="n">
        <x:v>0</x:v>
      </x:c>
      <x:c r="I3005" s="3" t="n">
        <x:v>4</x:v>
      </x:c>
      <x:c r="J3005" s="15" t="n">
        <x:f>IF(D3005=0,"n.a.",E3005/D3005)</x:f>
        <x:v>0</x:v>
      </x:c>
      <x:c r="K3005" s="15" t="n">
        <x:f>F3005/'Datos'!$F$7</x:f>
        <x:v>0.000010293372467651656</x:v>
      </x:c>
      <x:c r="L3005" s="3"/>
    </x:row>
    <x:row r="3006" ht="22" customHeight="1">
      <x:c r="A3006" s="3"/>
      <x:c r="B3006" s="3" t="str">
        <x:v>35911B</x:v>
      </x:c>
      <x:c r="C3006" s="3" t="str">
        <x:v>PINK/FLOWER RABBIT EGG WARMER</x:v>
      </x:c>
      <x:c r="D3006" s="13" t="n">
        <x:v>100.76</x:v>
      </x:c>
      <x:c r="E3006" s="13" t="n">
        <x:v>0</x:v>
      </x:c>
      <x:c r="F3006" s="13" t="n">
        <x:f>D3006-E3006</x:f>
        <x:v>100.76</x:v>
      </x:c>
      <x:c r="G3006" s="3" t="n">
        <x:v>119</x:v>
      </x:c>
      <x:c r="H3006" s="3" t="n">
        <x:v>0</x:v>
      </x:c>
      <x:c r="I3006" s="3" t="n">
        <x:v>15</x:v>
      </x:c>
      <x:c r="J3006" s="15" t="n">
        <x:f>IF(D3006=0,"n.a.",E3006/D3006)</x:f>
        <x:v>0</x:v>
      </x:c>
      <x:c r="K3006" s="15" t="n">
        <x:f>F3006/'Datos'!$F$7</x:f>
        <x:v>0.00001028928779603751</x:v>
      </x:c>
      <x:c r="L3006" s="3"/>
    </x:row>
    <x:row r="3007" ht="22" customHeight="1">
      <x:c r="A3007" s="3"/>
      <x:c r="B3007" s="3" t="str">
        <x:v>21370</x:v>
      </x:c>
      <x:c r="C3007" s="3" t="str">
        <x:v>MIRRORED WALL ART FOXY</x:v>
      </x:c>
      <x:c r="D3007" s="13" t="n">
        <x:v>100.66</x:v>
      </x:c>
      <x:c r="E3007" s="13" t="n">
        <x:v>0</x:v>
      </x:c>
      <x:c r="F3007" s="13" t="n">
        <x:f>D3007-E3007</x:f>
        <x:v>100.66</x:v>
      </x:c>
      <x:c r="G3007" s="3" t="n">
        <x:v>16</x:v>
      </x:c>
      <x:c r="H3007" s="3" t="n">
        <x:v>0</x:v>
      </x:c>
      <x:c r="I3007" s="3" t="n">
        <x:v>9</x:v>
      </x:c>
      <x:c r="J3007" s="15" t="n">
        <x:f>IF(D3007=0,"n.a.",E3007/D3007)</x:f>
        <x:v>0</x:v>
      </x:c>
      <x:c r="K3007" s="15" t="n">
        <x:f>F3007/'Datos'!$F$7</x:f>
        <x:v>0.00001027907611700214</x:v>
      </x:c>
      <x:c r="L3007" s="3"/>
    </x:row>
    <x:row r="3008" ht="22" customHeight="1">
      <x:c r="A3008" s="3"/>
      <x:c r="B3008" s="3" t="str">
        <x:v>22407</x:v>
      </x:c>
      <x:c r="C3008" s="3" t="str">
        <x:v>MONEY BOX FIRST ADE DESIGN</x:v>
      </x:c>
      <x:c r="D3008" s="13" t="n">
        <x:v>100.53</x:v>
      </x:c>
      <x:c r="E3008" s="13" t="n">
        <x:v>0</x:v>
      </x:c>
      <x:c r="F3008" s="13" t="n">
        <x:f>D3008-E3008</x:f>
        <x:v>100.53</x:v>
      </x:c>
      <x:c r="G3008" s="3" t="n">
        <x:v>95</x:v>
      </x:c>
      <x:c r="H3008" s="3" t="n">
        <x:v>0</x:v>
      </x:c>
      <x:c r="I3008" s="3" t="n">
        <x:v>24</x:v>
      </x:c>
      <x:c r="J3008" s="15" t="n">
        <x:f>IF(D3008=0,"n.a.",E3008/D3008)</x:f>
        <x:v>0</x:v>
      </x:c>
      <x:c r="K3008" s="15" t="n">
        <x:f>F3008/'Datos'!$F$7</x:f>
        <x:v>0.00001026580093425616</x:v>
      </x:c>
      <x:c r="L3008" s="3"/>
    </x:row>
    <x:row r="3009" ht="22" customHeight="1">
      <x:c r="A3009" s="3"/>
      <x:c r="B3009" s="3" t="str">
        <x:v>20795</x:v>
      </x:c>
      <x:c r="C3009" s="3" t="str">
        <x:v>LARGE BLUE PROVENCAL CERAMIC BALL</x:v>
      </x:c>
      <x:c r="D3009" s="13" t="n">
        <x:v>113.05</x:v>
      </x:c>
      <x:c r="E3009" s="13" t="n">
        <x:v>12.6</x:v>
      </x:c>
      <x:c r="F3009" s="13" t="n">
        <x:f>D3009-E3009</x:f>
        <x:v>100.45</x:v>
      </x:c>
      <x:c r="G3009" s="3" t="n">
        <x:v>49</x:v>
      </x:c>
      <x:c r="H3009" s="3" t="n">
        <x:v>6</x:v>
      </x:c>
      <x:c r="I3009" s="3" t="n">
        <x:v>11</x:v>
      </x:c>
      <x:c r="J3009" s="15" t="n">
        <x:f>IF(D3009=0,"n.a.",E3009/D3009)</x:f>
        <x:v>0.11145510835913312</x:v>
      </x:c>
      <x:c r="K3009" s="15" t="n">
        <x:f>F3009/'Datos'!$F$7</x:f>
        <x:v>0.000010257631591027865</x:v>
      </x:c>
      <x:c r="L3009" s="3"/>
    </x:row>
    <x:row r="3010" ht="22" customHeight="1">
      <x:c r="A3010" s="3"/>
      <x:c r="B3010" s="3" t="str">
        <x:v>90010B</x:v>
      </x:c>
      <x:c r="C3010" s="3" t="str">
        <x:v>BLACK/WHITE GLASS/SILVER BRACELET</x:v>
      </x:c>
      <x:c r="D3010" s="13" t="n">
        <x:v>100.09</x:v>
      </x:c>
      <x:c r="E3010" s="13" t="n">
        <x:v>0</x:v>
      </x:c>
      <x:c r="F3010" s="13" t="n">
        <x:f>D3010-E3010</x:f>
        <x:v>100.09</x:v>
      </x:c>
      <x:c r="G3010" s="3" t="n">
        <x:v>11</x:v>
      </x:c>
      <x:c r="H3010" s="3" t="n">
        <x:v>0</x:v>
      </x:c>
      <x:c r="I3010" s="3" t="n">
        <x:v>7</x:v>
      </x:c>
      <x:c r="J3010" s="15" t="n">
        <x:f>IF(D3010=0,"n.a.",E3010/D3010)</x:f>
        <x:v>0</x:v>
      </x:c>
      <x:c r="K3010" s="15" t="n">
        <x:f>F3010/'Datos'!$F$7</x:f>
        <x:v>0.000010220869546500539</x:v>
      </x:c>
      <x:c r="L3010" s="3"/>
    </x:row>
    <x:row r="3011" ht="22" customHeight="1">
      <x:c r="A3011" s="3"/>
      <x:c r="B3011" s="3" t="str">
        <x:v>23611</x:v>
      </x:c>
      <x:c r="C3011" s="3" t="str">
        <x:v>SET 10 CARDS RED RIDING HOOD 17214</x:v>
      </x:c>
      <x:c r="D3011" s="13" t="n">
        <x:v>99.6</x:v>
      </x:c>
      <x:c r="E3011" s="13" t="n">
        <x:v>0</x:v>
      </x:c>
      <x:c r="F3011" s="13" t="n">
        <x:f>D3011-E3011</x:f>
        <x:v>99.6</x:v>
      </x:c>
      <x:c r="G3011" s="3" t="n">
        <x:v>40</x:v>
      </x:c>
      <x:c r="H3011" s="3" t="n">
        <x:v>0</x:v>
      </x:c>
      <x:c r="I3011" s="3" t="n">
        <x:v>16</x:v>
      </x:c>
      <x:c r="J3011" s="15" t="n">
        <x:f>IF(D3011=0,"n.a.",E3011/D3011)</x:f>
        <x:v>0</x:v>
      </x:c>
      <x:c r="K3011" s="15" t="n">
        <x:f>F3011/'Datos'!$F$7</x:f>
        <x:v>0.000010170832319227231</x:v>
      </x:c>
      <x:c r="L3011" s="3"/>
    </x:row>
    <x:row r="3012" ht="22" customHeight="1">
      <x:c r="A3012" s="3"/>
      <x:c r="B3012" s="3" t="str">
        <x:v>90081C</x:v>
      </x:c>
      <x:c r="C3012" s="3" t="str">
        <x:v>LILY BROOCH OLIVE COLOUR</x:v>
      </x:c>
      <x:c r="D3012" s="13" t="n">
        <x:v>99.6</x:v>
      </x:c>
      <x:c r="E3012" s="13" t="n">
        <x:v>0</x:v>
      </x:c>
      <x:c r="F3012" s="13" t="n">
        <x:f>D3012-E3012</x:f>
        <x:v>99.6</x:v>
      </x:c>
      <x:c r="G3012" s="3" t="n">
        <x:v>20</x:v>
      </x:c>
      <x:c r="H3012" s="3" t="n">
        <x:v>0</x:v>
      </x:c>
      <x:c r="I3012" s="3" t="n">
        <x:v>15</x:v>
      </x:c>
      <x:c r="J3012" s="15" t="n">
        <x:f>IF(D3012=0,"n.a.",E3012/D3012)</x:f>
        <x:v>0</x:v>
      </x:c>
      <x:c r="K3012" s="15" t="n">
        <x:f>F3012/'Datos'!$F$7</x:f>
        <x:v>0.000010170832319227231</x:v>
      </x:c>
      <x:c r="L3012" s="3"/>
    </x:row>
    <x:row r="3013" ht="22" customHeight="1">
      <x:c r="A3013" s="3"/>
      <x:c r="B3013" s="3" t="str">
        <x:v>90183A</x:v>
      </x:c>
      <x:c r="C3013" s="3" t="str">
        <x:v>AMBER DROP EARRINGS W LONG BEADS</x:v>
      </x:c>
      <x:c r="D3013" s="13" t="n">
        <x:v>117.24</x:v>
      </x:c>
      <x:c r="E3013" s="13" t="n">
        <x:v>17.7</x:v>
      </x:c>
      <x:c r="F3013" s="13" t="n">
        <x:f>D3013-E3013</x:f>
        <x:v>99.53999999999999</x:v>
      </x:c>
      <x:c r="G3013" s="3" t="n">
        <x:v>40</x:v>
      </x:c>
      <x:c r="H3013" s="3" t="n">
        <x:v>6</x:v>
      </x:c>
      <x:c r="I3013" s="3" t="n">
        <x:v>23</x:v>
      </x:c>
      <x:c r="J3013" s="15" t="n">
        <x:f>IF(D3013=0,"n.a.",E3013/D3013)</x:f>
        <x:v>0.15097236438075742</x:v>
      </x:c>
      <x:c r="K3013" s="15" t="n">
        <x:f>F3013/'Datos'!$F$7</x:f>
        <x:v>0.00001016470531180601</x:v>
      </x:c>
      <x:c r="L3013" s="3"/>
    </x:row>
    <x:row r="3014" ht="22" customHeight="1">
      <x:c r="A3014" s="3"/>
      <x:c r="B3014" s="3" t="str">
        <x:v>17091A</x:v>
      </x:c>
      <x:c r="C3014" s="3" t="str">
        <x:v>LAVENDER INCENSE IN TIN</x:v>
      </x:c>
      <x:c r="D3014" s="13" t="n">
        <x:v>99.29</x:v>
      </x:c>
      <x:c r="E3014" s="13" t="n">
        <x:v>0</x:v>
      </x:c>
      <x:c r="F3014" s="13" t="n">
        <x:f>D3014-E3014</x:f>
        <x:v>99.29</x:v>
      </x:c>
      <x:c r="G3014" s="3" t="n">
        <x:v>172</x:v>
      </x:c>
      <x:c r="H3014" s="3" t="n">
        <x:v>0</x:v>
      </x:c>
      <x:c r="I3014" s="3" t="n">
        <x:v>25</x:v>
      </x:c>
      <x:c r="J3014" s="15" t="n">
        <x:f>IF(D3014=0,"n.a.",E3014/D3014)</x:f>
        <x:v>0</x:v>
      </x:c>
      <x:c r="K3014" s="15" t="n">
        <x:f>F3014/'Datos'!$F$7</x:f>
        <x:v>0.000010139176114217589</x:v>
      </x:c>
      <x:c r="L3014" s="3"/>
    </x:row>
    <x:row r="3015" ht="22" customHeight="1">
      <x:c r="A3015" s="3"/>
      <x:c r="B3015" s="3" t="str">
        <x:v>23464</x:v>
      </x:c>
      <x:c r="C3015" s="3" t="str">
        <x:v>VINTAGE ZINC WATERING CAN SMALL</x:v>
      </x:c>
      <x:c r="D3015" s="13" t="n">
        <x:v>99.2</x:v>
      </x:c>
      <x:c r="E3015" s="13" t="n">
        <x:v>0</x:v>
      </x:c>
      <x:c r="F3015" s="13" t="n">
        <x:f>D3015-E3015</x:f>
        <x:v>99.2</x:v>
      </x:c>
      <x:c r="G3015" s="3" t="n">
        <x:v>18</x:v>
      </x:c>
      <x:c r="H3015" s="3" t="n">
        <x:v>0</x:v>
      </x:c>
      <x:c r="I3015" s="3" t="n">
        <x:v>8</x:v>
      </x:c>
      <x:c r="J3015" s="15" t="n">
        <x:f>IF(D3015=0,"n.a.",E3015/D3015)</x:f>
        <x:v>0</x:v>
      </x:c>
      <x:c r="K3015" s="15" t="n">
        <x:f>F3015/'Datos'!$F$7</x:f>
        <x:v>0.000010129985603085758</x:v>
      </x:c>
      <x:c r="L3015" s="3"/>
    </x:row>
    <x:row r="3016" ht="22" customHeight="1">
      <x:c r="A3016" s="3"/>
      <x:c r="B3016" s="3" t="str">
        <x:v>84898F</x:v>
      </x:c>
      <x:c r="C3016" s="3" t="str">
        <x:v>YELLOW FLOWERS FELT HANDBAG KIT</x:v>
      </x:c>
      <x:c r="D3016" s="13" t="n">
        <x:v>98.63</x:v>
      </x:c>
      <x:c r="E3016" s="13" t="n">
        <x:v>0</x:v>
      </x:c>
      <x:c r="F3016" s="13" t="n">
        <x:f>D3016-E3016</x:f>
        <x:v>98.63</x:v>
      </x:c>
      <x:c r="G3016" s="3" t="n">
        <x:v>46</x:v>
      </x:c>
      <x:c r="H3016" s="3" t="n">
        <x:v>0</x:v>
      </x:c>
      <x:c r="I3016" s="3" t="n">
        <x:v>19</x:v>
      </x:c>
      <x:c r="J3016" s="15" t="n">
        <x:f>IF(D3016=0,"n.a.",E3016/D3016)</x:f>
        <x:v>0</x:v>
      </x:c>
      <x:c r="K3016" s="15" t="n">
        <x:f>F3016/'Datos'!$F$7</x:f>
        <x:v>0.000010071779032584155</x:v>
      </x:c>
      <x:c r="L3016" s="3"/>
    </x:row>
    <x:row r="3017" ht="22" customHeight="1">
      <x:c r="A3017" s="3"/>
      <x:c r="B3017" s="3" t="str">
        <x:v>79144C</x:v>
      </x:c>
      <x:c r="C3017" s="3" t="str">
        <x:v>PAINTED LIGHTBULB RAINBOW DESIGN</x:v>
      </x:c>
      <x:c r="D3017" s="13" t="n">
        <x:v>98.54</x:v>
      </x:c>
      <x:c r="E3017" s="13" t="n">
        <x:v>0</x:v>
      </x:c>
      <x:c r="F3017" s="13" t="n">
        <x:f>D3017-E3017</x:f>
        <x:v>98.54</x:v>
      </x:c>
      <x:c r="G3017" s="3" t="n">
        <x:v>153</x:v>
      </x:c>
      <x:c r="H3017" s="3" t="n">
        <x:v>0</x:v>
      </x:c>
      <x:c r="I3017" s="3" t="n">
        <x:v>51</x:v>
      </x:c>
      <x:c r="J3017" s="15" t="n">
        <x:f>IF(D3017=0,"n.a.",E3017/D3017)</x:f>
        <x:v>0</x:v>
      </x:c>
      <x:c r="K3017" s="15" t="n">
        <x:f>F3017/'Datos'!$F$7</x:f>
        <x:v>0.000010062588521452323</x:v>
      </x:c>
      <x:c r="L3017" s="3"/>
    </x:row>
    <x:row r="3018" ht="22" customHeight="1">
      <x:c r="A3018" s="3"/>
      <x:c r="B3018" s="3" t="str">
        <x:v>84723</x:v>
      </x:c>
      <x:c r="C3018" s="3" t="str">
        <x:v>CHERRY BLOSSOM CANVAS ART PICTURE</x:v>
      </x:c>
      <x:c r="D3018" s="13" t="n">
        <x:v>97.95</x:v>
      </x:c>
      <x:c r="E3018" s="13" t="n">
        <x:v>0</x:v>
      </x:c>
      <x:c r="F3018" s="13" t="n">
        <x:f>D3018-E3018</x:f>
        <x:v>97.95</x:v>
      </x:c>
      <x:c r="G3018" s="3" t="n">
        <x:v>41</x:v>
      </x:c>
      <x:c r="H3018" s="3" t="n">
        <x:v>0</x:v>
      </x:c>
      <x:c r="I3018" s="3" t="n">
        <x:v>6</x:v>
      </x:c>
      <x:c r="J3018" s="15" t="n">
        <x:f>IF(D3018=0,"n.a.",E3018/D3018)</x:f>
        <x:v>0</x:v>
      </x:c>
      <x:c r="K3018" s="15" t="n">
        <x:f>F3018/'Datos'!$F$7</x:f>
        <x:v>0.000010002339615143648</x:v>
      </x:c>
      <x:c r="L3018" s="3"/>
    </x:row>
    <x:row r="3019" ht="22" customHeight="1">
      <x:c r="A3019" s="3"/>
      <x:c r="B3019" s="3" t="str">
        <x:v>90003D</x:v>
      </x:c>
      <x:c r="C3019" s="3" t="str">
        <x:v>CRYSTAL PAIR HEART HAIR SLIDES</x:v>
      </x:c>
      <x:c r="D3019" s="13" t="n">
        <x:v>112.26</x:v>
      </x:c>
      <x:c r="E3019" s="13" t="n">
        <x:v>15</x:v>
      </x:c>
      <x:c r="F3019" s="13" t="n">
        <x:f>D3019-E3019</x:f>
        <x:v>97.26</x:v>
      </x:c>
      <x:c r="G3019" s="3" t="n">
        <x:v>30</x:v>
      </x:c>
      <x:c r="H3019" s="3" t="n">
        <x:v>4</x:v>
      </x:c>
      <x:c r="I3019" s="3" t="n">
        <x:v>16</x:v>
      </x:c>
      <x:c r="J3019" s="15" t="n">
        <x:f>IF(D3019=0,"n.a.",E3019/D3019)</x:f>
        <x:v>0.13361838588989844</x:v>
      </x:c>
      <x:c r="K3019" s="15" t="n">
        <x:f>F3019/'Datos'!$F$7</x:f>
        <x:v>0.000009931879029799605</x:v>
      </x:c>
      <x:c r="L3019" s="3"/>
    </x:row>
    <x:row r="3020" ht="22" customHeight="1">
      <x:c r="A3020" s="3"/>
      <x:c r="B3020" s="3" t="str">
        <x:v>47369B</x:v>
      </x:c>
      <x:c r="C3020" s="3" t="str">
        <x:v>BLUE GREEN EMBROIDERY COSMETIC BAG</x:v>
      </x:c>
      <x:c r="D3020" s="13" t="n">
        <x:v>97.13</x:v>
      </x:c>
      <x:c r="E3020" s="13" t="n">
        <x:v>0</x:v>
      </x:c>
      <x:c r="F3020" s="13" t="n">
        <x:f>D3020-E3020</x:f>
        <x:v>97.13</x:v>
      </x:c>
      <x:c r="G3020" s="3" t="n">
        <x:v>35</x:v>
      </x:c>
      <x:c r="H3020" s="3" t="n">
        <x:v>0</x:v>
      </x:c>
      <x:c r="I3020" s="3" t="n">
        <x:v>22</x:v>
      </x:c>
      <x:c r="J3020" s="15" t="n">
        <x:f>IF(D3020=0,"n.a.",E3020/D3020)</x:f>
        <x:v>0</x:v>
      </x:c>
      <x:c r="K3020" s="15" t="n">
        <x:f>F3020/'Datos'!$F$7</x:f>
        <x:v>0.000009918603847053625</x:v>
      </x:c>
      <x:c r="L3020" s="3"/>
    </x:row>
    <x:row r="3021" ht="22" customHeight="1">
      <x:c r="A3021" s="3"/>
      <x:c r="B3021" s="3" t="str">
        <x:v>84806A</x:v>
      </x:c>
      <x:c r="C3021" s="3" t="str">
        <x:v>PINK CANDYSTUFT ARTIFICIAL FLOWER</x:v>
      </x:c>
      <x:c r="D3021" s="13" t="n">
        <x:v>96.89</x:v>
      </x:c>
      <x:c r="E3021" s="13" t="n">
        <x:v>0</x:v>
      </x:c>
      <x:c r="F3021" s="13" t="n">
        <x:f>D3021-E3021</x:f>
        <x:v>96.89</x:v>
      </x:c>
      <x:c r="G3021" s="3" t="n">
        <x:v>137</x:v>
      </x:c>
      <x:c r="H3021" s="3" t="n">
        <x:v>0</x:v>
      </x:c>
      <x:c r="I3021" s="3" t="n">
        <x:v>11</x:v>
      </x:c>
      <x:c r="J3021" s="15" t="n">
        <x:f>IF(D3021=0,"n.a.",E3021/D3021)</x:f>
        <x:v>0</x:v>
      </x:c>
      <x:c r="K3021" s="15" t="n">
        <x:f>F3021/'Datos'!$F$7</x:f>
        <x:v>0.00000989409581736874</x:v>
      </x:c>
      <x:c r="L3021" s="3"/>
    </x:row>
    <x:row r="3022" ht="22" customHeight="1">
      <x:c r="A3022" s="3"/>
      <x:c r="B3022" s="3" t="str">
        <x:v>84801A</x:v>
      </x:c>
      <x:c r="C3022" s="3" t="str">
        <x:v>PINK HYDRANGEA ART FLOWER</x:v>
      </x:c>
      <x:c r="D3022" s="13" t="n">
        <x:v>96.6</x:v>
      </x:c>
      <x:c r="E3022" s="13" t="n">
        <x:v>0</x:v>
      </x:c>
      <x:c r="F3022" s="13" t="n">
        <x:f>D3022-E3022</x:f>
        <x:v>96.6</x:v>
      </x:c>
      <x:c r="G3022" s="3" t="n">
        <x:v>46</x:v>
      </x:c>
      <x:c r="H3022" s="3" t="n">
        <x:v>0</x:v>
      </x:c>
      <x:c r="I3022" s="3" t="n">
        <x:v>5</x:v>
      </x:c>
      <x:c r="J3022" s="15" t="n">
        <x:f>IF(D3022=0,"n.a.",E3022/D3022)</x:f>
        <x:v>0</x:v>
      </x:c>
      <x:c r="K3022" s="15" t="n">
        <x:f>F3022/'Datos'!$F$7</x:f>
        <x:v>0.00000986448194816617</x:v>
      </x:c>
      <x:c r="L3022" s="3"/>
    </x:row>
    <x:row r="3023" ht="22" customHeight="1">
      <x:c r="A3023" s="3"/>
      <x:c r="B3023" s="3" t="str">
        <x:v>90019B</x:v>
      </x:c>
      <x:c r="C3023" s="3" t="str">
        <x:v>GOLD M.O.P ORBIT BRACELET</x:v>
      </x:c>
      <x:c r="D3023" s="13" t="n">
        <x:v>96.52</x:v>
      </x:c>
      <x:c r="E3023" s="13" t="n">
        <x:v>0</x:v>
      </x:c>
      <x:c r="F3023" s="13" t="n">
        <x:f>D3023-E3023</x:f>
        <x:v>96.52</x:v>
      </x:c>
      <x:c r="G3023" s="3" t="n">
        <x:v>18</x:v>
      </x:c>
      <x:c r="H3023" s="3" t="n">
        <x:v>0</x:v>
      </x:c>
      <x:c r="I3023" s="3" t="n">
        <x:v>18</x:v>
      </x:c>
      <x:c r="J3023" s="15" t="n">
        <x:f>IF(D3023=0,"n.a.",E3023/D3023)</x:f>
        <x:v>0</x:v>
      </x:c>
      <x:c r="K3023" s="15" t="n">
        <x:f>F3023/'Datos'!$F$7</x:f>
        <x:v>0.000009856312604937875</x:v>
      </x:c>
      <x:c r="L3023" s="3"/>
    </x:row>
    <x:row r="3024" ht="22" customHeight="1">
      <x:c r="A3024" s="3"/>
      <x:c r="B3024" s="3" t="str">
        <x:v>82613A</x:v>
      </x:c>
      <x:c r="C3024" s="3" t="str">
        <x:v>METAL SIGN,CUPCAKE SINGLE HOOK</x:v>
      </x:c>
      <x:c r="D3024" s="13" t="n">
        <x:v>96.09</x:v>
      </x:c>
      <x:c r="E3024" s="13" t="n">
        <x:v>0</x:v>
      </x:c>
      <x:c r="F3024" s="13" t="n">
        <x:f>D3024-E3024</x:f>
        <x:v>96.09</x:v>
      </x:c>
      <x:c r="G3024" s="3" t="n">
        <x:v>73</x:v>
      </x:c>
      <x:c r="H3024" s="3" t="n">
        <x:v>0</x:v>
      </x:c>
      <x:c r="I3024" s="3" t="n">
        <x:v>19</x:v>
      </x:c>
      <x:c r="J3024" s="15" t="n">
        <x:f>IF(D3024=0,"n.a.",E3024/D3024)</x:f>
        <x:v>0</x:v>
      </x:c>
      <x:c r="K3024" s="15" t="n">
        <x:f>F3024/'Datos'!$F$7</x:f>
        <x:v>0.00000981240238508579</x:v>
      </x:c>
      <x:c r="L3024" s="3"/>
    </x:row>
    <x:row r="3025" ht="22" customHeight="1">
      <x:c r="A3025" s="3"/>
      <x:c r="B3025" s="3" t="str">
        <x:v>90036D</x:v>
      </x:c>
      <x:c r="C3025" s="3" t="str">
        <x:v>FLOWER GLASS GARLAND NECKL.36"BLACK</x:v>
      </x:c>
      <x:c r="D3025" s="13" t="n">
        <x:v>95.35</x:v>
      </x:c>
      <x:c r="E3025" s="13" t="n">
        <x:v>0</x:v>
      </x:c>
      <x:c r="F3025" s="13" t="n">
        <x:f>D3025-E3025</x:f>
        <x:v>95.35</x:v>
      </x:c>
      <x:c r="G3025" s="3" t="n">
        <x:v>12</x:v>
      </x:c>
      <x:c r="H3025" s="3" t="n">
        <x:v>0</x:v>
      </x:c>
      <x:c r="I3025" s="3" t="n">
        <x:v>5</x:v>
      </x:c>
      <x:c r="J3025" s="15" t="n">
        <x:f>IF(D3025=0,"n.a.",E3025/D3025)</x:f>
        <x:v>0</x:v>
      </x:c>
      <x:c r="K3025" s="15" t="n">
        <x:f>F3025/'Datos'!$F$7</x:f>
        <x:v>0.000009736835960224061</x:v>
      </x:c>
      <x:c r="L3025" s="3"/>
    </x:row>
    <x:row r="3026" ht="22" customHeight="1">
      <x:c r="A3026" s="3"/>
      <x:c r="B3026" s="3" t="str">
        <x:v>90146</x:v>
      </x:c>
      <x:c r="C3026" s="3" t="str">
        <x:v>FINE SILVER NECKLACE W PASTEL FLOWE</x:v>
      </x:c>
      <x:c r="D3026" s="13" t="n">
        <x:v>95.35</x:v>
      </x:c>
      <x:c r="E3026" s="13" t="n">
        <x:v>0</x:v>
      </x:c>
      <x:c r="F3026" s="13" t="n">
        <x:f>D3026-E3026</x:f>
        <x:v>95.35</x:v>
      </x:c>
      <x:c r="G3026" s="3" t="n">
        <x:v>17</x:v>
      </x:c>
      <x:c r="H3026" s="3" t="n">
        <x:v>0</x:v>
      </x:c>
      <x:c r="I3026" s="3" t="n">
        <x:v>7</x:v>
      </x:c>
      <x:c r="J3026" s="15" t="n">
        <x:f>IF(D3026=0,"n.a.",E3026/D3026)</x:f>
        <x:v>0</x:v>
      </x:c>
      <x:c r="K3026" s="15" t="n">
        <x:f>F3026/'Datos'!$F$7</x:f>
        <x:v>0.000009736835960224061</x:v>
      </x:c>
      <x:c r="L3026" s="3"/>
    </x:row>
    <x:row r="3027" ht="22" customHeight="1">
      <x:c r="A3027" s="3"/>
      <x:c r="B3027" s="3" t="str">
        <x:v>90178A</x:v>
      </x:c>
      <x:c r="C3027" s="3" t="str">
        <x:v>AMBER CHUNKY GLASS+BEAD NECKLACE</x:v>
      </x:c>
      <x:c r="D3027" s="13" t="n">
        <x:v>95.25</x:v>
      </x:c>
      <x:c r="E3027" s="13" t="n">
        <x:v>0</x:v>
      </x:c>
      <x:c r="F3027" s="13" t="n">
        <x:f>D3027-E3027</x:f>
        <x:v>95.25</x:v>
      </x:c>
      <x:c r="G3027" s="3" t="n">
        <x:v>8</x:v>
      </x:c>
      <x:c r="H3027" s="3" t="n">
        <x:v>0</x:v>
      </x:c>
      <x:c r="I3027" s="3" t="n">
        <x:v>8</x:v>
      </x:c>
      <x:c r="J3027" s="15" t="n">
        <x:f>IF(D3027=0,"n.a.",E3027/D3027)</x:f>
        <x:v>0</x:v>
      </x:c>
      <x:c r="K3027" s="15" t="n">
        <x:f>F3027/'Datos'!$F$7</x:f>
        <x:v>0.000009726624281188692</x:v>
      </x:c>
      <x:c r="L3027" s="3"/>
    </x:row>
    <x:row r="3028" ht="22" customHeight="1">
      <x:c r="A3028" s="3"/>
      <x:c r="B3028" s="3" t="str">
        <x:v>20653</x:v>
      </x:c>
      <x:c r="C3028" s="3" t="str">
        <x:v>CHERRY BLOSSOM LUGGAGE TAG</x:v>
      </x:c>
      <x:c r="D3028" s="13" t="n">
        <x:v>95.18</x:v>
      </x:c>
      <x:c r="E3028" s="13" t="n">
        <x:v>0</x:v>
      </x:c>
      <x:c r="F3028" s="13" t="n">
        <x:f>D3028-E3028</x:f>
        <x:v>95.18</x:v>
      </x:c>
      <x:c r="G3028" s="3" t="n">
        <x:v>73</x:v>
      </x:c>
      <x:c r="H3028" s="3" t="n">
        <x:v>0</x:v>
      </x:c>
      <x:c r="I3028" s="3" t="n">
        <x:v>33</x:v>
      </x:c>
      <x:c r="J3028" s="15" t="n">
        <x:f>IF(D3028=0,"n.a.",E3028/D3028)</x:f>
        <x:v>0</x:v>
      </x:c>
      <x:c r="K3028" s="15" t="n">
        <x:f>F3028/'Datos'!$F$7</x:f>
        <x:v>0.000009719476105863936</x:v>
      </x:c>
      <x:c r="L3028" s="3"/>
    </x:row>
    <x:row r="3029" ht="22" customHeight="1">
      <x:c r="A3029" s="3"/>
      <x:c r="B3029" s="3" t="str">
        <x:v>84527</x:v>
      </x:c>
      <x:c r="C3029" s="3" t="str">
        <x:v>FLAMES SUNGLASSES PINK LENSES</x:v>
      </x:c>
      <x:c r="D3029" s="13" t="n">
        <x:v>95.1</x:v>
      </x:c>
      <x:c r="E3029" s="13" t="n">
        <x:v>0</x:v>
      </x:c>
      <x:c r="F3029" s="13" t="n">
        <x:f>D3029-E3029</x:f>
        <x:v>95.1</x:v>
      </x:c>
      <x:c r="G3029" s="3" t="n">
        <x:v>52</x:v>
      </x:c>
      <x:c r="H3029" s="3" t="n">
        <x:v>0</x:v>
      </x:c>
      <x:c r="I3029" s="3" t="n">
        <x:v>8</x:v>
      </x:c>
      <x:c r="J3029" s="15" t="n">
        <x:f>IF(D3029=0,"n.a.",E3029/D3029)</x:f>
        <x:v>0</x:v>
      </x:c>
      <x:c r="K3029" s="15" t="n">
        <x:f>F3029/'Datos'!$F$7</x:f>
        <x:v>0.00000971130676263564</x:v>
      </x:c>
      <x:c r="L3029" s="3"/>
    </x:row>
    <x:row r="3030" ht="22" customHeight="1">
      <x:c r="A3030" s="3"/>
      <x:c r="B3030" s="3" t="str">
        <x:v>84666</x:v>
      </x:c>
      <x:c r="C3030" s="3" t="str">
        <x:v>SQUARE CHERRY BLOSSOM CABINET</x:v>
      </x:c>
      <x:c r="D3030" s="13" t="n">
        <x:v>94.8</x:v>
      </x:c>
      <x:c r="E3030" s="13" t="n">
        <x:v>0</x:v>
      </x:c>
      <x:c r="F3030" s="13" t="n">
        <x:f>D3030-E3030</x:f>
        <x:v>94.8</x:v>
      </x:c>
      <x:c r="G3030" s="3" t="n">
        <x:v>24</x:v>
      </x:c>
      <x:c r="H3030" s="3" t="n">
        <x:v>0</x:v>
      </x:c>
      <x:c r="I3030" s="3" t="n">
        <x:v>4</x:v>
      </x:c>
      <x:c r="J3030" s="15" t="n">
        <x:f>IF(D3030=0,"n.a.",E3030/D3030)</x:f>
        <x:v>0</x:v>
      </x:c>
      <x:c r="K3030" s="15" t="n">
        <x:f>F3030/'Datos'!$F$7</x:f>
        <x:v>0.000009680671725529533</x:v>
      </x:c>
      <x:c r="L3030" s="3"/>
    </x:row>
    <x:row r="3031" ht="22" customHeight="1">
      <x:c r="A3031" s="3"/>
      <x:c r="B3031" s="3" t="str">
        <x:v>21722</x:v>
      </x:c>
      <x:c r="C3031" s="3" t="str">
        <x:v>SWEET PUDDING STICKER SHEET</x:v>
      </x:c>
      <x:c r="D3031" s="13" t="n">
        <x:v>95.53</x:v>
      </x:c>
      <x:c r="E3031" s="13" t="n">
        <x:v>0.85</x:v>
      </x:c>
      <x:c r="F3031" s="13" t="n">
        <x:f>D3031-E3031</x:f>
        <x:v>94.68</x:v>
      </x:c>
      <x:c r="G3031" s="3" t="n">
        <x:v>98</x:v>
      </x:c>
      <x:c r="H3031" s="3" t="n">
        <x:v>1</x:v>
      </x:c>
      <x:c r="I3031" s="3" t="n">
        <x:v>36</x:v>
      </x:c>
      <x:c r="J3031" s="15" t="n">
        <x:f>IF(D3031=0,"n.a.",E3031/D3031)</x:f>
        <x:v>0.008897728462263162</x:v>
      </x:c>
      <x:c r="K3031" s="15" t="n">
        <x:f>F3031/'Datos'!$F$7</x:f>
        <x:v>0.000009668417710687093</x:v>
      </x:c>
      <x:c r="L3031" s="3"/>
    </x:row>
    <x:row r="3032" ht="22" customHeight="1">
      <x:c r="A3032" s="3"/>
      <x:c r="B3032" s="3" t="str">
        <x:v>22039</x:v>
      </x:c>
      <x:c r="C3032" s="3" t="str">
        <x:v>BOTANICAL LILY GIFT WRAP</x:v>
      </x:c>
      <x:c r="D3032" s="13" t="n">
        <x:v>105</x:v>
      </x:c>
      <x:c r="E3032" s="13" t="n">
        <x:v>10.5</x:v>
      </x:c>
      <x:c r="F3032" s="13" t="n">
        <x:f>D3032-E3032</x:f>
        <x:v>94.5</x:v>
      </x:c>
      <x:c r="G3032" s="3" t="n">
        <x:v>250</x:v>
      </x:c>
      <x:c r="H3032" s="3" t="n">
        <x:v>25</x:v>
      </x:c>
      <x:c r="I3032" s="3" t="n">
        <x:v>7</x:v>
      </x:c>
      <x:c r="J3032" s="15" t="n">
        <x:f>IF(D3032=0,"n.a.",E3032/D3032)</x:f>
        <x:v>0.1</x:v>
      </x:c>
      <x:c r="K3032" s="15" t="n">
        <x:f>F3032/'Datos'!$F$7</x:f>
        <x:v>0.000009650036688423428</x:v>
      </x:c>
      <x:c r="L3032" s="3"/>
    </x:row>
    <x:row r="3033" ht="22" customHeight="1">
      <x:c r="A3033" s="3"/>
      <x:c r="B3033" s="3" t="str">
        <x:v>90133</x:v>
      </x:c>
      <x:c r="C3033" s="3" t="str">
        <x:v>TEAL/FUSCHIA COL BEAD NECKLACE</x:v>
      </x:c>
      <x:c r="D3033" s="13" t="n">
        <x:v>94.43</x:v>
      </x:c>
      <x:c r="E3033" s="13" t="n">
        <x:v>0</x:v>
      </x:c>
      <x:c r="F3033" s="13" t="n">
        <x:f>D3033-E3033</x:f>
        <x:v>94.43</x:v>
      </x:c>
      <x:c r="G3033" s="3" t="n">
        <x:v>19</x:v>
      </x:c>
      <x:c r="H3033" s="3" t="n">
        <x:v>0</x:v>
      </x:c>
      <x:c r="I3033" s="3" t="n">
        <x:v>13</x:v>
      </x:c>
      <x:c r="J3033" s="15" t="n">
        <x:f>IF(D3033=0,"n.a.",E3033/D3033)</x:f>
        <x:v>0</x:v>
      </x:c>
      <x:c r="K3033" s="15" t="n">
        <x:f>F3033/'Datos'!$F$7</x:f>
        <x:v>0.00000964288851309867</x:v>
      </x:c>
      <x:c r="L3033" s="3"/>
    </x:row>
    <x:row r="3034" ht="22" customHeight="1">
      <x:c r="A3034" s="3"/>
      <x:c r="B3034" s="3" t="str">
        <x:v>47369A</x:v>
      </x:c>
      <x:c r="C3034" s="3" t="str">
        <x:v>PINK GREEN EMBROIDERY COSMETIC BAG</x:v>
      </x:c>
      <x:c r="D3034" s="13" t="n">
        <x:v>93.19</x:v>
      </x:c>
      <x:c r="E3034" s="13" t="n">
        <x:v>0</x:v>
      </x:c>
      <x:c r="F3034" s="13" t="n">
        <x:f>D3034-E3034</x:f>
        <x:v>93.19</x:v>
      </x:c>
      <x:c r="G3034" s="3" t="n">
        <x:v>33</x:v>
      </x:c>
      <x:c r="H3034" s="3" t="n">
        <x:v>0</x:v>
      </x:c>
      <x:c r="I3034" s="3" t="n">
        <x:v>20</x:v>
      </x:c>
      <x:c r="J3034" s="15" t="n">
        <x:f>IF(D3034=0,"n.a.",E3034/D3034)</x:f>
        <x:v>0</x:v>
      </x:c>
      <x:c r="K3034" s="15" t="n">
        <x:f>F3034/'Datos'!$F$7</x:f>
        <x:v>0.000009516263693060097</x:v>
      </x:c>
      <x:c r="L3034" s="3"/>
    </x:row>
    <x:row r="3035" ht="22" customHeight="1">
      <x:c r="A3035" s="3"/>
      <x:c r="B3035" s="3" t="str">
        <x:v>20773</x:v>
      </x:c>
      <x:c r="C3035" s="3" t="str">
        <x:v>BLUE PAISLEY NOTEBOOK</x:v>
      </x:c>
      <x:c r="D3035" s="13" t="n">
        <x:v>92.4</x:v>
      </x:c>
      <x:c r="E3035" s="13" t="n">
        <x:v>0</x:v>
      </x:c>
      <x:c r="F3035" s="13" t="n">
        <x:f>D3035-E3035</x:f>
        <x:v>92.4</x:v>
      </x:c>
      <x:c r="G3035" s="3" t="n">
        <x:v>56</x:v>
      </x:c>
      <x:c r="H3035" s="3" t="n">
        <x:v>0</x:v>
      </x:c>
      <x:c r="I3035" s="3" t="n">
        <x:v>23</x:v>
      </x:c>
      <x:c r="J3035" s="15" t="n">
        <x:f>IF(D3035=0,"n.a.",E3035/D3035)</x:f>
        <x:v>0</x:v>
      </x:c>
      <x:c r="K3035" s="15" t="n">
        <x:f>F3035/'Datos'!$F$7</x:f>
        <x:v>0.000009435591428680686</x:v>
      </x:c>
      <x:c r="L3035" s="3"/>
    </x:row>
    <x:row r="3036" ht="22" customHeight="1">
      <x:c r="A3036" s="3"/>
      <x:c r="B3036" s="3" t="str">
        <x:v>90018B</x:v>
      </x:c>
      <x:c r="C3036" s="3" t="str">
        <x:v>GOLD M.O.P ORBIT DROP EARRINGS</x:v>
      </x:c>
      <x:c r="D3036" s="13" t="n">
        <x:v>92.28</x:v>
      </x:c>
      <x:c r="E3036" s="13" t="n">
        <x:v>0</x:v>
      </x:c>
      <x:c r="F3036" s="13" t="n">
        <x:f>D3036-E3036</x:f>
        <x:v>92.28</x:v>
      </x:c>
      <x:c r="G3036" s="3" t="n">
        <x:v>22</x:v>
      </x:c>
      <x:c r="H3036" s="3" t="n">
        <x:v>0</x:v>
      </x:c>
      <x:c r="I3036" s="3" t="n">
        <x:v>17</x:v>
      </x:c>
      <x:c r="J3036" s="15" t="n">
        <x:f>IF(D3036=0,"n.a.",E3036/D3036)</x:f>
        <x:v>0</x:v>
      </x:c>
      <x:c r="K3036" s="15" t="n">
        <x:f>F3036/'Datos'!$F$7</x:f>
        <x:v>0.000009423337413838243</x:v>
      </x:c>
      <x:c r="L3036" s="3"/>
    </x:row>
    <x:row r="3037" ht="22" customHeight="1">
      <x:c r="A3037" s="3"/>
      <x:c r="B3037" s="3" t="str">
        <x:v>35933</x:v>
      </x:c>
      <x:c r="C3037" s="3" t="str">
        <x:v>PINK STOCKING CHRISTMAS DECORATION</x:v>
      </x:c>
      <x:c r="D3037" s="13" t="n">
        <x:v>92.21</x:v>
      </x:c>
      <x:c r="E3037" s="13" t="n">
        <x:v>0</x:v>
      </x:c>
      <x:c r="F3037" s="13" t="n">
        <x:f>D3037-E3037</x:f>
        <x:v>92.21</x:v>
      </x:c>
      <x:c r="G3037" s="3" t="n">
        <x:v>226</x:v>
      </x:c>
      <x:c r="H3037" s="3" t="n">
        <x:v>0</x:v>
      </x:c>
      <x:c r="I3037" s="3" t="n">
        <x:v>19</x:v>
      </x:c>
      <x:c r="J3037" s="15" t="n">
        <x:f>IF(D3037=0,"n.a.",E3037/D3037)</x:f>
        <x:v>0</x:v>
      </x:c>
      <x:c r="K3037" s="15" t="n">
        <x:f>F3037/'Datos'!$F$7</x:f>
        <x:v>0.000009416189238513483</x:v>
      </x:c>
      <x:c r="L3037" s="3"/>
    </x:row>
    <x:row r="3038" ht="22" customHeight="1">
      <x:c r="A3038" s="3"/>
      <x:c r="B3038" s="3" t="str">
        <x:v>82615</x:v>
      </x:c>
      <x:c r="C3038" s="3" t="str">
        <x:v>PINK MARSHMALLOW SCARF KNITTING KIT</x:v>
      </x:c>
      <x:c r="D3038" s="13" t="n">
        <x:v>91.8</x:v>
      </x:c>
      <x:c r="E3038" s="13" t="n">
        <x:v>0</x:v>
      </x:c>
      <x:c r="F3038" s="13" t="n">
        <x:f>D3038-E3038</x:f>
        <x:v>91.8</x:v>
      </x:c>
      <x:c r="G3038" s="3" t="n">
        <x:v>36</x:v>
      </x:c>
      <x:c r="H3038" s="3" t="n">
        <x:v>0</x:v>
      </x:c>
      <x:c r="I3038" s="3" t="n">
        <x:v>1</x:v>
      </x:c>
      <x:c r="J3038" s="15" t="n">
        <x:f>IF(D3038=0,"n.a.",E3038/D3038)</x:f>
        <x:v>0</x:v>
      </x:c>
      <x:c r="K3038" s="15" t="n">
        <x:f>F3038/'Datos'!$F$7</x:f>
        <x:v>0.000009374321354468472</x:v>
      </x:c>
      <x:c r="L3038" s="3"/>
    </x:row>
    <x:row r="3039" ht="22" customHeight="1">
      <x:c r="A3039" s="3"/>
      <x:c r="B3039" s="3" t="str">
        <x:v>90030C</x:v>
      </x:c>
      <x:c r="C3039" s="3" t="str">
        <x:v>BROWN KUKUI COCONUT SEED NECKLACE</x:v>
      </x:c>
      <x:c r="D3039" s="13" t="n">
        <x:v>91.7</x:v>
      </x:c>
      <x:c r="E3039" s="13" t="n">
        <x:v>0</x:v>
      </x:c>
      <x:c r="F3039" s="13" t="n">
        <x:f>D3039-E3039</x:f>
        <x:v>91.7</x:v>
      </x:c>
      <x:c r="G3039" s="3" t="n">
        <x:v>77</x:v>
      </x:c>
      <x:c r="H3039" s="3" t="n">
        <x:v>0</x:v>
      </x:c>
      <x:c r="I3039" s="3" t="n">
        <x:v>11</x:v>
      </x:c>
      <x:c r="J3039" s="15" t="n">
        <x:f>IF(D3039=0,"n.a.",E3039/D3039)</x:f>
        <x:v>0</x:v>
      </x:c>
      <x:c r="K3039" s="15" t="n">
        <x:f>F3039/'Datos'!$F$7</x:f>
        <x:v>0.000009364109675433105</x:v>
      </x:c>
      <x:c r="L3039" s="3"/>
    </x:row>
    <x:row r="3040" ht="22" customHeight="1">
      <x:c r="A3040" s="3"/>
      <x:c r="B3040" s="3" t="str">
        <x:v>90175B</x:v>
      </x:c>
      <x:c r="C3040" s="3" t="str">
        <x:v>PINK GLASS CHUNKY CHARM BRACELET</x:v>
      </x:c>
      <x:c r="D3040" s="13" t="n">
        <x:v>91.68</x:v>
      </x:c>
      <x:c r="E3040" s="13" t="n">
        <x:v>0</x:v>
      </x:c>
      <x:c r="F3040" s="13" t="n">
        <x:f>D3040-E3040</x:f>
        <x:v>91.68</x:v>
      </x:c>
      <x:c r="G3040" s="3" t="n">
        <x:v>10</x:v>
      </x:c>
      <x:c r="H3040" s="3" t="n">
        <x:v>0</x:v>
      </x:c>
      <x:c r="I3040" s="3" t="n">
        <x:v>9</x:v>
      </x:c>
      <x:c r="J3040" s="15" t="n">
        <x:f>IF(D3040=0,"n.a.",E3040/D3040)</x:f>
        <x:v>0</x:v>
      </x:c>
      <x:c r="K3040" s="15" t="n">
        <x:f>F3040/'Datos'!$F$7</x:f>
        <x:v>0.000009362067339626032</x:v>
      </x:c>
      <x:c r="L3040" s="3"/>
    </x:row>
    <x:row r="3041" ht="22" customHeight="1">
      <x:c r="A3041" s="3"/>
      <x:c r="B3041" s="3" t="str">
        <x:v>20662</x:v>
      </x:c>
      <x:c r="C3041" s="3" t="str">
        <x:v>FIRST CLASS HOLIDAY PURSE</x:v>
      </x:c>
      <x:c r="D3041" s="13" t="n">
        <x:v>90.42</x:v>
      </x:c>
      <x:c r="E3041" s="13" t="n">
        <x:v>0</x:v>
      </x:c>
      <x:c r="F3041" s="13" t="n">
        <x:f>D3041-E3041</x:f>
        <x:v>90.42</x:v>
      </x:c>
      <x:c r="G3041" s="3" t="n">
        <x:v>31</x:v>
      </x:c>
      <x:c r="H3041" s="3" t="n">
        <x:v>0</x:v>
      </x:c>
      <x:c r="I3041" s="3" t="n">
        <x:v>20</x:v>
      </x:c>
      <x:c r="J3041" s="15" t="n">
        <x:f>IF(D3041=0,"n.a.",E3041/D3041)</x:f>
        <x:v>0</x:v>
      </x:c>
      <x:c r="K3041" s="15" t="n">
        <x:f>F3041/'Datos'!$F$7</x:f>
        <x:v>0.000009233400183780385</x:v>
      </x:c>
      <x:c r="L3041" s="3"/>
    </x:row>
    <x:row r="3042" ht="22" customHeight="1">
      <x:c r="A3042" s="3"/>
      <x:c r="B3042" s="3" t="str">
        <x:v>85230F</x:v>
      </x:c>
      <x:c r="C3042" s="3" t="str">
        <x:v>JASMINE VOTIVE CANDLE</x:v>
      </x:c>
      <x:c r="D3042" s="13" t="n">
        <x:v>90.34</x:v>
      </x:c>
      <x:c r="E3042" s="13" t="n">
        <x:v>0</x:v>
      </x:c>
      <x:c r="F3042" s="13" t="n">
        <x:f>D3042-E3042</x:f>
        <x:v>90.34</x:v>
      </x:c>
      <x:c r="G3042" s="3" t="n">
        <x:v>338</x:v>
      </x:c>
      <x:c r="H3042" s="3" t="n">
        <x:v>0</x:v>
      </x:c>
      <x:c r="I3042" s="3" t="n">
        <x:v>12</x:v>
      </x:c>
      <x:c r="J3042" s="15" t="n">
        <x:f>IF(D3042=0,"n.a.",E3042/D3042)</x:f>
        <x:v>0</x:v>
      </x:c>
      <x:c r="K3042" s="15" t="n">
        <x:f>F3042/'Datos'!$F$7</x:f>
        <x:v>0.00000922523084055209</x:v>
      </x:c>
      <x:c r="L3042" s="3"/>
    </x:row>
    <x:row r="3043" ht="22" customHeight="1">
      <x:c r="A3043" s="3"/>
      <x:c r="B3043" s="3" t="str">
        <x:v>90163A</x:v>
      </x:c>
      <x:c r="C3043" s="3" t="str">
        <x:v>PINK ROSEBUD &amp; PEARL NECKLACE</x:v>
      </x:c>
      <x:c r="D3043" s="13" t="n">
        <x:v>90.32</x:v>
      </x:c>
      <x:c r="E3043" s="13" t="n">
        <x:v>0</x:v>
      </x:c>
      <x:c r="F3043" s="13" t="n">
        <x:f>D3043-E3043</x:f>
        <x:v>90.32</x:v>
      </x:c>
      <x:c r="G3043" s="3" t="n">
        <x:v>12</x:v>
      </x:c>
      <x:c r="H3043" s="3" t="n">
        <x:v>0</x:v>
      </x:c>
      <x:c r="I3043" s="3" t="n">
        <x:v>9</x:v>
      </x:c>
      <x:c r="J3043" s="15" t="n">
        <x:f>IF(D3043=0,"n.a.",E3043/D3043)</x:f>
        <x:v>0</x:v>
      </x:c>
      <x:c r="K3043" s="15" t="n">
        <x:f>F3043/'Datos'!$F$7</x:f>
        <x:v>0.000009223188504745014</x:v>
      </x:c>
      <x:c r="L3043" s="3"/>
    </x:row>
    <x:row r="3044" ht="22" customHeight="1">
      <x:c r="A3044" s="3"/>
      <x:c r="B3044" s="3" t="str">
        <x:v>21690</x:v>
      </x:c>
      <x:c r="C3044" s="3" t="str">
        <x:v>SILVER CANDLEPOT JARDIN</x:v>
      </x:c>
      <x:c r="D3044" s="13" t="n">
        <x:v>90</x:v>
      </x:c>
      <x:c r="E3044" s="13" t="n">
        <x:v>0</x:v>
      </x:c>
      <x:c r="F3044" s="13" t="n">
        <x:f>D3044-E3044</x:f>
        <x:v>90</x:v>
      </x:c>
      <x:c r="G3044" s="3" t="n">
        <x:v>24</x:v>
      </x:c>
      <x:c r="H3044" s="3" t="n">
        <x:v>0</x:v>
      </x:c>
      <x:c r="I3044" s="3" t="n">
        <x:v>7</x:v>
      </x:c>
      <x:c r="J3044" s="15" t="n">
        <x:f>IF(D3044=0,"n.a.",E3044/D3044)</x:f>
        <x:v>0</x:v>
      </x:c>
      <x:c r="K3044" s="15" t="n">
        <x:f>F3044/'Datos'!$F$7</x:f>
        <x:v>0.000009190511131831837</x:v>
      </x:c>
      <x:c r="L3044" s="3"/>
    </x:row>
    <x:row r="3045" ht="22" customHeight="1">
      <x:c r="A3045" s="3"/>
      <x:c r="B3045" s="3" t="str">
        <x:v>23574</x:v>
      </x:c>
      <x:c r="C3045" s="3" t="str">
        <x:v>PACKING CHARGE</x:v>
      </x:c>
      <x:c r="D3045" s="13" t="n">
        <x:v>105</x:v>
      </x:c>
      <x:c r="E3045" s="13" t="n">
        <x:v>15</x:v>
      </x:c>
      <x:c r="F3045" s="13" t="n">
        <x:f>D3045-E3045</x:f>
        <x:v>90</x:v>
      </x:c>
      <x:c r="G3045" s="3" t="n">
        <x:v>14</x:v>
      </x:c>
      <x:c r="H3045" s="3" t="n">
        <x:v>2</x:v>
      </x:c>
      <x:c r="I3045" s="3" t="n">
        <x:v>14</x:v>
      </x:c>
      <x:c r="J3045" s="15" t="n">
        <x:f>IF(D3045=0,"n.a.",E3045/D3045)</x:f>
        <x:v>0.14285714285714285</x:v>
      </x:c>
      <x:c r="K3045" s="15" t="n">
        <x:f>F3045/'Datos'!$F$7</x:f>
        <x:v>0.000009190511131831837</x:v>
      </x:c>
      <x:c r="L3045" s="3"/>
    </x:row>
    <x:row r="3046" ht="22" customHeight="1">
      <x:c r="A3046" s="3"/>
      <x:c r="B3046" s="3" t="str">
        <x:v>72051S</x:v>
      </x:c>
      <x:c r="C3046" s="3" t="str">
        <x:v>BAG OF SILVER STONES</x:v>
      </x:c>
      <x:c r="D3046" s="13" t="n">
        <x:v>89.95</x:v>
      </x:c>
      <x:c r="E3046" s="13" t="n">
        <x:v>0</x:v>
      </x:c>
      <x:c r="F3046" s="13" t="n">
        <x:f>D3046-E3046</x:f>
        <x:v>89.95</x:v>
      </x:c>
      <x:c r="G3046" s="3" t="n">
        <x:v>131</x:v>
      </x:c>
      <x:c r="H3046" s="3" t="n">
        <x:v>0</x:v>
      </x:c>
      <x:c r="I3046" s="3" t="n">
        <x:v>13</x:v>
      </x:c>
      <x:c r="J3046" s="15" t="n">
        <x:f>IF(D3046=0,"n.a.",E3046/D3046)</x:f>
        <x:v>0</x:v>
      </x:c>
      <x:c r="K3046" s="15" t="n">
        <x:f>F3046/'Datos'!$F$7</x:f>
        <x:v>0.000009185405292314152</x:v>
      </x:c>
      <x:c r="L3046" s="3"/>
    </x:row>
    <x:row r="3047" ht="22" customHeight="1">
      <x:c r="A3047" s="3"/>
      <x:c r="B3047" s="3" t="str">
        <x:v>35833P</x:v>
      </x:c>
      <x:c r="C3047" s="3" t="str">
        <x:v>4 PINK FLOCK CHRISTMAS BALLS</x:v>
      </x:c>
      <x:c r="D3047" s="13" t="n">
        <x:v>89.72</x:v>
      </x:c>
      <x:c r="E3047" s="13" t="n">
        <x:v>0</x:v>
      </x:c>
      <x:c r="F3047" s="13" t="n">
        <x:f>D3047-E3047</x:f>
        <x:v>89.72</x:v>
      </x:c>
      <x:c r="G3047" s="3" t="n">
        <x:v>50</x:v>
      </x:c>
      <x:c r="H3047" s="3" t="n">
        <x:v>0</x:v>
      </x:c>
      <x:c r="I3047" s="3" t="n">
        <x:v>22</x:v>
      </x:c>
      <x:c r="J3047" s="15" t="n">
        <x:f>IF(D3047=0,"n.a.",E3047/D3047)</x:f>
        <x:v>0</x:v>
      </x:c>
      <x:c r="K3047" s="15" t="n">
        <x:f>F3047/'Datos'!$F$7</x:f>
        <x:v>0.000009161918430532804</x:v>
      </x:c>
      <x:c r="L3047" s="3"/>
    </x:row>
    <x:row r="3048" ht="22" customHeight="1">
      <x:c r="A3048" s="3"/>
      <x:c r="B3048" s="3" t="str">
        <x:v>84461</x:v>
      </x:c>
      <x:c r="C3048" s="3" t="str">
        <x:v>12 PINK HEN+CHICKS IN BASKET</x:v>
      </x:c>
      <x:c r="D3048" s="13" t="n">
        <x:v>104.55</x:v>
      </x:c>
      <x:c r="E3048" s="13" t="n">
        <x:v>15.3</x:v>
      </x:c>
      <x:c r="F3048" s="13" t="n">
        <x:f>D3048-E3048</x:f>
        <x:v>89.25</x:v>
      </x:c>
      <x:c r="G3048" s="3" t="n">
        <x:v>41</x:v>
      </x:c>
      <x:c r="H3048" s="3" t="n">
        <x:v>6</x:v>
      </x:c>
      <x:c r="I3048" s="3" t="n">
        <x:v>14</x:v>
      </x:c>
      <x:c r="J3048" s="15" t="n">
        <x:f>IF(D3048=0,"n.a.",E3048/D3048)</x:f>
        <x:v>0.14634146341463417</x:v>
      </x:c>
      <x:c r="K3048" s="15" t="n">
        <x:f>F3048/'Datos'!$F$7</x:f>
        <x:v>0.000009113923539066571</x:v>
      </x:c>
      <x:c r="L3048" s="3"/>
    </x:row>
    <x:row r="3049" ht="22" customHeight="1">
      <x:c r="A3049" s="3"/>
      <x:c r="B3049" s="3" t="str">
        <x:v>20892</x:v>
      </x:c>
      <x:c r="C3049" s="3" t="str">
        <x:v>SET/3 TALL GLASS CANDLE HOLDER PINK</x:v>
      </x:c>
      <x:c r="D3049" s="13" t="n">
        <x:v>89.22</x:v>
      </x:c>
      <x:c r="E3049" s="13" t="n">
        <x:v>0</x:v>
      </x:c>
      <x:c r="F3049" s="13" t="n">
        <x:f>D3049-E3049</x:f>
        <x:v>89.22</x:v>
      </x:c>
      <x:c r="G3049" s="3" t="n">
        <x:v>4</x:v>
      </x:c>
      <x:c r="H3049" s="3" t="n">
        <x:v>0</x:v>
      </x:c>
      <x:c r="I3049" s="3" t="n">
        <x:v>3</x:v>
      </x:c>
      <x:c r="J3049" s="15" t="n">
        <x:f>IF(D3049=0,"n.a.",E3049/D3049)</x:f>
        <x:v>0</x:v>
      </x:c>
      <x:c r="K3049" s="15" t="n">
        <x:f>F3049/'Datos'!$F$7</x:f>
        <x:v>0.00000911086003535596</x:v>
      </x:c>
      <x:c r="L3049" s="3"/>
    </x:row>
    <x:row r="3050" ht="22" customHeight="1">
      <x:c r="A3050" s="3"/>
      <x:c r="B3050" s="3" t="str">
        <x:v>90123A</x:v>
      </x:c>
      <x:c r="C3050" s="3" t="str">
        <x:v>PINK HEART OF GLASS BRACELET</x:v>
      </x:c>
      <x:c r="D3050" s="13" t="n">
        <x:v>89.12</x:v>
      </x:c>
      <x:c r="E3050" s="13" t="n">
        <x:v>0</x:v>
      </x:c>
      <x:c r="F3050" s="13" t="n">
        <x:f>D3050-E3050</x:f>
        <x:v>89.12</x:v>
      </x:c>
      <x:c r="G3050" s="3" t="n">
        <x:v>15</x:v>
      </x:c>
      <x:c r="H3050" s="3" t="n">
        <x:v>0</x:v>
      </x:c>
      <x:c r="I3050" s="3" t="n">
        <x:v>9</x:v>
      </x:c>
      <x:c r="J3050" s="15" t="n">
        <x:f>IF(D3050=0,"n.a.",E3050/D3050)</x:f>
        <x:v>0</x:v>
      </x:c>
      <x:c r="K3050" s="15" t="n">
        <x:f>F3050/'Datos'!$F$7</x:f>
        <x:v>0.000009100648356320591</x:v>
      </x:c>
      <x:c r="L3050" s="3"/>
    </x:row>
    <x:row r="3051" ht="22" customHeight="1">
      <x:c r="A3051" s="3"/>
      <x:c r="B3051" s="3" t="str">
        <x:v>90148</x:v>
      </x:c>
      <x:c r="C3051" s="3" t="str">
        <x:v>LONG SILVER NECKLACE PASTEL FLOWER</x:v>
      </x:c>
      <x:c r="D3051" s="13" t="n">
        <x:v>114.48</x:v>
      </x:c>
      <x:c r="E3051" s="13" t="n">
        <x:v>25.5</x:v>
      </x:c>
      <x:c r="F3051" s="13" t="n">
        <x:f>D3051-E3051</x:f>
        <x:v>88.98</x:v>
      </x:c>
      <x:c r="G3051" s="3" t="n">
        <x:v>9</x:v>
      </x:c>
      <x:c r="H3051" s="3" t="n">
        <x:v>2</x:v>
      </x:c>
      <x:c r="I3051" s="3" t="n">
        <x:v>6</x:v>
      </x:c>
      <x:c r="J3051" s="15" t="n">
        <x:f>IF(D3051=0,"n.a.",E3051/D3051)</x:f>
        <x:v>0.22274633123689727</x:v>
      </x:c>
      <x:c r="K3051" s="15" t="n">
        <x:f>F3051/'Datos'!$F$7</x:f>
        <x:v>0.000009086352005671076</x:v>
      </x:c>
      <x:c r="L3051" s="3"/>
    </x:row>
    <x:row r="3052" ht="22" customHeight="1">
      <x:c r="A3052" s="3"/>
      <x:c r="B3052" s="3" t="str">
        <x:v>84984A</x:v>
      </x:c>
      <x:c r="C3052" s="3" t="str">
        <x:v>GREEN PEONY CUSHION COVER</x:v>
      </x:c>
      <x:c r="D3052" s="13" t="n">
        <x:v>88.35</x:v>
      </x:c>
      <x:c r="E3052" s="13" t="n">
        <x:v>0</x:v>
      </x:c>
      <x:c r="F3052" s="13" t="n">
        <x:f>D3052-E3052</x:f>
        <x:v>88.35</x:v>
      </x:c>
      <x:c r="G3052" s="3" t="n">
        <x:v>19</x:v>
      </x:c>
      <x:c r="H3052" s="3" t="n">
        <x:v>0</x:v>
      </x:c>
      <x:c r="I3052" s="3" t="n">
        <x:v>6</x:v>
      </x:c>
      <x:c r="J3052" s="15" t="n">
        <x:f>IF(D3052=0,"n.a.",E3052/D3052)</x:f>
        <x:v>0</x:v>
      </x:c>
      <x:c r="K3052" s="15" t="n">
        <x:f>F3052/'Datos'!$F$7</x:f>
        <x:v>0.000009022018427748252</x:v>
      </x:c>
      <x:c r="L3052" s="3"/>
    </x:row>
    <x:row r="3053" ht="22" customHeight="1">
      <x:c r="A3053" s="3"/>
      <x:c r="B3053" s="3" t="str">
        <x:v>84306</x:v>
      </x:c>
      <x:c r="C3053" s="3" t="str">
        <x:v>S/3 PINK SQUARE PLANTERS ROSES</x:v>
      </x:c>
      <x:c r="D3053" s="13" t="n">
        <x:v>88.22</x:v>
      </x:c>
      <x:c r="E3053" s="13" t="n">
        <x:v>0</x:v>
      </x:c>
      <x:c r="F3053" s="13" t="n">
        <x:f>D3053-E3053</x:f>
        <x:v>88.22</x:v>
      </x:c>
      <x:c r="G3053" s="3" t="n">
        <x:v>10</x:v>
      </x:c>
      <x:c r="H3053" s="3" t="n">
        <x:v>0</x:v>
      </x:c>
      <x:c r="I3053" s="3" t="n">
        <x:v>9</x:v>
      </x:c>
      <x:c r="J3053" s="15" t="n">
        <x:f>IF(D3053=0,"n.a.",E3053/D3053)</x:f>
        <x:v>0</x:v>
      </x:c>
      <x:c r="K3053" s="15" t="n">
        <x:f>F3053/'Datos'!$F$7</x:f>
        <x:v>0.000009008743245002272</x:v>
      </x:c>
      <x:c r="L3053" s="3"/>
    </x:row>
    <x:row r="3054" ht="22" customHeight="1">
      <x:c r="A3054" s="3"/>
      <x:c r="B3054" s="3" t="str">
        <x:v>90166</x:v>
      </x:c>
      <x:c r="C3054" s="3" t="str">
        <x:v>PINK &amp; WHITE ROSEBUD RING</x:v>
      </x:c>
      <x:c r="D3054" s="13" t="n">
        <x:v>88.04</x:v>
      </x:c>
      <x:c r="E3054" s="13" t="n">
        <x:v>0</x:v>
      </x:c>
      <x:c r="F3054" s="13" t="n">
        <x:f>D3054-E3054</x:f>
        <x:v>88.04</x:v>
      </x:c>
      <x:c r="G3054" s="3" t="n">
        <x:v>21</x:v>
      </x:c>
      <x:c r="H3054" s="3" t="n">
        <x:v>0</x:v>
      </x:c>
      <x:c r="I3054" s="3" t="n">
        <x:v>15</x:v>
      </x:c>
      <x:c r="J3054" s="15" t="n">
        <x:f>IF(D3054=0,"n.a.",E3054/D3054)</x:f>
        <x:v>0</x:v>
      </x:c>
      <x:c r="K3054" s="15" t="n">
        <x:f>F3054/'Datos'!$F$7</x:f>
        <x:v>0.00000899036222273861</x:v>
      </x:c>
      <x:c r="L3054" s="3"/>
    </x:row>
    <x:row r="3055" ht="22" customHeight="1">
      <x:c r="A3055" s="3"/>
      <x:c r="B3055" s="3" t="str">
        <x:v>20898</x:v>
      </x:c>
      <x:c r="C3055" s="3" t="str">
        <x:v>VINTAGE NOTEBOOK TRAVELOGUE</x:v>
      </x:c>
      <x:c r="D3055" s="13" t="n">
        <x:v>105.73</x:v>
      </x:c>
      <x:c r="E3055" s="13" t="n">
        <x:v>17.7</x:v>
      </x:c>
      <x:c r="F3055" s="13" t="n">
        <x:f>D3055-E3055</x:f>
        <x:v>88.03</x:v>
      </x:c>
      <x:c r="G3055" s="3" t="n">
        <x:v>38</x:v>
      </x:c>
      <x:c r="H3055" s="3" t="n">
        <x:v>6</x:v>
      </x:c>
      <x:c r="I3055" s="3" t="n">
        <x:v>13</x:v>
      </x:c>
      <x:c r="J3055" s="15" t="n">
        <x:f>IF(D3055=0,"n.a.",E3055/D3055)</x:f>
        <x:v>0.167407547526719</x:v>
      </x:c>
      <x:c r="K3055" s="15" t="n">
        <x:f>F3055/'Datos'!$F$7</x:f>
        <x:v>0.000008989341054835073</x:v>
      </x:c>
      <x:c r="L3055" s="3"/>
    </x:row>
    <x:row r="3056" ht="22" customHeight="1">
      <x:c r="A3056" s="3"/>
      <x:c r="B3056" s="3" t="str">
        <x:v>90129F</x:v>
      </x:c>
      <x:c r="C3056" s="3" t="str">
        <x:v>RED GLASS TASSLE BAG CHARM</x:v>
      </x:c>
      <x:c r="D3056" s="13" t="n">
        <x:v>88.03</x:v>
      </x:c>
      <x:c r="E3056" s="13" t="n">
        <x:v>0</x:v>
      </x:c>
      <x:c r="F3056" s="13" t="n">
        <x:f>D3056-E3056</x:f>
        <x:v>88.03</x:v>
      </x:c>
      <x:c r="G3056" s="3" t="n">
        <x:v>40</x:v>
      </x:c>
      <x:c r="H3056" s="3" t="n">
        <x:v>0</x:v>
      </x:c>
      <x:c r="I3056" s="3" t="n">
        <x:v>16</x:v>
      </x:c>
      <x:c r="J3056" s="15" t="n">
        <x:f>IF(D3056=0,"n.a.",E3056/D3056)</x:f>
        <x:v>0</x:v>
      </x:c>
      <x:c r="K3056" s="15" t="n">
        <x:f>F3056/'Datos'!$F$7</x:f>
        <x:v>0.000008989341054835073</x:v>
      </x:c>
      <x:c r="L3056" s="3"/>
    </x:row>
    <x:row r="3057" ht="22" customHeight="1">
      <x:c r="A3057" s="3"/>
      <x:c r="B3057" s="3" t="str">
        <x:v>84531B</x:v>
      </x:c>
      <x:c r="C3057" s="3" t="str">
        <x:v>BLUE KNITTED EGG COSY</x:v>
      </x:c>
      <x:c r="D3057" s="13" t="n">
        <x:v>87.56</x:v>
      </x:c>
      <x:c r="E3057" s="13" t="n">
        <x:v>0</x:v>
      </x:c>
      <x:c r="F3057" s="13" t="n">
        <x:f>D3057-E3057</x:f>
        <x:v>87.56</x:v>
      </x:c>
      <x:c r="G3057" s="3" t="n">
        <x:v>156</x:v>
      </x:c>
      <x:c r="H3057" s="3" t="n">
        <x:v>0</x:v>
      </x:c>
      <x:c r="I3057" s="3" t="n">
        <x:v>28</x:v>
      </x:c>
      <x:c r="J3057" s="15" t="n">
        <x:f>IF(D3057=0,"n.a.",E3057/D3057)</x:f>
        <x:v>0</x:v>
      </x:c>
      <x:c r="K3057" s="15" t="n">
        <x:f>F3057/'Datos'!$F$7</x:f>
        <x:v>0.00000894134616336884</x:v>
      </x:c>
      <x:c r="L3057" s="3"/>
    </x:row>
    <x:row r="3058" ht="22" customHeight="1">
      <x:c r="A3058" s="3"/>
      <x:c r="B3058" s="3" t="str">
        <x:v>23442</x:v>
      </x:c>
      <x:c r="C3058" s="3" t="str">
        <x:v>12 HANGING EGGS HAND PAINTED</x:v>
      </x:c>
      <x:c r="D3058" s="13" t="n">
        <x:v>87.36</x:v>
      </x:c>
      <x:c r="E3058" s="13" t="n">
        <x:v>0</x:v>
      </x:c>
      <x:c r="F3058" s="13" t="n">
        <x:f>D3058-E3058</x:f>
        <x:v>87.36</x:v>
      </x:c>
      <x:c r="G3058" s="3" t="n">
        <x:v>42</x:v>
      </x:c>
      <x:c r="H3058" s="3" t="n">
        <x:v>0</x:v>
      </x:c>
      <x:c r="I3058" s="3" t="n">
        <x:v>7</x:v>
      </x:c>
      <x:c r="J3058" s="15" t="n">
        <x:f>IF(D3058=0,"n.a.",E3058/D3058)</x:f>
        <x:v>0</x:v>
      </x:c>
      <x:c r="K3058" s="15" t="n">
        <x:f>F3058/'Datos'!$F$7</x:f>
        <x:v>0.000008920922805298102</x:v>
      </x:c>
      <x:c r="L3058" s="3"/>
    </x:row>
    <x:row r="3059" ht="22" customHeight="1">
      <x:c r="A3059" s="3"/>
      <x:c r="B3059" s="3" t="str">
        <x:v>20869</x:v>
      </x:c>
      <x:c r="C3059" s="3" t="str">
        <x:v>GOLD FABRIC MIRROR</x:v>
      </x:c>
      <x:c r="D3059" s="13" t="n">
        <x:v>86.76</x:v>
      </x:c>
      <x:c r="E3059" s="13" t="n">
        <x:v>0</x:v>
      </x:c>
      <x:c r="F3059" s="13" t="n">
        <x:f>D3059-E3059</x:f>
        <x:v>86.76</x:v>
      </x:c>
      <x:c r="G3059" s="3" t="n">
        <x:v>180</x:v>
      </x:c>
      <x:c r="H3059" s="3" t="n">
        <x:v>0</x:v>
      </x:c>
      <x:c r="I3059" s="3" t="n">
        <x:v>29</x:v>
      </x:c>
      <x:c r="J3059" s="15" t="n">
        <x:f>IF(D3059=0,"n.a.",E3059/D3059)</x:f>
        <x:v>0</x:v>
      </x:c>
      <x:c r="K3059" s="15" t="n">
        <x:f>F3059/'Datos'!$F$7</x:f>
        <x:v>0.00000885965273108589</x:v>
      </x:c>
      <x:c r="L3059" s="3"/>
    </x:row>
    <x:row r="3060" ht="22" customHeight="1">
      <x:c r="A3060" s="3"/>
      <x:c r="B3060" s="3" t="str">
        <x:v>23614</x:v>
      </x:c>
      <x:c r="C3060" s="3" t="str">
        <x:v>SET 10 CARDS 12 DAYS WRAP 17058</x:v>
      </x:c>
      <x:c r="D3060" s="13" t="n">
        <x:v>86.58</x:v>
      </x:c>
      <x:c r="E3060" s="13" t="n">
        <x:v>0</x:v>
      </x:c>
      <x:c r="F3060" s="13" t="n">
        <x:f>D3060-E3060</x:f>
        <x:v>86.58</x:v>
      </x:c>
      <x:c r="G3060" s="3" t="n">
        <x:v>26</x:v>
      </x:c>
      <x:c r="H3060" s="3" t="n">
        <x:v>0</x:v>
      </x:c>
      <x:c r="I3060" s="3" t="n">
        <x:v>11</x:v>
      </x:c>
      <x:c r="J3060" s="15" t="n">
        <x:f>IF(D3060=0,"n.a.",E3060/D3060)</x:f>
        <x:v>0</x:v>
      </x:c>
      <x:c r="K3060" s="15" t="n">
        <x:f>F3060/'Datos'!$F$7</x:f>
        <x:v>0.000008841271708822226</x:v>
      </x:c>
      <x:c r="L3060" s="3"/>
    </x:row>
    <x:row r="3061" ht="22" customHeight="1">
      <x:c r="A3061" s="3"/>
      <x:c r="B3061" s="3" t="str">
        <x:v>79403</x:v>
      </x:c>
      <x:c r="C3061" s="3" t="str">
        <x:v>FROSTED WHITE BASE</x:v>
      </x:c>
      <x:c r="D3061" s="13" t="n">
        <x:v>85.52</x:v>
      </x:c>
      <x:c r="E3061" s="13" t="n">
        <x:v>0</x:v>
      </x:c>
      <x:c r="F3061" s="13" t="n">
        <x:f>D3061-E3061</x:f>
        <x:v>85.52</x:v>
      </x:c>
      <x:c r="G3061" s="3" t="n">
        <x:v>95</x:v>
      </x:c>
      <x:c r="H3061" s="3" t="n">
        <x:v>0</x:v>
      </x:c>
      <x:c r="I3061" s="3" t="n">
        <x:v>15</x:v>
      </x:c>
      <x:c r="J3061" s="15" t="n">
        <x:f>IF(D3061=0,"n.a.",E3061/D3061)</x:f>
        <x:v>0</x:v>
      </x:c>
      <x:c r="K3061" s="15" t="n">
        <x:f>F3061/'Datos'!$F$7</x:f>
        <x:v>0.000008733027911047318</x:v>
      </x:c>
      <x:c r="L3061" s="3"/>
    </x:row>
    <x:row r="3062" ht="22" customHeight="1">
      <x:c r="A3062" s="3"/>
      <x:c r="B3062" s="3" t="str">
        <x:v>75172</x:v>
      </x:c>
      <x:c r="C3062" s="3" t="str">
        <x:v>PAINTED SEA SHELL METAL WINDCHIME</x:v>
      </x:c>
      <x:c r="D3062" s="13" t="n">
        <x:v>85.31</x:v>
      </x:c>
      <x:c r="E3062" s="13" t="n">
        <x:v>0</x:v>
      </x:c>
      <x:c r="F3062" s="13" t="n">
        <x:f>D3062-E3062</x:f>
        <x:v>85.31</x:v>
      </x:c>
      <x:c r="G3062" s="3" t="n">
        <x:v>93</x:v>
      </x:c>
      <x:c r="H3062" s="3" t="n">
        <x:v>0</x:v>
      </x:c>
      <x:c r="I3062" s="3" t="n">
        <x:v>8</x:v>
      </x:c>
      <x:c r="J3062" s="15" t="n">
        <x:f>IF(D3062=0,"n.a.",E3062/D3062)</x:f>
        <x:v>0</x:v>
      </x:c>
      <x:c r="K3062" s="15" t="n">
        <x:f>F3062/'Datos'!$F$7</x:f>
        <x:v>0.000008711583385073045</x:v>
      </x:c>
      <x:c r="L3062" s="3"/>
    </x:row>
    <x:row r="3063" ht="22" customHeight="1">
      <x:c r="A3063" s="3"/>
      <x:c r="B3063" s="3" t="str">
        <x:v>16169K</x:v>
      </x:c>
      <x:c r="C3063" s="3" t="str">
        <x:v>WRAP FOLK ART</x:v>
      </x:c>
      <x:c r="D3063" s="13" t="n">
        <x:v>84</x:v>
      </x:c>
      <x:c r="E3063" s="13" t="n">
        <x:v>0</x:v>
      </x:c>
      <x:c r="F3063" s="13" t="n">
        <x:f>D3063-E3063</x:f>
        <x:v>84</x:v>
      </x:c>
      <x:c r="G3063" s="3" t="n">
        <x:v>200</x:v>
      </x:c>
      <x:c r="H3063" s="3" t="n">
        <x:v>0</x:v>
      </x:c>
      <x:c r="I3063" s="3" t="n">
        <x:v>8</x:v>
      </x:c>
      <x:c r="J3063" s="15" t="n">
        <x:f>IF(D3063=0,"n.a.",E3063/D3063)</x:f>
        <x:v>0</x:v>
      </x:c>
      <x:c r="K3063" s="15" t="n">
        <x:f>F3063/'Datos'!$F$7</x:f>
        <x:v>0.000008577810389709713</x:v>
      </x:c>
      <x:c r="L3063" s="3"/>
    </x:row>
    <x:row r="3064" ht="22" customHeight="1">
      <x:c r="A3064" s="3"/>
      <x:c r="B3064" s="3" t="str">
        <x:v>90204</x:v>
      </x:c>
      <x:c r="C3064" s="3" t="str">
        <x:v>PAIR OF ENAMEL BUTTERFLY HAIRCLIP</x:v>
      </x:c>
      <x:c r="D3064" s="13" t="n">
        <x:v>96.86</x:v>
      </x:c>
      <x:c r="E3064" s="13" t="n">
        <x:v>13.4</x:v>
      </x:c>
      <x:c r="F3064" s="13" t="n">
        <x:f>D3064-E3064</x:f>
        <x:v>83.46</x:v>
      </x:c>
      <x:c r="G3064" s="3" t="n">
        <x:v>29</x:v>
      </x:c>
      <x:c r="H3064" s="3" t="n">
        <x:v>4</x:v>
      </x:c>
      <x:c r="I3064" s="3" t="n">
        <x:v>18</x:v>
      </x:c>
      <x:c r="J3064" s="15" t="n">
        <x:f>IF(D3064=0,"n.a.",E3064/D3064)</x:f>
        <x:v>0.1383440016518687</x:v>
      </x:c>
      <x:c r="K3064" s="15" t="n">
        <x:f>F3064/'Datos'!$F$7</x:f>
        <x:v>0.000008522667322918723</x:v>
      </x:c>
      <x:c r="L3064" s="3"/>
    </x:row>
    <x:row r="3065" ht="22" customHeight="1">
      <x:c r="A3065" s="3"/>
      <x:c r="B3065" s="3" t="str">
        <x:v>90072</x:v>
      </x:c>
      <x:c r="C3065" s="3" t="str">
        <x:v>RUBY DROP CHANDELIER EARRINGS</x:v>
      </x:c>
      <x:c r="D3065" s="13" t="n">
        <x:v>83.42</x:v>
      </x:c>
      <x:c r="E3065" s="13" t="n">
        <x:v>0</x:v>
      </x:c>
      <x:c r="F3065" s="13" t="n">
        <x:f>D3065-E3065</x:f>
        <x:v>83.42</x:v>
      </x:c>
      <x:c r="G3065" s="3" t="n">
        <x:v>21</x:v>
      </x:c>
      <x:c r="H3065" s="3" t="n">
        <x:v>0</x:v>
      </x:c>
      <x:c r="I3065" s="3" t="n">
        <x:v>14</x:v>
      </x:c>
      <x:c r="J3065" s="15" t="n">
        <x:f>IF(D3065=0,"n.a.",E3065/D3065)</x:f>
        <x:v>0</x:v>
      </x:c>
      <x:c r="K3065" s="15" t="n">
        <x:f>F3065/'Datos'!$F$7</x:f>
        <x:v>0.000008518582651304576</x:v>
      </x:c>
      <x:c r="L3065" s="3"/>
    </x:row>
    <x:row r="3066" ht="22" customHeight="1">
      <x:c r="A3066" s="3"/>
      <x:c r="B3066" s="3" t="str">
        <x:v>22016</x:v>
      </x:c>
      <x:c r="C3066" s="3" t="str">
        <x:v>Dotcomgiftshop Gift Voucher £100.00</x:v>
      </x:c>
      <x:c r="D3066" s="13" t="n">
        <x:v>83.33</x:v>
      </x:c>
      <x:c r="E3066" s="13" t="n">
        <x:v>0</x:v>
      </x:c>
      <x:c r="F3066" s="13" t="n">
        <x:f>D3066-E3066</x:f>
        <x:v>83.33</x:v>
      </x:c>
      <x:c r="G3066" s="3" t="n">
        <x:v>1</x:v>
      </x:c>
      <x:c r="H3066" s="3" t="n">
        <x:v>0</x:v>
      </x:c>
      <x:c r="I3066" s="3" t="n">
        <x:v>1</x:v>
      </x:c>
      <x:c r="J3066" s="15" t="n">
        <x:f>IF(D3066=0,"n.a.",E3066/D3066)</x:f>
        <x:v>0</x:v>
      </x:c>
      <x:c r="K3066" s="15" t="n">
        <x:f>F3066/'Datos'!$F$7</x:f>
        <x:v>0.000008509392140172743</x:v>
      </x:c>
      <x:c r="L3066" s="3"/>
    </x:row>
    <x:row r="3067" ht="22" customHeight="1">
      <x:c r="A3067" s="3"/>
      <x:c r="B3067" s="3" t="str">
        <x:v>90123C</x:v>
      </x:c>
      <x:c r="C3067" s="3" t="str">
        <x:v>GREEN HEART OF GLASS BRACELET</x:v>
      </x:c>
      <x:c r="D3067" s="13" t="n">
        <x:v>83.29</x:v>
      </x:c>
      <x:c r="E3067" s="13" t="n">
        <x:v>0</x:v>
      </x:c>
      <x:c r="F3067" s="13" t="n">
        <x:f>D3067-E3067</x:f>
        <x:v>83.29</x:v>
      </x:c>
      <x:c r="G3067" s="3" t="n">
        <x:v>14</x:v>
      </x:c>
      <x:c r="H3067" s="3" t="n">
        <x:v>0</x:v>
      </x:c>
      <x:c r="I3067" s="3" t="n">
        <x:v>6</x:v>
      </x:c>
      <x:c r="J3067" s="15" t="n">
        <x:f>IF(D3067=0,"n.a.",E3067/D3067)</x:f>
        <x:v>0</x:v>
      </x:c>
      <x:c r="K3067" s="15" t="n">
        <x:f>F3067/'Datos'!$F$7</x:f>
        <x:v>0.000008505307468558596</x:v>
      </x:c>
      <x:c r="L3067" s="3"/>
    </x:row>
    <x:row r="3068" ht="22" customHeight="1">
      <x:c r="A3068" s="3"/>
      <x:c r="B3068" s="3" t="str">
        <x:v>90129A</x:v>
      </x:c>
      <x:c r="C3068" s="3" t="str">
        <x:v>PINK GLASS TASSLE BAG CHARM</x:v>
      </x:c>
      <x:c r="D3068" s="13" t="n">
        <x:v>82.98</x:v>
      </x:c>
      <x:c r="E3068" s="13" t="n">
        <x:v>0</x:v>
      </x:c>
      <x:c r="F3068" s="13" t="n">
        <x:f>D3068-E3068</x:f>
        <x:v>82.98</x:v>
      </x:c>
      <x:c r="G3068" s="3" t="n">
        <x:v>45</x:v>
      </x:c>
      <x:c r="H3068" s="3" t="n">
        <x:v>0</x:v>
      </x:c>
      <x:c r="I3068" s="3" t="n">
        <x:v>20</x:v>
      </x:c>
      <x:c r="J3068" s="15" t="n">
        <x:f>IF(D3068=0,"n.a.",E3068/D3068)</x:f>
        <x:v>0</x:v>
      </x:c>
      <x:c r="K3068" s="15" t="n">
        <x:f>F3068/'Datos'!$F$7</x:f>
        <x:v>0.000008473651263548953</x:v>
      </x:c>
      <x:c r="L3068" s="3"/>
    </x:row>
    <x:row r="3069" ht="22" customHeight="1">
      <x:c r="A3069" s="3"/>
      <x:c r="B3069" s="3" t="str">
        <x:v>90101</x:v>
      </x:c>
      <x:c r="C3069" s="3" t="str">
        <x:v>WHITE FRANGIPANI NECKLACE</x:v>
      </x:c>
      <x:c r="D3069" s="13" t="n">
        <x:v>98.07</x:v>
      </x:c>
      <x:c r="E3069" s="13" t="n">
        <x:v>15.3</x:v>
      </x:c>
      <x:c r="F3069" s="13" t="n">
        <x:f>D3069-E3069</x:f>
        <x:v>82.77</x:v>
      </x:c>
      <x:c r="G3069" s="3" t="n">
        <x:v>39</x:v>
      </x:c>
      <x:c r="H3069" s="3" t="n">
        <x:v>6</x:v>
      </x:c>
      <x:c r="I3069" s="3" t="n">
        <x:v>17</x:v>
      </x:c>
      <x:c r="J3069" s="15" t="n">
        <x:f>IF(D3069=0,"n.a.",E3069/D3069)</x:f>
        <x:v>0.15601101254206182</x:v>
      </x:c>
      <x:c r="K3069" s="15" t="n">
        <x:f>F3069/'Datos'!$F$7</x:f>
        <x:v>0.000008452206737574677</x:v>
      </x:c>
      <x:c r="L3069" s="3"/>
    </x:row>
    <x:row r="3070" ht="22" customHeight="1">
      <x:c r="A3070" s="3"/>
      <x:c r="B3070" s="3" t="str">
        <x:v>35638A</x:v>
      </x:c>
      <x:c r="C3070" s="3" t="str">
        <x:v>PINK AND BLACK STRING CURTAIN</x:v>
      </x:c>
      <x:c r="D3070" s="13" t="n">
        <x:v>82.1</x:v>
      </x:c>
      <x:c r="E3070" s="13" t="n">
        <x:v>0</x:v>
      </x:c>
      <x:c r="F3070" s="13" t="n">
        <x:f>D3070-E3070</x:f>
        <x:v>82.1</x:v>
      </x:c>
      <x:c r="G3070" s="3" t="n">
        <x:v>38</x:v>
      </x:c>
      <x:c r="H3070" s="3" t="n">
        <x:v>0</x:v>
      </x:c>
      <x:c r="I3070" s="3" t="n">
        <x:v>5</x:v>
      </x:c>
      <x:c r="J3070" s="15" t="n">
        <x:f>IF(D3070=0,"n.a.",E3070/D3070)</x:f>
        <x:v>0</x:v>
      </x:c>
      <x:c r="K3070" s="15" t="n">
        <x:f>F3070/'Datos'!$F$7</x:f>
        <x:v>0.000008383788488037707</x:v>
      </x:c>
      <x:c r="L3070" s="3"/>
    </x:row>
    <x:row r="3071" ht="22" customHeight="1">
      <x:c r="A3071" s="3"/>
      <x:c r="B3071" s="3" t="str">
        <x:v>35968</x:v>
      </x:c>
      <x:c r="C3071" s="3" t="str">
        <x:v>FOLK ART METAL HEART T-LIGHT HOLDER</x:v>
      </x:c>
      <x:c r="D3071" s="13" t="n">
        <x:v>82.1</x:v>
      </x:c>
      <x:c r="E3071" s="13" t="n">
        <x:v>0</x:v>
      </x:c>
      <x:c r="F3071" s="13" t="n">
        <x:f>D3071-E3071</x:f>
        <x:v>82.1</x:v>
      </x:c>
      <x:c r="G3071" s="3" t="n">
        <x:v>163</x:v>
      </x:c>
      <x:c r="H3071" s="3" t="n">
        <x:v>0</x:v>
      </x:c>
      <x:c r="I3071" s="3" t="n">
        <x:v>19</x:v>
      </x:c>
      <x:c r="J3071" s="15" t="n">
        <x:f>IF(D3071=0,"n.a.",E3071/D3071)</x:f>
        <x:v>0</x:v>
      </x:c>
      <x:c r="K3071" s="15" t="n">
        <x:f>F3071/'Datos'!$F$7</x:f>
        <x:v>0.000008383788488037707</x:v>
      </x:c>
      <x:c r="L3071" s="3"/>
    </x:row>
    <x:row r="3072" ht="22" customHeight="1">
      <x:c r="A3072" s="3"/>
      <x:c r="B3072" s="3" t="str">
        <x:v>16049</x:v>
      </x:c>
      <x:c r="C3072" s="3" t="str">
        <x:v>TEATIME GEL PENS ASST</x:v>
      </x:c>
      <x:c r="D3072" s="13" t="n">
        <x:v>82.08</x:v>
      </x:c>
      <x:c r="E3072" s="13" t="n">
        <x:v>0</x:v>
      </x:c>
      <x:c r="F3072" s="13" t="n">
        <x:f>D3072-E3072</x:f>
        <x:v>82.08</x:v>
      </x:c>
      <x:c r="G3072" s="3" t="n">
        <x:v>504</x:v>
      </x:c>
      <x:c r="H3072" s="3" t="n">
        <x:v>0</x:v>
      </x:c>
      <x:c r="I3072" s="3" t="n">
        <x:v>5</x:v>
      </x:c>
      <x:c r="J3072" s="15" t="n">
        <x:f>IF(D3072=0,"n.a.",E3072/D3072)</x:f>
        <x:v>0</x:v>
      </x:c>
      <x:c r="K3072" s="15" t="n">
        <x:f>F3072/'Datos'!$F$7</x:f>
        <x:v>0.000008381746152230634</x:v>
      </x:c>
      <x:c r="L3072" s="3"/>
    </x:row>
    <x:row r="3073" ht="22" customHeight="1">
      <x:c r="A3073" s="3"/>
      <x:c r="B3073" s="3" t="str">
        <x:v>21226</x:v>
      </x:c>
      <x:c r="C3073" s="3" t="str">
        <x:v>POCKET MIRROR WOODLAND</x:v>
      </x:c>
      <x:c r="D3073" s="13" t="n">
        <x:v>81.8</x:v>
      </x:c>
      <x:c r="E3073" s="13" t="n">
        <x:v>0</x:v>
      </x:c>
      <x:c r="F3073" s="13" t="n">
        <x:f>D3073-E3073</x:f>
        <x:v>81.8</x:v>
      </x:c>
      <x:c r="G3073" s="3" t="n">
        <x:v>94</x:v>
      </x:c>
      <x:c r="H3073" s="3" t="n">
        <x:v>0</x:v>
      </x:c>
      <x:c r="I3073" s="3" t="n">
        <x:v>20</x:v>
      </x:c>
      <x:c r="J3073" s="15" t="n">
        <x:f>IF(D3073=0,"n.a.",E3073/D3073)</x:f>
        <x:v>0</x:v>
      </x:c>
      <x:c r="K3073" s="15" t="n">
        <x:f>F3073/'Datos'!$F$7</x:f>
        <x:v>0.000008353153450931603</x:v>
      </x:c>
      <x:c r="L3073" s="3"/>
    </x:row>
    <x:row r="3074" ht="22" customHeight="1">
      <x:c r="A3074" s="3"/>
      <x:c r="B3074" s="3" t="str">
        <x:v>20664</x:v>
      </x:c>
      <x:c r="C3074" s="3" t="str">
        <x:v>TROPICAL HOLIDAY PURSE</x:v>
      </x:c>
      <x:c r="D3074" s="13" t="n">
        <x:v>81.66</x:v>
      </x:c>
      <x:c r="E3074" s="13" t="n">
        <x:v>0</x:v>
      </x:c>
      <x:c r="F3074" s="13" t="n">
        <x:f>D3074-E3074</x:f>
        <x:v>81.66</x:v>
      </x:c>
      <x:c r="G3074" s="3" t="n">
        <x:v>32</x:v>
      </x:c>
      <x:c r="H3074" s="3" t="n">
        <x:v>0</x:v>
      </x:c>
      <x:c r="I3074" s="3" t="n">
        <x:v>18</x:v>
      </x:c>
      <x:c r="J3074" s="15" t="n">
        <x:f>IF(D3074=0,"n.a.",E3074/D3074)</x:f>
        <x:v>0</x:v>
      </x:c>
      <x:c r="K3074" s="15" t="n">
        <x:f>F3074/'Datos'!$F$7</x:f>
        <x:v>0.000008338857100282085</x:v>
      </x:c>
      <x:c r="L3074" s="3"/>
    </x:row>
    <x:row r="3075" ht="22" customHeight="1">
      <x:c r="A3075" s="3"/>
      <x:c r="B3075" s="3" t="str">
        <x:v>85023B</x:v>
      </x:c>
      <x:c r="C3075" s="3" t="str">
        <x:v>EAU DE NILE JEWELLED PHOTOFRAME</x:v>
      </x:c>
      <x:c r="D3075" s="13" t="n">
        <x:v>235.35</x:v>
      </x:c>
      <x:c r="E3075" s="13" t="n">
        <x:v>153.75</x:v>
      </x:c>
      <x:c r="F3075" s="13" t="n">
        <x:f>D3075-E3075</x:f>
        <x:v>81.6</x:v>
      </x:c>
      <x:c r="G3075" s="3" t="n">
        <x:v>105</x:v>
      </x:c>
      <x:c r="H3075" s="3" t="n">
        <x:v>73</x:v>
      </x:c>
      <x:c r="I3075" s="3" t="n">
        <x:v>13</x:v>
      </x:c>
      <x:c r="J3075" s="15" t="n">
        <x:f>IF(D3075=0,"n.a.",E3075/D3075)</x:f>
        <x:v>0.6532823454429573</x:v>
      </x:c>
      <x:c r="K3075" s="15" t="n">
        <x:f>F3075/'Datos'!$F$7</x:f>
        <x:v>0.000008332730092860863</x:v>
      </x:c>
      <x:c r="L3075" s="3"/>
    </x:row>
    <x:row r="3076" ht="22" customHeight="1">
      <x:c r="A3076" s="3"/>
      <x:c r="B3076" s="3" t="str">
        <x:v>20941</x:v>
      </x:c>
      <x:c r="C3076" s="3" t="str">
        <x:v>FROG CANDLE</x:v>
      </x:c>
      <x:c r="D3076" s="13" t="n">
        <x:v>83.78</x:v>
      </x:c>
      <x:c r="E3076" s="13" t="n">
        <x:v>2.5</x:v>
      </x:c>
      <x:c r="F3076" s="13" t="n">
        <x:f>D3076-E3076</x:f>
        <x:v>81.28</x:v>
      </x:c>
      <x:c r="G3076" s="3" t="n">
        <x:v>64</x:v>
      </x:c>
      <x:c r="H3076" s="3" t="n">
        <x:v>2</x:v>
      </x:c>
      <x:c r="I3076" s="3" t="n">
        <x:v>19</x:v>
      </x:c>
      <x:c r="J3076" s="15" t="n">
        <x:f>IF(D3076=0,"n.a.",E3076/D3076)</x:f>
        <x:v>0.02984005729291</x:v>
      </x:c>
      <x:c r="K3076" s="15" t="n">
        <x:f>F3076/'Datos'!$F$7</x:f>
        <x:v>0.000008300052719947686</x:v>
      </x:c>
      <x:c r="L3076" s="3"/>
    </x:row>
    <x:row r="3077" ht="22" customHeight="1">
      <x:c r="A3077" s="3"/>
      <x:c r="B3077" s="3" t="str">
        <x:v>71496A</x:v>
      </x:c>
      <x:c r="C3077" s="3" t="str">
        <x:v>A4 WALL TIDY BLUE OFFICE</x:v>
      </x:c>
      <x:c r="D3077" s="13" t="n">
        <x:v>80.96</x:v>
      </x:c>
      <x:c r="E3077" s="13" t="n">
        <x:v>0</x:v>
      </x:c>
      <x:c r="F3077" s="13" t="n">
        <x:f>D3077-E3077</x:f>
        <x:v>80.96</x:v>
      </x:c>
      <x:c r="G3077" s="3" t="n">
        <x:v>127</x:v>
      </x:c>
      <x:c r="H3077" s="3" t="n">
        <x:v>0</x:v>
      </x:c>
      <x:c r="I3077" s="3" t="n">
        <x:v>12</x:v>
      </x:c>
      <x:c r="J3077" s="15" t="n">
        <x:f>IF(D3077=0,"n.a.",E3077/D3077)</x:f>
        <x:v>0</x:v>
      </x:c>
      <x:c r="K3077" s="15" t="n">
        <x:f>F3077/'Datos'!$F$7</x:f>
        <x:v>0.000008267375347034504</x:v>
      </x:c>
      <x:c r="L3077" s="3"/>
    </x:row>
    <x:row r="3078" ht="22" customHeight="1">
      <x:c r="A3078" s="3"/>
      <x:c r="B3078" s="3" t="str">
        <x:v>21038</x:v>
      </x:c>
      <x:c r="C3078" s="3" t="str">
        <x:v>SET/4 MODERN VINTAGE COTTON NAPKINS</x:v>
      </x:c>
      <x:c r="D3078" s="13" t="n">
        <x:v>86.75</x:v>
      </x:c>
      <x:c r="E3078" s="13" t="n">
        <x:v>5.9</x:v>
      </x:c>
      <x:c r="F3078" s="13" t="n">
        <x:f>D3078-E3078</x:f>
        <x:v>80.85</x:v>
      </x:c>
      <x:c r="G3078" s="3" t="n">
        <x:v>77</x:v>
      </x:c>
      <x:c r="H3078" s="3" t="n">
        <x:v>2</x:v>
      </x:c>
      <x:c r="I3078" s="3" t="n">
        <x:v>23</x:v>
      </x:c>
      <x:c r="J3078" s="15" t="n">
        <x:f>IF(D3078=0,"n.a.",E3078/D3078)</x:f>
        <x:v>0.06801152737752161</x:v>
      </x:c>
      <x:c r="K3078" s="15" t="n">
        <x:f>F3078/'Datos'!$F$7</x:f>
        <x:v>0.0000082561425000956</x:v>
      </x:c>
      <x:c r="L3078" s="3"/>
    </x:row>
    <x:row r="3079" ht="22" customHeight="1">
      <x:c r="A3079" s="3"/>
      <x:c r="B3079" s="3" t="str">
        <x:v>90175C</x:v>
      </x:c>
      <x:c r="C3079" s="3" t="str">
        <x:v>BLUE GLASS CHUNKY CHARM BRACELET</x:v>
      </x:c>
      <x:c r="D3079" s="13" t="n">
        <x:v>80.55</x:v>
      </x:c>
      <x:c r="E3079" s="13" t="n">
        <x:v>0</x:v>
      </x:c>
      <x:c r="F3079" s="13" t="n">
        <x:f>D3079-E3079</x:f>
        <x:v>80.55</x:v>
      </x:c>
      <x:c r="G3079" s="3" t="n">
        <x:v>9</x:v>
      </x:c>
      <x:c r="H3079" s="3" t="n">
        <x:v>0</x:v>
      </x:c>
      <x:c r="I3079" s="3" t="n">
        <x:v>6</x:v>
      </x:c>
      <x:c r="J3079" s="15" t="n">
        <x:f>IF(D3079=0,"n.a.",E3079/D3079)</x:f>
        <x:v>0</x:v>
      </x:c>
      <x:c r="K3079" s="15" t="n">
        <x:f>F3079/'Datos'!$F$7</x:f>
        <x:v>0.000008225507462989493</x:v>
      </x:c>
      <x:c r="L3079" s="3"/>
    </x:row>
    <x:row r="3080" ht="22" customHeight="1">
      <x:c r="A3080" s="3"/>
      <x:c r="B3080" s="3" t="str">
        <x:v>84249A</x:v>
      </x:c>
      <x:c r="C3080" s="3" t="str">
        <x:v>GREETING CARD,SQUARE, DOUGHNUTS</x:v>
      </x:c>
      <x:c r="D3080" s="13" t="n">
        <x:v>80.46</x:v>
      </x:c>
      <x:c r="E3080" s="13" t="n">
        <x:v>0</x:v>
      </x:c>
      <x:c r="F3080" s="13" t="n">
        <x:f>D3080-E3080</x:f>
        <x:v>80.46</x:v>
      </x:c>
      <x:c r="G3080" s="3" t="n">
        <x:v>174</x:v>
      </x:c>
      <x:c r="H3080" s="3" t="n">
        <x:v>0</x:v>
      </x:c>
      <x:c r="I3080" s="3" t="n">
        <x:v>27</x:v>
      </x:c>
      <x:c r="J3080" s="15" t="n">
        <x:f>IF(D3080=0,"n.a.",E3080/D3080)</x:f>
        <x:v>0</x:v>
      </x:c>
      <x:c r="K3080" s="15" t="n">
        <x:f>F3080/'Datos'!$F$7</x:f>
        <x:v>0.00000821631695185766</x:v>
      </x:c>
      <x:c r="L3080" s="3"/>
    </x:row>
    <x:row r="3081" ht="22" customHeight="1">
      <x:c r="A3081" s="3"/>
      <x:c r="B3081" s="3" t="str">
        <x:v>90129C</x:v>
      </x:c>
      <x:c r="C3081" s="3" t="str">
        <x:v>GREEN GLASS TASSLE BAG CHARM</x:v>
      </x:c>
      <x:c r="D3081" s="13" t="n">
        <x:v>79.76</x:v>
      </x:c>
      <x:c r="E3081" s="13" t="n">
        <x:v>0</x:v>
      </x:c>
      <x:c r="F3081" s="13" t="n">
        <x:f>D3081-E3081</x:f>
        <x:v>79.76</x:v>
      </x:c>
      <x:c r="G3081" s="3" t="n">
        <x:v>35</x:v>
      </x:c>
      <x:c r="H3081" s="3" t="n">
        <x:v>0</x:v>
      </x:c>
      <x:c r="I3081" s="3" t="n">
        <x:v>16</x:v>
      </x:c>
      <x:c r="J3081" s="15" t="n">
        <x:f>IF(D3081=0,"n.a.",E3081/D3081)</x:f>
        <x:v>0</x:v>
      </x:c>
      <x:c r="K3081" s="15" t="n">
        <x:f>F3081/'Datos'!$F$7</x:f>
        <x:v>0.000008144835198610081</x:v>
      </x:c>
      <x:c r="L3081" s="3"/>
    </x:row>
    <x:row r="3082" ht="22" customHeight="1">
      <x:c r="A3082" s="3"/>
      <x:c r="B3082" s="3" t="str">
        <x:v>90124A</x:v>
      </x:c>
      <x:c r="C3082" s="3" t="str">
        <x:v>PINK MURANO TWIST NECKLACE</x:v>
      </x:c>
      <x:c r="D3082" s="13" t="n">
        <x:v>79.66</x:v>
      </x:c>
      <x:c r="E3082" s="13" t="n">
        <x:v>0</x:v>
      </x:c>
      <x:c r="F3082" s="13" t="n">
        <x:f>D3082-E3082</x:f>
        <x:v>79.66</x:v>
      </x:c>
      <x:c r="G3082" s="3" t="n">
        <x:v>8</x:v>
      </x:c>
      <x:c r="H3082" s="3" t="n">
        <x:v>0</x:v>
      </x:c>
      <x:c r="I3082" s="3" t="n">
        <x:v>6</x:v>
      </x:c>
      <x:c r="J3082" s="15" t="n">
        <x:f>IF(D3082=0,"n.a.",E3082/D3082)</x:f>
        <x:v>0</x:v>
      </x:c>
      <x:c r="K3082" s="15" t="n">
        <x:f>F3082/'Datos'!$F$7</x:f>
        <x:v>0.000008134623519574712</x:v>
      </x:c>
      <x:c r="L3082" s="3"/>
    </x:row>
    <x:row r="3083" ht="22" customHeight="1">
      <x:c r="A3083" s="3"/>
      <x:c r="B3083" s="3" t="str">
        <x:v>84984B</x:v>
      </x:c>
      <x:c r="C3083" s="3" t="str">
        <x:v>RED PEONY CUSHION COVER</x:v>
      </x:c>
      <x:c r="D3083" s="13" t="n">
        <x:v>79.05</x:v>
      </x:c>
      <x:c r="E3083" s="13" t="n">
        <x:v>0</x:v>
      </x:c>
      <x:c r="F3083" s="13" t="n">
        <x:f>D3083-E3083</x:f>
        <x:v>79.05</x:v>
      </x:c>
      <x:c r="G3083" s="3" t="n">
        <x:v>17</x:v>
      </x:c>
      <x:c r="H3083" s="3" t="n">
        <x:v>0</x:v>
      </x:c>
      <x:c r="I3083" s="3" t="n">
        <x:v>5</x:v>
      </x:c>
      <x:c r="J3083" s="15" t="n">
        <x:f>IF(D3083=0,"n.a.",E3083/D3083)</x:f>
        <x:v>0</x:v>
      </x:c>
      <x:c r="K3083" s="15" t="n">
        <x:f>F3083/'Datos'!$F$7</x:f>
        <x:v>0.000008072332277458962</x:v>
      </x:c>
      <x:c r="L3083" s="3"/>
    </x:row>
    <x:row r="3084" ht="22" customHeight="1">
      <x:c r="A3084" s="3"/>
      <x:c r="B3084" s="3" t="str">
        <x:v>72811</x:v>
      </x:c>
      <x:c r="C3084" s="3" t="str">
        <x:v>SMALL ZINC/GLASS CANDLEHOLDER</x:v>
      </x:c>
      <x:c r="D3084" s="13" t="n">
        <x:v>78.93</x:v>
      </x:c>
      <x:c r="E3084" s="13" t="n">
        <x:v>0</x:v>
      </x:c>
      <x:c r="F3084" s="13" t="n">
        <x:f>D3084-E3084</x:f>
        <x:v>78.93</x:v>
      </x:c>
      <x:c r="G3084" s="3" t="n">
        <x:v>53</x:v>
      </x:c>
      <x:c r="H3084" s="3" t="n">
        <x:v>0</x:v>
      </x:c>
      <x:c r="I3084" s="3" t="n">
        <x:v>8</x:v>
      </x:c>
      <x:c r="J3084" s="15" t="n">
        <x:f>IF(D3084=0,"n.a.",E3084/D3084)</x:f>
        <x:v>0</x:v>
      </x:c>
      <x:c r="K3084" s="15" t="n">
        <x:f>F3084/'Datos'!$F$7</x:f>
        <x:v>0.000008060078262616522</x:v>
      </x:c>
      <x:c r="L3084" s="3"/>
    </x:row>
    <x:row r="3085" ht="22" customHeight="1">
      <x:c r="A3085" s="3"/>
      <x:c r="B3085" s="3" t="str">
        <x:v>20901</x:v>
      </x:c>
      <x:c r="C3085" s="3" t="str">
        <x:v>VINTAGE KEEPSAKE BOX PINK FLOWER</x:v>
      </x:c>
      <x:c r="D3085" s="13" t="n">
        <x:v>91.48</x:v>
      </x:c>
      <x:c r="E3085" s="13" t="n">
        <x:v>12.7</x:v>
      </x:c>
      <x:c r="F3085" s="13" t="n">
        <x:f>D3085-E3085</x:f>
        <x:v>78.78</x:v>
      </x:c>
      <x:c r="G3085" s="3" t="n">
        <x:v>20</x:v>
      </x:c>
      <x:c r="H3085" s="3" t="n">
        <x:v>2</x:v>
      </x:c>
      <x:c r="I3085" s="3" t="n">
        <x:v>15</x:v>
      </x:c>
      <x:c r="J3085" s="15" t="n">
        <x:f>IF(D3085=0,"n.a.",E3085/D3085)</x:f>
        <x:v>0.13882815916047223</x:v>
      </x:c>
      <x:c r="K3085" s="15" t="n">
        <x:f>F3085/'Datos'!$F$7</x:f>
        <x:v>0.000008044760744063467</x:v>
      </x:c>
      <x:c r="L3085" s="3"/>
    </x:row>
    <x:row r="3086" ht="22" customHeight="1">
      <x:c r="A3086" s="3"/>
      <x:c r="B3086" s="3" t="str">
        <x:v>84847</x:v>
      </x:c>
      <x:c r="C3086" s="3" t="str">
        <x:v>FLORAL BATHROOM SET</x:v>
      </x:c>
      <x:c r="D3086" s="13" t="n">
        <x:v>78.75</x:v>
      </x:c>
      <x:c r="E3086" s="13" t="n">
        <x:v>0</x:v>
      </x:c>
      <x:c r="F3086" s="13" t="n">
        <x:f>D3086-E3086</x:f>
        <x:v>78.75</x:v>
      </x:c>
      <x:c r="G3086" s="3" t="n">
        <x:v>21</x:v>
      </x:c>
      <x:c r="H3086" s="3" t="n">
        <x:v>0</x:v>
      </x:c>
      <x:c r="I3086" s="3" t="n">
        <x:v>11</x:v>
      </x:c>
      <x:c r="J3086" s="15" t="n">
        <x:f>IF(D3086=0,"n.a.",E3086/D3086)</x:f>
        <x:v>0</x:v>
      </x:c>
      <x:c r="K3086" s="15" t="n">
        <x:f>F3086/'Datos'!$F$7</x:f>
        <x:v>0.000008041697240352856</x:v>
      </x:c>
      <x:c r="L3086" s="3"/>
    </x:row>
    <x:row r="3087" ht="22" customHeight="1">
      <x:c r="A3087" s="3"/>
      <x:c r="B3087" s="3" t="str">
        <x:v>90039D</x:v>
      </x:c>
      <x:c r="C3087" s="3" t="str">
        <x:v>FIRE POLISHED GLASS BRACELET GREEN</x:v>
      </x:c>
      <x:c r="D3087" s="13" t="n">
        <x:v>78.69</x:v>
      </x:c>
      <x:c r="E3087" s="13" t="n">
        <x:v>0</x:v>
      </x:c>
      <x:c r="F3087" s="13" t="n">
        <x:f>D3087-E3087</x:f>
        <x:v>78.69</x:v>
      </x:c>
      <x:c r="G3087" s="3" t="n">
        <x:v>21</x:v>
      </x:c>
      <x:c r="H3087" s="3" t="n">
        <x:v>0</x:v>
      </x:c>
      <x:c r="I3087" s="3" t="n">
        <x:v>9</x:v>
      </x:c>
      <x:c r="J3087" s="15" t="n">
        <x:f>IF(D3087=0,"n.a.",E3087/D3087)</x:f>
        <x:v>0</x:v>
      </x:c>
      <x:c r="K3087" s="15" t="n">
        <x:f>F3087/'Datos'!$F$7</x:f>
        <x:v>0.000008035570232931636</x:v>
      </x:c>
      <x:c r="L3087" s="3"/>
    </x:row>
    <x:row r="3088" ht="22" customHeight="1">
      <x:c r="A3088" s="3"/>
      <x:c r="B3088" s="3" t="str">
        <x:v>37479B</x:v>
      </x:c>
      <x:c r="C3088" s="3" t="str">
        <x:v>CUBIC MUG FLOCK BLUE ON BROWN</x:v>
      </x:c>
      <x:c r="D3088" s="13" t="n">
        <x:v>78.09</x:v>
      </x:c>
      <x:c r="E3088" s="13" t="n">
        <x:v>0</x:v>
      </x:c>
      <x:c r="F3088" s="13" t="n">
        <x:f>D3088-E3088</x:f>
        <x:v>78.09</x:v>
      </x:c>
      <x:c r="G3088" s="3" t="n">
        <x:v>131</x:v>
      </x:c>
      <x:c r="H3088" s="3" t="n">
        <x:v>0</x:v>
      </x:c>
      <x:c r="I3088" s="3" t="n">
        <x:v>21</x:v>
      </x:c>
      <x:c r="J3088" s="15" t="n">
        <x:f>IF(D3088=0,"n.a.",E3088/D3088)</x:f>
        <x:v>0</x:v>
      </x:c>
      <x:c r="K3088" s="15" t="n">
        <x:f>F3088/'Datos'!$F$7</x:f>
        <x:v>0.000007974300158719423</x:v>
      </x:c>
      <x:c r="L3088" s="3"/>
    </x:row>
    <x:row r="3089" ht="22" customHeight="1">
      <x:c r="A3089" s="3"/>
      <x:c r="B3089" s="3" t="str">
        <x:v>90000A</x:v>
      </x:c>
      <x:c r="C3089" s="3" t="str">
        <x:v>RASPBERRY ANT COPPER FLOWER NECKLAC</x:v>
      </x:c>
      <x:c r="D3089" s="13" t="n">
        <x:v>77.91</x:v>
      </x:c>
      <x:c r="E3089" s="13" t="n">
        <x:v>0</x:v>
      </x:c>
      <x:c r="F3089" s="13" t="n">
        <x:f>D3089-E3089</x:f>
        <x:v>77.91</x:v>
      </x:c>
      <x:c r="G3089" s="3" t="n">
        <x:v>13</x:v>
      </x:c>
      <x:c r="H3089" s="3" t="n">
        <x:v>0</x:v>
      </x:c>
      <x:c r="I3089" s="3" t="n">
        <x:v>8</x:v>
      </x:c>
      <x:c r="J3089" s="15" t="n">
        <x:f>IF(D3089=0,"n.a.",E3089/D3089)</x:f>
        <x:v>0</x:v>
      </x:c>
      <x:c r="K3089" s="15" t="n">
        <x:f>F3089/'Datos'!$F$7</x:f>
        <x:v>0.000007955919136455759</x:v>
      </x:c>
      <x:c r="L3089" s="3"/>
    </x:row>
    <x:row r="3090" ht="22" customHeight="1">
      <x:c r="A3090" s="3"/>
      <x:c r="B3090" s="3" t="str">
        <x:v>90086</x:v>
      </x:c>
      <x:c r="C3090" s="3" t="str">
        <x:v>CRYSTAL FROG PHONE CHARM</x:v>
      </x:c>
      <x:c r="D3090" s="13" t="n">
        <x:v>77.79</x:v>
      </x:c>
      <x:c r="E3090" s="13" t="n">
        <x:v>0</x:v>
      </x:c>
      <x:c r="F3090" s="13" t="n">
        <x:f>D3090-E3090</x:f>
        <x:v>77.79</x:v>
      </x:c>
      <x:c r="G3090" s="3" t="n">
        <x:v>102</x:v>
      </x:c>
      <x:c r="H3090" s="3" t="n">
        <x:v>0</x:v>
      </x:c>
      <x:c r="I3090" s="3" t="n">
        <x:v>28</x:v>
      </x:c>
      <x:c r="J3090" s="15" t="n">
        <x:f>IF(D3090=0,"n.a.",E3090/D3090)</x:f>
        <x:v>0</x:v>
      </x:c>
      <x:c r="K3090" s="15" t="n">
        <x:f>F3090/'Datos'!$F$7</x:f>
        <x:v>0.000007943665121613317</x:v>
      </x:c>
      <x:c r="L3090" s="3"/>
    </x:row>
    <x:row r="3091" ht="22" customHeight="1">
      <x:c r="A3091" s="3"/>
      <x:c r="B3091" s="3" t="str">
        <x:v>90129E</x:v>
      </x:c>
      <x:c r="C3091" s="3" t="str">
        <x:v>PURPLE GLASS TASSLE BAG CHARM</x:v>
      </x:c>
      <x:c r="D3091" s="13" t="n">
        <x:v>77.04</x:v>
      </x:c>
      <x:c r="E3091" s="13" t="n">
        <x:v>0</x:v>
      </x:c>
      <x:c r="F3091" s="13" t="n">
        <x:f>D3091-E3091</x:f>
        <x:v>77.04</x:v>
      </x:c>
      <x:c r="G3091" s="3" t="n">
        <x:v>42</x:v>
      </x:c>
      <x:c r="H3091" s="3" t="n">
        <x:v>0</x:v>
      </x:c>
      <x:c r="I3091" s="3" t="n">
        <x:v>14</x:v>
      </x:c>
      <x:c r="J3091" s="15" t="n">
        <x:f>IF(D3091=0,"n.a.",E3091/D3091)</x:f>
        <x:v>0</x:v>
      </x:c>
      <x:c r="K3091" s="15" t="n">
        <x:f>F3091/'Datos'!$F$7</x:f>
        <x:v>0.000007867077528848053</x:v>
      </x:c>
      <x:c r="L3091" s="3"/>
    </x:row>
    <x:row r="3092" ht="22" customHeight="1">
      <x:c r="A3092" s="3"/>
      <x:c r="B3092" s="3" t="str">
        <x:v>90162B</x:v>
      </x:c>
      <x:c r="C3092" s="3" t="str">
        <x:v>ANT SILVER LIME GREEN BOUDICCA RING</x:v>
      </x:c>
      <x:c r="D3092" s="13" t="n">
        <x:v>79.65</x:v>
      </x:c>
      <x:c r="E3092" s="13" t="n">
        <x:v>2.95</x:v>
      </x:c>
      <x:c r="F3092" s="13" t="n">
        <x:f>D3092-E3092</x:f>
        <x:v>76.7</x:v>
      </x:c>
      <x:c r="G3092" s="3" t="n">
        <x:v>27</x:v>
      </x:c>
      <x:c r="H3092" s="3" t="n">
        <x:v>1</x:v>
      </x:c>
      <x:c r="I3092" s="3" t="n">
        <x:v>10</x:v>
      </x:c>
      <x:c r="J3092" s="15" t="n">
        <x:f>IF(D3092=0,"n.a.",E3092/D3092)</x:f>
        <x:v>0.037037037037037035</x:v>
      </x:c>
      <x:c r="K3092" s="15" t="n">
        <x:f>F3092/'Datos'!$F$7</x:f>
        <x:v>0.000007832357820127798</x:v>
      </x:c>
      <x:c r="L3092" s="3"/>
    </x:row>
    <x:row r="3093" ht="22" customHeight="1">
      <x:c r="A3093" s="3"/>
      <x:c r="B3093" s="3" t="str">
        <x:v>84531A</x:v>
      </x:c>
      <x:c r="C3093" s="3" t="str">
        <x:v>PINK KNITTED EGG COSY</x:v>
      </x:c>
      <x:c r="D3093" s="13" t="n">
        <x:v>76.69</x:v>
      </x:c>
      <x:c r="E3093" s="13" t="n">
        <x:v>0</x:v>
      </x:c>
      <x:c r="F3093" s="13" t="n">
        <x:f>D3093-E3093</x:f>
        <x:v>76.69</x:v>
      </x:c>
      <x:c r="G3093" s="3" t="n">
        <x:v>147</x:v>
      </x:c>
      <x:c r="H3093" s="3" t="n">
        <x:v>0</x:v>
      </x:c>
      <x:c r="I3093" s="3" t="n">
        <x:v>29</x:v>
      </x:c>
      <x:c r="J3093" s="15" t="n">
        <x:f>IF(D3093=0,"n.a.",E3093/D3093)</x:f>
        <x:v>0</x:v>
      </x:c>
      <x:c r="K3093" s="15" t="n">
        <x:f>F3093/'Datos'!$F$7</x:f>
        <x:v>0.00000783133665222426</x:v>
      </x:c>
      <x:c r="L3093" s="3"/>
    </x:row>
    <x:row r="3094" ht="22" customHeight="1">
      <x:c r="A3094" s="3"/>
      <x:c r="B3094" s="3" t="str">
        <x:v>35916B</x:v>
      </x:c>
      <x:c r="C3094" s="3" t="str">
        <x:v>BLUE FELT HANGING HEART WITH FLOWER</x:v>
      </x:c>
      <x:c r="D3094" s="13" t="n">
        <x:v>76.68</x:v>
      </x:c>
      <x:c r="E3094" s="13" t="n">
        <x:v>0</x:v>
      </x:c>
      <x:c r="F3094" s="13" t="n">
        <x:f>D3094-E3094</x:f>
        <x:v>76.68</x:v>
      </x:c>
      <x:c r="G3094" s="3" t="n">
        <x:v>91</x:v>
      </x:c>
      <x:c r="H3094" s="3" t="n">
        <x:v>0</x:v>
      </x:c>
      <x:c r="I3094" s="3" t="n">
        <x:v>32</x:v>
      </x:c>
      <x:c r="J3094" s="15" t="n">
        <x:f>IF(D3094=0,"n.a.",E3094/D3094)</x:f>
        <x:v>0</x:v>
      </x:c>
      <x:c r="K3094" s="15" t="n">
        <x:f>F3094/'Datos'!$F$7</x:f>
        <x:v>0.000007830315484320725</x:v>
      </x:c>
      <x:c r="L3094" s="3"/>
    </x:row>
    <x:row r="3095" ht="22" customHeight="1">
      <x:c r="A3095" s="3"/>
      <x:c r="B3095" s="3" t="str">
        <x:v>46000P</x:v>
      </x:c>
      <x:c r="C3095" s="3" t="str">
        <x:v>POLYESTER FILLER PAD 65CMx65CM</x:v>
      </x:c>
      <x:c r="D3095" s="13" t="n">
        <x:v>76.5</x:v>
      </x:c>
      <x:c r="E3095" s="13" t="n">
        <x:v>0</x:v>
      </x:c>
      <x:c r="F3095" s="13" t="n">
        <x:f>D3095-E3095</x:f>
        <x:v>76.5</x:v>
      </x:c>
      <x:c r="G3095" s="3" t="n">
        <x:v>18</x:v>
      </x:c>
      <x:c r="H3095" s="3" t="n">
        <x:v>0</x:v>
      </x:c>
      <x:c r="I3095" s="3" t="n">
        <x:v>6</x:v>
      </x:c>
      <x:c r="J3095" s="15" t="n">
        <x:f>IF(D3095=0,"n.a.",E3095/D3095)</x:f>
        <x:v>0</x:v>
      </x:c>
      <x:c r="K3095" s="15" t="n">
        <x:f>F3095/'Datos'!$F$7</x:f>
        <x:v>0.00000781193446205706</x:v>
      </x:c>
      <x:c r="L3095" s="3"/>
    </x:row>
    <x:row r="3096" ht="22" customHeight="1">
      <x:c r="A3096" s="3"/>
      <x:c r="B3096" s="3" t="str">
        <x:v>90099</x:v>
      </x:c>
      <x:c r="C3096" s="3" t="str">
        <x:v>NECKLACE+BRACELET SET BLUE HIBISCUS</x:v>
      </x:c>
      <x:c r="D3096" s="13" t="n">
        <x:v>76.38</x:v>
      </x:c>
      <x:c r="E3096" s="13" t="n">
        <x:v>0</x:v>
      </x:c>
      <x:c r="F3096" s="13" t="n">
        <x:f>D3096-E3096</x:f>
        <x:v>76.38</x:v>
      </x:c>
      <x:c r="G3096" s="3" t="n">
        <x:v>27</x:v>
      </x:c>
      <x:c r="H3096" s="3" t="n">
        <x:v>0</x:v>
      </x:c>
      <x:c r="I3096" s="3" t="n">
        <x:v>16</x:v>
      </x:c>
      <x:c r="J3096" s="15" t="n">
        <x:f>IF(D3096=0,"n.a.",E3096/D3096)</x:f>
        <x:v>0</x:v>
      </x:c>
      <x:c r="K3096" s="15" t="n">
        <x:f>F3096/'Datos'!$F$7</x:f>
        <x:v>0.000007799680447214617</x:v>
      </x:c>
      <x:c r="L3096" s="3"/>
    </x:row>
    <x:row r="3097" ht="22" customHeight="1">
      <x:c r="A3097" s="3"/>
      <x:c r="B3097" s="3" t="str">
        <x:v>90063B</x:v>
      </x:c>
      <x:c r="C3097" s="3" t="str">
        <x:v>BLACK VINT ART DEC CRYSTAL NECKLACE</x:v>
      </x:c>
      <x:c r="D3097" s="13" t="n">
        <x:v>76.32</x:v>
      </x:c>
      <x:c r="E3097" s="13" t="n">
        <x:v>0</x:v>
      </x:c>
      <x:c r="F3097" s="13" t="n">
        <x:f>D3097-E3097</x:f>
        <x:v>76.32</x:v>
      </x:c>
      <x:c r="G3097" s="3" t="n">
        <x:v>9</x:v>
      </x:c>
      <x:c r="H3097" s="3" t="n">
        <x:v>0</x:v>
      </x:c>
      <x:c r="I3097" s="3" t="n">
        <x:v>6</x:v>
      </x:c>
      <x:c r="J3097" s="15" t="n">
        <x:f>IF(D3097=0,"n.a.",E3097/D3097)</x:f>
        <x:v>0</x:v>
      </x:c>
      <x:c r="K3097" s="15" t="n">
        <x:f>F3097/'Datos'!$F$7</x:f>
        <x:v>0.000007793553439793397</x:v>
      </x:c>
      <x:c r="L3097" s="3"/>
    </x:row>
    <x:row r="3098" ht="22" customHeight="1">
      <x:c r="A3098" s="3"/>
      <x:c r="B3098" s="3" t="str">
        <x:v>84881</x:v>
      </x:c>
      <x:c r="C3098" s="3" t="str">
        <x:v>BLUE WIRE SPIRAL CANDLE HOLDER</x:v>
      </x:c>
      <x:c r="D3098" s="13" t="n">
        <x:v>82.57</x:v>
      </x:c>
      <x:c r="E3098" s="13" t="n">
        <x:v>6.35</x:v>
      </x:c>
      <x:c r="F3098" s="13" t="n">
        <x:f>D3098-E3098</x:f>
        <x:v>76.22</x:v>
      </x:c>
      <x:c r="G3098" s="3" t="n">
        <x:v>12</x:v>
      </x:c>
      <x:c r="H3098" s="3" t="n">
        <x:v>1</x:v>
      </x:c>
      <x:c r="I3098" s="3" t="n">
        <x:v>6</x:v>
      </x:c>
      <x:c r="J3098" s="15" t="n">
        <x:f>IF(D3098=0,"n.a.",E3098/D3098)</x:f>
        <x:v>0.07690444471357637</x:v>
      </x:c>
      <x:c r="K3098" s="15" t="n">
        <x:f>F3098/'Datos'!$F$7</x:f>
        <x:v>0.000007783341760758028</x:v>
      </x:c>
      <x:c r="L3098" s="3"/>
    </x:row>
    <x:row r="3099" ht="22" customHeight="1">
      <x:c r="A3099" s="3"/>
      <x:c r="B3099" s="3" t="str">
        <x:v>16207B</x:v>
      </x:c>
      <x:c r="C3099" s="3" t="str">
        <x:v>PINK HEART RED HANDBAG</x:v>
      </x:c>
      <x:c r="D3099" s="13" t="n">
        <x:v>76.14</x:v>
      </x:c>
      <x:c r="E3099" s="13" t="n">
        <x:v>0</x:v>
      </x:c>
      <x:c r="F3099" s="13" t="n">
        <x:f>D3099-E3099</x:f>
        <x:v>76.14</x:v>
      </x:c>
      <x:c r="G3099" s="3" t="n">
        <x:v>29</x:v>
      </x:c>
      <x:c r="H3099" s="3" t="n">
        <x:v>0</x:v>
      </x:c>
      <x:c r="I3099" s="3" t="n">
        <x:v>18</x:v>
      </x:c>
      <x:c r="J3099" s="15" t="n">
        <x:f>IF(D3099=0,"n.a.",E3099/D3099)</x:f>
        <x:v>0</x:v>
      </x:c>
      <x:c r="K3099" s="15" t="n">
        <x:f>F3099/'Datos'!$F$7</x:f>
        <x:v>0.000007775172417529733</x:v>
      </x:c>
      <x:c r="L3099" s="3"/>
    </x:row>
    <x:row r="3100" ht="22" customHeight="1">
      <x:c r="A3100" s="3"/>
      <x:c r="B3100" s="3" t="str">
        <x:v>84927E</x:v>
      </x:c>
      <x:c r="C3100" s="3" t="str">
        <x:v>FLOWERS TILE HOOK</x:v>
      </x:c>
      <x:c r="D3100" s="13" t="n">
        <x:v>80.16</x:v>
      </x:c>
      <x:c r="E3100" s="13" t="n">
        <x:v>4.2</x:v>
      </x:c>
      <x:c r="F3100" s="13" t="n">
        <x:f>D3100-E3100</x:f>
        <x:v>75.96</x:v>
      </x:c>
      <x:c r="G3100" s="3" t="n">
        <x:v>59</x:v>
      </x:c>
      <x:c r="H3100" s="3" t="n">
        <x:v>2</x:v>
      </x:c>
      <x:c r="I3100" s="3" t="n">
        <x:v>13</x:v>
      </x:c>
      <x:c r="J3100" s="15" t="n">
        <x:f>IF(D3100=0,"n.a.",E3100/D3100)</x:f>
        <x:v>0.05239520958083833</x:v>
      </x:c>
      <x:c r="K3100" s="15" t="n">
        <x:f>F3100/'Datos'!$F$7</x:f>
        <x:v>0.000007756791395266069</x:v>
      </x:c>
      <x:c r="L3100" s="3"/>
    </x:row>
    <x:row r="3101" ht="22" customHeight="1">
      <x:c r="A3101" s="3"/>
      <x:c r="B3101" s="3" t="str">
        <x:v>21946</x:v>
      </x:c>
      <x:c r="C3101" s="3" t="str">
        <x:v>PARTY TIME DESIGN FLANNEL</x:v>
      </x:c>
      <x:c r="D3101" s="13" t="n">
        <x:v>75.35</x:v>
      </x:c>
      <x:c r="E3101" s="13" t="n">
        <x:v>0</x:v>
      </x:c>
      <x:c r="F3101" s="13" t="n">
        <x:f>D3101-E3101</x:f>
        <x:v>75.35</x:v>
      </x:c>
      <x:c r="G3101" s="3" t="n">
        <x:v>86</x:v>
      </x:c>
      <x:c r="H3101" s="3" t="n">
        <x:v>0</x:v>
      </x:c>
      <x:c r="I3101" s="3" t="n">
        <x:v>25</x:v>
      </x:c>
      <x:c r="J3101" s="15" t="n">
        <x:f>IF(D3101=0,"n.a.",E3101/D3101)</x:f>
        <x:v>0</x:v>
      </x:c>
      <x:c r="K3101" s="15" t="n">
        <x:f>F3101/'Datos'!$F$7</x:f>
        <x:v>0.00000769450015315032</x:v>
      </x:c>
      <x:c r="L3101" s="3"/>
    </x:row>
    <x:row r="3102" ht="22" customHeight="1">
      <x:c r="A3102" s="3"/>
      <x:c r="B3102" s="3" t="str">
        <x:v>90022</x:v>
      </x:c>
      <x:c r="C3102" s="3" t="str">
        <x:v>EDWARDIAN DROP EARRINGS JET BLACK</x:v>
      </x:c>
      <x:c r="D3102" s="13" t="n">
        <x:v>90.2</x:v>
      </x:c>
      <x:c r="E3102" s="13" t="n">
        <x:v>15</x:v>
      </x:c>
      <x:c r="F3102" s="13" t="n">
        <x:f>D3102-E3102</x:f>
        <x:v>75.2</x:v>
      </x:c>
      <x:c r="G3102" s="3" t="n">
        <x:v>24</x:v>
      </x:c>
      <x:c r="H3102" s="3" t="n">
        <x:v>4</x:v>
      </x:c>
      <x:c r="I3102" s="3" t="n">
        <x:v>20</x:v>
      </x:c>
      <x:c r="J3102" s="15" t="n">
        <x:f>IF(D3102=0,"n.a.",E3102/D3102)</x:f>
        <x:v>0.1662971175166297</x:v>
      </x:c>
      <x:c r="K3102" s="15" t="n">
        <x:f>F3102/'Datos'!$F$7</x:f>
        <x:v>0.000007679182634597267</x:v>
      </x:c>
      <x:c r="L3102" s="3"/>
    </x:row>
    <x:row r="3103" ht="22" customHeight="1">
      <x:c r="A3103" s="3"/>
      <x:c r="B3103" s="3" t="str">
        <x:v>21413</x:v>
      </x:c>
      <x:c r="C3103" s="3" t="str">
        <x:v>PERIWINKLE T-LIGHT HOLDER</x:v>
      </x:c>
      <x:c r="D3103" s="13" t="n">
        <x:v>75.02</x:v>
      </x:c>
      <x:c r="E3103" s="13" t="n">
        <x:v>0</x:v>
      </x:c>
      <x:c r="F3103" s="13" t="n">
        <x:f>D3103-E3103</x:f>
        <x:v>75.02</x:v>
      </x:c>
      <x:c r="G3103" s="3" t="n">
        <x:v>48</x:v>
      </x:c>
      <x:c r="H3103" s="3" t="n">
        <x:v>0</x:v>
      </x:c>
      <x:c r="I3103" s="3" t="n">
        <x:v>17</x:v>
      </x:c>
      <x:c r="J3103" s="15" t="n">
        <x:f>IF(D3103=0,"n.a.",E3103/D3103)</x:f>
        <x:v>0</x:v>
      </x:c>
      <x:c r="K3103" s="15" t="n">
        <x:f>F3103/'Datos'!$F$7</x:f>
        <x:v>0.000007660801612333603</x:v>
      </x:c>
      <x:c r="L3103" s="3"/>
    </x:row>
    <x:row r="3104" ht="22" customHeight="1">
      <x:c r="A3104" s="3"/>
      <x:c r="B3104" s="3" t="str">
        <x:v>84251G</x:v>
      </x:c>
      <x:c r="C3104" s="3" t="str">
        <x:v>GREETING CARD, OVERCROWDED POOL.</x:v>
      </x:c>
      <x:c r="D3104" s="13" t="n">
        <x:v>74.7</x:v>
      </x:c>
      <x:c r="E3104" s="13" t="n">
        <x:v>0</x:v>
      </x:c>
      <x:c r="F3104" s="13" t="n">
        <x:f>D3104-E3104</x:f>
        <x:v>74.7</x:v>
      </x:c>
      <x:c r="G3104" s="3" t="n">
        <x:v>270</x:v>
      </x:c>
      <x:c r="H3104" s="3" t="n">
        <x:v>0</x:v>
      </x:c>
      <x:c r="I3104" s="3" t="n">
        <x:v>53</x:v>
      </x:c>
      <x:c r="J3104" s="15" t="n">
        <x:f>IF(D3104=0,"n.a.",E3104/D3104)</x:f>
        <x:v>0</x:v>
      </x:c>
      <x:c r="K3104" s="15" t="n">
        <x:f>F3104/'Datos'!$F$7</x:f>
        <x:v>0.000007628124239420424</x:v>
      </x:c>
      <x:c r="L3104" s="3"/>
    </x:row>
    <x:row r="3105" ht="22" customHeight="1">
      <x:c r="A3105" s="3"/>
      <x:c r="B3105" s="3" t="str">
        <x:v>17012E</x:v>
      </x:c>
      <x:c r="C3105" s="3" t="str">
        <x:v>ORIGAMI OPIUM INCENSE/CANDLE SET</x:v>
      </x:c>
      <x:c r="D3105" s="13" t="n">
        <x:v>74.64</x:v>
      </x:c>
      <x:c r="E3105" s="13" t="n">
        <x:v>0</x:v>
      </x:c>
      <x:c r="F3105" s="13" t="n">
        <x:f>D3105-E3105</x:f>
        <x:v>74.64</x:v>
      </x:c>
      <x:c r="G3105" s="3" t="n">
        <x:v>68</x:v>
      </x:c>
      <x:c r="H3105" s="3" t="n">
        <x:v>0</x:v>
      </x:c>
      <x:c r="I3105" s="3" t="n">
        <x:v>10</x:v>
      </x:c>
      <x:c r="J3105" s="15" t="n">
        <x:f>IF(D3105=0,"n.a.",E3105/D3105)</x:f>
        <x:v>0</x:v>
      </x:c>
      <x:c r="K3105" s="15" t="n">
        <x:f>F3105/'Datos'!$F$7</x:f>
        <x:v>0.000007621997231999203</x:v>
      </x:c>
      <x:c r="L3105" s="3"/>
    </x:row>
    <x:row r="3106" ht="22" customHeight="1">
      <x:c r="A3106" s="3"/>
      <x:c r="B3106" s="3" t="str">
        <x:v>85198</x:v>
      </x:c>
      <x:c r="C3106" s="3" t="str">
        <x:v>ASSORTED FARMYARD ANIMALS IN BUCKET</x:v>
      </x:c>
      <x:c r="D3106" s="13" t="n">
        <x:v>74.58</x:v>
      </x:c>
      <x:c r="E3106" s="13" t="n">
        <x:v>0</x:v>
      </x:c>
      <x:c r="F3106" s="13" t="n">
        <x:f>D3106-E3106</x:f>
        <x:v>74.58</x:v>
      </x:c>
      <x:c r="G3106" s="3" t="n">
        <x:v>90</x:v>
      </x:c>
      <x:c r="H3106" s="3" t="n">
        <x:v>0</x:v>
      </x:c>
      <x:c r="I3106" s="3" t="n">
        <x:v>9</x:v>
      </x:c>
      <x:c r="J3106" s="15" t="n">
        <x:f>IF(D3106=0,"n.a.",E3106/D3106)</x:f>
        <x:v>0</x:v>
      </x:c>
      <x:c r="K3106" s="15" t="n">
        <x:f>F3106/'Datos'!$F$7</x:f>
        <x:v>0.000007615870224577981</x:v>
      </x:c>
      <x:c r="L3106" s="3"/>
    </x:row>
    <x:row r="3107" ht="22" customHeight="1">
      <x:c r="A3107" s="3"/>
      <x:c r="B3107" s="3" t="str">
        <x:v>21087</x:v>
      </x:c>
      <x:c r="C3107" s="3" t="str">
        <x:v>SET/6 POSIES PAPER CUPS</x:v>
      </x:c>
      <x:c r="D3107" s="13" t="n">
        <x:v>74.57</x:v>
      </x:c>
      <x:c r="E3107" s="13" t="n">
        <x:v>0</x:v>
      </x:c>
      <x:c r="F3107" s="13" t="n">
        <x:f>D3107-E3107</x:f>
        <x:v>74.57</x:v>
      </x:c>
      <x:c r="G3107" s="3" t="n">
        <x:v>141</x:v>
      </x:c>
      <x:c r="H3107" s="3" t="n">
        <x:v>0</x:v>
      </x:c>
      <x:c r="I3107" s="3" t="n">
        <x:v>16</x:v>
      </x:c>
      <x:c r="J3107" s="15" t="n">
        <x:f>IF(D3107=0,"n.a.",E3107/D3107)</x:f>
        <x:v>0</x:v>
      </x:c>
      <x:c r="K3107" s="15" t="n">
        <x:f>F3107/'Datos'!$F$7</x:f>
        <x:v>0.000007614849056674444</x:v>
      </x:c>
      <x:c r="L3107" s="3"/>
    </x:row>
    <x:row r="3108" ht="22" customHeight="1">
      <x:c r="A3108" s="3"/>
      <x:c r="B3108" s="3" t="str">
        <x:v>90081A</x:v>
      </x:c>
      <x:c r="C3108" s="3" t="str">
        <x:v>LILY BROOCH AMETHYST COLOUR</x:v>
      </x:c>
      <x:c r="D3108" s="13" t="n">
        <x:v>74.25</x:v>
      </x:c>
      <x:c r="E3108" s="13" t="n">
        <x:v>0</x:v>
      </x:c>
      <x:c r="F3108" s="13" t="n">
        <x:f>D3108-E3108</x:f>
        <x:v>74.25</x:v>
      </x:c>
      <x:c r="G3108" s="3" t="n">
        <x:v>15</x:v>
      </x:c>
      <x:c r="H3108" s="3" t="n">
        <x:v>0</x:v>
      </x:c>
      <x:c r="I3108" s="3" t="n">
        <x:v>8</x:v>
      </x:c>
      <x:c r="J3108" s="15" t="n">
        <x:f>IF(D3108=0,"n.a.",E3108/D3108)</x:f>
        <x:v>0</x:v>
      </x:c>
      <x:c r="K3108" s="15" t="n">
        <x:f>F3108/'Datos'!$F$7</x:f>
        <x:v>0.000007582171683761265</x:v>
      </x:c>
      <x:c r="L3108" s="3"/>
    </x:row>
    <x:row r="3109" ht="22" customHeight="1">
      <x:c r="A3109" s="3"/>
      <x:c r="B3109" s="3" t="str">
        <x:v>85197</x:v>
      </x:c>
      <x:c r="C3109" s="3" t="str">
        <x:v>SET OF 12 MINI BUNNIES IN A BUCKET</x:v>
      </x:c>
      <x:c r="D3109" s="13" t="n">
        <x:v>73.5</x:v>
      </x:c>
      <x:c r="E3109" s="13" t="n">
        <x:v>0</x:v>
      </x:c>
      <x:c r="F3109" s="13" t="n">
        <x:f>D3109-E3109</x:f>
        <x:v>73.5</x:v>
      </x:c>
      <x:c r="G3109" s="3" t="n">
        <x:v>35</x:v>
      </x:c>
      <x:c r="H3109" s="3" t="n">
        <x:v>0</x:v>
      </x:c>
      <x:c r="I3109" s="3" t="n">
        <x:v>19</x:v>
      </x:c>
      <x:c r="J3109" s="15" t="n">
        <x:f>IF(D3109=0,"n.a.",E3109/D3109)</x:f>
        <x:v>0</x:v>
      </x:c>
      <x:c r="K3109" s="15" t="n">
        <x:f>F3109/'Datos'!$F$7</x:f>
        <x:v>0.000007505584090995999</x:v>
      </x:c>
      <x:c r="L3109" s="3"/>
    </x:row>
    <x:row r="3110" ht="22" customHeight="1">
      <x:c r="A3110" s="3"/>
      <x:c r="B3110" s="3" t="str">
        <x:v>90214C</x:v>
      </x:c>
      <x:c r="C3110" s="3" t="str">
        <x:v>LETTER "C" BLING KEY RING</x:v>
      </x:c>
      <x:c r="D3110" s="13" t="n">
        <x:v>72.77</x:v>
      </x:c>
      <x:c r="E3110" s="13" t="n">
        <x:v>0</x:v>
      </x:c>
      <x:c r="F3110" s="13" t="n">
        <x:f>D3110-E3110</x:f>
        <x:v>72.77</x:v>
      </x:c>
      <x:c r="G3110" s="3" t="n">
        <x:v>91</x:v>
      </x:c>
      <x:c r="H3110" s="3" t="n">
        <x:v>0</x:v>
      </x:c>
      <x:c r="I3110" s="3" t="n">
        <x:v>33</x:v>
      </x:c>
      <x:c r="J3110" s="15" t="n">
        <x:f>IF(D3110=0,"n.a.",E3110/D3110)</x:f>
        <x:v>0</x:v>
      </x:c>
      <x:c r="K3110" s="15" t="n">
        <x:f>F3110/'Datos'!$F$7</x:f>
        <x:v>0.000007431038834037808</x:v>
      </x:c>
      <x:c r="L3110" s="3"/>
    </x:row>
    <x:row r="3111" ht="22" customHeight="1">
      <x:c r="A3111" s="3"/>
      <x:c r="B3111" s="3" t="str">
        <x:v>90103</x:v>
      </x:c>
      <x:c r="C3111" s="3" t="str">
        <x:v>PURPLE FRANGIPANI NECKLACE</x:v>
      </x:c>
      <x:c r="D3111" s="13" t="n">
        <x:v>72.66</x:v>
      </x:c>
      <x:c r="E3111" s="13" t="n">
        <x:v>0</x:v>
      </x:c>
      <x:c r="F3111" s="13" t="n">
        <x:f>D3111-E3111</x:f>
        <x:v>72.66</x:v>
      </x:c>
      <x:c r="G3111" s="3" t="n">
        <x:v>29</x:v>
      </x:c>
      <x:c r="H3111" s="3" t="n">
        <x:v>0</x:v>
      </x:c>
      <x:c r="I3111" s="3" t="n">
        <x:v>16</x:v>
      </x:c>
      <x:c r="J3111" s="15" t="n">
        <x:f>IF(D3111=0,"n.a.",E3111/D3111)</x:f>
        <x:v>0</x:v>
      </x:c>
      <x:c r="K3111" s="15" t="n">
        <x:f>F3111/'Datos'!$F$7</x:f>
        <x:v>0.000007419805987098902</x:v>
      </x:c>
      <x:c r="L3111" s="3"/>
    </x:row>
    <x:row r="3112" ht="22" customHeight="1">
      <x:c r="A3112" s="3"/>
      <x:c r="B3112" s="3" t="str">
        <x:v>84231</x:v>
      </x:c>
      <x:c r="C3112" s="3" t="str">
        <x:v>EASTER BUNNY WITH BASKET ON BACK</x:v>
      </x:c>
      <x:c r="D3112" s="13" t="n">
        <x:v>72.63</x:v>
      </x:c>
      <x:c r="E3112" s="13" t="n">
        <x:v>0</x:v>
      </x:c>
      <x:c r="F3112" s="13" t="n">
        <x:f>D3112-E3112</x:f>
        <x:v>72.63</x:v>
      </x:c>
      <x:c r="G3112" s="3" t="n">
        <x:v>108</x:v>
      </x:c>
      <x:c r="H3112" s="3" t="n">
        <x:v>0</x:v>
      </x:c>
      <x:c r="I3112" s="3" t="n">
        <x:v>20</x:v>
      </x:c>
      <x:c r="J3112" s="15" t="n">
        <x:f>IF(D3112=0,"n.a.",E3112/D3112)</x:f>
        <x:v>0</x:v>
      </x:c>
      <x:c r="K3112" s="15" t="n">
        <x:f>F3112/'Datos'!$F$7</x:f>
        <x:v>0.0000074167424833882915</x:v>
      </x:c>
      <x:c r="L3112" s="3"/>
    </x:row>
    <x:row r="3113" ht="22" customHeight="1">
      <x:c r="A3113" s="3"/>
      <x:c r="B3113" s="3" t="str">
        <x:v>20960</x:v>
      </x:c>
      <x:c r="C3113" s="3" t="str">
        <x:v>WATERMELON BATH SPONGE</x:v>
      </x:c>
      <x:c r="D3113" s="13" t="n">
        <x:v>72.49</x:v>
      </x:c>
      <x:c r="E3113" s="13" t="n">
        <x:v>0</x:v>
      </x:c>
      <x:c r="F3113" s="13" t="n">
        <x:f>D3113-E3113</x:f>
        <x:v>72.49</x:v>
      </x:c>
      <x:c r="G3113" s="3" t="n">
        <x:v>29</x:v>
      </x:c>
      <x:c r="H3113" s="3" t="n">
        <x:v>0</x:v>
      </x:c>
      <x:c r="I3113" s="3" t="n">
        <x:v>10</x:v>
      </x:c>
      <x:c r="J3113" s="15" t="n">
        <x:f>IF(D3113=0,"n.a.",E3113/D3113)</x:f>
        <x:v>0</x:v>
      </x:c>
      <x:c r="K3113" s="15" t="n">
        <x:f>F3113/'Datos'!$F$7</x:f>
        <x:v>0.000007402446132738775</x:v>
      </x:c>
      <x:c r="L3113" s="3"/>
    </x:row>
    <x:row r="3114" ht="22" customHeight="1">
      <x:c r="A3114" s="3"/>
      <x:c r="B3114" s="3" t="str">
        <x:v>72801G</x:v>
      </x:c>
      <x:c r="C3114" s="3" t="str">
        <x:v>4 BURGUNDY WINE DINNER CANDLES</x:v>
      </x:c>
      <x:c r="D3114" s="13" t="n">
        <x:v>72.46</x:v>
      </x:c>
      <x:c r="E3114" s="13" t="n">
        <x:v>0</x:v>
      </x:c>
      <x:c r="F3114" s="13" t="n">
        <x:f>D3114-E3114</x:f>
        <x:v>72.46</x:v>
      </x:c>
      <x:c r="G3114" s="3" t="n">
        <x:v>57</x:v>
      </x:c>
      <x:c r="H3114" s="3" t="n">
        <x:v>0</x:v>
      </x:c>
      <x:c r="I3114" s="3" t="n">
        <x:v>13</x:v>
      </x:c>
      <x:c r="J3114" s="15" t="n">
        <x:f>IF(D3114=0,"n.a.",E3114/D3114)</x:f>
        <x:v>0</x:v>
      </x:c>
      <x:c r="K3114" s="15" t="n">
        <x:f>F3114/'Datos'!$F$7</x:f>
        <x:v>0.000007399382629028164</x:v>
      </x:c>
      <x:c r="L3114" s="3"/>
    </x:row>
    <x:row r="3115" ht="22" customHeight="1">
      <x:c r="A3115" s="3"/>
      <x:c r="B3115" s="3" t="str">
        <x:v>85049B</x:v>
      </x:c>
      <x:c r="C3115" s="3" t="str">
        <x:v>LUSH GREENS RIBBONS</x:v>
      </x:c>
      <x:c r="D3115" s="13" t="n">
        <x:v>72.42</x:v>
      </x:c>
      <x:c r="E3115" s="13" t="n">
        <x:v>0</x:v>
      </x:c>
      <x:c r="F3115" s="13" t="n">
        <x:f>D3115-E3115</x:f>
        <x:v>72.42</x:v>
      </x:c>
      <x:c r="G3115" s="3" t="n">
        <x:v>56</x:v>
      </x:c>
      <x:c r="H3115" s="3" t="n">
        <x:v>0</x:v>
      </x:c>
      <x:c r="I3115" s="3" t="n">
        <x:v>15</x:v>
      </x:c>
      <x:c r="J3115" s="15" t="n">
        <x:f>IF(D3115=0,"n.a.",E3115/D3115)</x:f>
        <x:v>0</x:v>
      </x:c>
      <x:c r="K3115" s="15" t="n">
        <x:f>F3115/'Datos'!$F$7</x:f>
        <x:v>0.000007395297957414017</x:v>
      </x:c>
      <x:c r="L3115" s="3"/>
    </x:row>
    <x:row r="3116" ht="22" customHeight="1">
      <x:c r="A3116" s="3"/>
      <x:c r="B3116" s="3" t="str">
        <x:v>90030A</x:v>
      </x:c>
      <x:c r="C3116" s="3" t="str">
        <x:v>SPOTTED WHITE NATURAL SEED NECKLACE</x:v>
      </x:c>
      <x:c r="D3116" s="13" t="n">
        <x:v>72</x:v>
      </x:c>
      <x:c r="E3116" s="13" t="n">
        <x:v>0</x:v>
      </x:c>
      <x:c r="F3116" s="13" t="n">
        <x:f>D3116-E3116</x:f>
        <x:v>72</x:v>
      </x:c>
      <x:c r="G3116" s="3" t="n">
        <x:v>72</x:v>
      </x:c>
      <x:c r="H3116" s="3" t="n">
        <x:v>0</x:v>
      </x:c>
      <x:c r="I3116" s="3" t="n">
        <x:v>7</x:v>
      </x:c>
      <x:c r="J3116" s="15" t="n">
        <x:f>IF(D3116=0,"n.a.",E3116/D3116)</x:f>
        <x:v>0</x:v>
      </x:c>
      <x:c r="K3116" s="15" t="n">
        <x:f>F3116/'Datos'!$F$7</x:f>
        <x:v>0.000007352408905465469</x:v>
      </x:c>
      <x:c r="L3116" s="3"/>
    </x:row>
    <x:row r="3117" ht="22" customHeight="1">
      <x:c r="A3117" s="3"/>
      <x:c r="B3117" s="3" t="str">
        <x:v>90108</x:v>
      </x:c>
      <x:c r="C3117" s="3" t="str">
        <x:v>BLUE BLOSSOM HAIR CLIP</x:v>
      </x:c>
      <x:c r="D3117" s="13" t="n">
        <x:v>81.96</x:v>
      </x:c>
      <x:c r="E3117" s="13" t="n">
        <x:v>10.5</x:v>
      </x:c>
      <x:c r="F3117" s="13" t="n">
        <x:f>D3117-E3117</x:f>
        <x:v>71.46</x:v>
      </x:c>
      <x:c r="G3117" s="3" t="n">
        <x:v>70</x:v>
      </x:c>
      <x:c r="H3117" s="3" t="n">
        <x:v>10</x:v>
      </x:c>
      <x:c r="I3117" s="3" t="n">
        <x:v>12</x:v>
      </x:c>
      <x:c r="J3117" s="15" t="n">
        <x:f>IF(D3117=0,"n.a.",E3117/D3117)</x:f>
        <x:v>0.12811127379209372</x:v>
      </x:c>
      <x:c r="K3117" s="15" t="n">
        <x:f>F3117/'Datos'!$F$7</x:f>
        <x:v>0.0000072972658386744775</x:v>
      </x:c>
      <x:c r="L3117" s="3"/>
    </x:row>
    <x:row r="3118" ht="22" customHeight="1">
      <x:c r="A3118" s="3"/>
      <x:c r="B3118" s="3" t="str">
        <x:v>90036C</x:v>
      </x:c>
      <x:c r="C3118" s="3" t="str">
        <x:v>FLOWER GLASS GARLAND NECKL.36"BLUE</x:v>
      </x:c>
      <x:c r="D3118" s="13" t="n">
        <x:v>71.4</x:v>
      </x:c>
      <x:c r="E3118" s="13" t="n">
        <x:v>0</x:v>
      </x:c>
      <x:c r="F3118" s="13" t="n">
        <x:f>D3118-E3118</x:f>
        <x:v>71.4</x:v>
      </x:c>
      <x:c r="G3118" s="3" t="n">
        <x:v>9</x:v>
      </x:c>
      <x:c r="H3118" s="3" t="n">
        <x:v>0</x:v>
      </x:c>
      <x:c r="I3118" s="3" t="n">
        <x:v>5</x:v>
      </x:c>
      <x:c r="J3118" s="15" t="n">
        <x:f>IF(D3118=0,"n.a.",E3118/D3118)</x:f>
        <x:v>0</x:v>
      </x:c>
      <x:c r="K3118" s="15" t="n">
        <x:f>F3118/'Datos'!$F$7</x:f>
        <x:v>0.000007291138831253257</x:v>
      </x:c>
      <x:c r="L3118" s="3"/>
    </x:row>
    <x:row r="3119" ht="22" customHeight="1">
      <x:c r="A3119" s="3"/>
      <x:c r="B3119" s="3" t="str">
        <x:v>17014A</x:v>
      </x:c>
      <x:c r="C3119" s="3" t="str">
        <x:v>ORIGAMI VANILLA INCENSE CONES</x:v>
      </x:c>
      <x:c r="D3119" s="13" t="n">
        <x:v>71.19</x:v>
      </x:c>
      <x:c r="E3119" s="13" t="n">
        <x:v>0</x:v>
      </x:c>
      <x:c r="F3119" s="13" t="n">
        <x:f>D3119-E3119</x:f>
        <x:v>71.19</x:v>
      </x:c>
      <x:c r="G3119" s="3" t="n">
        <x:v>155</x:v>
      </x:c>
      <x:c r="H3119" s="3" t="n">
        <x:v>0</x:v>
      </x:c>
      <x:c r="I3119" s="3" t="n">
        <x:v>8</x:v>
      </x:c>
      <x:c r="J3119" s="15" t="n">
        <x:f>IF(D3119=0,"n.a.",E3119/D3119)</x:f>
        <x:v>0</x:v>
      </x:c>
      <x:c r="K3119" s="15" t="n">
        <x:f>F3119/'Datos'!$F$7</x:f>
        <x:v>0.000007269694305278982</x:v>
      </x:c>
      <x:c r="L3119" s="3"/>
    </x:row>
    <x:row r="3120" ht="22" customHeight="1">
      <x:c r="A3120" s="3"/>
      <x:c r="B3120" s="3" t="str">
        <x:v>90003E</x:v>
      </x:c>
      <x:c r="C3120" s="3" t="str">
        <x:v>GREEN PAIR HEART HAIR SLIDES</x:v>
      </x:c>
      <x:c r="D3120" s="13" t="n">
        <x:v>86.11</x:v>
      </x:c>
      <x:c r="E3120" s="13" t="n">
        <x:v>15</x:v>
      </x:c>
      <x:c r="F3120" s="13" t="n">
        <x:f>D3120-E3120</x:f>
        <x:v>71.11</x:v>
      </x:c>
      <x:c r="G3120" s="3" t="n">
        <x:v>23</x:v>
      </x:c>
      <x:c r="H3120" s="3" t="n">
        <x:v>4</x:v>
      </x:c>
      <x:c r="I3120" s="3" t="n">
        <x:v>14</x:v>
      </x:c>
      <x:c r="J3120" s="15" t="n">
        <x:f>IF(D3120=0,"n.a.",E3120/D3120)</x:f>
        <x:v>0.17419579607478805</x:v>
      </x:c>
      <x:c r="K3120" s="15" t="n">
        <x:f>F3120/'Datos'!$F$7</x:f>
        <x:v>0.000007261524962050688</x:v>
      </x:c>
      <x:c r="L3120" s="3"/>
    </x:row>
    <x:row r="3121" ht="22" customHeight="1">
      <x:c r="A3121" s="3"/>
      <x:c r="B3121" s="3" t="str">
        <x:v>20933</x:v>
      </x:c>
      <x:c r="C3121" s="3" t="str">
        <x:v>YELLOW POT PLANT CANDLE</x:v>
      </x:c>
      <x:c r="D3121" s="13" t="n">
        <x:v>71.05</x:v>
      </x:c>
      <x:c r="E3121" s="13" t="n">
        <x:v>0</x:v>
      </x:c>
      <x:c r="F3121" s="13" t="n">
        <x:f>D3121-E3121</x:f>
        <x:v>71.05</x:v>
      </x:c>
      <x:c r="G3121" s="3" t="n">
        <x:v>23</x:v>
      </x:c>
      <x:c r="H3121" s="3" t="n">
        <x:v>0</x:v>
      </x:c>
      <x:c r="I3121" s="3" t="n">
        <x:v>9</x:v>
      </x:c>
      <x:c r="J3121" s="15" t="n">
        <x:f>IF(D3121=0,"n.a.",E3121/D3121)</x:f>
        <x:v>0</x:v>
      </x:c>
      <x:c r="K3121" s="15" t="n">
        <x:f>F3121/'Datos'!$F$7</x:f>
        <x:v>0.000007255397954629466</x:v>
      </x:c>
      <x:c r="L3121" s="3"/>
    </x:row>
    <x:row r="3122" ht="22" customHeight="1">
      <x:c r="A3122" s="3"/>
      <x:c r="B3122" s="3" t="str">
        <x:v>90214S</x:v>
      </x:c>
      <x:c r="C3122" s="3" t="str">
        <x:v>LETTER "S" BLING KEY RING</x:v>
      </x:c>
      <x:c r="D3122" s="13" t="n">
        <x:v>71</x:v>
      </x:c>
      <x:c r="E3122" s="13" t="n">
        <x:v>0</x:v>
      </x:c>
      <x:c r="F3122" s="13" t="n">
        <x:f>D3122-E3122</x:f>
        <x:v>71</x:v>
      </x:c>
      <x:c r="G3122" s="3" t="n">
        <x:v>94</x:v>
      </x:c>
      <x:c r="H3122" s="3" t="n">
        <x:v>0</x:v>
      </x:c>
      <x:c r="I3122" s="3" t="n">
        <x:v>41</x:v>
      </x:c>
      <x:c r="J3122" s="15" t="n">
        <x:f>IF(D3122=0,"n.a.",E3122/D3122)</x:f>
        <x:v>0</x:v>
      </x:c>
      <x:c r="K3122" s="15" t="n">
        <x:f>F3122/'Datos'!$F$7</x:f>
        <x:v>0.000007250292115111781</x:v>
      </x:c>
      <x:c r="L3122" s="3"/>
    </x:row>
    <x:row r="3123" ht="22" customHeight="1">
      <x:c r="A3123" s="3"/>
      <x:c r="B3123" s="3" t="str">
        <x:v>90211A</x:v>
      </x:c>
      <x:c r="C3123" s="3" t="str">
        <x:v>DIAMOND LAS VEGAS NECKLACE 45CM</x:v>
      </x:c>
      <x:c r="D3123" s="13" t="n">
        <x:v>70.97</x:v>
      </x:c>
      <x:c r="E3123" s="13" t="n">
        <x:v>0</x:v>
      </x:c>
      <x:c r="F3123" s="13" t="n">
        <x:f>D3123-E3123</x:f>
        <x:v>70.97</x:v>
      </x:c>
      <x:c r="G3123" s="3" t="n">
        <x:v>12</x:v>
      </x:c>
      <x:c r="H3123" s="3" t="n">
        <x:v>0</x:v>
      </x:c>
      <x:c r="I3123" s="3" t="n">
        <x:v>8</x:v>
      </x:c>
      <x:c r="J3123" s="15" t="n">
        <x:f>IF(D3123=0,"n.a.",E3123/D3123)</x:f>
        <x:v>0</x:v>
      </x:c>
      <x:c r="K3123" s="15" t="n">
        <x:f>F3123/'Datos'!$F$7</x:f>
        <x:v>0.000007247228611401171</x:v>
      </x:c>
      <x:c r="L3123" s="3"/>
    </x:row>
    <x:row r="3124" ht="22" customHeight="1">
      <x:c r="A3124" s="3"/>
      <x:c r="B3124" s="3" t="str">
        <x:v>47589</x:v>
      </x:c>
      <x:c r="C3124" s="3" t="str">
        <x:v>CONGRATULATIONS BUNTING</x:v>
      </x:c>
      <x:c r="D3124" s="13" t="n">
        <x:v>70.85</x:v>
      </x:c>
      <x:c r="E3124" s="13" t="n">
        <x:v>0</x:v>
      </x:c>
      <x:c r="F3124" s="13" t="n">
        <x:f>D3124-E3124</x:f>
        <x:v>70.85</x:v>
      </x:c>
      <x:c r="G3124" s="3" t="n">
        <x:v>13</x:v>
      </x:c>
      <x:c r="H3124" s="3" t="n">
        <x:v>0</x:v>
      </x:c>
      <x:c r="I3124" s="3" t="n">
        <x:v>3</x:v>
      </x:c>
      <x:c r="J3124" s="15" t="n">
        <x:f>IF(D3124=0,"n.a.",E3124/D3124)</x:f>
        <x:v>0</x:v>
      </x:c>
      <x:c r="K3124" s="15" t="n">
        <x:f>F3124/'Datos'!$F$7</x:f>
        <x:v>0.000007234974596558728</x:v>
      </x:c>
      <x:c r="L3124" s="3"/>
    </x:row>
    <x:row r="3125" ht="22" customHeight="1">
      <x:c r="A3125" s="3"/>
      <x:c r="B3125" s="3" t="str">
        <x:v>51020B</x:v>
      </x:c>
      <x:c r="C3125" s="3" t="str">
        <x:v>STRIPY DESIGN SHOWER CAP</x:v>
      </x:c>
      <x:c r="D3125" s="13" t="n">
        <x:v>70.57</x:v>
      </x:c>
      <x:c r="E3125" s="13" t="n">
        <x:v>0.29</x:v>
      </x:c>
      <x:c r="F3125" s="13" t="n">
        <x:f>D3125-E3125</x:f>
        <x:v>70.27999999999999</x:v>
      </x:c>
      <x:c r="G3125" s="3" t="n">
        <x:v>197</x:v>
      </x:c>
      <x:c r="H3125" s="3" t="n">
        <x:v>1</x:v>
      </x:c>
      <x:c r="I3125" s="3" t="n">
        <x:v>15</x:v>
      </x:c>
      <x:c r="J3125" s="15" t="n">
        <x:f>IF(D3125=0,"n.a.",E3125/D3125)</x:f>
        <x:v>0.004109394927022814</x:v>
      </x:c>
      <x:c r="K3125" s="15" t="n">
        <x:f>F3125/'Datos'!$F$7</x:f>
        <x:v>0.000007176768026057126</x:v>
      </x:c>
      <x:c r="L3125" s="3"/>
    </x:row>
    <x:row r="3126" ht="22" customHeight="1">
      <x:c r="A3126" s="3"/>
      <x:c r="B3126" s="3" t="str">
        <x:v>85026B</x:v>
      </x:c>
      <x:c r="C3126" s="3" t="str">
        <x:v>EAU DE NILE JEWELLED T-LIGHT HOLDER</x:v>
      </x:c>
      <x:c r="D3126" s="13" t="n">
        <x:v>70.27</x:v>
      </x:c>
      <x:c r="E3126" s="13" t="n">
        <x:v>0</x:v>
      </x:c>
      <x:c r="F3126" s="13" t="n">
        <x:f>D3126-E3126</x:f>
        <x:v>70.27</x:v>
      </x:c>
      <x:c r="G3126" s="3" t="n">
        <x:v>79</x:v>
      </x:c>
      <x:c r="H3126" s="3" t="n">
        <x:v>0</x:v>
      </x:c>
      <x:c r="I3126" s="3" t="n">
        <x:v>11</x:v>
      </x:c>
      <x:c r="J3126" s="15" t="n">
        <x:f>IF(D3126=0,"n.a.",E3126/D3126)</x:f>
        <x:v>0</x:v>
      </x:c>
      <x:c r="K3126" s="15" t="n">
        <x:f>F3126/'Datos'!$F$7</x:f>
        <x:v>0.00000717574685815359</x:v>
      </x:c>
      <x:c r="L3126" s="3"/>
    </x:row>
    <x:row r="3127" ht="22" customHeight="1">
      <x:c r="A3127" s="3"/>
      <x:c r="B3127" s="3" t="str">
        <x:v>90051</x:v>
      </x:c>
      <x:c r="C3127" s="3" t="str">
        <x:v>CRACKED GLAZE NECKLACE RED</x:v>
      </x:c>
      <x:c r="D3127" s="13" t="n">
        <x:v>70.16</x:v>
      </x:c>
      <x:c r="E3127" s="13" t="n">
        <x:v>0</x:v>
      </x:c>
      <x:c r="F3127" s="13" t="n">
        <x:f>D3127-E3127</x:f>
        <x:v>70.16</x:v>
      </x:c>
      <x:c r="G3127" s="3" t="n">
        <x:v>10</x:v>
      </x:c>
      <x:c r="H3127" s="3" t="n">
        <x:v>0</x:v>
      </x:c>
      <x:c r="I3127" s="3" t="n">
        <x:v>7</x:v>
      </x:c>
      <x:c r="J3127" s="15" t="n">
        <x:f>IF(D3127=0,"n.a.",E3127/D3127)</x:f>
        <x:v>0</x:v>
      </x:c>
      <x:c r="K3127" s="15" t="n">
        <x:f>F3127/'Datos'!$F$7</x:f>
        <x:v>0.000007164514011214685</x:v>
      </x:c>
      <x:c r="L3127" s="3"/>
    </x:row>
    <x:row r="3128" ht="22" customHeight="1">
      <x:c r="A3128" s="3"/>
      <x:c r="B3128" s="3" t="str">
        <x:v>84927A</x:v>
      </x:c>
      <x:c r="C3128" s="3" t="str">
        <x:v>WAKE UP COCKEREL TILE HOOK</x:v>
      </x:c>
      <x:c r="D3128" s="13" t="n">
        <x:v>70.45</x:v>
      </x:c>
      <x:c r="E3128" s="13" t="n">
        <x:v>0.39</x:v>
      </x:c>
      <x:c r="F3128" s="13" t="n">
        <x:f>D3128-E3128</x:f>
        <x:v>70.06</x:v>
      </x:c>
      <x:c r="G3128" s="3" t="n">
        <x:v>50</x:v>
      </x:c>
      <x:c r="H3128" s="3" t="n">
        <x:v>1</x:v>
      </x:c>
      <x:c r="I3128" s="3" t="n">
        <x:v>18</x:v>
      </x:c>
      <x:c r="J3128" s="15" t="n">
        <x:f>IF(D3128=0,"n.a.",E3128/D3128)</x:f>
        <x:v>0.0055358410220014195</x:v>
      </x:c>
      <x:c r="K3128" s="15" t="n">
        <x:f>F3128/'Datos'!$F$7</x:f>
        <x:v>0.000007154302332179316</x:v>
      </x:c>
      <x:c r="L3128" s="3"/>
    </x:row>
    <x:row r="3129" ht="22" customHeight="1">
      <x:c r="A3129" s="3"/>
      <x:c r="B3129" s="3" t="str">
        <x:v>16161G</x:v>
      </x:c>
      <x:c r="C3129" s="3" t="str">
        <x:v>WRAP BAD HAIR DAY</x:v>
      </x:c>
      <x:c r="D3129" s="13" t="n">
        <x:v>70</x:v>
      </x:c>
      <x:c r="E3129" s="13" t="n">
        <x:v>0</x:v>
      </x:c>
      <x:c r="F3129" s="13" t="n">
        <x:f>D3129-E3129</x:f>
        <x:v>70</x:v>
      </x:c>
      <x:c r="G3129" s="3" t="n">
        <x:v>700</x:v>
      </x:c>
      <x:c r="H3129" s="3" t="n">
        <x:v>0</x:v>
      </x:c>
      <x:c r="I3129" s="3" t="n">
        <x:v>22</x:v>
      </x:c>
      <x:c r="J3129" s="15" t="n">
        <x:f>IF(D3129=0,"n.a.",E3129/D3129)</x:f>
        <x:v>0</x:v>
      </x:c>
      <x:c r="K3129" s="15" t="n">
        <x:f>F3129/'Datos'!$F$7</x:f>
        <x:v>0.000007148175324758095</x:v>
      </x:c>
      <x:c r="L3129" s="3"/>
    </x:row>
    <x:row r="3130" ht="22" customHeight="1">
      <x:c r="A3130" s="3"/>
      <x:c r="B3130" s="3" t="str">
        <x:v>16020C</x:v>
      </x:c>
      <x:c r="C3130" s="3" t="str">
        <x:v>CLEAR STATIONERY BOX SET</x:v>
      </x:c>
      <x:c r="D3130" s="13" t="n">
        <x:v>69.9</x:v>
      </x:c>
      <x:c r="E3130" s="13" t="n">
        <x:v>0</x:v>
      </x:c>
      <x:c r="F3130" s="13" t="n">
        <x:f>D3130-E3130</x:f>
        <x:v>69.9</x:v>
      </x:c>
      <x:c r="G3130" s="3" t="n">
        <x:v>84</x:v>
      </x:c>
      <x:c r="H3130" s="3" t="n">
        <x:v>0</x:v>
      </x:c>
      <x:c r="I3130" s="3" t="n">
        <x:v>17</x:v>
      </x:c>
      <x:c r="J3130" s="15" t="n">
        <x:f>IF(D3130=0,"n.a.",E3130/D3130)</x:f>
        <x:v>0</x:v>
      </x:c>
      <x:c r="K3130" s="15" t="n">
        <x:f>F3130/'Datos'!$F$7</x:f>
        <x:v>0.000007137963645722727</x:v>
      </x:c>
      <x:c r="L3130" s="3"/>
    </x:row>
    <x:row r="3131" ht="22" customHeight="1">
      <x:c r="A3131" s="3"/>
      <x:c r="B3131" s="3" t="str">
        <x:v>90125C</x:v>
      </x:c>
      <x:c r="C3131" s="3" t="str">
        <x:v>TURQUOISE BERTIE GLASS BEAD CHARM</x:v>
      </x:c>
      <x:c r="D3131" s="13" t="n">
        <x:v>69.85</x:v>
      </x:c>
      <x:c r="E3131" s="13" t="n">
        <x:v>0</x:v>
      </x:c>
      <x:c r="F3131" s="13" t="n">
        <x:f>D3131-E3131</x:f>
        <x:v>69.85</x:v>
      </x:c>
      <x:c r="G3131" s="3" t="n">
        <x:v>77</x:v>
      </x:c>
      <x:c r="H3131" s="3" t="n">
        <x:v>0</x:v>
      </x:c>
      <x:c r="I3131" s="3" t="n">
        <x:v>7</x:v>
      </x:c>
      <x:c r="J3131" s="15" t="n">
        <x:f>IF(D3131=0,"n.a.",E3131/D3131)</x:f>
        <x:v>0</x:v>
      </x:c>
      <x:c r="K3131" s="15" t="n">
        <x:f>F3131/'Datos'!$F$7</x:f>
        <x:v>0.000007132857806205041</x:v>
      </x:c>
      <x:c r="L3131" s="3"/>
    </x:row>
    <x:row r="3132" ht="22" customHeight="1">
      <x:c r="A3132" s="3"/>
      <x:c r="B3132" s="3" t="str">
        <x:v>46126A</x:v>
      </x:c>
      <x:c r="C3132" s="3" t="str">
        <x:v>ELVIS WALLHANGING / CURTAIN</x:v>
      </x:c>
      <x:c r="D3132" s="13" t="n">
        <x:v>69.84</x:v>
      </x:c>
      <x:c r="E3132" s="13" t="n">
        <x:v>0</x:v>
      </x:c>
      <x:c r="F3132" s="13" t="n">
        <x:f>D3132-E3132</x:f>
        <x:v>69.84</x:v>
      </x:c>
      <x:c r="G3132" s="3" t="n">
        <x:v>52</x:v>
      </x:c>
      <x:c r="H3132" s="3" t="n">
        <x:v>0</x:v>
      </x:c>
      <x:c r="I3132" s="3" t="n">
        <x:v>8</x:v>
      </x:c>
      <x:c r="J3132" s="15" t="n">
        <x:f>IF(D3132=0,"n.a.",E3132/D3132)</x:f>
        <x:v>0</x:v>
      </x:c>
      <x:c r="K3132" s="15" t="n">
        <x:f>F3132/'Datos'!$F$7</x:f>
        <x:v>0.000007131836638301505</x:v>
      </x:c>
      <x:c r="L3132" s="3"/>
    </x:row>
    <x:row r="3133" ht="22" customHeight="1">
      <x:c r="A3133" s="3"/>
      <x:c r="B3133" s="3" t="str">
        <x:v>81952V</x:v>
      </x:c>
      <x:c r="C3133" s="3" t="str">
        <x:v>ROUND PURPLE CLOCK WITH SUCKER</x:v>
      </x:c>
      <x:c r="D3133" s="13" t="n">
        <x:v>69.73</x:v>
      </x:c>
      <x:c r="E3133" s="13" t="n">
        <x:v>0</x:v>
      </x:c>
      <x:c r="F3133" s="13" t="n">
        <x:f>D3133-E3133</x:f>
        <x:v>69.73</x:v>
      </x:c>
      <x:c r="G3133" s="3" t="n">
        <x:v>367</x:v>
      </x:c>
      <x:c r="H3133" s="3" t="n">
        <x:v>0</x:v>
      </x:c>
      <x:c r="I3133" s="3" t="n">
        <x:v>24</x:v>
      </x:c>
      <x:c r="J3133" s="15" t="n">
        <x:f>IF(D3133=0,"n.a.",E3133/D3133)</x:f>
        <x:v>0</x:v>
      </x:c>
      <x:c r="K3133" s="15" t="n">
        <x:f>F3133/'Datos'!$F$7</x:f>
        <x:v>0.0000071206037913625995</x:v>
      </x:c>
      <x:c r="L3133" s="3"/>
    </x:row>
    <x:row r="3134" ht="22" customHeight="1">
      <x:c r="A3134" s="3"/>
      <x:c r="B3134" s="3" t="str">
        <x:v>90199A</x:v>
      </x:c>
      <x:c r="C3134" s="3" t="str">
        <x:v>5 STRAND GLASS NECKLACE BLACK</x:v>
      </x:c>
      <x:c r="D3134" s="13" t="n">
        <x:v>69.63</x:v>
      </x:c>
      <x:c r="E3134" s="13" t="n">
        <x:v>0</x:v>
      </x:c>
      <x:c r="F3134" s="13" t="n">
        <x:f>D3134-E3134</x:f>
        <x:v>69.63</x:v>
      </x:c>
      <x:c r="G3134" s="3" t="n">
        <x:v>11</x:v>
      </x:c>
      <x:c r="H3134" s="3" t="n">
        <x:v>0</x:v>
      </x:c>
      <x:c r="I3134" s="3" t="n">
        <x:v>6</x:v>
      </x:c>
      <x:c r="J3134" s="15" t="n">
        <x:f>IF(D3134=0,"n.a.",E3134/D3134)</x:f>
        <x:v>0</x:v>
      </x:c>
      <x:c r="K3134" s="15" t="n">
        <x:f>F3134/'Datos'!$F$7</x:f>
        <x:v>0.00000711039211232723</x:v>
      </x:c>
      <x:c r="L3134" s="3"/>
    </x:row>
    <x:row r="3135" ht="22" customHeight="1">
      <x:c r="A3135" s="3"/>
      <x:c r="B3135" s="3" t="str">
        <x:v>84549</x:v>
      </x:c>
      <x:c r="C3135" s="3" t="str">
        <x:v>CROCHET WHITE RABBIT KEYRING</x:v>
      </x:c>
      <x:c r="D3135" s="13" t="n">
        <x:v>69.38</x:v>
      </x:c>
      <x:c r="E3135" s="13" t="n">
        <x:v>0</x:v>
      </x:c>
      <x:c r="F3135" s="13" t="n">
        <x:f>D3135-E3135</x:f>
        <x:v>69.38</x:v>
      </x:c>
      <x:c r="G3135" s="3" t="n">
        <x:v>38</x:v>
      </x:c>
      <x:c r="H3135" s="3" t="n">
        <x:v>0</x:v>
      </x:c>
      <x:c r="I3135" s="3" t="n">
        <x:v>7</x:v>
      </x:c>
      <x:c r="J3135" s="15" t="n">
        <x:f>IF(D3135=0,"n.a.",E3135/D3135)</x:f>
        <x:v>0</x:v>
      </x:c>
      <x:c r="K3135" s="15" t="n">
        <x:f>F3135/'Datos'!$F$7</x:f>
        <x:v>0.000007084862914738808</x:v>
      </x:c>
      <x:c r="L3135" s="3"/>
    </x:row>
    <x:row r="3136" ht="22" customHeight="1">
      <x:c r="A3136" s="3"/>
      <x:c r="B3136" s="3" t="str">
        <x:v>20798</x:v>
      </x:c>
      <x:c r="C3136" s="3" t="str">
        <x:v>CLEAR MILKSHAKE GLASS</x:v>
      </x:c>
      <x:c r="D3136" s="13" t="n">
        <x:v>75.6</x:v>
      </x:c>
      <x:c r="E3136" s="13" t="n">
        <x:v>6.6</x:v>
      </x:c>
      <x:c r="F3136" s="13" t="n">
        <x:f>D3136-E3136</x:f>
        <x:v>69</x:v>
      </x:c>
      <x:c r="G3136" s="3" t="n">
        <x:v>36</x:v>
      </x:c>
      <x:c r="H3136" s="3" t="n">
        <x:v>4</x:v>
      </x:c>
      <x:c r="I3136" s="3" t="n">
        <x:v>5</x:v>
      </x:c>
      <x:c r="J3136" s="15" t="n">
        <x:f>IF(D3136=0,"n.a.",E3136/D3136)</x:f>
        <x:v>0.0873015873015873</x:v>
      </x:c>
      <x:c r="K3136" s="15" t="n">
        <x:f>F3136/'Datos'!$F$7</x:f>
        <x:v>0.000007046058534404407</x:v>
      </x:c>
      <x:c r="L3136" s="3"/>
    </x:row>
    <x:row r="3137" ht="22" customHeight="1">
      <x:c r="A3137" s="3"/>
      <x:c r="B3137" s="3" t="str">
        <x:v>90019C</x:v>
      </x:c>
      <x:c r="C3137" s="3" t="str">
        <x:v>SILVER BLACK ORBIT BRACELET</x:v>
      </x:c>
      <x:c r="D3137" s="13" t="n">
        <x:v>68.73</x:v>
      </x:c>
      <x:c r="E3137" s="13" t="n">
        <x:v>0</x:v>
      </x:c>
      <x:c r="F3137" s="13" t="n">
        <x:f>D3137-E3137</x:f>
        <x:v>68.73</x:v>
      </x:c>
      <x:c r="G3137" s="3" t="n">
        <x:v>13</x:v>
      </x:c>
      <x:c r="H3137" s="3" t="n">
        <x:v>0</x:v>
      </x:c>
      <x:c r="I3137" s="3" t="n">
        <x:v>11</x:v>
      </x:c>
      <x:c r="J3137" s="15" t="n">
        <x:f>IF(D3137=0,"n.a.",E3137/D3137)</x:f>
        <x:v>0</x:v>
      </x:c>
      <x:c r="K3137" s="15" t="n">
        <x:f>F3137/'Datos'!$F$7</x:f>
        <x:v>0.000007018487001008913</x:v>
      </x:c>
      <x:c r="L3137" s="3"/>
    </x:row>
    <x:row r="3138" ht="22" customHeight="1">
      <x:c r="A3138" s="3"/>
      <x:c r="B3138" s="3" t="str">
        <x:v>85188B</x:v>
      </x:c>
      <x:c r="C3138" s="3" t="str">
        <x:v>PINK METAL SWINGING BUNNY</x:v>
      </x:c>
      <x:c r="D3138" s="13" t="n">
        <x:v>68.7</x:v>
      </x:c>
      <x:c r="E3138" s="13" t="n">
        <x:v>0</x:v>
      </x:c>
      <x:c r="F3138" s="13" t="n">
        <x:f>D3138-E3138</x:f>
        <x:v>68.7</x:v>
      </x:c>
      <x:c r="G3138" s="3" t="n">
        <x:v>78</x:v>
      </x:c>
      <x:c r="H3138" s="3" t="n">
        <x:v>0</x:v>
      </x:c>
      <x:c r="I3138" s="3" t="n">
        <x:v>10</x:v>
      </x:c>
      <x:c r="J3138" s="15" t="n">
        <x:f>IF(D3138=0,"n.a.",E3138/D3138)</x:f>
        <x:v>0</x:v>
      </x:c>
      <x:c r="K3138" s="15" t="n">
        <x:f>F3138/'Datos'!$F$7</x:f>
        <x:v>0.000007015423497298302</x:v>
      </x:c>
      <x:c r="L3138" s="3"/>
    </x:row>
    <x:row r="3139" ht="22" customHeight="1">
      <x:c r="A3139" s="3"/>
      <x:c r="B3139" s="3" t="str">
        <x:v>84251B</x:v>
      </x:c>
      <x:c r="C3139" s="3" t="str">
        <x:v>GREETING CARD, STICKY GORDON</x:v>
      </x:c>
      <x:c r="D3139" s="13" t="n">
        <x:v>70.78</x:v>
      </x:c>
      <x:c r="E3139" s="13" t="n">
        <x:v>2.28</x:v>
      </x:c>
      <x:c r="F3139" s="13" t="n">
        <x:f>D3139-E3139</x:f>
        <x:v>68.5</x:v>
      </x:c>
      <x:c r="G3139" s="3" t="n">
        <x:v>245</x:v>
      </x:c>
      <x:c r="H3139" s="3" t="n">
        <x:v>12</x:v>
      </x:c>
      <x:c r="I3139" s="3" t="n">
        <x:v>53</x:v>
      </x:c>
      <x:c r="J3139" s="15" t="n">
        <x:f>IF(D3139=0,"n.a.",E3139/D3139)</x:f>
        <x:v>0.032212489403786376</x:v>
      </x:c>
      <x:c r="K3139" s="15" t="n">
        <x:f>F3139/'Datos'!$F$7</x:f>
        <x:v>0.0000069950001392275644</x:v>
      </x:c>
      <x:c r="L3139" s="3"/>
    </x:row>
    <x:row r="3140" ht="22" customHeight="1">
      <x:c r="A3140" s="3"/>
      <x:c r="B3140" s="3" t="str">
        <x:v>90151</x:v>
      </x:c>
      <x:c r="C3140" s="3" t="str">
        <x:v>SILVER/NATURAL SHELL NECKLACE</x:v>
      </x:c>
      <x:c r="D3140" s="13" t="n">
        <x:v>68</x:v>
      </x:c>
      <x:c r="E3140" s="13" t="n">
        <x:v>0</x:v>
      </x:c>
      <x:c r="F3140" s="13" t="n">
        <x:f>D3140-E3140</x:f>
        <x:v>68</x:v>
      </x:c>
      <x:c r="G3140" s="3" t="n">
        <x:v>8</x:v>
      </x:c>
      <x:c r="H3140" s="3" t="n">
        <x:v>0</x:v>
      </x:c>
      <x:c r="I3140" s="3" t="n">
        <x:v>4</x:v>
      </x:c>
      <x:c r="J3140" s="15" t="n">
        <x:f>IF(D3140=0,"n.a.",E3140/D3140)</x:f>
        <x:v>0</x:v>
      </x:c>
      <x:c r="K3140" s="15" t="n">
        <x:f>F3140/'Datos'!$F$7</x:f>
        <x:v>0.000006943941744050721</x:v>
      </x:c>
      <x:c r="L3140" s="3"/>
    </x:row>
    <x:row r="3141" ht="22" customHeight="1">
      <x:c r="A3141" s="3"/>
      <x:c r="B3141" s="3" t="str">
        <x:v>90194</x:v>
      </x:c>
      <x:c r="C3141" s="3" t="str">
        <x:v>SILVER LARIAT BLACK STONE EARRINGS</x:v>
      </x:c>
      <x:c r="D3141" s="13" t="n">
        <x:v>67.87</x:v>
      </x:c>
      <x:c r="E3141" s="13" t="n">
        <x:v>0</x:v>
      </x:c>
      <x:c r="F3141" s="13" t="n">
        <x:f>D3141-E3141</x:f>
        <x:v>67.87</x:v>
      </x:c>
      <x:c r="G3141" s="3" t="n">
        <x:v>16</x:v>
      </x:c>
      <x:c r="H3141" s="3" t="n">
        <x:v>0</x:v>
      </x:c>
      <x:c r="I3141" s="3" t="n">
        <x:v>10</x:v>
      </x:c>
      <x:c r="J3141" s="15" t="n">
        <x:f>IF(D3141=0,"n.a.",E3141/D3141)</x:f>
        <x:v>0</x:v>
      </x:c>
      <x:c r="K3141" s="15" t="n">
        <x:f>F3141/'Datos'!$F$7</x:f>
        <x:v>0.000006930666561304742</x:v>
      </x:c>
      <x:c r="L3141" s="3"/>
    </x:row>
    <x:row r="3142" ht="22" customHeight="1">
      <x:c r="A3142" s="3"/>
      <x:c r="B3142" s="3" t="str">
        <x:v>90000B</x:v>
      </x:c>
      <x:c r="C3142" s="3" t="str">
        <x:v>MIDNIGHT BLUE COPPER FLOWER NECKLAC</x:v>
      </x:c>
      <x:c r="D3142" s="13" t="n">
        <x:v>67.83</x:v>
      </x:c>
      <x:c r="E3142" s="13" t="n">
        <x:v>0</x:v>
      </x:c>
      <x:c r="F3142" s="13" t="n">
        <x:f>D3142-E3142</x:f>
        <x:v>67.83</x:v>
      </x:c>
      <x:c r="G3142" s="3" t="n">
        <x:v>11</x:v>
      </x:c>
      <x:c r="H3142" s="3" t="n">
        <x:v>0</x:v>
      </x:c>
      <x:c r="I3142" s="3" t="n">
        <x:v>7</x:v>
      </x:c>
      <x:c r="J3142" s="15" t="n">
        <x:f>IF(D3142=0,"n.a.",E3142/D3142)</x:f>
        <x:v>0</x:v>
      </x:c>
      <x:c r="K3142" s="15" t="n">
        <x:f>F3142/'Datos'!$F$7</x:f>
        <x:v>0.000006926581889690593</x:v>
      </x:c>
      <x:c r="L3142" s="3"/>
    </x:row>
    <x:row r="3143" ht="22" customHeight="1">
      <x:c r="A3143" s="3"/>
      <x:c r="B3143" s="3" t="str">
        <x:v>90155</x:v>
      </x:c>
      <x:c r="C3143" s="3" t="str">
        <x:v>RESIN NECKLACE W PASTEL BEADS</x:v>
      </x:c>
      <x:c r="D3143" s="13" t="n">
        <x:v>67.62</x:v>
      </x:c>
      <x:c r="E3143" s="13" t="n">
        <x:v>0</x:v>
      </x:c>
      <x:c r="F3143" s="13" t="n">
        <x:f>D3143-E3143</x:f>
        <x:v>67.62</x:v>
      </x:c>
      <x:c r="G3143" s="3" t="n">
        <x:v>9</x:v>
      </x:c>
      <x:c r="H3143" s="3" t="n">
        <x:v>0</x:v>
      </x:c>
      <x:c r="I3143" s="3" t="n">
        <x:v>7</x:v>
      </x:c>
      <x:c r="J3143" s="15" t="n">
        <x:f>IF(D3143=0,"n.a.",E3143/D3143)</x:f>
        <x:v>0</x:v>
      </x:c>
      <x:c r="K3143" s="15" t="n">
        <x:f>F3143/'Datos'!$F$7</x:f>
        <x:v>0.00000690513736371632</x:v>
      </x:c>
      <x:c r="L3143" s="3"/>
    </x:row>
    <x:row r="3144" ht="22" customHeight="1">
      <x:c r="A3144" s="3"/>
      <x:c r="B3144" s="3" t="str">
        <x:v>84874B</x:v>
      </x:c>
      <x:c r="C3144" s="3" t="str">
        <x:v>BLUE TRAVEL FIRST AID KIT</x:v>
      </x:c>
      <x:c r="D3144" s="13" t="n">
        <x:v>67.51</x:v>
      </x:c>
      <x:c r="E3144" s="13" t="n">
        <x:v>0</x:v>
      </x:c>
      <x:c r="F3144" s="13" t="n">
        <x:f>D3144-E3144</x:f>
        <x:v>67.51</x:v>
      </x:c>
      <x:c r="G3144" s="3" t="n">
        <x:v>41</x:v>
      </x:c>
      <x:c r="H3144" s="3" t="n">
        <x:v>0</x:v>
      </x:c>
      <x:c r="I3144" s="3" t="n">
        <x:v>14</x:v>
      </x:c>
      <x:c r="J3144" s="15" t="n">
        <x:f>IF(D3144=0,"n.a.",E3144/D3144)</x:f>
        <x:v>0</x:v>
      </x:c>
      <x:c r="K3144" s="15" t="n">
        <x:f>F3144/'Datos'!$F$7</x:f>
        <x:v>0.0000068939045167774145</x:v>
      </x:c>
      <x:c r="L3144" s="3"/>
    </x:row>
    <x:row r="3145" ht="22" customHeight="1">
      <x:c r="A3145" s="3"/>
      <x:c r="B3145" s="3" t="str">
        <x:v>82011A</x:v>
      </x:c>
      <x:c r="C3145" s="3" t="str">
        <x:v>BATHROOM SCALES, TROPICAL BEACH</x:v>
      </x:c>
      <x:c r="D3145" s="13" t="n">
        <x:v>67.5</x:v>
      </x:c>
      <x:c r="E3145" s="13" t="n">
        <x:v>0</x:v>
      </x:c>
      <x:c r="F3145" s="13" t="n">
        <x:f>D3145-E3145</x:f>
        <x:v>67.5</x:v>
      </x:c>
      <x:c r="G3145" s="3" t="n">
        <x:v>18</x:v>
      </x:c>
      <x:c r="H3145" s="3" t="n">
        <x:v>0</x:v>
      </x:c>
      <x:c r="I3145" s="3" t="n">
        <x:v>12</x:v>
      </x:c>
      <x:c r="J3145" s="15" t="n">
        <x:f>IF(D3145=0,"n.a.",E3145/D3145)</x:f>
        <x:v>0</x:v>
      </x:c>
      <x:c r="K3145" s="15" t="n">
        <x:f>F3145/'Datos'!$F$7</x:f>
        <x:v>0.000006892883348873877</x:v>
      </x:c>
      <x:c r="L3145" s="3"/>
    </x:row>
    <x:row r="3146" ht="22" customHeight="1">
      <x:c r="A3146" s="3"/>
      <x:c r="B3146" s="3" t="str">
        <x:v>35916A</x:v>
      </x:c>
      <x:c r="C3146" s="3" t="str">
        <x:v>YELLOW FELT HANGING HEART W FLOWER</x:v>
      </x:c>
      <x:c r="D3146" s="13" t="n">
        <x:v>67.39</x:v>
      </x:c>
      <x:c r="E3146" s="13" t="n">
        <x:v>0</x:v>
      </x:c>
      <x:c r="F3146" s="13" t="n">
        <x:f>D3146-E3146</x:f>
        <x:v>67.39</x:v>
      </x:c>
      <x:c r="G3146" s="3" t="n">
        <x:v>87</x:v>
      </x:c>
      <x:c r="H3146" s="3" t="n">
        <x:v>0</x:v>
      </x:c>
      <x:c r="I3146" s="3" t="n">
        <x:v>29</x:v>
      </x:c>
      <x:c r="J3146" s="15" t="n">
        <x:f>IF(D3146=0,"n.a.",E3146/D3146)</x:f>
        <x:v>0</x:v>
      </x:c>
      <x:c r="K3146" s="15" t="n">
        <x:f>F3146/'Datos'!$F$7</x:f>
        <x:v>0.0000068816505019349715</x:v>
      </x:c>
      <x:c r="L3146" s="3"/>
    </x:row>
    <x:row r="3147" ht="22" customHeight="1">
      <x:c r="A3147" s="3"/>
      <x:c r="B3147" s="3" t="str">
        <x:v>90144</x:v>
      </x:c>
      <x:c r="C3147" s="3" t="str">
        <x:v>SILVER DROP EARRINGS WITH FLOWER</x:v>
      </x:c>
      <x:c r="D3147" s="13" t="n">
        <x:v>67.36</x:v>
      </x:c>
      <x:c r="E3147" s="13" t="n">
        <x:v>0</x:v>
      </x:c>
      <x:c r="F3147" s="13" t="n">
        <x:f>D3147-E3147</x:f>
        <x:v>67.36</x:v>
      </x:c>
      <x:c r="G3147" s="3" t="n">
        <x:v>18</x:v>
      </x:c>
      <x:c r="H3147" s="3" t="n">
        <x:v>0</x:v>
      </x:c>
      <x:c r="I3147" s="3" t="n">
        <x:v>14</x:v>
      </x:c>
      <x:c r="J3147" s="15" t="n">
        <x:f>IF(D3147=0,"n.a.",E3147/D3147)</x:f>
        <x:v>0</x:v>
      </x:c>
      <x:c r="K3147" s="15" t="n">
        <x:f>F3147/'Datos'!$F$7</x:f>
        <x:v>0.0000068785869982243605</x:v>
      </x:c>
      <x:c r="L3147" s="3"/>
    </x:row>
    <x:row r="3148" ht="22" customHeight="1">
      <x:c r="A3148" s="3"/>
      <x:c r="B3148" s="3" t="str">
        <x:v>37444A</x:v>
      </x:c>
      <x:c r="C3148" s="3" t="str">
        <x:v>YELLOW BREAKFAST CUP AND SAUCER</x:v>
      </x:c>
      <x:c r="D3148" s="13" t="n">
        <x:v>67.13</x:v>
      </x:c>
      <x:c r="E3148" s="13" t="n">
        <x:v>0</x:v>
      </x:c>
      <x:c r="F3148" s="13" t="n">
        <x:f>D3148-E3148</x:f>
        <x:v>67.13</x:v>
      </x:c>
      <x:c r="G3148" s="3" t="n">
        <x:v>55</x:v>
      </x:c>
      <x:c r="H3148" s="3" t="n">
        <x:v>0</x:v>
      </x:c>
      <x:c r="I3148" s="3" t="n">
        <x:v>18</x:v>
      </x:c>
      <x:c r="J3148" s="15" t="n">
        <x:f>IF(D3148=0,"n.a.",E3148/D3148)</x:f>
        <x:v>0</x:v>
      </x:c>
      <x:c r="K3148" s="15" t="n">
        <x:f>F3148/'Datos'!$F$7</x:f>
        <x:v>0.000006855100136443012</x:v>
      </x:c>
      <x:c r="L3148" s="3"/>
    </x:row>
    <x:row r="3149" ht="22" customHeight="1">
      <x:c r="A3149" s="3"/>
      <x:c r="B3149" s="3" t="str">
        <x:v>84859B</x:v>
      </x:c>
      <x:c r="C3149" s="3" t="str">
        <x:v>BLUE DISCO HANDBAG</x:v>
      </x:c>
      <x:c r="D3149" s="13" t="n">
        <x:v>66.76</x:v>
      </x:c>
      <x:c r="E3149" s="13" t="n">
        <x:v>0</x:v>
      </x:c>
      <x:c r="F3149" s="13" t="n">
        <x:f>D3149-E3149</x:f>
        <x:v>66.76</x:v>
      </x:c>
      <x:c r="G3149" s="3" t="n">
        <x:v>32</x:v>
      </x:c>
      <x:c r="H3149" s="3" t="n">
        <x:v>0</x:v>
      </x:c>
      <x:c r="I3149" s="3" t="n">
        <x:v>11</x:v>
      </x:c>
      <x:c r="J3149" s="15" t="n">
        <x:f>IF(D3149=0,"n.a.",E3149/D3149)</x:f>
        <x:v>0</x:v>
      </x:c>
      <x:c r="K3149" s="15" t="n">
        <x:f>F3149/'Datos'!$F$7</x:f>
        <x:v>0.000006817316924012149</x:v>
      </x:c>
      <x:c r="L3149" s="3"/>
    </x:row>
    <x:row r="3150" ht="22" customHeight="1">
      <x:c r="A3150" s="3"/>
      <x:c r="B3150" s="3" t="str">
        <x:v>90040B</x:v>
      </x:c>
      <x:c r="C3150" s="3" t="str">
        <x:v>MURANO STYLE GLASS BRACELET BLACK</x:v>
      </x:c>
      <x:c r="D3150" s="13" t="n">
        <x:v>66.7</x:v>
      </x:c>
      <x:c r="E3150" s="13" t="n">
        <x:v>0</x:v>
      </x:c>
      <x:c r="F3150" s="13" t="n">
        <x:f>D3150-E3150</x:f>
        <x:v>66.7</x:v>
      </x:c>
      <x:c r="G3150" s="3" t="n">
        <x:v>18</x:v>
      </x:c>
      <x:c r="H3150" s="3" t="n">
        <x:v>0</x:v>
      </x:c>
      <x:c r="I3150" s="3" t="n">
        <x:v>11</x:v>
      </x:c>
      <x:c r="J3150" s="15" t="n">
        <x:f>IF(D3150=0,"n.a.",E3150/D3150)</x:f>
        <x:v>0</x:v>
      </x:c>
      <x:c r="K3150" s="15" t="n">
        <x:f>F3150/'Datos'!$F$7</x:f>
        <x:v>0.000006811189916590928</x:v>
      </x:c>
      <x:c r="L3150" s="3"/>
    </x:row>
    <x:row r="3151" ht="22" customHeight="1">
      <x:c r="A3151" s="3"/>
      <x:c r="B3151" s="3" t="str">
        <x:v>35819P</x:v>
      </x:c>
      <x:c r="C3151" s="3" t="str">
        <x:v>ACRYLIC HANGING JEWEL,PINK</x:v>
      </x:c>
      <x:c r="D3151" s="13" t="n">
        <x:v>66.55</x:v>
      </x:c>
      <x:c r="E3151" s="13" t="n">
        <x:v>0</x:v>
      </x:c>
      <x:c r="F3151" s="13" t="n">
        <x:f>D3151-E3151</x:f>
        <x:v>66.55</x:v>
      </x:c>
      <x:c r="G3151" s="3" t="n">
        <x:v>95</x:v>
      </x:c>
      <x:c r="H3151" s="3" t="n">
        <x:v>0</x:v>
      </x:c>
      <x:c r="I3151" s="3" t="n">
        <x:v>7</x:v>
      </x:c>
      <x:c r="J3151" s="15" t="n">
        <x:f>IF(D3151=0,"n.a.",E3151/D3151)</x:f>
        <x:v>0</x:v>
      </x:c>
      <x:c r="K3151" s="15" t="n">
        <x:f>F3151/'Datos'!$F$7</x:f>
        <x:v>0.000006795872398037874</x:v>
      </x:c>
      <x:c r="L3151" s="3"/>
    </x:row>
    <x:row r="3152" ht="22" customHeight="1">
      <x:c r="A3152" s="3"/>
      <x:c r="B3152" s="3" t="str">
        <x:v>84686</x:v>
      </x:c>
      <x:c r="C3152" s="3" t="str">
        <x:v>BEACH HUT MIRROR</x:v>
      </x:c>
      <x:c r="D3152" s="13" t="n">
        <x:v>66.39</x:v>
      </x:c>
      <x:c r="E3152" s="13" t="n">
        <x:v>0</x:v>
      </x:c>
      <x:c r="F3152" s="13" t="n">
        <x:f>D3152-E3152</x:f>
        <x:v>66.39</x:v>
      </x:c>
      <x:c r="G3152" s="3" t="n">
        <x:v>49</x:v>
      </x:c>
      <x:c r="H3152" s="3" t="n">
        <x:v>0</x:v>
      </x:c>
      <x:c r="I3152" s="3" t="n">
        <x:v>8</x:v>
      </x:c>
      <x:c r="J3152" s="15" t="n">
        <x:f>IF(D3152=0,"n.a.",E3152/D3152)</x:f>
        <x:v>0</x:v>
      </x:c>
      <x:c r="K3152" s="15" t="n">
        <x:f>F3152/'Datos'!$F$7</x:f>
        <x:v>0.000006779533711581284</x:v>
      </x:c>
      <x:c r="L3152" s="3"/>
    </x:row>
    <x:row r="3153" ht="22" customHeight="1">
      <x:c r="A3153" s="3"/>
      <x:c r="B3153" s="3" t="str">
        <x:v>17011F</x:v>
      </x:c>
      <x:c r="C3153" s="3" t="str">
        <x:v>ORIGAMI SANDLEWOOD INCENSE+FLOWER</x:v>
      </x:c>
      <x:c r="D3153" s="13" t="n">
        <x:v>66.36</x:v>
      </x:c>
      <x:c r="E3153" s="13" t="n">
        <x:v>0</x:v>
      </x:c>
      <x:c r="F3153" s="13" t="n">
        <x:f>D3153-E3153</x:f>
        <x:v>66.36</x:v>
      </x:c>
      <x:c r="G3153" s="3" t="n">
        <x:v>81</x:v>
      </x:c>
      <x:c r="H3153" s="3" t="n">
        <x:v>0</x:v>
      </x:c>
      <x:c r="I3153" s="3" t="n">
        <x:v>7</x:v>
      </x:c>
      <x:c r="J3153" s="15" t="n">
        <x:f>IF(D3153=0,"n.a.",E3153/D3153)</x:f>
        <x:v>0</x:v>
      </x:c>
      <x:c r="K3153" s="15" t="n">
        <x:f>F3153/'Datos'!$F$7</x:f>
        <x:v>0.000006776470207870674</x:v>
      </x:c>
      <x:c r="L3153" s="3"/>
    </x:row>
    <x:row r="3154" ht="22" customHeight="1">
      <x:c r="A3154" s="3"/>
      <x:c r="B3154" s="3" t="str">
        <x:v>20663</x:v>
      </x:c>
      <x:c r="C3154" s="3" t="str">
        <x:v>QUEEN OF THE SKIES HOLIDAY PURSE</x:v>
      </x:c>
      <x:c r="D3154" s="13" t="n">
        <x:v>66.26</x:v>
      </x:c>
      <x:c r="E3154" s="13" t="n">
        <x:v>0</x:v>
      </x:c>
      <x:c r="F3154" s="13" t="n">
        <x:f>D3154-E3154</x:f>
        <x:v>66.26</x:v>
      </x:c>
      <x:c r="G3154" s="3" t="n">
        <x:v>25</x:v>
      </x:c>
      <x:c r="H3154" s="3" t="n">
        <x:v>0</x:v>
      </x:c>
      <x:c r="I3154" s="3" t="n">
        <x:v>20</x:v>
      </x:c>
      <x:c r="J3154" s="15" t="n">
        <x:f>IF(D3154=0,"n.a.",E3154/D3154)</x:f>
        <x:v>0</x:v>
      </x:c>
      <x:c r="K3154" s="15" t="n">
        <x:f>F3154/'Datos'!$F$7</x:f>
        <x:v>0.000006766258528835306</x:v>
      </x:c>
      <x:c r="L3154" s="3"/>
    </x:row>
    <x:row r="3155" ht="22" customHeight="1">
      <x:c r="A3155" s="3"/>
      <x:c r="B3155" s="3" t="str">
        <x:v>85008</x:v>
      </x:c>
      <x:c r="C3155" s="3" t="str">
        <x:v>SET OF 3 CONEY ISLAND OVAL BOXES</x:v>
      </x:c>
      <x:c r="D3155" s="13" t="n">
        <x:v>66.12</x:v>
      </x:c>
      <x:c r="E3155" s="13" t="n">
        <x:v>0</x:v>
      </x:c>
      <x:c r="F3155" s="13" t="n">
        <x:f>D3155-E3155</x:f>
        <x:v>66.12</x:v>
      </x:c>
      <x:c r="G3155" s="3" t="n">
        <x:v>13</x:v>
      </x:c>
      <x:c r="H3155" s="3" t="n">
        <x:v>0</x:v>
      </x:c>
      <x:c r="I3155" s="3" t="n">
        <x:v>8</x:v>
      </x:c>
      <x:c r="J3155" s="15" t="n">
        <x:f>IF(D3155=0,"n.a.",E3155/D3155)</x:f>
        <x:v>0</x:v>
      </x:c>
      <x:c r="K3155" s="15" t="n">
        <x:f>F3155/'Datos'!$F$7</x:f>
        <x:v>0.00000675196217818579</x:v>
      </x:c>
      <x:c r="L3155" s="3"/>
    </x:row>
    <x:row r="3156" ht="22" customHeight="1">
      <x:c r="A3156" s="3"/>
      <x:c r="B3156" s="3" t="str">
        <x:v>20835</x:v>
      </x:c>
      <x:c r="C3156" s="3" t="str">
        <x:v>FRENCH LATTICE CUSHION COVER</x:v>
      </x:c>
      <x:c r="D3156" s="13" t="n">
        <x:v>65.8</x:v>
      </x:c>
      <x:c r="E3156" s="13" t="n">
        <x:v>0</x:v>
      </x:c>
      <x:c r="F3156" s="13" t="n">
        <x:f>D3156-E3156</x:f>
        <x:v>65.8</x:v>
      </x:c>
      <x:c r="G3156" s="3" t="n">
        <x:v>67</x:v>
      </x:c>
      <x:c r="H3156" s="3" t="n">
        <x:v>0</x:v>
      </x:c>
      <x:c r="I3156" s="3" t="n">
        <x:v>8</x:v>
      </x:c>
      <x:c r="J3156" s="15" t="n">
        <x:f>IF(D3156=0,"n.a.",E3156/D3156)</x:f>
        <x:v>0</x:v>
      </x:c>
      <x:c r="K3156" s="15" t="n">
        <x:f>F3156/'Datos'!$F$7</x:f>
        <x:v>0.000006719284805272609</x:v>
      </x:c>
      <x:c r="L3156" s="3"/>
    </x:row>
    <x:row r="3157" ht="22" customHeight="1">
      <x:c r="A3157" s="3"/>
      <x:c r="B3157" s="3" t="str">
        <x:v>20980</x:v>
      </x:c>
      <x:c r="C3157" s="3" t="str">
        <x:v>36 PENCILS TUBE POSY</x:v>
      </x:c>
      <x:c r="D3157" s="13" t="n">
        <x:v>76.91</x:v>
      </x:c>
      <x:c r="E3157" s="13" t="n">
        <x:v>11.25</x:v>
      </x:c>
      <x:c r="F3157" s="13" t="n">
        <x:f>D3157-E3157</x:f>
        <x:v>65.66</x:v>
      </x:c>
      <x:c r="G3157" s="3" t="n">
        <x:v>79</x:v>
      </x:c>
      <x:c r="H3157" s="3" t="n">
        <x:v>9</x:v>
      </x:c>
      <x:c r="I3157" s="3" t="n">
        <x:v>20</x:v>
      </x:c>
      <x:c r="J3157" s="15" t="n">
        <x:f>IF(D3157=0,"n.a.",E3157/D3157)</x:f>
        <x:v>0.14627486672734366</x:v>
      </x:c>
      <x:c r="K3157" s="15" t="n">
        <x:f>F3157/'Datos'!$F$7</x:f>
        <x:v>0.000006704988454623093</x:v>
      </x:c>
      <x:c r="L3157" s="3"/>
    </x:row>
    <x:row r="3158" ht="22" customHeight="1">
      <x:c r="A3158" s="3"/>
      <x:c r="B3158" s="3" t="str">
        <x:v>21031</x:v>
      </x:c>
      <x:c r="C3158" s="3" t="str">
        <x:v>SPACE CADET BLACK</x:v>
      </x:c>
      <x:c r="D3158" s="13" t="n">
        <x:v>65.49</x:v>
      </x:c>
      <x:c r="E3158" s="13" t="n">
        <x:v>0</x:v>
      </x:c>
      <x:c r="F3158" s="13" t="n">
        <x:f>D3158-E3158</x:f>
        <x:v>65.49</x:v>
      </x:c>
      <x:c r="G3158" s="3" t="n">
        <x:v>53</x:v>
      </x:c>
      <x:c r="H3158" s="3" t="n">
        <x:v>0</x:v>
      </x:c>
      <x:c r="I3158" s="3" t="n">
        <x:v>19</x:v>
      </x:c>
      <x:c r="J3158" s="15" t="n">
        <x:f>IF(D3158=0,"n.a.",E3158/D3158)</x:f>
        <x:v>0</x:v>
      </x:c>
      <x:c r="K3158" s="15" t="n">
        <x:f>F3158/'Datos'!$F$7</x:f>
        <x:v>0.000006687628600262965</x:v>
      </x:c>
      <x:c r="L3158" s="3"/>
    </x:row>
    <x:row r="3159" ht="22" customHeight="1">
      <x:c r="A3159" s="3"/>
      <x:c r="B3159" s="3" t="str">
        <x:v>90214L</x:v>
      </x:c>
      <x:c r="C3159" s="3" t="str">
        <x:v>LETTER "L" BLING KEY RING</x:v>
      </x:c>
      <x:c r="D3159" s="13" t="n">
        <x:v>65.04</x:v>
      </x:c>
      <x:c r="E3159" s="13" t="n">
        <x:v>0</x:v>
      </x:c>
      <x:c r="F3159" s="13" t="n">
        <x:f>D3159-E3159</x:f>
        <x:v>65.04</x:v>
      </x:c>
      <x:c r="G3159" s="3" t="n">
        <x:v>94</x:v>
      </x:c>
      <x:c r="H3159" s="3" t="n">
        <x:v>0</x:v>
      </x:c>
      <x:c r="I3159" s="3" t="n">
        <x:v>37</x:v>
      </x:c>
      <x:c r="J3159" s="15" t="n">
        <x:f>IF(D3159=0,"n.a.",E3159/D3159)</x:f>
        <x:v>0</x:v>
      </x:c>
      <x:c r="K3159" s="15" t="n">
        <x:f>F3159/'Datos'!$F$7</x:f>
        <x:v>0.000006641676044603808</x:v>
      </x:c>
      <x:c r="L3159" s="3"/>
    </x:row>
    <x:row r="3160" ht="22" customHeight="1">
      <x:c r="A3160" s="3"/>
      <x:c r="B3160" s="3" t="str">
        <x:v>84247N</x:v>
      </x:c>
      <x:c r="C3160" s="3" t="str">
        <x:v>PACK/12 BLUE FOLKART CARDS</x:v>
      </x:c>
      <x:c r="D3160" s="13" t="n">
        <x:v>64.9</x:v>
      </x:c>
      <x:c r="E3160" s="13" t="n">
        <x:v>0</x:v>
      </x:c>
      <x:c r="F3160" s="13" t="n">
        <x:f>D3160-E3160</x:f>
        <x:v>64.9</x:v>
      </x:c>
      <x:c r="G3160" s="3" t="n">
        <x:v>22</x:v>
      </x:c>
      <x:c r="H3160" s="3" t="n">
        <x:v>0</x:v>
      </x:c>
      <x:c r="I3160" s="3" t="n">
        <x:v>18</x:v>
      </x:c>
      <x:c r="J3160" s="15" t="n">
        <x:f>IF(D3160=0,"n.a.",E3160/D3160)</x:f>
        <x:v>0</x:v>
      </x:c>
      <x:c r="K3160" s="15" t="n">
        <x:f>F3160/'Datos'!$F$7</x:f>
        <x:v>0.000006627379693954291</x:v>
      </x:c>
      <x:c r="L3160" s="3"/>
    </x:row>
    <x:row r="3161" ht="22" customHeight="1">
      <x:c r="A3161" s="3"/>
      <x:c r="B3161" s="3" t="str">
        <x:v>90174</x:v>
      </x:c>
      <x:c r="C3161" s="3" t="str">
        <x:v>BUTTERFLY HAIR BAND</x:v>
      </x:c>
      <x:c r="D3161" s="13" t="n">
        <x:v>95.42</x:v>
      </x:c>
      <x:c r="E3161" s="13" t="n">
        <x:v>30.6</x:v>
      </x:c>
      <x:c r="F3161" s="13" t="n">
        <x:f>D3161-E3161</x:f>
        <x:v>64.82</x:v>
      </x:c>
      <x:c r="G3161" s="3" t="n">
        <x:v>38</x:v>
      </x:c>
      <x:c r="H3161" s="3" t="n">
        <x:v>12</x:v>
      </x:c>
      <x:c r="I3161" s="3" t="n">
        <x:v>21</x:v>
      </x:c>
      <x:c r="J3161" s="15" t="n">
        <x:f>IF(D3161=0,"n.a.",E3161/D3161)</x:f>
        <x:v>0.32068748690002097</x:v>
      </x:c>
      <x:c r="K3161" s="15" t="n">
        <x:f>F3161/'Datos'!$F$7</x:f>
        <x:v>0.000006619210350725995</x:v>
      </x:c>
      <x:c r="L3161" s="3"/>
    </x:row>
    <x:row r="3162" ht="22" customHeight="1">
      <x:c r="A3162" s="3"/>
      <x:c r="B3162" s="3" t="str">
        <x:v>90059A</x:v>
      </x:c>
      <x:c r="C3162" s="3" t="str">
        <x:v>DIAMANTE HAIR GRIP PACK/2 CRYSTAL</x:v>
      </x:c>
      <x:c r="D3162" s="13" t="n">
        <x:v>74.53</x:v>
      </x:c>
      <x:c r="E3162" s="13" t="n">
        <x:v>9.9</x:v>
      </x:c>
      <x:c r="F3162" s="13" t="n">
        <x:f>D3162-E3162</x:f>
        <x:v>64.63</x:v>
      </x:c>
      <x:c r="G3162" s="3" t="n">
        <x:v>45</x:v>
      </x:c>
      <x:c r="H3162" s="3" t="n">
        <x:v>6</x:v>
      </x:c>
      <x:c r="I3162" s="3" t="n">
        <x:v>27</x:v>
      </x:c>
      <x:c r="J3162" s="15" t="n">
        <x:f>IF(D3162=0,"n.a.",E3162/D3162)</x:f>
        <x:v>0.1328324164765866</x:v>
      </x:c>
      <x:c r="K3162" s="15" t="n">
        <x:f>F3162/'Datos'!$F$7</x:f>
        <x:v>0.000006599808160558795</x:v>
      </x:c>
      <x:c r="L3162" s="3"/>
    </x:row>
    <x:row r="3163" ht="22" customHeight="1">
      <x:c r="A3163" s="3"/>
      <x:c r="B3163" s="3" t="str">
        <x:v>90186B</x:v>
      </x:c>
      <x:c r="C3163" s="3" t="str">
        <x:v>CRYSTAL HOOP EARRING FLORAL LEAF</x:v>
      </x:c>
      <x:c r="D3163" s="13" t="n">
        <x:v>64.58</x:v>
      </x:c>
      <x:c r="E3163" s="13" t="n">
        <x:v>0</x:v>
      </x:c>
      <x:c r="F3163" s="13" t="n">
        <x:f>D3163-E3163</x:f>
        <x:v>64.58</x:v>
      </x:c>
      <x:c r="G3163" s="3" t="n">
        <x:v>22</x:v>
      </x:c>
      <x:c r="H3163" s="3" t="n">
        <x:v>0</x:v>
      </x:c>
      <x:c r="I3163" s="3" t="n">
        <x:v>15</x:v>
      </x:c>
      <x:c r="J3163" s="15" t="n">
        <x:f>IF(D3163=0,"n.a.",E3163/D3163)</x:f>
        <x:v>0</x:v>
      </x:c>
      <x:c r="K3163" s="15" t="n">
        <x:f>F3163/'Datos'!$F$7</x:f>
        <x:v>0.000006594702321041111</x:v>
      </x:c>
      <x:c r="L3163" s="3"/>
    </x:row>
    <x:row r="3164" ht="22" customHeight="1">
      <x:c r="A3164" s="3"/>
      <x:c r="B3164" s="3" t="str">
        <x:v>90082D</x:v>
      </x:c>
      <x:c r="C3164" s="3" t="str">
        <x:v>DIAMANTE BOW BROOCH BLACK COLOUR</x:v>
      </x:c>
      <x:c r="D3164" s="13" t="n">
        <x:v>64.38</x:v>
      </x:c>
      <x:c r="E3164" s="13" t="n">
        <x:v>0</x:v>
      </x:c>
      <x:c r="F3164" s="13" t="n">
        <x:f>D3164-E3164</x:f>
        <x:v>64.38</x:v>
      </x:c>
      <x:c r="G3164" s="3" t="n">
        <x:v>10</x:v>
      </x:c>
      <x:c r="H3164" s="3" t="n">
        <x:v>0</x:v>
      </x:c>
      <x:c r="I3164" s="3" t="n">
        <x:v>5</x:v>
      </x:c>
      <x:c r="J3164" s="15" t="n">
        <x:f>IF(D3164=0,"n.a.",E3164/D3164)</x:f>
        <x:v>0</x:v>
      </x:c>
      <x:c r="K3164" s="15" t="n">
        <x:f>F3164/'Datos'!$F$7</x:f>
        <x:v>0.000006574278962970373</x:v>
      </x:c>
      <x:c r="L3164" s="3"/>
    </x:row>
    <x:row r="3165" ht="22" customHeight="1">
      <x:c r="A3165" s="3"/>
      <x:c r="B3165" s="3" t="str">
        <x:v>90036F</x:v>
      </x:c>
      <x:c r="C3165" s="3" t="str">
        <x:v>FLOWER GLASS GARLD NECKL36"TURQUOIS</x:v>
      </x:c>
      <x:c r="D3165" s="13" t="n">
        <x:v>64.08</x:v>
      </x:c>
      <x:c r="E3165" s="13" t="n">
        <x:v>0</x:v>
      </x:c>
      <x:c r="F3165" s="13" t="n">
        <x:f>D3165-E3165</x:f>
        <x:v>64.08</x:v>
      </x:c>
      <x:c r="G3165" s="3" t="n">
        <x:v>8</x:v>
      </x:c>
      <x:c r="H3165" s="3" t="n">
        <x:v>0</x:v>
      </x:c>
      <x:c r="I3165" s="3" t="n">
        <x:v>5</x:v>
      </x:c>
      <x:c r="J3165" s="15" t="n">
        <x:f>IF(D3165=0,"n.a.",E3165/D3165)</x:f>
        <x:v>0</x:v>
      </x:c>
      <x:c r="K3165" s="15" t="n">
        <x:f>F3165/'Datos'!$F$7</x:f>
        <x:v>0.000006543643925864267</x:v>
      </x:c>
      <x:c r="L3165" s="3"/>
    </x:row>
    <x:row r="3166" ht="22" customHeight="1">
      <x:c r="A3166" s="3"/>
      <x:c r="B3166" s="3" t="str">
        <x:v>90181A</x:v>
      </x:c>
      <x:c r="C3166" s="3" t="str">
        <x:v>AMBER GLASS/SHELL/PEARL NECKLACE</x:v>
      </x:c>
      <x:c r="D3166" s="13" t="n">
        <x:v>64.04</x:v>
      </x:c>
      <x:c r="E3166" s="13" t="n">
        <x:v>0</x:v>
      </x:c>
      <x:c r="F3166" s="13" t="n">
        <x:f>D3166-E3166</x:f>
        <x:v>64.04</x:v>
      </x:c>
      <x:c r="G3166" s="3" t="n">
        <x:v>7</x:v>
      </x:c>
      <x:c r="H3166" s="3" t="n">
        <x:v>0</x:v>
      </x:c>
      <x:c r="I3166" s="3" t="n">
        <x:v>7</x:v>
      </x:c>
      <x:c r="J3166" s="15" t="n">
        <x:f>IF(D3166=0,"n.a.",E3166/D3166)</x:f>
        <x:v>0</x:v>
      </x:c>
      <x:c r="K3166" s="15" t="n">
        <x:f>F3166/'Datos'!$F$7</x:f>
        <x:v>0.00000653955925425012</x:v>
      </x:c>
      <x:c r="L3166" s="3"/>
    </x:row>
    <x:row r="3167" ht="22" customHeight="1">
      <x:c r="A3167" s="3"/>
      <x:c r="B3167" s="3" t="str">
        <x:v>21692</x:v>
      </x:c>
      <x:c r="C3167" s="3" t="str">
        <x:v>SILVER LATTICE VANILLA CANDLE POT</x:v>
      </x:c>
      <x:c r="D3167" s="13" t="n">
        <x:v>63.75</x:v>
      </x:c>
      <x:c r="E3167" s="13" t="n">
        <x:v>0</x:v>
      </x:c>
      <x:c r="F3167" s="13" t="n">
        <x:f>D3167-E3167</x:f>
        <x:v>63.75</x:v>
      </x:c>
      <x:c r="G3167" s="3" t="n">
        <x:v>17</x:v>
      </x:c>
      <x:c r="H3167" s="3" t="n">
        <x:v>0</x:v>
      </x:c>
      <x:c r="I3167" s="3" t="n">
        <x:v>7</x:v>
      </x:c>
      <x:c r="J3167" s="15" t="n">
        <x:f>IF(D3167=0,"n.a.",E3167/D3167)</x:f>
        <x:v>0</x:v>
      </x:c>
      <x:c r="K3167" s="15" t="n">
        <x:f>F3167/'Datos'!$F$7</x:f>
        <x:v>0.000006509945385047551</x:v>
      </x:c>
      <x:c r="L3167" s="3"/>
    </x:row>
    <x:row r="3168" ht="22" customHeight="1">
      <x:c r="A3168" s="3"/>
      <x:c r="B3168" s="3" t="str">
        <x:v>84875D</x:v>
      </x:c>
      <x:c r="C3168" s="3" t="str">
        <x:v>BLUE SQUARE COMPACT MIRROR</x:v>
      </x:c>
      <x:c r="D3168" s="13" t="n">
        <x:v>63.75</x:v>
      </x:c>
      <x:c r="E3168" s="13" t="n">
        <x:v>0</x:v>
      </x:c>
      <x:c r="F3168" s="13" t="n">
        <x:f>D3168-E3168</x:f>
        <x:v>63.75</x:v>
      </x:c>
      <x:c r="G3168" s="3" t="n">
        <x:v>51</x:v>
      </x:c>
      <x:c r="H3168" s="3" t="n">
        <x:v>0</x:v>
      </x:c>
      <x:c r="I3168" s="3" t="n">
        <x:v>8</x:v>
      </x:c>
      <x:c r="J3168" s="15" t="n">
        <x:f>IF(D3168=0,"n.a.",E3168/D3168)</x:f>
        <x:v>0</x:v>
      </x:c>
      <x:c r="K3168" s="15" t="n">
        <x:f>F3168/'Datos'!$F$7</x:f>
        <x:v>0.000006509945385047551</x:v>
      </x:c>
      <x:c r="L3168" s="3"/>
    </x:row>
    <x:row r="3169" ht="22" customHeight="1">
      <x:c r="A3169" s="3"/>
      <x:c r="B3169" s="3" t="str">
        <x:v>84673A</x:v>
      </x:c>
      <x:c r="C3169" s="3" t="str">
        <x:v>PINK FLY SWAT</x:v>
      </x:c>
      <x:c r="D3169" s="13" t="n">
        <x:v>63.72</x:v>
      </x:c>
      <x:c r="E3169" s="13" t="n">
        <x:v>0</x:v>
      </x:c>
      <x:c r="F3169" s="13" t="n">
        <x:f>D3169-E3169</x:f>
        <x:v>63.72</x:v>
      </x:c>
      <x:c r="G3169" s="3" t="n">
        <x:v>92</x:v>
      </x:c>
      <x:c r="H3169" s="3" t="n">
        <x:v>0</x:v>
      </x:c>
      <x:c r="I3169" s="3" t="n">
        <x:v>43</x:v>
      </x:c>
      <x:c r="J3169" s="15" t="n">
        <x:f>IF(D3169=0,"n.a.",E3169/D3169)</x:f>
        <x:v>0</x:v>
      </x:c>
      <x:c r="K3169" s="15" t="n">
        <x:f>F3169/'Datos'!$F$7</x:f>
        <x:v>0.00000650688188133694</x:v>
      </x:c>
      <x:c r="L3169" s="3"/>
    </x:row>
    <x:row r="3170" ht="22" customHeight="1">
      <x:c r="A3170" s="3"/>
      <x:c r="B3170" s="3" t="str">
        <x:v>72133</x:v>
      </x:c>
      <x:c r="C3170" s="3" t="str">
        <x:v>COLUMBIAN CANDLE RECTANGLE</x:v>
      </x:c>
      <x:c r="D3170" s="13" t="n">
        <x:v>63.51</x:v>
      </x:c>
      <x:c r="E3170" s="13" t="n">
        <x:v>0</x:v>
      </x:c>
      <x:c r="F3170" s="13" t="n">
        <x:f>D3170-E3170</x:f>
        <x:v>63.51</x:v>
      </x:c>
      <x:c r="G3170" s="3" t="n">
        <x:v>45</x:v>
      </x:c>
      <x:c r="H3170" s="3" t="n">
        <x:v>0</x:v>
      </x:c>
      <x:c r="I3170" s="3" t="n">
        <x:v>16</x:v>
      </x:c>
      <x:c r="J3170" s="15" t="n">
        <x:f>IF(D3170=0,"n.a.",E3170/D3170)</x:f>
        <x:v>0</x:v>
      </x:c>
      <x:c r="K3170" s="15" t="n">
        <x:f>F3170/'Datos'!$F$7</x:f>
        <x:v>0.0000064854373553626655</x:v>
      </x:c>
      <x:c r="L3170" s="3"/>
    </x:row>
    <x:row r="3171" ht="22" customHeight="1">
      <x:c r="A3171" s="3"/>
      <x:c r="B3171" s="3" t="str">
        <x:v>90196B</x:v>
      </x:c>
      <x:c r="C3171" s="3" t="str">
        <x:v>BLACK GEMSTONE NECKLACE 45CM</x:v>
      </x:c>
      <x:c r="D3171" s="13" t="n">
        <x:v>63.48</x:v>
      </x:c>
      <x:c r="E3171" s="13" t="n">
        <x:v>0</x:v>
      </x:c>
      <x:c r="F3171" s="13" t="n">
        <x:f>D3171-E3171</x:f>
        <x:v>63.48</x:v>
      </x:c>
      <x:c r="G3171" s="3" t="n">
        <x:v>5</x:v>
      </x:c>
      <x:c r="H3171" s="3" t="n">
        <x:v>0</x:v>
      </x:c>
      <x:c r="I3171" s="3" t="n">
        <x:v>5</x:v>
      </x:c>
      <x:c r="J3171" s="15" t="n">
        <x:f>IF(D3171=0,"n.a.",E3171/D3171)</x:f>
        <x:v>0</x:v>
      </x:c>
      <x:c r="K3171" s="15" t="n">
        <x:f>F3171/'Datos'!$F$7</x:f>
        <x:v>0.0000064823738516520545</x:v>
      </x:c>
      <x:c r="L3171" s="3"/>
    </x:row>
    <x:row r="3172" ht="22" customHeight="1">
      <x:c r="A3172" s="3"/>
      <x:c r="B3172" s="3" t="str">
        <x:v>35815P</x:v>
      </x:c>
      <x:c r="C3172" s="3" t="str">
        <x:v>ACRYLIC JEWEL SNOWFLAKE, PINK</x:v>
      </x:c>
      <x:c r="D3172" s="13" t="n">
        <x:v>63.28</x:v>
      </x:c>
      <x:c r="E3172" s="13" t="n">
        <x:v>0</x:v>
      </x:c>
      <x:c r="F3172" s="13" t="n">
        <x:f>D3172-E3172</x:f>
        <x:v>63.28</x:v>
      </x:c>
      <x:c r="G3172" s="3" t="n">
        <x:v>162</x:v>
      </x:c>
      <x:c r="H3172" s="3" t="n">
        <x:v>0</x:v>
      </x:c>
      <x:c r="I3172" s="3" t="n">
        <x:v>5</x:v>
      </x:c>
      <x:c r="J3172" s="15" t="n">
        <x:f>IF(D3172=0,"n.a.",E3172/D3172)</x:f>
        <x:v>0</x:v>
      </x:c>
      <x:c r="K3172" s="15" t="n">
        <x:f>F3172/'Datos'!$F$7</x:f>
        <x:v>0.000006461950493581318</x:v>
      </x:c>
      <x:c r="L3172" s="3"/>
    </x:row>
    <x:row r="3173" ht="22" customHeight="1">
      <x:c r="A3173" s="3"/>
      <x:c r="B3173" s="3" t="str">
        <x:v>62094B</x:v>
      </x:c>
      <x:c r="C3173" s="3" t="str">
        <x:v>TURQ ICE CREAM BUM BAG</x:v>
      </x:c>
      <x:c r="D3173" s="13" t="n">
        <x:v>63.21</x:v>
      </x:c>
      <x:c r="E3173" s="13" t="n">
        <x:v>0</x:v>
      </x:c>
      <x:c r="F3173" s="13" t="n">
        <x:f>D3173-E3173</x:f>
        <x:v>63.21</x:v>
      </x:c>
      <x:c r="G3173" s="3" t="n">
        <x:v>19</x:v>
      </x:c>
      <x:c r="H3173" s="3" t="n">
        <x:v>0</x:v>
      </x:c>
      <x:c r="I3173" s="3" t="n">
        <x:v>8</x:v>
      </x:c>
      <x:c r="J3173" s="15" t="n">
        <x:f>IF(D3173=0,"n.a.",E3173/D3173)</x:f>
        <x:v>0</x:v>
      </x:c>
      <x:c r="K3173" s="15" t="n">
        <x:f>F3173/'Datos'!$F$7</x:f>
        <x:v>0.000006454802318256559</x:v>
      </x:c>
      <x:c r="L3173" s="3"/>
    </x:row>
    <x:row r="3174" ht="22" customHeight="1">
      <x:c r="A3174" s="3"/>
      <x:c r="B3174" s="3" t="str">
        <x:v>90141A</x:v>
      </x:c>
      <x:c r="C3174" s="3" t="str">
        <x:v>GREEN PENDANT TRIPLE SHELL NECKLACE</x:v>
      </x:c>
      <x:c r="D3174" s="13" t="n">
        <x:v>63.11</x:v>
      </x:c>
      <x:c r="E3174" s="13" t="n">
        <x:v>0</x:v>
      </x:c>
      <x:c r="F3174" s="13" t="n">
        <x:f>D3174-E3174</x:f>
        <x:v>63.11</x:v>
      </x:c>
      <x:c r="G3174" s="3" t="n">
        <x:v>12</x:v>
      </x:c>
      <x:c r="H3174" s="3" t="n">
        <x:v>0</x:v>
      </x:c>
      <x:c r="I3174" s="3" t="n">
        <x:v>10</x:v>
      </x:c>
      <x:c r="J3174" s="15" t="n">
        <x:f>IF(D3174=0,"n.a.",E3174/D3174)</x:f>
        <x:v>0</x:v>
      </x:c>
      <x:c r="K3174" s="15" t="n">
        <x:f>F3174/'Datos'!$F$7</x:f>
        <x:v>0.0000064445906392211905</x:v>
      </x:c>
      <x:c r="L3174" s="3"/>
    </x:row>
    <x:row r="3175" ht="22" customHeight="1">
      <x:c r="A3175" s="3"/>
      <x:c r="B3175" s="3" t="str">
        <x:v>22145</x:v>
      </x:c>
      <x:c r="C3175" s="3" t="str">
        <x:v>CHRISTMAS CRAFT HEART STOCKING</x:v>
      </x:c>
      <x:c r="D3175" s="13" t="n">
        <x:v>63</x:v>
      </x:c>
      <x:c r="E3175" s="13" t="n">
        <x:v>0</x:v>
      </x:c>
      <x:c r="F3175" s="13" t="n">
        <x:f>D3175-E3175</x:f>
        <x:v>63</x:v>
      </x:c>
      <x:c r="G3175" s="3" t="n">
        <x:v>30</x:v>
      </x:c>
      <x:c r="H3175" s="3" t="n">
        <x:v>0</x:v>
      </x:c>
      <x:c r="I3175" s="3" t="n">
        <x:v>1</x:v>
      </x:c>
      <x:c r="J3175" s="15" t="n">
        <x:f>IF(D3175=0,"n.a.",E3175/D3175)</x:f>
        <x:v>0</x:v>
      </x:c>
      <x:c r="K3175" s="15" t="n">
        <x:f>F3175/'Datos'!$F$7</x:f>
        <x:v>0.000006433357792282285</x:v>
      </x:c>
      <x:c r="L3175" s="3"/>
    </x:row>
    <x:row r="3176" ht="22" customHeight="1">
      <x:c r="A3176" s="3"/>
      <x:c r="B3176" s="3" t="str">
        <x:v>40046A</x:v>
      </x:c>
      <x:c r="C3176" s="3" t="str">
        <x:v>RED DAISY PAPER LAMPSHADE</x:v>
      </x:c>
      <x:c r="D3176" s="13" t="n">
        <x:v>62.5</x:v>
      </x:c>
      <x:c r="E3176" s="13" t="n">
        <x:v>0</x:v>
      </x:c>
      <x:c r="F3176" s="13" t="n">
        <x:f>D3176-E3176</x:f>
        <x:v>62.5</x:v>
      </x:c>
      <x:c r="G3176" s="3" t="n">
        <x:v>50</x:v>
      </x:c>
      <x:c r="H3176" s="3" t="n">
        <x:v>0</x:v>
      </x:c>
      <x:c r="I3176" s="3" t="n">
        <x:v>6</x:v>
      </x:c>
      <x:c r="J3176" s="15" t="n">
        <x:f>IF(D3176=0,"n.a.",E3176/D3176)</x:f>
        <x:v>0</x:v>
      </x:c>
      <x:c r="K3176" s="15" t="n">
        <x:f>F3176/'Datos'!$F$7</x:f>
        <x:v>0.000006382299397105441</x:v>
      </x:c>
      <x:c r="L3176" s="3"/>
    </x:row>
    <x:row r="3177" ht="22" customHeight="1">
      <x:c r="A3177" s="3"/>
      <x:c r="B3177" s="3" t="str">
        <x:v>84760S</x:v>
      </x:c>
      <x:c r="C3177" s="3" t="str">
        <x:v>SMALL HANGING GLASS+ZINC LANTERN</x:v>
      </x:c>
      <x:c r="D3177" s="13" t="n">
        <x:v>62.35</x:v>
      </x:c>
      <x:c r="E3177" s="13" t="n">
        <x:v>0</x:v>
      </x:c>
      <x:c r="F3177" s="13" t="n">
        <x:f>D3177-E3177</x:f>
        <x:v>62.35</x:v>
      </x:c>
      <x:c r="G3177" s="3" t="n">
        <x:v>43</x:v>
      </x:c>
      <x:c r="H3177" s="3" t="n">
        <x:v>0</x:v>
      </x:c>
      <x:c r="I3177" s="3" t="n">
        <x:v>8</x:v>
      </x:c>
      <x:c r="J3177" s="15" t="n">
        <x:f>IF(D3177=0,"n.a.",E3177/D3177)</x:f>
        <x:v>0</x:v>
      </x:c>
      <x:c r="K3177" s="15" t="n">
        <x:f>F3177/'Datos'!$F$7</x:f>
        <x:v>0.000006366981878552389</x:v>
      </x:c>
      <x:c r="L3177" s="3"/>
    </x:row>
    <x:row r="3178" ht="22" customHeight="1">
      <x:c r="A3178" s="3"/>
      <x:c r="B3178" s="3" t="str">
        <x:v>84247L</x:v>
      </x:c>
      <x:c r="C3178" s="3" t="str">
        <x:v>FAWN AND MUSHROOM GREETING CARD</x:v>
      </x:c>
      <x:c r="D3178" s="13" t="n">
        <x:v>62.06</x:v>
      </x:c>
      <x:c r="E3178" s="13" t="n">
        <x:v>0</x:v>
      </x:c>
      <x:c r="F3178" s="13" t="n">
        <x:f>D3178-E3178</x:f>
        <x:v>62.06</x:v>
      </x:c>
      <x:c r="G3178" s="3" t="n">
        <x:v>128</x:v>
      </x:c>
      <x:c r="H3178" s="3" t="n">
        <x:v>0</x:v>
      </x:c>
      <x:c r="I3178" s="3" t="n">
        <x:v>19</x:v>
      </x:c>
      <x:c r="J3178" s="15" t="n">
        <x:f>IF(D3178=0,"n.a.",E3178/D3178)</x:f>
        <x:v>0</x:v>
      </x:c>
      <x:c r="K3178" s="15" t="n">
        <x:f>F3178/'Datos'!$F$7</x:f>
        <x:v>0.0000063373680093498195</x:v>
      </x:c>
      <x:c r="L3178" s="3"/>
    </x:row>
    <x:row r="3179" ht="22" customHeight="1">
      <x:c r="A3179" s="3"/>
      <x:c r="B3179" s="3" t="str">
        <x:v>20848</x:v>
      </x:c>
      <x:c r="C3179" s="3" t="str">
        <x:v>ZINC HEART LATTICE CHARGER SMALL</x:v>
      </x:c>
      <x:c r="D3179" s="13" t="n">
        <x:v>61.95</x:v>
      </x:c>
      <x:c r="E3179" s="13" t="n">
        <x:v>0</x:v>
      </x:c>
      <x:c r="F3179" s="13" t="n">
        <x:f>D3179-E3179</x:f>
        <x:v>61.95</x:v>
      </x:c>
      <x:c r="G3179" s="3" t="n">
        <x:v>21</x:v>
      </x:c>
      <x:c r="H3179" s="3" t="n">
        <x:v>0</x:v>
      </x:c>
      <x:c r="I3179" s="3" t="n">
        <x:v>8</x:v>
      </x:c>
      <x:c r="J3179" s="15" t="n">
        <x:f>IF(D3179=0,"n.a.",E3179/D3179)</x:f>
        <x:v>0</x:v>
      </x:c>
      <x:c r="K3179" s="15" t="n">
        <x:f>F3179/'Datos'!$F$7</x:f>
        <x:v>0.000006326135162410914</x:v>
      </x:c>
      <x:c r="L3179" s="3"/>
    </x:row>
    <x:row r="3180" ht="22" customHeight="1">
      <x:c r="A3180" s="3"/>
      <x:c r="B3180" s="3" t="str">
        <x:v>90210B</x:v>
      </x:c>
      <x:c r="C3180" s="3" t="str">
        <x:v>CLEAR ACRYLIC FACETED BANGLE</x:v>
      </x:c>
      <x:c r="D3180" s="13" t="n">
        <x:v>61.56</x:v>
      </x:c>
      <x:c r="E3180" s="13" t="n">
        <x:v>0</x:v>
      </x:c>
      <x:c r="F3180" s="13" t="n">
        <x:f>D3180-E3180</x:f>
        <x:v>61.56</x:v>
      </x:c>
      <x:c r="G3180" s="3" t="n">
        <x:v>41</x:v>
      </x:c>
      <x:c r="H3180" s="3" t="n">
        <x:v>0</x:v>
      </x:c>
      <x:c r="I3180" s="3" t="n">
        <x:v>7</x:v>
      </x:c>
      <x:c r="J3180" s="15" t="n">
        <x:f>IF(D3180=0,"n.a.",E3180/D3180)</x:f>
        <x:v>0</x:v>
      </x:c>
      <x:c r="K3180" s="15" t="n">
        <x:f>F3180/'Datos'!$F$7</x:f>
        <x:v>0.000006286309614172976</x:v>
      </x:c>
      <x:c r="L3180" s="3"/>
    </x:row>
    <x:row r="3181" ht="22" customHeight="1">
      <x:c r="A3181" s="3"/>
      <x:c r="B3181" s="3" t="str">
        <x:v>85160B</x:v>
      </x:c>
      <x:c r="C3181" s="3" t="str">
        <x:v>BLACK BIRD GARDEN DESIGN MUG</x:v>
      </x:c>
      <x:c r="D3181" s="13" t="n">
        <x:v>62.24</x:v>
      </x:c>
      <x:c r="E3181" s="13" t="n">
        <x:v>0.78</x:v>
      </x:c>
      <x:c r="F3181" s="13" t="n">
        <x:f>D3181-E3181</x:f>
        <x:v>61.46</x:v>
      </x:c>
      <x:c r="G3181" s="3" t="n">
        <x:v>106</x:v>
      </x:c>
      <x:c r="H3181" s="3" t="n">
        <x:v>2</x:v>
      </x:c>
      <x:c r="I3181" s="3" t="n">
        <x:v>16</x:v>
      </x:c>
      <x:c r="J3181" s="15" t="n">
        <x:f>IF(D3181=0,"n.a.",E3181/D3181)</x:f>
        <x:v>0.012532133676092546</x:v>
      </x:c>
      <x:c r="K3181" s="15" t="n">
        <x:f>F3181/'Datos'!$F$7</x:f>
        <x:v>0.000006276097935137607</x:v>
      </x:c>
      <x:c r="L3181" s="3"/>
    </x:row>
    <x:row r="3182" ht="22" customHeight="1">
      <x:c r="A3182" s="3"/>
      <x:c r="B3182" s="3" t="str">
        <x:v>90087</x:v>
      </x:c>
      <x:c r="C3182" s="3" t="str">
        <x:v>CRYSTAL SEA HORSE PHONE CHARM</x:v>
      </x:c>
      <x:c r="D3182" s="13" t="n">
        <x:v>61.46</x:v>
      </x:c>
      <x:c r="E3182" s="13" t="n">
        <x:v>0</x:v>
      </x:c>
      <x:c r="F3182" s="13" t="n">
        <x:f>D3182-E3182</x:f>
        <x:v>61.46</x:v>
      </x:c>
      <x:c r="G3182" s="3" t="n">
        <x:v>107</x:v>
      </x:c>
      <x:c r="H3182" s="3" t="n">
        <x:v>0</x:v>
      </x:c>
      <x:c r="I3182" s="3" t="n">
        <x:v>25</x:v>
      </x:c>
      <x:c r="J3182" s="15" t="n">
        <x:f>IF(D3182=0,"n.a.",E3182/D3182)</x:f>
        <x:v>0</x:v>
      </x:c>
      <x:c r="K3182" s="15" t="n">
        <x:f>F3182/'Datos'!$F$7</x:f>
        <x:v>0.000006276097935137607</x:v>
      </x:c>
      <x:c r="L3182" s="3"/>
    </x:row>
    <x:row r="3183" ht="22" customHeight="1">
      <x:c r="A3183" s="3"/>
      <x:c r="B3183" s="3" t="str">
        <x:v>16151A</x:v>
      </x:c>
      <x:c r="C3183" s="3" t="str">
        <x:v>FLOWERS HANDBAG blue and orange</x:v>
      </x:c>
      <x:c r="D3183" s="13" t="n">
        <x:v>61.25</x:v>
      </x:c>
      <x:c r="E3183" s="13" t="n">
        <x:v>0</x:v>
      </x:c>
      <x:c r="F3183" s="13" t="n">
        <x:f>D3183-E3183</x:f>
        <x:v>61.25</x:v>
      </x:c>
      <x:c r="G3183" s="3" t="n">
        <x:v>49</x:v>
      </x:c>
      <x:c r="H3183" s="3" t="n">
        <x:v>0</x:v>
      </x:c>
      <x:c r="I3183" s="3" t="n">
        <x:v>3</x:v>
      </x:c>
      <x:c r="J3183" s="15" t="n">
        <x:f>IF(D3183=0,"n.a.",E3183/D3183)</x:f>
        <x:v>0</x:v>
      </x:c>
      <x:c r="K3183" s="15" t="n">
        <x:f>F3183/'Datos'!$F$7</x:f>
        <x:v>0.000006254653409163333</x:v>
      </x:c>
      <x:c r="L3183" s="3"/>
    </x:row>
    <x:row r="3184" ht="22" customHeight="1">
      <x:c r="A3184" s="3"/>
      <x:c r="B3184" s="3" t="str">
        <x:v>90183B</x:v>
      </x:c>
      <x:c r="C3184" s="3" t="str">
        <x:v>AMETHYST DROP EARRINGS W LONG BEADS</x:v>
      </x:c>
      <x:c r="D3184" s="13" t="n">
        <x:v>61.08</x:v>
      </x:c>
      <x:c r="E3184" s="13" t="n">
        <x:v>0</x:v>
      </x:c>
      <x:c r="F3184" s="13" t="n">
        <x:f>D3184-E3184</x:f>
        <x:v>61.08</x:v>
      </x:c>
      <x:c r="G3184" s="3" t="n">
        <x:v>21</x:v>
      </x:c>
      <x:c r="H3184" s="3" t="n">
        <x:v>0</x:v>
      </x:c>
      <x:c r="I3184" s="3" t="n">
        <x:v>17</x:v>
      </x:c>
      <x:c r="J3184" s="15" t="n">
        <x:f>IF(D3184=0,"n.a.",E3184/D3184)</x:f>
        <x:v>0</x:v>
      </x:c>
      <x:c r="K3184" s="15" t="n">
        <x:f>F3184/'Datos'!$F$7</x:f>
        <x:v>0.000006237293554803206</x:v>
      </x:c>
      <x:c r="L3184" s="3"/>
    </x:row>
    <x:row r="3185" ht="22" customHeight="1">
      <x:c r="A3185" s="3"/>
      <x:c r="B3185" s="3" t="str">
        <x:v>71495B</x:v>
      </x:c>
      <x:c r="C3185" s="3" t="str">
        <x:v>CD WALL TIDY RED FLOWERS</x:v>
      </x:c>
      <x:c r="D3185" s="13" t="n">
        <x:v>61.05</x:v>
      </x:c>
      <x:c r="E3185" s="13" t="n">
        <x:v>0</x:v>
      </x:c>
      <x:c r="F3185" s="13" t="n">
        <x:f>D3185-E3185</x:f>
        <x:v>61.05</x:v>
      </x:c>
      <x:c r="G3185" s="3" t="n">
        <x:v>163</x:v>
      </x:c>
      <x:c r="H3185" s="3" t="n">
        <x:v>0</x:v>
      </x:c>
      <x:c r="I3185" s="3" t="n">
        <x:v>8</x:v>
      </x:c>
      <x:c r="J3185" s="15" t="n">
        <x:f>IF(D3185=0,"n.a.",E3185/D3185)</x:f>
        <x:v>0</x:v>
      </x:c>
      <x:c r="K3185" s="15" t="n">
        <x:f>F3185/'Datos'!$F$7</x:f>
        <x:v>0.000006234230051092595</x:v>
      </x:c>
      <x:c r="L3185" s="3"/>
    </x:row>
    <x:row r="3186" ht="22" customHeight="1">
      <x:c r="A3186" s="3"/>
      <x:c r="B3186" s="3" t="str">
        <x:v>90065A</x:v>
      </x:c>
      <x:c r="C3186" s="3" t="str">
        <x:v>WHITE VINTAGE CRYSTAL BRACELET</x:v>
      </x:c>
      <x:c r="D3186" s="13" t="n">
        <x:v>60.75</x:v>
      </x:c>
      <x:c r="E3186" s="13" t="n">
        <x:v>0</x:v>
      </x:c>
      <x:c r="F3186" s="13" t="n">
        <x:f>D3186-E3186</x:f>
        <x:v>60.75</x:v>
      </x:c>
      <x:c r="G3186" s="3" t="n">
        <x:v>9</x:v>
      </x:c>
      <x:c r="H3186" s="3" t="n">
        <x:v>0</x:v>
      </x:c>
      <x:c r="I3186" s="3" t="n">
        <x:v>4</x:v>
      </x:c>
      <x:c r="J3186" s="15" t="n">
        <x:f>IF(D3186=0,"n.a.",E3186/D3186)</x:f>
        <x:v>0</x:v>
      </x:c>
      <x:c r="K3186" s="15" t="n">
        <x:f>F3186/'Datos'!$F$7</x:f>
        <x:v>0.000006203595013986489</x:v>
      </x:c>
      <x:c r="L3186" s="3"/>
    </x:row>
    <x:row r="3187" ht="22" customHeight="1">
      <x:c r="A3187" s="3"/>
      <x:c r="B3187" s="3" t="str">
        <x:v>90214K</x:v>
      </x:c>
      <x:c r="C3187" s="3" t="str">
        <x:v>LETTER "K" BLING KEY RING</x:v>
      </x:c>
      <x:c r="D3187" s="13" t="n">
        <x:v>60.7</x:v>
      </x:c>
      <x:c r="E3187" s="13" t="n">
        <x:v>0</x:v>
      </x:c>
      <x:c r="F3187" s="13" t="n">
        <x:f>D3187-E3187</x:f>
        <x:v>60.7</x:v>
      </x:c>
      <x:c r="G3187" s="3" t="n">
        <x:v>78</x:v>
      </x:c>
      <x:c r="H3187" s="3" t="n">
        <x:v>0</x:v>
      </x:c>
      <x:c r="I3187" s="3" t="n">
        <x:v>38</x:v>
      </x:c>
      <x:c r="J3187" s="15" t="n">
        <x:f>IF(D3187=0,"n.a.",E3187/D3187)</x:f>
        <x:v>0</x:v>
      </x:c>
      <x:c r="K3187" s="15" t="n">
        <x:f>F3187/'Datos'!$F$7</x:f>
        <x:v>0.0000061984891744688056</x:v>
      </x:c>
      <x:c r="L3187" s="3"/>
    </x:row>
    <x:row r="3188" ht="22" customHeight="1">
      <x:c r="A3188" s="3"/>
      <x:c r="B3188" s="3" t="str">
        <x:v>84984D</x:v>
      </x:c>
      <x:c r="C3188" s="3" t="str">
        <x:v>ORIENTAL RED CUSHION COVER</x:v>
      </x:c>
      <x:c r="D3188" s="13" t="n">
        <x:v>60.45</x:v>
      </x:c>
      <x:c r="E3188" s="13" t="n">
        <x:v>0</x:v>
      </x:c>
      <x:c r="F3188" s="13" t="n">
        <x:f>D3188-E3188</x:f>
        <x:v>60.45</x:v>
      </x:c>
      <x:c r="G3188" s="3" t="n">
        <x:v>13</x:v>
      </x:c>
      <x:c r="H3188" s="3" t="n">
        <x:v>0</x:v>
      </x:c>
      <x:c r="I3188" s="3" t="n">
        <x:v>4</x:v>
      </x:c>
      <x:c r="J3188" s="15" t="n">
        <x:f>IF(D3188=0,"n.a.",E3188/D3188)</x:f>
        <x:v>0</x:v>
      </x:c>
      <x:c r="K3188" s="15" t="n">
        <x:f>F3188/'Datos'!$F$7</x:f>
        <x:v>0.000006172959976880384</x:v>
      </x:c>
      <x:c r="L3188" s="3"/>
    </x:row>
    <x:row r="3189" ht="22" customHeight="1">
      <x:c r="A3189" s="3"/>
      <x:c r="B3189" s="3" t="str">
        <x:v>84805A</x:v>
      </x:c>
      <x:c r="C3189" s="3" t="str">
        <x:v>CREAM CLIMBING HYDRANGA ART FLOWER</x:v>
      </x:c>
      <x:c r="D3189" s="13" t="n">
        <x:v>60</x:v>
      </x:c>
      <x:c r="E3189" s="13" t="n">
        <x:v>0</x:v>
      </x:c>
      <x:c r="F3189" s="13" t="n">
        <x:f>D3189-E3189</x:f>
        <x:v>60</x:v>
      </x:c>
      <x:c r="G3189" s="3" t="n">
        <x:v>32</x:v>
      </x:c>
      <x:c r="H3189" s="3" t="n">
        <x:v>0</x:v>
      </x:c>
      <x:c r="I3189" s="3" t="n">
        <x:v>4</x:v>
      </x:c>
      <x:c r="J3189" s="15" t="n">
        <x:f>IF(D3189=0,"n.a.",E3189/D3189)</x:f>
        <x:v>0</x:v>
      </x:c>
      <x:c r="K3189" s="15" t="n">
        <x:f>F3189/'Datos'!$F$7</x:f>
        <x:v>0.000006127007421221224</x:v>
      </x:c>
      <x:c r="L3189" s="3"/>
    </x:row>
    <x:row r="3190" ht="22" customHeight="1">
      <x:c r="A3190" s="3"/>
      <x:c r="B3190" s="3" t="str">
        <x:v>90031</x:v>
      </x:c>
      <x:c r="C3190" s="3" t="str">
        <x:v>BILI NUT AND WOOD NECKLACE</x:v>
      </x:c>
      <x:c r="D3190" s="13" t="n">
        <x:v>59.89</x:v>
      </x:c>
      <x:c r="E3190" s="13" t="n">
        <x:v>0</x:v>
      </x:c>
      <x:c r="F3190" s="13" t="n">
        <x:f>D3190-E3190</x:f>
        <x:v>59.89</x:v>
      </x:c>
      <x:c r="G3190" s="3" t="n">
        <x:v>50</x:v>
      </x:c>
      <x:c r="H3190" s="3" t="n">
        <x:v>0</x:v>
      </x:c>
      <x:c r="I3190" s="3" t="n">
        <x:v>7</x:v>
      </x:c>
      <x:c r="J3190" s="15" t="n">
        <x:f>IF(D3190=0,"n.a.",E3190/D3190)</x:f>
        <x:v>0</x:v>
      </x:c>
      <x:c r="K3190" s="15" t="n">
        <x:f>F3190/'Datos'!$F$7</x:f>
        <x:v>0.000006115774574282319</x:v>
      </x:c>
      <x:c r="L3190" s="3"/>
    </x:row>
    <x:row r="3191" ht="22" customHeight="1">
      <x:c r="A3191" s="3"/>
      <x:c r="B3191" s="3" t="str">
        <x:v>90206A</x:v>
      </x:c>
      <x:c r="C3191" s="3" t="str">
        <x:v>GOLD DIAMANTE STAR BROOCH</x:v>
      </x:c>
      <x:c r="D3191" s="13" t="n">
        <x:v>59.8</x:v>
      </x:c>
      <x:c r="E3191" s="13" t="n">
        <x:v>0</x:v>
      </x:c>
      <x:c r="F3191" s="13" t="n">
        <x:f>D3191-E3191</x:f>
        <x:v>59.8</x:v>
      </x:c>
      <x:c r="G3191" s="3" t="n">
        <x:v>12</x:v>
      </x:c>
      <x:c r="H3191" s="3" t="n">
        <x:v>0</x:v>
      </x:c>
      <x:c r="I3191" s="3" t="n">
        <x:v>9</x:v>
      </x:c>
      <x:c r="J3191" s="15" t="n">
        <x:f>IF(D3191=0,"n.a.",E3191/D3191)</x:f>
        <x:v>0</x:v>
      </x:c>
      <x:c r="K3191" s="15" t="n">
        <x:f>F3191/'Datos'!$F$7</x:f>
        <x:v>0.000006106584063150486</x:v>
      </x:c>
      <x:c r="L3191" s="3"/>
    </x:row>
    <x:row r="3192" ht="22" customHeight="1">
      <x:c r="A3192" s="3"/>
      <x:c r="B3192" s="3" t="str">
        <x:v>23629</x:v>
      </x:c>
      <x:c r="C3192" s="3" t="str">
        <x:v>SET 10 CARDS DRESSING UP 17077</x:v>
      </x:c>
      <x:c r="D3192" s="13" t="n">
        <x:v>59.76</x:v>
      </x:c>
      <x:c r="E3192" s="13" t="n">
        <x:v>0</x:v>
      </x:c>
      <x:c r="F3192" s="13" t="n">
        <x:f>D3192-E3192</x:f>
        <x:v>59.76</x:v>
      </x:c>
      <x:c r="G3192" s="3" t="n">
        <x:v>24</x:v>
      </x:c>
      <x:c r="H3192" s="3" t="n">
        <x:v>0</x:v>
      </x:c>
      <x:c r="I3192" s="3" t="n">
        <x:v>10</x:v>
      </x:c>
      <x:c r="J3192" s="15" t="n">
        <x:f>IF(D3192=0,"n.a.",E3192/D3192)</x:f>
        <x:v>0</x:v>
      </x:c>
      <x:c r="K3192" s="15" t="n">
        <x:f>F3192/'Datos'!$F$7</x:f>
        <x:v>0.000006102499391536339</x:v>
      </x:c>
      <x:c r="L3192" s="3"/>
    </x:row>
    <x:row r="3193" ht="22" customHeight="1">
      <x:c r="A3193" s="3"/>
      <x:c r="B3193" s="3" t="str">
        <x:v>84452</x:v>
      </x:c>
      <x:c r="C3193" s="3" t="str">
        <x:v>METAL RABBIT LADDER EASTER</x:v>
      </x:c>
      <x:c r="D3193" s="13" t="n">
        <x:v>62.9</x:v>
      </x:c>
      <x:c r="E3193" s="13" t="n">
        <x:v>3.4</x:v>
      </x:c>
      <x:c r="F3193" s="13" t="n">
        <x:f>D3193-E3193</x:f>
        <x:v>59.5</x:v>
      </x:c>
      <x:c r="G3193" s="3" t="n">
        <x:v>74</x:v>
      </x:c>
      <x:c r="H3193" s="3" t="n">
        <x:v>4</x:v>
      </x:c>
      <x:c r="I3193" s="3" t="n">
        <x:v>16</x:v>
      </x:c>
      <x:c r="J3193" s="15" t="n">
        <x:f>IF(D3193=0,"n.a.",E3193/D3193)</x:f>
        <x:v>0.05405405405405406</x:v>
      </x:c>
      <x:c r="K3193" s="15" t="n">
        <x:f>F3193/'Datos'!$F$7</x:f>
        <x:v>0.000006075949026044381</x:v>
      </x:c>
      <x:c r="L3193" s="3"/>
    </x:row>
    <x:row r="3194" ht="22" customHeight="1">
      <x:c r="A3194" s="3"/>
      <x:c r="B3194" s="3" t="str">
        <x:v>84840</x:v>
      </x:c>
      <x:c r="C3194" s="3" t="str">
        <x:v>SWEETHEART CARRY-ALL BASKET</x:v>
      </x:c>
      <x:c r="D3194" s="13" t="n">
        <x:v>76.44</x:v>
      </x:c>
      <x:c r="E3194" s="13" t="n">
        <x:v>17</x:v>
      </x:c>
      <x:c r="F3194" s="13" t="n">
        <x:f>D3194-E3194</x:f>
        <x:v>59.44</x:v>
      </x:c>
      <x:c r="G3194" s="3" t="n">
        <x:v>6</x:v>
      </x:c>
      <x:c r="H3194" s="3" t="n">
        <x:v>2</x:v>
      </x:c>
      <x:c r="I3194" s="3" t="n">
        <x:v>6</x:v>
      </x:c>
      <x:c r="J3194" s="15" t="n">
        <x:f>IF(D3194=0,"n.a.",E3194/D3194)</x:f>
        <x:v>0.22239665096807953</x:v>
      </x:c>
      <x:c r="K3194" s="15" t="n">
        <x:f>F3194/'Datos'!$F$7</x:f>
        <x:v>0.000006069822018623159</x:v>
      </x:c>
      <x:c r="L3194" s="3"/>
    </x:row>
    <x:row r="3195" ht="22" customHeight="1">
      <x:c r="A3195" s="3"/>
      <x:c r="B3195" s="3" t="str">
        <x:v>21910</x:v>
      </x:c>
      <x:c r="C3195" s="3" t="str">
        <x:v>WAY OUT METAL SIGN</x:v>
      </x:c>
      <x:c r="D3195" s="13" t="n">
        <x:v>59.4</x:v>
      </x:c>
      <x:c r="E3195" s="13" t="n">
        <x:v>0</x:v>
      </x:c>
      <x:c r="F3195" s="13" t="n">
        <x:f>D3195-E3195</x:f>
        <x:v>59.4</x:v>
      </x:c>
      <x:c r="G3195" s="3" t="n">
        <x:v>36</x:v>
      </x:c>
      <x:c r="H3195" s="3" t="n">
        <x:v>0</x:v>
      </x:c>
      <x:c r="I3195" s="3" t="n">
        <x:v>8</x:v>
      </x:c>
      <x:c r="J3195" s="15" t="n">
        <x:f>IF(D3195=0,"n.a.",E3195/D3195)</x:f>
        <x:v>0</x:v>
      </x:c>
      <x:c r="K3195" s="15" t="n">
        <x:f>F3195/'Datos'!$F$7</x:f>
        <x:v>0.000006065737347009012</x:v>
      </x:c>
      <x:c r="L3195" s="3"/>
    </x:row>
    <x:row r="3196" ht="22" customHeight="1">
      <x:c r="A3196" s="3"/>
      <x:c r="B3196" s="3" t="str">
        <x:v>90118</x:v>
      </x:c>
      <x:c r="C3196" s="3" t="str">
        <x:v>PINK DAISY BAG CHARM</x:v>
      </x:c>
      <x:c r="D3196" s="13" t="n">
        <x:v>74.64</x:v>
      </x:c>
      <x:c r="E3196" s="13" t="n">
        <x:v>15.3</x:v>
      </x:c>
      <x:c r="F3196" s="13" t="n">
        <x:f>D3196-E3196</x:f>
        <x:v>59.34</x:v>
      </x:c>
      <x:c r="G3196" s="3" t="n">
        <x:v>30</x:v>
      </x:c>
      <x:c r="H3196" s="3" t="n">
        <x:v>6</x:v>
      </x:c>
      <x:c r="I3196" s="3" t="n">
        <x:v>19</x:v>
      </x:c>
      <x:c r="J3196" s="15" t="n">
        <x:f>IF(D3196=0,"n.a.",E3196/D3196)</x:f>
        <x:v>0.204983922829582</x:v>
      </x:c>
      <x:c r="K3196" s="15" t="n">
        <x:f>F3196/'Datos'!$F$7</x:f>
        <x:v>0.000006059610339587791</x:v>
      </x:c>
      <x:c r="L3196" s="3"/>
    </x:row>
    <x:row r="3197" ht="22" customHeight="1">
      <x:c r="A3197" s="3"/>
      <x:c r="B3197" s="3" t="str">
        <x:v>79071B</x:v>
      </x:c>
      <x:c r="C3197" s="3" t="str">
        <x:v>ENGLISH ROSE METAL WASTE BIN</x:v>
      </x:c>
      <x:c r="D3197" s="13" t="n">
        <x:v>59</x:v>
      </x:c>
      <x:c r="E3197" s="13" t="n">
        <x:v>0</x:v>
      </x:c>
      <x:c r="F3197" s="13" t="n">
        <x:f>D3197-E3197</x:f>
        <x:v>59</x:v>
      </x:c>
      <x:c r="G3197" s="3" t="n">
        <x:v>20</x:v>
      </x:c>
      <x:c r="H3197" s="3" t="n">
        <x:v>0</x:v>
      </x:c>
      <x:c r="I3197" s="3" t="n">
        <x:v>11</x:v>
      </x:c>
      <x:c r="J3197" s="15" t="n">
        <x:f>IF(D3197=0,"n.a.",E3197/D3197)</x:f>
        <x:v>0</x:v>
      </x:c>
      <x:c r="K3197" s="15" t="n">
        <x:f>F3197/'Datos'!$F$7</x:f>
        <x:v>0.000006024890630867537</x:v>
      </x:c>
      <x:c r="L3197" s="3"/>
    </x:row>
    <x:row r="3198" ht="22" customHeight="1">
      <x:c r="A3198" s="3"/>
      <x:c r="B3198" s="3" t="str">
        <x:v>90185B</x:v>
      </x:c>
      <x:c r="C3198" s="3" t="str">
        <x:v>AMETHYST DIAMANTE EXPANDABLE RING</x:v>
      </x:c>
      <x:c r="D3198" s="13" t="n">
        <x:v>97.02</x:v>
      </x:c>
      <x:c r="E3198" s="13" t="n">
        <x:v>38.25</x:v>
      </x:c>
      <x:c r="F3198" s="13" t="n">
        <x:f>D3198-E3198</x:f>
        <x:v>58.769999999999996</x:v>
      </x:c>
      <x:c r="G3198" s="3" t="n">
        <x:v>23</x:v>
      </x:c>
      <x:c r="H3198" s="3" t="n">
        <x:v>9</x:v>
      </x:c>
      <x:c r="I3198" s="3" t="n">
        <x:v>12</x:v>
      </x:c>
      <x:c r="J3198" s="15" t="n">
        <x:f>IF(D3198=0,"n.a.",E3198/D3198)</x:f>
        <x:v>0.3942486085343228</x:v>
      </x:c>
      <x:c r="K3198" s="15" t="n">
        <x:f>F3198/'Datos'!$F$7</x:f>
        <x:v>0.000006001403769086188</x:v>
      </x:c>
      <x:c r="L3198" s="3"/>
    </x:row>
    <x:row r="3199" ht="22" customHeight="1">
      <x:c r="A3199" s="3"/>
      <x:c r="B3199" s="3" t="str">
        <x:v>20760</x:v>
      </x:c>
      <x:c r="C3199" s="3" t="str">
        <x:v>GARDEN PATH POCKET BOOK</x:v>
      </x:c>
      <x:c r="D3199" s="13" t="n">
        <x:v>58.65</x:v>
      </x:c>
      <x:c r="E3199" s="13" t="n">
        <x:v>0</x:v>
      </x:c>
      <x:c r="F3199" s="13" t="n">
        <x:f>D3199-E3199</x:f>
        <x:v>58.65</x:v>
      </x:c>
      <x:c r="G3199" s="3" t="n">
        <x:v>69</x:v>
      </x:c>
      <x:c r="H3199" s="3" t="n">
        <x:v>0</x:v>
      </x:c>
      <x:c r="I3199" s="3" t="n">
        <x:v>21</x:v>
      </x:c>
      <x:c r="J3199" s="15" t="n">
        <x:f>IF(D3199=0,"n.a.",E3199/D3199)</x:f>
        <x:v>0</x:v>
      </x:c>
      <x:c r="K3199" s="15" t="n">
        <x:f>F3199/'Datos'!$F$7</x:f>
        <x:v>0.000005989149754243746</x:v>
      </x:c>
      <x:c r="L3199" s="3"/>
    </x:row>
    <x:row r="3200" ht="22" customHeight="1">
      <x:c r="A3200" s="3"/>
      <x:c r="B3200" s="3" t="str">
        <x:v>90098</x:v>
      </x:c>
      <x:c r="C3200" s="3" t="str">
        <x:v>NECKLACE+BRACELET PINK BUTTERFLY</x:v>
      </x:c>
      <x:c r="D3200" s="13" t="n">
        <x:v>73.95</x:v>
      </x:c>
      <x:c r="E3200" s="13" t="n">
        <x:v>15.3</x:v>
      </x:c>
      <x:c r="F3200" s="13" t="n">
        <x:f>D3200-E3200</x:f>
        <x:v>58.650000000000006</x:v>
      </x:c>
      <x:c r="G3200" s="3" t="n">
        <x:v>29</x:v>
      </x:c>
      <x:c r="H3200" s="3" t="n">
        <x:v>6</x:v>
      </x:c>
      <x:c r="I3200" s="3" t="n">
        <x:v>10</x:v>
      </x:c>
      <x:c r="J3200" s="15" t="n">
        <x:f>IF(D3200=0,"n.a.",E3200/D3200)</x:f>
        <x:v>0.20689655172413793</x:v>
      </x:c>
      <x:c r="K3200" s="15" t="n">
        <x:f>F3200/'Datos'!$F$7</x:f>
        <x:v>0.000005989149754243747</x:v>
      </x:c>
      <x:c r="L3200" s="3"/>
    </x:row>
    <x:row r="3201" ht="22" customHeight="1">
      <x:c r="A3201" s="3"/>
      <x:c r="B3201" s="3" t="str">
        <x:v>72134</x:v>
      </x:c>
      <x:c r="C3201" s="3" t="str">
        <x:v>COLUMBIAN CUBE CANDLE</x:v>
      </x:c>
      <x:c r="D3201" s="13" t="n">
        <x:v>58.62</x:v>
      </x:c>
      <x:c r="E3201" s="13" t="n">
        <x:v>0</x:v>
      </x:c>
      <x:c r="F3201" s="13" t="n">
        <x:f>D3201-E3201</x:f>
        <x:v>58.62</x:v>
      </x:c>
      <x:c r="G3201" s="3" t="n">
        <x:v>105</x:v>
      </x:c>
      <x:c r="H3201" s="3" t="n">
        <x:v>0</x:v>
      </x:c>
      <x:c r="I3201" s="3" t="n">
        <x:v>11</x:v>
      </x:c>
      <x:c r="J3201" s="15" t="n">
        <x:f>IF(D3201=0,"n.a.",E3201/D3201)</x:f>
        <x:v>0</x:v>
      </x:c>
      <x:c r="K3201" s="15" t="n">
        <x:f>F3201/'Datos'!$F$7</x:f>
        <x:v>0.000005986086250533135</x:v>
      </x:c>
      <x:c r="L3201" s="3"/>
    </x:row>
    <x:row r="3202" ht="22" customHeight="1">
      <x:c r="A3202" s="3"/>
      <x:c r="B3202" s="3" t="str">
        <x:v>90177C</x:v>
      </x:c>
      <x:c r="C3202" s="3" t="str">
        <x:v>DROP DIAMANTE EARRINGS CRYSTAL</x:v>
      </x:c>
      <x:c r="D3202" s="13" t="n">
        <x:v>76.23</x:v>
      </x:c>
      <x:c r="E3202" s="13" t="n">
        <x:v>17.7</x:v>
      </x:c>
      <x:c r="F3202" s="13" t="n">
        <x:f>D3202-E3202</x:f>
        <x:v>58.53</x:v>
      </x:c>
      <x:c r="G3202" s="3" t="n">
        <x:v>26</x:v>
      </x:c>
      <x:c r="H3202" s="3" t="n">
        <x:v>6</x:v>
      </x:c>
      <x:c r="I3202" s="3" t="n">
        <x:v>14</x:v>
      </x:c>
      <x:c r="J3202" s="15" t="n">
        <x:f>IF(D3202=0,"n.a.",E3202/D3202)</x:f>
        <x:v>0.23219205037386853</x:v>
      </x:c>
      <x:c r="K3202" s="15" t="n">
        <x:f>F3202/'Datos'!$F$7</x:f>
        <x:v>0.000005976895739401304</x:v>
      </x:c>
      <x:c r="L3202" s="3"/>
    </x:row>
    <x:row r="3203" ht="22" customHeight="1">
      <x:c r="A3203" s="3"/>
      <x:c r="B3203" s="3" t="str">
        <x:v>90190C</x:v>
      </x:c>
      <x:c r="C3203" s="3" t="str">
        <x:v>SILVER/AMETHYST DROP EARRINGS LEAF</x:v>
      </x:c>
      <x:c r="D3203" s="13" t="n">
        <x:v>58.43</x:v>
      </x:c>
      <x:c r="E3203" s="13" t="n">
        <x:v>0</x:v>
      </x:c>
      <x:c r="F3203" s="13" t="n">
        <x:f>D3203-E3203</x:f>
        <x:v>58.43</x:v>
      </x:c>
      <x:c r="G3203" s="3" t="n">
        <x:v>20</x:v>
      </x:c>
      <x:c r="H3203" s="3" t="n">
        <x:v>0</x:v>
      </x:c>
      <x:c r="I3203" s="3" t="n">
        <x:v>19</x:v>
      </x:c>
      <x:c r="J3203" s="15" t="n">
        <x:f>IF(D3203=0,"n.a.",E3203/D3203)</x:f>
        <x:v>0</x:v>
      </x:c>
      <x:c r="K3203" s="15" t="n">
        <x:f>F3203/'Datos'!$F$7</x:f>
        <x:v>0.000005966684060365935</x:v>
      </x:c>
      <x:c r="L3203" s="3"/>
    </x:row>
    <x:row r="3204" ht="22" customHeight="1">
      <x:c r="A3204" s="3"/>
      <x:c r="B3204" s="3" t="str">
        <x:v>84877A</x:v>
      </x:c>
      <x:c r="C3204" s="3" t="str">
        <x:v>PINK ROUND COMPACT MIRROR</x:v>
      </x:c>
      <x:c r="D3204" s="13" t="n">
        <x:v>58.16</x:v>
      </x:c>
      <x:c r="E3204" s="13" t="n">
        <x:v>0</x:v>
      </x:c>
      <x:c r="F3204" s="13" t="n">
        <x:f>D3204-E3204</x:f>
        <x:v>58.16</x:v>
      </x:c>
      <x:c r="G3204" s="3" t="n">
        <x:v>40</x:v>
      </x:c>
      <x:c r="H3204" s="3" t="n">
        <x:v>0</x:v>
      </x:c>
      <x:c r="I3204" s="3" t="n">
        <x:v>4</x:v>
      </x:c>
      <x:c r="J3204" s="15" t="n">
        <x:f>IF(D3204=0,"n.a.",E3204/D3204)</x:f>
        <x:v>0</x:v>
      </x:c>
      <x:c r="K3204" s="15" t="n">
        <x:f>F3204/'Datos'!$F$7</x:f>
        <x:v>0.000005939112526970439</x:v>
      </x:c>
      <x:c r="L3204" s="3"/>
    </x:row>
    <x:row r="3205" ht="22" customHeight="1">
      <x:c r="A3205" s="3"/>
      <x:c r="B3205" s="3" t="str">
        <x:v>71406C</x:v>
      </x:c>
      <x:c r="C3205" s="3" t="str">
        <x:v>BLACK ORANGE SQUEEZER</x:v>
      </x:c>
      <x:c r="D3205" s="13" t="n">
        <x:v>57.96</x:v>
      </x:c>
      <x:c r="E3205" s="13" t="n">
        <x:v>0</x:v>
      </x:c>
      <x:c r="F3205" s="13" t="n">
        <x:f>D3205-E3205</x:f>
        <x:v>57.96</x:v>
      </x:c>
      <x:c r="G3205" s="3" t="n">
        <x:v>138</x:v>
      </x:c>
      <x:c r="H3205" s="3" t="n">
        <x:v>0</x:v>
      </x:c>
      <x:c r="I3205" s="3" t="n">
        <x:v>21</x:v>
      </x:c>
      <x:c r="J3205" s="15" t="n">
        <x:f>IF(D3205=0,"n.a.",E3205/D3205)</x:f>
        <x:v>0</x:v>
      </x:c>
      <x:c r="K3205" s="15" t="n">
        <x:f>F3205/'Datos'!$F$7</x:f>
        <x:v>0.000005918689168899703</x:v>
      </x:c>
      <x:c r="L3205" s="3"/>
    </x:row>
    <x:row r="3206" ht="22" customHeight="1">
      <x:c r="A3206" s="3"/>
      <x:c r="B3206" s="3" t="str">
        <x:v>16046</x:v>
      </x:c>
      <x:c r="C3206" s="3" t="str">
        <x:v>TEATIME PEN CASE &amp; PENS</x:v>
      </x:c>
      <x:c r="D3206" s="13" t="n">
        <x:v>57.8</x:v>
      </x:c>
      <x:c r="E3206" s="13" t="n">
        <x:v>0</x:v>
      </x:c>
      <x:c r="F3206" s="13" t="n">
        <x:f>D3206-E3206</x:f>
        <x:v>57.8</x:v>
      </x:c>
      <x:c r="G3206" s="3" t="n">
        <x:v>68</x:v>
      </x:c>
      <x:c r="H3206" s="3" t="n">
        <x:v>0</x:v>
      </x:c>
      <x:c r="I3206" s="3" t="n">
        <x:v>14</x:v>
      </x:c>
      <x:c r="J3206" s="15" t="n">
        <x:f>IF(D3206=0,"n.a.",E3206/D3206)</x:f>
        <x:v>0</x:v>
      </x:c>
      <x:c r="K3206" s="15" t="n">
        <x:f>F3206/'Datos'!$F$7</x:f>
        <x:v>0.000005902350482443112</x:v>
      </x:c>
      <x:c r="L3206" s="3"/>
    </x:row>
    <x:row r="3207" ht="22" customHeight="1">
      <x:c r="A3207" s="3"/>
      <x:c r="B3207" s="3" t="str">
        <x:v>90210A</x:v>
      </x:c>
      <x:c r="C3207" s="3" t="str">
        <x:v>GREY ACRYLIC FACETED BANGLE</x:v>
      </x:c>
      <x:c r="D3207" s="13" t="n">
        <x:v>57.55</x:v>
      </x:c>
      <x:c r="E3207" s="13" t="n">
        <x:v>0</x:v>
      </x:c>
      <x:c r="F3207" s="13" t="n">
        <x:f>D3207-E3207</x:f>
        <x:v>57.55</x:v>
      </x:c>
      <x:c r="G3207" s="3" t="n">
        <x:v>34</x:v>
      </x:c>
      <x:c r="H3207" s="3" t="n">
        <x:v>0</x:v>
      </x:c>
      <x:c r="I3207" s="3" t="n">
        <x:v>10</x:v>
      </x:c>
      <x:c r="J3207" s="15" t="n">
        <x:f>IF(D3207=0,"n.a.",E3207/D3207)</x:f>
        <x:v>0</x:v>
      </x:c>
      <x:c r="K3207" s="15" t="n">
        <x:f>F3207/'Datos'!$F$7</x:f>
        <x:v>0.00000587682128485469</x:v>
      </x:c>
      <x:c r="L3207" s="3"/>
    </x:row>
    <x:row r="3208" ht="22" customHeight="1">
      <x:c r="A3208" s="3"/>
      <x:c r="B3208" s="3" t="str">
        <x:v>84466</x:v>
      </x:c>
      <x:c r="C3208" s="3" t="str">
        <x:v>TOP SECRET PEN SET</x:v>
      </x:c>
      <x:c r="D3208" s="13" t="n">
        <x:v>57.5</x:v>
      </x:c>
      <x:c r="E3208" s="13" t="n">
        <x:v>0</x:v>
      </x:c>
      <x:c r="F3208" s="13" t="n">
        <x:f>D3208-E3208</x:f>
        <x:v>57.5</x:v>
      </x:c>
      <x:c r="G3208" s="3" t="n">
        <x:v>46</x:v>
      </x:c>
      <x:c r="H3208" s="3" t="n">
        <x:v>0</x:v>
      </x:c>
      <x:c r="I3208" s="3" t="n">
        <x:v>10</x:v>
      </x:c>
      <x:c r="J3208" s="15" t="n">
        <x:f>IF(D3208=0,"n.a.",E3208/D3208)</x:f>
        <x:v>0</x:v>
      </x:c>
      <x:c r="K3208" s="15" t="n">
        <x:f>F3208/'Datos'!$F$7</x:f>
        <x:v>0.0000058717154453370065</x:v>
      </x:c>
      <x:c r="L3208" s="3"/>
    </x:row>
    <x:row r="3209" ht="22" customHeight="1">
      <x:c r="A3209" s="3"/>
      <x:c r="B3209" s="3" t="str">
        <x:v>84597C</x:v>
      </x:c>
      <x:c r="C3209" s="3" t="str">
        <x:v>RETRO PINK BALL ASHTRAY</x:v>
      </x:c>
      <x:c r="D3209" s="13" t="n">
        <x:v>57.5</x:v>
      </x:c>
      <x:c r="E3209" s="13" t="n">
        <x:v>0</x:v>
      </x:c>
      <x:c r="F3209" s="13" t="n">
        <x:f>D3209-E3209</x:f>
        <x:v>57.5</x:v>
      </x:c>
      <x:c r="G3209" s="3" t="n">
        <x:v>46</x:v>
      </x:c>
      <x:c r="H3209" s="3" t="n">
        <x:v>0</x:v>
      </x:c>
      <x:c r="I3209" s="3" t="n">
        <x:v>13</x:v>
      </x:c>
      <x:c r="J3209" s="15" t="n">
        <x:f>IF(D3209=0,"n.a.",E3209/D3209)</x:f>
        <x:v>0</x:v>
      </x:c>
      <x:c r="K3209" s="15" t="n">
        <x:f>F3209/'Datos'!$F$7</x:f>
        <x:v>0.0000058717154453370065</x:v>
      </x:c>
      <x:c r="L3209" s="3"/>
    </x:row>
    <x:row r="3210" ht="22" customHeight="1">
      <x:c r="A3210" s="3"/>
      <x:c r="B3210" s="3" t="str">
        <x:v>85006</x:v>
      </x:c>
      <x:c r="C3210" s="3" t="str">
        <x:v>SET 4 NURSERY DES ROUND BOXES</x:v>
      </x:c>
      <x:c r="D3210" s="13" t="n">
        <x:v>57.25</x:v>
      </x:c>
      <x:c r="E3210" s="13" t="n">
        <x:v>0</x:v>
      </x:c>
      <x:c r="F3210" s="13" t="n">
        <x:f>D3210-E3210</x:f>
        <x:v>57.25</x:v>
      </x:c>
      <x:c r="G3210" s="3" t="n">
        <x:v>55</x:v>
      </x:c>
      <x:c r="H3210" s="3" t="n">
        <x:v>0</x:v>
      </x:c>
      <x:c r="I3210" s="3" t="n">
        <x:v>9</x:v>
      </x:c>
      <x:c r="J3210" s="15" t="n">
        <x:f>IF(D3210=0,"n.a.",E3210/D3210)</x:f>
        <x:v>0</x:v>
      </x:c>
      <x:c r="K3210" s="15" t="n">
        <x:f>F3210/'Datos'!$F$7</x:f>
        <x:v>0.000005846186247748585</x:v>
      </x:c>
      <x:c r="L3210" s="3"/>
    </x:row>
    <x:row r="3211" ht="22" customHeight="1">
      <x:c r="A3211" s="3"/>
      <x:c r="B3211" s="3" t="str">
        <x:v>90214J</x:v>
      </x:c>
      <x:c r="C3211" s="3" t="str">
        <x:v>LETTER "J" BLING KEY RING</x:v>
      </x:c>
      <x:c r="D3211" s="13" t="n">
        <x:v>57.21</x:v>
      </x:c>
      <x:c r="E3211" s="13" t="n">
        <x:v>0</x:v>
      </x:c>
      <x:c r="F3211" s="13" t="n">
        <x:f>D3211-E3211</x:f>
        <x:v>57.21</x:v>
      </x:c>
      <x:c r="G3211" s="3" t="n">
        <x:v>71</x:v>
      </x:c>
      <x:c r="H3211" s="3" t="n">
        <x:v>0</x:v>
      </x:c>
      <x:c r="I3211" s="3" t="n">
        <x:v>41</x:v>
      </x:c>
      <x:c r="J3211" s="15" t="n">
        <x:f>IF(D3211=0,"n.a.",E3211/D3211)</x:f>
        <x:v>0</x:v>
      </x:c>
      <x:c r="K3211" s="15" t="n">
        <x:f>F3211/'Datos'!$F$7</x:f>
        <x:v>0.000005842101576134437</x:v>
      </x:c>
      <x:c r="L3211" s="3"/>
    </x:row>
    <x:row r="3212" ht="22" customHeight="1">
      <x:c r="A3212" s="3"/>
      <x:c r="B3212" s="3" t="str">
        <x:v>21460</x:v>
      </x:c>
      <x:c r="C3212" s="3" t="str">
        <x:v>GREEN EASTER EGG HUNT START POST</x:v>
      </x:c>
      <x:c r="D3212" s="13" t="n">
        <x:v>56.78</x:v>
      </x:c>
      <x:c r="E3212" s="13" t="n">
        <x:v>0</x:v>
      </x:c>
      <x:c r="F3212" s="13" t="n">
        <x:f>D3212-E3212</x:f>
        <x:v>56.78</x:v>
      </x:c>
      <x:c r="G3212" s="3" t="n">
        <x:v>28</x:v>
      </x:c>
      <x:c r="H3212" s="3" t="n">
        <x:v>0</x:v>
      </x:c>
      <x:c r="I3212" s="3" t="n">
        <x:v>11</x:v>
      </x:c>
      <x:c r="J3212" s="15" t="n">
        <x:f>IF(D3212=0,"n.a.",E3212/D3212)</x:f>
        <x:v>0</x:v>
      </x:c>
      <x:c r="K3212" s="15" t="n">
        <x:f>F3212/'Datos'!$F$7</x:f>
        <x:v>0.000005798191356282352</x:v>
      </x:c>
      <x:c r="L3212" s="3"/>
    </x:row>
    <x:row r="3213" ht="22" customHeight="1">
      <x:c r="A3213" s="3"/>
      <x:c r="B3213" s="3" t="str">
        <x:v>90199B</x:v>
      </x:c>
      <x:c r="C3213" s="3" t="str">
        <x:v>5 STRAND GLASS NECKLACE AMETHYST</x:v>
      </x:c>
      <x:c r="D3213" s="13" t="n">
        <x:v>56.59</x:v>
      </x:c>
      <x:c r="E3213" s="13" t="n">
        <x:v>0</x:v>
      </x:c>
      <x:c r="F3213" s="13" t="n">
        <x:f>D3213-E3213</x:f>
        <x:v>56.59</x:v>
      </x:c>
      <x:c r="G3213" s="3" t="n">
        <x:v>9</x:v>
      </x:c>
      <x:c r="H3213" s="3" t="n">
        <x:v>0</x:v>
      </x:c>
      <x:c r="I3213" s="3" t="n">
        <x:v>8</x:v>
      </x:c>
      <x:c r="J3213" s="15" t="n">
        <x:f>IF(D3213=0,"n.a.",E3213/D3213)</x:f>
        <x:v>0</x:v>
      </x:c>
      <x:c r="K3213" s="15" t="n">
        <x:f>F3213/'Datos'!$F$7</x:f>
        <x:v>0.000005778789166115151</x:v>
      </x:c>
      <x:c r="L3213" s="3"/>
    </x:row>
    <x:row r="3214" ht="22" customHeight="1">
      <x:c r="A3214" s="3"/>
      <x:c r="B3214" s="3" t="str">
        <x:v>44236</x:v>
      </x:c>
      <x:c r="C3214" s="3" t="str">
        <x:v>PINK/PURPLE CIRCLE CURTAIN</x:v>
      </x:c>
      <x:c r="D3214" s="13" t="n">
        <x:v>56.52</x:v>
      </x:c>
      <x:c r="E3214" s="13" t="n">
        <x:v>0</x:v>
      </x:c>
      <x:c r="F3214" s="13" t="n">
        <x:f>D3214-E3214</x:f>
        <x:v>56.52</x:v>
      </x:c>
      <x:c r="G3214" s="3" t="n">
        <x:v>52</x:v>
      </x:c>
      <x:c r="H3214" s="3" t="n">
        <x:v>0</x:v>
      </x:c>
      <x:c r="I3214" s="3" t="n">
        <x:v>6</x:v>
      </x:c>
      <x:c r="J3214" s="15" t="n">
        <x:f>IF(D3214=0,"n.a.",E3214/D3214)</x:f>
        <x:v>0</x:v>
      </x:c>
      <x:c r="K3214" s="15" t="n">
        <x:f>F3214/'Datos'!$F$7</x:f>
        <x:v>0.000005771640990790393</x:v>
      </x:c>
      <x:c r="L3214" s="3"/>
    </x:row>
    <x:row r="3215" ht="22" customHeight="1">
      <x:c r="A3215" s="3"/>
      <x:c r="B3215" s="3" t="str">
        <x:v>47341B</x:v>
      </x:c>
      <x:c r="C3215" s="3" t="str">
        <x:v>BLUE TABLE RUN FLOWER</x:v>
      </x:c>
      <x:c r="D3215" s="13" t="n">
        <x:v>56.25</x:v>
      </x:c>
      <x:c r="E3215" s="13" t="n">
        <x:v>0</x:v>
      </x:c>
      <x:c r="F3215" s="13" t="n">
        <x:f>D3215-E3215</x:f>
        <x:v>56.25</x:v>
      </x:c>
      <x:c r="G3215" s="3" t="n">
        <x:v>45</x:v>
      </x:c>
      <x:c r="H3215" s="3" t="n">
        <x:v>0</x:v>
      </x:c>
      <x:c r="I3215" s="3" t="n">
        <x:v>11</x:v>
      </x:c>
      <x:c r="J3215" s="15" t="n">
        <x:f>IF(D3215=0,"n.a.",E3215/D3215)</x:f>
        <x:v>0</x:v>
      </x:c>
      <x:c r="K3215" s="15" t="n">
        <x:f>F3215/'Datos'!$F$7</x:f>
        <x:v>0.000005744069457394897</x:v>
      </x:c>
      <x:c r="L3215" s="3"/>
    </x:row>
    <x:row r="3216" ht="22" customHeight="1">
      <x:c r="A3216" s="3"/>
      <x:c r="B3216" s="3" t="str">
        <x:v>90038A</x:v>
      </x:c>
      <x:c r="C3216" s="3" t="str">
        <x:v>GLASS AND PAINTED BEADS BRACELET TO</x:v>
      </x:c>
      <x:c r="D3216" s="13" t="n">
        <x:v>56.15</x:v>
      </x:c>
      <x:c r="E3216" s="13" t="n">
        <x:v>0</x:v>
      </x:c>
      <x:c r="F3216" s="13" t="n">
        <x:f>D3216-E3216</x:f>
        <x:v>56.15</x:v>
      </x:c>
      <x:c r="G3216" s="3" t="n">
        <x:v>15</x:v>
      </x:c>
      <x:c r="H3216" s="3" t="n">
        <x:v>0</x:v>
      </x:c>
      <x:c r="I3216" s="3" t="n">
        <x:v>10</x:v>
      </x:c>
      <x:c r="J3216" s="15" t="n">
        <x:f>IF(D3216=0,"n.a.",E3216/D3216)</x:f>
        <x:v>0</x:v>
      </x:c>
      <x:c r="K3216" s="15" t="n">
        <x:f>F3216/'Datos'!$F$7</x:f>
        <x:v>0.0000057338577783595284</x:v>
      </x:c>
      <x:c r="L3216" s="3"/>
    </x:row>
    <x:row r="3217" ht="22" customHeight="1">
      <x:c r="A3217" s="3"/>
      <x:c r="B3217" s="3" t="str">
        <x:v>90177D</x:v>
      </x:c>
      <x:c r="C3217" s="3" t="str">
        <x:v>DROP DIAMANTE EARRINGS PURPLE</x:v>
      </x:c>
      <x:c r="D3217" s="13" t="n">
        <x:v>73.53</x:v>
      </x:c>
      <x:c r="E3217" s="13" t="n">
        <x:v>17.7</x:v>
      </x:c>
      <x:c r="F3217" s="13" t="n">
        <x:f>D3217-E3217</x:f>
        <x:v>55.83</x:v>
      </x:c>
      <x:c r="G3217" s="3" t="n">
        <x:v>25</x:v>
      </x:c>
      <x:c r="H3217" s="3" t="n">
        <x:v>6</x:v>
      </x:c>
      <x:c r="I3217" s="3" t="n">
        <x:v>14</x:v>
      </x:c>
      <x:c r="J3217" s="15" t="n">
        <x:f>IF(D3217=0,"n.a.",E3217/D3217)</x:f>
        <x:v>0.24071807425540595</x:v>
      </x:c>
      <x:c r="K3217" s="15" t="n">
        <x:f>F3217/'Datos'!$F$7</x:f>
        <x:v>0.000005701180405446349</x:v>
      </x:c>
      <x:c r="L3217" s="3"/>
    </x:row>
    <x:row r="3218" ht="22" customHeight="1">
      <x:c r="A3218" s="3"/>
      <x:c r="B3218" s="3" t="str">
        <x:v>84679</x:v>
      </x:c>
      <x:c r="C3218" s="3" t="str">
        <x:v>CLASSICAL ROSE TABLE LAMP</x:v>
      </x:c>
      <x:c r="D3218" s="13" t="n">
        <x:v>55.7</x:v>
      </x:c>
      <x:c r="E3218" s="13" t="n">
        <x:v>0</x:v>
      </x:c>
      <x:c r="F3218" s="13" t="n">
        <x:f>D3218-E3218</x:f>
        <x:v>55.7</x:v>
      </x:c>
      <x:c r="G3218" s="3" t="n">
        <x:v>6</x:v>
      </x:c>
      <x:c r="H3218" s="3" t="n">
        <x:v>0</x:v>
      </x:c>
      <x:c r="I3218" s="3" t="n">
        <x:v>2</x:v>
      </x:c>
      <x:c r="J3218" s="15" t="n">
        <x:f>IF(D3218=0,"n.a.",E3218/D3218)</x:f>
        <x:v>0</x:v>
      </x:c>
      <x:c r="K3218" s="15" t="n">
        <x:f>F3218/'Datos'!$F$7</x:f>
        <x:v>0.00000568790522270037</x:v>
      </x:c>
      <x:c r="L3218" s="3"/>
    </x:row>
    <x:row r="3219" ht="22" customHeight="1">
      <x:c r="A3219" s="3"/>
      <x:c r="B3219" s="3" t="str">
        <x:v>21777</x:v>
      </x:c>
      <x:c r="C3219" s="3" t="str">
        <x:v>RECIPE BOX WITH METAL HEART</x:v>
      </x:c>
      <x:c r="D3219" s="13" t="n">
        <x:v>95.4</x:v>
      </x:c>
      <x:c r="E3219" s="13" t="n">
        <x:v>39.75</x:v>
      </x:c>
      <x:c r="F3219" s="13" t="n">
        <x:f>D3219-E3219</x:f>
        <x:v>55.650000000000006</x:v>
      </x:c>
      <x:c r="G3219" s="3" t="n">
        <x:v>12</x:v>
      </x:c>
      <x:c r="H3219" s="3" t="n">
        <x:v>5</x:v>
      </x:c>
      <x:c r="I3219" s="3" t="n">
        <x:v>6</x:v>
      </x:c>
      <x:c r="J3219" s="15" t="n">
        <x:f>IF(D3219=0,"n.a.",E3219/D3219)</x:f>
        <x:v>0.41666666666666663</x:v>
      </x:c>
      <x:c r="K3219" s="15" t="n">
        <x:f>F3219/'Datos'!$F$7</x:f>
        <x:v>0.0000056827993831826855</x:v>
      </x:c>
      <x:c r="L3219" s="3"/>
    </x:row>
    <x:row r="3220" ht="22" customHeight="1">
      <x:c r="A3220" s="3"/>
      <x:c r="B3220" s="3" t="str">
        <x:v>90023</x:v>
      </x:c>
      <x:c r="C3220" s="3" t="str">
        <x:v>FILIGREE DIAMANTE EARRINGS</x:v>
      </x:c>
      <x:c r="D3220" s="13" t="n">
        <x:v>55.02</x:v>
      </x:c>
      <x:c r="E3220" s="13" t="n">
        <x:v>0</x:v>
      </x:c>
      <x:c r="F3220" s="13" t="n">
        <x:f>D3220-E3220</x:f>
        <x:v>55.02</x:v>
      </x:c>
      <x:c r="G3220" s="3" t="n">
        <x:v>13</x:v>
      </x:c>
      <x:c r="H3220" s="3" t="n">
        <x:v>0</x:v>
      </x:c>
      <x:c r="I3220" s="3" t="n">
        <x:v>9</x:v>
      </x:c>
      <x:c r="J3220" s="15" t="n">
        <x:f>IF(D3220=0,"n.a.",E3220/D3220)</x:f>
        <x:v>0</x:v>
      </x:c>
      <x:c r="K3220" s="15" t="n">
        <x:f>F3220/'Datos'!$F$7</x:f>
        <x:v>0.000005618465805259863</x:v>
      </x:c>
      <x:c r="L3220" s="3"/>
    </x:row>
    <x:row r="3221" ht="22" customHeight="1">
      <x:c r="A3221" s="3"/>
      <x:c r="B3221" s="3" t="str">
        <x:v>90071</x:v>
      </x:c>
      <x:c r="C3221" s="3" t="str">
        <x:v>RUBY GLASS CLUSTER EARRINGS</x:v>
      </x:c>
      <x:c r="D3221" s="13" t="n">
        <x:v>54.62</x:v>
      </x:c>
      <x:c r="E3221" s="13" t="n">
        <x:v>0</x:v>
      </x:c>
      <x:c r="F3221" s="13" t="n">
        <x:f>D3221-E3221</x:f>
        <x:v>54.62</x:v>
      </x:c>
      <x:c r="G3221" s="3" t="n">
        <x:v>44</x:v>
      </x:c>
      <x:c r="H3221" s="3" t="n">
        <x:v>0</x:v>
      </x:c>
      <x:c r="I3221" s="3" t="n">
        <x:v>33</x:v>
      </x:c>
      <x:c r="J3221" s="15" t="n">
        <x:f>IF(D3221=0,"n.a.",E3221/D3221)</x:f>
        <x:v>0</x:v>
      </x:c>
      <x:c r="K3221" s="15" t="n">
        <x:f>F3221/'Datos'!$F$7</x:f>
        <x:v>0.000005577619089118387</x:v>
      </x:c>
      <x:c r="L3221" s="3"/>
    </x:row>
    <x:row r="3222" ht="22" customHeight="1">
      <x:c r="A3222" s="3"/>
      <x:c r="B3222" s="3" t="str">
        <x:v>72132</x:v>
      </x:c>
      <x:c r="C3222" s="3" t="str">
        <x:v>COLUMBIAN CUBE CANDLE</x:v>
      </x:c>
      <x:c r="D3222" s="13" t="n">
        <x:v>54.6</x:v>
      </x:c>
      <x:c r="E3222" s="13" t="n">
        <x:v>0</x:v>
      </x:c>
      <x:c r="F3222" s="13" t="n">
        <x:f>D3222-E3222</x:f>
        <x:v>54.6</x:v>
      </x:c>
      <x:c r="G3222" s="3" t="n">
        <x:v>28</x:v>
      </x:c>
      <x:c r="H3222" s="3" t="n">
        <x:v>0</x:v>
      </x:c>
      <x:c r="I3222" s="3" t="n">
        <x:v>12</x:v>
      </x:c>
      <x:c r="J3222" s="15" t="n">
        <x:f>IF(D3222=0,"n.a.",E3222/D3222)</x:f>
        <x:v>0</x:v>
      </x:c>
      <x:c r="K3222" s="15" t="n">
        <x:f>F3222/'Datos'!$F$7</x:f>
        <x:v>0.000005575576753311314</x:v>
      </x:c>
      <x:c r="L3222" s="3"/>
    </x:row>
    <x:row r="3223" ht="22" customHeight="1">
      <x:c r="A3223" s="3"/>
      <x:c r="B3223" s="3" t="str">
        <x:v>84750B</x:v>
      </x:c>
      <x:c r="C3223" s="3" t="str">
        <x:v>BLACK SMALL GLASS CAKE STAND</x:v>
      </x:c>
      <x:c r="D3223" s="13" t="n">
        <x:v>54.99</x:v>
      </x:c>
      <x:c r="E3223" s="13" t="n">
        <x:v>0.39</x:v>
      </x:c>
      <x:c r="F3223" s="13" t="n">
        <x:f>D3223-E3223</x:f>
        <x:v>54.6</x:v>
      </x:c>
      <x:c r="G3223" s="3" t="n">
        <x:v>61</x:v>
      </x:c>
      <x:c r="H3223" s="3" t="n">
        <x:v>1</x:v>
      </x:c>
      <x:c r="I3223" s="3" t="n">
        <x:v>12</x:v>
      </x:c>
      <x:c r="J3223" s="15" t="n">
        <x:f>IF(D3223=0,"n.a.",E3223/D3223)</x:f>
        <x:v>0.0070921985815602835</x:v>
      </x:c>
      <x:c r="K3223" s="15" t="n">
        <x:f>F3223/'Datos'!$F$7</x:f>
        <x:v>0.000005575576753311314</x:v>
      </x:c>
      <x:c r="L3223" s="3"/>
    </x:row>
    <x:row r="3224" ht="22" customHeight="1">
      <x:c r="A3224" s="3"/>
      <x:c r="B3224" s="3" t="str">
        <x:v>21336</x:v>
      </x:c>
      <x:c r="C3224" s="3" t="str">
        <x:v>GOLD WASHBAG</x:v>
      </x:c>
      <x:c r="D3224" s="13" t="n">
        <x:v>54.57</x:v>
      </x:c>
      <x:c r="E3224" s="13" t="n">
        <x:v>0</x:v>
      </x:c>
      <x:c r="F3224" s="13" t="n">
        <x:f>D3224-E3224</x:f>
        <x:v>54.57</x:v>
      </x:c>
      <x:c r="G3224" s="3" t="n">
        <x:v>27</x:v>
      </x:c>
      <x:c r="H3224" s="3" t="n">
        <x:v>0</x:v>
      </x:c>
      <x:c r="I3224" s="3" t="n">
        <x:v>10</x:v>
      </x:c>
      <x:c r="J3224" s="15" t="n">
        <x:f>IF(D3224=0,"n.a.",E3224/D3224)</x:f>
        <x:v>0</x:v>
      </x:c>
      <x:c r="K3224" s="15" t="n">
        <x:f>F3224/'Datos'!$F$7</x:f>
        <x:v>0.000005572513249600704</x:v>
      </x:c>
      <x:c r="L3224" s="3"/>
    </x:row>
    <x:row r="3225" ht="22" customHeight="1">
      <x:c r="A3225" s="3"/>
      <x:c r="B3225" s="3" t="str">
        <x:v>90040C</x:v>
      </x:c>
      <x:c r="C3225" s="3" t="str">
        <x:v>MURANO STYLE GLASS BRACELET GOLD</x:v>
      </x:c>
      <x:c r="D3225" s="13" t="n">
        <x:v>54.42</x:v>
      </x:c>
      <x:c r="E3225" s="13" t="n">
        <x:v>0</x:v>
      </x:c>
      <x:c r="F3225" s="13" t="n">
        <x:f>D3225-E3225</x:f>
        <x:v>54.42</x:v>
      </x:c>
      <x:c r="G3225" s="3" t="n">
        <x:v>15</x:v>
      </x:c>
      <x:c r="H3225" s="3" t="n">
        <x:v>0</x:v>
      </x:c>
      <x:c r="I3225" s="3" t="n">
        <x:v>10</x:v>
      </x:c>
      <x:c r="J3225" s="15" t="n">
        <x:f>IF(D3225=0,"n.a.",E3225/D3225)</x:f>
        <x:v>0</x:v>
      </x:c>
      <x:c r="K3225" s="15" t="n">
        <x:f>F3225/'Datos'!$F$7</x:f>
        <x:v>0.0000055571957310476505</x:v>
      </x:c>
      <x:c r="L3225" s="3"/>
    </x:row>
    <x:row r="3226" ht="22" customHeight="1">
      <x:c r="A3226" s="3"/>
      <x:c r="B3226" s="3" t="str">
        <x:v>20759</x:v>
      </x:c>
      <x:c r="C3226" s="3" t="str">
        <x:v>CHRYSANTHEMUM POCKET BOOK</x:v>
      </x:c>
      <x:c r="D3226" s="13" t="n">
        <x:v>54.4</x:v>
      </x:c>
      <x:c r="E3226" s="13" t="n">
        <x:v>0</x:v>
      </x:c>
      <x:c r="F3226" s="13" t="n">
        <x:f>D3226-E3226</x:f>
        <x:v>54.4</x:v>
      </x:c>
      <x:c r="G3226" s="3" t="n">
        <x:v>64</x:v>
      </x:c>
      <x:c r="H3226" s="3" t="n">
        <x:v>0</x:v>
      </x:c>
      <x:c r="I3226" s="3" t="n">
        <x:v>20</x:v>
      </x:c>
      <x:c r="J3226" s="15" t="n">
        <x:f>IF(D3226=0,"n.a.",E3226/D3226)</x:f>
        <x:v>0</x:v>
      </x:c>
      <x:c r="K3226" s="15" t="n">
        <x:f>F3226/'Datos'!$F$7</x:f>
        <x:v>0.000005555153395240576</x:v>
      </x:c>
      <x:c r="L3226" s="3"/>
    </x:row>
    <x:row r="3227" ht="22" customHeight="1">
      <x:c r="A3227" s="3"/>
      <x:c r="B3227" s="3" t="str">
        <x:v>90040A</x:v>
      </x:c>
      <x:c r="C3227" s="3" t="str">
        <x:v>MURANO STYLE GLASS BRACELET RED</x:v>
      </x:c>
      <x:c r="D3227" s="13" t="n">
        <x:v>54.29</x:v>
      </x:c>
      <x:c r="E3227" s="13" t="n">
        <x:v>0</x:v>
      </x:c>
      <x:c r="F3227" s="13" t="n">
        <x:f>D3227-E3227</x:f>
        <x:v>54.29</x:v>
      </x:c>
      <x:c r="G3227" s="3" t="n">
        <x:v>14</x:v>
      </x:c>
      <x:c r="H3227" s="3" t="n">
        <x:v>0</x:v>
      </x:c>
      <x:c r="I3227" s="3" t="n">
        <x:v>5</x:v>
      </x:c>
      <x:c r="J3227" s="15" t="n">
        <x:f>IF(D3227=0,"n.a.",E3227/D3227)</x:f>
        <x:v>0</x:v>
      </x:c>
      <x:c r="K3227" s="15" t="n">
        <x:f>F3227/'Datos'!$F$7</x:f>
        <x:v>0.000005543920548301671</x:v>
      </x:c>
      <x:c r="L3227" s="3"/>
    </x:row>
    <x:row r="3228" ht="22" customHeight="1">
      <x:c r="A3228" s="3"/>
      <x:c r="B3228" s="3" t="str">
        <x:v>84534B</x:v>
      </x:c>
      <x:c r="C3228" s="3" t="str">
        <x:v>FAIRY CAKE NOTEBOOK A5 SIZE</x:v>
      </x:c>
      <x:c r="D3228" s="13" t="n">
        <x:v>54.04</x:v>
      </x:c>
      <x:c r="E3228" s="13" t="n">
        <x:v>0</x:v>
      </x:c>
      <x:c r="F3228" s="13" t="n">
        <x:f>D3228-E3228</x:f>
        <x:v>54.04</x:v>
      </x:c>
      <x:c r="G3228" s="3" t="n">
        <x:v>55</x:v>
      </x:c>
      <x:c r="H3228" s="3" t="n">
        <x:v>0</x:v>
      </x:c>
      <x:c r="I3228" s="3" t="n">
        <x:v>12</x:v>
      </x:c>
      <x:c r="J3228" s="15" t="n">
        <x:f>IF(D3228=0,"n.a.",E3228/D3228)</x:f>
        <x:v>0</x:v>
      </x:c>
      <x:c r="K3228" s="15" t="n">
        <x:f>F3228/'Datos'!$F$7</x:f>
        <x:v>0.000005518391350713249</x:v>
      </x:c>
      <x:c r="L3228" s="3"/>
    </x:row>
    <x:row r="3229" ht="22" customHeight="1">
      <x:c r="A3229" s="3"/>
      <x:c r="B3229" s="3" t="str">
        <x:v>84251C</x:v>
      </x:c>
      <x:c r="C3229" s="3" t="str">
        <x:v>GREETING CARD, TWO SISTERS.</x:v>
      </x:c>
      <x:c r="D3229" s="13" t="n">
        <x:v>53.88</x:v>
      </x:c>
      <x:c r="E3229" s="13" t="n">
        <x:v>0</x:v>
      </x:c>
      <x:c r="F3229" s="13" t="n">
        <x:f>D3229-E3229</x:f>
        <x:v>53.88</x:v>
      </x:c>
      <x:c r="G3229" s="3" t="n">
        <x:v>127</x:v>
      </x:c>
      <x:c r="H3229" s="3" t="n">
        <x:v>0</x:v>
      </x:c>
      <x:c r="I3229" s="3" t="n">
        <x:v>40</x:v>
      </x:c>
      <x:c r="J3229" s="15" t="n">
        <x:f>IF(D3229=0,"n.a.",E3229/D3229)</x:f>
        <x:v>0</x:v>
      </x:c>
      <x:c r="K3229" s="15" t="n">
        <x:f>F3229/'Datos'!$F$7</x:f>
        <x:v>0.000005502052664256659</x:v>
      </x:c>
      <x:c r="L3229" s="3"/>
    </x:row>
    <x:row r="3230" ht="22" customHeight="1">
      <x:c r="A3230" s="3"/>
      <x:c r="B3230" s="3" t="str">
        <x:v>90012A</x:v>
      </x:c>
      <x:c r="C3230" s="3" t="str">
        <x:v>MIDNIGHT BLUE DROP CRYSTAL NECKLACE</x:v>
      </x:c>
      <x:c r="D3230" s="13" t="n">
        <x:v>53.76</x:v>
      </x:c>
      <x:c r="E3230" s="13" t="n">
        <x:v>0</x:v>
      </x:c>
      <x:c r="F3230" s="13" t="n">
        <x:f>D3230-E3230</x:f>
        <x:v>53.76</x:v>
      </x:c>
      <x:c r="G3230" s="3" t="n">
        <x:v>11</x:v>
      </x:c>
      <x:c r="H3230" s="3" t="n">
        <x:v>0</x:v>
      </x:c>
      <x:c r="I3230" s="3" t="n">
        <x:v>5</x:v>
      </x:c>
      <x:c r="J3230" s="15" t="n">
        <x:f>IF(D3230=0,"n.a.",E3230/D3230)</x:f>
        <x:v>0</x:v>
      </x:c>
      <x:c r="K3230" s="15" t="n">
        <x:f>F3230/'Datos'!$F$7</x:f>
        <x:v>0.000005489798649414217</x:v>
      </x:c>
      <x:c r="L3230" s="3"/>
    </x:row>
    <x:row r="3231" ht="22" customHeight="1">
      <x:c r="A3231" s="3"/>
      <x:c r="B3231" s="3" t="str">
        <x:v>84985A</x:v>
      </x:c>
      <x:c r="C3231" s="3" t="str">
        <x:v>SET OF 72 GREEN PAPER DOILIES</x:v>
      </x:c>
      <x:c r="D3231" s="13" t="n">
        <x:v>60.9</x:v>
      </x:c>
      <x:c r="E3231" s="13" t="n">
        <x:v>7.25</x:v>
      </x:c>
      <x:c r="F3231" s="13" t="n">
        <x:f>D3231-E3231</x:f>
        <x:v>53.65</x:v>
      </x:c>
      <x:c r="G3231" s="3" t="n">
        <x:v>42</x:v>
      </x:c>
      <x:c r="H3231" s="3" t="n">
        <x:v>5</x:v>
      </x:c>
      <x:c r="I3231" s="3" t="n">
        <x:v>18</x:v>
      </x:c>
      <x:c r="J3231" s="15" t="n">
        <x:f>IF(D3231=0,"n.a.",E3231/D3231)</x:f>
        <x:v>0.11904761904761905</x:v>
      </x:c>
      <x:c r="K3231" s="15" t="n">
        <x:f>F3231/'Datos'!$F$7</x:f>
        <x:v>0.000005478565802475311</x:v>
      </x:c>
      <x:c r="L3231" s="3"/>
    </x:row>
    <x:row r="3232" ht="22" customHeight="1">
      <x:c r="A3232" s="3"/>
      <x:c r="B3232" s="3" t="str">
        <x:v>90035A</x:v>
      </x:c>
      <x:c r="C3232" s="3" t="str">
        <x:v>PEARL &amp; SHELL 42"NECKL. GREEN</x:v>
      </x:c>
      <x:c r="D3232" s="13" t="n">
        <x:v>53.62</x:v>
      </x:c>
      <x:c r="E3232" s="13" t="n">
        <x:v>0</x:v>
      </x:c>
      <x:c r="F3232" s="13" t="n">
        <x:f>D3232-E3232</x:f>
        <x:v>53.62</x:v>
      </x:c>
      <x:c r="G3232" s="3" t="n">
        <x:v>5</x:v>
      </x:c>
      <x:c r="H3232" s="3" t="n">
        <x:v>0</x:v>
      </x:c>
      <x:c r="I3232" s="3" t="n">
        <x:v>3</x:v>
      </x:c>
      <x:c r="J3232" s="15" t="n">
        <x:f>IF(D3232=0,"n.a.",E3232/D3232)</x:f>
        <x:v>0</x:v>
      </x:c>
      <x:c r="K3232" s="15" t="n">
        <x:f>F3232/'Datos'!$F$7</x:f>
        <x:v>0.0000054755022987647005</x:v>
      </x:c>
      <x:c r="L3232" s="3"/>
    </x:row>
    <x:row r="3233" ht="22" customHeight="1">
      <x:c r="A3233" s="3"/>
      <x:c r="B3233" s="3" t="str">
        <x:v>20697</x:v>
      </x:c>
      <x:c r="C3233" s="3" t="str">
        <x:v>LITTLE GREEN MONSTER SOFT TOY</x:v>
      </x:c>
      <x:c r="D3233" s="13" t="n">
        <x:v>53.55</x:v>
      </x:c>
      <x:c r="E3233" s="13" t="n">
        <x:v>0</x:v>
      </x:c>
      <x:c r="F3233" s="13" t="n">
        <x:f>D3233-E3233</x:f>
        <x:v>53.55</x:v>
      </x:c>
      <x:c r="G3233" s="3" t="n">
        <x:v>21</x:v>
      </x:c>
      <x:c r="H3233" s="3" t="n">
        <x:v>0</x:v>
      </x:c>
      <x:c r="I3233" s="3" t="n">
        <x:v>11</x:v>
      </x:c>
      <x:c r="J3233" s="15" t="n">
        <x:f>IF(D3233=0,"n.a.",E3233/D3233)</x:f>
        <x:v>0</x:v>
      </x:c>
      <x:c r="K3233" s="15" t="n">
        <x:f>F3233/'Datos'!$F$7</x:f>
        <x:v>0.000005468354123439942</x:v>
      </x:c>
      <x:c r="L3233" s="3"/>
    </x:row>
    <x:row r="3234" ht="22" customHeight="1">
      <x:c r="A3234" s="3"/>
      <x:c r="B3234" s="3" t="str">
        <x:v>20756</x:v>
      </x:c>
      <x:c r="C3234" s="3" t="str">
        <x:v>GREEN FERN POCKET BOOK</x:v>
      </x:c>
      <x:c r="D3234" s="13" t="n">
        <x:v>53.55</x:v>
      </x:c>
      <x:c r="E3234" s="13" t="n">
        <x:v>0</x:v>
      </x:c>
      <x:c r="F3234" s="13" t="n">
        <x:f>D3234-E3234</x:f>
        <x:v>53.55</x:v>
      </x:c>
      <x:c r="G3234" s="3" t="n">
        <x:v>63</x:v>
      </x:c>
      <x:c r="H3234" s="3" t="n">
        <x:v>0</x:v>
      </x:c>
      <x:c r="I3234" s="3" t="n">
        <x:v>22</x:v>
      </x:c>
      <x:c r="J3234" s="15" t="n">
        <x:f>IF(D3234=0,"n.a.",E3234/D3234)</x:f>
        <x:v>0</x:v>
      </x:c>
      <x:c r="K3234" s="15" t="n">
        <x:f>F3234/'Datos'!$F$7</x:f>
        <x:v>0.000005468354123439942</x:v>
      </x:c>
      <x:c r="L3234" s="3"/>
    </x:row>
    <x:row r="3235" ht="22" customHeight="1">
      <x:c r="A3235" s="3"/>
      <x:c r="B3235" s="3" t="str">
        <x:v>20851</x:v>
      </x:c>
      <x:c r="C3235" s="3" t="str">
        <x:v>ZINC HEART LATTICE TRAY OVAL</x:v>
      </x:c>
      <x:c r="D3235" s="13" t="n">
        <x:v>53.55</x:v>
      </x:c>
      <x:c r="E3235" s="13" t="n">
        <x:v>0</x:v>
      </x:c>
      <x:c r="F3235" s="13" t="n">
        <x:f>D3235-E3235</x:f>
        <x:v>53.55</x:v>
      </x:c>
      <x:c r="G3235" s="3" t="n">
        <x:v>9</x:v>
      </x:c>
      <x:c r="H3235" s="3" t="n">
        <x:v>0</x:v>
      </x:c>
      <x:c r="I3235" s="3" t="n">
        <x:v>7</x:v>
      </x:c>
      <x:c r="J3235" s="15" t="n">
        <x:f>IF(D3235=0,"n.a.",E3235/D3235)</x:f>
        <x:v>0</x:v>
      </x:c>
      <x:c r="K3235" s="15" t="n">
        <x:f>F3235/'Datos'!$F$7</x:f>
        <x:v>0.000005468354123439942</x:v>
      </x:c>
      <x:c r="L3235" s="3"/>
    </x:row>
    <x:row r="3236" ht="22" customHeight="1">
      <x:c r="A3236" s="3"/>
      <x:c r="B3236" s="3" t="str">
        <x:v>47586A</x:v>
      </x:c>
      <x:c r="C3236" s="3" t="str">
        <x:v>PINK FAIRY CAKE CUSHION COVER</x:v>
      </x:c>
      <x:c r="D3236" s="13" t="n">
        <x:v>53.55</x:v>
      </x:c>
      <x:c r="E3236" s="13" t="n">
        <x:v>0</x:v>
      </x:c>
      <x:c r="F3236" s="13" t="n">
        <x:f>D3236-E3236</x:f>
        <x:v>53.55</x:v>
      </x:c>
      <x:c r="G3236" s="3" t="n">
        <x:v>21</x:v>
      </x:c>
      <x:c r="H3236" s="3" t="n">
        <x:v>0</x:v>
      </x:c>
      <x:c r="I3236" s="3" t="n">
        <x:v>8</x:v>
      </x:c>
      <x:c r="J3236" s="15" t="n">
        <x:f>IF(D3236=0,"n.a.",E3236/D3236)</x:f>
        <x:v>0</x:v>
      </x:c>
      <x:c r="K3236" s="15" t="n">
        <x:f>F3236/'Datos'!$F$7</x:f>
        <x:v>0.000005468354123439942</x:v>
      </x:c>
      <x:c r="L3236" s="3"/>
    </x:row>
    <x:row r="3237" ht="22" customHeight="1">
      <x:c r="A3237" s="3"/>
      <x:c r="B3237" s="3" t="str">
        <x:v>90123B</x:v>
      </x:c>
      <x:c r="C3237" s="3" t="str">
        <x:v>TURQUOISE HEART OF GLASS BRACELET</x:v>
      </x:c>
      <x:c r="D3237" s="13" t="n">
        <x:v>53.42</x:v>
      </x:c>
      <x:c r="E3237" s="13" t="n">
        <x:v>0</x:v>
      </x:c>
      <x:c r="F3237" s="13" t="n">
        <x:f>D3237-E3237</x:f>
        <x:v>53.42</x:v>
      </x:c>
      <x:c r="G3237" s="3" t="n">
        <x:v>9</x:v>
      </x:c>
      <x:c r="H3237" s="3" t="n">
        <x:v>0</x:v>
      </x:c>
      <x:c r="I3237" s="3" t="n">
        <x:v>5</x:v>
      </x:c>
      <x:c r="J3237" s="15" t="n">
        <x:f>IF(D3237=0,"n.a.",E3237/D3237)</x:f>
        <x:v>0</x:v>
      </x:c>
      <x:c r="K3237" s="15" t="n">
        <x:f>F3237/'Datos'!$F$7</x:f>
        <x:v>0.000005455078940693963</x:v>
      </x:c>
      <x:c r="L3237" s="3"/>
    </x:row>
    <x:row r="3238" ht="22" customHeight="1">
      <x:c r="A3238" s="3"/>
      <x:c r="B3238" s="3" t="str">
        <x:v>90214E</x:v>
      </x:c>
      <x:c r="C3238" s="3" t="str">
        <x:v>LETTER "E" BLING KEY RING</x:v>
      </x:c>
      <x:c r="D3238" s="13" t="n">
        <x:v>53.2</x:v>
      </x:c>
      <x:c r="E3238" s="13" t="n">
        <x:v>0</x:v>
      </x:c>
      <x:c r="F3238" s="13" t="n">
        <x:f>D3238-E3238</x:f>
        <x:v>53.2</x:v>
      </x:c>
      <x:c r="G3238" s="3" t="n">
        <x:v>72</x:v>
      </x:c>
      <x:c r="H3238" s="3" t="n">
        <x:v>0</x:v>
      </x:c>
      <x:c r="I3238" s="3" t="n">
        <x:v>30</x:v>
      </x:c>
      <x:c r="J3238" s="15" t="n">
        <x:f>IF(D3238=0,"n.a.",E3238/D3238)</x:f>
        <x:v>0</x:v>
      </x:c>
      <x:c r="K3238" s="15" t="n">
        <x:f>F3238/'Datos'!$F$7</x:f>
        <x:v>0.000005432613246816152</x:v>
      </x:c>
      <x:c r="L3238" s="3"/>
    </x:row>
    <x:row r="3239" ht="22" customHeight="1">
      <x:c r="A3239" s="3"/>
      <x:c r="B3239" s="3" t="str">
        <x:v>90163B</x:v>
      </x:c>
      <x:c r="C3239" s="3" t="str">
        <x:v>WHITE ROSEBUD &amp; PEARL NECKLACE</x:v>
      </x:c>
      <x:c r="D3239" s="13" t="n">
        <x:v>52.72</x:v>
      </x:c>
      <x:c r="E3239" s="13" t="n">
        <x:v>0</x:v>
      </x:c>
      <x:c r="F3239" s="13" t="n">
        <x:f>D3239-E3239</x:f>
        <x:v>52.72</x:v>
      </x:c>
      <x:c r="G3239" s="3" t="n">
        <x:v>7</x:v>
      </x:c>
      <x:c r="H3239" s="3" t="n">
        <x:v>0</x:v>
      </x:c>
      <x:c r="I3239" s="3" t="n">
        <x:v>5</x:v>
      </x:c>
      <x:c r="J3239" s="15" t="n">
        <x:f>IF(D3239=0,"n.a.",E3239/D3239)</x:f>
        <x:v>0</x:v>
      </x:c>
      <x:c r="K3239" s="15" t="n">
        <x:f>F3239/'Datos'!$F$7</x:f>
        <x:v>0.000005383597187446382</x:v>
      </x:c>
      <x:c r="L3239" s="3"/>
    </x:row>
    <x:row r="3240" ht="22" customHeight="1">
      <x:c r="A3240" s="3"/>
      <x:c r="B3240" s="3" t="str">
        <x:v>84805B</x:v>
      </x:c>
      <x:c r="C3240" s="3" t="str">
        <x:v>BLUE CLIMBING HYDRANGA ART FLOWER</x:v>
      </x:c>
      <x:c r="D3240" s="13" t="n">
        <x:v>52.5</x:v>
      </x:c>
      <x:c r="E3240" s="13" t="n">
        <x:v>0</x:v>
      </x:c>
      <x:c r="F3240" s="13" t="n">
        <x:f>D3240-E3240</x:f>
        <x:v>52.5</x:v>
      </x:c>
      <x:c r="G3240" s="3" t="n">
        <x:v>38</x:v>
      </x:c>
      <x:c r="H3240" s="3" t="n">
        <x:v>0</x:v>
      </x:c>
      <x:c r="I3240" s="3" t="n">
        <x:v>3</x:v>
      </x:c>
      <x:c r="J3240" s="15" t="n">
        <x:f>IF(D3240=0,"n.a.",E3240/D3240)</x:f>
        <x:v>0</x:v>
      </x:c>
      <x:c r="K3240" s="15" t="n">
        <x:f>F3240/'Datos'!$F$7</x:f>
        <x:v>0.000005361131493568571</x:v>
      </x:c>
      <x:c r="L3240" s="3"/>
    </x:row>
    <x:row r="3241" ht="22" customHeight="1">
      <x:c r="A3241" s="3"/>
      <x:c r="B3241" s="3" t="str">
        <x:v>84842</x:v>
      </x:c>
      <x:c r="C3241" s="3" t="str">
        <x:v>HELLO SAILOR BATHROOM SET</x:v>
      </x:c>
      <x:c r="D3241" s="13" t="n">
        <x:v>52.5</x:v>
      </x:c>
      <x:c r="E3241" s="13" t="n">
        <x:v>0</x:v>
      </x:c>
      <x:c r="F3241" s="13" t="n">
        <x:f>D3241-E3241</x:f>
        <x:v>52.5</x:v>
      </x:c>
      <x:c r="G3241" s="3" t="n">
        <x:v>14</x:v>
      </x:c>
      <x:c r="H3241" s="3" t="n">
        <x:v>0</x:v>
      </x:c>
      <x:c r="I3241" s="3" t="n">
        <x:v>9</x:v>
      </x:c>
      <x:c r="J3241" s="15" t="n">
        <x:f>IF(D3241=0,"n.a.",E3241/D3241)</x:f>
        <x:v>0</x:v>
      </x:c>
      <x:c r="K3241" s="15" t="n">
        <x:f>F3241/'Datos'!$F$7</x:f>
        <x:v>0.000005361131493568571</x:v>
      </x:c>
      <x:c r="L3241" s="3"/>
    </x:row>
    <x:row r="3242" ht="22" customHeight="1">
      <x:c r="A3242" s="3"/>
      <x:c r="B3242" s="3" t="str">
        <x:v>90138</x:v>
      </x:c>
      <x:c r="C3242" s="3" t="str">
        <x:v>WHITE/PINK MINI CRYSTALS NECKLACE</x:v>
      </x:c>
      <x:c r="D3242" s="13" t="n">
        <x:v>52.42</x:v>
      </x:c>
      <x:c r="E3242" s="13" t="n">
        <x:v>0</x:v>
      </x:c>
      <x:c r="F3242" s="13" t="n">
        <x:f>D3242-E3242</x:f>
        <x:v>52.42</x:v>
      </x:c>
      <x:c r="G3242" s="3" t="n">
        <x:v>10</x:v>
      </x:c>
      <x:c r="H3242" s="3" t="n">
        <x:v>0</x:v>
      </x:c>
      <x:c r="I3242" s="3" t="n">
        <x:v>7</x:v>
      </x:c>
      <x:c r="J3242" s="15" t="n">
        <x:f>IF(D3242=0,"n.a.",E3242/D3242)</x:f>
        <x:v>0</x:v>
      </x:c>
      <x:c r="K3242" s="15" t="n">
        <x:f>F3242/'Datos'!$F$7</x:f>
        <x:v>0.000005352962150340276</x:v>
      </x:c>
      <x:c r="L3242" s="3"/>
    </x:row>
    <x:row r="3243" ht="22" customHeight="1">
      <x:c r="A3243" s="3"/>
      <x:c r="B3243" s="3" t="str">
        <x:v>90141C</x:v>
      </x:c>
      <x:c r="C3243" s="3" t="str">
        <x:v>TURQ PENDANT TRIPLE SHELL NECKLACE</x:v>
      </x:c>
      <x:c r="D3243" s="13" t="n">
        <x:v>52.31</x:v>
      </x:c>
      <x:c r="E3243" s="13" t="n">
        <x:v>0</x:v>
      </x:c>
      <x:c r="F3243" s="13" t="n">
        <x:f>D3243-E3243</x:f>
        <x:v>52.31</x:v>
      </x:c>
      <x:c r="G3243" s="3" t="n">
        <x:v>10</x:v>
      </x:c>
      <x:c r="H3243" s="3" t="n">
        <x:v>0</x:v>
      </x:c>
      <x:c r="I3243" s="3" t="n">
        <x:v>8</x:v>
      </x:c>
      <x:c r="J3243" s="15" t="n">
        <x:f>IF(D3243=0,"n.a.",E3243/D3243)</x:f>
        <x:v>0</x:v>
      </x:c>
      <x:c r="K3243" s="15" t="n">
        <x:f>F3243/'Datos'!$F$7</x:f>
        <x:v>0.000005341729303401371</x:v>
      </x:c>
      <x:c r="L3243" s="3"/>
    </x:row>
    <x:row r="3244" ht="22" customHeight="1">
      <x:c r="A3244" s="3"/>
      <x:c r="B3244" s="3" t="str">
        <x:v>35265</x:v>
      </x:c>
      <x:c r="C3244" s="3" t="str">
        <x:v>COLOURFUL FLOWER FRUIT BOWL</x:v>
      </x:c>
      <x:c r="D3244" s="13" t="n">
        <x:v>52.2</x:v>
      </x:c>
      <x:c r="E3244" s="13" t="n">
        <x:v>0</x:v>
      </x:c>
      <x:c r="F3244" s="13" t="n">
        <x:f>D3244-E3244</x:f>
        <x:v>52.2</x:v>
      </x:c>
      <x:c r="G3244" s="3" t="n">
        <x:v>17</x:v>
      </x:c>
      <x:c r="H3244" s="3" t="n">
        <x:v>0</x:v>
      </x:c>
      <x:c r="I3244" s="3" t="n">
        <x:v>12</x:v>
      </x:c>
      <x:c r="J3244" s="15" t="n">
        <x:f>IF(D3244=0,"n.a.",E3244/D3244)</x:f>
        <x:v>0</x:v>
      </x:c>
      <x:c r="K3244" s="15" t="n">
        <x:f>F3244/'Datos'!$F$7</x:f>
        <x:v>0.0000053304964564624655</x:v>
      </x:c>
      <x:c r="L3244" s="3"/>
    </x:row>
    <x:row r="3245" ht="22" customHeight="1">
      <x:c r="A3245" s="3"/>
      <x:c r="B3245" s="3" t="str">
        <x:v>85028S</x:v>
      </x:c>
      <x:c r="C3245" s="3" t="str">
        <x:v>FRENCH CHATEAU SMALL FRUITBOWL</x:v>
      </x:c>
      <x:c r="D3245" s="13" t="n">
        <x:v>51.6</x:v>
      </x:c>
      <x:c r="E3245" s="13" t="n">
        <x:v>0</x:v>
      </x:c>
      <x:c r="F3245" s="13" t="n">
        <x:f>D3245-E3245</x:f>
        <x:v>51.6</x:v>
      </x:c>
      <x:c r="G3245" s="3" t="n">
        <x:v>24</x:v>
      </x:c>
      <x:c r="H3245" s="3" t="n">
        <x:v>0</x:v>
      </x:c>
      <x:c r="I3245" s="3" t="n">
        <x:v>8</x:v>
      </x:c>
      <x:c r="J3245" s="15" t="n">
        <x:f>IF(D3245=0,"n.a.",E3245/D3245)</x:f>
        <x:v>0</x:v>
      </x:c>
      <x:c r="K3245" s="15" t="n">
        <x:f>F3245/'Datos'!$F$7</x:f>
        <x:v>0.000005269226382250253</x:v>
      </x:c>
      <x:c r="L3245" s="3"/>
    </x:row>
    <x:row r="3246" ht="22" customHeight="1">
      <x:c r="A3246" s="3"/>
      <x:c r="B3246" s="3" t="str">
        <x:v>90205A</x:v>
      </x:c>
      <x:c r="C3246" s="3" t="str">
        <x:v>LARGE MINT DIAMANTE HAIRSLIDE</x:v>
      </x:c>
      <x:c r="D3246" s="13" t="n">
        <x:v>51.51</x:v>
      </x:c>
      <x:c r="E3246" s="13" t="n">
        <x:v>0</x:v>
      </x:c>
      <x:c r="F3246" s="13" t="n">
        <x:f>D3246-E3246</x:f>
        <x:v>51.51</x:v>
      </x:c>
      <x:c r="G3246" s="3" t="n">
        <x:v>31</x:v>
      </x:c>
      <x:c r="H3246" s="3" t="n">
        <x:v>0</x:v>
      </x:c>
      <x:c r="I3246" s="3" t="n">
        <x:v>16</x:v>
      </x:c>
      <x:c r="J3246" s="15" t="n">
        <x:f>IF(D3246=0,"n.a.",E3246/D3246)</x:f>
        <x:v>0</x:v>
      </x:c>
      <x:c r="K3246" s="15" t="n">
        <x:f>F3246/'Datos'!$F$7</x:f>
        <x:v>0.000005260035871118421</x:v>
      </x:c>
      <x:c r="L3246" s="3"/>
    </x:row>
    <x:row r="3247" ht="22" customHeight="1">
      <x:c r="A3247" s="3"/>
      <x:c r="B3247" s="3" t="str">
        <x:v>84597B</x:v>
      </x:c>
      <x:c r="C3247" s="3" t="str">
        <x:v>RETRO BROWN BALL ASHTRAY</x:v>
      </x:c>
      <x:c r="D3247" s="13" t="n">
        <x:v>51.25</x:v>
      </x:c>
      <x:c r="E3247" s="13" t="n">
        <x:v>0</x:v>
      </x:c>
      <x:c r="F3247" s="13" t="n">
        <x:f>D3247-E3247</x:f>
        <x:v>51.25</x:v>
      </x:c>
      <x:c r="G3247" s="3" t="n">
        <x:v>41</x:v>
      </x:c>
      <x:c r="H3247" s="3" t="n">
        <x:v>0</x:v>
      </x:c>
      <x:c r="I3247" s="3" t="n">
        <x:v>5</x:v>
      </x:c>
      <x:c r="J3247" s="15" t="n">
        <x:f>IF(D3247=0,"n.a.",E3247/D3247)</x:f>
        <x:v>0</x:v>
      </x:c>
      <x:c r="K3247" s="15" t="n">
        <x:f>F3247/'Datos'!$F$7</x:f>
        <x:v>0.000005233485505626462</x:v>
      </x:c>
      <x:c r="L3247" s="3"/>
    </x:row>
    <x:row r="3248" ht="22" customHeight="1">
      <x:c r="A3248" s="3"/>
      <x:c r="B3248" s="3" t="str">
        <x:v>20910</x:v>
      </x:c>
      <x:c r="C3248" s="3" t="str">
        <x:v>VINTAGE PHOTO ALBUM PARIS DAYS</x:v>
      </x:c>
      <x:c r="D3248" s="13" t="n">
        <x:v>50.8</x:v>
      </x:c>
      <x:c r="E3248" s="13" t="n">
        <x:v>0</x:v>
      </x:c>
      <x:c r="F3248" s="13" t="n">
        <x:f>D3248-E3248</x:f>
        <x:v>50.8</x:v>
      </x:c>
      <x:c r="G3248" s="3" t="n">
        <x:v>8</x:v>
      </x:c>
      <x:c r="H3248" s="3" t="n">
        <x:v>0</x:v>
      </x:c>
      <x:c r="I3248" s="3" t="n">
        <x:v>3</x:v>
      </x:c>
      <x:c r="J3248" s="15" t="n">
        <x:f>IF(D3248=0,"n.a.",E3248/D3248)</x:f>
        <x:v>0</x:v>
      </x:c>
      <x:c r="K3248" s="15" t="n">
        <x:f>F3248/'Datos'!$F$7</x:f>
        <x:v>0.000005187532949967303</x:v>
      </x:c>
      <x:c r="L3248" s="3"/>
    </x:row>
    <x:row r="3249" ht="22" customHeight="1">
      <x:c r="A3249" s="3"/>
      <x:c r="B3249" s="3" t="str">
        <x:v>84510E</x:v>
      </x:c>
      <x:c r="C3249" s="3" t="str">
        <x:v>SET OF 4 GREEN CAROUSEL COASTERS</x:v>
      </x:c>
      <x:c r="D3249" s="13" t="n">
        <x:v>50.75</x:v>
      </x:c>
      <x:c r="E3249" s="13" t="n">
        <x:v>0</x:v>
      </x:c>
      <x:c r="F3249" s="13" t="n">
        <x:f>D3249-E3249</x:f>
        <x:v>50.75</x:v>
      </x:c>
      <x:c r="G3249" s="3" t="n">
        <x:v>35</x:v>
      </x:c>
      <x:c r="H3249" s="3" t="n">
        <x:v>0</x:v>
      </x:c>
      <x:c r="I3249" s="3" t="n">
        <x:v>17</x:v>
      </x:c>
      <x:c r="J3249" s="15" t="n">
        <x:f>IF(D3249=0,"n.a.",E3249/D3249)</x:f>
        <x:v>0</x:v>
      </x:c>
      <x:c r="K3249" s="15" t="n">
        <x:f>F3249/'Datos'!$F$7</x:f>
        <x:v>0.000005182427110449619</x:v>
      </x:c>
      <x:c r="L3249" s="3"/>
    </x:row>
    <x:row r="3250" ht="22" customHeight="1">
      <x:c r="A3250" s="3"/>
      <x:c r="B3250" s="3" t="str">
        <x:v>17007B</x:v>
      </x:c>
      <x:c r="C3250" s="3" t="str">
        <x:v>S/3 POT POURI CUSHIONS BLUE COLOURS</x:v>
      </x:c>
      <x:c r="D3250" s="13" t="n">
        <x:v>50.4</x:v>
      </x:c>
      <x:c r="E3250" s="13" t="n">
        <x:v>0</x:v>
      </x:c>
      <x:c r="F3250" s="13" t="n">
        <x:f>D3250-E3250</x:f>
        <x:v>50.4</x:v>
      </x:c>
      <x:c r="G3250" s="3" t="n">
        <x:v>24</x:v>
      </x:c>
      <x:c r="H3250" s="3" t="n">
        <x:v>0</x:v>
      </x:c>
      <x:c r="I3250" s="3" t="n">
        <x:v>2</x:v>
      </x:c>
      <x:c r="J3250" s="15" t="n">
        <x:f>IF(D3250=0,"n.a.",E3250/D3250)</x:f>
        <x:v>0</x:v>
      </x:c>
      <x:c r="K3250" s="15" t="n">
        <x:f>F3250/'Datos'!$F$7</x:f>
        <x:v>0.000005146686233825828</x:v>
      </x:c>
      <x:c r="L3250" s="3"/>
    </x:row>
    <x:row r="3251" ht="22" customHeight="1">
      <x:c r="A3251" s="3"/>
      <x:c r="B3251" s="3" t="str">
        <x:v>47348A</x:v>
      </x:c>
      <x:c r="C3251" s="3" t="str">
        <x:v>FUSCHIA VOILE POINTY SHOE DEC</x:v>
      </x:c>
      <x:c r="D3251" s="13" t="n">
        <x:v>50.31</x:v>
      </x:c>
      <x:c r="E3251" s="13" t="n">
        <x:v>0</x:v>
      </x:c>
      <x:c r="F3251" s="13" t="n">
        <x:f>D3251-E3251</x:f>
        <x:v>50.31</x:v>
      </x:c>
      <x:c r="G3251" s="3" t="n">
        <x:v>97</x:v>
      </x:c>
      <x:c r="H3251" s="3" t="n">
        <x:v>0</x:v>
      </x:c>
      <x:c r="I3251" s="3" t="n">
        <x:v>15</x:v>
      </x:c>
      <x:c r="J3251" s="15" t="n">
        <x:f>IF(D3251=0,"n.a.",E3251/D3251)</x:f>
        <x:v>0</x:v>
      </x:c>
      <x:c r="K3251" s="15" t="n">
        <x:f>F3251/'Datos'!$F$7</x:f>
        <x:v>0.000005137495722693997</x:v>
      </x:c>
      <x:c r="L3251" s="3"/>
    </x:row>
    <x:row r="3252" ht="22" customHeight="1">
      <x:c r="A3252" s="3"/>
      <x:c r="B3252" s="3" t="str">
        <x:v>44242B</x:v>
      </x:c>
      <x:c r="C3252" s="3" t="str">
        <x:v>PINK FEATHERS CURTAIN</x:v>
      </x:c>
      <x:c r="D3252" s="13" t="n">
        <x:v>50.28</x:v>
      </x:c>
      <x:c r="E3252" s="13" t="n">
        <x:v>0</x:v>
      </x:c>
      <x:c r="F3252" s="13" t="n">
        <x:f>D3252-E3252</x:f>
        <x:v>50.28</x:v>
      </x:c>
      <x:c r="G3252" s="3" t="n">
        <x:v>52</x:v>
      </x:c>
      <x:c r="H3252" s="3" t="n">
        <x:v>0</x:v>
      </x:c>
      <x:c r="I3252" s="3" t="n">
        <x:v>3</x:v>
      </x:c>
      <x:c r="J3252" s="15" t="n">
        <x:f>IF(D3252=0,"n.a.",E3252/D3252)</x:f>
        <x:v>0</x:v>
      </x:c>
      <x:c r="K3252" s="15" t="n">
        <x:f>F3252/'Datos'!$F$7</x:f>
        <x:v>0.000005134432218983386</x:v>
      </x:c>
      <x:c r="L3252" s="3"/>
    </x:row>
    <x:row r="3253" ht="22" customHeight="1">
      <x:c r="A3253" s="3"/>
      <x:c r="B3253" s="3" t="str">
        <x:v>90024B</x:v>
      </x:c>
      <x:c r="C3253" s="3" t="str">
        <x:v>NEW BAROQUE B'FLY NECKLACE RED</x:v>
      </x:c>
      <x:c r="D3253" s="13" t="n">
        <x:v>67.28</x:v>
      </x:c>
      <x:c r="E3253" s="13" t="n">
        <x:v>17</x:v>
      </x:c>
      <x:c r="F3253" s="13" t="n">
        <x:f>D3253-E3253</x:f>
        <x:v>50.28</x:v>
      </x:c>
      <x:c r="G3253" s="3" t="n">
        <x:v>8</x:v>
      </x:c>
      <x:c r="H3253" s="3" t="n">
        <x:v>2</x:v>
      </x:c>
      <x:c r="I3253" s="3" t="n">
        <x:v>6</x:v>
      </x:c>
      <x:c r="J3253" s="15" t="n">
        <x:f>IF(D3253=0,"n.a.",E3253/D3253)</x:f>
        <x:v>0.25267538644470866</x:v>
      </x:c>
      <x:c r="K3253" s="15" t="n">
        <x:f>F3253/'Datos'!$F$7</x:f>
        <x:v>0.000005134432218983386</x:v>
      </x:c>
      <x:c r="L3253" s="3"/>
    </x:row>
    <x:row r="3254" ht="22" customHeight="1">
      <x:c r="A3254" s="3"/>
      <x:c r="B3254" s="3" t="str">
        <x:v>90214D</x:v>
      </x:c>
      <x:c r="C3254" s="3" t="str">
        <x:v>LETTER "D" BLING KEY RING</x:v>
      </x:c>
      <x:c r="D3254" s="13" t="n">
        <x:v>49.9</x:v>
      </x:c>
      <x:c r="E3254" s="13" t="n">
        <x:v>0</x:v>
      </x:c>
      <x:c r="F3254" s="13" t="n">
        <x:f>D3254-E3254</x:f>
        <x:v>49.9</x:v>
      </x:c>
      <x:c r="G3254" s="3" t="n">
        <x:v>68</x:v>
      </x:c>
      <x:c r="H3254" s="3" t="n">
        <x:v>0</x:v>
      </x:c>
      <x:c r="I3254" s="3" t="n">
        <x:v>32</x:v>
      </x:c>
      <x:c r="J3254" s="15" t="n">
        <x:f>IF(D3254=0,"n.a.",E3254/D3254)</x:f>
        <x:v>0</x:v>
      </x:c>
      <x:c r="K3254" s="15" t="n">
        <x:f>F3254/'Datos'!$F$7</x:f>
        <x:v>0.000005095627838648984</x:v>
      </x:c>
      <x:c r="L3254" s="3"/>
    </x:row>
    <x:row r="3255" ht="22" customHeight="1">
      <x:c r="A3255" s="3"/>
      <x:c r="B3255" s="3" t="str">
        <x:v>90214M</x:v>
      </x:c>
      <x:c r="C3255" s="3" t="str">
        <x:v>LETTER "M" BLING KEY RING</x:v>
      </x:c>
      <x:c r="D3255" s="13" t="n">
        <x:v>49.82</x:v>
      </x:c>
      <x:c r="E3255" s="13" t="n">
        <x:v>0</x:v>
      </x:c>
      <x:c r="F3255" s="13" t="n">
        <x:f>D3255-E3255</x:f>
        <x:v>49.82</x:v>
      </x:c>
      <x:c r="G3255" s="3" t="n">
        <x:v>60</x:v>
      </x:c>
      <x:c r="H3255" s="3" t="n">
        <x:v>0</x:v>
      </x:c>
      <x:c r="I3255" s="3" t="n">
        <x:v>28</x:v>
      </x:c>
      <x:c r="J3255" s="15" t="n">
        <x:f>IF(D3255=0,"n.a.",E3255/D3255)</x:f>
        <x:v>0</x:v>
      </x:c>
      <x:c r="K3255" s="15" t="n">
        <x:f>F3255/'Datos'!$F$7</x:f>
        <x:v>0.00000508745849542069</x:v>
      </x:c>
      <x:c r="L3255" s="3"/>
    </x:row>
    <x:row r="3256" ht="22" customHeight="1">
      <x:c r="A3256" s="3"/>
      <x:c r="B3256" s="3" t="str">
        <x:v>90180B</x:v>
      </x:c>
      <x:c r="C3256" s="3" t="str">
        <x:v>PURPLE AMETHYST NECKLACE W TASSEL</x:v>
      </x:c>
      <x:c r="D3256" s="13" t="n">
        <x:v>49.81</x:v>
      </x:c>
      <x:c r="E3256" s="13" t="n">
        <x:v>0</x:v>
      </x:c>
      <x:c r="F3256" s="13" t="n">
        <x:f>D3256-E3256</x:f>
        <x:v>49.81</x:v>
      </x:c>
      <x:c r="G3256" s="3" t="n">
        <x:v>5</x:v>
      </x:c>
      <x:c r="H3256" s="3" t="n">
        <x:v>0</x:v>
      </x:c>
      <x:c r="I3256" s="3" t="n">
        <x:v>5</x:v>
      </x:c>
      <x:c r="J3256" s="15" t="n">
        <x:f>IF(D3256=0,"n.a.",E3256/D3256)</x:f>
        <x:v>0</x:v>
      </x:c>
      <x:c r="K3256" s="15" t="n">
        <x:f>F3256/'Datos'!$F$7</x:f>
        <x:v>0.000005086437327517153</x:v>
      </x:c>
      <x:c r="L3256" s="3"/>
    </x:row>
    <x:row r="3257" ht="22" customHeight="1">
      <x:c r="A3257" s="3"/>
      <x:c r="B3257" s="3" t="str">
        <x:v>23603</x:v>
      </x:c>
      <x:c r="C3257" s="3" t="str">
        <x:v>SET 10 CARD KRAFT REINDEER 17084</x:v>
      </x:c>
      <x:c r="D3257" s="13" t="n">
        <x:v>49.8</x:v>
      </x:c>
      <x:c r="E3257" s="13" t="n">
        <x:v>0</x:v>
      </x:c>
      <x:c r="F3257" s="13" t="n">
        <x:f>D3257-E3257</x:f>
        <x:v>49.8</x:v>
      </x:c>
      <x:c r="G3257" s="3" t="n">
        <x:v>20</x:v>
      </x:c>
      <x:c r="H3257" s="3" t="n">
        <x:v>0</x:v>
      </x:c>
      <x:c r="I3257" s="3" t="n">
        <x:v>14</x:v>
      </x:c>
      <x:c r="J3257" s="15" t="n">
        <x:f>IF(D3257=0,"n.a.",E3257/D3257)</x:f>
        <x:v>0</x:v>
      </x:c>
      <x:c r="K3257" s="15" t="n">
        <x:f>F3257/'Datos'!$F$7</x:f>
        <x:v>0.0000050854161596136156</x:v>
      </x:c>
      <x:c r="L3257" s="3"/>
    </x:row>
    <x:row r="3258" ht="22" customHeight="1">
      <x:c r="A3258" s="3"/>
      <x:c r="B3258" s="3" t="str">
        <x:v>90079</x:v>
      </x:c>
      <x:c r="C3258" s="3" t="str">
        <x:v>VINTAGE ENAMEL &amp; CRYSTAL NECKLACE</x:v>
      </x:c>
      <x:c r="D3258" s="13" t="n">
        <x:v>49.76</x:v>
      </x:c>
      <x:c r="E3258" s="13" t="n">
        <x:v>0</x:v>
      </x:c>
      <x:c r="F3258" s="13" t="n">
        <x:f>D3258-E3258</x:f>
        <x:v>49.76</x:v>
      </x:c>
      <x:c r="G3258" s="3" t="n">
        <x:v>10</x:v>
      </x:c>
      <x:c r="H3258" s="3" t="n">
        <x:v>0</x:v>
      </x:c>
      <x:c r="I3258" s="3" t="n">
        <x:v>4</x:v>
      </x:c>
      <x:c r="J3258" s="15" t="n">
        <x:f>IF(D3258=0,"n.a.",E3258/D3258)</x:f>
        <x:v>0</x:v>
      </x:c>
      <x:c r="K3258" s="15" t="n">
        <x:f>F3258/'Datos'!$F$7</x:f>
        <x:v>0.000005081331487999468</x:v>
      </x:c>
      <x:c r="L3258" s="3"/>
    </x:row>
    <x:row r="3259" ht="22" customHeight="1">
      <x:c r="A3259" s="3"/>
      <x:c r="B3259" s="3" t="str">
        <x:v>20667</x:v>
      </x:c>
      <x:c r="C3259" s="3" t="str">
        <x:v>CHERRY BLOSSOM PURSE</x:v>
      </x:c>
      <x:c r="D3259" s="13" t="n">
        <x:v>49.69</x:v>
      </x:c>
      <x:c r="E3259" s="13" t="n">
        <x:v>0</x:v>
      </x:c>
      <x:c r="F3259" s="13" t="n">
        <x:f>D3259-E3259</x:f>
        <x:v>49.69</x:v>
      </x:c>
      <x:c r="G3259" s="3" t="n">
        <x:v>20</x:v>
      </x:c>
      <x:c r="H3259" s="3" t="n">
        <x:v>0</x:v>
      </x:c>
      <x:c r="I3259" s="3" t="n">
        <x:v>16</x:v>
      </x:c>
      <x:c r="J3259" s="15" t="n">
        <x:f>IF(D3259=0,"n.a.",E3259/D3259)</x:f>
        <x:v>0</x:v>
      </x:c>
      <x:c r="K3259" s="15" t="n">
        <x:f>F3259/'Datos'!$F$7</x:f>
        <x:v>0.00000507418331267471</x:v>
      </x:c>
      <x:c r="L3259" s="3"/>
    </x:row>
    <x:row r="3260" ht="22" customHeight="1">
      <x:c r="A3260" s="3"/>
      <x:c r="B3260" s="3" t="str">
        <x:v>90142D</x:v>
      </x:c>
      <x:c r="C3260" s="3" t="str">
        <x:v>MOP PENDANT SHELL NECKLACE</x:v>
      </x:c>
      <x:c r="D3260" s="13" t="n">
        <x:v>49.64</x:v>
      </x:c>
      <x:c r="E3260" s="13" t="n">
        <x:v>0</x:v>
      </x:c>
      <x:c r="F3260" s="13" t="n">
        <x:f>D3260-E3260</x:f>
        <x:v>49.64</x:v>
      </x:c>
      <x:c r="G3260" s="3" t="n">
        <x:v>10</x:v>
      </x:c>
      <x:c r="H3260" s="3" t="n">
        <x:v>0</x:v>
      </x:c>
      <x:c r="I3260" s="3" t="n">
        <x:v>4</x:v>
      </x:c>
      <x:c r="J3260" s="15" t="n">
        <x:f>IF(D3260=0,"n.a.",E3260/D3260)</x:f>
        <x:v>0</x:v>
      </x:c>
      <x:c r="K3260" s="15" t="n">
        <x:f>F3260/'Datos'!$F$7</x:f>
        <x:v>0.000005069077473157026</x:v>
      </x:c>
      <x:c r="L3260" s="3"/>
    </x:row>
    <x:row r="3261" ht="22" customHeight="1">
      <x:c r="A3261" s="3"/>
      <x:c r="B3261" s="3" t="str">
        <x:v>90157</x:v>
      </x:c>
      <x:c r="C3261" s="3" t="str">
        <x:v>RIVIERA NECKLACE</x:v>
      </x:c>
      <x:c r="D3261" s="13" t="n">
        <x:v>49.59</x:v>
      </x:c>
      <x:c r="E3261" s="13" t="n">
        <x:v>0</x:v>
      </x:c>
      <x:c r="F3261" s="13" t="n">
        <x:f>D3261-E3261</x:f>
        <x:v>49.59</x:v>
      </x:c>
      <x:c r="G3261" s="3" t="n">
        <x:v>10</x:v>
      </x:c>
      <x:c r="H3261" s="3" t="n">
        <x:v>0</x:v>
      </x:c>
      <x:c r="I3261" s="3" t="n">
        <x:v>5</x:v>
      </x:c>
      <x:c r="J3261" s="15" t="n">
        <x:f>IF(D3261=0,"n.a.",E3261/D3261)</x:f>
        <x:v>0</x:v>
      </x:c>
      <x:c r="K3261" s="15" t="n">
        <x:f>F3261/'Datos'!$F$7</x:f>
        <x:v>0.000005063971633639342</x:v>
      </x:c>
      <x:c r="L3261" s="3"/>
    </x:row>
    <x:row r="3262" ht="22" customHeight="1">
      <x:c r="A3262" s="3"/>
      <x:c r="B3262" s="3" t="str">
        <x:v>21816</x:v>
      </x:c>
      <x:c r="C3262" s="3" t="str">
        <x:v>CHRISTMAS TREE T-LIGHT HOLDER</x:v>
      </x:c>
      <x:c r="D3262" s="13" t="n">
        <x:v>49.3</x:v>
      </x:c>
      <x:c r="E3262" s="13" t="n">
        <x:v>0</x:v>
      </x:c>
      <x:c r="F3262" s="13" t="n">
        <x:f>D3262-E3262</x:f>
        <x:v>49.3</x:v>
      </x:c>
      <x:c r="G3262" s="3" t="n">
        <x:v>34</x:v>
      </x:c>
      <x:c r="H3262" s="3" t="n">
        <x:v>0</x:v>
      </x:c>
      <x:c r="I3262" s="3" t="n">
        <x:v>7</x:v>
      </x:c>
      <x:c r="J3262" s="15" t="n">
        <x:f>IF(D3262=0,"n.a.",E3262/D3262)</x:f>
        <x:v>0</x:v>
      </x:c>
      <x:c r="K3262" s="15" t="n">
        <x:f>F3262/'Datos'!$F$7</x:f>
        <x:v>0.000005034357764436772</x:v>
      </x:c>
      <x:c r="L3262" s="3"/>
    </x:row>
    <x:row r="3263" ht="22" customHeight="1">
      <x:c r="A3263" s="3"/>
      <x:c r="B3263" s="3" t="str">
        <x:v>21089</x:v>
      </x:c>
      <x:c r="C3263" s="3" t="str">
        <x:v>SET/6 GREEN SPRING PAPER CUPS</x:v>
      </x:c>
      <x:c r="D3263" s="13" t="n">
        <x:v>48.99</x:v>
      </x:c>
      <x:c r="E3263" s="13" t="n">
        <x:v>0</x:v>
      </x:c>
      <x:c r="F3263" s="13" t="n">
        <x:f>D3263-E3263</x:f>
        <x:v>48.99</x:v>
      </x:c>
      <x:c r="G3263" s="3" t="n">
        <x:v>233</x:v>
      </x:c>
      <x:c r="H3263" s="3" t="n">
        <x:v>0</x:v>
      </x:c>
      <x:c r="I3263" s="3" t="n">
        <x:v>25</x:v>
      </x:c>
      <x:c r="J3263" s="15" t="n">
        <x:f>IF(D3263=0,"n.a.",E3263/D3263)</x:f>
        <x:v>0</x:v>
      </x:c>
      <x:c r="K3263" s="15" t="n">
        <x:f>F3263/'Datos'!$F$7</x:f>
        <x:v>0.00000500270155942713</x:v>
      </x:c>
      <x:c r="L3263" s="3"/>
    </x:row>
    <x:row r="3264" ht="22" customHeight="1">
      <x:c r="A3264" s="3"/>
      <x:c r="B3264" s="3" t="str">
        <x:v>90038B</x:v>
      </x:c>
      <x:c r="C3264" s="3" t="str">
        <x:v>GLASS AND PAINTED BEADS BRACELET OL</x:v>
      </x:c>
      <x:c r="D3264" s="13" t="n">
        <x:v>48.77</x:v>
      </x:c>
      <x:c r="E3264" s="13" t="n">
        <x:v>0</x:v>
      </x:c>
      <x:c r="F3264" s="13" t="n">
        <x:f>D3264-E3264</x:f>
        <x:v>48.77</x:v>
      </x:c>
      <x:c r="G3264" s="3" t="n">
        <x:v>13</x:v>
      </x:c>
      <x:c r="H3264" s="3" t="n">
        <x:v>0</x:v>
      </x:c>
      <x:c r="I3264" s="3" t="n">
        <x:v>8</x:v>
      </x:c>
      <x:c r="J3264" s="15" t="n">
        <x:f>IF(D3264=0,"n.a.",E3264/D3264)</x:f>
        <x:v>0</x:v>
      </x:c>
      <x:c r="K3264" s="15" t="n">
        <x:f>F3264/'Datos'!$F$7</x:f>
        <x:v>0.000004980235865549319</x:v>
      </x:c>
      <x:c r="L3264" s="3"/>
    </x:row>
    <x:row r="3265" ht="22" customHeight="1">
      <x:c r="A3265" s="3"/>
      <x:c r="B3265" s="3" t="str">
        <x:v>84497</x:v>
      </x:c>
      <x:c r="C3265" s="3" t="str">
        <x:v>BUTTONS AND STRIPES NOTEBOOK</x:v>
      </x:c>
      <x:c r="D3265" s="13" t="n">
        <x:v>48.75</x:v>
      </x:c>
      <x:c r="E3265" s="13" t="n">
        <x:v>0</x:v>
      </x:c>
      <x:c r="F3265" s="13" t="n">
        <x:f>D3265-E3265</x:f>
        <x:v>48.75</x:v>
      </x:c>
      <x:c r="G3265" s="3" t="n">
        <x:v>13</x:v>
      </x:c>
      <x:c r="H3265" s="3" t="n">
        <x:v>0</x:v>
      </x:c>
      <x:c r="I3265" s="3" t="n">
        <x:v>7</x:v>
      </x:c>
      <x:c r="J3265" s="15" t="n">
        <x:f>IF(D3265=0,"n.a.",E3265/D3265)</x:f>
        <x:v>0</x:v>
      </x:c>
      <x:c r="K3265" s="15" t="n">
        <x:f>F3265/'Datos'!$F$7</x:f>
        <x:v>0.0000049781935297422446</x:v>
      </x:c>
      <x:c r="L3265" s="3"/>
    </x:row>
    <x:row r="3266" ht="22" customHeight="1">
      <x:c r="A3266" s="3"/>
      <x:c r="B3266" s="3" t="str">
        <x:v>90002D</x:v>
      </x:c>
      <x:c r="C3266" s="3" t="str">
        <x:v>FLOWER BURST SILVER RING CRYSTAL</x:v>
      </x:c>
      <x:c r="D3266" s="13" t="n">
        <x:v>48.71</x:v>
      </x:c>
      <x:c r="E3266" s="13" t="n">
        <x:v>0</x:v>
      </x:c>
      <x:c r="F3266" s="13" t="n">
        <x:f>D3266-E3266</x:f>
        <x:v>48.71</x:v>
      </x:c>
      <x:c r="G3266" s="3" t="n">
        <x:v>13</x:v>
      </x:c>
      <x:c r="H3266" s="3" t="n">
        <x:v>0</x:v>
      </x:c>
      <x:c r="I3266" s="3" t="n">
        <x:v>9</x:v>
      </x:c>
      <x:c r="J3266" s="15" t="n">
        <x:f>IF(D3266=0,"n.a.",E3266/D3266)</x:f>
        <x:v>0</x:v>
      </x:c>
      <x:c r="K3266" s="15" t="n">
        <x:f>F3266/'Datos'!$F$7</x:f>
        <x:v>0.000004974108858128097</x:v>
      </x:c>
      <x:c r="L3266" s="3"/>
    </x:row>
    <x:row r="3267" ht="22" customHeight="1">
      <x:c r="A3267" s="3"/>
      <x:c r="B3267" s="3" t="str">
        <x:v>21720</x:v>
      </x:c>
      <x:c r="C3267" s="3" t="str">
        <x:v>CAKE SHOP STICKER SHEET</x:v>
      </x:c>
      <x:c r="D3267" s="13" t="n">
        <x:v>48.45</x:v>
      </x:c>
      <x:c r="E3267" s="13" t="n">
        <x:v>0</x:v>
      </x:c>
      <x:c r="F3267" s="13" t="n">
        <x:f>D3267-E3267</x:f>
        <x:v>48.45</x:v>
      </x:c>
      <x:c r="G3267" s="3" t="n">
        <x:v>57</x:v>
      </x:c>
      <x:c r="H3267" s="3" t="n">
        <x:v>0</x:v>
      </x:c>
      <x:c r="I3267" s="3" t="n">
        <x:v>8</x:v>
      </x:c>
      <x:c r="J3267" s="15" t="n">
        <x:f>IF(D3267=0,"n.a.",E3267/D3267)</x:f>
        <x:v>0</x:v>
      </x:c>
      <x:c r="K3267" s="15" t="n">
        <x:f>F3267/'Datos'!$F$7</x:f>
        <x:v>0.000004947558492636138</x:v>
      </x:c>
      <x:c r="L3267" s="3"/>
    </x:row>
    <x:row r="3268" ht="22" customHeight="1">
      <x:c r="A3268" s="3"/>
      <x:c r="B3268" s="3" t="str">
        <x:v>DCGS0076</x:v>
      </x:c>
      <x:c r="C3268" s="3" t="str">
        <x:v>SUNJAR LED NIGHT NIGHT LIGHT</x:v>
      </x:c>
      <x:c r="D3268" s="13" t="n">
        <x:v>48.39</x:v>
      </x:c>
      <x:c r="E3268" s="13" t="n">
        <x:v>0</x:v>
      </x:c>
      <x:c r="F3268" s="13" t="n">
        <x:f>D3268-E3268</x:f>
        <x:v>48.39</x:v>
      </x:c>
      <x:c r="G3268" s="3" t="n">
        <x:v>3</x:v>
      </x:c>
      <x:c r="H3268" s="3" t="n">
        <x:v>0</x:v>
      </x:c>
      <x:c r="I3268" s="3" t="n">
        <x:v>2</x:v>
      </x:c>
      <x:c r="J3268" s="15" t="n">
        <x:f>IF(D3268=0,"n.a.",E3268/D3268)</x:f>
        <x:v>0</x:v>
      </x:c>
      <x:c r="K3268" s="15" t="n">
        <x:f>F3268/'Datos'!$F$7</x:f>
        <x:v>0.000004941431485214917</x:v>
      </x:c>
      <x:c r="L3268" s="3"/>
    </x:row>
    <x:row r="3269" ht="22" customHeight="1">
      <x:c r="A3269" s="3"/>
      <x:c r="B3269" s="3" t="str">
        <x:v>90205C</x:v>
      </x:c>
      <x:c r="C3269" s="3" t="str">
        <x:v>LARGE CRYSTAL DIAMANTE HAIRSLIDE</x:v>
      </x:c>
      <x:c r="D3269" s="13" t="n">
        <x:v>48.21</x:v>
      </x:c>
      <x:c r="E3269" s="13" t="n">
        <x:v>0</x:v>
      </x:c>
      <x:c r="F3269" s="13" t="n">
        <x:f>D3269-E3269</x:f>
        <x:v>48.21</x:v>
      </x:c>
      <x:c r="G3269" s="3" t="n">
        <x:v>29</x:v>
      </x:c>
      <x:c r="H3269" s="3" t="n">
        <x:v>0</x:v>
      </x:c>
      <x:c r="I3269" s="3" t="n">
        <x:v>15</x:v>
      </x:c>
      <x:c r="J3269" s="15" t="n">
        <x:f>IF(D3269=0,"n.a.",E3269/D3269)</x:f>
        <x:v>0</x:v>
      </x:c>
      <x:c r="K3269" s="15" t="n">
        <x:f>F3269/'Datos'!$F$7</x:f>
        <x:v>0.000004923050462951254</x:v>
      </x:c>
      <x:c r="L3269" s="3"/>
    </x:row>
    <x:row r="3270" ht="22" customHeight="1">
      <x:c r="A3270" s="3"/>
      <x:c r="B3270" s="3" t="str">
        <x:v>84402B</x:v>
      </x:c>
      <x:c r="C3270" s="3" t="str">
        <x:v>PURPLE DRESS JEWELLERY STAND</x:v>
      </x:c>
      <x:c r="D3270" s="13" t="n">
        <x:v>48.19</x:v>
      </x:c>
      <x:c r="E3270" s="13" t="n">
        <x:v>0</x:v>
      </x:c>
      <x:c r="F3270" s="13" t="n">
        <x:f>D3270-E3270</x:f>
        <x:v>48.19</x:v>
      </x:c>
      <x:c r="G3270" s="3" t="n">
        <x:v>61</x:v>
      </x:c>
      <x:c r="H3270" s="3" t="n">
        <x:v>0</x:v>
      </x:c>
      <x:c r="I3270" s="3" t="n">
        <x:v>3</x:v>
      </x:c>
      <x:c r="J3270" s="15" t="n">
        <x:f>IF(D3270=0,"n.a.",E3270/D3270)</x:f>
        <x:v>0</x:v>
      </x:c>
      <x:c r="K3270" s="15" t="n">
        <x:f>F3270/'Datos'!$F$7</x:f>
        <x:v>0.00000492100812714418</x:v>
      </x:c>
      <x:c r="L3270" s="3"/>
    </x:row>
    <x:row r="3271" ht="22" customHeight="1">
      <x:c r="A3271" s="3"/>
      <x:c r="B3271" s="3" t="str">
        <x:v>90125B</x:v>
      </x:c>
      <x:c r="C3271" s="3" t="str">
        <x:v>AQUA BERTIE GLASS BEAD BAG CHARM</x:v>
      </x:c>
      <x:c r="D3271" s="13" t="n">
        <x:v>48.06</x:v>
      </x:c>
      <x:c r="E3271" s="13" t="n">
        <x:v>0</x:v>
      </x:c>
      <x:c r="F3271" s="13" t="n">
        <x:f>D3271-E3271</x:f>
        <x:v>48.06</x:v>
      </x:c>
      <x:c r="G3271" s="3" t="n">
        <x:v>30</x:v>
      </x:c>
      <x:c r="H3271" s="3" t="n">
        <x:v>0</x:v>
      </x:c>
      <x:c r="I3271" s="3" t="n">
        <x:v>12</x:v>
      </x:c>
      <x:c r="J3271" s="15" t="n">
        <x:f>IF(D3271=0,"n.a.",E3271/D3271)</x:f>
        <x:v>0</x:v>
      </x:c>
      <x:c r="K3271" s="15" t="n">
        <x:f>F3271/'Datos'!$F$7</x:f>
        <x:v>0.000004907732944398201</x:v>
      </x:c>
      <x:c r="L3271" s="3"/>
    </x:row>
    <x:row r="3272" ht="22" customHeight="1">
      <x:c r="A3272" s="3"/>
      <x:c r="B3272" s="3" t="str">
        <x:v>84927D</x:v>
      </x:c>
      <x:c r="C3272" s="3" t="str">
        <x:v>LA PALMIERA TILE HOOK</x:v>
      </x:c>
      <x:c r="D3272" s="13" t="n">
        <x:v>52.25</x:v>
      </x:c>
      <x:c r="E3272" s="13" t="n">
        <x:v>4.2</x:v>
      </x:c>
      <x:c r="F3272" s="13" t="n">
        <x:f>D3272-E3272</x:f>
        <x:v>48.05</x:v>
      </x:c>
      <x:c r="G3272" s="3" t="n">
        <x:v>48</x:v>
      </x:c>
      <x:c r="H3272" s="3" t="n">
        <x:v>2</x:v>
      </x:c>
      <x:c r="I3272" s="3" t="n">
        <x:v>14</x:v>
      </x:c>
      <x:c r="J3272" s="15" t="n">
        <x:f>IF(D3272=0,"n.a.",E3272/D3272)</x:f>
        <x:v>0.08038277511961722</x:v>
      </x:c>
      <x:c r="K3272" s="15" t="n">
        <x:f>F3272/'Datos'!$F$7</x:f>
        <x:v>0.000004906711776494663</x:v>
      </x:c>
      <x:c r="L3272" s="3"/>
    </x:row>
    <x:row r="3273" ht="22" customHeight="1">
      <x:c r="A3273" s="3"/>
      <x:c r="B3273" s="3" t="str">
        <x:v>90036A</x:v>
      </x:c>
      <x:c r="C3273" s="3" t="str">
        <x:v>FLOWER GARLAND NECKLACE RED</x:v>
      </x:c>
      <x:c r="D3273" s="13" t="n">
        <x:v>47.7</x:v>
      </x:c>
      <x:c r="E3273" s="13" t="n">
        <x:v>0</x:v>
      </x:c>
      <x:c r="F3273" s="13" t="n">
        <x:f>D3273-E3273</x:f>
        <x:v>47.7</x:v>
      </x:c>
      <x:c r="G3273" s="3" t="n">
        <x:v>6</x:v>
      </x:c>
      <x:c r="H3273" s="3" t="n">
        <x:v>0</x:v>
      </x:c>
      <x:c r="I3273" s="3" t="n">
        <x:v>4</x:v>
      </x:c>
      <x:c r="J3273" s="15" t="n">
        <x:f>IF(D3273=0,"n.a.",E3273/D3273)</x:f>
        <x:v>0</x:v>
      </x:c>
      <x:c r="K3273" s="15" t="n">
        <x:f>F3273/'Datos'!$F$7</x:f>
        <x:v>0.0000048709708998708736</x:v>
      </x:c>
      <x:c r="L3273" s="3"/>
    </x:row>
    <x:row r="3274" ht="22" customHeight="1">
      <x:c r="A3274" s="3"/>
      <x:c r="B3274" s="3" t="str">
        <x:v>90165B</x:v>
      </x:c>
      <x:c r="C3274" s="3" t="str">
        <x:v>WHITE ROSEBUD PEARL EARRINGS</x:v>
      </x:c>
      <x:c r="D3274" s="13" t="n">
        <x:v>47.43</x:v>
      </x:c>
      <x:c r="E3274" s="13" t="n">
        <x:v>0</x:v>
      </x:c>
      <x:c r="F3274" s="13" t="n">
        <x:f>D3274-E3274</x:f>
        <x:v>47.43</x:v>
      </x:c>
      <x:c r="G3274" s="3" t="n">
        <x:v>19</x:v>
      </x:c>
      <x:c r="H3274" s="3" t="n">
        <x:v>0</x:v>
      </x:c>
      <x:c r="I3274" s="3" t="n">
        <x:v>18</x:v>
      </x:c>
      <x:c r="J3274" s="15" t="n">
        <x:f>IF(D3274=0,"n.a.",E3274/D3274)</x:f>
        <x:v>0</x:v>
      </x:c>
      <x:c r="K3274" s="15" t="n">
        <x:f>F3274/'Datos'!$F$7</x:f>
        <x:v>0.0000048433993664753774</x:v>
      </x:c>
      <x:c r="L3274" s="3"/>
    </x:row>
    <x:row r="3275" ht="22" customHeight="1">
      <x:c r="A3275" s="3"/>
      <x:c r="B3275" s="3" t="str">
        <x:v>17084J</x:v>
      </x:c>
      <x:c r="C3275" s="3" t="str">
        <x:v>LOVE POTION MASALA INCENSE</x:v>
      </x:c>
      <x:c r="D3275" s="13" t="n">
        <x:v>47.25</x:v>
      </x:c>
      <x:c r="E3275" s="13" t="n">
        <x:v>0</x:v>
      </x:c>
      <x:c r="F3275" s="13" t="n">
        <x:f>D3275-E3275</x:f>
        <x:v>47.25</x:v>
      </x:c>
      <x:c r="G3275" s="3" t="n">
        <x:v>225</x:v>
      </x:c>
      <x:c r="H3275" s="3" t="n">
        <x:v>0</x:v>
      </x:c>
      <x:c r="I3275" s="3" t="n">
        <x:v>8</x:v>
      </x:c>
      <x:c r="J3275" s="15" t="n">
        <x:f>IF(D3275=0,"n.a.",E3275/D3275)</x:f>
        <x:v>0</x:v>
      </x:c>
      <x:c r="K3275" s="15" t="n">
        <x:f>F3275/'Datos'!$F$7</x:f>
        <x:v>0.000004825018344211714</x:v>
      </x:c>
      <x:c r="L3275" s="3"/>
    </x:row>
    <x:row r="3276" ht="22" customHeight="1">
      <x:c r="A3276" s="3"/>
      <x:c r="B3276" s="3" t="str">
        <x:v>84706F</x:v>
      </x:c>
      <x:c r="C3276" s="3" t="str">
        <x:v>RED PEONY TABLE CLOCK</x:v>
      </x:c>
      <x:c r="D3276" s="13" t="n">
        <x:v>47.2</x:v>
      </x:c>
      <x:c r="E3276" s="13" t="n">
        <x:v>0</x:v>
      </x:c>
      <x:c r="F3276" s="13" t="n">
        <x:f>D3276-E3276</x:f>
        <x:v>47.2</x:v>
      </x:c>
      <x:c r="G3276" s="3" t="n">
        <x:v>16</x:v>
      </x:c>
      <x:c r="H3276" s="3" t="n">
        <x:v>0</x:v>
      </x:c>
      <x:c r="I3276" s="3" t="n">
        <x:v>10</x:v>
      </x:c>
      <x:c r="J3276" s="15" t="n">
        <x:f>IF(D3276=0,"n.a.",E3276/D3276)</x:f>
        <x:v>0</x:v>
      </x:c>
      <x:c r="K3276" s="15" t="n">
        <x:f>F3276/'Datos'!$F$7</x:f>
        <x:v>0.00000481991250469403</x:v>
      </x:c>
      <x:c r="L3276" s="3"/>
    </x:row>
    <x:row r="3277" ht="22" customHeight="1">
      <x:c r="A3277" s="3"/>
      <x:c r="B3277" s="3" t="str">
        <x:v>84715</x:v>
      </x:c>
      <x:c r="C3277" s="3" t="str">
        <x:v>SET OF 6 ICE CREAM SKITTLES</x:v>
      </x:c>
      <x:c r="D3277" s="13" t="n">
        <x:v>47.2</x:v>
      </x:c>
      <x:c r="E3277" s="13" t="n">
        <x:v>0</x:v>
      </x:c>
      <x:c r="F3277" s="13" t="n">
        <x:f>D3277-E3277</x:f>
        <x:v>47.2</x:v>
      </x:c>
      <x:c r="G3277" s="3" t="n">
        <x:v>16</x:v>
      </x:c>
      <x:c r="H3277" s="3" t="n">
        <x:v>0</x:v>
      </x:c>
      <x:c r="I3277" s="3" t="n">
        <x:v>3</x:v>
      </x:c>
      <x:c r="J3277" s="15" t="n">
        <x:f>IF(D3277=0,"n.a.",E3277/D3277)</x:f>
        <x:v>0</x:v>
      </x:c>
      <x:c r="K3277" s="15" t="n">
        <x:f>F3277/'Datos'!$F$7</x:f>
        <x:v>0.00000481991250469403</x:v>
      </x:c>
      <x:c r="L3277" s="3"/>
    </x:row>
    <x:row r="3278" ht="22" customHeight="1">
      <x:c r="A3278" s="3"/>
      <x:c r="B3278" s="3" t="str">
        <x:v>90190A</x:v>
      </x:c>
      <x:c r="C3278" s="3" t="str">
        <x:v>SILVER/CRYSTAL DROP EARRINGS W LEAF</x:v>
      </x:c>
      <x:c r="D3278" s="13" t="n">
        <x:v>46.76</x:v>
      </x:c>
      <x:c r="E3278" s="13" t="n">
        <x:v>0</x:v>
      </x:c>
      <x:c r="F3278" s="13" t="n">
        <x:f>D3278-E3278</x:f>
        <x:v>46.76</x:v>
      </x:c>
      <x:c r="G3278" s="3" t="n">
        <x:v>16</x:v>
      </x:c>
      <x:c r="H3278" s="3" t="n">
        <x:v>0</x:v>
      </x:c>
      <x:c r="I3278" s="3" t="n">
        <x:v>10</x:v>
      </x:c>
      <x:c r="J3278" s="15" t="n">
        <x:f>IF(D3278=0,"n.a.",E3278/D3278)</x:f>
        <x:v>0</x:v>
      </x:c>
      <x:c r="K3278" s="15" t="n">
        <x:f>F3278/'Datos'!$F$7</x:f>
        <x:v>0.000004774981116938407</x:v>
      </x:c>
      <x:c r="L3278" s="3"/>
    </x:row>
    <x:row r="3279" ht="22" customHeight="1">
      <x:c r="A3279" s="3"/>
      <x:c r="B3279" s="3" t="str">
        <x:v>90202D</x:v>
      </x:c>
      <x:c r="C3279" s="3" t="str">
        <x:v>PINK ENAMEL FLOWER HAIR TIE</x:v>
      </x:c>
      <x:c r="D3279" s="13" t="n">
        <x:v>64.46</x:v>
      </x:c>
      <x:c r="E3279" s="13" t="n">
        <x:v>17.7</x:v>
      </x:c>
      <x:c r="F3279" s="13" t="n">
        <x:f>D3279-E3279</x:f>
        <x:v>46.75999999999999</x:v>
      </x:c>
      <x:c r="G3279" s="3" t="n">
        <x:v>22</x:v>
      </x:c>
      <x:c r="H3279" s="3" t="n">
        <x:v>6</x:v>
      </x:c>
      <x:c r="I3279" s="3" t="n">
        <x:v>11</x:v>
      </x:c>
      <x:c r="J3279" s="15" t="n">
        <x:f>IF(D3279=0,"n.a.",E3279/D3279)</x:f>
        <x:v>0.2745888923363326</x:v>
      </x:c>
      <x:c r="K3279" s="15" t="n">
        <x:f>F3279/'Datos'!$F$7</x:f>
        <x:v>0.000004774981116938406</x:v>
      </x:c>
      <x:c r="L3279" s="3"/>
    </x:row>
    <x:row r="3280" ht="22" customHeight="1">
      <x:c r="A3280" s="3"/>
      <x:c r="B3280" s="3" t="str">
        <x:v>90202A</x:v>
      </x:c>
      <x:c r="C3280" s="3" t="str">
        <x:v>PURPLE ENAMEL FLOWER HAIR TIE</x:v>
      </x:c>
      <x:c r="D3280" s="13" t="n">
        <x:v>64.28</x:v>
      </x:c>
      <x:c r="E3280" s="13" t="n">
        <x:v>17.7</x:v>
      </x:c>
      <x:c r="F3280" s="13" t="n">
        <x:f>D3280-E3280</x:f>
        <x:v>46.58</x:v>
      </x:c>
      <x:c r="G3280" s="3" t="n">
        <x:v>22</x:v>
      </x:c>
      <x:c r="H3280" s="3" t="n">
        <x:v>6</x:v>
      </x:c>
      <x:c r="I3280" s="3" t="n">
        <x:v>15</x:v>
      </x:c>
      <x:c r="J3280" s="15" t="n">
        <x:f>IF(D3280=0,"n.a.",E3280/D3280)</x:f>
        <x:v>0.27535780958307404</x:v>
      </x:c>
      <x:c r="K3280" s="15" t="n">
        <x:f>F3280/'Datos'!$F$7</x:f>
        <x:v>0.000004756600094674743</x:v>
      </x:c>
      <x:c r="L3280" s="3"/>
    </x:row>
    <x:row r="3281" ht="22" customHeight="1">
      <x:c r="A3281" s="3"/>
      <x:c r="B3281" s="3" t="str">
        <x:v>21392</x:v>
      </x:c>
      <x:c r="C3281" s="3" t="str">
        <x:v>RED POLKADOT PUDDING BOWL</x:v>
      </x:c>
      <x:c r="D3281" s="13" t="n">
        <x:v>46.39</x:v>
      </x:c>
      <x:c r="E3281" s="13" t="n">
        <x:v>0</x:v>
      </x:c>
      <x:c r="F3281" s="13" t="n">
        <x:f>D3281-E3281</x:f>
        <x:v>46.39</x:v>
      </x:c>
      <x:c r="G3281" s="3" t="n">
        <x:v>34</x:v>
      </x:c>
      <x:c r="H3281" s="3" t="n">
        <x:v>0</x:v>
      </x:c>
      <x:c r="I3281" s="3" t="n">
        <x:v>7</x:v>
      </x:c>
      <x:c r="J3281" s="15" t="n">
        <x:f>IF(D3281=0,"n.a.",E3281/D3281)</x:f>
        <x:v>0</x:v>
      </x:c>
      <x:c r="K3281" s="15" t="n">
        <x:f>F3281/'Datos'!$F$7</x:f>
        <x:v>0.000004737197904507543</x:v>
      </x:c>
      <x:c r="L3281" s="3"/>
    </x:row>
    <x:row r="3282" ht="22" customHeight="1">
      <x:c r="A3282" s="3"/>
      <x:c r="B3282" s="3" t="str">
        <x:v>84801B</x:v>
      </x:c>
      <x:c r="C3282" s="3" t="str">
        <x:v>WHITE HYDRANGEA ART FLOWER</x:v>
      </x:c>
      <x:c r="D3282" s="13" t="n">
        <x:v>46.2</x:v>
      </x:c>
      <x:c r="E3282" s="13" t="n">
        <x:v>0</x:v>
      </x:c>
      <x:c r="F3282" s="13" t="n">
        <x:f>D3282-E3282</x:f>
        <x:v>46.2</x:v>
      </x:c>
      <x:c r="G3282" s="3" t="n">
        <x:v>22</x:v>
      </x:c>
      <x:c r="H3282" s="3" t="n">
        <x:v>0</x:v>
      </x:c>
      <x:c r="I3282" s="3" t="n">
        <x:v>3</x:v>
      </x:c>
      <x:c r="J3282" s="15" t="n">
        <x:f>IF(D3282=0,"n.a.",E3282/D3282)</x:f>
        <x:v>0</x:v>
      </x:c>
      <x:c r="K3282" s="15" t="n">
        <x:f>F3282/'Datos'!$F$7</x:f>
        <x:v>0.000004717795714340343</x:v>
      </x:c>
      <x:c r="L3282" s="3"/>
    </x:row>
    <x:row r="3283" ht="22" customHeight="1">
      <x:c r="A3283" s="3"/>
      <x:c r="B3283" s="3" t="str">
        <x:v>90018C</x:v>
      </x:c>
      <x:c r="C3283" s="3" t="str">
        <x:v>SILVER BLACK ORBIT DROP EARRINGS</x:v>
      </x:c>
      <x:c r="D3283" s="13" t="n">
        <x:v>50.4</x:v>
      </x:c>
      <x:c r="E3283" s="13" t="n">
        <x:v>4.25</x:v>
      </x:c>
      <x:c r="F3283" s="13" t="n">
        <x:f>D3283-E3283</x:f>
        <x:v>46.15</x:v>
      </x:c>
      <x:c r="G3283" s="3" t="n">
        <x:v>12</x:v>
      </x:c>
      <x:c r="H3283" s="3" t="n">
        <x:v>1</x:v>
      </x:c>
      <x:c r="I3283" s="3" t="n">
        <x:v>9</x:v>
      </x:c>
      <x:c r="J3283" s="15" t="n">
        <x:f>IF(D3283=0,"n.a.",E3283/D3283)</x:f>
        <x:v>0.08432539682539683</x:v>
      </x:c>
      <x:c r="K3283" s="15" t="n">
        <x:f>F3283/'Datos'!$F$7</x:f>
        <x:v>0.000004712689874822658</x:v>
      </x:c>
      <x:c r="L3283" s="3"/>
    </x:row>
    <x:row r="3284" ht="22" customHeight="1">
      <x:c r="A3284" s="3"/>
      <x:c r="B3284" s="3" t="str">
        <x:v>85031A</x:v>
      </x:c>
      <x:c r="C3284" s="3" t="str">
        <x:v>ROMANTIC IMAGES SCRAP BOOK SET</x:v>
      </x:c>
      <x:c r="D3284" s="13" t="n">
        <x:v>45.9</x:v>
      </x:c>
      <x:c r="E3284" s="13" t="n">
        <x:v>0</x:v>
      </x:c>
      <x:c r="F3284" s="13" t="n">
        <x:f>D3284-E3284</x:f>
        <x:v>45.9</x:v>
      </x:c>
      <x:c r="G3284" s="3" t="n">
        <x:v>16</x:v>
      </x:c>
      <x:c r="H3284" s="3" t="n">
        <x:v>0</x:v>
      </x:c>
      <x:c r="I3284" s="3" t="n">
        <x:v>7</x:v>
      </x:c>
      <x:c r="J3284" s="15" t="n">
        <x:f>IF(D3284=0,"n.a.",E3284/D3284)</x:f>
        <x:v>0</x:v>
      </x:c>
      <x:c r="K3284" s="15" t="n">
        <x:f>F3284/'Datos'!$F$7</x:f>
        <x:v>0.000004687160677234236</x:v>
      </x:c>
      <x:c r="L3284" s="3"/>
    </x:row>
    <x:row r="3285" ht="22" customHeight="1">
      <x:c r="A3285" s="3"/>
      <x:c r="B3285" s="3" t="str">
        <x:v>90012B</x:v>
      </x:c>
      <x:c r="C3285" s="3" t="str">
        <x:v>BLACK DROP CRYSTAL NECKLACE</x:v>
      </x:c>
      <x:c r="D3285" s="13" t="n">
        <x:v>45.35</x:v>
      </x:c>
      <x:c r="E3285" s="13" t="n">
        <x:v>0</x:v>
      </x:c>
      <x:c r="F3285" s="13" t="n">
        <x:f>D3285-E3285</x:f>
        <x:v>45.35</x:v>
      </x:c>
      <x:c r="G3285" s="3" t="n">
        <x:v>13</x:v>
      </x:c>
      <x:c r="H3285" s="3" t="n">
        <x:v>0</x:v>
      </x:c>
      <x:c r="I3285" s="3" t="n">
        <x:v>3</x:v>
      </x:c>
      <x:c r="J3285" s="15" t="n">
        <x:f>IF(D3285=0,"n.a.",E3285/D3285)</x:f>
        <x:v>0</x:v>
      </x:c>
      <x:c r="K3285" s="15" t="n">
        <x:f>F3285/'Datos'!$F$7</x:f>
        <x:v>0.000004630996442539709</x:v>
      </x:c>
      <x:c r="L3285" s="3"/>
    </x:row>
    <x:row r="3286" ht="22" customHeight="1">
      <x:c r="A3286" s="3"/>
      <x:c r="B3286" s="3" t="str">
        <x:v>90176D</x:v>
      </x:c>
      <x:c r="C3286" s="3" t="str">
        <x:v>DIAMANTE NECKLACE PURPLE</x:v>
      </x:c>
      <x:c r="D3286" s="13" t="n">
        <x:v>52.5</x:v>
      </x:c>
      <x:c r="E3286" s="13" t="n">
        <x:v>7.5</x:v>
      </x:c>
      <x:c r="F3286" s="13" t="n">
        <x:f>D3286-E3286</x:f>
        <x:v>45</x:v>
      </x:c>
      <x:c r="G3286" s="3" t="n">
        <x:v>7</x:v>
      </x:c>
      <x:c r="H3286" s="3" t="n">
        <x:v>1</x:v>
      </x:c>
      <x:c r="I3286" s="3" t="n">
        <x:v>4</x:v>
      </x:c>
      <x:c r="J3286" s="15" t="n">
        <x:f>IF(D3286=0,"n.a.",E3286/D3286)</x:f>
        <x:v>0.14285714285714285</x:v>
      </x:c>
      <x:c r="K3286" s="15" t="n">
        <x:f>F3286/'Datos'!$F$7</x:f>
        <x:v>0.000004595255565915918</x:v>
      </x:c>
      <x:c r="L3286" s="3"/>
    </x:row>
    <x:row r="3287" ht="22" customHeight="1">
      <x:c r="A3287" s="3"/>
      <x:c r="B3287" s="3" t="str">
        <x:v>23625</x:v>
      </x:c>
      <x:c r="C3287" s="3" t="str">
        <x:v>SET 6 CARDS SPARKLY REINDEER 17262</x:v>
      </x:c>
      <x:c r="D3287" s="13" t="n">
        <x:v>44.91</x:v>
      </x:c>
      <x:c r="E3287" s="13" t="n">
        <x:v>0</x:v>
      </x:c>
      <x:c r="F3287" s="13" t="n">
        <x:f>D3287-E3287</x:f>
        <x:v>44.91</x:v>
      </x:c>
      <x:c r="G3287" s="3" t="n">
        <x:v>9</x:v>
      </x:c>
      <x:c r="H3287" s="3" t="n">
        <x:v>0</x:v>
      </x:c>
      <x:c r="I3287" s="3" t="n">
        <x:v>4</x:v>
      </x:c>
      <x:c r="J3287" s="15" t="n">
        <x:f>IF(D3287=0,"n.a.",E3287/D3287)</x:f>
        <x:v>0</x:v>
      </x:c>
      <x:c r="K3287" s="15" t="n">
        <x:f>F3287/'Datos'!$F$7</x:f>
        <x:v>0.000004586065054784086</x:v>
      </x:c>
      <x:c r="L3287" s="3"/>
    </x:row>
    <x:row r="3288" ht="22" customHeight="1">
      <x:c r="A3288" s="3"/>
      <x:c r="B3288" s="3" t="str">
        <x:v>90141B</x:v>
      </x:c>
      <x:c r="C3288" s="3" t="str">
        <x:v>IVORY PENDANT TRIPLE SHELL NECKLACE</x:v>
      </x:c>
      <x:c r="D3288" s="13" t="n">
        <x:v>44.86</x:v>
      </x:c>
      <x:c r="E3288" s="13" t="n">
        <x:v>0</x:v>
      </x:c>
      <x:c r="F3288" s="13" t="n">
        <x:f>D3288-E3288</x:f>
        <x:v>44.86</x:v>
      </x:c>
      <x:c r="G3288" s="3" t="n">
        <x:v>9</x:v>
      </x:c>
      <x:c r="H3288" s="3" t="n">
        <x:v>0</x:v>
      </x:c>
      <x:c r="I3288" s="3" t="n">
        <x:v>5</x:v>
      </x:c>
      <x:c r="J3288" s="15" t="n">
        <x:f>IF(D3288=0,"n.a.",E3288/D3288)</x:f>
        <x:v>0</x:v>
      </x:c>
      <x:c r="K3288" s="15" t="n">
        <x:f>F3288/'Datos'!$F$7</x:f>
        <x:v>0.000004580959215266402</x:v>
      </x:c>
      <x:c r="L3288" s="3"/>
    </x:row>
    <x:row r="3289" ht="22" customHeight="1">
      <x:c r="A3289" s="3"/>
      <x:c r="B3289" s="3" t="str">
        <x:v>84086B</x:v>
      </x:c>
      <x:c r="C3289" s="3" t="str">
        <x:v>YELLOW/BLUE RETRO RADIO</x:v>
      </x:c>
      <x:c r="D3289" s="13" t="n">
        <x:v>47.2</x:v>
      </x:c>
      <x:c r="E3289" s="13" t="n">
        <x:v>2.95</x:v>
      </x:c>
      <x:c r="F3289" s="13" t="n">
        <x:f>D3289-E3289</x:f>
        <x:v>44.25</x:v>
      </x:c>
      <x:c r="G3289" s="3" t="n">
        <x:v>16</x:v>
      </x:c>
      <x:c r="H3289" s="3" t="n">
        <x:v>1</x:v>
      </x:c>
      <x:c r="I3289" s="3" t="n">
        <x:v>7</x:v>
      </x:c>
      <x:c r="J3289" s="15" t="n">
        <x:f>IF(D3289=0,"n.a.",E3289/D3289)</x:f>
        <x:v>0.0625</x:v>
      </x:c>
      <x:c r="K3289" s="15" t="n">
        <x:f>F3289/'Datos'!$F$7</x:f>
        <x:v>0.000004518667973150653</x:v>
      </x:c>
      <x:c r="L3289" s="3"/>
    </x:row>
    <x:row r="3290" ht="22" customHeight="1">
      <x:c r="A3290" s="3"/>
      <x:c r="B3290" s="3" t="str">
        <x:v>85185D</x:v>
      </x:c>
      <x:c r="C3290" s="3" t="str">
        <x:v>FROG SOCK PUPPET</x:v>
      </x:c>
      <x:c r="D3290" s="13" t="n">
        <x:v>44.25</x:v>
      </x:c>
      <x:c r="E3290" s="13" t="n">
        <x:v>0</x:v>
      </x:c>
      <x:c r="F3290" s="13" t="n">
        <x:f>D3290-E3290</x:f>
        <x:v>44.25</x:v>
      </x:c>
      <x:c r="G3290" s="3" t="n">
        <x:v>15</x:v>
      </x:c>
      <x:c r="H3290" s="3" t="n">
        <x:v>0</x:v>
      </x:c>
      <x:c r="I3290" s="3" t="n">
        <x:v>8</x:v>
      </x:c>
      <x:c r="J3290" s="15" t="n">
        <x:f>IF(D3290=0,"n.a.",E3290/D3290)</x:f>
        <x:v>0</x:v>
      </x:c>
      <x:c r="K3290" s="15" t="n">
        <x:f>F3290/'Datos'!$F$7</x:f>
        <x:v>0.000004518667973150653</x:v>
      </x:c>
      <x:c r="L3290" s="3"/>
    </x:row>
    <x:row r="3291" ht="22" customHeight="1">
      <x:c r="A3291" s="3"/>
      <x:c r="B3291" s="3" t="str">
        <x:v>20670</x:v>
      </x:c>
      <x:c r="C3291" s="3" t="str">
        <x:v>VIP HOLIDAY PURSE</x:v>
      </x:c>
      <x:c r="D3291" s="13" t="n">
        <x:v>44.04</x:v>
      </x:c>
      <x:c r="E3291" s="13" t="n">
        <x:v>0</x:v>
      </x:c>
      <x:c r="F3291" s="13" t="n">
        <x:f>D3291-E3291</x:f>
        <x:v>44.04</x:v>
      </x:c>
      <x:c r="G3291" s="3" t="n">
        <x:v>14</x:v>
      </x:c>
      <x:c r="H3291" s="3" t="n">
        <x:v>0</x:v>
      </x:c>
      <x:c r="I3291" s="3" t="n">
        <x:v>11</x:v>
      </x:c>
      <x:c r="J3291" s="15" t="n">
        <x:f>IF(D3291=0,"n.a.",E3291/D3291)</x:f>
        <x:v>0</x:v>
      </x:c>
      <x:c r="K3291" s="15" t="n">
        <x:f>F3291/'Datos'!$F$7</x:f>
        <x:v>0.0000044972234471763785</x:v>
      </x:c>
      <x:c r="L3291" s="3"/>
    </x:row>
    <x:row r="3292" ht="22" customHeight="1">
      <x:c r="A3292" s="3"/>
      <x:c r="B3292" s="3" t="str">
        <x:v>47344B</x:v>
      </x:c>
      <x:c r="C3292" s="3" t="str">
        <x:v>BLUE FLOWER DES PURSE</x:v>
      </x:c>
      <x:c r="D3292" s="13" t="n">
        <x:v>43.66</x:v>
      </x:c>
      <x:c r="E3292" s="13" t="n">
        <x:v>0</x:v>
      </x:c>
      <x:c r="F3292" s="13" t="n">
        <x:f>D3292-E3292</x:f>
        <x:v>43.66</x:v>
      </x:c>
      <x:c r="G3292" s="3" t="n">
        <x:v>44</x:v>
      </x:c>
      <x:c r="H3292" s="3" t="n">
        <x:v>0</x:v>
      </x:c>
      <x:c r="I3292" s="3" t="n">
        <x:v>6</x:v>
      </x:c>
      <x:c r="J3292" s="15" t="n">
        <x:f>IF(D3292=0,"n.a.",E3292/D3292)</x:f>
        <x:v>0</x:v>
      </x:c>
      <x:c r="K3292" s="15" t="n">
        <x:f>F3292/'Datos'!$F$7</x:f>
        <x:v>0.000004458419066841977</x:v>
      </x:c>
      <x:c r="L3292" s="3"/>
    </x:row>
    <x:row r="3293" ht="22" customHeight="1">
      <x:c r="A3293" s="3"/>
      <x:c r="B3293" s="3" t="str">
        <x:v>79063C</x:v>
      </x:c>
      <x:c r="C3293" s="3" t="str">
        <x:v>RETRO PILL BOX KEY CHAIN,THE KING</x:v>
      </x:c>
      <x:c r="D3293" s="13" t="n">
        <x:v>43.65</x:v>
      </x:c>
      <x:c r="E3293" s="13" t="n">
        <x:v>0</x:v>
      </x:c>
      <x:c r="F3293" s="13" t="n">
        <x:f>D3293-E3293</x:f>
        <x:v>43.65</x:v>
      </x:c>
      <x:c r="G3293" s="3" t="n">
        <x:v>235</x:v>
      </x:c>
      <x:c r="H3293" s="3" t="n">
        <x:v>0</x:v>
      </x:c>
      <x:c r="I3293" s="3" t="n">
        <x:v>14</x:v>
      </x:c>
      <x:c r="J3293" s="15" t="n">
        <x:f>IF(D3293=0,"n.a.",E3293/D3293)</x:f>
        <x:v>0</x:v>
      </x:c>
      <x:c r="K3293" s="15" t="n">
        <x:f>F3293/'Datos'!$F$7</x:f>
        <x:v>0.00000445739789893844</x:v>
      </x:c>
      <x:c r="L3293" s="3"/>
    </x:row>
    <x:row r="3294" ht="22" customHeight="1">
      <x:c r="A3294" s="3"/>
      <x:c r="B3294" s="3" t="str">
        <x:v>90056</x:v>
      </x:c>
      <x:c r="C3294" s="3" t="str">
        <x:v>CHUNKY CRACKED GLAZE NECKLACE IVORY</x:v>
      </x:c>
      <x:c r="D3294" s="13" t="n">
        <x:v>43.51</x:v>
      </x:c>
      <x:c r="E3294" s="13" t="n">
        <x:v>0</x:v>
      </x:c>
      <x:c r="F3294" s="13" t="n">
        <x:f>D3294-E3294</x:f>
        <x:v>43.51</x:v>
      </x:c>
      <x:c r="G3294" s="3" t="n">
        <x:v>4</x:v>
      </x:c>
      <x:c r="H3294" s="3" t="n">
        <x:v>0</x:v>
      </x:c>
      <x:c r="I3294" s="3" t="n">
        <x:v>4</x:v>
      </x:c>
      <x:c r="J3294" s="15" t="n">
        <x:f>IF(D3294=0,"n.a.",E3294/D3294)</x:f>
        <x:v>0</x:v>
      </x:c>
      <x:c r="K3294" s="15" t="n">
        <x:f>F3294/'Datos'!$F$7</x:f>
        <x:v>0.000004443101548288924</x:v>
      </x:c>
      <x:c r="L3294" s="3"/>
    </x:row>
    <x:row r="3295" ht="22" customHeight="1">
      <x:c r="A3295" s="3"/>
      <x:c r="B3295" s="3" t="str">
        <x:v>20698</x:v>
      </x:c>
      <x:c r="C3295" s="3" t="str">
        <x:v>LITTLE PINK MONSTER SOFT TOY</x:v>
      </x:c>
      <x:c r="D3295" s="13" t="n">
        <x:v>43.35</x:v>
      </x:c>
      <x:c r="E3295" s="13" t="n">
        <x:v>0</x:v>
      </x:c>
      <x:c r="F3295" s="13" t="n">
        <x:f>D3295-E3295</x:f>
        <x:v>43.35</x:v>
      </x:c>
      <x:c r="G3295" s="3" t="n">
        <x:v>17</x:v>
      </x:c>
      <x:c r="H3295" s="3" t="n">
        <x:v>0</x:v>
      </x:c>
      <x:c r="I3295" s="3" t="n">
        <x:v>8</x:v>
      </x:c>
      <x:c r="J3295" s="15" t="n">
        <x:f>IF(D3295=0,"n.a.",E3295/D3295)</x:f>
        <x:v>0</x:v>
      </x:c>
      <x:c r="K3295" s="15" t="n">
        <x:f>F3295/'Datos'!$F$7</x:f>
        <x:v>0.000004426762861832335</x:v>
      </x:c>
      <x:c r="L3295" s="3"/>
    </x:row>
    <x:row r="3296" ht="22" customHeight="1">
      <x:c r="A3296" s="3"/>
      <x:c r="B3296" s="3" t="str">
        <x:v>90014C</x:v>
      </x:c>
      <x:c r="C3296" s="3" t="str">
        <x:v>SILVER AND BLACK ORBIT NECKLACE</x:v>
      </x:c>
      <x:c r="D3296" s="13" t="n">
        <x:v>43.2</x:v>
      </x:c>
      <x:c r="E3296" s="13" t="n">
        <x:v>0</x:v>
      </x:c>
      <x:c r="F3296" s="13" t="n">
        <x:f>D3296-E3296</x:f>
        <x:v>43.2</x:v>
      </x:c>
      <x:c r="G3296" s="3" t="n">
        <x:v>5</x:v>
      </x:c>
      <x:c r="H3296" s="3" t="n">
        <x:v>0</x:v>
      </x:c>
      <x:c r="I3296" s="3" t="n">
        <x:v>4</x:v>
      </x:c>
      <x:c r="J3296" s="15" t="n">
        <x:f>IF(D3296=0,"n.a.",E3296/D3296)</x:f>
        <x:v>0</x:v>
      </x:c>
      <x:c r="K3296" s="15" t="n">
        <x:f>F3296/'Datos'!$F$7</x:f>
        <x:v>0.000004411445343279282</x:v>
      </x:c>
      <x:c r="L3296" s="3"/>
    </x:row>
    <x:row r="3297" ht="22" customHeight="1">
      <x:c r="A3297" s="3"/>
      <x:c r="B3297" s="3" t="str">
        <x:v>37444C</x:v>
      </x:c>
      <x:c r="C3297" s="3" t="str">
        <x:v>PINK BREAKFAST CUP AND SAUCER</x:v>
      </x:c>
      <x:c r="D3297" s="13" t="n">
        <x:v>43.05</x:v>
      </x:c>
      <x:c r="E3297" s="13" t="n">
        <x:v>0</x:v>
      </x:c>
      <x:c r="F3297" s="13" t="n">
        <x:f>D3297-E3297</x:f>
        <x:v>43.05</x:v>
      </x:c>
      <x:c r="G3297" s="3" t="n">
        <x:v>23</x:v>
      </x:c>
      <x:c r="H3297" s="3" t="n">
        <x:v>0</x:v>
      </x:c>
      <x:c r="I3297" s="3" t="n">
        <x:v>9</x:v>
      </x:c>
      <x:c r="J3297" s="15" t="n">
        <x:f>IF(D3297=0,"n.a.",E3297/D3297)</x:f>
        <x:v>0</x:v>
      </x:c>
      <x:c r="K3297" s="15" t="n">
        <x:f>F3297/'Datos'!$F$7</x:f>
        <x:v>0.000004396127824726228</x:v>
      </x:c>
      <x:c r="L3297" s="3"/>
    </x:row>
    <x:row r="3298" ht="22" customHeight="1">
      <x:c r="A3298" s="3"/>
      <x:c r="B3298" s="3" t="str">
        <x:v>23038</x:v>
      </x:c>
      <x:c r="C3298" s="3" t="str">
        <x:v>T-LIGHT HOLDER SILVER SAUCER</x:v>
      </x:c>
      <x:c r="D3298" s="13" t="n">
        <x:v>42.92</x:v>
      </x:c>
      <x:c r="E3298" s="13" t="n">
        <x:v>0</x:v>
      </x:c>
      <x:c r="F3298" s="13" t="n">
        <x:f>D3298-E3298</x:f>
        <x:v>42.92</x:v>
      </x:c>
      <x:c r="G3298" s="3" t="n">
        <x:v>44</x:v>
      </x:c>
      <x:c r="H3298" s="3" t="n">
        <x:v>0</x:v>
      </x:c>
      <x:c r="I3298" s="3" t="n">
        <x:v>8</x:v>
      </x:c>
      <x:c r="J3298" s="15" t="n">
        <x:f>IF(D3298=0,"n.a.",E3298/D3298)</x:f>
        <x:v>0</x:v>
      </x:c>
      <x:c r="K3298" s="15" t="n">
        <x:f>F3298/'Datos'!$F$7</x:f>
        <x:v>0.000004382852641980249</x:v>
      </x:c>
      <x:c r="L3298" s="3"/>
    </x:row>
    <x:row r="3299" ht="22" customHeight="1">
      <x:c r="A3299" s="3"/>
      <x:c r="B3299" s="3" t="str">
        <x:v>84539</x:v>
      </x:c>
      <x:c r="C3299" s="3" t="str">
        <x:v>KNITTED RABBIT DOLL</x:v>
      </x:c>
      <x:c r="D3299" s="13" t="n">
        <x:v>42.9</x:v>
      </x:c>
      <x:c r="E3299" s="13" t="n">
        <x:v>0</x:v>
      </x:c>
      <x:c r="F3299" s="13" t="n">
        <x:f>D3299-E3299</x:f>
        <x:v>42.9</x:v>
      </x:c>
      <x:c r="G3299" s="3" t="n">
        <x:v>26</x:v>
      </x:c>
      <x:c r="H3299" s="3" t="n">
        <x:v>0</x:v>
      </x:c>
      <x:c r="I3299" s="3" t="n">
        <x:v>2</x:v>
      </x:c>
      <x:c r="J3299" s="15" t="n">
        <x:f>IF(D3299=0,"n.a.",E3299/D3299)</x:f>
        <x:v>0</x:v>
      </x:c>
      <x:c r="K3299" s="15" t="n">
        <x:f>F3299/'Datos'!$F$7</x:f>
        <x:v>0.000004380810306173175</x:v>
      </x:c>
      <x:c r="L3299" s="3"/>
    </x:row>
    <x:row r="3300" ht="22" customHeight="1">
      <x:c r="A3300" s="3"/>
      <x:c r="B3300" s="3" t="str">
        <x:v>84857B</x:v>
      </x:c>
      <x:c r="C3300" s="3" t="str">
        <x:v>BLUE MONTE CARLO HANDBAG</x:v>
      </x:c>
      <x:c r="D3300" s="13" t="n">
        <x:v>46.8</x:v>
      </x:c>
      <x:c r="E3300" s="13" t="n">
        <x:v>3.9</x:v>
      </x:c>
      <x:c r="F3300" s="13" t="n">
        <x:f>D3300-E3300</x:f>
        <x:v>42.9</x:v>
      </x:c>
      <x:c r="G3300" s="3" t="n">
        <x:v>24</x:v>
      </x:c>
      <x:c r="H3300" s="3" t="n">
        <x:v>2</x:v>
      </x:c>
      <x:c r="I3300" s="3" t="n">
        <x:v>1</x:v>
      </x:c>
      <x:c r="J3300" s="15" t="n">
        <x:f>IF(D3300=0,"n.a.",E3300/D3300)</x:f>
        <x:v>0.08333333333333334</x:v>
      </x:c>
      <x:c r="K3300" s="15" t="n">
        <x:f>F3300/'Datos'!$F$7</x:f>
        <x:v>0.000004380810306173175</x:v>
      </x:c>
      <x:c r="L3300" s="3"/>
    </x:row>
    <x:row r="3301" ht="22" customHeight="1">
      <x:c r="A3301" s="3"/>
      <x:c r="B3301" s="3" t="str">
        <x:v>22987</x:v>
      </x:c>
      <x:c r="C3301" s="3" t="str">
        <x:v>WRAP SUMMER ROSE DESIGN</x:v>
      </x:c>
      <x:c r="D3301" s="13" t="n">
        <x:v>42.84</x:v>
      </x:c>
      <x:c r="E3301" s="13" t="n">
        <x:v>0</x:v>
      </x:c>
      <x:c r="F3301" s="13" t="n">
        <x:f>D3301-E3301</x:f>
        <x:v>42.84</x:v>
      </x:c>
      <x:c r="G3301" s="3" t="n">
        <x:v>102</x:v>
      </x:c>
      <x:c r="H3301" s="3" t="n">
        <x:v>0</x:v>
      </x:c>
      <x:c r="I3301" s="3" t="n">
        <x:v>5</x:v>
      </x:c>
      <x:c r="J3301" s="15" t="n">
        <x:f>IF(D3301=0,"n.a.",E3301/D3301)</x:f>
        <x:v>0</x:v>
      </x:c>
      <x:c r="K3301" s="15" t="n">
        <x:f>F3301/'Datos'!$F$7</x:f>
        <x:v>0.000004374683298751954</x:v>
      </x:c>
      <x:c r="L3301" s="3"/>
    </x:row>
    <x:row r="3302" ht="22" customHeight="1">
      <x:c r="A3302" s="3"/>
      <x:c r="B3302" s="3" t="str">
        <x:v>20818</x:v>
      </x:c>
      <x:c r="C3302" s="3" t="str">
        <x:v>GOLD TEDDY BEAR</x:v>
      </x:c>
      <x:c r="D3302" s="13" t="n">
        <x:v>42.7</x:v>
      </x:c>
      <x:c r="E3302" s="13" t="n">
        <x:v>0</x:v>
      </x:c>
      <x:c r="F3302" s="13" t="n">
        <x:f>D3302-E3302</x:f>
        <x:v>42.7</x:v>
      </x:c>
      <x:c r="G3302" s="3" t="n">
        <x:v>15</x:v>
      </x:c>
      <x:c r="H3302" s="3" t="n">
        <x:v>0</x:v>
      </x:c>
      <x:c r="I3302" s="3" t="n">
        <x:v>5</x:v>
      </x:c>
      <x:c r="J3302" s="15" t="n">
        <x:f>IF(D3302=0,"n.a.",E3302/D3302)</x:f>
        <x:v>0</x:v>
      </x:c>
      <x:c r="K3302" s="15" t="n">
        <x:f>F3302/'Datos'!$F$7</x:f>
        <x:v>0.000004360386948102438</x:v>
      </x:c>
      <x:c r="L3302" s="3"/>
    </x:row>
    <x:row r="3303" ht="22" customHeight="1">
      <x:c r="A3303" s="3"/>
      <x:c r="B3303" s="3" t="str">
        <x:v>16254</x:v>
      </x:c>
      <x:c r="C3303" s="3" t="str">
        <x:v>TRANSPARENT ACRYLIC TAPE DISPENSER</x:v>
      </x:c>
      <x:c r="D3303" s="13" t="n">
        <x:v>42.58</x:v>
      </x:c>
      <x:c r="E3303" s="13" t="n">
        <x:v>0</x:v>
      </x:c>
      <x:c r="F3303" s="13" t="n">
        <x:f>D3303-E3303</x:f>
        <x:v>42.58</x:v>
      </x:c>
      <x:c r="G3303" s="3" t="n">
        <x:v>40</x:v>
      </x:c>
      <x:c r="H3303" s="3" t="n">
        <x:v>0</x:v>
      </x:c>
      <x:c r="I3303" s="3" t="n">
        <x:v>17</x:v>
      </x:c>
      <x:c r="J3303" s="15" t="n">
        <x:f>IF(D3303=0,"n.a.",E3303/D3303)</x:f>
        <x:v>0</x:v>
      </x:c>
      <x:c r="K3303" s="15" t="n">
        <x:f>F3303/'Datos'!$F$7</x:f>
        <x:v>0.000004348132933259995</x:v>
      </x:c>
      <x:c r="L3303" s="3"/>
    </x:row>
    <x:row r="3304" ht="22" customHeight="1">
      <x:c r="A3304" s="3"/>
      <x:c r="B3304" s="3" t="str">
        <x:v>84922</x:v>
      </x:c>
      <x:c r="C3304" s="3" t="str">
        <x:v>PINK BUTTERFLY WASHBAG</x:v>
      </x:c>
      <x:c r="D3304" s="13" t="n">
        <x:v>42.29</x:v>
      </x:c>
      <x:c r="E3304" s="13" t="n">
        <x:v>0</x:v>
      </x:c>
      <x:c r="F3304" s="13" t="n">
        <x:f>D3304-E3304</x:f>
        <x:v>42.29</x:v>
      </x:c>
      <x:c r="G3304" s="3" t="n">
        <x:v>9</x:v>
      </x:c>
      <x:c r="H3304" s="3" t="n">
        <x:v>0</x:v>
      </x:c>
      <x:c r="I3304" s="3" t="n">
        <x:v>6</x:v>
      </x:c>
      <x:c r="J3304" s="15" t="n">
        <x:f>IF(D3304=0,"n.a.",E3304/D3304)</x:f>
        <x:v>0</x:v>
      </x:c>
      <x:c r="K3304" s="15" t="n">
        <x:f>F3304/'Datos'!$F$7</x:f>
        <x:v>0.000004318519064057426</x:v>
      </x:c>
      <x:c r="L3304" s="3"/>
    </x:row>
    <x:row r="3305" ht="22" customHeight="1">
      <x:c r="A3305" s="3"/>
      <x:c r="B3305" s="3" t="str">
        <x:v>90029</x:v>
      </x:c>
      <x:c r="C3305" s="3" t="str">
        <x:v>NEW BAROQUE SMALL NECKLACE BLACK</x:v>
      </x:c>
      <x:c r="D3305" s="13" t="n">
        <x:v>42.14</x:v>
      </x:c>
      <x:c r="E3305" s="13" t="n">
        <x:v>0</x:v>
      </x:c>
      <x:c r="F3305" s="13" t="n">
        <x:f>D3305-E3305</x:f>
        <x:v>42.14</x:v>
      </x:c>
      <x:c r="G3305" s="3" t="n">
        <x:v>5</x:v>
      </x:c>
      <x:c r="H3305" s="3" t="n">
        <x:v>0</x:v>
      </x:c>
      <x:c r="I3305" s="3" t="n">
        <x:v>4</x:v>
      </x:c>
      <x:c r="J3305" s="15" t="n">
        <x:f>IF(D3305=0,"n.a.",E3305/D3305)</x:f>
        <x:v>0</x:v>
      </x:c>
      <x:c r="K3305" s="15" t="n">
        <x:f>F3305/'Datos'!$F$7</x:f>
        <x:v>0.000004303201545504373</x:v>
      </x:c>
      <x:c r="L3305" s="3"/>
    </x:row>
    <x:row r="3306" ht="22" customHeight="1">
      <x:c r="A3306" s="3"/>
      <x:c r="B3306" s="3" t="str">
        <x:v>90024F</x:v>
      </x:c>
      <x:c r="C3306" s="3" t="str">
        <x:v>NEW BAROQUE B'FLY NECKLACE CRYSTAL</x:v>
      </x:c>
      <x:c r="D3306" s="13" t="n">
        <x:v>42.13</x:v>
      </x:c>
      <x:c r="E3306" s="13" t="n">
        <x:v>0</x:v>
      </x:c>
      <x:c r="F3306" s="13" t="n">
        <x:f>D3306-E3306</x:f>
        <x:v>42.13</x:v>
      </x:c>
      <x:c r="G3306" s="3" t="n">
        <x:v>5</x:v>
      </x:c>
      <x:c r="H3306" s="3" t="n">
        <x:v>0</x:v>
      </x:c>
      <x:c r="I3306" s="3" t="n">
        <x:v>4</x:v>
      </x:c>
      <x:c r="J3306" s="15" t="n">
        <x:f>IF(D3306=0,"n.a.",E3306/D3306)</x:f>
        <x:v>0</x:v>
      </x:c>
      <x:c r="K3306" s="15" t="n">
        <x:f>F3306/'Datos'!$F$7</x:f>
        <x:v>0.000004302180377600836</x:v>
      </x:c>
      <x:c r="L3306" s="3"/>
    </x:row>
    <x:row r="3307" ht="22" customHeight="1">
      <x:c r="A3307" s="3"/>
      <x:c r="B3307" s="3" t="str">
        <x:v>90185C</x:v>
      </x:c>
      <x:c r="C3307" s="3" t="str">
        <x:v>BLACK DIAMANTE EXPANDABLE RING</x:v>
      </x:c>
      <x:c r="D3307" s="13" t="n">
        <x:v>110.09</x:v>
      </x:c>
      <x:c r="E3307" s="13" t="n">
        <x:v>68</x:v>
      </x:c>
      <x:c r="F3307" s="13" t="n">
        <x:f>D3307-E3307</x:f>
        <x:v>42.09</x:v>
      </x:c>
      <x:c r="G3307" s="3" t="n">
        <x:v>26</x:v>
      </x:c>
      <x:c r="H3307" s="3" t="n">
        <x:v>16</x:v>
      </x:c>
      <x:c r="I3307" s="3" t="n">
        <x:v>10</x:v>
      </x:c>
      <x:c r="J3307" s="15" t="n">
        <x:f>IF(D3307=0,"n.a.",E3307/D3307)</x:f>
        <x:v>0.6176764465437369</x:v>
      </x:c>
      <x:c r="K3307" s="15" t="n">
        <x:f>F3307/'Datos'!$F$7</x:f>
        <x:v>0.000004298095705986689</x:v>
      </x:c>
      <x:c r="L3307" s="3"/>
    </x:row>
    <x:row r="3308" ht="22" customHeight="1">
      <x:c r="A3308" s="3"/>
      <x:c r="B3308" s="3" t="str">
        <x:v>17084A</x:v>
      </x:c>
      <x:c r="C3308" s="3" t="str">
        <x:v>TRANQUILITY MASALA INCENSE</x:v>
      </x:c>
      <x:c r="D3308" s="13" t="n">
        <x:v>42</x:v>
      </x:c>
      <x:c r="E3308" s="13" t="n">
        <x:v>0</x:v>
      </x:c>
      <x:c r="F3308" s="13" t="n">
        <x:f>D3308-E3308</x:f>
        <x:v>42</x:v>
      </x:c>
      <x:c r="G3308" s="3" t="n">
        <x:v>200</x:v>
      </x:c>
      <x:c r="H3308" s="3" t="n">
        <x:v>0</x:v>
      </x:c>
      <x:c r="I3308" s="3" t="n">
        <x:v>7</x:v>
      </x:c>
      <x:c r="J3308" s="15" t="n">
        <x:f>IF(D3308=0,"n.a.",E3308/D3308)</x:f>
        <x:v>0</x:v>
      </x:c>
      <x:c r="K3308" s="15" t="n">
        <x:f>F3308/'Datos'!$F$7</x:f>
        <x:v>0.000004288905194854857</x:v>
      </x:c>
      <x:c r="L3308" s="3"/>
    </x:row>
    <x:row r="3309" ht="22" customHeight="1">
      <x:c r="A3309" s="3"/>
      <x:c r="B3309" s="3" t="str">
        <x:v>90050</x:v>
      </x:c>
      <x:c r="C3309" s="3" t="str">
        <x:v>CRACKED GLAZE NECKLACE IVORY</x:v>
      </x:c>
      <x:c r="D3309" s="13" t="n">
        <x:v>55.72</x:v>
      </x:c>
      <x:c r="E3309" s="13" t="n">
        <x:v>13.9</x:v>
      </x:c>
      <x:c r="F3309" s="13" t="n">
        <x:f>D3309-E3309</x:f>
        <x:v>41.82</x:v>
      </x:c>
      <x:c r="G3309" s="3" t="n">
        <x:v>8</x:v>
      </x:c>
      <x:c r="H3309" s="3" t="n">
        <x:v>2</x:v>
      </x:c>
      <x:c r="I3309" s="3" t="n">
        <x:v>4</x:v>
      </x:c>
      <x:c r="J3309" s="15" t="n">
        <x:f>IF(D3309=0,"n.a.",E3309/D3309)</x:f>
        <x:v>0.2494615936826992</x:v>
      </x:c>
      <x:c r="K3309" s="15" t="n">
        <x:f>F3309/'Datos'!$F$7</x:f>
        <x:v>0.0000042705241725911935</x:v>
      </x:c>
      <x:c r="L3309" s="3"/>
    </x:row>
    <x:row r="3310" ht="22" customHeight="1">
      <x:c r="A3310" s="3"/>
      <x:c r="B3310" s="3" t="str">
        <x:v>90120D</x:v>
      </x:c>
      <x:c r="C3310" s="3" t="str">
        <x:v>WHITE MURANO TWIST BRACELET</x:v>
      </x:c>
      <x:c r="D3310" s="13" t="n">
        <x:v>41.79</x:v>
      </x:c>
      <x:c r="E3310" s="13" t="n">
        <x:v>0</x:v>
      </x:c>
      <x:c r="F3310" s="13" t="n">
        <x:f>D3310-E3310</x:f>
        <x:v>41.79</x:v>
      </x:c>
      <x:c r="G3310" s="3" t="n">
        <x:v>10</x:v>
      </x:c>
      <x:c r="H3310" s="3" t="n">
        <x:v>0</x:v>
      </x:c>
      <x:c r="I3310" s="3" t="n">
        <x:v>5</x:v>
      </x:c>
      <x:c r="J3310" s="15" t="n">
        <x:f>IF(D3310=0,"n.a.",E3310/D3310)</x:f>
        <x:v>0</x:v>
      </x:c>
      <x:c r="K3310" s="15" t="n">
        <x:f>F3310/'Datos'!$F$7</x:f>
        <x:v>0.0000042674606688805825</x:v>
      </x:c>
      <x:c r="L3310" s="3"/>
    </x:row>
    <x:row r="3311" ht="22" customHeight="1">
      <x:c r="A3311" s="3"/>
      <x:c r="B3311" s="3" t="str">
        <x:v>20666</x:v>
      </x:c>
      <x:c r="C3311" s="3" t="str">
        <x:v>ECONOMY HOLIDAY PURSE</x:v>
      </x:c>
      <x:c r="D3311" s="13" t="n">
        <x:v>41.53</x:v>
      </x:c>
      <x:c r="E3311" s="13" t="n">
        <x:v>0</x:v>
      </x:c>
      <x:c r="F3311" s="13" t="n">
        <x:f>D3311-E3311</x:f>
        <x:v>41.53</x:v>
      </x:c>
      <x:c r="G3311" s="3" t="n">
        <x:v>30</x:v>
      </x:c>
      <x:c r="H3311" s="3" t="n">
        <x:v>0</x:v>
      </x:c>
      <x:c r="I3311" s="3" t="n">
        <x:v>17</x:v>
      </x:c>
      <x:c r="J3311" s="15" t="n">
        <x:f>IF(D3311=0,"n.a.",E3311/D3311)</x:f>
        <x:v>0</x:v>
      </x:c>
      <x:c r="K3311" s="15" t="n">
        <x:f>F3311/'Datos'!$F$7</x:f>
        <x:v>0.000004240910303388624</x:v>
      </x:c>
      <x:c r="L3311" s="3"/>
    </x:row>
    <x:row r="3312" ht="22" customHeight="1">
      <x:c r="A3312" s="3"/>
      <x:c r="B3312" s="3" t="str">
        <x:v>15030</x:v>
      </x:c>
      <x:c r="C3312" s="3" t="str">
        <x:v>FAN BLACK FRAME</x:v>
      </x:c>
      <x:c r="D3312" s="13" t="n">
        <x:v>41.47</x:v>
      </x:c>
      <x:c r="E3312" s="13" t="n">
        <x:v>0</x:v>
      </x:c>
      <x:c r="F3312" s="13" t="n">
        <x:f>D3312-E3312</x:f>
        <x:v>41.47</x:v>
      </x:c>
      <x:c r="G3312" s="3" t="n">
        <x:v>143</x:v>
      </x:c>
      <x:c r="H3312" s="3" t="n">
        <x:v>0</x:v>
      </x:c>
      <x:c r="I3312" s="3" t="n">
        <x:v>12</x:v>
      </x:c>
      <x:c r="J3312" s="15" t="n">
        <x:f>IF(D3312=0,"n.a.",E3312/D3312)</x:f>
        <x:v>0</x:v>
      </x:c>
      <x:c r="K3312" s="15" t="n">
        <x:f>F3312/'Datos'!$F$7</x:f>
        <x:v>0.000004234783295967403</x:v>
      </x:c>
      <x:c r="L3312" s="3"/>
    </x:row>
    <x:row r="3313" ht="22" customHeight="1">
      <x:c r="A3313" s="3"/>
      <x:c r="B3313" s="3" t="str">
        <x:v>90211B</x:v>
      </x:c>
      <x:c r="C3313" s="3" t="str">
        <x:v>JET BLACK LAS VEGAS NECKLACE 45CM</x:v>
      </x:c>
      <x:c r="D3313" s="13" t="n">
        <x:v>53.26</x:v>
      </x:c>
      <x:c r="E3313" s="13" t="n">
        <x:v>11.9</x:v>
      </x:c>
      <x:c r="F3313" s="13" t="n">
        <x:f>D3313-E3313</x:f>
        <x:v>41.36</x:v>
      </x:c>
      <x:c r="G3313" s="3" t="n">
        <x:v>9</x:v>
      </x:c>
      <x:c r="H3313" s="3" t="n">
        <x:v>2</x:v>
      </x:c>
      <x:c r="I3313" s="3" t="n">
        <x:v>6</x:v>
      </x:c>
      <x:c r="J3313" s="15" t="n">
        <x:f>IF(D3313=0,"n.a.",E3313/D3313)</x:f>
        <x:v>0.22343221930153964</x:v>
      </x:c>
      <x:c r="K3313" s="15" t="n">
        <x:f>F3313/'Datos'!$F$7</x:f>
        <x:v>0.000004223550449028497</x:v>
      </x:c>
      <x:c r="L3313" s="3"/>
    </x:row>
    <x:row r="3314" ht="22" customHeight="1">
      <x:c r="A3314" s="3"/>
      <x:c r="B3314" s="3" t="str">
        <x:v>90003B</x:v>
      </x:c>
      <x:c r="C3314" s="3" t="str">
        <x:v>ROSE COLOUR PAIR HEART HAIR SLIDES</x:v>
      </x:c>
      <x:c r="D3314" s="13" t="n">
        <x:v>56.31</x:v>
      </x:c>
      <x:c r="E3314" s="13" t="n">
        <x:v>15</x:v>
      </x:c>
      <x:c r="F3314" s="13" t="n">
        <x:f>D3314-E3314</x:f>
        <x:v>41.31</x:v>
      </x:c>
      <x:c r="G3314" s="3" t="n">
        <x:v>15</x:v>
      </x:c>
      <x:c r="H3314" s="3" t="n">
        <x:v>4</x:v>
      </x:c>
      <x:c r="I3314" s="3" t="n">
        <x:v>10</x:v>
      </x:c>
      <x:c r="J3314" s="15" t="n">
        <x:f>IF(D3314=0,"n.a.",E3314/D3314)</x:f>
        <x:v>0.2663825253063399</x:v>
      </x:c>
      <x:c r="K3314" s="15" t="n">
        <x:f>F3314/'Datos'!$F$7</x:f>
        <x:v>0.000004218444609510813</x:v>
      </x:c>
      <x:c r="L3314" s="3"/>
    </x:row>
    <x:row r="3315" ht="22" customHeight="1">
      <x:c r="A3315" s="3"/>
      <x:c r="B3315" s="3" t="str">
        <x:v>90039B</x:v>
      </x:c>
      <x:c r="C3315" s="3" t="str">
        <x:v>FIRE POLISHED GLASS BRACELET MONTAN</x:v>
      </x:c>
      <x:c r="D3315" s="13" t="n">
        <x:v>41.31</x:v>
      </x:c>
      <x:c r="E3315" s="13" t="n">
        <x:v>0</x:v>
      </x:c>
      <x:c r="F3315" s="13" t="n">
        <x:f>D3315-E3315</x:f>
        <x:v>41.31</x:v>
      </x:c>
      <x:c r="G3315" s="3" t="n">
        <x:v>11</x:v>
      </x:c>
      <x:c r="H3315" s="3" t="n">
        <x:v>0</x:v>
      </x:c>
      <x:c r="I3315" s="3" t="n">
        <x:v>6</x:v>
      </x:c>
      <x:c r="J3315" s="15" t="n">
        <x:f>IF(D3315=0,"n.a.",E3315/D3315)</x:f>
        <x:v>0</x:v>
      </x:c>
      <x:c r="K3315" s="15" t="n">
        <x:f>F3315/'Datos'!$F$7</x:f>
        <x:v>0.000004218444609510813</x:v>
      </x:c>
      <x:c r="L3315" s="3"/>
    </x:row>
    <x:row r="3316" ht="22" customHeight="1">
      <x:c r="A3316" s="3"/>
      <x:c r="B3316" s="3" t="str">
        <x:v>85089</x:v>
      </x:c>
      <x:c r="C3316" s="3" t="str">
        <x:v>CANDY SPOT BUNNY</x:v>
      </x:c>
      <x:c r="D3316" s="13" t="n">
        <x:v>41.3</x:v>
      </x:c>
      <x:c r="E3316" s="13" t="n">
        <x:v>0</x:v>
      </x:c>
      <x:c r="F3316" s="13" t="n">
        <x:f>D3316-E3316</x:f>
        <x:v>41.3</x:v>
      </x:c>
      <x:c r="G3316" s="3" t="n">
        <x:v>14</x:v>
      </x:c>
      <x:c r="H3316" s="3" t="n">
        <x:v>0</x:v>
      </x:c>
      <x:c r="I3316" s="3" t="n">
        <x:v>5</x:v>
      </x:c>
      <x:c r="J3316" s="15" t="n">
        <x:f>IF(D3316=0,"n.a.",E3316/D3316)</x:f>
        <x:v>0</x:v>
      </x:c>
      <x:c r="K3316" s="15" t="n">
        <x:f>F3316/'Datos'!$F$7</x:f>
        <x:v>0.0000042174234416072755</x:v>
      </x:c>
      <x:c r="L3316" s="3"/>
    </x:row>
    <x:row r="3317" ht="22" customHeight="1">
      <x:c r="A3317" s="3"/>
      <x:c r="B3317" s="3" t="str">
        <x:v>90162C</x:v>
      </x:c>
      <x:c r="C3317" s="3" t="str">
        <x:v>ANT SILVER FUSCHIA BOUDICCA RING</x:v>
      </x:c>
      <x:c r="D3317" s="13" t="n">
        <x:v>41.3</x:v>
      </x:c>
      <x:c r="E3317" s="13" t="n">
        <x:v>0</x:v>
      </x:c>
      <x:c r="F3317" s="13" t="n">
        <x:f>D3317-E3317</x:f>
        <x:v>41.3</x:v>
      </x:c>
      <x:c r="G3317" s="3" t="n">
        <x:v>14</x:v>
      </x:c>
      <x:c r="H3317" s="3" t="n">
        <x:v>0</x:v>
      </x:c>
      <x:c r="I3317" s="3" t="n">
        <x:v>7</x:v>
      </x:c>
      <x:c r="J3317" s="15" t="n">
        <x:f>IF(D3317=0,"n.a.",E3317/D3317)</x:f>
        <x:v>0</x:v>
      </x:c>
      <x:c r="K3317" s="15" t="n">
        <x:f>F3317/'Datos'!$F$7</x:f>
        <x:v>0.0000042174234416072755</x:v>
      </x:c>
      <x:c r="L3317" s="3"/>
    </x:row>
    <x:row r="3318" ht="22" customHeight="1">
      <x:c r="A3318" s="3"/>
      <x:c r="B3318" s="3" t="str">
        <x:v>23448</x:v>
      </x:c>
      <x:c r="C3318" s="3" t="str">
        <x:v>CREAM BUNNY EASTER EGG BASKET</x:v>
      </x:c>
      <x:c r="D3318" s="13" t="n">
        <x:v>41.25</x:v>
      </x:c>
      <x:c r="E3318" s="13" t="n">
        <x:v>0</x:v>
      </x:c>
      <x:c r="F3318" s="13" t="n">
        <x:f>D3318-E3318</x:f>
        <x:v>41.25</x:v>
      </x:c>
      <x:c r="G3318" s="3" t="n">
        <x:v>25</x:v>
      </x:c>
      <x:c r="H3318" s="3" t="n">
        <x:v>0</x:v>
      </x:c>
      <x:c r="I3318" s="3" t="n">
        <x:v>3</x:v>
      </x:c>
      <x:c r="J3318" s="15" t="n">
        <x:f>IF(D3318=0,"n.a.",E3318/D3318)</x:f>
        <x:v>0</x:v>
      </x:c>
      <x:c r="K3318" s="15" t="n">
        <x:f>F3318/'Datos'!$F$7</x:f>
        <x:v>0.000004212317602089592</x:v>
      </x:c>
      <x:c r="L3318" s="3"/>
    </x:row>
    <x:row r="3319" ht="22" customHeight="1">
      <x:c r="A3319" s="3"/>
      <x:c r="B3319" s="3" t="str">
        <x:v>75013B</x:v>
      </x:c>
      <x:c r="C3319" s="3" t="str">
        <x:v>STRING OF 8 BUTTERFLIES,PINK</x:v>
      </x:c>
      <x:c r="D3319" s="13" t="n">
        <x:v>41.25</x:v>
      </x:c>
      <x:c r="E3319" s="13" t="n">
        <x:v>0</x:v>
      </x:c>
      <x:c r="F3319" s="13" t="n">
        <x:f>D3319-E3319</x:f>
        <x:v>41.25</x:v>
      </x:c>
      <x:c r="G3319" s="3" t="n">
        <x:v>25</x:v>
      </x:c>
      <x:c r="H3319" s="3" t="n">
        <x:v>0</x:v>
      </x:c>
      <x:c r="I3319" s="3" t="n">
        <x:v>6</x:v>
      </x:c>
      <x:c r="J3319" s="15" t="n">
        <x:f>IF(D3319=0,"n.a.",E3319/D3319)</x:f>
        <x:v>0</x:v>
      </x:c>
      <x:c r="K3319" s="15" t="n">
        <x:f>F3319/'Datos'!$F$7</x:f>
        <x:v>0.000004212317602089592</x:v>
      </x:c>
      <x:c r="L3319" s="3"/>
    </x:row>
    <x:row r="3320" ht="22" customHeight="1">
      <x:c r="A3320" s="3"/>
      <x:c r="B3320" s="3" t="str">
        <x:v>84921</x:v>
      </x:c>
      <x:c r="C3320" s="3" t="str">
        <x:v>CREAM AND PINK FLOWERS PONY</x:v>
      </x:c>
      <x:c r="D3320" s="13" t="n">
        <x:v>41.25</x:v>
      </x:c>
      <x:c r="E3320" s="13" t="n">
        <x:v>0</x:v>
      </x:c>
      <x:c r="F3320" s="13" t="n">
        <x:f>D3320-E3320</x:f>
        <x:v>41.25</x:v>
      </x:c>
      <x:c r="G3320" s="3" t="n">
        <x:v>11</x:v>
      </x:c>
      <x:c r="H3320" s="3" t="n">
        <x:v>0</x:v>
      </x:c>
      <x:c r="I3320" s="3" t="n">
        <x:v>5</x:v>
      </x:c>
      <x:c r="J3320" s="15" t="n">
        <x:f>IF(D3320=0,"n.a.",E3320/D3320)</x:f>
        <x:v>0</x:v>
      </x:c>
      <x:c r="K3320" s="15" t="n">
        <x:f>F3320/'Datos'!$F$7</x:f>
        <x:v>0.000004212317602089592</x:v>
      </x:c>
      <x:c r="L3320" s="3"/>
    </x:row>
    <x:row r="3321" ht="22" customHeight="1">
      <x:c r="A3321" s="3"/>
      <x:c r="B3321" s="3" t="str">
        <x:v>90064B</x:v>
      </x:c>
      <x:c r="C3321" s="3" t="str">
        <x:v>BLACK VINTAGE CRYSTAL EARRINGS</x:v>
      </x:c>
      <x:c r="D3321" s="13" t="n">
        <x:v>45</x:v>
      </x:c>
      <x:c r="E3321" s="13" t="n">
        <x:v>3.75</x:v>
      </x:c>
      <x:c r="F3321" s="13" t="n">
        <x:f>D3321-E3321</x:f>
        <x:v>41.25</x:v>
      </x:c>
      <x:c r="G3321" s="3" t="n">
        <x:v>12</x:v>
      </x:c>
      <x:c r="H3321" s="3" t="n">
        <x:v>1</x:v>
      </x:c>
      <x:c r="I3321" s="3" t="n">
        <x:v>7</x:v>
      </x:c>
      <x:c r="J3321" s="15" t="n">
        <x:f>IF(D3321=0,"n.a.",E3321/D3321)</x:f>
        <x:v>0.08333333333333333</x:v>
      </x:c>
      <x:c r="K3321" s="15" t="n">
        <x:f>F3321/'Datos'!$F$7</x:f>
        <x:v>0.000004212317602089592</x:v>
      </x:c>
      <x:c r="L3321" s="3"/>
    </x:row>
    <x:row r="3322" ht="22" customHeight="1">
      <x:c r="A3322" s="3"/>
      <x:c r="B3322" s="3" t="str">
        <x:v>90067A</x:v>
      </x:c>
      <x:c r="C3322" s="3" t="str">
        <x:v>PINK VINTAGE VICTORIAN EARRINGS</x:v>
      </x:c>
      <x:c r="D3322" s="13" t="n">
        <x:v>41.15</x:v>
      </x:c>
      <x:c r="E3322" s="13" t="n">
        <x:v>0</x:v>
      </x:c>
      <x:c r="F3322" s="13" t="n">
        <x:f>D3322-E3322</x:f>
        <x:v>41.15</x:v>
      </x:c>
      <x:c r="G3322" s="3" t="n">
        <x:v>14</x:v>
      </x:c>
      <x:c r="H3322" s="3" t="n">
        <x:v>0</x:v>
      </x:c>
      <x:c r="I3322" s="3" t="n">
        <x:v>7</x:v>
      </x:c>
      <x:c r="J3322" s="15" t="n">
        <x:f>IF(D3322=0,"n.a.",E3322/D3322)</x:f>
        <x:v>0</x:v>
      </x:c>
      <x:c r="K3322" s="15" t="n">
        <x:f>F3322/'Datos'!$F$7</x:f>
        <x:v>0.000004202105923054222</x:v>
      </x:c>
      <x:c r="L3322" s="3"/>
    </x:row>
    <x:row r="3323" ht="22" customHeight="1">
      <x:c r="A3323" s="3"/>
      <x:c r="B3323" s="3" t="str">
        <x:v>90177B</x:v>
      </x:c>
      <x:c r="C3323" s="3" t="str">
        <x:v>DROP DIAMANTE EARRINGS BLACK DIAMON</x:v>
      </x:c>
      <x:c r="D3323" s="13" t="n">
        <x:v>41.01</x:v>
      </x:c>
      <x:c r="E3323" s="13" t="n">
        <x:v>0</x:v>
      </x:c>
      <x:c r="F3323" s="13" t="n">
        <x:f>D3323-E3323</x:f>
        <x:v>41.01</x:v>
      </x:c>
      <x:c r="G3323" s="3" t="n">
        <x:v>14</x:v>
      </x:c>
      <x:c r="H3323" s="3" t="n">
        <x:v>0</x:v>
      </x:c>
      <x:c r="I3323" s="3" t="n">
        <x:v>7</x:v>
      </x:c>
      <x:c r="J3323" s="15" t="n">
        <x:f>IF(D3323=0,"n.a.",E3323/D3323)</x:f>
        <x:v>0</x:v>
      </x:c>
      <x:c r="K3323" s="15" t="n">
        <x:f>F3323/'Datos'!$F$7</x:f>
        <x:v>0.000004187809572404707</x:v>
      </x:c>
      <x:c r="L3323" s="3"/>
    </x:row>
    <x:row r="3324" ht="22" customHeight="1">
      <x:c r="A3324" s="3"/>
      <x:c r="B3324" s="3" t="str">
        <x:v>90202C</x:v>
      </x:c>
      <x:c r="C3324" s="3" t="str">
        <x:v>GREEN ENAMEL FLOWER HAIR TIE</x:v>
      </x:c>
      <x:c r="D3324" s="13" t="n">
        <x:v>58.71</x:v>
      </x:c>
      <x:c r="E3324" s="13" t="n">
        <x:v>17.7</x:v>
      </x:c>
      <x:c r="F3324" s="13" t="n">
        <x:f>D3324-E3324</x:f>
        <x:v>41.010000000000005</x:v>
      </x:c>
      <x:c r="G3324" s="3" t="n">
        <x:v>20</x:v>
      </x:c>
      <x:c r="H3324" s="3" t="n">
        <x:v>6</x:v>
      </x:c>
      <x:c r="I3324" s="3" t="n">
        <x:v>14</x:v>
      </x:c>
      <x:c r="J3324" s="15" t="n">
        <x:f>IF(D3324=0,"n.a.",E3324/D3324)</x:f>
        <x:v>0.3014818599897803</x:v>
      </x:c>
      <x:c r="K3324" s="15" t="n">
        <x:f>F3324/'Datos'!$F$7</x:f>
        <x:v>0.000004187809572404707</x:v>
      </x:c>
      <x:c r="L3324" s="3"/>
    </x:row>
    <x:row r="3325" ht="22" customHeight="1">
      <x:c r="A3325" s="3"/>
      <x:c r="B3325" s="3" t="str">
        <x:v>90130C</x:v>
      </x:c>
      <x:c r="C3325" s="3" t="str">
        <x:v>GREEN STONE/CRYSTAL EARRINGS</x:v>
      </x:c>
      <x:c r="D3325" s="13" t="n">
        <x:v>40.95</x:v>
      </x:c>
      <x:c r="E3325" s="13" t="n">
        <x:v>0</x:v>
      </x:c>
      <x:c r="F3325" s="13" t="n">
        <x:f>D3325-E3325</x:f>
        <x:v>40.95</x:v>
      </x:c>
      <x:c r="G3325" s="3" t="n">
        <x:v>14</x:v>
      </x:c>
      <x:c r="H3325" s="3" t="n">
        <x:v>0</x:v>
      </x:c>
      <x:c r="I3325" s="3" t="n">
        <x:v>13</x:v>
      </x:c>
      <x:c r="J3325" s="15" t="n">
        <x:f>IF(D3325=0,"n.a.",E3325/D3325)</x:f>
        <x:v>0</x:v>
      </x:c>
      <x:c r="K3325" s="15" t="n">
        <x:f>F3325/'Datos'!$F$7</x:f>
        <x:v>0.000004181682564983486</x:v>
      </x:c>
      <x:c r="L3325" s="3"/>
    </x:row>
    <x:row r="3326" ht="22" customHeight="1">
      <x:c r="A3326" s="3"/>
      <x:c r="B3326" s="3" t="str">
        <x:v>10120</x:v>
      </x:c>
      <x:c r="C3326" s="3" t="str">
        <x:v>DOGGY RUBBER</x:v>
      </x:c>
      <x:c r="D3326" s="13" t="n">
        <x:v>40.53</x:v>
      </x:c>
      <x:c r="E3326" s="13" t="n">
        <x:v>0</x:v>
      </x:c>
      <x:c r="F3326" s="13" t="n">
        <x:f>D3326-E3326</x:f>
        <x:v>40.53</x:v>
      </x:c>
      <x:c r="G3326" s="3" t="n">
        <x:v>193</x:v>
      </x:c>
      <x:c r="H3326" s="3" t="n">
        <x:v>0</x:v>
      </x:c>
      <x:c r="I3326" s="3" t="n">
        <x:v>29</x:v>
      </x:c>
      <x:c r="J3326" s="15" t="n">
        <x:f>IF(D3326=0,"n.a.",E3326/D3326)</x:f>
        <x:v>0</x:v>
      </x:c>
      <x:c r="K3326" s="15" t="n">
        <x:f>F3326/'Datos'!$F$7</x:f>
        <x:v>0.000004138793513034937</x:v>
      </x:c>
      <x:c r="L3326" s="3"/>
    </x:row>
    <x:row r="3327" ht="22" customHeight="1">
      <x:c r="A3327" s="3"/>
      <x:c r="B3327" s="3" t="str">
        <x:v>71495A</x:v>
      </x:c>
      <x:c r="C3327" s="3" t="str">
        <x:v>CD WALL TIDY BLUE OFFICE</x:v>
      </x:c>
      <x:c r="D3327" s="13" t="n">
        <x:v>40.38</x:v>
      </x:c>
      <x:c r="E3327" s="13" t="n">
        <x:v>0</x:v>
      </x:c>
      <x:c r="F3327" s="13" t="n">
        <x:f>D3327-E3327</x:f>
        <x:v>40.38</x:v>
      </x:c>
      <x:c r="G3327" s="3" t="n">
        <x:v>103</x:v>
      </x:c>
      <x:c r="H3327" s="3" t="n">
        <x:v>0</x:v>
      </x:c>
      <x:c r="I3327" s="3" t="n">
        <x:v>8</x:v>
      </x:c>
      <x:c r="J3327" s="15" t="n">
        <x:f>IF(D3327=0,"n.a.",E3327/D3327)</x:f>
        <x:v>0</x:v>
      </x:c>
      <x:c r="K3327" s="15" t="n">
        <x:f>F3327/'Datos'!$F$7</x:f>
        <x:v>0.000004123475994481884</x:v>
      </x:c>
      <x:c r="L3327" s="3"/>
    </x:row>
    <x:row r="3328" ht="22" customHeight="1">
      <x:c r="A3328" s="3"/>
      <x:c r="B3328" s="3" t="str">
        <x:v>90214G</x:v>
      </x:c>
      <x:c r="C3328" s="3" t="str">
        <x:v>LETTER "G" BLING KEY RING</x:v>
      </x:c>
      <x:c r="D3328" s="13" t="n">
        <x:v>40.2</x:v>
      </x:c>
      <x:c r="E3328" s="13" t="n">
        <x:v>0</x:v>
      </x:c>
      <x:c r="F3328" s="13" t="n">
        <x:f>D3328-E3328</x:f>
        <x:v>40.2</x:v>
      </x:c>
      <x:c r="G3328" s="3" t="n">
        <x:v>60</x:v>
      </x:c>
      <x:c r="H3328" s="3" t="n">
        <x:v>0</x:v>
      </x:c>
      <x:c r="I3328" s="3" t="n">
        <x:v>30</x:v>
      </x:c>
      <x:c r="J3328" s="15" t="n">
        <x:f>IF(D3328=0,"n.a.",E3328/D3328)</x:f>
        <x:v>0</x:v>
      </x:c>
      <x:c r="K3328" s="15" t="n">
        <x:f>F3328/'Datos'!$F$7</x:f>
        <x:v>0.00000410509497221822</x:v>
      </x:c>
      <x:c r="L3328" s="3"/>
    </x:row>
    <x:row r="3329" ht="22" customHeight="1">
      <x:c r="A3329" s="3"/>
      <x:c r="B3329" s="3" t="str">
        <x:v>85092</x:v>
      </x:c>
      <x:c r="C3329" s="3" t="str">
        <x:v>CANDY SPOT TEA COSY</x:v>
      </x:c>
      <x:c r="D3329" s="13" t="n">
        <x:v>40.05</x:v>
      </x:c>
      <x:c r="E3329" s="13" t="n">
        <x:v>0</x:v>
      </x:c>
      <x:c r="F3329" s="13" t="n">
        <x:f>D3329-E3329</x:f>
        <x:v>40.05</x:v>
      </x:c>
      <x:c r="G3329" s="3" t="n">
        <x:v>27</x:v>
      </x:c>
      <x:c r="H3329" s="3" t="n">
        <x:v>0</x:v>
      </x:c>
      <x:c r="I3329" s="3" t="n">
        <x:v>2</x:v>
      </x:c>
      <x:c r="J3329" s="15" t="n">
        <x:f>IF(D3329=0,"n.a.",E3329/D3329)</x:f>
        <x:v>0</x:v>
      </x:c>
      <x:c r="K3329" s="15" t="n">
        <x:f>F3329/'Datos'!$F$7</x:f>
        <x:v>0.000004089777453665167</x:v>
      </x:c>
      <x:c r="L3329" s="3"/>
    </x:row>
    <x:row r="3330" ht="22" customHeight="1">
      <x:c r="A3330" s="3"/>
      <x:c r="B3330" s="3" t="str">
        <x:v>90187B</x:v>
      </x:c>
      <x:c r="C3330" s="3" t="str">
        <x:v>GREEN DROP EARRINGS W BEAD CLUSTER</x:v>
      </x:c>
      <x:c r="D3330" s="13" t="n">
        <x:v>40.03</x:v>
      </x:c>
      <x:c r="E3330" s="13" t="n">
        <x:v>0</x:v>
      </x:c>
      <x:c r="F3330" s="13" t="n">
        <x:f>D3330-E3330</x:f>
        <x:v>40.03</x:v>
      </x:c>
      <x:c r="G3330" s="3" t="n">
        <x:v>12</x:v>
      </x:c>
      <x:c r="H3330" s="3" t="n">
        <x:v>0</x:v>
      </x:c>
      <x:c r="I3330" s="3" t="n">
        <x:v>8</x:v>
      </x:c>
      <x:c r="J3330" s="15" t="n">
        <x:f>IF(D3330=0,"n.a.",E3330/D3330)</x:f>
        <x:v>0</x:v>
      </x:c>
      <x:c r="K3330" s="15" t="n">
        <x:f>F3330/'Datos'!$F$7</x:f>
        <x:v>0.0000040877351178580936</x:v>
      </x:c>
      <x:c r="L3330" s="3"/>
    </x:row>
    <x:row r="3331" ht="22" customHeight="1">
      <x:c r="A3331" s="3"/>
      <x:c r="B3331" s="3" t="str">
        <x:v>90165A</x:v>
      </x:c>
      <x:c r="C3331" s="3" t="str">
        <x:v>PINK ROSEBUD PEARL EARRINGS</x:v>
      </x:c>
      <x:c r="D3331" s="13" t="n">
        <x:v>39.98</x:v>
      </x:c>
      <x:c r="E3331" s="13" t="n">
        <x:v>0</x:v>
      </x:c>
      <x:c r="F3331" s="13" t="n">
        <x:f>D3331-E3331</x:f>
        <x:v>39.98</x:v>
      </x:c>
      <x:c r="G3331" s="3" t="n">
        <x:v>16</x:v>
      </x:c>
      <x:c r="H3331" s="3" t="n">
        <x:v>0</x:v>
      </x:c>
      <x:c r="I3331" s="3" t="n">
        <x:v>15</x:v>
      </x:c>
      <x:c r="J3331" s="15" t="n">
        <x:f>IF(D3331=0,"n.a.",E3331/D3331)</x:f>
        <x:v>0</x:v>
      </x:c>
      <x:c r="K3331" s="15" t="n">
        <x:f>F3331/'Datos'!$F$7</x:f>
        <x:v>0.000004082629278340408</x:v>
      </x:c>
      <x:c r="L3331" s="3"/>
    </x:row>
    <x:row r="3332" ht="22" customHeight="1">
      <x:c r="A3332" s="3"/>
      <x:c r="B3332" s="3" t="str">
        <x:v>72369A</x:v>
      </x:c>
      <x:c r="C3332" s="3" t="str">
        <x:v>PINK CLEAR GLASS CANDLE PLATE</x:v>
      </x:c>
      <x:c r="D3332" s="13" t="n">
        <x:v>39.92</x:v>
      </x:c>
      <x:c r="E3332" s="13" t="n">
        <x:v>0</x:v>
      </x:c>
      <x:c r="F3332" s="13" t="n">
        <x:f>D3332-E3332</x:f>
        <x:v>39.92</x:v>
      </x:c>
      <x:c r="G3332" s="3" t="n">
        <x:v>30</x:v>
      </x:c>
      <x:c r="H3332" s="3" t="n">
        <x:v>0</x:v>
      </x:c>
      <x:c r="I3332" s="3" t="n">
        <x:v>5</x:v>
      </x:c>
      <x:c r="J3332" s="15" t="n">
        <x:f>IF(D3332=0,"n.a.",E3332/D3332)</x:f>
        <x:v>0</x:v>
      </x:c>
      <x:c r="K3332" s="15" t="n">
        <x:f>F3332/'Datos'!$F$7</x:f>
        <x:v>0.000004076502270919188</x:v>
      </x:c>
      <x:c r="L3332" s="3"/>
    </x:row>
    <x:row r="3333" ht="22" customHeight="1">
      <x:c r="A3333" s="3"/>
      <x:c r="B3333" s="3" t="str">
        <x:v>90135</x:v>
      </x:c>
      <x:c r="C3333" s="3" t="str">
        <x:v>ORANGE/WHT/FUSCHIA STONES NECKLACE</x:v>
      </x:c>
      <x:c r="D3333" s="13" t="n">
        <x:v>39.66</x:v>
      </x:c>
      <x:c r="E3333" s="13" t="n">
        <x:v>0</x:v>
      </x:c>
      <x:c r="F3333" s="13" t="n">
        <x:f>D3333-E3333</x:f>
        <x:v>39.66</x:v>
      </x:c>
      <x:c r="G3333" s="3" t="n">
        <x:v>8</x:v>
      </x:c>
      <x:c r="H3333" s="3" t="n">
        <x:v>0</x:v>
      </x:c>
      <x:c r="I3333" s="3" t="n">
        <x:v>2</x:v>
      </x:c>
      <x:c r="J3333" s="15" t="n">
        <x:f>IF(D3333=0,"n.a.",E3333/D3333)</x:f>
        <x:v>0</x:v>
      </x:c>
      <x:c r="K3333" s="15" t="n">
        <x:f>F3333/'Datos'!$F$7</x:f>
        <x:v>0.000004049951905427229</x:v>
      </x:c>
      <x:c r="L3333" s="3"/>
    </x:row>
    <x:row r="3334" ht="22" customHeight="1">
      <x:c r="A3334" s="3"/>
      <x:c r="B3334" s="3" t="str">
        <x:v>84725</x:v>
      </x:c>
      <x:c r="C3334" s="3" t="str">
        <x:v>FREESTYLE CANVAS ART PICTURE</x:v>
      </x:c>
      <x:c r="D3334" s="13" t="n">
        <x:v>39.65</x:v>
      </x:c>
      <x:c r="E3334" s="13" t="n">
        <x:v>0</x:v>
      </x:c>
      <x:c r="F3334" s="13" t="n">
        <x:f>D3334-E3334</x:f>
        <x:v>39.65</x:v>
      </x:c>
      <x:c r="G3334" s="3" t="n">
        <x:v>41</x:v>
      </x:c>
      <x:c r="H3334" s="3" t="n">
        <x:v>0</x:v>
      </x:c>
      <x:c r="I3334" s="3" t="n">
        <x:v>18</x:v>
      </x:c>
      <x:c r="J3334" s="15" t="n">
        <x:f>IF(D3334=0,"n.a.",E3334/D3334)</x:f>
        <x:v>0</x:v>
      </x:c>
      <x:c r="K3334" s="15" t="n">
        <x:f>F3334/'Datos'!$F$7</x:f>
        <x:v>0.000004048930737523692</x:v>
      </x:c>
      <x:c r="L3334" s="3"/>
    </x:row>
    <x:row r="3335" ht="22" customHeight="1">
      <x:c r="A3335" s="3"/>
      <x:c r="B3335" s="3" t="str">
        <x:v>21307</x:v>
      </x:c>
      <x:c r="C3335" s="3" t="str">
        <x:v>SET/4 BUTTERFLY MIRROR MAGNETS</x:v>
      </x:c>
      <x:c r="D3335" s="13" t="n">
        <x:v>39.2</x:v>
      </x:c>
      <x:c r="E3335" s="13" t="n">
        <x:v>0</x:v>
      </x:c>
      <x:c r="F3335" s="13" t="n">
        <x:f>D3335-E3335</x:f>
        <x:v>39.2</x:v>
      </x:c>
      <x:c r="G3335" s="3" t="n">
        <x:v>79</x:v>
      </x:c>
      <x:c r="H3335" s="3" t="n">
        <x:v>0</x:v>
      </x:c>
      <x:c r="I3335" s="3" t="n">
        <x:v>13</x:v>
      </x:c>
      <x:c r="J3335" s="15" t="n">
        <x:f>IF(D3335=0,"n.a.",E3335/D3335)</x:f>
        <x:v>0</x:v>
      </x:c>
      <x:c r="K3335" s="15" t="n">
        <x:f>F3335/'Datos'!$F$7</x:f>
        <x:v>0.0000040029781818645335</x:v>
      </x:c>
      <x:c r="L3335" s="3"/>
    </x:row>
    <x:row r="3336" ht="22" customHeight="1">
      <x:c r="A3336" s="3"/>
      <x:c r="B3336" s="3" t="str">
        <x:v>35910A</x:v>
      </x:c>
      <x:c r="C3336" s="3" t="str">
        <x:v>MULTICOLOUR EASTER RABBIT</x:v>
      </x:c>
      <x:c r="D3336" s="13" t="n">
        <x:v>39</x:v>
      </x:c>
      <x:c r="E3336" s="13" t="n">
        <x:v>0</x:v>
      </x:c>
      <x:c r="F3336" s="13" t="n">
        <x:f>D3336-E3336</x:f>
        <x:v>39</x:v>
      </x:c>
      <x:c r="G3336" s="3" t="n">
        <x:v>20</x:v>
      </x:c>
      <x:c r="H3336" s="3" t="n">
        <x:v>0</x:v>
      </x:c>
      <x:c r="I3336" s="3" t="n">
        <x:v>4</x:v>
      </x:c>
      <x:c r="J3336" s="15" t="n">
        <x:f>IF(D3336=0,"n.a.",E3336/D3336)</x:f>
        <x:v>0</x:v>
      </x:c>
      <x:c r="K3336" s="15" t="n">
        <x:f>F3336/'Datos'!$F$7</x:f>
        <x:v>0.000003982554823793796</x:v>
      </x:c>
      <x:c r="L3336" s="3"/>
    </x:row>
    <x:row r="3337" ht="22" customHeight="1">
      <x:c r="A3337" s="3"/>
      <x:c r="B3337" s="3" t="str">
        <x:v>47341A</x:v>
      </x:c>
      <x:c r="C3337" s="3" t="str">
        <x:v>FUSCHIA TABLE RUN FLOWER</x:v>
      </x:c>
      <x:c r="D3337" s="13" t="n">
        <x:v>38.75</x:v>
      </x:c>
      <x:c r="E3337" s="13" t="n">
        <x:v>0</x:v>
      </x:c>
      <x:c r="F3337" s="13" t="n">
        <x:f>D3337-E3337</x:f>
        <x:v>38.75</x:v>
      </x:c>
      <x:c r="G3337" s="3" t="n">
        <x:v>27</x:v>
      </x:c>
      <x:c r="H3337" s="3" t="n">
        <x:v>0</x:v>
      </x:c>
      <x:c r="I3337" s="3" t="n">
        <x:v>5</x:v>
      </x:c>
      <x:c r="J3337" s="15" t="n">
        <x:f>IF(D3337=0,"n.a.",E3337/D3337)</x:f>
        <x:v>0</x:v>
      </x:c>
      <x:c r="K3337" s="15" t="n">
        <x:f>F3337/'Datos'!$F$7</x:f>
        <x:v>0.000003957025626205374</x:v>
      </x:c>
      <x:c r="L3337" s="3"/>
    </x:row>
    <x:row r="3338" ht="22" customHeight="1">
      <x:c r="A3338" s="3"/>
      <x:c r="B3338" s="3" t="str">
        <x:v>90064A</x:v>
      </x:c>
      <x:c r="C3338" s="3" t="str">
        <x:v>WHITE VINTAGE CRYSTAL EARRINGS</x:v>
      </x:c>
      <x:c r="D3338" s="13" t="n">
        <x:v>38.7</x:v>
      </x:c>
      <x:c r="E3338" s="13" t="n">
        <x:v>0</x:v>
      </x:c>
      <x:c r="F3338" s="13" t="n">
        <x:f>D3338-E3338</x:f>
        <x:v>38.7</x:v>
      </x:c>
      <x:c r="G3338" s="3" t="n">
        <x:v>10</x:v>
      </x:c>
      <x:c r="H3338" s="3" t="n">
        <x:v>0</x:v>
      </x:c>
      <x:c r="I3338" s="3" t="n">
        <x:v>6</x:v>
      </x:c>
      <x:c r="J3338" s="15" t="n">
        <x:f>IF(D3338=0,"n.a.",E3338/D3338)</x:f>
        <x:v>0</x:v>
      </x:c>
      <x:c r="K3338" s="15" t="n">
        <x:f>F3338/'Datos'!$F$7</x:f>
        <x:v>0.00000395191978668769</x:v>
      </x:c>
      <x:c r="L3338" s="3"/>
    </x:row>
    <x:row r="3339" ht="22" customHeight="1">
      <x:c r="A3339" s="3"/>
      <x:c r="B3339" s="3" t="str">
        <x:v>21393</x:v>
      </x:c>
      <x:c r="C3339" s="3" t="str">
        <x:v>BLUE POLKADOT PUDDING BOWL</x:v>
      </x:c>
      <x:c r="D3339" s="13" t="n">
        <x:v>38.67</x:v>
      </x:c>
      <x:c r="E3339" s="13" t="n">
        <x:v>0</x:v>
      </x:c>
      <x:c r="F3339" s="13" t="n">
        <x:f>D3339-E3339</x:f>
        <x:v>38.67</x:v>
      </x:c>
      <x:c r="G3339" s="3" t="n">
        <x:v>29</x:v>
      </x:c>
      <x:c r="H3339" s="3" t="n">
        <x:v>0</x:v>
      </x:c>
      <x:c r="I3339" s="3" t="n">
        <x:v>7</x:v>
      </x:c>
      <x:c r="J3339" s="15" t="n">
        <x:f>IF(D3339=0,"n.a.",E3339/D3339)</x:f>
        <x:v>0</x:v>
      </x:c>
      <x:c r="K3339" s="15" t="n">
        <x:f>F3339/'Datos'!$F$7</x:f>
        <x:v>0.000003948856282977079</x:v>
      </x:c>
      <x:c r="L3339" s="3"/>
    </x:row>
    <x:row r="3340" ht="22" customHeight="1">
      <x:c r="A3340" s="3"/>
      <x:c r="B3340" s="3" t="str">
        <x:v>47420</x:v>
      </x:c>
      <x:c r="C3340" s="3" t="str">
        <x:v>ASSORTED COLOUR SUCTION CUP HOOK</x:v>
      </x:c>
      <x:c r="D3340" s="13" t="n">
        <x:v>38.38</x:v>
      </x:c>
      <x:c r="E3340" s="13" t="n">
        <x:v>0</x:v>
      </x:c>
      <x:c r="F3340" s="13" t="n">
        <x:f>D3340-E3340</x:f>
        <x:v>38.38</x:v>
      </x:c>
      <x:c r="G3340" s="3" t="n">
        <x:v>202</x:v>
      </x:c>
      <x:c r="H3340" s="3" t="n">
        <x:v>0</x:v>
      </x:c>
      <x:c r="I3340" s="3" t="n">
        <x:v>13</x:v>
      </x:c>
      <x:c r="J3340" s="15" t="n">
        <x:f>IF(D3340=0,"n.a.",E3340/D3340)</x:f>
        <x:v>0</x:v>
      </x:c>
      <x:c r="K3340" s="15" t="n">
        <x:f>F3340/'Datos'!$F$7</x:f>
        <x:v>0.00000391924241377451</x:v>
      </x:c>
      <x:c r="L3340" s="3"/>
    </x:row>
    <x:row r="3341" ht="22" customHeight="1">
      <x:c r="A3341" s="3"/>
      <x:c r="B3341" s="3" t="str">
        <x:v>84746</x:v>
      </x:c>
      <x:c r="C3341" s="3" t="str">
        <x:v>PINK EASTER HENS+FLOWER</x:v>
      </x:c>
      <x:c r="D3341" s="13" t="n">
        <x:v>38.31</x:v>
      </x:c>
      <x:c r="E3341" s="13" t="n">
        <x:v>0</x:v>
      </x:c>
      <x:c r="F3341" s="13" t="n">
        <x:f>D3341-E3341</x:f>
        <x:v>38.31</x:v>
      </x:c>
      <x:c r="G3341" s="3" t="n">
        <x:v>14</x:v>
      </x:c>
      <x:c r="H3341" s="3" t="n">
        <x:v>0</x:v>
      </x:c>
      <x:c r="I3341" s="3" t="n">
        <x:v>9</x:v>
      </x:c>
      <x:c r="J3341" s="15" t="n">
        <x:f>IF(D3341=0,"n.a.",E3341/D3341)</x:f>
        <x:v>0</x:v>
      </x:c>
      <x:c r="K3341" s="15" t="n">
        <x:f>F3341/'Datos'!$F$7</x:f>
        <x:v>0.0000039120942384497515</x:v>
      </x:c>
      <x:c r="L3341" s="3"/>
    </x:row>
    <x:row r="3342" ht="22" customHeight="1">
      <x:c r="A3342" s="3"/>
      <x:c r="B3342" s="3" t="str">
        <x:v>84617</x:v>
      </x:c>
      <x:c r="C3342" s="3" t="str">
        <x:v>NEW BAROQUE BLACK BOXES</x:v>
      </x:c>
      <x:c r="D3342" s="13" t="n">
        <x:v>38.25</x:v>
      </x:c>
      <x:c r="E3342" s="13" t="n">
        <x:v>0</x:v>
      </x:c>
      <x:c r="F3342" s="13" t="n">
        <x:f>D3342-E3342</x:f>
        <x:v>38.25</x:v>
      </x:c>
      <x:c r="G3342" s="3" t="n">
        <x:v>3</x:v>
      </x:c>
      <x:c r="H3342" s="3" t="n">
        <x:v>0</x:v>
      </x:c>
      <x:c r="I3342" s="3" t="n">
        <x:v>3</x:v>
      </x:c>
      <x:c r="J3342" s="15" t="n">
        <x:f>IF(D3342=0,"n.a.",E3342/D3342)</x:f>
        <x:v>0</x:v>
      </x:c>
      <x:c r="K3342" s="15" t="n">
        <x:f>F3342/'Datos'!$F$7</x:f>
        <x:v>0.00000390596723102853</x:v>
      </x:c>
      <x:c r="L3342" s="3"/>
    </x:row>
    <x:row r="3343" ht="22" customHeight="1">
      <x:c r="A3343" s="3"/>
      <x:c r="B3343" s="3" t="str">
        <x:v>84925D</x:v>
      </x:c>
      <x:c r="C3343" s="3" t="str">
        <x:v>LA PALMIERA WALL THERMOMETER</x:v>
      </x:c>
      <x:c r="D3343" s="13" t="n">
        <x:v>38.25</x:v>
      </x:c>
      <x:c r="E3343" s="13" t="n">
        <x:v>0</x:v>
      </x:c>
      <x:c r="F3343" s="13" t="n">
        <x:f>D3343-E3343</x:f>
        <x:v>38.25</x:v>
      </x:c>
      <x:c r="G3343" s="3" t="n">
        <x:v>15</x:v>
      </x:c>
      <x:c r="H3343" s="3" t="n">
        <x:v>0</x:v>
      </x:c>
      <x:c r="I3343" s="3" t="n">
        <x:v>10</x:v>
      </x:c>
      <x:c r="J3343" s="15" t="n">
        <x:f>IF(D3343=0,"n.a.",E3343/D3343)</x:f>
        <x:v>0</x:v>
      </x:c>
      <x:c r="K3343" s="15" t="n">
        <x:f>F3343/'Datos'!$F$7</x:f>
        <x:v>0.00000390596723102853</x:v>
      </x:c>
      <x:c r="L3343" s="3"/>
    </x:row>
    <x:row r="3344" ht="22" customHeight="1">
      <x:c r="A3344" s="3"/>
      <x:c r="B3344" s="3" t="str">
        <x:v>90190B</x:v>
      </x:c>
      <x:c r="C3344" s="3" t="str">
        <x:v>GOLD/AMBER DROP EARRINGS W LEAF</x:v>
      </x:c>
      <x:c r="D3344" s="13" t="n">
        <x:v>38.18</x:v>
      </x:c>
      <x:c r="E3344" s="13" t="n">
        <x:v>0</x:v>
      </x:c>
      <x:c r="F3344" s="13" t="n">
        <x:f>D3344-E3344</x:f>
        <x:v>38.18</x:v>
      </x:c>
      <x:c r="G3344" s="3" t="n">
        <x:v>13</x:v>
      </x:c>
      <x:c r="H3344" s="3" t="n">
        <x:v>0</x:v>
      </x:c>
      <x:c r="I3344" s="3" t="n">
        <x:v>7</x:v>
      </x:c>
      <x:c r="J3344" s="15" t="n">
        <x:f>IF(D3344=0,"n.a.",E3344/D3344)</x:f>
        <x:v>0</x:v>
      </x:c>
      <x:c r="K3344" s="15" t="n">
        <x:f>F3344/'Datos'!$F$7</x:f>
        <x:v>0.000003898819055703773</x:v>
      </x:c>
      <x:c r="L3344" s="3"/>
    </x:row>
    <x:row r="3345" ht="22" customHeight="1">
      <x:c r="A3345" s="3"/>
      <x:c r="B3345" s="3" t="str">
        <x:v>81952B</x:v>
      </x:c>
      <x:c r="C3345" s="3" t="str">
        <x:v>ROUND BLUE CLOCK WITH SUCKER</x:v>
      </x:c>
      <x:c r="D3345" s="13" t="n">
        <x:v>38</x:v>
      </x:c>
      <x:c r="E3345" s="13" t="n">
        <x:v>0</x:v>
      </x:c>
      <x:c r="F3345" s="13" t="n">
        <x:f>D3345-E3345</x:f>
        <x:v>38</x:v>
      </x:c>
      <x:c r="G3345" s="3" t="n">
        <x:v>200</x:v>
      </x:c>
      <x:c r="H3345" s="3" t="n">
        <x:v>0</x:v>
      </x:c>
      <x:c r="I3345" s="3" t="n">
        <x:v>9</x:v>
      </x:c>
      <x:c r="J3345" s="15" t="n">
        <x:f>IF(D3345=0,"n.a.",E3345/D3345)</x:f>
        <x:v>0</x:v>
      </x:c>
      <x:c r="K3345" s="15" t="n">
        <x:f>F3345/'Datos'!$F$7</x:f>
        <x:v>0.0000038804380334401085</x:v>
      </x:c>
      <x:c r="L3345" s="3"/>
    </x:row>
    <x:row r="3346" ht="22" customHeight="1">
      <x:c r="A3346" s="3"/>
      <x:c r="B3346" s="3" t="str">
        <x:v>84033</x:v>
      </x:c>
      <x:c r="C3346" s="3" t="str">
        <x:v>FLAG OF ST GEORGE</x:v>
      </x:c>
      <x:c r="D3346" s="13" t="n">
        <x:v>37.95</x:v>
      </x:c>
      <x:c r="E3346" s="13" t="n">
        <x:v>0</x:v>
      </x:c>
      <x:c r="F3346" s="13" t="n">
        <x:f>D3346-E3346</x:f>
        <x:v>37.95</x:v>
      </x:c>
      <x:c r="G3346" s="3" t="n">
        <x:v>23</x:v>
      </x:c>
      <x:c r="H3346" s="3" t="n">
        <x:v>0</x:v>
      </x:c>
      <x:c r="I3346" s="3" t="n">
        <x:v>7</x:v>
      </x:c>
      <x:c r="J3346" s="15" t="n">
        <x:f>IF(D3346=0,"n.a.",E3346/D3346)</x:f>
        <x:v>0</x:v>
      </x:c>
      <x:c r="K3346" s="15" t="n">
        <x:f>F3346/'Datos'!$F$7</x:f>
        <x:v>0.000003875332193922424</x:v>
      </x:c>
      <x:c r="L3346" s="3"/>
    </x:row>
    <x:row r="3347" ht="22" customHeight="1">
      <x:c r="A3347" s="3"/>
      <x:c r="B3347" s="3" t="str">
        <x:v>84751B</x:v>
      </x:c>
      <x:c r="C3347" s="3" t="str">
        <x:v>BLACK MEDIUM GLASS CAKE STAND</x:v>
      </x:c>
      <x:c r="D3347" s="13" t="n">
        <x:v>38.69</x:v>
      </x:c>
      <x:c r="E3347" s="13" t="n">
        <x:v>0.79</x:v>
      </x:c>
      <x:c r="F3347" s="13" t="n">
        <x:f>D3347-E3347</x:f>
        <x:v>37.9</x:v>
      </x:c>
      <x:c r="G3347" s="3" t="n">
        <x:v>19</x:v>
      </x:c>
      <x:c r="H3347" s="3" t="n">
        <x:v>1</x:v>
      </x:c>
      <x:c r="I3347" s="3" t="n">
        <x:v>8</x:v>
      </x:c>
      <x:c r="J3347" s="15" t="n">
        <x:f>IF(D3347=0,"n.a.",E3347/D3347)</x:f>
        <x:v>0.020418712845696563</x:v>
      </x:c>
      <x:c r="K3347" s="15" t="n">
        <x:f>F3347/'Datos'!$F$7</x:f>
        <x:v>0.00000387022635440474</x:v>
      </x:c>
      <x:c r="L3347" s="3"/>
    </x:row>
    <x:row r="3348" ht="22" customHeight="1">
      <x:c r="A3348" s="3"/>
      <x:c r="B3348" s="3" t="str">
        <x:v>84809B</x:v>
      </x:c>
      <x:c r="C3348" s="3" t="str">
        <x:v>PINK CHRYSANTHEMUMS ART FLOWER</x:v>
      </x:c>
      <x:c r="D3348" s="13" t="n">
        <x:v>37.8</x:v>
      </x:c>
      <x:c r="E3348" s="13" t="n">
        <x:v>0</x:v>
      </x:c>
      <x:c r="F3348" s="13" t="n">
        <x:f>D3348-E3348</x:f>
        <x:v>37.8</x:v>
      </x:c>
      <x:c r="G3348" s="3" t="n">
        <x:v>18</x:v>
      </x:c>
      <x:c r="H3348" s="3" t="n">
        <x:v>0</x:v>
      </x:c>
      <x:c r="I3348" s="3" t="n">
        <x:v>1</x:v>
      </x:c>
      <x:c r="J3348" s="15" t="n">
        <x:f>IF(D3348=0,"n.a.",E3348/D3348)</x:f>
        <x:v>0</x:v>
      </x:c>
      <x:c r="K3348" s="15" t="n">
        <x:f>F3348/'Datos'!$F$7</x:f>
        <x:v>0.000003860014675369371</x:v>
      </x:c>
      <x:c r="L3348" s="3"/>
    </x:row>
    <x:row r="3349" ht="22" customHeight="1">
      <x:c r="A3349" s="3"/>
      <x:c r="B3349" s="3" t="str">
        <x:v>90075</x:v>
      </x:c>
      <x:c r="C3349" s="3" t="str">
        <x:v>MONTANA DIAMOND CLUSTER NECKLACE</x:v>
      </x:c>
      <x:c r="D3349" s="13" t="n">
        <x:v>37.66</x:v>
      </x:c>
      <x:c r="E3349" s="13" t="n">
        <x:v>0</x:v>
      </x:c>
      <x:c r="F3349" s="13" t="n">
        <x:f>D3349-E3349</x:f>
        <x:v>37.66</x:v>
      </x:c>
      <x:c r="G3349" s="3" t="n">
        <x:v>4</x:v>
      </x:c>
      <x:c r="H3349" s="3" t="n">
        <x:v>0</x:v>
      </x:c>
      <x:c r="I3349" s="3" t="n">
        <x:v>3</x:v>
      </x:c>
      <x:c r="J3349" s="15" t="n">
        <x:f>IF(D3349=0,"n.a.",E3349/D3349)</x:f>
        <x:v>0</x:v>
      </x:c>
      <x:c r="K3349" s="15" t="n">
        <x:f>F3349/'Datos'!$F$7</x:f>
        <x:v>0.000003845718324719855</x:v>
      </x:c>
      <x:c r="L3349" s="3"/>
    </x:row>
    <x:row r="3350" ht="22" customHeight="1">
      <x:c r="A3350" s="3"/>
      <x:c r="B3350" s="3" t="str">
        <x:v>90199D</x:v>
      </x:c>
      <x:c r="C3350" s="3" t="str">
        <x:v>5 STRAND GLASS NECKLACE AMBER</x:v>
      </x:c>
      <x:c r="D3350" s="13" t="n">
        <x:v>37.62</x:v>
      </x:c>
      <x:c r="E3350" s="13" t="n">
        <x:v>0</x:v>
      </x:c>
      <x:c r="F3350" s="13" t="n">
        <x:f>D3350-E3350</x:f>
        <x:v>37.62</x:v>
      </x:c>
      <x:c r="G3350" s="3" t="n">
        <x:v>6</x:v>
      </x:c>
      <x:c r="H3350" s="3" t="n">
        <x:v>0</x:v>
      </x:c>
      <x:c r="I3350" s="3" t="n">
        <x:v>6</x:v>
      </x:c>
      <x:c r="J3350" s="15" t="n">
        <x:f>IF(D3350=0,"n.a.",E3350/D3350)</x:f>
        <x:v>0</x:v>
      </x:c>
      <x:c r="K3350" s="15" t="n">
        <x:f>F3350/'Datos'!$F$7</x:f>
        <x:v>0.000003841633653105707</x:v>
      </x:c>
      <x:c r="L3350" s="3"/>
    </x:row>
    <x:row r="3351" ht="22" customHeight="1">
      <x:c r="A3351" s="3"/>
      <x:c r="B3351" s="3" t="str">
        <x:v>90212B</x:v>
      </x:c>
      <x:c r="C3351" s="3" t="str">
        <x:v>JET BLACK LAS VEGAS BRACELET ROUND</x:v>
      </x:c>
      <x:c r="D3351" s="13" t="n">
        <x:v>37.62</x:v>
      </x:c>
      <x:c r="E3351" s="13" t="n">
        <x:v>0</x:v>
      </x:c>
      <x:c r="F3351" s="13" t="n">
        <x:f>D3351-E3351</x:f>
        <x:v>37.62</x:v>
      </x:c>
      <x:c r="G3351" s="3" t="n">
        <x:v>10</x:v>
      </x:c>
      <x:c r="H3351" s="3" t="n">
        <x:v>0</x:v>
      </x:c>
      <x:c r="I3351" s="3" t="n">
        <x:v>8</x:v>
      </x:c>
      <x:c r="J3351" s="15" t="n">
        <x:f>IF(D3351=0,"n.a.",E3351/D3351)</x:f>
        <x:v>0</x:v>
      </x:c>
      <x:c r="K3351" s="15" t="n">
        <x:f>F3351/'Datos'!$F$7</x:f>
        <x:v>0.000003841633653105707</x:v>
      </x:c>
      <x:c r="L3351" s="3"/>
    </x:row>
    <x:row r="3352" ht="22" customHeight="1">
      <x:c r="A3352" s="3"/>
      <x:c r="B3352" s="3" t="str">
        <x:v>72709</x:v>
      </x:c>
      <x:c r="C3352" s="3" t="str">
        <x:v>IVORY SCULPTED RND CANDLE</x:v>
      </x:c>
      <x:c r="D3352" s="13" t="n">
        <x:v>37.4</x:v>
      </x:c>
      <x:c r="E3352" s="13" t="n">
        <x:v>0</x:v>
      </x:c>
      <x:c r="F3352" s="13" t="n">
        <x:f>D3352-E3352</x:f>
        <x:v>37.4</x:v>
      </x:c>
      <x:c r="G3352" s="3" t="n">
        <x:v>44</x:v>
      </x:c>
      <x:c r="H3352" s="3" t="n">
        <x:v>0</x:v>
      </x:c>
      <x:c r="I3352" s="3" t="n">
        <x:v>7</x:v>
      </x:c>
      <x:c r="J3352" s="15" t="n">
        <x:f>IF(D3352=0,"n.a.",E3352/D3352)</x:f>
        <x:v>0</x:v>
      </x:c>
      <x:c r="K3352" s="15" t="n">
        <x:f>F3352/'Datos'!$F$7</x:f>
        <x:v>0.000003819167959227896</x:v>
      </x:c>
      <x:c r="L3352" s="3"/>
    </x:row>
    <x:row r="3353" ht="22" customHeight="1">
      <x:c r="A3353" s="3"/>
      <x:c r="B3353" s="3" t="str">
        <x:v>90074</x:v>
      </x:c>
      <x:c r="C3353" s="3" t="str">
        <x:v>BLACK DIAMOND CLUSTER NECKLACE</x:v>
      </x:c>
      <x:c r="D3353" s="13" t="n">
        <x:v>37.24</x:v>
      </x:c>
      <x:c r="E3353" s="13" t="n">
        <x:v>0</x:v>
      </x:c>
      <x:c r="F3353" s="13" t="n">
        <x:f>D3353-E3353</x:f>
        <x:v>37.24</x:v>
      </x:c>
      <x:c r="G3353" s="3" t="n">
        <x:v>4</x:v>
      </x:c>
      <x:c r="H3353" s="3" t="n">
        <x:v>0</x:v>
      </x:c>
      <x:c r="I3353" s="3" t="n">
        <x:v>3</x:v>
      </x:c>
      <x:c r="J3353" s="15" t="n">
        <x:f>IF(D3353=0,"n.a.",E3353/D3353)</x:f>
        <x:v>0</x:v>
      </x:c>
      <x:c r="K3353" s="15" t="n">
        <x:f>F3353/'Datos'!$F$7</x:f>
        <x:v>0.0000038028292727713066</x:v>
      </x:c>
      <x:c r="L3353" s="3"/>
    </x:row>
    <x:row r="3354" ht="22" customHeight="1">
      <x:c r="A3354" s="3"/>
      <x:c r="B3354" s="3" t="str">
        <x:v>84522</x:v>
      </x:c>
      <x:c r="C3354" s="3" t="str">
        <x:v>PINK PARTY SUNGLASSES</x:v>
      </x:c>
      <x:c r="D3354" s="13" t="n">
        <x:v>36.76</x:v>
      </x:c>
      <x:c r="E3354" s="13" t="n">
        <x:v>0</x:v>
      </x:c>
      <x:c r="F3354" s="13" t="n">
        <x:f>D3354-E3354</x:f>
        <x:v>36.76</x:v>
      </x:c>
      <x:c r="G3354" s="3" t="n">
        <x:v>20</x:v>
      </x:c>
      <x:c r="H3354" s="3" t="n">
        <x:v>0</x:v>
      </x:c>
      <x:c r="I3354" s="3" t="n">
        <x:v>12</x:v>
      </x:c>
      <x:c r="J3354" s="15" t="n">
        <x:f>IF(D3354=0,"n.a.",E3354/D3354)</x:f>
        <x:v>0</x:v>
      </x:c>
      <x:c r="K3354" s="15" t="n">
        <x:f>F3354/'Datos'!$F$7</x:f>
        <x:v>0.0000037538132134015363</x:v>
      </x:c>
      <x:c r="L3354" s="3"/>
    </x:row>
    <x:row r="3355" ht="22" customHeight="1">
      <x:c r="A3355" s="3"/>
      <x:c r="B3355" s="3" t="str">
        <x:v>90085</x:v>
      </x:c>
      <x:c r="C3355" s="3" t="str">
        <x:v>CRYSTAL STILETTO PHONE CHARM</x:v>
      </x:c>
      <x:c r="D3355" s="13" t="n">
        <x:v>36.76</x:v>
      </x:c>
      <x:c r="E3355" s="13" t="n">
        <x:v>0</x:v>
      </x:c>
      <x:c r="F3355" s="13" t="n">
        <x:f>D3355-E3355</x:f>
        <x:v>36.76</x:v>
      </x:c>
      <x:c r="G3355" s="3" t="n">
        <x:v>34</x:v>
      </x:c>
      <x:c r="H3355" s="3" t="n">
        <x:v>0</x:v>
      </x:c>
      <x:c r="I3355" s="3" t="n">
        <x:v>10</x:v>
      </x:c>
      <x:c r="J3355" s="15" t="n">
        <x:f>IF(D3355=0,"n.a.",E3355/D3355)</x:f>
        <x:v>0</x:v>
      </x:c>
      <x:c r="K3355" s="15" t="n">
        <x:f>F3355/'Datos'!$F$7</x:f>
        <x:v>0.0000037538132134015363</x:v>
      </x:c>
      <x:c r="L3355" s="3"/>
    </x:row>
    <x:row r="3356" ht="22" customHeight="1">
      <x:c r="A3356" s="3"/>
      <x:c r="B3356" s="3" t="str">
        <x:v>90214H</x:v>
      </x:c>
      <x:c r="C3356" s="3" t="str">
        <x:v>LETTER "H" BLING KEY RING</x:v>
      </x:c>
      <x:c r="D3356" s="13" t="n">
        <x:v>36.76</x:v>
      </x:c>
      <x:c r="E3356" s="13" t="n">
        <x:v>0</x:v>
      </x:c>
      <x:c r="F3356" s="13" t="n">
        <x:f>D3356-E3356</x:f>
        <x:v>36.76</x:v>
      </x:c>
      <x:c r="G3356" s="3" t="n">
        <x:v>48</x:v>
      </x:c>
      <x:c r="H3356" s="3" t="n">
        <x:v>0</x:v>
      </x:c>
      <x:c r="I3356" s="3" t="n">
        <x:v>30</x:v>
      </x:c>
      <x:c r="J3356" s="15" t="n">
        <x:f>IF(D3356=0,"n.a.",E3356/D3356)</x:f>
        <x:v>0</x:v>
      </x:c>
      <x:c r="K3356" s="15" t="n">
        <x:f>F3356/'Datos'!$F$7</x:f>
        <x:v>0.0000037538132134015363</x:v>
      </x:c>
      <x:c r="L3356" s="3"/>
    </x:row>
    <x:row r="3357" ht="22" customHeight="1">
      <x:c r="A3357" s="3"/>
      <x:c r="B3357" s="3" t="str">
        <x:v>71510</x:v>
      </x:c>
      <x:c r="C3357" s="3" t="str">
        <x:v>SQUARE METAL CANDLEHOLDER BASE</x:v>
      </x:c>
      <x:c r="D3357" s="13" t="n">
        <x:v>36.52</x:v>
      </x:c>
      <x:c r="E3357" s="13" t="n">
        <x:v>0</x:v>
      </x:c>
      <x:c r="F3357" s="13" t="n">
        <x:f>D3357-E3357</x:f>
        <x:v>36.52</x:v>
      </x:c>
      <x:c r="G3357" s="3" t="n">
        <x:v>52</x:v>
      </x:c>
      <x:c r="H3357" s="3" t="n">
        <x:v>0</x:v>
      </x:c>
      <x:c r="I3357" s="3" t="n">
        <x:v>8</x:v>
      </x:c>
      <x:c r="J3357" s="15" t="n">
        <x:f>IF(D3357=0,"n.a.",E3357/D3357)</x:f>
        <x:v>0</x:v>
      </x:c>
      <x:c r="K3357" s="15" t="n">
        <x:f>F3357/'Datos'!$F$7</x:f>
        <x:v>0.000003729305183716652</x:v>
      </x:c>
      <x:c r="L3357" s="3"/>
    </x:row>
    <x:row r="3358" ht="22" customHeight="1">
      <x:c r="A3358" s="3"/>
      <x:c r="B3358" s="3" t="str">
        <x:v>35913B</x:v>
      </x:c>
      <x:c r="C3358" s="3" t="str">
        <x:v>WHITE/PINK CHICK EASTER DECORATION</x:v>
      </x:c>
      <x:c r="D3358" s="13" t="n">
        <x:v>36.33</x:v>
      </x:c>
      <x:c r="E3358" s="13" t="n">
        <x:v>0</x:v>
      </x:c>
      <x:c r="F3358" s="13" t="n">
        <x:f>D3358-E3358</x:f>
        <x:v>36.33</x:v>
      </x:c>
      <x:c r="G3358" s="3" t="n">
        <x:v>37</x:v>
      </x:c>
      <x:c r="H3358" s="3" t="n">
        <x:v>0</x:v>
      </x:c>
      <x:c r="I3358" s="3" t="n">
        <x:v>10</x:v>
      </x:c>
      <x:c r="J3358" s="15" t="n">
        <x:f>IF(D3358=0,"n.a.",E3358/D3358)</x:f>
        <x:v>0</x:v>
      </x:c>
      <x:c r="K3358" s="15" t="n">
        <x:f>F3358/'Datos'!$F$7</x:f>
        <x:v>0.000003709902993549451</x:v>
      </x:c>
      <x:c r="L3358" s="3"/>
    </x:row>
    <x:row r="3359" ht="22" customHeight="1">
      <x:c r="A3359" s="3"/>
      <x:c r="B3359" s="3" t="str">
        <x:v>84548</x:v>
      </x:c>
      <x:c r="C3359" s="3" t="str">
        <x:v>CROCHET BEAR RED/BLUE KEYRING</x:v>
      </x:c>
      <x:c r="D3359" s="13" t="n">
        <x:v>36.3</x:v>
      </x:c>
      <x:c r="E3359" s="13" t="n">
        <x:v>0</x:v>
      </x:c>
      <x:c r="F3359" s="13" t="n">
        <x:f>D3359-E3359</x:f>
        <x:v>36.3</x:v>
      </x:c>
      <x:c r="G3359" s="3" t="n">
        <x:v>22</x:v>
      </x:c>
      <x:c r="H3359" s="3" t="n">
        <x:v>0</x:v>
      </x:c>
      <x:c r="I3359" s="3" t="n">
        <x:v>4</x:v>
      </x:c>
      <x:c r="J3359" s="15" t="n">
        <x:f>IF(D3359=0,"n.a.",E3359/D3359)</x:f>
        <x:v>0</x:v>
      </x:c>
      <x:c r="K3359" s="15" t="n">
        <x:f>F3359/'Datos'!$F$7</x:f>
        <x:v>0.0000037068394898388403</x:v>
      </x:c>
      <x:c r="L3359" s="3"/>
    </x:row>
    <x:row r="3360" ht="22" customHeight="1">
      <x:c r="A3360" s="3"/>
      <x:c r="B3360" s="3" t="str">
        <x:v>17090D</x:v>
      </x:c>
      <x:c r="C3360" s="3" t="str">
        <x:v>VANILLA INCENSE 40 CONES IN TIN</x:v>
      </x:c>
      <x:c r="D3360" s="13" t="n">
        <x:v>36.25</x:v>
      </x:c>
      <x:c r="E3360" s="13" t="n">
        <x:v>0</x:v>
      </x:c>
      <x:c r="F3360" s="13" t="n">
        <x:f>D3360-E3360</x:f>
        <x:v>36.25</x:v>
      </x:c>
      <x:c r="G3360" s="3" t="n">
        <x:v>29</x:v>
      </x:c>
      <x:c r="H3360" s="3" t="n">
        <x:v>0</x:v>
      </x:c>
      <x:c r="I3360" s="3" t="n">
        <x:v>12</x:v>
      </x:c>
      <x:c r="J3360" s="15" t="n">
        <x:f>IF(D3360=0,"n.a.",E3360/D3360)</x:f>
        <x:v>0</x:v>
      </x:c>
      <x:c r="K3360" s="15" t="n">
        <x:f>F3360/'Datos'!$F$7</x:f>
        <x:v>0.0000037017336503211563</x:v>
      </x:c>
      <x:c r="L3360" s="3"/>
    </x:row>
    <x:row r="3361" ht="22" customHeight="1">
      <x:c r="A3361" s="3"/>
      <x:c r="B3361" s="3" t="str">
        <x:v>84226</x:v>
      </x:c>
      <x:c r="C3361" s="3" t="str">
        <x:v>HEN HOUSE W FAMILY IN BARN &amp; NEST</x:v>
      </x:c>
      <x:c r="D3361" s="13" t="n">
        <x:v>36.21</x:v>
      </x:c>
      <x:c r="E3361" s="13" t="n">
        <x:v>0</x:v>
      </x:c>
      <x:c r="F3361" s="13" t="n">
        <x:f>D3361-E3361</x:f>
        <x:v>36.21</x:v>
      </x:c>
      <x:c r="G3361" s="3" t="n">
        <x:v>51</x:v>
      </x:c>
      <x:c r="H3361" s="3" t="n">
        <x:v>0</x:v>
      </x:c>
      <x:c r="I3361" s="3" t="n">
        <x:v>10</x:v>
      </x:c>
      <x:c r="J3361" s="15" t="n">
        <x:f>IF(D3361=0,"n.a.",E3361/D3361)</x:f>
        <x:v>0</x:v>
      </x:c>
      <x:c r="K3361" s="15" t="n">
        <x:f>F3361/'Datos'!$F$7</x:f>
        <x:v>0.0000036976489787070086</x:v>
      </x:c>
      <x:c r="L3361" s="3"/>
    </x:row>
    <x:row r="3362" ht="22" customHeight="1">
      <x:c r="A3362" s="3"/>
      <x:c r="B3362" s="3" t="str">
        <x:v>85216</x:v>
      </x:c>
      <x:c r="C3362" s="3" t="str">
        <x:v>ASSORTED CAKES FRIDGE MAGNETS</x:v>
      </x:c>
      <x:c r="D3362" s="13" t="n">
        <x:v>35.75</x:v>
      </x:c>
      <x:c r="E3362" s="13" t="n">
        <x:v>0</x:v>
      </x:c>
      <x:c r="F3362" s="13" t="n">
        <x:f>D3362-E3362</x:f>
        <x:v>35.75</x:v>
      </x:c>
      <x:c r="G3362" s="3" t="n">
        <x:v>55</x:v>
      </x:c>
      <x:c r="H3362" s="3" t="n">
        <x:v>0</x:v>
      </x:c>
      <x:c r="I3362" s="3" t="n">
        <x:v>8</x:v>
      </x:c>
      <x:c r="J3362" s="15" t="n">
        <x:f>IF(D3362=0,"n.a.",E3362/D3362)</x:f>
        <x:v>0</x:v>
      </x:c>
      <x:c r="K3362" s="15" t="n">
        <x:f>F3362/'Datos'!$F$7</x:f>
        <x:v>0.0000036506752551443126</x:v>
      </x:c>
      <x:c r="L3362" s="3"/>
    </x:row>
    <x:row r="3363" ht="22" customHeight="1">
      <x:c r="A3363" s="3"/>
      <x:c r="B3363" s="3" t="str">
        <x:v>90094</x:v>
      </x:c>
      <x:c r="C3363" s="3" t="str">
        <x:v>NECKLACE+BRACELET SET FRUIT SALAD</x:v>
      </x:c>
      <x:c r="D3363" s="13" t="n">
        <x:v>35.7</x:v>
      </x:c>
      <x:c r="E3363" s="13" t="n">
        <x:v>0</x:v>
      </x:c>
      <x:c r="F3363" s="13" t="n">
        <x:f>D3363-E3363</x:f>
        <x:v>35.7</x:v>
      </x:c>
      <x:c r="G3363" s="3" t="n">
        <x:v>14</x:v>
      </x:c>
      <x:c r="H3363" s="3" t="n">
        <x:v>0</x:v>
      </x:c>
      <x:c r="I3363" s="3" t="n">
        <x:v>13</x:v>
      </x:c>
      <x:c r="J3363" s="15" t="n">
        <x:f>IF(D3363=0,"n.a.",E3363/D3363)</x:f>
        <x:v>0</x:v>
      </x:c>
      <x:c r="K3363" s="15" t="n">
        <x:f>F3363/'Datos'!$F$7</x:f>
        <x:v>0.0000036455694156266286</x:v>
      </x:c>
      <x:c r="L3363" s="3"/>
    </x:row>
    <x:row r="3364" ht="22" customHeight="1">
      <x:c r="A3364" s="3"/>
      <x:c r="B3364" s="3" t="str">
        <x:v>90179C</x:v>
      </x:c>
      <x:c r="C3364" s="3" t="str">
        <x:v>BLACK FINE BEAD NECKLACE W TASSEL</x:v>
      </x:c>
      <x:c r="D3364" s="13" t="n">
        <x:v>35.44</x:v>
      </x:c>
      <x:c r="E3364" s="13" t="n">
        <x:v>0</x:v>
      </x:c>
      <x:c r="F3364" s="13" t="n">
        <x:f>D3364-E3364</x:f>
        <x:v>35.44</x:v>
      </x:c>
      <x:c r="G3364" s="3" t="n">
        <x:v>6</x:v>
      </x:c>
      <x:c r="H3364" s="3" t="n">
        <x:v>0</x:v>
      </x:c>
      <x:c r="I3364" s="3" t="n">
        <x:v>6</x:v>
      </x:c>
      <x:c r="J3364" s="15" t="n">
        <x:f>IF(D3364=0,"n.a.",E3364/D3364)</x:f>
        <x:v>0</x:v>
      </x:c>
      <x:c r="K3364" s="15" t="n">
        <x:f>F3364/'Datos'!$F$7</x:f>
        <x:v>0.0000036190190501346696</x:v>
      </x:c>
      <x:c r="L3364" s="3"/>
    </x:row>
    <x:row r="3365" ht="22" customHeight="1">
      <x:c r="A3365" s="3"/>
      <x:c r="B3365" s="3" t="str">
        <x:v>84247K</x:v>
      </x:c>
      <x:c r="C3365" s="3" t="str">
        <x:v>FOLK ART GREETING CARD,pack/12</x:v>
      </x:c>
      <x:c r="D3365" s="13" t="n">
        <x:v>67.85</x:v>
      </x:c>
      <x:c r="E3365" s="13" t="n">
        <x:v>32.45</x:v>
      </x:c>
      <x:c r="F3365" s="13" t="n">
        <x:f>D3365-E3365</x:f>
        <x:v>35.39999999999999</x:v>
      </x:c>
      <x:c r="G3365" s="3" t="n">
        <x:v>23</x:v>
      </x:c>
      <x:c r="H3365" s="3" t="n">
        <x:v>11</x:v>
      </x:c>
      <x:c r="I3365" s="3" t="n">
        <x:v>9</x:v>
      </x:c>
      <x:c r="J3365" s="15" t="n">
        <x:f>IF(D3365=0,"n.a.",E3365/D3365)</x:f>
        <x:v>0.47826086956521746</x:v>
      </x:c>
      <x:c r="K3365" s="15" t="n">
        <x:f>F3365/'Datos'!$F$7</x:f>
        <x:v>0.000003614934378520521</x:v>
      </x:c>
      <x:c r="L3365" s="3"/>
    </x:row>
    <x:row r="3366" ht="22" customHeight="1">
      <x:c r="A3366" s="3"/>
      <x:c r="B3366" s="3" t="str">
        <x:v>79063D</x:v>
      </x:c>
      <x:c r="C3366" s="3" t="str">
        <x:v>RETRO PILL BOX , REVOLUTIONARY</x:v>
      </x:c>
      <x:c r="D3366" s="13" t="n">
        <x:v>35.33</x:v>
      </x:c>
      <x:c r="E3366" s="13" t="n">
        <x:v>0</x:v>
      </x:c>
      <x:c r="F3366" s="13" t="n">
        <x:f>D3366-E3366</x:f>
        <x:v>35.33</x:v>
      </x:c>
      <x:c r="G3366" s="3" t="n">
        <x:v>190</x:v>
      </x:c>
      <x:c r="H3366" s="3" t="n">
        <x:v>0</x:v>
      </x:c>
      <x:c r="I3366" s="3" t="n">
        <x:v>11</x:v>
      </x:c>
      <x:c r="J3366" s="15" t="n">
        <x:f>IF(D3366=0,"n.a.",E3366/D3366)</x:f>
        <x:v>0</x:v>
      </x:c>
      <x:c r="K3366" s="15" t="n">
        <x:f>F3366/'Datos'!$F$7</x:f>
        <x:v>0.0000036077862031957637</x:v>
      </x:c>
      <x:c r="L3366" s="3"/>
    </x:row>
    <x:row r="3367" ht="22" customHeight="1">
      <x:c r="A3367" s="3"/>
      <x:c r="B3367" s="3" t="str">
        <x:v>90123D</x:v>
      </x:c>
      <x:c r="C3367" s="3" t="str">
        <x:v>WHITE HEART OF GLASS BRACELET</x:v>
      </x:c>
      <x:c r="D3367" s="13" t="n">
        <x:v>35.31</x:v>
      </x:c>
      <x:c r="E3367" s="13" t="n">
        <x:v>0</x:v>
      </x:c>
      <x:c r="F3367" s="13" t="n">
        <x:f>D3367-E3367</x:f>
        <x:v>35.31</x:v>
      </x:c>
      <x:c r="G3367" s="3" t="n">
        <x:v>6</x:v>
      </x:c>
      <x:c r="H3367" s="3" t="n">
        <x:v>0</x:v>
      </x:c>
      <x:c r="I3367" s="3" t="n">
        <x:v>5</x:v>
      </x:c>
      <x:c r="J3367" s="15" t="n">
        <x:f>IF(D3367=0,"n.a.",E3367/D3367)</x:f>
        <x:v>0</x:v>
      </x:c>
      <x:c r="K3367" s="15" t="n">
        <x:f>F3367/'Datos'!$F$7</x:f>
        <x:v>0.0000036057438673886908</x:v>
      </x:c>
      <x:c r="L3367" s="3"/>
    </x:row>
    <x:row r="3368" ht="22" customHeight="1">
      <x:c r="A3368" s="3"/>
      <x:c r="B3368" s="3" t="str">
        <x:v>90179A</x:v>
      </x:c>
      <x:c r="C3368" s="3" t="str">
        <x:v>AMBER FINE BEAD NECKLACE W TASSEL</x:v>
      </x:c>
      <x:c r="D3368" s="13" t="n">
        <x:v>35.31</x:v>
      </x:c>
      <x:c r="E3368" s="13" t="n">
        <x:v>0</x:v>
      </x:c>
      <x:c r="F3368" s="13" t="n">
        <x:f>D3368-E3368</x:f>
        <x:v>35.31</x:v>
      </x:c>
      <x:c r="G3368" s="3" t="n">
        <x:v>6</x:v>
      </x:c>
      <x:c r="H3368" s="3" t="n">
        <x:v>0</x:v>
      </x:c>
      <x:c r="I3368" s="3" t="n">
        <x:v>5</x:v>
      </x:c>
      <x:c r="J3368" s="15" t="n">
        <x:f>IF(D3368=0,"n.a.",E3368/D3368)</x:f>
        <x:v>0</x:v>
      </x:c>
      <x:c r="K3368" s="15" t="n">
        <x:f>F3368/'Datos'!$F$7</x:f>
        <x:v>0.0000036057438673886908</x:v>
      </x:c>
      <x:c r="L3368" s="3"/>
    </x:row>
    <x:row r="3369" ht="22" customHeight="1">
      <x:c r="A3369" s="3"/>
      <x:c r="B3369" s="3" t="str">
        <x:v>90011B</x:v>
      </x:c>
      <x:c r="C3369" s="3" t="str">
        <x:v>BLACK CRYSTAL DROP EARRINGS</x:v>
      </x:c>
      <x:c r="D3369" s="13" t="n">
        <x:v>35.27</x:v>
      </x:c>
      <x:c r="E3369" s="13" t="n">
        <x:v>0</x:v>
      </x:c>
      <x:c r="F3369" s="13" t="n">
        <x:f>D3369-E3369</x:f>
        <x:v>35.27</x:v>
      </x:c>
      <x:c r="G3369" s="3" t="n">
        <x:v>12</x:v>
      </x:c>
      <x:c r="H3369" s="3" t="n">
        <x:v>0</x:v>
      </x:c>
      <x:c r="I3369" s="3" t="n">
        <x:v>7</x:v>
      </x:c>
      <x:c r="J3369" s="15" t="n">
        <x:f>IF(D3369=0,"n.a.",E3369/D3369)</x:f>
        <x:v>0</x:v>
      </x:c>
      <x:c r="K3369" s="15" t="n">
        <x:f>F3369/'Datos'!$F$7</x:f>
        <x:v>0.000003601659195774543</x:v>
      </x:c>
      <x:c r="L3369" s="3"/>
    </x:row>
    <x:row r="3370" ht="22" customHeight="1">
      <x:c r="A3370" s="3"/>
      <x:c r="B3370" s="3" t="str">
        <x:v>90060F</x:v>
      </x:c>
      <x:c r="C3370" s="3" t="str">
        <x:v>FIRE POLISHED GLASS NECKL GREEN</x:v>
      </x:c>
      <x:c r="D3370" s="13" t="n">
        <x:v>35.16</x:v>
      </x:c>
      <x:c r="E3370" s="13" t="n">
        <x:v>0</x:v>
      </x:c>
      <x:c r="F3370" s="13" t="n">
        <x:f>D3370-E3370</x:f>
        <x:v>35.16</x:v>
      </x:c>
      <x:c r="G3370" s="3" t="n">
        <x:v>6</x:v>
      </x:c>
      <x:c r="H3370" s="3" t="n">
        <x:v>0</x:v>
      </x:c>
      <x:c r="I3370" s="3" t="n">
        <x:v>6</x:v>
      </x:c>
      <x:c r="J3370" s="15" t="n">
        <x:f>IF(D3370=0,"n.a.",E3370/D3370)</x:f>
        <x:v>0</x:v>
      </x:c>
      <x:c r="K3370" s="15" t="n">
        <x:f>F3370/'Datos'!$F$7</x:f>
        <x:v>0.000003590426348835637</x:v>
      </x:c>
      <x:c r="L3370" s="3"/>
    </x:row>
    <x:row r="3371" ht="22" customHeight="1">
      <x:c r="A3371" s="3"/>
      <x:c r="B3371" s="3" t="str">
        <x:v>90186A</x:v>
      </x:c>
      <x:c r="C3371" s="3" t="str">
        <x:v>AMETHYST HOOP EARRING FLORAL LEAF</x:v>
      </x:c>
      <x:c r="D3371" s="13" t="n">
        <x:v>35.11</x:v>
      </x:c>
      <x:c r="E3371" s="13" t="n">
        <x:v>0</x:v>
      </x:c>
      <x:c r="F3371" s="13" t="n">
        <x:f>D3371-E3371</x:f>
        <x:v>35.11</x:v>
      </x:c>
      <x:c r="G3371" s="3" t="n">
        <x:v>12</x:v>
      </x:c>
      <x:c r="H3371" s="3" t="n">
        <x:v>0</x:v>
      </x:c>
      <x:c r="I3371" s="3" t="n">
        <x:v>9</x:v>
      </x:c>
      <x:c r="J3371" s="15" t="n">
        <x:f>IF(D3371=0,"n.a.",E3371/D3371)</x:f>
        <x:v>0</x:v>
      </x:c>
      <x:c r="K3371" s="15" t="n">
        <x:f>F3371/'Datos'!$F$7</x:f>
        <x:v>0.000003585320509317953</x:v>
      </x:c>
      <x:c r="L3371" s="3"/>
    </x:row>
    <x:row r="3372" ht="22" customHeight="1">
      <x:c r="A3372" s="3"/>
      <x:c r="B3372" s="3" t="str">
        <x:v>90131</x:v>
      </x:c>
      <x:c r="C3372" s="3" t="str">
        <x:v>PINK/AMETHYST/GOLD NECKLACE</x:v>
      </x:c>
      <x:c r="D3372" s="13" t="n">
        <x:v>34.87</x:v>
      </x:c>
      <x:c r="E3372" s="13" t="n">
        <x:v>0</x:v>
      </x:c>
      <x:c r="F3372" s="13" t="n">
        <x:f>D3372-E3372</x:f>
        <x:v>34.87</x:v>
      </x:c>
      <x:c r="G3372" s="3" t="n">
        <x:v>5</x:v>
      </x:c>
      <x:c r="H3372" s="3" t="n">
        <x:v>0</x:v>
      </x:c>
      <x:c r="I3372" s="3" t="n">
        <x:v>2</x:v>
      </x:c>
      <x:c r="J3372" s="15" t="n">
        <x:f>IF(D3372=0,"n.a.",E3372/D3372)</x:f>
        <x:v>0</x:v>
      </x:c>
      <x:c r="K3372" s="15" t="n">
        <x:f>F3372/'Datos'!$F$7</x:f>
        <x:v>0.0000035608124796330677</x:v>
      </x:c>
      <x:c r="L3372" s="3"/>
    </x:row>
    <x:row r="3373" ht="22" customHeight="1">
      <x:c r="A3373" s="3"/>
      <x:c r="B3373" s="3" t="str">
        <x:v>90168</x:v>
      </x:c>
      <x:c r="C3373" s="3" t="str">
        <x:v>2 DAISIES HAIR COMB</x:v>
      </x:c>
      <x:c r="D3373" s="13" t="n">
        <x:v>52.56</x:v>
      </x:c>
      <x:c r="E3373" s="13" t="n">
        <x:v>17.7</x:v>
      </x:c>
      <x:c r="F3373" s="13" t="n">
        <x:f>D3373-E3373</x:f>
        <x:v>34.86</x:v>
      </x:c>
      <x:c r="G3373" s="3" t="n">
        <x:v>18</x:v>
      </x:c>
      <x:c r="H3373" s="3" t="n">
        <x:v>6</x:v>
      </x:c>
      <x:c r="I3373" s="3" t="n">
        <x:v>12</x:v>
      </x:c>
      <x:c r="J3373" s="15" t="n">
        <x:f>IF(D3373=0,"n.a.",E3373/D3373)</x:f>
        <x:v>0.3367579908675799</x:v>
      </x:c>
      <x:c r="K3373" s="15" t="n">
        <x:f>F3373/'Datos'!$F$7</x:f>
        <x:v>0.000003559791311729531</x:v>
      </x:c>
      <x:c r="L3373" s="3"/>
    </x:row>
    <x:row r="3374" ht="22" customHeight="1">
      <x:c r="A3374" s="3"/>
      <x:c r="B3374" s="3" t="str">
        <x:v>90049</x:v>
      </x:c>
      <x:c r="C3374" s="3" t="str">
        <x:v>IVORY GOLD METAL BAG CHARM</x:v>
      </x:c>
      <x:c r="D3374" s="13" t="n">
        <x:v>34.77</x:v>
      </x:c>
      <x:c r="E3374" s="13" t="n">
        <x:v>0</x:v>
      </x:c>
      <x:c r="F3374" s="13" t="n">
        <x:f>D3374-E3374</x:f>
        <x:v>34.77</x:v>
      </x:c>
      <x:c r="G3374" s="3" t="n">
        <x:v>5</x:v>
      </x:c>
      <x:c r="H3374" s="3" t="n">
        <x:v>0</x:v>
      </x:c>
      <x:c r="I3374" s="3" t="n">
        <x:v>3</x:v>
      </x:c>
      <x:c r="J3374" s="15" t="n">
        <x:f>IF(D3374=0,"n.a.",E3374/D3374)</x:f>
        <x:v>0</x:v>
      </x:c>
      <x:c r="K3374" s="15" t="n">
        <x:f>F3374/'Datos'!$F$7</x:f>
        <x:v>0.0000035506008005976998</x:v>
      </x:c>
      <x:c r="L3374" s="3"/>
    </x:row>
    <x:row r="3375" ht="22" customHeight="1">
      <x:c r="A3375" s="3"/>
      <x:c r="B3375" s="3" t="str">
        <x:v>20827</x:v>
      </x:c>
      <x:c r="C3375" s="3" t="str">
        <x:v>GOLD APERITIF GLASS</x:v>
      </x:c>
      <x:c r="D3375" s="13" t="n">
        <x:v>34.32</x:v>
      </x:c>
      <x:c r="E3375" s="13" t="n">
        <x:v>0</x:v>
      </x:c>
      <x:c r="F3375" s="13" t="n">
        <x:f>D3375-E3375</x:f>
        <x:v>34.32</x:v>
      </x:c>
      <x:c r="G3375" s="3" t="n">
        <x:v>88</x:v>
      </x:c>
      <x:c r="H3375" s="3" t="n">
        <x:v>0</x:v>
      </x:c>
      <x:c r="I3375" s="3" t="n">
        <x:v>2</x:v>
      </x:c>
      <x:c r="J3375" s="15" t="n">
        <x:f>IF(D3375=0,"n.a.",E3375/D3375)</x:f>
        <x:v>0</x:v>
      </x:c>
      <x:c r="K3375" s="15" t="n">
        <x:f>F3375/'Datos'!$F$7</x:f>
        <x:v>0.00000350464824493854</x:v>
      </x:c>
      <x:c r="L3375" s="3"/>
    </x:row>
    <x:row r="3376" ht="22" customHeight="1">
      <x:c r="A3376" s="3"/>
      <x:c r="B3376" s="3" t="str">
        <x:v>79406</x:v>
      </x:c>
      <x:c r="C3376" s="3" t="str">
        <x:v>FROSTED WHITE BASE</x:v>
      </x:c>
      <x:c r="D3376" s="13" t="n">
        <x:v>34.12</x:v>
      </x:c>
      <x:c r="E3376" s="13" t="n">
        <x:v>0</x:v>
      </x:c>
      <x:c r="F3376" s="13" t="n">
        <x:f>D3376-E3376</x:f>
        <x:v>34.12</x:v>
      </x:c>
      <x:c r="G3376" s="3" t="n">
        <x:v>144</x:v>
      </x:c>
      <x:c r="H3376" s="3" t="n">
        <x:v>0</x:v>
      </x:c>
      <x:c r="I3376" s="3" t="n">
        <x:v>8</x:v>
      </x:c>
      <x:c r="J3376" s="15" t="n">
        <x:f>IF(D3376=0,"n.a.",E3376/D3376)</x:f>
        <x:v>0</x:v>
      </x:c>
      <x:c r="K3376" s="15" t="n">
        <x:f>F3376/'Datos'!$F$7</x:f>
        <x:v>0.0000034842248868678025</x:v>
      </x:c>
      <x:c r="L3376" s="3"/>
    </x:row>
    <x:row r="3377" ht="22" customHeight="1">
      <x:c r="A3377" s="3"/>
      <x:c r="B3377" s="3" t="str">
        <x:v>81950B</x:v>
      </x:c>
      <x:c r="C3377" s="3" t="str">
        <x:v>FLOWER BLUE CLOCK WITH SUCKER</x:v>
      </x:c>
      <x:c r="D3377" s="13" t="n">
        <x:v>33.93</x:v>
      </x:c>
      <x:c r="E3377" s="13" t="n">
        <x:v>0</x:v>
      </x:c>
      <x:c r="F3377" s="13" t="n">
        <x:f>D3377-E3377</x:f>
        <x:v>33.93</x:v>
      </x:c>
      <x:c r="G3377" s="3" t="n">
        <x:v>117</x:v>
      </x:c>
      <x:c r="H3377" s="3" t="n">
        <x:v>0</x:v>
      </x:c>
      <x:c r="I3377" s="3" t="n">
        <x:v>8</x:v>
      </x:c>
      <x:c r="J3377" s="15" t="n">
        <x:f>IF(D3377=0,"n.a.",E3377/D3377)</x:f>
        <x:v>0</x:v>
      </x:c>
      <x:c r="K3377" s="15" t="n">
        <x:f>F3377/'Datos'!$F$7</x:f>
        <x:v>0.000003464822696700602</x:v>
      </x:c>
      <x:c r="L3377" s="3"/>
    </x:row>
    <x:row r="3378" ht="22" customHeight="1">
      <x:c r="A3378" s="3"/>
      <x:c r="B3378" s="3" t="str">
        <x:v>84873A</x:v>
      </x:c>
      <x:c r="C3378" s="3" t="str">
        <x:v>FUNKY FLOWER PICNIC BAG FOR 4</x:v>
      </x:c>
      <x:c r="D3378" s="13" t="n">
        <x:v>33.9</x:v>
      </x:c>
      <x:c r="E3378" s="13" t="n">
        <x:v>0</x:v>
      </x:c>
      <x:c r="F3378" s="13" t="n">
        <x:f>D3378-E3378</x:f>
        <x:v>33.9</x:v>
      </x:c>
      <x:c r="G3378" s="3" t="n">
        <x:v>2</x:v>
      </x:c>
      <x:c r="H3378" s="3" t="n">
        <x:v>0</x:v>
      </x:c>
      <x:c r="I3378" s="3" t="n">
        <x:v>2</x:v>
      </x:c>
      <x:c r="J3378" s="15" t="n">
        <x:f>IF(D3378=0,"n.a.",E3378/D3378)</x:f>
        <x:v>0</x:v>
      </x:c>
      <x:c r="K3378" s="15" t="n">
        <x:f>F3378/'Datos'!$F$7</x:f>
        <x:v>0.0000034617591929899916</x:v>
      </x:c>
      <x:c r="L3378" s="3"/>
    </x:row>
    <x:row r="3379" ht="22" customHeight="1">
      <x:c r="A3379" s="3"/>
      <x:c r="B3379" s="3" t="str">
        <x:v>90026C</x:v>
      </x:c>
      <x:c r="C3379" s="3" t="str">
        <x:v>GLASS BEAD HOOP NECKLACE GREEN</x:v>
      </x:c>
      <x:c r="D3379" s="13" t="n">
        <x:v>33.82</x:v>
      </x:c>
      <x:c r="E3379" s="13" t="n">
        <x:v>0</x:v>
      </x:c>
      <x:c r="F3379" s="13" t="n">
        <x:f>D3379-E3379</x:f>
        <x:v>33.82</x:v>
      </x:c>
      <x:c r="G3379" s="3" t="n">
        <x:v>4</x:v>
      </x:c>
      <x:c r="H3379" s="3" t="n">
        <x:v>0</x:v>
      </x:c>
      <x:c r="I3379" s="3" t="n">
        <x:v>3</x:v>
      </x:c>
      <x:c r="J3379" s="15" t="n">
        <x:f>IF(D3379=0,"n.a.",E3379/D3379)</x:f>
        <x:v>0</x:v>
      </x:c>
      <x:c r="K3379" s="15" t="n">
        <x:f>F3379/'Datos'!$F$7</x:f>
        <x:v>0.0000034535898497616967</x:v>
      </x:c>
      <x:c r="L3379" s="3"/>
    </x:row>
    <x:row r="3380" ht="22" customHeight="1">
      <x:c r="A3380" s="3"/>
      <x:c r="B3380" s="3" t="str">
        <x:v>90024C</x:v>
      </x:c>
      <x:c r="C3380" s="3" t="str">
        <x:v>NEW BAROQUE B'FLY NECKLACE GREEN</x:v>
      </x:c>
      <x:c r="D3380" s="13" t="n">
        <x:v>33.81</x:v>
      </x:c>
      <x:c r="E3380" s="13" t="n">
        <x:v>0</x:v>
      </x:c>
      <x:c r="F3380" s="13" t="n">
        <x:f>D3380-E3380</x:f>
        <x:v>33.81</x:v>
      </x:c>
      <x:c r="G3380" s="3" t="n">
        <x:v>4</x:v>
      </x:c>
      <x:c r="H3380" s="3" t="n">
        <x:v>0</x:v>
      </x:c>
      <x:c r="I3380" s="3" t="n">
        <x:v>3</x:v>
      </x:c>
      <x:c r="J3380" s="15" t="n">
        <x:f>IF(D3380=0,"n.a.",E3380/D3380)</x:f>
        <x:v>0</x:v>
      </x:c>
      <x:c r="K3380" s="15" t="n">
        <x:f>F3380/'Datos'!$F$7</x:f>
        <x:v>0.00000345256868185816</x:v>
      </x:c>
      <x:c r="L3380" s="3"/>
    </x:row>
    <x:row r="3381" ht="22" customHeight="1">
      <x:c r="A3381" s="3"/>
      <x:c r="B3381" s="3" t="str">
        <x:v>17136A</x:v>
      </x:c>
      <x:c r="C3381" s="3" t="str">
        <x:v>BLUE STONES ON WIRE FOR CANDLE</x:v>
      </x:c>
      <x:c r="D3381" s="13" t="n">
        <x:v>33.75</x:v>
      </x:c>
      <x:c r="E3381" s="13" t="n">
        <x:v>0</x:v>
      </x:c>
      <x:c r="F3381" s="13" t="n">
        <x:f>D3381-E3381</x:f>
        <x:v>33.75</x:v>
      </x:c>
      <x:c r="G3381" s="3" t="n">
        <x:v>404</x:v>
      </x:c>
      <x:c r="H3381" s="3" t="n">
        <x:v>0</x:v>
      </x:c>
      <x:c r="I3381" s="3" t="n">
        <x:v>17</x:v>
      </x:c>
      <x:c r="J3381" s="15" t="n">
        <x:f>IF(D3381=0,"n.a.",E3381/D3381)</x:f>
        <x:v>0</x:v>
      </x:c>
      <x:c r="K3381" s="15" t="n">
        <x:f>F3381/'Datos'!$F$7</x:f>
        <x:v>0.0000034464416744369385</x:v>
      </x:c>
      <x:c r="L3381" s="3"/>
    </x:row>
    <x:row r="3382" ht="22" customHeight="1">
      <x:c r="A3382" s="3"/>
      <x:c r="B3382" s="3" t="str">
        <x:v>90038C</x:v>
      </x:c>
      <x:c r="C3382" s="3" t="str">
        <x:v>GLASS AND BEADS BRACELET IVORY</x:v>
      </x:c>
      <x:c r="D3382" s="13" t="n">
        <x:v>33.69</x:v>
      </x:c>
      <x:c r="E3382" s="13" t="n">
        <x:v>0</x:v>
      </x:c>
      <x:c r="F3382" s="13" t="n">
        <x:f>D3382-E3382</x:f>
        <x:v>33.69</x:v>
      </x:c>
      <x:c r="G3382" s="3" t="n">
        <x:v>9</x:v>
      </x:c>
      <x:c r="H3382" s="3" t="n">
        <x:v>0</x:v>
      </x:c>
      <x:c r="I3382" s="3" t="n">
        <x:v>4</x:v>
      </x:c>
      <x:c r="J3382" s="15" t="n">
        <x:f>IF(D3382=0,"n.a.",E3382/D3382)</x:f>
        <x:v>0</x:v>
      </x:c>
      <x:c r="K3382" s="15" t="n">
        <x:f>F3382/'Datos'!$F$7</x:f>
        <x:v>0.000003440314667015717</x:v>
      </x:c>
      <x:c r="L3382" s="3"/>
    </x:row>
    <x:row r="3383" ht="22" customHeight="1">
      <x:c r="A3383" s="3"/>
      <x:c r="B3383" s="3" t="str">
        <x:v>72783</x:v>
      </x:c>
      <x:c r="C3383" s="3" t="str">
        <x:v>BLACK SIL'T SQU CANDLE PLATE</x:v>
      </x:c>
      <x:c r="D3383" s="13" t="n">
        <x:v>33.6</x:v>
      </x:c>
      <x:c r="E3383" s="13" t="n">
        <x:v>0</x:v>
      </x:c>
      <x:c r="F3383" s="13" t="n">
        <x:f>D3383-E3383</x:f>
        <x:v>33.6</x:v>
      </x:c>
      <x:c r="G3383" s="3" t="n">
        <x:v>16</x:v>
      </x:c>
      <x:c r="H3383" s="3" t="n">
        <x:v>0</x:v>
      </x:c>
      <x:c r="I3383" s="3" t="n">
        <x:v>2</x:v>
      </x:c>
      <x:c r="J3383" s="15" t="n">
        <x:f>IF(D3383=0,"n.a.",E3383/D3383)</x:f>
        <x:v>0</x:v>
      </x:c>
      <x:c r="K3383" s="15" t="n">
        <x:f>F3383/'Datos'!$F$7</x:f>
        <x:v>0.0000034311241558838858</x:v>
      </x:c>
      <x:c r="L3383" s="3"/>
    </x:row>
    <x:row r="3384" ht="22" customHeight="1">
      <x:c r="A3384" s="3"/>
      <x:c r="B3384" s="3" t="str">
        <x:v>90129D</x:v>
      </x:c>
      <x:c r="C3384" s="3" t="str">
        <x:v>AMBER GLASS TASSLE BAG CHARM</x:v>
      </x:c>
      <x:c r="D3384" s="13" t="n">
        <x:v>33.44</x:v>
      </x:c>
      <x:c r="E3384" s="13" t="n">
        <x:v>0</x:v>
      </x:c>
      <x:c r="F3384" s="13" t="n">
        <x:f>D3384-E3384</x:f>
        <x:v>33.44</x:v>
      </x:c>
      <x:c r="G3384" s="3" t="n">
        <x:v>14</x:v>
      </x:c>
      <x:c r="H3384" s="3" t="n">
        <x:v>0</x:v>
      </x:c>
      <x:c r="I3384" s="3" t="n">
        <x:v>7</x:v>
      </x:c>
      <x:c r="J3384" s="15" t="n">
        <x:f>IF(D3384=0,"n.a.",E3384/D3384)</x:f>
        <x:v>0</x:v>
      </x:c>
      <x:c r="K3384" s="15" t="n">
        <x:f>F3384/'Datos'!$F$7</x:f>
        <x:v>0.000003414785469427295</x:v>
      </x:c>
      <x:c r="L3384" s="3"/>
    </x:row>
    <x:row r="3385" ht="22" customHeight="1">
      <x:c r="A3385" s="3"/>
      <x:c r="B3385" s="3" t="str">
        <x:v>84575A</x:v>
      </x:c>
      <x:c r="C3385" s="3" t="str">
        <x:v>PINK DOG CANNISTER</x:v>
      </x:c>
      <x:c r="D3385" s="13" t="n">
        <x:v>39.3</x:v>
      </x:c>
      <x:c r="E3385" s="13" t="n">
        <x:v>5.95</x:v>
      </x:c>
      <x:c r="F3385" s="13" t="n">
        <x:f>D3385-E3385</x:f>
        <x:v>33.349999999999994</x:v>
      </x:c>
      <x:c r="G3385" s="3" t="n">
        <x:v>14</x:v>
      </x:c>
      <x:c r="H3385" s="3" t="n">
        <x:v>1</x:v>
      </x:c>
      <x:c r="I3385" s="3" t="n">
        <x:v>4</x:v>
      </x:c>
      <x:c r="J3385" s="15" t="n">
        <x:f>IF(D3385=0,"n.a.",E3385/D3385)</x:f>
        <x:v>0.1513994910941476</x:v>
      </x:c>
      <x:c r="K3385" s="15" t="n">
        <x:f>F3385/'Datos'!$F$7</x:f>
        <x:v>0.000003405594958295463</x:v>
      </x:c>
      <x:c r="L3385" s="3"/>
    </x:row>
    <x:row r="3386" ht="22" customHeight="1">
      <x:c r="A3386" s="3"/>
      <x:c r="B3386" s="3" t="str">
        <x:v>37423</x:v>
      </x:c>
      <x:c r="C3386" s="3" t="str">
        <x:v>WHITE WITH BLACK CATS PLATE</x:v>
      </x:c>
      <x:c r="D3386" s="13" t="n">
        <x:v>33.18</x:v>
      </x:c>
      <x:c r="E3386" s="13" t="n">
        <x:v>0</x:v>
      </x:c>
      <x:c r="F3386" s="13" t="n">
        <x:f>D3386-E3386</x:f>
        <x:v>33.18</x:v>
      </x:c>
      <x:c r="G3386" s="3" t="n">
        <x:v>78</x:v>
      </x:c>
      <x:c r="H3386" s="3" t="n">
        <x:v>0</x:v>
      </x:c>
      <x:c r="I3386" s="3" t="n">
        <x:v>3</x:v>
      </x:c>
      <x:c r="J3386" s="15" t="n">
        <x:f>IF(D3386=0,"n.a.",E3386/D3386)</x:f>
        <x:v>0</x:v>
      </x:c>
      <x:c r="K3386" s="15" t="n">
        <x:f>F3386/'Datos'!$F$7</x:f>
        <x:v>0.000003388235103935337</x:v>
      </x:c>
      <x:c r="L3386" s="3"/>
    </x:row>
    <x:row r="3387" ht="22" customHeight="1">
      <x:c r="A3387" s="3"/>
      <x:c r="B3387" s="3" t="str">
        <x:v>90169</x:v>
      </x:c>
      <x:c r="C3387" s="3" t="str">
        <x:v>DAISY HAIR COMB</x:v>
      </x:c>
      <x:c r="D3387" s="13" t="n">
        <x:v>47.84</x:v>
      </x:c>
      <x:c r="E3387" s="13" t="n">
        <x:v>15.3</x:v>
      </x:c>
      <x:c r="F3387" s="13" t="n">
        <x:f>D3387-E3387</x:f>
        <x:v>32.540000000000006</x:v>
      </x:c>
      <x:c r="G3387" s="3" t="n">
        <x:v>19</x:v>
      </x:c>
      <x:c r="H3387" s="3" t="n">
        <x:v>6</x:v>
      </x:c>
      <x:c r="I3387" s="3" t="n">
        <x:v>11</x:v>
      </x:c>
      <x:c r="J3387" s="15" t="n">
        <x:f>IF(D3387=0,"n.a.",E3387/D3387)</x:f>
        <x:v>0.31981605351170567</x:v>
      </x:c>
      <x:c r="K3387" s="15" t="n">
        <x:f>F3387/'Datos'!$F$7</x:f>
        <x:v>0.0000033228803581089777</x:v>
      </x:c>
      <x:c r="L3387" s="3"/>
    </x:row>
    <x:row r="3388" ht="22" customHeight="1">
      <x:c r="A3388" s="3"/>
      <x:c r="B3388" s="3" t="str">
        <x:v>35610C</x:v>
      </x:c>
      <x:c r="C3388" s="3" t="str">
        <x:v>WHITE CHRISTMAS FLOCK DROPLET</x:v>
      </x:c>
      <x:c r="D3388" s="13" t="n">
        <x:v>32.51</x:v>
      </x:c>
      <x:c r="E3388" s="13" t="n">
        <x:v>0</x:v>
      </x:c>
      <x:c r="F3388" s="13" t="n">
        <x:f>D3388-E3388</x:f>
        <x:v>32.51</x:v>
      </x:c>
      <x:c r="G3388" s="3" t="n">
        <x:v>25</x:v>
      </x:c>
      <x:c r="H3388" s="3" t="n">
        <x:v>0</x:v>
      </x:c>
      <x:c r="I3388" s="3" t="n">
        <x:v>2</x:v>
      </x:c>
      <x:c r="J3388" s="15" t="n">
        <x:f>IF(D3388=0,"n.a.",E3388/D3388)</x:f>
        <x:v>0</x:v>
      </x:c>
      <x:c r="K3388" s="15" t="n">
        <x:f>F3388/'Datos'!$F$7</x:f>
        <x:v>0.0000033198168543983663</x:v>
      </x:c>
      <x:c r="L3388" s="3"/>
    </x:row>
    <x:row r="3389" ht="22" customHeight="1">
      <x:c r="A3389" s="3"/>
      <x:c r="B3389" s="3" t="str">
        <x:v>37468</x:v>
      </x:c>
      <x:c r="C3389" s="3" t="str">
        <x:v>HARDMAN MUG 3 ASSORTED</x:v>
      </x:c>
      <x:c r="D3389" s="13" t="n">
        <x:v>32.42</x:v>
      </x:c>
      <x:c r="E3389" s="13" t="n">
        <x:v>0</x:v>
      </x:c>
      <x:c r="F3389" s="13" t="n">
        <x:f>D3389-E3389</x:f>
        <x:v>32.42</x:v>
      </x:c>
      <x:c r="G3389" s="3" t="n">
        <x:v>65</x:v>
      </x:c>
      <x:c r="H3389" s="3" t="n">
        <x:v>0</x:v>
      </x:c>
      <x:c r="I3389" s="3" t="n">
        <x:v>13</x:v>
      </x:c>
      <x:c r="J3389" s="15" t="n">
        <x:f>IF(D3389=0,"n.a.",E3389/D3389)</x:f>
        <x:v>0</x:v>
      </x:c>
      <x:c r="K3389" s="15" t="n">
        <x:f>F3389/'Datos'!$F$7</x:f>
        <x:v>0.000003310626343266535</x:v>
      </x:c>
      <x:c r="L3389" s="3"/>
    </x:row>
    <x:row r="3390" ht="22" customHeight="1">
      <x:c r="A3390" s="3"/>
      <x:c r="B3390" s="3" t="str">
        <x:v>17109D</x:v>
      </x:c>
      <x:c r="C3390" s="3" t="str">
        <x:v>FLOWER FAIRY INCENSE BOUQUET</x:v>
      </x:c>
      <x:c r="D3390" s="13" t="n">
        <x:v>32.35</x:v>
      </x:c>
      <x:c r="E3390" s="13" t="n">
        <x:v>0</x:v>
      </x:c>
      <x:c r="F3390" s="13" t="n">
        <x:f>D3390-E3390</x:f>
        <x:v>32.35</x:v>
      </x:c>
      <x:c r="G3390" s="3" t="n">
        <x:v>61</x:v>
      </x:c>
      <x:c r="H3390" s="3" t="n">
        <x:v>0</x:v>
      </x:c>
      <x:c r="I3390" s="3" t="n">
        <x:v>5</x:v>
      </x:c>
      <x:c r="J3390" s="15" t="n">
        <x:f>IF(D3390=0,"n.a.",E3390/D3390)</x:f>
        <x:v>0</x:v>
      </x:c>
      <x:c r="K3390" s="15" t="n">
        <x:f>F3390/'Datos'!$F$7</x:f>
        <x:v>0.000003303478167941777</x:v>
      </x:c>
      <x:c r="L3390" s="3"/>
    </x:row>
    <x:row r="3391" ht="22" customHeight="1">
      <x:c r="A3391" s="3"/>
      <x:c r="B3391" s="3" t="str">
        <x:v>46138B</x:v>
      </x:c>
      <x:c r="C3391" s="3" t="str">
        <x:v>BLUE CHENILLE SHAGGY CUSHION COVER</x:v>
      </x:c>
      <x:c r="D3391" s="13" t="n">
        <x:v>43.15</x:v>
      </x:c>
      <x:c r="E3391" s="13" t="n">
        <x:v>11.05</x:v>
      </x:c>
      <x:c r="F3391" s="13" t="n">
        <x:f>D3391-E3391</x:f>
        <x:v>32.099999999999994</x:v>
      </x:c>
      <x:c r="G3391" s="3" t="n">
        <x:v>43</x:v>
      </x:c>
      <x:c r="H3391" s="3" t="n">
        <x:v>13</x:v>
      </x:c>
      <x:c r="I3391" s="3" t="n">
        <x:v>12</x:v>
      </x:c>
      <x:c r="J3391" s="15" t="n">
        <x:f>IF(D3391=0,"n.a.",E3391/D3391)</x:f>
        <x:v>0.25608342989571264</x:v>
      </x:c>
      <x:c r="K3391" s="15" t="n">
        <x:f>F3391/'Datos'!$F$7</x:f>
        <x:v>0.000003277948970353354</x:v>
      </x:c>
      <x:c r="L3391" s="3"/>
    </x:row>
    <x:row r="3392" ht="22" customHeight="1">
      <x:c r="A3392" s="3"/>
      <x:c r="B3392" s="3" t="str">
        <x:v>90202B</x:v>
      </x:c>
      <x:c r="C3392" s="3" t="str">
        <x:v>WHITE ENAMEL FLOWER HAIR TIE</x:v>
      </x:c>
      <x:c r="D3392" s="13" t="n">
        <x:v>49.65</x:v>
      </x:c>
      <x:c r="E3392" s="13" t="n">
        <x:v>17.7</x:v>
      </x:c>
      <x:c r="F3392" s="13" t="n">
        <x:f>D3392-E3392</x:f>
        <x:v>31.95</x:v>
      </x:c>
      <x:c r="G3392" s="3" t="n">
        <x:v>17</x:v>
      </x:c>
      <x:c r="H3392" s="3" t="n">
        <x:v>6</x:v>
      </x:c>
      <x:c r="I3392" s="3" t="n">
        <x:v>10</x:v>
      </x:c>
      <x:c r="J3392" s="15" t="n">
        <x:f>IF(D3392=0,"n.a.",E3392/D3392)</x:f>
        <x:v>0.3564954682779456</x:v>
      </x:c>
      <x:c r="K3392" s="15" t="n">
        <x:f>F3392/'Datos'!$F$7</x:f>
        <x:v>0.000003262631451800302</x:v>
      </x:c>
      <x:c r="L3392" s="3"/>
    </x:row>
    <x:row r="3393" ht="22" customHeight="1">
      <x:c r="A3393" s="3"/>
      <x:c r="B3393" s="3" t="str">
        <x:v>84824</x:v>
      </x:c>
      <x:c r="C3393" s="3" t="str">
        <x:v>DANISH ROSE UMBRELLA STAND</x:v>
      </x:c>
      <x:c r="D3393" s="13" t="n">
        <x:v>31.9</x:v>
      </x:c>
      <x:c r="E3393" s="13" t="n">
        <x:v>0</x:v>
      </x:c>
      <x:c r="F3393" s="13" t="n">
        <x:f>D3393-E3393</x:f>
        <x:v>31.9</x:v>
      </x:c>
      <x:c r="G3393" s="3" t="n">
        <x:v>2</x:v>
      </x:c>
      <x:c r="H3393" s="3" t="n">
        <x:v>0</x:v>
      </x:c>
      <x:c r="I3393" s="3" t="n">
        <x:v>2</x:v>
      </x:c>
      <x:c r="J3393" s="15" t="n">
        <x:f>IF(D3393=0,"n.a.",E3393/D3393)</x:f>
        <x:v>0</x:v>
      </x:c>
      <x:c r="K3393" s="15" t="n">
        <x:f>F3393/'Datos'!$F$7</x:f>
        <x:v>0.0000032575256122826175</x:v>
      </x:c>
      <x:c r="L3393" s="3"/>
    </x:row>
    <x:row r="3394" ht="22" customHeight="1">
      <x:c r="A3394" s="3"/>
      <x:c r="B3394" s="3" t="str">
        <x:v>90036B</x:v>
      </x:c>
      <x:c r="C3394" s="3" t="str">
        <x:v>FLOWER GLASS GARLAND NECKL.36"GREEN</x:v>
      </x:c>
      <x:c r="D3394" s="13" t="n">
        <x:v>31.8</x:v>
      </x:c>
      <x:c r="E3394" s="13" t="n">
        <x:v>0</x:v>
      </x:c>
      <x:c r="F3394" s="13" t="n">
        <x:f>D3394-E3394</x:f>
        <x:v>31.8</x:v>
      </x:c>
      <x:c r="G3394" s="3" t="n">
        <x:v>4</x:v>
      </x:c>
      <x:c r="H3394" s="3" t="n">
        <x:v>0</x:v>
      </x:c>
      <x:c r="I3394" s="3" t="n">
        <x:v>2</x:v>
      </x:c>
      <x:c r="J3394" s="15" t="n">
        <x:f>IF(D3394=0,"n.a.",E3394/D3394)</x:f>
        <x:v>0</x:v>
      </x:c>
      <x:c r="K3394" s="15" t="n">
        <x:f>F3394/'Datos'!$F$7</x:f>
        <x:v>0.0000032473139332472488</x:v>
      </x:c>
      <x:c r="L3394" s="3"/>
    </x:row>
    <x:row r="3395" ht="22" customHeight="1">
      <x:c r="A3395" s="3"/>
      <x:c r="B3395" s="3" t="str">
        <x:v>90059D</x:v>
      </x:c>
      <x:c r="C3395" s="3" t="str">
        <x:v>DIAMANTE HAIR GRIP PACK/2 PERIDOT</x:v>
      </x:c>
      <x:c r="D3395" s="13" t="n">
        <x:v>41.45</x:v>
      </x:c>
      <x:c r="E3395" s="13" t="n">
        <x:v>9.9</x:v>
      </x:c>
      <x:c r="F3395" s="13" t="n">
        <x:f>D3395-E3395</x:f>
        <x:v>31.550000000000004</x:v>
      </x:c>
      <x:c r="G3395" s="3" t="n">
        <x:v>25</x:v>
      </x:c>
      <x:c r="H3395" s="3" t="n">
        <x:v>6</x:v>
      </x:c>
      <x:c r="I3395" s="3" t="n">
        <x:v>19</x:v>
      </x:c>
      <x:c r="J3395" s="15" t="n">
        <x:f>IF(D3395=0,"n.a.",E3395/D3395)</x:f>
        <x:v>0.2388419782870929</x:v>
      </x:c>
      <x:c r="K3395" s="15" t="n">
        <x:f>F3395/'Datos'!$F$7</x:f>
        <x:v>0.0000032217847356588273</x:v>
      </x:c>
      <x:c r="L3395" s="3"/>
    </x:row>
    <x:row r="3396" ht="22" customHeight="1">
      <x:c r="A3396" s="3"/>
      <x:c r="B3396" s="3" t="str">
        <x:v>90059E</x:v>
      </x:c>
      <x:c r="C3396" s="3" t="str">
        <x:v>DIAMANTE HAIR GRIP PACK/2 RUBY</x:v>
      </x:c>
      <x:c r="D3396" s="13" t="n">
        <x:v>41.37</x:v>
      </x:c>
      <x:c r="E3396" s="13" t="n">
        <x:v>9.9</x:v>
      </x:c>
      <x:c r="F3396" s="13" t="n">
        <x:f>D3396-E3396</x:f>
        <x:v>31.47</x:v>
      </x:c>
      <x:c r="G3396" s="3" t="n">
        <x:v>25</x:v>
      </x:c>
      <x:c r="H3396" s="3" t="n">
        <x:v>6</x:v>
      </x:c>
      <x:c r="I3396" s="3" t="n">
        <x:v>15</x:v>
      </x:c>
      <x:c r="J3396" s="15" t="n">
        <x:f>IF(D3396=0,"n.a.",E3396/D3396)</x:f>
        <x:v>0.2393038433647571</x:v>
      </x:c>
      <x:c r="K3396" s="15" t="n">
        <x:f>F3396/'Datos'!$F$7</x:f>
        <x:v>0.000003213615392430532</x:v>
      </x:c>
      <x:c r="L3396" s="3"/>
    </x:row>
    <x:row r="3397" ht="22" customHeight="1">
      <x:c r="A3397" s="3"/>
      <x:c r="B3397" s="3" t="str">
        <x:v>20878</x:v>
      </x:c>
      <x:c r="C3397" s="3" t="str">
        <x:v>SET/9 CHRISTMAS T-LIGHTS SCENTED</x:v>
      </x:c>
      <x:c r="D3397" s="13" t="n">
        <x:v>31.25</x:v>
      </x:c>
      <x:c r="E3397" s="13" t="n">
        <x:v>0</x:v>
      </x:c>
      <x:c r="F3397" s="13" t="n">
        <x:f>D3397-E3397</x:f>
        <x:v>31.25</x:v>
      </x:c>
      <x:c r="G3397" s="3" t="n">
        <x:v>25</x:v>
      </x:c>
      <x:c r="H3397" s="3" t="n">
        <x:v>0</x:v>
      </x:c>
      <x:c r="I3397" s="3" t="n">
        <x:v>7</x:v>
      </x:c>
      <x:c r="J3397" s="15" t="n">
        <x:f>IF(D3397=0,"n.a.",E3397/D3397)</x:f>
        <x:v>0</x:v>
      </x:c>
      <x:c r="K3397" s="15" t="n">
        <x:f>F3397/'Datos'!$F$7</x:f>
        <x:v>0.0000031911496985527207</x:v>
      </x:c>
      <x:c r="L3397" s="3"/>
    </x:row>
    <x:row r="3398" ht="22" customHeight="1">
      <x:c r="A3398" s="3"/>
      <x:c r="B3398" s="3" t="str">
        <x:v>23632</x:v>
      </x:c>
      <x:c r="C3398" s="3" t="str">
        <x:v>SET 10 CARDS CHEERFUL ROBIN 17065</x:v>
      </x:c>
      <x:c r="D3398" s="13" t="n">
        <x:v>31.2</x:v>
      </x:c>
      <x:c r="E3398" s="13" t="n">
        <x:v>0</x:v>
      </x:c>
      <x:c r="F3398" s="13" t="n">
        <x:f>D3398-E3398</x:f>
        <x:v>31.2</x:v>
      </x:c>
      <x:c r="G3398" s="3" t="n">
        <x:v>15</x:v>
      </x:c>
      <x:c r="H3398" s="3" t="n">
        <x:v>0</x:v>
      </x:c>
      <x:c r="I3398" s="3" t="n">
        <x:v>10</x:v>
      </x:c>
      <x:c r="J3398" s="15" t="n">
        <x:f>IF(D3398=0,"n.a.",E3398/D3398)</x:f>
        <x:v>0</x:v>
      </x:c>
      <x:c r="K3398" s="15" t="n">
        <x:f>F3398/'Datos'!$F$7</x:f>
        <x:v>0.0000031860438590350363</x:v>
      </x:c>
      <x:c r="L3398" s="3"/>
    </x:row>
    <x:row r="3399" ht="22" customHeight="1">
      <x:c r="A3399" s="3"/>
      <x:c r="B3399" s="3" t="str">
        <x:v>44228</x:v>
      </x:c>
      <x:c r="C3399" s="3" t="str">
        <x:v>CANNABIS LEAF BEAD CURTAIN</x:v>
      </x:c>
      <x:c r="D3399" s="13" t="n">
        <x:v>30.6</x:v>
      </x:c>
      <x:c r="E3399" s="13" t="n">
        <x:v>0</x:v>
      </x:c>
      <x:c r="F3399" s="13" t="n">
        <x:f>D3399-E3399</x:f>
        <x:v>30.6</x:v>
      </x:c>
      <x:c r="G3399" s="3" t="n">
        <x:v>36</x:v>
      </x:c>
      <x:c r="H3399" s="3" t="n">
        <x:v>0</x:v>
      </x:c>
      <x:c r="I3399" s="3" t="n">
        <x:v>2</x:v>
      </x:c>
      <x:c r="J3399" s="15" t="n">
        <x:f>IF(D3399=0,"n.a.",E3399/D3399)</x:f>
        <x:v>0</x:v>
      </x:c>
      <x:c r="K3399" s="15" t="n">
        <x:f>F3399/'Datos'!$F$7</x:f>
        <x:v>0.0000031247737848228242</x:v>
      </x:c>
      <x:c r="L3399" s="3"/>
    </x:row>
    <x:row r="3400" ht="22" customHeight="1">
      <x:c r="A3400" s="3"/>
      <x:c r="B3400" s="3" t="str">
        <x:v>85018D</x:v>
      </x:c>
      <x:c r="C3400" s="3" t="str">
        <x:v>YULETIDE IMAGES S/6 PAPER BOXES</x:v>
      </x:c>
      <x:c r="D3400" s="13" t="n">
        <x:v>30.6</x:v>
      </x:c>
      <x:c r="E3400" s="13" t="n">
        <x:v>0</x:v>
      </x:c>
      <x:c r="F3400" s="13" t="n">
        <x:f>D3400-E3400</x:f>
        <x:v>30.6</x:v>
      </x:c>
      <x:c r="G3400" s="3" t="n">
        <x:v>12</x:v>
      </x:c>
      <x:c r="H3400" s="3" t="n">
        <x:v>0</x:v>
      </x:c>
      <x:c r="I3400" s="3" t="n">
        <x:v>7</x:v>
      </x:c>
      <x:c r="J3400" s="15" t="n">
        <x:f>IF(D3400=0,"n.a.",E3400/D3400)</x:f>
        <x:v>0</x:v>
      </x:c>
      <x:c r="K3400" s="15" t="n">
        <x:f>F3400/'Datos'!$F$7</x:f>
        <x:v>0.0000031247737848228242</x:v>
      </x:c>
      <x:c r="L3400" s="3"/>
    </x:row>
    <x:row r="3401" ht="22" customHeight="1">
      <x:c r="A3401" s="3"/>
      <x:c r="B3401" s="3" t="str">
        <x:v>37471</x:v>
      </x:c>
      <x:c r="C3401" s="3" t="str">
        <x:v>MULTICOLOUR POLKADOT PLATE</x:v>
      </x:c>
      <x:c r="D3401" s="13" t="n">
        <x:v>30.43</x:v>
      </x:c>
      <x:c r="E3401" s="13" t="n">
        <x:v>0</x:v>
      </x:c>
      <x:c r="F3401" s="13" t="n">
        <x:f>D3401-E3401</x:f>
        <x:v>30.43</x:v>
      </x:c>
      <x:c r="G3401" s="3" t="n">
        <x:v>29</x:v>
      </x:c>
      <x:c r="H3401" s="3" t="n">
        <x:v>0</x:v>
      </x:c>
      <x:c r="I3401" s="3" t="n">
        <x:v>3</x:v>
      </x:c>
      <x:c r="J3401" s="15" t="n">
        <x:f>IF(D3401=0,"n.a.",E3401/D3401)</x:f>
        <x:v>0</x:v>
      </x:c>
      <x:c r="K3401" s="15" t="n">
        <x:f>F3401/'Datos'!$F$7</x:f>
        <x:v>0.0000031074139304626973</x:v>
      </x:c>
      <x:c r="L3401" s="3"/>
    </x:row>
    <x:row r="3402" ht="22" customHeight="1">
      <x:c r="A3402" s="3"/>
      <x:c r="B3402" s="3" t="str">
        <x:v>90176B</x:v>
      </x:c>
      <x:c r="C3402" s="3" t="str">
        <x:v>DIAMANTE NECKLACE BLACK</x:v>
      </x:c>
      <x:c r="D3402" s="13" t="n">
        <x:v>30.12</x:v>
      </x:c>
      <x:c r="E3402" s="13" t="n">
        <x:v>0</x:v>
      </x:c>
      <x:c r="F3402" s="13" t="n">
        <x:f>D3402-E3402</x:f>
        <x:v>30.12</x:v>
      </x:c>
      <x:c r="G3402" s="3" t="n">
        <x:v>4</x:v>
      </x:c>
      <x:c r="H3402" s="3" t="n">
        <x:v>0</x:v>
      </x:c>
      <x:c r="I3402" s="3" t="n">
        <x:v>3</x:v>
      </x:c>
      <x:c r="J3402" s="15" t="n">
        <x:f>IF(D3402=0,"n.a.",E3402/D3402)</x:f>
        <x:v>0</x:v>
      </x:c>
      <x:c r="K3402" s="15" t="n">
        <x:f>F3402/'Datos'!$F$7</x:f>
        <x:v>0.0000030757577254530547</x:v>
      </x:c>
      <x:c r="L3402" s="3"/>
    </x:row>
    <x:row r="3403" ht="22" customHeight="1">
      <x:c r="A3403" s="3"/>
      <x:c r="B3403" s="3" t="str">
        <x:v>35610B</x:v>
      </x:c>
      <x:c r="C3403" s="3" t="str">
        <x:v>BLACK CHRISTMAS FLOCK DROPLET</x:v>
      </x:c>
      <x:c r="D3403" s="13" t="n">
        <x:v>30</x:v>
      </x:c>
      <x:c r="E3403" s="13" t="n">
        <x:v>0</x:v>
      </x:c>
      <x:c r="F3403" s="13" t="n">
        <x:f>D3403-E3403</x:f>
        <x:v>30</x:v>
      </x:c>
      <x:c r="G3403" s="3" t="n">
        <x:v>24</x:v>
      </x:c>
      <x:c r="H3403" s="3" t="n">
        <x:v>0</x:v>
      </x:c>
      <x:c r="I3403" s="3" t="n">
        <x:v>1</x:v>
      </x:c>
      <x:c r="J3403" s="15" t="n">
        <x:f>IF(D3403=0,"n.a.",E3403/D3403)</x:f>
        <x:v>0</x:v>
      </x:c>
      <x:c r="K3403" s="15" t="n">
        <x:f>F3403/'Datos'!$F$7</x:f>
        <x:v>0.000003063503710610612</x:v>
      </x:c>
      <x:c r="L3403" s="3"/>
    </x:row>
    <x:row r="3404" ht="22" customHeight="1">
      <x:c r="A3404" s="3"/>
      <x:c r="B3404" s="3" t="str">
        <x:v>90176E</x:v>
      </x:c>
      <x:c r="C3404" s="3" t="str">
        <x:v>DIAMANTE NECKLACE GREEN</x:v>
      </x:c>
      <x:c r="D3404" s="13" t="n">
        <x:v>29.98</x:v>
      </x:c>
      <x:c r="E3404" s="13" t="n">
        <x:v>0</x:v>
      </x:c>
      <x:c r="F3404" s="13" t="n">
        <x:f>D3404-E3404</x:f>
        <x:v>29.98</x:v>
      </x:c>
      <x:c r="G3404" s="3" t="n">
        <x:v>4</x:v>
      </x:c>
      <x:c r="H3404" s="3" t="n">
        <x:v>0</x:v>
      </x:c>
      <x:c r="I3404" s="3" t="n">
        <x:v>3</x:v>
      </x:c>
      <x:c r="J3404" s="15" t="n">
        <x:f>IF(D3404=0,"n.a.",E3404/D3404)</x:f>
        <x:v>0</x:v>
      </x:c>
      <x:c r="K3404" s="15" t="n">
        <x:f>F3404/'Datos'!$F$7</x:f>
        <x:v>0.0000030614613748035383</x:v>
      </x:c>
      <x:c r="L3404" s="3"/>
    </x:row>
    <x:row r="3405" ht="22" customHeight="1">
      <x:c r="A3405" s="3"/>
      <x:c r="B3405" s="3" t="str">
        <x:v>90195B</x:v>
      </x:c>
      <x:c r="C3405" s="3" t="str">
        <x:v>BLACK GEMSTONE BRACELET</x:v>
      </x:c>
      <x:c r="D3405" s="13" t="n">
        <x:v>29.98</x:v>
      </x:c>
      <x:c r="E3405" s="13" t="n">
        <x:v>0</x:v>
      </x:c>
      <x:c r="F3405" s="13" t="n">
        <x:f>D3405-E3405</x:f>
        <x:v>29.98</x:v>
      </x:c>
      <x:c r="G3405" s="3" t="n">
        <x:v>4</x:v>
      </x:c>
      <x:c r="H3405" s="3" t="n">
        <x:v>0</x:v>
      </x:c>
      <x:c r="I3405" s="3" t="n">
        <x:v>4</x:v>
      </x:c>
      <x:c r="J3405" s="15" t="n">
        <x:f>IF(D3405=0,"n.a.",E3405/D3405)</x:f>
        <x:v>0</x:v>
      </x:c>
      <x:c r="K3405" s="15" t="n">
        <x:f>F3405/'Datos'!$F$7</x:f>
        <x:v>0.0000030614613748035383</x:v>
      </x:c>
      <x:c r="L3405" s="3"/>
    </x:row>
    <x:row r="3406" ht="22" customHeight="1">
      <x:c r="A3406" s="3"/>
      <x:c r="B3406" s="3" t="str">
        <x:v>90039A</x:v>
      </x:c>
      <x:c r="C3406" s="3" t="str">
        <x:v>FIRE POLISHED GLASS BRACELET RED</x:v>
      </x:c>
      <x:c r="D3406" s="13" t="n">
        <x:v>29.96</x:v>
      </x:c>
      <x:c r="E3406" s="13" t="n">
        <x:v>0</x:v>
      </x:c>
      <x:c r="F3406" s="13" t="n">
        <x:f>D3406-E3406</x:f>
        <x:v>29.96</x:v>
      </x:c>
      <x:c r="G3406" s="3" t="n">
        <x:v>8</x:v>
      </x:c>
      <x:c r="H3406" s="3" t="n">
        <x:v>0</x:v>
      </x:c>
      <x:c r="I3406" s="3" t="n">
        <x:v>3</x:v>
      </x:c>
      <x:c r="J3406" s="15" t="n">
        <x:f>IF(D3406=0,"n.a.",E3406/D3406)</x:f>
        <x:v>0</x:v>
      </x:c>
      <x:c r="K3406" s="15" t="n">
        <x:f>F3406/'Datos'!$F$7</x:f>
        <x:v>0.0000030594190389964645</x:v>
      </x:c>
      <x:c r="L3406" s="3"/>
    </x:row>
    <x:row r="3407" ht="22" customHeight="1">
      <x:c r="A3407" s="3"/>
      <x:c r="B3407" s="3" t="str">
        <x:v>21310</x:v>
      </x:c>
      <x:c r="C3407" s="3" t="str">
        <x:v>CAPIZ CHANDELIER</x:v>
      </x:c>
      <x:c r="D3407" s="13" t="n">
        <x:v>29.95</x:v>
      </x:c>
      <x:c r="E3407" s="13" t="n">
        <x:v>0</x:v>
      </x:c>
      <x:c r="F3407" s="13" t="n">
        <x:f>D3407-E3407</x:f>
        <x:v>29.95</x:v>
      </x:c>
      <x:c r="G3407" s="3" t="n">
        <x:v>1</x:v>
      </x:c>
      <x:c r="H3407" s="3" t="n">
        <x:v>0</x:v>
      </x:c>
      <x:c r="I3407" s="3" t="n">
        <x:v>1</x:v>
      </x:c>
      <x:c r="J3407" s="15" t="n">
        <x:f>IF(D3407=0,"n.a.",E3407/D3407)</x:f>
        <x:v>0</x:v>
      </x:c>
      <x:c r="K3407" s="15" t="n">
        <x:f>F3407/'Datos'!$F$7</x:f>
        <x:v>0.000003058397871092928</x:v>
      </x:c>
      <x:c r="L3407" s="3"/>
    </x:row>
    <x:row r="3408" ht="22" customHeight="1">
      <x:c r="A3408" s="3"/>
      <x:c r="B3408" s="3" t="str">
        <x:v>90122B</x:v>
      </x:c>
      <x:c r="C3408" s="3" t="str">
        <x:v>JADE CRYSTAL+GLASS BRACELET</x:v>
      </x:c>
      <x:c r="D3408" s="13" t="n">
        <x:v>29.93</x:v>
      </x:c>
      <x:c r="E3408" s="13" t="n">
        <x:v>0</x:v>
      </x:c>
      <x:c r="F3408" s="13" t="n">
        <x:f>D3408-E3408</x:f>
        <x:v>29.93</x:v>
      </x:c>
      <x:c r="G3408" s="3" t="n">
        <x:v>6</x:v>
      </x:c>
      <x:c r="H3408" s="3" t="n">
        <x:v>0</x:v>
      </x:c>
      <x:c r="I3408" s="3" t="n">
        <x:v>6</x:v>
      </x:c>
      <x:c r="J3408" s="15" t="n">
        <x:f>IF(D3408=0,"n.a.",E3408/D3408)</x:f>
        <x:v>0</x:v>
      </x:c>
      <x:c r="K3408" s="15" t="n">
        <x:f>F3408/'Datos'!$F$7</x:f>
        <x:v>0.000003056355535285854</x:v>
      </x:c>
      <x:c r="L3408" s="3"/>
    </x:row>
    <x:row r="3409" ht="22" customHeight="1">
      <x:c r="A3409" s="3"/>
      <x:c r="B3409" s="3" t="str">
        <x:v>90136</x:v>
      </x:c>
      <x:c r="C3409" s="3" t="str">
        <x:v>PALE PINK/AMETHYST STONE NECKLACE</x:v>
      </x:c>
      <x:c r="D3409" s="13" t="n">
        <x:v>29.85</x:v>
      </x:c>
      <x:c r="E3409" s="13" t="n">
        <x:v>0</x:v>
      </x:c>
      <x:c r="F3409" s="13" t="n">
        <x:f>D3409-E3409</x:f>
        <x:v>29.85</x:v>
      </x:c>
      <x:c r="G3409" s="3" t="n">
        <x:v>3</x:v>
      </x:c>
      <x:c r="H3409" s="3" t="n">
        <x:v>0</x:v>
      </x:c>
      <x:c r="I3409" s="3" t="n">
        <x:v>2</x:v>
      </x:c>
      <x:c r="J3409" s="15" t="n">
        <x:f>IF(D3409=0,"n.a.",E3409/D3409)</x:f>
        <x:v>0</x:v>
      </x:c>
      <x:c r="K3409" s="15" t="n">
        <x:f>F3409/'Datos'!$F$7</x:f>
        <x:v>0.000003048186192057559</x:v>
      </x:c>
      <x:c r="L3409" s="3"/>
    </x:row>
    <x:row r="3410" ht="22" customHeight="1">
      <x:c r="A3410" s="3"/>
      <x:c r="B3410" s="3" t="str">
        <x:v>90159</x:v>
      </x:c>
      <x:c r="C3410" s="3" t="str">
        <x:v>COTE D'AZURE NECKLACE</x:v>
      </x:c>
      <x:c r="D3410" s="13" t="n">
        <x:v>29.79</x:v>
      </x:c>
      <x:c r="E3410" s="13" t="n">
        <x:v>0</x:v>
      </x:c>
      <x:c r="F3410" s="13" t="n">
        <x:f>D3410-E3410</x:f>
        <x:v>29.79</x:v>
      </x:c>
      <x:c r="G3410" s="3" t="n">
        <x:v>6</x:v>
      </x:c>
      <x:c r="H3410" s="3" t="n">
        <x:v>0</x:v>
      </x:c>
      <x:c r="I3410" s="3" t="n">
        <x:v>5</x:v>
      </x:c>
      <x:c r="J3410" s="15" t="n">
        <x:f>IF(D3410=0,"n.a.",E3410/D3410)</x:f>
        <x:v>0</x:v>
      </x:c>
      <x:c r="K3410" s="15" t="n">
        <x:f>F3410/'Datos'!$F$7</x:f>
        <x:v>0.0000030420591846363375</x:v>
      </x:c>
      <x:c r="L3410" s="3"/>
    </x:row>
    <x:row r="3411" ht="22" customHeight="1">
      <x:c r="A3411" s="3"/>
      <x:c r="B3411" s="3" t="str">
        <x:v>90001D</x:v>
      </x:c>
      <x:c r="C3411" s="3" t="str">
        <x:v>ANTIQUE OLIVE GREEN FLOWER EARRINGS</x:v>
      </x:c>
      <x:c r="D3411" s="13" t="n">
        <x:v>29.73</x:v>
      </x:c>
      <x:c r="E3411" s="13" t="n">
        <x:v>0</x:v>
      </x:c>
      <x:c r="F3411" s="13" t="n">
        <x:f>D3411-E3411</x:f>
        <x:v>29.73</x:v>
      </x:c>
      <x:c r="G3411" s="3" t="n">
        <x:v>7</x:v>
      </x:c>
      <x:c r="H3411" s="3" t="n">
        <x:v>0</x:v>
      </x:c>
      <x:c r="I3411" s="3" t="n">
        <x:v>5</x:v>
      </x:c>
      <x:c r="J3411" s="15" t="n">
        <x:f>IF(D3411=0,"n.a.",E3411/D3411)</x:f>
        <x:v>0</x:v>
      </x:c>
      <x:c r="K3411" s="15" t="n">
        <x:f>F3411/'Datos'!$F$7</x:f>
        <x:v>0.0000030359321772151165</x:v>
      </x:c>
      <x:c r="L3411" s="3"/>
    </x:row>
    <x:row r="3412" ht="22" customHeight="1">
      <x:c r="A3412" s="3"/>
      <x:c r="B3412" s="3" t="str">
        <x:v>90120A</x:v>
      </x:c>
      <x:c r="C3412" s="3" t="str">
        <x:v>PINK MURANO TWIST BRACELET</x:v>
      </x:c>
      <x:c r="D3412" s="13" t="n">
        <x:v>29.73</x:v>
      </x:c>
      <x:c r="E3412" s="13" t="n">
        <x:v>0</x:v>
      </x:c>
      <x:c r="F3412" s="13" t="n">
        <x:f>D3412-E3412</x:f>
        <x:v>29.73</x:v>
      </x:c>
      <x:c r="G3412" s="3" t="n">
        <x:v>7</x:v>
      </x:c>
      <x:c r="H3412" s="3" t="n">
        <x:v>0</x:v>
      </x:c>
      <x:c r="I3412" s="3" t="n">
        <x:v>3</x:v>
      </x:c>
      <x:c r="J3412" s="15" t="n">
        <x:f>IF(D3412=0,"n.a.",E3412/D3412)</x:f>
        <x:v>0</x:v>
      </x:c>
      <x:c r="K3412" s="15" t="n">
        <x:f>F3412/'Datos'!$F$7</x:f>
        <x:v>0.0000030359321772151165</x:v>
      </x:c>
      <x:c r="L3412" s="3"/>
    </x:row>
    <x:row r="3413" ht="22" customHeight="1">
      <x:c r="A3413" s="3"/>
      <x:c r="B3413" s="3" t="str">
        <x:v>21040</x:v>
      </x:c>
      <x:c r="C3413" s="3" t="str">
        <x:v>MODERN VINTAGE COTTON SHOPPING BAG</x:v>
      </x:c>
      <x:c r="D3413" s="13" t="n">
        <x:v>29.7</x:v>
      </x:c>
      <x:c r="E3413" s="13" t="n">
        <x:v>0</x:v>
      </x:c>
      <x:c r="F3413" s="13" t="n">
        <x:f>D3413-E3413</x:f>
        <x:v>29.7</x:v>
      </x:c>
      <x:c r="G3413" s="3" t="n">
        <x:v>22</x:v>
      </x:c>
      <x:c r="H3413" s="3" t="n">
        <x:v>0</x:v>
      </x:c>
      <x:c r="I3413" s="3" t="n">
        <x:v>8</x:v>
      </x:c>
      <x:c r="J3413" s="15" t="n">
        <x:f>IF(D3413=0,"n.a.",E3413/D3413)</x:f>
        <x:v>0</x:v>
      </x:c>
      <x:c r="K3413" s="15" t="n">
        <x:f>F3413/'Datos'!$F$7</x:f>
        <x:v>0.000003032868673504506</x:v>
      </x:c>
      <x:c r="L3413" s="3"/>
    </x:row>
    <x:row r="3414" ht="22" customHeight="1">
      <x:c r="A3414" s="3"/>
      <x:c r="B3414" s="3" t="str">
        <x:v>21757</x:v>
      </x:c>
      <x:c r="C3414" s="3" t="str">
        <x:v>LIGHTHOUSE PRINTED METAL SIGN</x:v>
      </x:c>
      <x:c r="D3414" s="13" t="n">
        <x:v>29.7</x:v>
      </x:c>
      <x:c r="E3414" s="13" t="n">
        <x:v>0</x:v>
      </x:c>
      <x:c r="F3414" s="13" t="n">
        <x:f>D3414-E3414</x:f>
        <x:v>29.7</x:v>
      </x:c>
      <x:c r="G3414" s="3" t="n">
        <x:v>6</x:v>
      </x:c>
      <x:c r="H3414" s="3" t="n">
        <x:v>0</x:v>
      </x:c>
      <x:c r="I3414" s="3" t="n">
        <x:v>3</x:v>
      </x:c>
      <x:c r="J3414" s="15" t="n">
        <x:f>IF(D3414=0,"n.a.",E3414/D3414)</x:f>
        <x:v>0</x:v>
      </x:c>
      <x:c r="K3414" s="15" t="n">
        <x:f>F3414/'Datos'!$F$7</x:f>
        <x:v>0.000003032868673504506</x:v>
      </x:c>
      <x:c r="L3414" s="3"/>
    </x:row>
    <x:row r="3415" ht="22" customHeight="1">
      <x:c r="A3415" s="3"/>
      <x:c r="B3415" s="3" t="str">
        <x:v>35816P</x:v>
      </x:c>
      <x:c r="C3415" s="3" t="str">
        <x:v>ACRYLIC JEWEL ANGEL,PINK</x:v>
      </x:c>
      <x:c r="D3415" s="13" t="n">
        <x:v>29.64</x:v>
      </x:c>
      <x:c r="E3415" s="13" t="n">
        <x:v>0</x:v>
      </x:c>
      <x:c r="F3415" s="13" t="n">
        <x:f>D3415-E3415</x:f>
        <x:v>29.64</x:v>
      </x:c>
      <x:c r="G3415" s="3" t="n">
        <x:v>78</x:v>
      </x:c>
      <x:c r="H3415" s="3" t="n">
        <x:v>0</x:v>
      </x:c>
      <x:c r="I3415" s="3" t="n">
        <x:v>2</x:v>
      </x:c>
      <x:c r="J3415" s="15" t="n">
        <x:f>IF(D3415=0,"n.a.",E3415/D3415)</x:f>
        <x:v>0</x:v>
      </x:c>
      <x:c r="K3415" s="15" t="n">
        <x:f>F3415/'Datos'!$F$7</x:f>
        <x:v>0.000003026741666083285</x:v>
      </x:c>
      <x:c r="L3415" s="3"/>
    </x:row>
    <x:row r="3416" ht="22" customHeight="1">
      <x:c r="A3416" s="3"/>
      <x:c r="B3416" s="3" t="str">
        <x:v>90214I</x:v>
      </x:c>
      <x:c r="C3416" s="3" t="str">
        <x:v>LETTER "I" BLING KEY RING</x:v>
      </x:c>
      <x:c r="D3416" s="13" t="n">
        <x:v>29.62</x:v>
      </x:c>
      <x:c r="E3416" s="13" t="n">
        <x:v>0</x:v>
      </x:c>
      <x:c r="F3416" s="13" t="n">
        <x:f>D3416-E3416</x:f>
        <x:v>29.62</x:v>
      </x:c>
      <x:c r="G3416" s="3" t="n">
        <x:v>38</x:v>
      </x:c>
      <x:c r="H3416" s="3" t="n">
        <x:v>0</x:v>
      </x:c>
      <x:c r="I3416" s="3" t="n">
        <x:v>13</x:v>
      </x:c>
      <x:c r="J3416" s="15" t="n">
        <x:f>IF(D3416=0,"n.a.",E3416/D3416)</x:f>
        <x:v>0</x:v>
      </x:c>
      <x:c r="K3416" s="15" t="n">
        <x:f>F3416/'Datos'!$F$7</x:f>
        <x:v>0.000003024699330276211</x:v>
      </x:c>
      <x:c r="L3416" s="3"/>
    </x:row>
    <x:row r="3417" ht="22" customHeight="1">
      <x:c r="A3417" s="3"/>
      <x:c r="B3417" s="3" t="str">
        <x:v>84706D</x:v>
      </x:c>
      <x:c r="C3417" s="3" t="str">
        <x:v>CHERRY BLOSSOM TABLE CLOCK</x:v>
      </x:c>
      <x:c r="D3417" s="13" t="n">
        <x:v>29.6</x:v>
      </x:c>
      <x:c r="E3417" s="13" t="n">
        <x:v>0</x:v>
      </x:c>
      <x:c r="F3417" s="13" t="n">
        <x:f>D3417-E3417</x:f>
        <x:v>29.6</x:v>
      </x:c>
      <x:c r="G3417" s="3" t="n">
        <x:v>8</x:v>
      </x:c>
      <x:c r="H3417" s="3" t="n">
        <x:v>0</x:v>
      </x:c>
      <x:c r="I3417" s="3" t="n">
        <x:v>4</x:v>
      </x:c>
      <x:c r="J3417" s="15" t="n">
        <x:f>IF(D3417=0,"n.a.",E3417/D3417)</x:f>
        <x:v>0</x:v>
      </x:c>
      <x:c r="K3417" s="15" t="n">
        <x:f>F3417/'Datos'!$F$7</x:f>
        <x:v>0.000003022656994469137</x:v>
      </x:c>
      <x:c r="L3417" s="3"/>
    </x:row>
    <x:row r="3418" ht="22" customHeight="1">
      <x:c r="A3418" s="3"/>
      <x:c r="B3418" s="3" t="str">
        <x:v>84465</x:v>
      </x:c>
      <x:c r="C3418" s="3" t="str">
        <x:v>15 PINK FLUFFY CHICKS IN BOX</x:v>
      </x:c>
      <x:c r="D3418" s="13" t="n">
        <x:v>29.5</x:v>
      </x:c>
      <x:c r="E3418" s="13" t="n">
        <x:v>0</x:v>
      </x:c>
      <x:c r="F3418" s="13" t="n">
        <x:f>D3418-E3418</x:f>
        <x:v>29.5</x:v>
      </x:c>
      <x:c r="G3418" s="3" t="n">
        <x:v>10</x:v>
      </x:c>
      <x:c r="H3418" s="3" t="n">
        <x:v>0</x:v>
      </x:c>
      <x:c r="I3418" s="3" t="n">
        <x:v>7</x:v>
      </x:c>
      <x:c r="J3418" s="15" t="n">
        <x:f>IF(D3418=0,"n.a.",E3418/D3418)</x:f>
        <x:v>0</x:v>
      </x:c>
      <x:c r="K3418" s="15" t="n">
        <x:f>F3418/'Datos'!$F$7</x:f>
        <x:v>0.0000030124453154337684</x:v>
      </x:c>
      <x:c r="L3418" s="3"/>
    </x:row>
    <x:row r="3419" ht="22" customHeight="1">
      <x:c r="A3419" s="3"/>
      <x:c r="B3419" s="3" t="str">
        <x:v>90162D</x:v>
      </x:c>
      <x:c r="C3419" s="3" t="str">
        <x:v>ANT SILVER PURPLE BOUDICCA RING</x:v>
      </x:c>
      <x:c r="D3419" s="13" t="n">
        <x:v>29.5</x:v>
      </x:c>
      <x:c r="E3419" s="13" t="n">
        <x:v>0</x:v>
      </x:c>
      <x:c r="F3419" s="13" t="n">
        <x:f>D3419-E3419</x:f>
        <x:v>29.5</x:v>
      </x:c>
      <x:c r="G3419" s="3" t="n">
        <x:v>10</x:v>
      </x:c>
      <x:c r="H3419" s="3" t="n">
        <x:v>0</x:v>
      </x:c>
      <x:c r="I3419" s="3" t="n">
        <x:v>5</x:v>
      </x:c>
      <x:c r="J3419" s="15" t="n">
        <x:f>IF(D3419=0,"n.a.",E3419/D3419)</x:f>
        <x:v>0</x:v>
      </x:c>
      <x:c r="K3419" s="15" t="n">
        <x:f>F3419/'Datos'!$F$7</x:f>
        <x:v>0.0000030124453154337684</x:v>
      </x:c>
      <x:c r="L3419" s="3"/>
    </x:row>
    <x:row r="3420" ht="22" customHeight="1">
      <x:c r="A3420" s="3"/>
      <x:c r="B3420" s="3" t="str">
        <x:v>82605</x:v>
      </x:c>
      <x:c r="C3420" s="3" t="str">
        <x:v>OLD DOC RUSSEL METAL SIGN</x:v>
      </x:c>
      <x:c r="D3420" s="13" t="n">
        <x:v>29.4</x:v>
      </x:c>
      <x:c r="E3420" s="13" t="n">
        <x:v>0</x:v>
      </x:c>
      <x:c r="F3420" s="13" t="n">
        <x:f>D3420-E3420</x:f>
        <x:v>29.4</x:v>
      </x:c>
      <x:c r="G3420" s="3" t="n">
        <x:v>14</x:v>
      </x:c>
      <x:c r="H3420" s="3" t="n">
        <x:v>0</x:v>
      </x:c>
      <x:c r="I3420" s="3" t="n">
        <x:v>3</x:v>
      </x:c>
      <x:c r="J3420" s="15" t="n">
        <x:f>IF(D3420=0,"n.a.",E3420/D3420)</x:f>
        <x:v>0</x:v>
      </x:c>
      <x:c r="K3420" s="15" t="n">
        <x:f>F3420/'Datos'!$F$7</x:f>
        <x:v>0.0000030022336363983997</x:v>
      </x:c>
      <x:c r="L3420" s="3"/>
    </x:row>
    <x:row r="3421" ht="22" customHeight="1">
      <x:c r="A3421" s="3"/>
      <x:c r="B3421" s="3" t="str">
        <x:v>85030</x:v>
      </x:c>
      <x:c r="C3421" s="3" t="str">
        <x:v>FRENCH CHATEAU OVAL PLATTER</x:v>
      </x:c>
      <x:c r="D3421" s="13" t="n">
        <x:v>29.25</x:v>
      </x:c>
      <x:c r="E3421" s="13" t="n">
        <x:v>0</x:v>
      </x:c>
      <x:c r="F3421" s="13" t="n">
        <x:f>D3421-E3421</x:f>
        <x:v>29.25</x:v>
      </x:c>
      <x:c r="G3421" s="3" t="n">
        <x:v>15</x:v>
      </x:c>
      <x:c r="H3421" s="3" t="n">
        <x:v>0</x:v>
      </x:c>
      <x:c r="I3421" s="3" t="n">
        <x:v>6</x:v>
      </x:c>
      <x:c r="J3421" s="15" t="n">
        <x:f>IF(D3421=0,"n.a.",E3421/D3421)</x:f>
        <x:v>0</x:v>
      </x:c>
      <x:c r="K3421" s="15" t="n">
        <x:f>F3421/'Datos'!$F$7</x:f>
        <x:v>0.0000029869161178453466</x:v>
      </x:c>
      <x:c r="L3421" s="3"/>
    </x:row>
    <x:row r="3422" ht="22" customHeight="1">
      <x:c r="A3422" s="3"/>
      <x:c r="B3422" s="3" t="str">
        <x:v>90214N</x:v>
      </x:c>
      <x:c r="C3422" s="3" t="str">
        <x:v>LETTER "N" BLING KEY RING</x:v>
      </x:c>
      <x:c r="D3422" s="13" t="n">
        <x:v>29.23</x:v>
      </x:c>
      <x:c r="E3422" s="13" t="n">
        <x:v>0</x:v>
      </x:c>
      <x:c r="F3422" s="13" t="n">
        <x:f>D3422-E3422</x:f>
        <x:v>29.23</x:v>
      </x:c>
      <x:c r="G3422" s="3" t="n">
        <x:v>41</x:v>
      </x:c>
      <x:c r="H3422" s="3" t="n">
        <x:v>0</x:v>
      </x:c>
      <x:c r="I3422" s="3" t="n">
        <x:v>24</x:v>
      </x:c>
      <x:c r="J3422" s="15" t="n">
        <x:f>IF(D3422=0,"n.a.",E3422/D3422)</x:f>
        <x:v>0</x:v>
      </x:c>
      <x:c r="K3422" s="15" t="n">
        <x:f>F3422/'Datos'!$F$7</x:f>
        <x:v>0.000002984873782038273</x:v>
      </x:c>
      <x:c r="L3422" s="3"/>
    </x:row>
    <x:row r="3423" ht="22" customHeight="1">
      <x:c r="A3423" s="3"/>
      <x:c r="B3423" s="3" t="str">
        <x:v>84199</x:v>
      </x:c>
      <x:c r="C3423" s="3" t="str">
        <x:v>GLOW IN DARK DOLPHINS</x:v>
      </x:c>
      <x:c r="D3423" s="13" t="n">
        <x:v>29.19</x:v>
      </x:c>
      <x:c r="E3423" s="13" t="n">
        <x:v>0</x:v>
      </x:c>
      <x:c r="F3423" s="13" t="n">
        <x:f>D3423-E3423</x:f>
        <x:v>29.19</x:v>
      </x:c>
      <x:c r="G3423" s="3" t="n">
        <x:v>139</x:v>
      </x:c>
      <x:c r="H3423" s="3" t="n">
        <x:v>0</x:v>
      </x:c>
      <x:c r="I3423" s="3" t="n">
        <x:v>31</x:v>
      </x:c>
      <x:c r="J3423" s="15" t="n">
        <x:f>IF(D3423=0,"n.a.",E3423/D3423)</x:f>
        <x:v>0</x:v>
      </x:c>
      <x:c r="K3423" s="15" t="n">
        <x:f>F3423/'Datos'!$F$7</x:f>
        <x:v>0.0000029807891104241255</x:v>
      </x:c>
      <x:c r="L3423" s="3"/>
    </x:row>
    <x:row r="3424" ht="22" customHeight="1">
      <x:c r="A3424" s="3"/>
      <x:c r="B3424" s="3" t="str">
        <x:v>90183C</x:v>
      </x:c>
      <x:c r="C3424" s="3" t="str">
        <x:v>BLACK DROP EARRINGS W LONG BEADS</x:v>
      </x:c>
      <x:c r="D3424" s="13" t="n">
        <x:v>29.05</x:v>
      </x:c>
      <x:c r="E3424" s="13" t="n">
        <x:v>0</x:v>
      </x:c>
      <x:c r="F3424" s="13" t="n">
        <x:f>D3424-E3424</x:f>
        <x:v>29.05</x:v>
      </x:c>
      <x:c r="G3424" s="3" t="n">
        <x:v>10</x:v>
      </x:c>
      <x:c r="H3424" s="3" t="n">
        <x:v>0</x:v>
      </x:c>
      <x:c r="I3424" s="3" t="n">
        <x:v>10</x:v>
      </x:c>
      <x:c r="J3424" s="15" t="n">
        <x:f>IF(D3424=0,"n.a.",E3424/D3424)</x:f>
        <x:v>0</x:v>
      </x:c>
      <x:c r="K3424" s="15" t="n">
        <x:f>F3424/'Datos'!$F$7</x:f>
        <x:v>0.0000029664927597746095</x:v>
      </x:c>
      <x:c r="L3424" s="3"/>
    </x:row>
    <x:row r="3425" ht="22" customHeight="1">
      <x:c r="A3425" s="3"/>
      <x:c r="B3425" s="3" t="str">
        <x:v>21011</x:v>
      </x:c>
      <x:c r="C3425" s="3" t="str">
        <x:v>GLITTER SNOW PEAR TREE DECORATION</x:v>
      </x:c>
      <x:c r="D3425" s="13" t="n">
        <x:v>29</x:v>
      </x:c>
      <x:c r="E3425" s="13" t="n">
        <x:v>0</x:v>
      </x:c>
      <x:c r="F3425" s="13" t="n">
        <x:f>D3425-E3425</x:f>
        <x:v>29</x:v>
      </x:c>
      <x:c r="G3425" s="3" t="n">
        <x:v>20</x:v>
      </x:c>
      <x:c r="H3425" s="3" t="n">
        <x:v>0</x:v>
      </x:c>
      <x:c r="I3425" s="3" t="n">
        <x:v>3</x:v>
      </x:c>
      <x:c r="J3425" s="15" t="n">
        <x:f>IF(D3425=0,"n.a.",E3425/D3425)</x:f>
        <x:v>0</x:v>
      </x:c>
      <x:c r="K3425" s="15" t="n">
        <x:f>F3425/'Datos'!$F$7</x:f>
        <x:v>0.000002961386920256925</x:v>
      </x:c>
      <x:c r="L3425" s="3"/>
    </x:row>
    <x:row r="3426" ht="22" customHeight="1">
      <x:c r="A3426" s="3"/>
      <x:c r="B3426" s="3" t="str">
        <x:v>90152A</x:v>
      </x:c>
      <x:c r="C3426" s="3" t="str">
        <x:v>SILVER/NAT SHELL NECKLACE W PENDANT</x:v>
      </x:c>
      <x:c r="D3426" s="13" t="n">
        <x:v>28.76</x:v>
      </x:c>
      <x:c r="E3426" s="13" t="n">
        <x:v>0</x:v>
      </x:c>
      <x:c r="F3426" s="13" t="n">
        <x:f>D3426-E3426</x:f>
        <x:v>28.76</x:v>
      </x:c>
      <x:c r="G3426" s="3" t="n">
        <x:v>5</x:v>
      </x:c>
      <x:c r="H3426" s="3" t="n">
        <x:v>0</x:v>
      </x:c>
      <x:c r="I3426" s="3" t="n">
        <x:v>5</x:v>
      </x:c>
      <x:c r="J3426" s="15" t="n">
        <x:f>IF(D3426=0,"n.a.",E3426/D3426)</x:f>
        <x:v>0</x:v>
      </x:c>
      <x:c r="K3426" s="15" t="n">
        <x:f>F3426/'Datos'!$F$7</x:f>
        <x:v>0.0000029368788905720404</x:v>
      </x:c>
      <x:c r="L3426" s="3"/>
    </x:row>
    <x:row r="3427" ht="22" customHeight="1">
      <x:c r="A3427" s="3"/>
      <x:c r="B3427" s="3" t="str">
        <x:v>90093</x:v>
      </x:c>
      <x:c r="C3427" s="3" t="str">
        <x:v>CLEAR CRYSTAL STAR PHONE CHARM</x:v>
      </x:c>
      <x:c r="D3427" s="13" t="n">
        <x:v>28.57</x:v>
      </x:c>
      <x:c r="E3427" s="13" t="n">
        <x:v>0</x:v>
      </x:c>
      <x:c r="F3427" s="13" t="n">
        <x:f>D3427-E3427</x:f>
        <x:v>28.57</x:v>
      </x:c>
      <x:c r="G3427" s="3" t="n">
        <x:v>52</x:v>
      </x:c>
      <x:c r="H3427" s="3" t="n">
        <x:v>0</x:v>
      </x:c>
      <x:c r="I3427" s="3" t="n">
        <x:v>10</x:v>
      </x:c>
      <x:c r="J3427" s="15" t="n">
        <x:f>IF(D3427=0,"n.a.",E3427/D3427)</x:f>
        <x:v>0</x:v>
      </x:c>
      <x:c r="K3427" s="15" t="n">
        <x:f>F3427/'Datos'!$F$7</x:f>
        <x:v>0.0000029174767004048396</x:v>
      </x:c>
      <x:c r="L3427" s="3"/>
    </x:row>
    <x:row r="3428" ht="22" customHeight="1">
      <x:c r="A3428" s="3"/>
      <x:c r="B3428" s="3" t="str">
        <x:v>90027D</x:v>
      </x:c>
      <x:c r="C3428" s="3" t="str">
        <x:v>GLASS BEAD HOOP EARRINGS AMETHYST</x:v>
      </x:c>
      <x:c r="D3428" s="13" t="n">
        <x:v>28.4</x:v>
      </x:c>
      <x:c r="E3428" s="13" t="n">
        <x:v>0</x:v>
      </x:c>
      <x:c r="F3428" s="13" t="n">
        <x:f>D3428-E3428</x:f>
        <x:v>28.4</x:v>
      </x:c>
      <x:c r="G3428" s="3" t="n">
        <x:v>9</x:v>
      </x:c>
      <x:c r="H3428" s="3" t="n">
        <x:v>0</x:v>
      </x:c>
      <x:c r="I3428" s="3" t="n">
        <x:v>6</x:v>
      </x:c>
      <x:c r="J3428" s="15" t="n">
        <x:f>IF(D3428=0,"n.a.",E3428/D3428)</x:f>
        <x:v>0</x:v>
      </x:c>
      <x:c r="K3428" s="15" t="n">
        <x:f>F3428/'Datos'!$F$7</x:f>
        <x:v>0.0000029001168460447126</x:v>
      </x:c>
      <x:c r="L3428" s="3"/>
    </x:row>
    <x:row r="3429" ht="22" customHeight="1">
      <x:c r="A3429" s="3"/>
      <x:c r="B3429" s="3" t="str">
        <x:v>17165D</x:v>
      </x:c>
      <x:c r="C3429" s="3" t="str">
        <x:v>ASS COL LARGE SAND FROG P'WEIGHT</x:v>
      </x:c>
      <x:c r="D3429" s="13" t="n">
        <x:v>28.35</x:v>
      </x:c>
      <x:c r="E3429" s="13" t="n">
        <x:v>0</x:v>
      </x:c>
      <x:c r="F3429" s="13" t="n">
        <x:f>D3429-E3429</x:f>
        <x:v>28.35</x:v>
      </x:c>
      <x:c r="G3429" s="3" t="n">
        <x:v>27</x:v>
      </x:c>
      <x:c r="H3429" s="3" t="n">
        <x:v>0</x:v>
      </x:c>
      <x:c r="I3429" s="3" t="n">
        <x:v>7</x:v>
      </x:c>
      <x:c r="J3429" s="15" t="n">
        <x:f>IF(D3429=0,"n.a.",E3429/D3429)</x:f>
        <x:v>0</x:v>
      </x:c>
      <x:c r="K3429" s="15" t="n">
        <x:f>F3429/'Datos'!$F$7</x:f>
        <x:v>0.0000028950110065270287</x:v>
      </x:c>
      <x:c r="L3429" s="3"/>
    </x:row>
    <x:row r="3430" ht="22" customHeight="1">
      <x:c r="A3430" s="3"/>
      <x:c r="B3430" s="3" t="str">
        <x:v>20857</x:v>
      </x:c>
      <x:c r="C3430" s="3" t="str">
        <x:v>BLUE ROSE PATCH PURSE PINK BUTTERFL</x:v>
      </x:c>
      <x:c r="D3430" s="13" t="n">
        <x:v>52.8</x:v>
      </x:c>
      <x:c r="E3430" s="13" t="n">
        <x:v>24.75</x:v>
      </x:c>
      <x:c r="F3430" s="13" t="n">
        <x:f>D3430-E3430</x:f>
        <x:v>28.049999999999997</x:v>
      </x:c>
      <x:c r="G3430" s="3" t="n">
        <x:v>32</x:v>
      </x:c>
      <x:c r="H3430" s="3" t="n">
        <x:v>15</x:v>
      </x:c>
      <x:c r="I3430" s="3" t="n">
        <x:v>8</x:v>
      </x:c>
      <x:c r="J3430" s="15" t="n">
        <x:f>IF(D3430=0,"n.a.",E3430/D3430)</x:f>
        <x:v>0.46875</x:v>
      </x:c>
      <x:c r="K3430" s="15" t="n">
        <x:f>F3430/'Datos'!$F$7</x:f>
        <x:v>0.000002864375969420922</x:v>
      </x:c>
      <x:c r="L3430" s="3"/>
    </x:row>
    <x:row r="3431" ht="22" customHeight="1">
      <x:c r="A3431" s="3"/>
      <x:c r="B3431" s="3" t="str">
        <x:v>84798A</x:v>
      </x:c>
      <x:c r="C3431" s="3" t="str">
        <x:v>PINK FOXGLOVE ARTIIFCIAL FLOWER</x:v>
      </x:c>
      <x:c r="D3431" s="13" t="n">
        <x:v>58.65</x:v>
      </x:c>
      <x:c r="E3431" s="13" t="n">
        <x:v>30.6</x:v>
      </x:c>
      <x:c r="F3431" s="13" t="n">
        <x:f>D3431-E3431</x:f>
        <x:v>28.049999999999997</x:v>
      </x:c>
      <x:c r="G3431" s="3" t="n">
        <x:v>23</x:v>
      </x:c>
      <x:c r="H3431" s="3" t="n">
        <x:v>12</x:v>
      </x:c>
      <x:c r="I3431" s="3" t="n">
        <x:v>4</x:v>
      </x:c>
      <x:c r="J3431" s="15" t="n">
        <x:f>IF(D3431=0,"n.a.",E3431/D3431)</x:f>
        <x:v>0.5217391304347826</x:v>
      </x:c>
      <x:c r="K3431" s="15" t="n">
        <x:f>F3431/'Datos'!$F$7</x:f>
        <x:v>0.000002864375969420922</x:v>
      </x:c>
      <x:c r="L3431" s="3"/>
    </x:row>
    <x:row r="3432" ht="22" customHeight="1">
      <x:c r="A3432" s="3"/>
      <x:c r="B3432" s="3" t="str">
        <x:v>90005A</x:v>
      </x:c>
      <x:c r="C3432" s="3" t="str">
        <x:v>JADE GREEN ENAMEL HAIR COMB</x:v>
      </x:c>
      <x:c r="D3432" s="13" t="n">
        <x:v>28.02</x:v>
      </x:c>
      <x:c r="E3432" s="13" t="n">
        <x:v>0</x:v>
      </x:c>
      <x:c r="F3432" s="13" t="n">
        <x:f>D3432-E3432</x:f>
        <x:v>28.02</x:v>
      </x:c>
      <x:c r="G3432" s="3" t="n">
        <x:v>14</x:v>
      </x:c>
      <x:c r="H3432" s="3" t="n">
        <x:v>0</x:v>
      </x:c>
      <x:c r="I3432" s="3" t="n">
        <x:v>10</x:v>
      </x:c>
      <x:c r="J3432" s="15" t="n">
        <x:f>IF(D3432=0,"n.a.",E3432/D3432)</x:f>
        <x:v>0</x:v>
      </x:c>
      <x:c r="K3432" s="15" t="n">
        <x:f>F3432/'Datos'!$F$7</x:f>
        <x:v>0.0000028613124657103115</x:v>
      </x:c>
      <x:c r="L3432" s="3"/>
    </x:row>
    <x:row r="3433" ht="22" customHeight="1">
      <x:c r="A3433" s="3"/>
      <x:c r="B3433" s="3" t="str">
        <x:v>90214R</x:v>
      </x:c>
      <x:c r="C3433" s="3" t="str">
        <x:v>LETTER "R" BLING KEY RING</x:v>
      </x:c>
      <x:c r="D3433" s="13" t="n">
        <x:v>28.01</x:v>
      </x:c>
      <x:c r="E3433" s="13" t="n">
        <x:v>0</x:v>
      </x:c>
      <x:c r="F3433" s="13" t="n">
        <x:f>D3433-E3433</x:f>
        <x:v>28.01</x:v>
      </x:c>
      <x:c r="G3433" s="3" t="n">
        <x:v>41</x:v>
      </x:c>
      <x:c r="H3433" s="3" t="n">
        <x:v>0</x:v>
      </x:c>
      <x:c r="I3433" s="3" t="n">
        <x:v>25</x:v>
      </x:c>
      <x:c r="J3433" s="15" t="n">
        <x:f>IF(D3433=0,"n.a.",E3433/D3433)</x:f>
        <x:v>0</x:v>
      </x:c>
      <x:c r="K3433" s="15" t="n">
        <x:f>F3433/'Datos'!$F$7</x:f>
        <x:v>0.0000028602912978067748</x:v>
      </x:c>
      <x:c r="L3433" s="3"/>
    </x:row>
    <x:row r="3434" ht="22" customHeight="1">
      <x:c r="A3434" s="3"/>
      <x:c r="B3434" s="3" t="str">
        <x:v>84613A</x:v>
      </x:c>
      <x:c r="C3434" s="3" t="str">
        <x:v>PINK NEW BAROQUE FLOCK CANDLESTICK</x:v>
      </x:c>
      <x:c r="D3434" s="13" t="n">
        <x:v>27.9</x:v>
      </x:c>
      <x:c r="E3434" s="13" t="n">
        <x:v>0</x:v>
      </x:c>
      <x:c r="F3434" s="13" t="n">
        <x:f>D3434-E3434</x:f>
        <x:v>27.9</x:v>
      </x:c>
      <x:c r="G3434" s="3" t="n">
        <x:v>6</x:v>
      </x:c>
      <x:c r="H3434" s="3" t="n">
        <x:v>0</x:v>
      </x:c>
      <x:c r="I3434" s="3" t="n">
        <x:v>3</x:v>
      </x:c>
      <x:c r="J3434" s="15" t="n">
        <x:f>IF(D3434=0,"n.a.",E3434/D3434)</x:f>
        <x:v>0</x:v>
      </x:c>
      <x:c r="K3434" s="15" t="n">
        <x:f>F3434/'Datos'!$F$7</x:f>
        <x:v>0.000002849058450867869</x:v>
      </x:c>
      <x:c r="L3434" s="3"/>
    </x:row>
    <x:row r="3435" ht="22" customHeight="1">
      <x:c r="A3435" s="3"/>
      <x:c r="B3435" s="3" t="str">
        <x:v>79191D</x:v>
      </x:c>
      <x:c r="C3435" s="3" t="str">
        <x:v>RETRO PLASTIC DAISY TRAY</x:v>
      </x:c>
      <x:c r="D3435" s="13" t="n">
        <x:v>37.61</x:v>
      </x:c>
      <x:c r="E3435" s="13" t="n">
        <x:v>10.2</x:v>
      </x:c>
      <x:c r="F3435" s="13" t="n">
        <x:f>D3435-E3435</x:f>
        <x:v>27.41</x:v>
      </x:c>
      <x:c r="G3435" s="3" t="n">
        <x:v>35</x:v>
      </x:c>
      <x:c r="H3435" s="3" t="n">
        <x:v>12</x:v>
      </x:c>
      <x:c r="I3435" s="3" t="n">
        <x:v>16</x:v>
      </x:c>
      <x:c r="J3435" s="15" t="n">
        <x:f>IF(D3435=0,"n.a.",E3435/D3435)</x:f>
        <x:v>0.2712044668971018</x:v>
      </x:c>
      <x:c r="K3435" s="15" t="n">
        <x:f>F3435/'Datos'!$F$7</x:f>
        <x:v>0.0000027990212235945627</x:v>
      </x:c>
      <x:c r="L3435" s="3"/>
    </x:row>
    <x:row r="3436" ht="22" customHeight="1">
      <x:c r="A3436" s="3"/>
      <x:c r="B3436" s="3" t="str">
        <x:v>23613</x:v>
      </x:c>
      <x:c r="C3436" s="3" t="str">
        <x:v>SET 10 XMAS CARDS &amp; BADGES 17070</x:v>
      </x:c>
      <x:c r="D3436" s="13" t="n">
        <x:v>27.39</x:v>
      </x:c>
      <x:c r="E3436" s="13" t="n">
        <x:v>0</x:v>
      </x:c>
      <x:c r="F3436" s="13" t="n">
        <x:f>D3436-E3436</x:f>
        <x:v>27.39</x:v>
      </x:c>
      <x:c r="G3436" s="3" t="n">
        <x:v>11</x:v>
      </x:c>
      <x:c r="H3436" s="3" t="n">
        <x:v>0</x:v>
      </x:c>
      <x:c r="I3436" s="3" t="n">
        <x:v>6</x:v>
      </x:c>
      <x:c r="J3436" s="15" t="n">
        <x:f>IF(D3436=0,"n.a.",E3436/D3436)</x:f>
        <x:v>0</x:v>
      </x:c>
      <x:c r="K3436" s="15" t="n">
        <x:f>F3436/'Datos'!$F$7</x:f>
        <x:v>0.000002796978887787489</x:v>
      </x:c>
      <x:c r="L3436" s="3"/>
    </x:row>
    <x:row r="3437" ht="22" customHeight="1">
      <x:c r="A3437" s="3"/>
      <x:c r="B3437" s="3" t="str">
        <x:v>23637</x:v>
      </x:c>
      <x:c r="C3437" s="3" t="str">
        <x:v>SET 10 CARDS OUT OF ORDER 17216</x:v>
      </x:c>
      <x:c r="D3437" s="13" t="n">
        <x:v>27.39</x:v>
      </x:c>
      <x:c r="E3437" s="13" t="n">
        <x:v>0</x:v>
      </x:c>
      <x:c r="F3437" s="13" t="n">
        <x:f>D3437-E3437</x:f>
        <x:v>27.39</x:v>
      </x:c>
      <x:c r="G3437" s="3" t="n">
        <x:v>11</x:v>
      </x:c>
      <x:c r="H3437" s="3" t="n">
        <x:v>0</x:v>
      </x:c>
      <x:c r="I3437" s="3" t="n">
        <x:v>9</x:v>
      </x:c>
      <x:c r="J3437" s="15" t="n">
        <x:f>IF(D3437=0,"n.a.",E3437/D3437)</x:f>
        <x:v>0</x:v>
      </x:c>
      <x:c r="K3437" s="15" t="n">
        <x:f>F3437/'Datos'!$F$7</x:f>
        <x:v>0.000002796978887787489</x:v>
      </x:c>
      <x:c r="L3437" s="3"/>
    </x:row>
    <x:row r="3438" ht="22" customHeight="1">
      <x:c r="A3438" s="3"/>
      <x:c r="B3438" s="3" t="str">
        <x:v>85017C</x:v>
      </x:c>
      <x:c r="C3438" s="3" t="str">
        <x:v>ENVELOPE 50 CURIOUS IMAGES</x:v>
      </x:c>
      <x:c r="D3438" s="13" t="n">
        <x:v>27.02</x:v>
      </x:c>
      <x:c r="E3438" s="13" t="n">
        <x:v>0</x:v>
      </x:c>
      <x:c r="F3438" s="13" t="n">
        <x:f>D3438-E3438</x:f>
        <x:v>27.02</x:v>
      </x:c>
      <x:c r="G3438" s="3" t="n">
        <x:v>50</x:v>
      </x:c>
      <x:c r="H3438" s="3" t="n">
        <x:v>0</x:v>
      </x:c>
      <x:c r="I3438" s="3" t="n">
        <x:v>10</x:v>
      </x:c>
      <x:c r="J3438" s="15" t="n">
        <x:f>IF(D3438=0,"n.a.",E3438/D3438)</x:f>
        <x:v>0</x:v>
      </x:c>
      <x:c r="K3438" s="15" t="n">
        <x:f>F3438/'Datos'!$F$7</x:f>
        <x:v>0.0000027591956753566244</x:v>
      </x:c>
      <x:c r="L3438" s="3"/>
    </x:row>
    <x:row r="3439" ht="22" customHeight="1">
      <x:c r="A3439" s="3"/>
      <x:c r="B3439" s="3" t="str">
        <x:v>23702</x:v>
      </x:c>
      <x:c r="C3439" s="3" t="str">
        <x:v>High Resolution Image</x:v>
      </x:c>
      <x:c r="D3439" s="13" t="n">
        <x:v>27</x:v>
      </x:c>
      <x:c r="E3439" s="13" t="n">
        <x:v>0</x:v>
      </x:c>
      <x:c r="F3439" s="13" t="n">
        <x:f>D3439-E3439</x:f>
        <x:v>27</x:v>
      </x:c>
      <x:c r="G3439" s="3" t="n">
        <x:v>4</x:v>
      </x:c>
      <x:c r="H3439" s="3" t="n">
        <x:v>0</x:v>
      </x:c>
      <x:c r="I3439" s="3" t="n">
        <x:v>3</x:v>
      </x:c>
      <x:c r="J3439" s="15" t="n">
        <x:f>IF(D3439=0,"n.a.",E3439/D3439)</x:f>
        <x:v>0</x:v>
      </x:c>
      <x:c r="K3439" s="15" t="n">
        <x:f>F3439/'Datos'!$F$7</x:f>
        <x:v>0.0000027571533395495506</x:v>
      </x:c>
      <x:c r="L3439" s="3"/>
    </x:row>
    <x:row r="3440" ht="22" customHeight="1">
      <x:c r="A3440" s="3"/>
      <x:c r="B3440" s="3" t="str">
        <x:v>35598A</x:v>
      </x:c>
      <x:c r="C3440" s="3" t="str">
        <x:v>DUSTY PINK CHRISTMAS TREE 60CM</x:v>
      </x:c>
      <x:c r="D3440" s="13" t="n">
        <x:v>26.55</x:v>
      </x:c>
      <x:c r="E3440" s="13" t="n">
        <x:v>0</x:v>
      </x:c>
      <x:c r="F3440" s="13" t="n">
        <x:f>D3440-E3440</x:f>
        <x:v>26.55</x:v>
      </x:c>
      <x:c r="G3440" s="3" t="n">
        <x:v>9</x:v>
      </x:c>
      <x:c r="H3440" s="3" t="n">
        <x:v>0</x:v>
      </x:c>
      <x:c r="I3440" s="3" t="n">
        <x:v>2</x:v>
      </x:c>
      <x:c r="J3440" s="15" t="n">
        <x:f>IF(D3440=0,"n.a.",E3440/D3440)</x:f>
        <x:v>0</x:v>
      </x:c>
      <x:c r="K3440" s="15" t="n">
        <x:f>F3440/'Datos'!$F$7</x:f>
        <x:v>0.0000027112007838903917</x:v>
      </x:c>
      <x:c r="L3440" s="3"/>
    </x:row>
    <x:row r="3441" ht="22" customHeight="1">
      <x:c r="A3441" s="3"/>
      <x:c r="B3441" s="3" t="str">
        <x:v>84675</x:v>
      </x:c>
      <x:c r="C3441" s="3" t="str">
        <x:v>FROG KING WATERING CAN</x:v>
      </x:c>
      <x:c r="D3441" s="13" t="n">
        <x:v>26.55</x:v>
      </x:c>
      <x:c r="E3441" s="13" t="n">
        <x:v>0</x:v>
      </x:c>
      <x:c r="F3441" s="13" t="n">
        <x:f>D3441-E3441</x:f>
        <x:v>26.55</x:v>
      </x:c>
      <x:c r="G3441" s="3" t="n">
        <x:v>9</x:v>
      </x:c>
      <x:c r="H3441" s="3" t="n">
        <x:v>0</x:v>
      </x:c>
      <x:c r="I3441" s="3" t="n">
        <x:v>2</x:v>
      </x:c>
      <x:c r="J3441" s="15" t="n">
        <x:f>IF(D3441=0,"n.a.",E3441/D3441)</x:f>
        <x:v>0</x:v>
      </x:c>
      <x:c r="K3441" s="15" t="n">
        <x:f>F3441/'Datos'!$F$7</x:f>
        <x:v>0.0000027112007838903917</x:v>
      </x:c>
      <x:c r="L3441" s="3"/>
    </x:row>
    <x:row r="3442" ht="22" customHeight="1">
      <x:c r="A3442" s="3"/>
      <x:c r="B3442" s="3" t="str">
        <x:v>21836</x:v>
      </x:c>
      <x:c r="C3442" s="3" t="str">
        <x:v>GINGHAM OVEN GLOVE RED HEART</x:v>
      </x:c>
      <x:c r="D3442" s="13" t="n">
        <x:v>26.49</x:v>
      </x:c>
      <x:c r="E3442" s="13" t="n">
        <x:v>0</x:v>
      </x:c>
      <x:c r="F3442" s="13" t="n">
        <x:f>D3442-E3442</x:f>
        <x:v>26.49</x:v>
      </x:c>
      <x:c r="G3442" s="3" t="n">
        <x:v>5</x:v>
      </x:c>
      <x:c r="H3442" s="3" t="n">
        <x:v>0</x:v>
      </x:c>
      <x:c r="I3442" s="3" t="n">
        <x:v>3</x:v>
      </x:c>
      <x:c r="J3442" s="15" t="n">
        <x:f>IF(D3442=0,"n.a.",E3442/D3442)</x:f>
        <x:v>0</x:v>
      </x:c>
      <x:c r="K3442" s="15" t="n">
        <x:f>F3442/'Datos'!$F$7</x:f>
        <x:v>0.00000270507377646917</x:v>
      </x:c>
      <x:c r="L3442" s="3"/>
    </x:row>
    <x:row r="3443" ht="22" customHeight="1">
      <x:c r="A3443" s="3"/>
      <x:c r="B3443" s="3" t="str">
        <x:v>90212C</x:v>
      </x:c>
      <x:c r="C3443" s="3" t="str">
        <x:v>PURPLE LAS VEGAS BRACELET ROUND</x:v>
      </x:c>
      <x:c r="D3443" s="13" t="n">
        <x:v>26.25</x:v>
      </x:c>
      <x:c r="E3443" s="13" t="n">
        <x:v>0</x:v>
      </x:c>
      <x:c r="F3443" s="13" t="n">
        <x:f>D3443-E3443</x:f>
        <x:v>26.25</x:v>
      </x:c>
      <x:c r="G3443" s="3" t="n">
        <x:v>7</x:v>
      </x:c>
      <x:c r="H3443" s="3" t="n">
        <x:v>0</x:v>
      </x:c>
      <x:c r="I3443" s="3" t="n">
        <x:v>3</x:v>
      </x:c>
      <x:c r="J3443" s="15" t="n">
        <x:f>IF(D3443=0,"n.a.",E3443/D3443)</x:f>
        <x:v>0</x:v>
      </x:c>
      <x:c r="K3443" s="15" t="n">
        <x:f>F3443/'Datos'!$F$7</x:f>
        <x:v>0.0000026805657467842854</x:v>
      </x:c>
      <x:c r="L3443" s="3"/>
    </x:row>
    <x:row r="3444" ht="22" customHeight="1">
      <x:c r="A3444" s="3"/>
      <x:c r="B3444" s="3" t="str">
        <x:v>23636</x:v>
      </x:c>
      <x:c r="C3444" s="3" t="str">
        <x:v>SET 10 CARDS WISHING TREE 17116</x:v>
      </x:c>
      <x:c r="D3444" s="13" t="n">
        <x:v>26.19</x:v>
      </x:c>
      <x:c r="E3444" s="13" t="n">
        <x:v>0</x:v>
      </x:c>
      <x:c r="F3444" s="13" t="n">
        <x:f>D3444-E3444</x:f>
        <x:v>26.19</x:v>
      </x:c>
      <x:c r="G3444" s="3" t="n">
        <x:v>9</x:v>
      </x:c>
      <x:c r="H3444" s="3" t="n">
        <x:v>0</x:v>
      </x:c>
      <x:c r="I3444" s="3" t="n">
        <x:v>7</x:v>
      </x:c>
      <x:c r="J3444" s="15" t="n">
        <x:f>IF(D3444=0,"n.a.",E3444/D3444)</x:f>
        <x:v>0</x:v>
      </x:c>
      <x:c r="K3444" s="15" t="n">
        <x:f>F3444/'Datos'!$F$7</x:f>
        <x:v>0.0000026744387393630644</x:v>
      </x:c>
      <x:c r="L3444" s="3"/>
    </x:row>
    <x:row r="3445" ht="22" customHeight="1">
      <x:c r="A3445" s="3"/>
      <x:c r="B3445" s="3" t="str">
        <x:v>72140E</x:v>
      </x:c>
      <x:c r="C3445" s="3" t="str">
        <x:v>BEST DAD CANDLE LETTERS</x:v>
      </x:c>
      <x:c r="D3445" s="13" t="n">
        <x:v>26.35</x:v>
      </x:c>
      <x:c r="E3445" s="13" t="n">
        <x:v>0.85</x:v>
      </x:c>
      <x:c r="F3445" s="13" t="n">
        <x:f>D3445-E3445</x:f>
        <x:v>25.5</x:v>
      </x:c>
      <x:c r="G3445" s="3" t="n">
        <x:v>31</x:v>
      </x:c>
      <x:c r="H3445" s="3" t="n">
        <x:v>1</x:v>
      </x:c>
      <x:c r="I3445" s="3" t="n">
        <x:v>8</x:v>
      </x:c>
      <x:c r="J3445" s="15" t="n">
        <x:f>IF(D3445=0,"n.a.",E3445/D3445)</x:f>
        <x:v>0.03225806451612903</x:v>
      </x:c>
      <x:c r="K3445" s="15" t="n">
        <x:f>F3445/'Datos'!$F$7</x:f>
        <x:v>0.0000026039781540190203</x:v>
      </x:c>
      <x:c r="L3445" s="3"/>
    </x:row>
    <x:row r="3446" ht="22" customHeight="1">
      <x:c r="A3446" s="3"/>
      <x:c r="B3446" s="3" t="str">
        <x:v>84968B</x:v>
      </x:c>
      <x:c r="C3446" s="3" t="str">
        <x:v>SET OF 16 VINTAGE IVORY CUTLERY</x:v>
      </x:c>
      <x:c r="D3446" s="13" t="n">
        <x:v>25.5</x:v>
      </x:c>
      <x:c r="E3446" s="13" t="n">
        <x:v>0</x:v>
      </x:c>
      <x:c r="F3446" s="13" t="n">
        <x:f>D3446-E3446</x:f>
        <x:v>25.5</x:v>
      </x:c>
      <x:c r="G3446" s="3" t="n">
        <x:v>2</x:v>
      </x:c>
      <x:c r="H3446" s="3" t="n">
        <x:v>0</x:v>
      </x:c>
      <x:c r="I3446" s="3" t="n">
        <x:v>2</x:v>
      </x:c>
      <x:c r="J3446" s="15" t="n">
        <x:f>IF(D3446=0,"n.a.",E3446/D3446)</x:f>
        <x:v>0</x:v>
      </x:c>
      <x:c r="K3446" s="15" t="n">
        <x:f>F3446/'Datos'!$F$7</x:f>
        <x:v>0.0000026039781540190203</x:v>
      </x:c>
      <x:c r="L3446" s="3"/>
    </x:row>
    <x:row r="3447" ht="22" customHeight="1">
      <x:c r="A3447" s="3"/>
      <x:c r="B3447" s="3" t="str">
        <x:v>90026D</x:v>
      </x:c>
      <x:c r="C3447" s="3" t="str">
        <x:v>GLASS BEAD HOOP NECKLACE AMETHYST</x:v>
      </x:c>
      <x:c r="D3447" s="13" t="n">
        <x:v>25.5</x:v>
      </x:c>
      <x:c r="E3447" s="13" t="n">
        <x:v>0</x:v>
      </x:c>
      <x:c r="F3447" s="13" t="n">
        <x:f>D3447-E3447</x:f>
        <x:v>25.5</x:v>
      </x:c>
      <x:c r="G3447" s="3" t="n">
        <x:v>3</x:v>
      </x:c>
      <x:c r="H3447" s="3" t="n">
        <x:v>0</x:v>
      </x:c>
      <x:c r="I3447" s="3" t="n">
        <x:v>3</x:v>
      </x:c>
      <x:c r="J3447" s="15" t="n">
        <x:f>IF(D3447=0,"n.a.",E3447/D3447)</x:f>
        <x:v>0</x:v>
      </x:c>
      <x:c r="K3447" s="15" t="n">
        <x:f>F3447/'Datos'!$F$7</x:f>
        <x:v>0.0000026039781540190203</x:v>
      </x:c>
      <x:c r="L3447" s="3"/>
    </x:row>
    <x:row r="3448" ht="22" customHeight="1">
      <x:c r="A3448" s="3"/>
      <x:c r="B3448" s="3" t="str">
        <x:v>35910B</x:v>
      </x:c>
      <x:c r="C3448" s="3" t="str">
        <x:v>PINK FLOWERS RABBIT EASTER</x:v>
      </x:c>
      <x:c r="D3448" s="13" t="n">
        <x:v>25.35</x:v>
      </x:c>
      <x:c r="E3448" s="13" t="n">
        <x:v>0</x:v>
      </x:c>
      <x:c r="F3448" s="13" t="n">
        <x:f>D3448-E3448</x:f>
        <x:v>25.35</x:v>
      </x:c>
      <x:c r="G3448" s="3" t="n">
        <x:v>13</x:v>
      </x:c>
      <x:c r="H3448" s="3" t="n">
        <x:v>0</x:v>
      </x:c>
      <x:c r="I3448" s="3" t="n">
        <x:v>3</x:v>
      </x:c>
      <x:c r="J3448" s="15" t="n">
        <x:f>IF(D3448=0,"n.a.",E3448/D3448)</x:f>
        <x:v>0</x:v>
      </x:c>
      <x:c r="K3448" s="15" t="n">
        <x:f>F3448/'Datos'!$F$7</x:f>
        <x:v>0.000002588660635465967</x:v>
      </x:c>
      <x:c r="L3448" s="3"/>
    </x:row>
    <x:row r="3449" ht="22" customHeight="1">
      <x:c r="A3449" s="3"/>
      <x:c r="B3449" s="3" t="str">
        <x:v>90026B</x:v>
      </x:c>
      <x:c r="C3449" s="3" t="str">
        <x:v>GLASS BEAD HOOP NECKLACE MONTANA</x:v>
      </x:c>
      <x:c r="D3449" s="13" t="n">
        <x:v>25.32</x:v>
      </x:c>
      <x:c r="E3449" s="13" t="n">
        <x:v>0</x:v>
      </x:c>
      <x:c r="F3449" s="13" t="n">
        <x:f>D3449-E3449</x:f>
        <x:v>25.32</x:v>
      </x:c>
      <x:c r="G3449" s="3" t="n">
        <x:v>3</x:v>
      </x:c>
      <x:c r="H3449" s="3" t="n">
        <x:v>0</x:v>
      </x:c>
      <x:c r="I3449" s="3" t="n">
        <x:v>3</x:v>
      </x:c>
      <x:c r="J3449" s="15" t="n">
        <x:f>IF(D3449=0,"n.a.",E3449/D3449)</x:f>
        <x:v>0</x:v>
      </x:c>
      <x:c r="K3449" s="15" t="n">
        <x:f>F3449/'Datos'!$F$7</x:f>
        <x:v>0.0000025855971317553566</x:v>
      </x:c>
      <x:c r="L3449" s="3"/>
    </x:row>
    <x:row r="3450" ht="22" customHeight="1">
      <x:c r="A3450" s="3"/>
      <x:c r="B3450" s="3" t="str">
        <x:v>90037B</x:v>
      </x:c>
      <x:c r="C3450" s="3" t="str">
        <x:v>TINY CRYSTAL BRACELET GREEN</x:v>
      </x:c>
      <x:c r="D3450" s="13" t="n">
        <x:v>25.28</x:v>
      </x:c>
      <x:c r="E3450" s="13" t="n">
        <x:v>0</x:v>
      </x:c>
      <x:c r="F3450" s="13" t="n">
        <x:f>D3450-E3450</x:f>
        <x:v>25.28</x:v>
      </x:c>
      <x:c r="G3450" s="3" t="n">
        <x:v>10</x:v>
      </x:c>
      <x:c r="H3450" s="3" t="n">
        <x:v>0</x:v>
      </x:c>
      <x:c r="I3450" s="3" t="n">
        <x:v>5</x:v>
      </x:c>
      <x:c r="J3450" s="15" t="n">
        <x:f>IF(D3450=0,"n.a.",E3450/D3450)</x:f>
        <x:v>0</x:v>
      </x:c>
      <x:c r="K3450" s="15" t="n">
        <x:f>F3450/'Datos'!$F$7</x:f>
        <x:v>0.0000025815124601412094</x:v>
      </x:c>
      <x:c r="L3450" s="3"/>
    </x:row>
    <x:row r="3451" ht="22" customHeight="1">
      <x:c r="A3451" s="3"/>
      <x:c r="B3451" s="3" t="str">
        <x:v>90013D</x:v>
      </x:c>
      <x:c r="C3451" s="3" t="str">
        <x:v>PURPLE VINTAGE EARRINGS</x:v>
      </x:c>
      <x:c r="D3451" s="13" t="n">
        <x:v>25.17</x:v>
      </x:c>
      <x:c r="E3451" s="13" t="n">
        <x:v>0</x:v>
      </x:c>
      <x:c r="F3451" s="13" t="n">
        <x:f>D3451-E3451</x:f>
        <x:v>25.17</x:v>
      </x:c>
      <x:c r="G3451" s="3" t="n">
        <x:v>6</x:v>
      </x:c>
      <x:c r="H3451" s="3" t="n">
        <x:v>0</x:v>
      </x:c>
      <x:c r="I3451" s="3" t="n">
        <x:v>3</x:v>
      </x:c>
      <x:c r="J3451" s="15" t="n">
        <x:f>IF(D3451=0,"n.a.",E3451/D3451)</x:f>
        <x:v>0</x:v>
      </x:c>
      <x:c r="K3451" s="15" t="n">
        <x:f>F3451/'Datos'!$F$7</x:f>
        <x:v>0.0000025702796132023035</x:v>
      </x:c>
      <x:c r="L3451" s="3"/>
    </x:row>
    <x:row r="3452" ht="22" customHeight="1">
      <x:c r="A3452" s="3"/>
      <x:c r="B3452" s="3" t="str">
        <x:v>90188</x:v>
      </x:c>
      <x:c r="C3452" s="3" t="str">
        <x:v>DROP EARRINGS W FLOWER &amp; LEAF</x:v>
      </x:c>
      <x:c r="D3452" s="13" t="n">
        <x:v>25.13</x:v>
      </x:c>
      <x:c r="E3452" s="13" t="n">
        <x:v>0</x:v>
      </x:c>
      <x:c r="F3452" s="13" t="n">
        <x:f>D3452-E3452</x:f>
        <x:v>25.13</x:v>
      </x:c>
      <x:c r="G3452" s="3" t="n">
        <x:v>10</x:v>
      </x:c>
      <x:c r="H3452" s="3" t="n">
        <x:v>0</x:v>
      </x:c>
      <x:c r="I3452" s="3" t="n">
        <x:v>7</x:v>
      </x:c>
      <x:c r="J3452" s="15" t="n">
        <x:f>IF(D3452=0,"n.a.",E3452/D3452)</x:f>
        <x:v>0</x:v>
      </x:c>
      <x:c r="K3452" s="15" t="n">
        <x:f>F3452/'Datos'!$F$7</x:f>
        <x:v>0.000002566194941588156</x:v>
      </x:c>
      <x:c r="L3452" s="3"/>
    </x:row>
    <x:row r="3453" ht="22" customHeight="1">
      <x:c r="A3453" s="3"/>
      <x:c r="B3453" s="3" t="str">
        <x:v>90033</x:v>
      </x:c>
      <x:c r="C3453" s="3" t="str">
        <x:v>IVORY SHELL HEART EARRINGS</x:v>
      </x:c>
      <x:c r="D3453" s="13" t="n">
        <x:v>25.07</x:v>
      </x:c>
      <x:c r="E3453" s="13" t="n">
        <x:v>0</x:v>
      </x:c>
      <x:c r="F3453" s="13" t="n">
        <x:f>D3453-E3453</x:f>
        <x:v>25.07</x:v>
      </x:c>
      <x:c r="G3453" s="3" t="n">
        <x:v>10</x:v>
      </x:c>
      <x:c r="H3453" s="3" t="n">
        <x:v>0</x:v>
      </x:c>
      <x:c r="I3453" s="3" t="n">
        <x:v>9</x:v>
      </x:c>
      <x:c r="J3453" s="15" t="n">
        <x:f>IF(D3453=0,"n.a.",E3453/D3453)</x:f>
        <x:v>0</x:v>
      </x:c>
      <x:c r="K3453" s="15" t="n">
        <x:f>F3453/'Datos'!$F$7</x:f>
        <x:v>0.0000025600679341669347</x:v>
      </x:c>
      <x:c r="L3453" s="3"/>
    </x:row>
    <x:row r="3454" ht="22" customHeight="1">
      <x:c r="A3454" s="3"/>
      <x:c r="B3454" s="3" t="str">
        <x:v>90016C</x:v>
      </x:c>
      <x:c r="C3454" s="3" t="str">
        <x:v>SILVER/BLACK PENDANT ORBIT NECKLACE</x:v>
      </x:c>
      <x:c r="D3454" s="13" t="n">
        <x:v>24.96</x:v>
      </x:c>
      <x:c r="E3454" s="13" t="n">
        <x:v>0</x:v>
      </x:c>
      <x:c r="F3454" s="13" t="n">
        <x:f>D3454-E3454</x:f>
        <x:v>24.96</x:v>
      </x:c>
      <x:c r="G3454" s="3" t="n">
        <x:v>3</x:v>
      </x:c>
      <x:c r="H3454" s="3" t="n">
        <x:v>0</x:v>
      </x:c>
      <x:c r="I3454" s="3" t="n">
        <x:v>3</x:v>
      </x:c>
      <x:c r="J3454" s="15" t="n">
        <x:f>IF(D3454=0,"n.a.",E3454/D3454)</x:f>
        <x:v>0</x:v>
      </x:c>
      <x:c r="K3454" s="15" t="n">
        <x:f>F3454/'Datos'!$F$7</x:f>
        <x:v>0.0000025488350872280293</x:v>
      </x:c>
      <x:c r="L3454" s="3"/>
    </x:row>
    <x:row r="3455" ht="22" customHeight="1">
      <x:c r="A3455" s="3"/>
      <x:c r="B3455" s="3" t="str">
        <x:v>23620</x:v>
      </x:c>
      <x:c r="C3455" s="3" t="str">
        <x:v>SET 10 CARDS PERFECT POST 17090</x:v>
      </x:c>
      <x:c r="D3455" s="13" t="n">
        <x:v>24.9</x:v>
      </x:c>
      <x:c r="E3455" s="13" t="n">
        <x:v>0</x:v>
      </x:c>
      <x:c r="F3455" s="13" t="n">
        <x:f>D3455-E3455</x:f>
        <x:v>24.9</x:v>
      </x:c>
      <x:c r="G3455" s="3" t="n">
        <x:v>10</x:v>
      </x:c>
      <x:c r="H3455" s="3" t="n">
        <x:v>0</x:v>
      </x:c>
      <x:c r="I3455" s="3" t="n">
        <x:v>7</x:v>
      </x:c>
      <x:c r="J3455" s="15" t="n">
        <x:f>IF(D3455=0,"n.a.",E3455/D3455)</x:f>
        <x:v>0</x:v>
      </x:c>
      <x:c r="K3455" s="15" t="n">
        <x:f>F3455/'Datos'!$F$7</x:f>
        <x:v>0.0000025427080798068078</x:v>
      </x:c>
      <x:c r="L3455" s="3"/>
    </x:row>
    <x:row r="3456" ht="22" customHeight="1">
      <x:c r="A3456" s="3"/>
      <x:c r="B3456" s="3" t="str">
        <x:v>85115B</x:v>
      </x:c>
      <x:c r="C3456" s="3" t="str">
        <x:v>S/4 BLACK DISCO PARTITION PANEL</x:v>
      </x:c>
      <x:c r="D3456" s="13" t="n">
        <x:v>24.87</x:v>
      </x:c>
      <x:c r="E3456" s="13" t="n">
        <x:v>0</x:v>
      </x:c>
      <x:c r="F3456" s="13" t="n">
        <x:f>D3456-E3456</x:f>
        <x:v>24.87</x:v>
      </x:c>
      <x:c r="G3456" s="3" t="n">
        <x:v>3</x:v>
      </x:c>
      <x:c r="H3456" s="3" t="n">
        <x:v>0</x:v>
      </x:c>
      <x:c r="I3456" s="3" t="n">
        <x:v>1</x:v>
      </x:c>
      <x:c r="J3456" s="15" t="n">
        <x:f>IF(D3456=0,"n.a.",E3456/D3456)</x:f>
        <x:v>0</x:v>
      </x:c>
      <x:c r="K3456" s="15" t="n">
        <x:f>F3456/'Datos'!$F$7</x:f>
        <x:v>0.0000025396445760961977</x:v>
      </x:c>
      <x:c r="L3456" s="3"/>
    </x:row>
    <x:row r="3457" ht="22" customHeight="1">
      <x:c r="A3457" s="3"/>
      <x:c r="B3457" s="3" t="str">
        <x:v>90043</x:v>
      </x:c>
      <x:c r="C3457" s="3" t="str">
        <x:v>COPPER AND BRASS BAG CHARM</x:v>
      </x:c>
      <x:c r="D3457" s="13" t="n">
        <x:v>24.81</x:v>
      </x:c>
      <x:c r="E3457" s="13" t="n">
        <x:v>0</x:v>
      </x:c>
      <x:c r="F3457" s="13" t="n">
        <x:f>D3457-E3457</x:f>
        <x:v>24.81</x:v>
      </x:c>
      <x:c r="G3457" s="3" t="n">
        <x:v>4</x:v>
      </x:c>
      <x:c r="H3457" s="3" t="n">
        <x:v>0</x:v>
      </x:c>
      <x:c r="I3457" s="3" t="n">
        <x:v>2</x:v>
      </x:c>
      <x:c r="J3457" s="15" t="n">
        <x:f>IF(D3457=0,"n.a.",E3457/D3457)</x:f>
        <x:v>0</x:v>
      </x:c>
      <x:c r="K3457" s="15" t="n">
        <x:f>F3457/'Datos'!$F$7</x:f>
        <x:v>0.000002533517568674976</x:v>
      </x:c>
      <x:c r="L3457" s="3"/>
    </x:row>
    <x:row r="3458" ht="22" customHeight="1">
      <x:c r="A3458" s="3"/>
      <x:c r="B3458" s="3" t="str">
        <x:v>90059F</x:v>
      </x:c>
      <x:c r="C3458" s="3" t="str">
        <x:v>DIAMANTE HAIR GRIP PACK/2 LT ROSE</x:v>
      </x:c>
      <x:c r="D3458" s="13" t="n">
        <x:v>34.69</x:v>
      </x:c>
      <x:c r="E3458" s="13" t="n">
        <x:v>9.9</x:v>
      </x:c>
      <x:c r="F3458" s="13" t="n">
        <x:f>D3458-E3458</x:f>
        <x:v>24.79</x:v>
      </x:c>
      <x:c r="G3458" s="3" t="n">
        <x:v>21</x:v>
      </x:c>
      <x:c r="H3458" s="3" t="n">
        <x:v>6</x:v>
      </x:c>
      <x:c r="I3458" s="3" t="n">
        <x:v>14</x:v>
      </x:c>
      <x:c r="J3458" s="15" t="n">
        <x:f>IF(D3458=0,"n.a.",E3458/D3458)</x:f>
        <x:v>0.2853848371288556</x:v>
      </x:c>
      <x:c r="K3458" s="15" t="n">
        <x:f>F3458/'Datos'!$F$7</x:f>
        <x:v>0.0000025314752328679023</x:v>
      </x:c>
      <x:c r="L3458" s="3"/>
    </x:row>
    <x:row r="3459" ht="22" customHeight="1">
      <x:c r="A3459" s="3"/>
      <x:c r="B3459" s="3" t="str">
        <x:v>90214B</x:v>
      </x:c>
      <x:c r="C3459" s="3" t="str">
        <x:v>LETTER "B" BLING KEY RING</x:v>
      </x:c>
      <x:c r="D3459" s="13" t="n">
        <x:v>24.77</x:v>
      </x:c>
      <x:c r="E3459" s="13" t="n">
        <x:v>0</x:v>
      </x:c>
      <x:c r="F3459" s="13" t="n">
        <x:f>D3459-E3459</x:f>
        <x:v>24.77</x:v>
      </x:c>
      <x:c r="G3459" s="3" t="n">
        <x:v>37</x:v>
      </x:c>
      <x:c r="H3459" s="3" t="n">
        <x:v>0</x:v>
      </x:c>
      <x:c r="I3459" s="3" t="n">
        <x:v>22</x:v>
      </x:c>
      <x:c r="J3459" s="15" t="n">
        <x:f>IF(D3459=0,"n.a.",E3459/D3459)</x:f>
        <x:v>0</x:v>
      </x:c>
      <x:c r="K3459" s="15" t="n">
        <x:f>F3459/'Datos'!$F$7</x:f>
        <x:v>0.0000025294328970608285</x:v>
      </x:c>
      <x:c r="L3459" s="3"/>
    </x:row>
    <x:row r="3460" ht="22" customHeight="1">
      <x:c r="A3460" s="3"/>
      <x:c r="B3460" s="3" t="str">
        <x:v>20778</x:v>
      </x:c>
      <x:c r="C3460" s="3" t="str">
        <x:v>GARDEN PATH NOTEBOOK</x:v>
      </x:c>
      <x:c r="D3460" s="13" t="n">
        <x:v>24.75</x:v>
      </x:c>
      <x:c r="E3460" s="13" t="n">
        <x:v>0</x:v>
      </x:c>
      <x:c r="F3460" s="13" t="n">
        <x:f>D3460-E3460</x:f>
        <x:v>24.75</x:v>
      </x:c>
      <x:c r="G3460" s="3" t="n">
        <x:v>15</x:v>
      </x:c>
      <x:c r="H3460" s="3" t="n">
        <x:v>0</x:v>
      </x:c>
      <x:c r="I3460" s="3" t="n">
        <x:v>8</x:v>
      </x:c>
      <x:c r="J3460" s="15" t="n">
        <x:f>IF(D3460=0,"n.a.",E3460/D3460)</x:f>
        <x:v>0</x:v>
      </x:c>
      <x:c r="K3460" s="15" t="n">
        <x:f>F3460/'Datos'!$F$7</x:f>
        <x:v>0.000002527390561253755</x:v>
      </x:c>
      <x:c r="L3460" s="3"/>
    </x:row>
    <x:row r="3461" ht="22" customHeight="1">
      <x:c r="A3461" s="3"/>
      <x:c r="B3461" s="3" t="str">
        <x:v>20820</x:v>
      </x:c>
      <x:c r="C3461" s="3" t="str">
        <x:v>SILVER LOOKING MIRROR</x:v>
      </x:c>
      <x:c r="D3461" s="13" t="n">
        <x:v>24.75</x:v>
      </x:c>
      <x:c r="E3461" s="13" t="n">
        <x:v>0</x:v>
      </x:c>
      <x:c r="F3461" s="13" t="n">
        <x:f>D3461-E3461</x:f>
        <x:v>24.75</x:v>
      </x:c>
      <x:c r="G3461" s="3" t="n">
        <x:v>5</x:v>
      </x:c>
      <x:c r="H3461" s="3" t="n">
        <x:v>0</x:v>
      </x:c>
      <x:c r="I3461" s="3" t="n">
        <x:v>2</x:v>
      </x:c>
      <x:c r="J3461" s="15" t="n">
        <x:f>IF(D3461=0,"n.a.",E3461/D3461)</x:f>
        <x:v>0</x:v>
      </x:c>
      <x:c r="K3461" s="15" t="n">
        <x:f>F3461/'Datos'!$F$7</x:f>
        <x:v>0.000002527390561253755</x:v>
      </x:c>
      <x:c r="L3461" s="3"/>
    </x:row>
    <x:row r="3462" ht="22" customHeight="1">
      <x:c r="A3462" s="3"/>
      <x:c r="B3462" s="3" t="str">
        <x:v>20821</x:v>
      </x:c>
      <x:c r="C3462" s="3" t="str">
        <x:v>GOLDIE LOOKING MIRROR</x:v>
      </x:c>
      <x:c r="D3462" s="13" t="n">
        <x:v>84.15</x:v>
      </x:c>
      <x:c r="E3462" s="13" t="n">
        <x:v>59.4</x:v>
      </x:c>
      <x:c r="F3462" s="13" t="n">
        <x:f>D3462-E3462</x:f>
        <x:v>24.750000000000007</x:v>
      </x:c>
      <x:c r="G3462" s="3" t="n">
        <x:v>17</x:v>
      </x:c>
      <x:c r="H3462" s="3" t="n">
        <x:v>12</x:v>
      </x:c>
      <x:c r="I3462" s="3" t="n">
        <x:v>6</x:v>
      </x:c>
      <x:c r="J3462" s="15" t="n">
        <x:f>IF(D3462=0,"n.a.",E3462/D3462)</x:f>
        <x:v>0.7058823529411764</x:v>
      </x:c>
      <x:c r="K3462" s="15" t="n">
        <x:f>F3462/'Datos'!$F$7</x:f>
        <x:v>0.0000025273905612537555</x:v>
      </x:c>
      <x:c r="L3462" s="3"/>
    </x:row>
    <x:row r="3463" ht="22" customHeight="1">
      <x:c r="A3463" s="3"/>
      <x:c r="B3463" s="3" t="str">
        <x:v>84854</x:v>
      </x:c>
      <x:c r="C3463" s="3" t="str">
        <x:v>GIRLY PINK TOOL SET</x:v>
      </x:c>
      <x:c r="D3463" s="13" t="n">
        <x:v>24.75</x:v>
      </x:c>
      <x:c r="E3463" s="13" t="n">
        <x:v>0</x:v>
      </x:c>
      <x:c r="F3463" s="13" t="n">
        <x:f>D3463-E3463</x:f>
        <x:v>24.75</x:v>
      </x:c>
      <x:c r="G3463" s="3" t="n">
        <x:v>5</x:v>
      </x:c>
      <x:c r="H3463" s="3" t="n">
        <x:v>0</x:v>
      </x:c>
      <x:c r="I3463" s="3" t="n">
        <x:v>1</x:v>
      </x:c>
      <x:c r="J3463" s="15" t="n">
        <x:f>IF(D3463=0,"n.a.",E3463/D3463)</x:f>
        <x:v>0</x:v>
      </x:c>
      <x:c r="K3463" s="15" t="n">
        <x:f>F3463/'Datos'!$F$7</x:f>
        <x:v>0.000002527390561253755</x:v>
      </x:c>
      <x:c r="L3463" s="3"/>
    </x:row>
    <x:row r="3464" ht="22" customHeight="1">
      <x:c r="A3464" s="3"/>
      <x:c r="B3464" s="3" t="str">
        <x:v>90141E</x:v>
      </x:c>
      <x:c r="C3464" s="3" t="str">
        <x:v>ORANGE PENDANT TRIPLE SHELL NECKLAC</x:v>
      </x:c>
      <x:c r="D3464" s="13" t="n">
        <x:v>24.75</x:v>
      </x:c>
      <x:c r="E3464" s="13" t="n">
        <x:v>0</x:v>
      </x:c>
      <x:c r="F3464" s="13" t="n">
        <x:f>D3464-E3464</x:f>
        <x:v>24.75</x:v>
      </x:c>
      <x:c r="G3464" s="3" t="n">
        <x:v>5</x:v>
      </x:c>
      <x:c r="H3464" s="3" t="n">
        <x:v>0</x:v>
      </x:c>
      <x:c r="I3464" s="3" t="n">
        <x:v>2</x:v>
      </x:c>
      <x:c r="J3464" s="15" t="n">
        <x:f>IF(D3464=0,"n.a.",E3464/D3464)</x:f>
        <x:v>0</x:v>
      </x:c>
      <x:c r="K3464" s="15" t="n">
        <x:f>F3464/'Datos'!$F$7</x:f>
        <x:v>0.000002527390561253755</x:v>
      </x:c>
      <x:c r="L3464" s="3"/>
    </x:row>
    <x:row r="3465" ht="22" customHeight="1">
      <x:c r="A3465" s="3"/>
      <x:c r="B3465" s="3" t="str">
        <x:v>84993B</x:v>
      </x:c>
      <x:c r="C3465" s="3" t="str">
        <x:v>75 BLACK PETIT FOUR CASES</x:v>
      </x:c>
      <x:c r="D3465" s="13" t="n">
        <x:v>24.36</x:v>
      </x:c>
      <x:c r="E3465" s="13" t="n">
        <x:v>0</x:v>
      </x:c>
      <x:c r="F3465" s="13" t="n">
        <x:f>D3465-E3465</x:f>
        <x:v>24.36</x:v>
      </x:c>
      <x:c r="G3465" s="3" t="n">
        <x:v>58</x:v>
      </x:c>
      <x:c r="H3465" s="3" t="n">
        <x:v>0</x:v>
      </x:c>
      <x:c r="I3465" s="3" t="n">
        <x:v>18</x:v>
      </x:c>
      <x:c r="J3465" s="15" t="n">
        <x:f>IF(D3465=0,"n.a.",E3465/D3465)</x:f>
        <x:v>0</x:v>
      </x:c>
      <x:c r="K3465" s="15" t="n">
        <x:f>F3465/'Datos'!$F$7</x:f>
        <x:v>0.000002487565013015817</x:v>
      </x:c>
      <x:c r="L3465" s="3"/>
    </x:row>
    <x:row r="3466" ht="22" customHeight="1">
      <x:c r="A3466" s="3"/>
      <x:c r="B3466" s="3" t="str">
        <x:v>47503J</x:v>
      </x:c>
      <x:c r="C3466" s="3" t="str">
        <x:v>SET/3 FLORAL GARDEN TOOLS IN BAG</x:v>
      </x:c>
      <x:c r="D3466" s="13" t="n">
        <x:v>23.85</x:v>
      </x:c>
      <x:c r="E3466" s="13" t="n">
        <x:v>0</x:v>
      </x:c>
      <x:c r="F3466" s="13" t="n">
        <x:f>D3466-E3466</x:f>
        <x:v>23.85</x:v>
      </x:c>
      <x:c r="G3466" s="3" t="n">
        <x:v>3</x:v>
      </x:c>
      <x:c r="H3466" s="3" t="n">
        <x:v>0</x:v>
      </x:c>
      <x:c r="I3466" s="3" t="n">
        <x:v>2</x:v>
      </x:c>
      <x:c r="J3466" s="15" t="n">
        <x:f>IF(D3466=0,"n.a.",E3466/D3466)</x:f>
        <x:v>0</x:v>
      </x:c>
      <x:c r="K3466" s="15" t="n">
        <x:f>F3466/'Datos'!$F$7</x:f>
        <x:v>0.0000024354854499354368</x:v>
      </x:c>
      <x:c r="L3466" s="3"/>
    </x:row>
    <x:row r="3467" ht="22" customHeight="1">
      <x:c r="A3467" s="3"/>
      <x:c r="B3467" s="3" t="str">
        <x:v>84562A</x:v>
      </x:c>
      <x:c r="C3467" s="3" t="str">
        <x:v>PINK/WHITE RIBBED MELAMINE JUG</x:v>
      </x:c>
      <x:c r="D3467" s="13" t="n">
        <x:v>23.85</x:v>
      </x:c>
      <x:c r="E3467" s="13" t="n">
        <x:v>0</x:v>
      </x:c>
      <x:c r="F3467" s="13" t="n">
        <x:f>D3467-E3467</x:f>
        <x:v>23.85</x:v>
      </x:c>
      <x:c r="G3467" s="3" t="n">
        <x:v>3</x:v>
      </x:c>
      <x:c r="H3467" s="3" t="n">
        <x:v>0</x:v>
      </x:c>
      <x:c r="I3467" s="3" t="n">
        <x:v>3</x:v>
      </x:c>
      <x:c r="J3467" s="15" t="n">
        <x:f>IF(D3467=0,"n.a.",E3467/D3467)</x:f>
        <x:v>0</x:v>
      </x:c>
      <x:c r="K3467" s="15" t="n">
        <x:f>F3467/'Datos'!$F$7</x:f>
        <x:v>0.0000024354854499354368</x:v>
      </x:c>
      <x:c r="L3467" s="3"/>
    </x:row>
    <x:row r="3468" ht="22" customHeight="1">
      <x:c r="A3468" s="3"/>
      <x:c r="B3468" s="3" t="str">
        <x:v>21357</x:v>
      </x:c>
      <x:c r="C3468" s="3" t="str">
        <x:v>TOAST ITS - DINOSAUR</x:v>
      </x:c>
      <x:c r="D3468" s="13" t="n">
        <x:v>23.75</x:v>
      </x:c>
      <x:c r="E3468" s="13" t="n">
        <x:v>0</x:v>
      </x:c>
      <x:c r="F3468" s="13" t="n">
        <x:f>D3468-E3468</x:f>
        <x:v>23.75</x:v>
      </x:c>
      <x:c r="G3468" s="3" t="n">
        <x:v>19</x:v>
      </x:c>
      <x:c r="H3468" s="3" t="n">
        <x:v>0</x:v>
      </x:c>
      <x:c r="I3468" s="3" t="n">
        <x:v>10</x:v>
      </x:c>
      <x:c r="J3468" s="15" t="n">
        <x:f>IF(D3468=0,"n.a.",E3468/D3468)</x:f>
        <x:v>0</x:v>
      </x:c>
      <x:c r="K3468" s="15" t="n">
        <x:f>F3468/'Datos'!$F$7</x:f>
        <x:v>0.000002425273770900068</x:v>
      </x:c>
      <x:c r="L3468" s="3"/>
    </x:row>
    <x:row r="3469" ht="22" customHeight="1">
      <x:c r="A3469" s="3"/>
      <x:c r="B3469" s="3" t="str">
        <x:v>84803B</x:v>
      </x:c>
      <x:c r="C3469" s="3" t="str">
        <x:v>WHITE ALLIUM ARTIFICIAL FLOWER</x:v>
      </x:c>
      <x:c r="D3469" s="13" t="n">
        <x:v>28.73</x:v>
      </x:c>
      <x:c r="E3469" s="13" t="n">
        <x:v>5.07</x:v>
      </x:c>
      <x:c r="F3469" s="13" t="n">
        <x:f>D3469-E3469</x:f>
        <x:v>23.66</x:v>
      </x:c>
      <x:c r="G3469" s="3" t="n">
        <x:v>17</x:v>
      </x:c>
      <x:c r="H3469" s="3" t="n">
        <x:v>3</x:v>
      </x:c>
      <x:c r="I3469" s="3" t="n">
        <x:v>4</x:v>
      </x:c>
      <x:c r="J3469" s="15" t="n">
        <x:f>IF(D3469=0,"n.a.",E3469/D3469)</x:f>
        <x:v>0.17647058823529413</x:v>
      </x:c>
      <x:c r="K3469" s="15" t="n">
        <x:f>F3469/'Datos'!$F$7</x:f>
        <x:v>0.000002416083259768236</x:v>
      </x:c>
      <x:c r="L3469" s="3"/>
    </x:row>
    <x:row r="3470" ht="22" customHeight="1">
      <x:c r="A3470" s="3"/>
      <x:c r="B3470" s="3" t="str">
        <x:v>85160A</x:v>
      </x:c>
      <x:c r="C3470" s="3" t="str">
        <x:v>WHITE BIRD GARDEN DESIGN MUG</x:v>
      </x:c>
      <x:c r="D3470" s="13" t="n">
        <x:v>23.63</x:v>
      </x:c>
      <x:c r="E3470" s="13" t="n">
        <x:v>0</x:v>
      </x:c>
      <x:c r="F3470" s="13" t="n">
        <x:f>D3470-E3470</x:f>
        <x:v>23.63</x:v>
      </x:c>
      <x:c r="G3470" s="3" t="n">
        <x:v>7</x:v>
      </x:c>
      <x:c r="H3470" s="3" t="n">
        <x:v>0</x:v>
      </x:c>
      <x:c r="I3470" s="3" t="n">
        <x:v>2</x:v>
      </x:c>
      <x:c r="J3470" s="15" t="n">
        <x:f>IF(D3470=0,"n.a.",E3470/D3470)</x:f>
        <x:v>0</x:v>
      </x:c>
      <x:c r="K3470" s="15" t="n">
        <x:f>F3470/'Datos'!$F$7</x:f>
        <x:v>0.0000024130197560576255</x:v>
      </x:c>
      <x:c r="L3470" s="3"/>
    </x:row>
    <x:row r="3471" ht="22" customHeight="1">
      <x:c r="A3471" s="3"/>
      <x:c r="B3471" s="3" t="str">
        <x:v>35909A</x:v>
      </x:c>
      <x:c r="C3471" s="3" t="str">
        <x:v>RABBIT EASTER DECORATION</x:v>
      </x:c>
      <x:c r="D3471" s="13" t="n">
        <x:v>23.6</x:v>
      </x:c>
      <x:c r="E3471" s="13" t="n">
        <x:v>0</x:v>
      </x:c>
      <x:c r="F3471" s="13" t="n">
        <x:f>D3471-E3471</x:f>
        <x:v>23.6</x:v>
      </x:c>
      <x:c r="G3471" s="3" t="n">
        <x:v>8</x:v>
      </x:c>
      <x:c r="H3471" s="3" t="n">
        <x:v>0</x:v>
      </x:c>
      <x:c r="I3471" s="3" t="n">
        <x:v>3</x:v>
      </x:c>
      <x:c r="J3471" s="15" t="n">
        <x:f>IF(D3471=0,"n.a.",E3471/D3471)</x:f>
        <x:v>0</x:v>
      </x:c>
      <x:c r="K3471" s="15" t="n">
        <x:f>F3471/'Datos'!$F$7</x:f>
        <x:v>0.000002409956252347015</x:v>
      </x:c>
      <x:c r="L3471" s="3"/>
    </x:row>
    <x:row r="3472" ht="22" customHeight="1">
      <x:c r="A3472" s="3"/>
      <x:c r="B3472" s="3" t="str">
        <x:v>35909B</x:v>
      </x:c>
      <x:c r="C3472" s="3" t="str">
        <x:v>PINK FLOWERS RABBIT EASTER</x:v>
      </x:c>
      <x:c r="D3472" s="13" t="n">
        <x:v>23.6</x:v>
      </x:c>
      <x:c r="E3472" s="13" t="n">
        <x:v>0</x:v>
      </x:c>
      <x:c r="F3472" s="13" t="n">
        <x:f>D3472-E3472</x:f>
        <x:v>23.6</x:v>
      </x:c>
      <x:c r="G3472" s="3" t="n">
        <x:v>8</x:v>
      </x:c>
      <x:c r="H3472" s="3" t="n">
        <x:v>0</x:v>
      </x:c>
      <x:c r="I3472" s="3" t="n">
        <x:v>2</x:v>
      </x:c>
      <x:c r="J3472" s="15" t="n">
        <x:f>IF(D3472=0,"n.a.",E3472/D3472)</x:f>
        <x:v>0</x:v>
      </x:c>
      <x:c r="K3472" s="15" t="n">
        <x:f>F3472/'Datos'!$F$7</x:f>
        <x:v>0.000002409956252347015</x:v>
      </x:c>
      <x:c r="L3472" s="3"/>
    </x:row>
    <x:row r="3473" ht="22" customHeight="1">
      <x:c r="A3473" s="3"/>
      <x:c r="B3473" s="3" t="str">
        <x:v>90083</x:v>
      </x:c>
      <x:c r="C3473" s="3" t="str">
        <x:v>CRYSTAL CZECH CROSS PHONE CHARM</x:v>
      </x:c>
      <x:c r="D3473" s="13" t="n">
        <x:v>23.47</x:v>
      </x:c>
      <x:c r="E3473" s="13" t="n">
        <x:v>0</x:v>
      </x:c>
      <x:c r="F3473" s="13" t="n">
        <x:f>D3473-E3473</x:f>
        <x:v>23.47</x:v>
      </x:c>
      <x:c r="G3473" s="3" t="n">
        <x:v>25</x:v>
      </x:c>
      <x:c r="H3473" s="3" t="n">
        <x:v>0</x:v>
      </x:c>
      <x:c r="I3473" s="3" t="n">
        <x:v>9</x:v>
      </x:c>
      <x:c r="J3473" s="15" t="n">
        <x:f>IF(D3473=0,"n.a.",E3473/D3473)</x:f>
        <x:v>0</x:v>
      </x:c>
      <x:c r="K3473" s="15" t="n">
        <x:f>F3473/'Datos'!$F$7</x:f>
        <x:v>0.000002396681069601035</x:v>
      </x:c>
      <x:c r="L3473" s="3"/>
    </x:row>
    <x:row r="3474" ht="22" customHeight="1">
      <x:c r="A3474" s="3"/>
      <x:c r="B3474" s="3" t="str">
        <x:v>90177E</x:v>
      </x:c>
      <x:c r="C3474" s="3" t="str">
        <x:v>DROP DIAMANTE EARRINGS GREEN</x:v>
      </x:c>
      <x:c r="D3474" s="13" t="n">
        <x:v>41.08</x:v>
      </x:c>
      <x:c r="E3474" s="13" t="n">
        <x:v>17.7</x:v>
      </x:c>
      <x:c r="F3474" s="13" t="n">
        <x:f>D3474-E3474</x:f>
        <x:v>23.38</x:v>
      </x:c>
      <x:c r="G3474" s="3" t="n">
        <x:v>14</x:v>
      </x:c>
      <x:c r="H3474" s="3" t="n">
        <x:v>6</x:v>
      </x:c>
      <x:c r="I3474" s="3" t="n">
        <x:v>9</x:v>
      </x:c>
      <x:c r="J3474" s="15" t="n">
        <x:f>IF(D3474=0,"n.a.",E3474/D3474)</x:f>
        <x:v>0.4308666017526777</x:v>
      </x:c>
      <x:c r="K3474" s="15" t="n">
        <x:f>F3474/'Datos'!$F$7</x:f>
        <x:v>0.0000023874905584692036</x:v>
      </x:c>
      <x:c r="L3474" s="3"/>
    </x:row>
    <x:row r="3475" ht="22" customHeight="1">
      <x:c r="A3475" s="3"/>
      <x:c r="B3475" s="3" t="str">
        <x:v>90176C</x:v>
      </x:c>
      <x:c r="C3475" s="3" t="str">
        <x:v>DIAMANTE NECKLACE</x:v>
      </x:c>
      <x:c r="D3475" s="13" t="n">
        <x:v>23.32</x:v>
      </x:c>
      <x:c r="E3475" s="13" t="n">
        <x:v>0</x:v>
      </x:c>
      <x:c r="F3475" s="13" t="n">
        <x:f>D3475-E3475</x:f>
        <x:v>23.32</x:v>
      </x:c>
      <x:c r="G3475" s="3" t="n">
        <x:v>3</x:v>
      </x:c>
      <x:c r="H3475" s="3" t="n">
        <x:v>0</x:v>
      </x:c>
      <x:c r="I3475" s="3" t="n">
        <x:v>2</x:v>
      </x:c>
      <x:c r="J3475" s="15" t="n">
        <x:f>IF(D3475=0,"n.a.",E3475/D3475)</x:f>
        <x:v>0</x:v>
      </x:c>
      <x:c r="K3475" s="15" t="n">
        <x:f>F3475/'Datos'!$F$7</x:f>
        <x:v>0.0000023813635510479825</x:v>
      </x:c>
      <x:c r="L3475" s="3"/>
    </x:row>
    <x:row r="3476" ht="22" customHeight="1">
      <x:c r="A3476" s="3"/>
      <x:c r="B3476" s="3" t="str">
        <x:v>23623</x:v>
      </x:c>
      <x:c r="C3476" s="3" t="str">
        <x:v>SET 10 CARD CHRISTMAS WELCOME 17112</x:v>
      </x:c>
      <x:c r="D3476" s="13" t="n">
        <x:v>23.28</x:v>
      </x:c>
      <x:c r="E3476" s="13" t="n">
        <x:v>0</x:v>
      </x:c>
      <x:c r="F3476" s="13" t="n">
        <x:f>D3476-E3476</x:f>
        <x:v>23.28</x:v>
      </x:c>
      <x:c r="G3476" s="3" t="n">
        <x:v>8</x:v>
      </x:c>
      <x:c r="H3476" s="3" t="n">
        <x:v>0</x:v>
      </x:c>
      <x:c r="I3476" s="3" t="n">
        <x:v>6</x:v>
      </x:c>
      <x:c r="J3476" s="15" t="n">
        <x:f>IF(D3476=0,"n.a.",E3476/D3476)</x:f>
        <x:v>0</x:v>
      </x:c>
      <x:c r="K3476" s="15" t="n">
        <x:f>F3476/'Datos'!$F$7</x:f>
        <x:v>0.000002377278879433835</x:v>
      </x:c>
      <x:c r="L3476" s="3"/>
    </x:row>
    <x:row r="3477" ht="22" customHeight="1">
      <x:c r="A3477" s="3"/>
      <x:c r="B3477" s="3" t="str">
        <x:v>90182C</x:v>
      </x:c>
      <x:c r="C3477" s="3" t="str">
        <x:v>BLACK 3 BEAD DROP EARRINGS</x:v>
      </x:c>
      <x:c r="D3477" s="13" t="n">
        <x:v>40.96</x:v>
      </x:c>
      <x:c r="E3477" s="13" t="n">
        <x:v>17.7</x:v>
      </x:c>
      <x:c r="F3477" s="13" t="n">
        <x:f>D3477-E3477</x:f>
        <x:v>23.26</x:v>
      </x:c>
      <x:c r="G3477" s="3" t="n">
        <x:v>14</x:v>
      </x:c>
      <x:c r="H3477" s="3" t="n">
        <x:v>6</x:v>
      </x:c>
      <x:c r="I3477" s="3" t="n">
        <x:v>9</x:v>
      </x:c>
      <x:c r="J3477" s="15" t="n">
        <x:f>IF(D3477=0,"n.a.",E3477/D3477)</x:f>
        <x:v>0.43212890625</x:v>
      </x:c>
      <x:c r="K3477" s="15" t="n">
        <x:f>F3477/'Datos'!$F$7</x:f>
        <x:v>0.0000023752365436267614</x:v>
      </x:c>
      <x:c r="L3477" s="3"/>
    </x:row>
    <x:row r="3478" ht="22" customHeight="1">
      <x:c r="A3478" s="3"/>
      <x:c r="B3478" s="3" t="str">
        <x:v>90177A</x:v>
      </x:c>
      <x:c r="C3478" s="3" t="str">
        <x:v>CLASSIC DIAMANTE EARRINGS JET</x:v>
      </x:c>
      <x:c r="D3478" s="13" t="n">
        <x:v>40.9</x:v>
      </x:c>
      <x:c r="E3478" s="13" t="n">
        <x:v>17.7</x:v>
      </x:c>
      <x:c r="F3478" s="13" t="n">
        <x:f>D3478-E3478</x:f>
        <x:v>23.2</x:v>
      </x:c>
      <x:c r="G3478" s="3" t="n">
        <x:v>14</x:v>
      </x:c>
      <x:c r="H3478" s="3" t="n">
        <x:v>6</x:v>
      </x:c>
      <x:c r="I3478" s="3" t="n">
        <x:v>9</x:v>
      </x:c>
      <x:c r="J3478" s="15" t="n">
        <x:f>IF(D3478=0,"n.a.",E3478/D3478)</x:f>
        <x:v>0.43276283618581907</x:v>
      </x:c>
      <x:c r="K3478" s="15" t="n">
        <x:f>F3478/'Datos'!$F$7</x:f>
        <x:v>0.00000236910953620554</x:v>
      </x:c>
      <x:c r="L3478" s="3"/>
    </x:row>
    <x:row r="3479" ht="22" customHeight="1">
      <x:c r="A3479" s="3"/>
      <x:c r="B3479" s="3" t="str">
        <x:v>90182A</x:v>
      </x:c>
      <x:c r="C3479" s="3" t="str">
        <x:v>AMBER 3 BEAD DROP EARRINGS</x:v>
      </x:c>
      <x:c r="D3479" s="13" t="n">
        <x:v>23.2</x:v>
      </x:c>
      <x:c r="E3479" s="13" t="n">
        <x:v>0</x:v>
      </x:c>
      <x:c r="F3479" s="13" t="n">
        <x:f>D3479-E3479</x:f>
        <x:v>23.2</x:v>
      </x:c>
      <x:c r="G3479" s="3" t="n">
        <x:v>8</x:v>
      </x:c>
      <x:c r="H3479" s="3" t="n">
        <x:v>0</x:v>
      </x:c>
      <x:c r="I3479" s="3" t="n">
        <x:v>8</x:v>
      </x:c>
      <x:c r="J3479" s="15" t="n">
        <x:f>IF(D3479=0,"n.a.",E3479/D3479)</x:f>
        <x:v>0</x:v>
      </x:c>
      <x:c r="K3479" s="15" t="n">
        <x:f>F3479/'Datos'!$F$7</x:f>
        <x:v>0.00000236910953620554</x:v>
      </x:c>
      <x:c r="L3479" s="3"/>
    </x:row>
    <x:row r="3480" ht="22" customHeight="1">
      <x:c r="A3480" s="3"/>
      <x:c r="B3480" s="3" t="str">
        <x:v>90104</x:v>
      </x:c>
      <x:c r="C3480" s="3" t="str">
        <x:v>PURPLE FRANGIPANI HAIRCLIP</x:v>
      </x:c>
      <x:c r="D3480" s="13" t="n">
        <x:v>23.16</x:v>
      </x:c>
      <x:c r="E3480" s="13" t="n">
        <x:v>0</x:v>
      </x:c>
      <x:c r="F3480" s="13" t="n">
        <x:f>D3480-E3480</x:f>
        <x:v>23.16</x:v>
      </x:c>
      <x:c r="G3480" s="3" t="n">
        <x:v>28</x:v>
      </x:c>
      <x:c r="H3480" s="3" t="n">
        <x:v>0</x:v>
      </x:c>
      <x:c r="I3480" s="3" t="n">
        <x:v>12</x:v>
      </x:c>
      <x:c r="J3480" s="15" t="n">
        <x:f>IF(D3480=0,"n.a.",E3480/D3480)</x:f>
        <x:v>0</x:v>
      </x:c>
      <x:c r="K3480" s="15" t="n">
        <x:f>F3480/'Datos'!$F$7</x:f>
        <x:v>0.0000023650248645913927</x:v>
      </x:c>
      <x:c r="L3480" s="3"/>
    </x:row>
    <x:row r="3481" ht="22" customHeight="1">
      <x:c r="A3481" s="3"/>
      <x:c r="B3481" s="3" t="str">
        <x:v>85195</x:v>
      </x:c>
      <x:c r="C3481" s="3" t="str">
        <x:v>HANGING HEART BASKET</x:v>
      </x:c>
      <x:c r="D3481" s="13" t="n">
        <x:v>23.1</x:v>
      </x:c>
      <x:c r="E3481" s="13" t="n">
        <x:v>0</x:v>
      </x:c>
      <x:c r="F3481" s="13" t="n">
        <x:f>D3481-E3481</x:f>
        <x:v>23.1</x:v>
      </x:c>
      <x:c r="G3481" s="3" t="n">
        <x:v>11</x:v>
      </x:c>
      <x:c r="H3481" s="3" t="n">
        <x:v>0</x:v>
      </x:c>
      <x:c r="I3481" s="3" t="n">
        <x:v>3</x:v>
      </x:c>
      <x:c r="J3481" s="15" t="n">
        <x:f>IF(D3481=0,"n.a.",E3481/D3481)</x:f>
        <x:v>0</x:v>
      </x:c>
      <x:c r="K3481" s="15" t="n">
        <x:f>F3481/'Datos'!$F$7</x:f>
        <x:v>0.0000023588978571701716</x:v>
      </x:c>
      <x:c r="L3481" s="3"/>
    </x:row>
    <x:row r="3482" ht="22" customHeight="1">
      <x:c r="A3482" s="3"/>
      <x:c r="B3482" s="3" t="str">
        <x:v>85206B</x:v>
      </x:c>
      <x:c r="C3482" s="3" t="str">
        <x:v>PINK FELT EASTER EGG BASKET</x:v>
      </x:c>
      <x:c r="D3482" s="13" t="n">
        <x:v>23.1</x:v>
      </x:c>
      <x:c r="E3482" s="13" t="n">
        <x:v>0</x:v>
      </x:c>
      <x:c r="F3482" s="13" t="n">
        <x:f>D3482-E3482</x:f>
        <x:v>23.1</x:v>
      </x:c>
      <x:c r="G3482" s="3" t="n">
        <x:v>14</x:v>
      </x:c>
      <x:c r="H3482" s="3" t="n">
        <x:v>0</x:v>
      </x:c>
      <x:c r="I3482" s="3" t="n">
        <x:v>4</x:v>
      </x:c>
      <x:c r="J3482" s="15" t="n">
        <x:f>IF(D3482=0,"n.a.",E3482/D3482)</x:f>
        <x:v>0</x:v>
      </x:c>
      <x:c r="K3482" s="15" t="n">
        <x:f>F3482/'Datos'!$F$7</x:f>
        <x:v>0.0000023588978571701716</x:v>
      </x:c>
      <x:c r="L3482" s="3"/>
    </x:row>
    <x:row r="3483" ht="22" customHeight="1">
      <x:c r="A3483" s="3"/>
      <x:c r="B3483" s="3" t="str">
        <x:v>22351</x:v>
      </x:c>
      <x:c r="C3483" s="3" t="str">
        <x:v>DOTCOMGIFTSHOP TEA TOWEL</x:v>
      </x:c>
      <x:c r="D3483" s="13" t="n">
        <x:v>23.09</x:v>
      </x:c>
      <x:c r="E3483" s="13" t="n">
        <x:v>0</x:v>
      </x:c>
      <x:c r="F3483" s="13" t="n">
        <x:f>D3483-E3483</x:f>
        <x:v>23.09</x:v>
      </x:c>
      <x:c r="G3483" s="3" t="n">
        <x:v>13</x:v>
      </x:c>
      <x:c r="H3483" s="3" t="n">
        <x:v>0</x:v>
      </x:c>
      <x:c r="I3483" s="3" t="n">
        <x:v>2</x:v>
      </x:c>
      <x:c r="J3483" s="15" t="n">
        <x:f>IF(D3483=0,"n.a.",E3483/D3483)</x:f>
        <x:v>0</x:v>
      </x:c>
      <x:c r="K3483" s="15" t="n">
        <x:f>F3483/'Datos'!$F$7</x:f>
        <x:v>0.0000023578766892666345</x:v>
      </x:c>
      <x:c r="L3483" s="3"/>
    </x:row>
    <x:row r="3484" ht="22" customHeight="1">
      <x:c r="A3484" s="3"/>
      <x:c r="B3484" s="3" t="str">
        <x:v>90214Y</x:v>
      </x:c>
      <x:c r="C3484" s="3" t="str">
        <x:v>LETTER "Y" BLING KEY RING</x:v>
      </x:c>
      <x:c r="D3484" s="13" t="n">
        <x:v>22.84</x:v>
      </x:c>
      <x:c r="E3484" s="13" t="n">
        <x:v>0</x:v>
      </x:c>
      <x:c r="F3484" s="13" t="n">
        <x:f>D3484-E3484</x:f>
        <x:v>22.84</x:v>
      </x:c>
      <x:c r="G3484" s="3" t="n">
        <x:v>66</x:v>
      </x:c>
      <x:c r="H3484" s="3" t="n">
        <x:v>0</x:v>
      </x:c>
      <x:c r="I3484" s="3" t="n">
        <x:v>8</x:v>
      </x:c>
      <x:c r="J3484" s="15" t="n">
        <x:f>IF(D3484=0,"n.a.",E3484/D3484)</x:f>
        <x:v>0</x:v>
      </x:c>
      <x:c r="K3484" s="15" t="n">
        <x:f>F3484/'Datos'!$F$7</x:f>
        <x:v>0.0000023323474916782126</x:v>
      </x:c>
      <x:c r="L3484" s="3"/>
    </x:row>
    <x:row r="3485" ht="22" customHeight="1">
      <x:c r="A3485" s="3"/>
      <x:c r="B3485" s="3" t="str">
        <x:v>90054</x:v>
      </x:c>
      <x:c r="C3485" s="3" t="str">
        <x:v>CRACKED GLAZE EARRINGS RED</x:v>
      </x:c>
      <x:c r="D3485" s="13" t="n">
        <x:v>22.58</x:v>
      </x:c>
      <x:c r="E3485" s="13" t="n">
        <x:v>0</x:v>
      </x:c>
      <x:c r="F3485" s="13" t="n">
        <x:f>D3485-E3485</x:f>
        <x:v>22.58</x:v>
      </x:c>
      <x:c r="G3485" s="3" t="n">
        <x:v>9</x:v>
      </x:c>
      <x:c r="H3485" s="3" t="n">
        <x:v>0</x:v>
      </x:c>
      <x:c r="I3485" s="3" t="n">
        <x:v>9</x:v>
      </x:c>
      <x:c r="J3485" s="15" t="n">
        <x:f>IF(D3485=0,"n.a.",E3485/D3485)</x:f>
        <x:v>0</x:v>
      </x:c>
      <x:c r="K3485" s="15" t="n">
        <x:f>F3485/'Datos'!$F$7</x:f>
        <x:v>0.0000023057971261862536</x:v>
      </x:c>
      <x:c r="L3485" s="3"/>
    </x:row>
    <x:row r="3486" ht="22" customHeight="1">
      <x:c r="A3486" s="3"/>
      <x:c r="B3486" s="3" t="str">
        <x:v>90039C</x:v>
      </x:c>
      <x:c r="C3486" s="3" t="str">
        <x:v>FIRE POLISHED GLASS BRACELET BLACK</x:v>
      </x:c>
      <x:c r="D3486" s="13" t="n">
        <x:v>22.48</x:v>
      </x:c>
      <x:c r="E3486" s="13" t="n">
        <x:v>0</x:v>
      </x:c>
      <x:c r="F3486" s="13" t="n">
        <x:f>D3486-E3486</x:f>
        <x:v>22.48</x:v>
      </x:c>
      <x:c r="G3486" s="3" t="n">
        <x:v>6</x:v>
      </x:c>
      <x:c r="H3486" s="3" t="n">
        <x:v>0</x:v>
      </x:c>
      <x:c r="I3486" s="3" t="n">
        <x:v>6</x:v>
      </x:c>
      <x:c r="J3486" s="15" t="n">
        <x:f>IF(D3486=0,"n.a.",E3486/D3486)</x:f>
        <x:v>0</x:v>
      </x:c>
      <x:c r="K3486" s="15" t="n">
        <x:f>F3486/'Datos'!$F$7</x:f>
        <x:v>0.0000022955854471508853</x:v>
      </x:c>
      <x:c r="L3486" s="3"/>
    </x:row>
    <x:row r="3487" ht="22" customHeight="1">
      <x:c r="A3487" s="3"/>
      <x:c r="B3487" s="3" t="str">
        <x:v>23640</x:v>
      </x:c>
      <x:c r="C3487" s="3" t="str">
        <x:v>SET 10 CARDS SCOTTIE DOG 17211</x:v>
      </x:c>
      <x:c r="D3487" s="13" t="n">
        <x:v>22.41</x:v>
      </x:c>
      <x:c r="E3487" s="13" t="n">
        <x:v>0</x:v>
      </x:c>
      <x:c r="F3487" s="13" t="n">
        <x:f>D3487-E3487</x:f>
        <x:v>22.41</x:v>
      </x:c>
      <x:c r="G3487" s="3" t="n">
        <x:v>9</x:v>
      </x:c>
      <x:c r="H3487" s="3" t="n">
        <x:v>0</x:v>
      </x:c>
      <x:c r="I3487" s="3" t="n">
        <x:v>8</x:v>
      </x:c>
      <x:c r="J3487" s="15" t="n">
        <x:f>IF(D3487=0,"n.a.",E3487/D3487)</x:f>
        <x:v>0</x:v>
      </x:c>
      <x:c r="K3487" s="15" t="n">
        <x:f>F3487/'Datos'!$F$7</x:f>
        <x:v>0.000002288437271826127</x:v>
      </x:c>
      <x:c r="L3487" s="3"/>
    </x:row>
    <x:row r="3488" ht="22" customHeight="1">
      <x:c r="A3488" s="3"/>
      <x:c r="B3488" s="3" t="str">
        <x:v>23645</x:v>
      </x:c>
      <x:c r="C3488" s="3" t="str">
        <x:v>SET 10 CHRISTMAS CARDS HOHOHO 16956</x:v>
      </x:c>
      <x:c r="D3488" s="13" t="n">
        <x:v>22.41</x:v>
      </x:c>
      <x:c r="E3488" s="13" t="n">
        <x:v>0</x:v>
      </x:c>
      <x:c r="F3488" s="13" t="n">
        <x:f>D3488-E3488</x:f>
        <x:v>22.41</x:v>
      </x:c>
      <x:c r="G3488" s="3" t="n">
        <x:v>9</x:v>
      </x:c>
      <x:c r="H3488" s="3" t="n">
        <x:v>0</x:v>
      </x:c>
      <x:c r="I3488" s="3" t="n">
        <x:v>4</x:v>
      </x:c>
      <x:c r="J3488" s="15" t="n">
        <x:f>IF(D3488=0,"n.a.",E3488/D3488)</x:f>
        <x:v>0</x:v>
      </x:c>
      <x:c r="K3488" s="15" t="n">
        <x:f>F3488/'Datos'!$F$7</x:f>
        <x:v>0.000002288437271826127</x:v>
      </x:c>
      <x:c r="L3488" s="3"/>
    </x:row>
    <x:row r="3489" ht="22" customHeight="1">
      <x:c r="A3489" s="3"/>
      <x:c r="B3489" s="3" t="str">
        <x:v>21018</x:v>
      </x:c>
      <x:c r="C3489" s="3" t="str">
        <x:v>BIRD BOX CHRISTMAS TREE DECORATION</x:v>
      </x:c>
      <x:c r="D3489" s="13" t="n">
        <x:v>22.06</x:v>
      </x:c>
      <x:c r="E3489" s="13" t="n">
        <x:v>0</x:v>
      </x:c>
      <x:c r="F3489" s="13" t="n">
        <x:f>D3489-E3489</x:f>
        <x:v>22.06</x:v>
      </x:c>
      <x:c r="G3489" s="3" t="n">
        <x:v>24</x:v>
      </x:c>
      <x:c r="H3489" s="3" t="n">
        <x:v>0</x:v>
      </x:c>
      <x:c r="I3489" s="3" t="n">
        <x:v>6</x:v>
      </x:c>
      <x:c r="J3489" s="15" t="n">
        <x:f>IF(D3489=0,"n.a.",E3489/D3489)</x:f>
        <x:v>0</x:v>
      </x:c>
      <x:c r="K3489" s="15" t="n">
        <x:f>F3489/'Datos'!$F$7</x:f>
        <x:v>0.0000022526963952023365</x:v>
      </x:c>
      <x:c r="L3489" s="3"/>
    </x:row>
    <x:row r="3490" ht="22" customHeight="1">
      <x:c r="A3490" s="3"/>
      <x:c r="B3490" s="3" t="str">
        <x:v>21461</x:v>
      </x:c>
      <x:c r="C3490" s="3" t="str">
        <x:v>BLUE EASTER EGG HUNT START POST</x:v>
      </x:c>
      <x:c r="D3490" s="13" t="n">
        <x:v>25.81</x:v>
      </x:c>
      <x:c r="E3490" s="13" t="n">
        <x:v>3.9</x:v>
      </x:c>
      <x:c r="F3490" s="13" t="n">
        <x:f>D3490-E3490</x:f>
        <x:v>21.91</x:v>
      </x:c>
      <x:c r="G3490" s="3" t="n">
        <x:v>11</x:v>
      </x:c>
      <x:c r="H3490" s="3" t="n">
        <x:v>2</x:v>
      </x:c>
      <x:c r="I3490" s="3" t="n">
        <x:v>6</x:v>
      </x:c>
      <x:c r="J3490" s="15" t="n">
        <x:f>IF(D3490=0,"n.a.",E3490/D3490)</x:f>
        <x:v>0.1511042231693142</x:v>
      </x:c>
      <x:c r="K3490" s="15" t="n">
        <x:f>F3490/'Datos'!$F$7</x:f>
        <x:v>0.0000022373788766492838</x:v>
      </x:c>
      <x:c r="L3490" s="3"/>
    </x:row>
    <x:row r="3491" ht="22" customHeight="1">
      <x:c r="A3491" s="3"/>
      <x:c r="B3491" s="3" t="str">
        <x:v>90076</x:v>
      </x:c>
      <x:c r="C3491" s="3" t="str">
        <x:v>MONTANA DIAMOND CLUSTER EARRINGS</x:v>
      </x:c>
      <x:c r="D3491" s="13" t="n">
        <x:v>24.12</x:v>
      </x:c>
      <x:c r="E3491" s="13" t="n">
        <x:v>2.55</x:v>
      </x:c>
      <x:c r="F3491" s="13" t="n">
        <x:f>D3491-E3491</x:f>
        <x:v>21.57</x:v>
      </x:c>
      <x:c r="G3491" s="3" t="n">
        <x:v>9</x:v>
      </x:c>
      <x:c r="H3491" s="3" t="n">
        <x:v>1</x:v>
      </x:c>
      <x:c r="I3491" s="3" t="n">
        <x:v>4</x:v>
      </x:c>
      <x:c r="J3491" s="15" t="n">
        <x:f>IF(D3491=0,"n.a.",E3491/D3491)</x:f>
        <x:v>0.10572139303482586</x:v>
      </x:c>
      <x:c r="K3491" s="15" t="n">
        <x:f>F3491/'Datos'!$F$7</x:f>
        <x:v>0.00000220265916792903</x:v>
      </x:c>
      <x:c r="L3491" s="3"/>
    </x:row>
    <x:row r="3492" ht="22" customHeight="1">
      <x:c r="A3492" s="3"/>
      <x:c r="B3492" s="3" t="str">
        <x:v>90035C</x:v>
      </x:c>
      <x:c r="C3492" s="3" t="str">
        <x:v>PEARL &amp; SHELL 42"NECKL. IVORY</x:v>
      </x:c>
      <x:c r="D3492" s="13" t="n">
        <x:v>21.5</x:v>
      </x:c>
      <x:c r="E3492" s="13" t="n">
        <x:v>0</x:v>
      </x:c>
      <x:c r="F3492" s="13" t="n">
        <x:f>D3492-E3492</x:f>
        <x:v>21.5</x:v>
      </x:c>
      <x:c r="G3492" s="3" t="n">
        <x:v>2</x:v>
      </x:c>
      <x:c r="H3492" s="3" t="n">
        <x:v>0</x:v>
      </x:c>
      <x:c r="I3492" s="3" t="n">
        <x:v>1</x:v>
      </x:c>
      <x:c r="J3492" s="15" t="n">
        <x:f>IF(D3492=0,"n.a.",E3492/D3492)</x:f>
        <x:v>0</x:v>
      </x:c>
      <x:c r="K3492" s="15" t="n">
        <x:f>F3492/'Datos'!$F$7</x:f>
        <x:v>0.000002195510992604272</x:v>
      </x:c>
      <x:c r="L3492" s="3"/>
    </x:row>
    <x:row r="3493" ht="22" customHeight="1">
      <x:c r="A3493" s="3"/>
      <x:c r="B3493" s="3" t="str">
        <x:v>84387A</x:v>
      </x:c>
      <x:c r="C3493" s="3" t="str">
        <x:v>BIRD ON BRANCH CANVAS SCREEN</x:v>
      </x:c>
      <x:c r="D3493" s="13" t="n">
        <x:v>21.45</x:v>
      </x:c>
      <x:c r="E3493" s="13" t="n">
        <x:v>0</x:v>
      </x:c>
      <x:c r="F3493" s="13" t="n">
        <x:f>D3493-E3493</x:f>
        <x:v>21.45</x:v>
      </x:c>
      <x:c r="G3493" s="3" t="n">
        <x:v>11</x:v>
      </x:c>
      <x:c r="H3493" s="3" t="n">
        <x:v>0</x:v>
      </x:c>
      <x:c r="I3493" s="3" t="n">
        <x:v>1</x:v>
      </x:c>
      <x:c r="J3493" s="15" t="n">
        <x:f>IF(D3493=0,"n.a.",E3493/D3493)</x:f>
        <x:v>0</x:v>
      </x:c>
      <x:c r="K3493" s="15" t="n">
        <x:f>F3493/'Datos'!$F$7</x:f>
        <x:v>0.0000021904051530865877</x:v>
      </x:c>
      <x:c r="L3493" s="3"/>
    </x:row>
    <x:row r="3494" ht="22" customHeight="1">
      <x:c r="A3494" s="3"/>
      <x:c r="B3494" s="3" t="str">
        <x:v>84551</x:v>
      </x:c>
      <x:c r="C3494" s="3" t="str">
        <x:v>CROCHET DOG KEYRING</x:v>
      </x:c>
      <x:c r="D3494" s="13" t="n">
        <x:v>21.45</x:v>
      </x:c>
      <x:c r="E3494" s="13" t="n">
        <x:v>0</x:v>
      </x:c>
      <x:c r="F3494" s="13" t="n">
        <x:f>D3494-E3494</x:f>
        <x:v>21.45</x:v>
      </x:c>
      <x:c r="G3494" s="3" t="n">
        <x:v>13</x:v>
      </x:c>
      <x:c r="H3494" s="3" t="n">
        <x:v>0</x:v>
      </x:c>
      <x:c r="I3494" s="3" t="n">
        <x:v>2</x:v>
      </x:c>
      <x:c r="J3494" s="15" t="n">
        <x:f>IF(D3494=0,"n.a.",E3494/D3494)</x:f>
        <x:v>0</x:v>
      </x:c>
      <x:c r="K3494" s="15" t="n">
        <x:f>F3494/'Datos'!$F$7</x:f>
        <x:v>0.0000021904051530865877</x:v>
      </x:c>
      <x:c r="L3494" s="3"/>
    </x:row>
    <x:row r="3495" ht="22" customHeight="1">
      <x:c r="A3495" s="3"/>
      <x:c r="B3495" s="3" t="str">
        <x:v>20695</x:v>
      </x:c>
      <x:c r="C3495" s="3" t="str">
        <x:v>FLORAL BLUE MONSTER</x:v>
      </x:c>
      <x:c r="D3495" s="13" t="n">
        <x:v>21.25</x:v>
      </x:c>
      <x:c r="E3495" s="13" t="n">
        <x:v>0</x:v>
      </x:c>
      <x:c r="F3495" s="13" t="n">
        <x:f>D3495-E3495</x:f>
        <x:v>21.25</x:v>
      </x:c>
      <x:c r="G3495" s="3" t="n">
        <x:v>5</x:v>
      </x:c>
      <x:c r="H3495" s="3" t="n">
        <x:v>0</x:v>
      </x:c>
      <x:c r="I3495" s="3" t="n">
        <x:v>4</x:v>
      </x:c>
      <x:c r="J3495" s="15" t="n">
        <x:f>IF(D3495=0,"n.a.",E3495/D3495)</x:f>
        <x:v>0</x:v>
      </x:c>
      <x:c r="K3495" s="15" t="n">
        <x:f>F3495/'Datos'!$F$7</x:f>
        <x:v>0.0000021699817950158502</x:v>
      </x:c>
      <x:c r="L3495" s="3"/>
    </x:row>
    <x:row r="3496" ht="22" customHeight="1">
      <x:c r="A3496" s="3"/>
      <x:c r="B3496" s="3" t="str">
        <x:v>90001B</x:v>
      </x:c>
      <x:c r="C3496" s="3" t="str">
        <x:v>ANTIQUE MID BLUE FLOWER EARRINGS</x:v>
      </x:c>
      <x:c r="D3496" s="13" t="n">
        <x:v>21.15</x:v>
      </x:c>
      <x:c r="E3496" s="13" t="n">
        <x:v>0</x:v>
      </x:c>
      <x:c r="F3496" s="13" t="n">
        <x:f>D3496-E3496</x:f>
        <x:v>21.15</x:v>
      </x:c>
      <x:c r="G3496" s="3" t="n">
        <x:v>5</x:v>
      </x:c>
      <x:c r="H3496" s="3" t="n">
        <x:v>0</x:v>
      </x:c>
      <x:c r="I3496" s="3" t="n">
        <x:v>3</x:v>
      </x:c>
      <x:c r="J3496" s="15" t="n">
        <x:f>IF(D3496=0,"n.a.",E3496/D3496)</x:f>
        <x:v>0</x:v>
      </x:c>
      <x:c r="K3496" s="15" t="n">
        <x:f>F3496/'Datos'!$F$7</x:f>
        <x:v>0.0000021597701159804815</x:v>
      </x:c>
      <x:c r="L3496" s="3"/>
    </x:row>
    <x:row r="3497" ht="22" customHeight="1">
      <x:c r="A3497" s="3"/>
      <x:c r="B3497" s="3" t="str">
        <x:v>90001C</x:v>
      </x:c>
      <x:c r="C3497" s="3" t="str">
        <x:v>ANTIQUE OPAL WHITE FLOWER EARRINGS</x:v>
      </x:c>
      <x:c r="D3497" s="13" t="n">
        <x:v>21.13</x:v>
      </x:c>
      <x:c r="E3497" s="13" t="n">
        <x:v>0</x:v>
      </x:c>
      <x:c r="F3497" s="13" t="n">
        <x:f>D3497-E3497</x:f>
        <x:v>21.13</x:v>
      </x:c>
      <x:c r="G3497" s="3" t="n">
        <x:v>5</x:v>
      </x:c>
      <x:c r="H3497" s="3" t="n">
        <x:v>0</x:v>
      </x:c>
      <x:c r="I3497" s="3" t="n">
        <x:v>5</x:v>
      </x:c>
      <x:c r="J3497" s="15" t="n">
        <x:f>IF(D3497=0,"n.a.",E3497/D3497)</x:f>
        <x:v>0</x:v>
      </x:c>
      <x:c r="K3497" s="15" t="n">
        <x:f>F3497/'Datos'!$F$7</x:f>
        <x:v>0.0000021577277801734076</x:v>
      </x:c>
      <x:c r="L3497" s="3"/>
    </x:row>
    <x:row r="3498" ht="22" customHeight="1">
      <x:c r="A3498" s="3"/>
      <x:c r="B3498" s="3" t="str">
        <x:v>90125E</x:v>
      </x:c>
      <x:c r="C3498" s="3" t="str">
        <x:v>AMBER BERTIE GLASS BEAD BAG CHARM</x:v>
      </x:c>
      <x:c r="D3498" s="13" t="n">
        <x:v>21.05</x:v>
      </x:c>
      <x:c r="E3498" s="13" t="n">
        <x:v>0</x:v>
      </x:c>
      <x:c r="F3498" s="13" t="n">
        <x:f>D3498-E3498</x:f>
        <x:v>21.05</x:v>
      </x:c>
      <x:c r="G3498" s="3" t="n">
        <x:v>11</x:v>
      </x:c>
      <x:c r="H3498" s="3" t="n">
        <x:v>0</x:v>
      </x:c>
      <x:c r="I3498" s="3" t="n">
        <x:v>10</x:v>
      </x:c>
      <x:c r="J3498" s="15" t="n">
        <x:f>IF(D3498=0,"n.a.",E3498/D3498)</x:f>
        <x:v>0</x:v>
      </x:c>
      <x:c r="K3498" s="15" t="n">
        <x:f>F3498/'Datos'!$F$7</x:f>
        <x:v>0.0000021495584369451127</x:v>
      </x:c>
      <x:c r="L3498" s="3"/>
    </x:row>
    <x:row r="3499" ht="22" customHeight="1">
      <x:c r="A3499" s="3"/>
      <x:c r="B3499" s="3" t="str">
        <x:v>16169P</x:v>
      </x:c>
      <x:c r="C3499" s="3" t="str">
        <x:v>WRAP GREEN RUSSIAN FOLKART</x:v>
      </x:c>
      <x:c r="D3499" s="13" t="n">
        <x:v>21</x:v>
      </x:c>
      <x:c r="E3499" s="13" t="n">
        <x:v>0</x:v>
      </x:c>
      <x:c r="F3499" s="13" t="n">
        <x:f>D3499-E3499</x:f>
        <x:v>21</x:v>
      </x:c>
      <x:c r="G3499" s="3" t="n">
        <x:v>50</x:v>
      </x:c>
      <x:c r="H3499" s="3" t="n">
        <x:v>0</x:v>
      </x:c>
      <x:c r="I3499" s="3" t="n">
        <x:v>2</x:v>
      </x:c>
      <x:c r="J3499" s="15" t="n">
        <x:f>IF(D3499=0,"n.a.",E3499/D3499)</x:f>
        <x:v>0</x:v>
      </x:c>
      <x:c r="K3499" s="15" t="n">
        <x:f>F3499/'Datos'!$F$7</x:f>
        <x:v>0.0000021444525974274283</x:v>
      </x:c>
      <x:c r="L3499" s="3"/>
    </x:row>
    <x:row r="3500" ht="22" customHeight="1">
      <x:c r="A3500" s="3"/>
      <x:c r="B3500" s="3" t="str">
        <x:v>23692</x:v>
      </x:c>
      <x:c r="C3500" s="3" t="str">
        <x:v>WRAP A PRETTY THANK YOU</x:v>
      </x:c>
      <x:c r="D3500" s="13" t="n">
        <x:v>21</x:v>
      </x:c>
      <x:c r="E3500" s="13" t="n">
        <x:v>0</x:v>
      </x:c>
      <x:c r="F3500" s="13" t="n">
        <x:f>D3500-E3500</x:f>
        <x:v>21</x:v>
      </x:c>
      <x:c r="G3500" s="3" t="n">
        <x:v>50</x:v>
      </x:c>
      <x:c r="H3500" s="3" t="n">
        <x:v>0</x:v>
      </x:c>
      <x:c r="I3500" s="3" t="n">
        <x:v>2</x:v>
      </x:c>
      <x:c r="J3500" s="15" t="n">
        <x:f>IF(D3500=0,"n.a.",E3500/D3500)</x:f>
        <x:v>0</x:v>
      </x:c>
      <x:c r="K3500" s="15" t="n">
        <x:f>F3500/'Datos'!$F$7</x:f>
        <x:v>0.0000021444525974274283</x:v>
      </x:c>
      <x:c r="L3500" s="3"/>
    </x:row>
    <x:row r="3501" ht="22" customHeight="1">
      <x:c r="A3501" s="3"/>
      <x:c r="B3501" s="3" t="str">
        <x:v>90001A</x:v>
      </x:c>
      <x:c r="C3501" s="3" t="str">
        <x:v>ANTIQUE RASPBERRY FLOWER EARRINGS</x:v>
      </x:c>
      <x:c r="D3501" s="13" t="n">
        <x:v>20.95</x:v>
      </x:c>
      <x:c r="E3501" s="13" t="n">
        <x:v>0</x:v>
      </x:c>
      <x:c r="F3501" s="13" t="n">
        <x:f>D3501-E3501</x:f>
        <x:v>20.95</x:v>
      </x:c>
      <x:c r="G3501" s="3" t="n">
        <x:v>5</x:v>
      </x:c>
      <x:c r="H3501" s="3" t="n">
        <x:v>0</x:v>
      </x:c>
      <x:c r="I3501" s="3" t="n">
        <x:v>4</x:v>
      </x:c>
      <x:c r="J3501" s="15" t="n">
        <x:f>IF(D3501=0,"n.a.",E3501/D3501)</x:f>
        <x:v>0</x:v>
      </x:c>
      <x:c r="K3501" s="15" t="n">
        <x:f>F3501/'Datos'!$F$7</x:f>
        <x:v>0.000002139346757909744</x:v>
      </x:c>
      <x:c r="L3501" s="3"/>
    </x:row>
    <x:row r="3502" ht="22" customHeight="1">
      <x:c r="A3502" s="3"/>
      <x:c r="B3502" s="3" t="str">
        <x:v>17001</x:v>
      </x:c>
      <x:c r="C3502" s="3" t="str">
        <x:v>HEAVENS SCENT FRAGRANCE OILS ASSTD</x:v>
      </x:c>
      <x:c r="D3502" s="13" t="n">
        <x:v>20.88</x:v>
      </x:c>
      <x:c r="E3502" s="13" t="n">
        <x:v>0</x:v>
      </x:c>
      <x:c r="F3502" s="13" t="n">
        <x:f>D3502-E3502</x:f>
        <x:v>20.88</x:v>
      </x:c>
      <x:c r="G3502" s="3" t="n">
        <x:v>72</x:v>
      </x:c>
      <x:c r="H3502" s="3" t="n">
        <x:v>0</x:v>
      </x:c>
      <x:c r="I3502" s="3" t="n">
        <x:v>1</x:v>
      </x:c>
      <x:c r="J3502" s="15" t="n">
        <x:f>IF(D3502=0,"n.a.",E3502/D3502)</x:f>
        <x:v>0</x:v>
      </x:c>
      <x:c r="K3502" s="15" t="n">
        <x:f>F3502/'Datos'!$F$7</x:f>
        <x:v>0.0000021321985825849858</x:v>
      </x:c>
      <x:c r="L3502" s="3"/>
    </x:row>
    <x:row r="3503" ht="22" customHeight="1">
      <x:c r="A3503" s="3"/>
      <x:c r="B3503" s="3" t="str">
        <x:v>85126</x:v>
      </x:c>
      <x:c r="C3503" s="3" t="str">
        <x:v>LARGE ROUND CUTGLASS CANDLESTICK</x:v>
      </x:c>
      <x:c r="D3503" s="13" t="n">
        <x:v>27.14</x:v>
      </x:c>
      <x:c r="E3503" s="13" t="n">
        <x:v>6.75</x:v>
      </x:c>
      <x:c r="F3503" s="13" t="n">
        <x:f>D3503-E3503</x:f>
        <x:v>20.39</x:v>
      </x:c>
      <x:c r="G3503" s="3" t="n">
        <x:v>2</x:v>
      </x:c>
      <x:c r="H3503" s="3" t="n">
        <x:v>1</x:v>
      </x:c>
      <x:c r="I3503" s="3" t="n">
        <x:v>1</x:v>
      </x:c>
      <x:c r="J3503" s="15" t="n">
        <x:f>IF(D3503=0,"n.a.",E3503/D3503)</x:f>
        <x:v>0.24871039056742814</x:v>
      </x:c>
      <x:c r="K3503" s="15" t="n">
        <x:f>F3503/'Datos'!$F$7</x:f>
        <x:v>0.000002082161355311679</x:v>
      </x:c>
      <x:c r="L3503" s="3"/>
    </x:row>
    <x:row r="3504" ht="22" customHeight="1">
      <x:c r="A3504" s="3"/>
      <x:c r="B3504" s="3" t="str">
        <x:v>90141D</x:v>
      </x:c>
      <x:c r="C3504" s="3" t="str">
        <x:v>ROSE PENDANT TRIPLE SHELL NECKLACE</x:v>
      </x:c>
      <x:c r="D3504" s="13" t="n">
        <x:v>20.36</x:v>
      </x:c>
      <x:c r="E3504" s="13" t="n">
        <x:v>0</x:v>
      </x:c>
      <x:c r="F3504" s="13" t="n">
        <x:f>D3504-E3504</x:f>
        <x:v>20.36</x:v>
      </x:c>
      <x:c r="G3504" s="3" t="n">
        <x:v>4</x:v>
      </x:c>
      <x:c r="H3504" s="3" t="n">
        <x:v>0</x:v>
      </x:c>
      <x:c r="I3504" s="3" t="n">
        <x:v>2</x:v>
      </x:c>
      <x:c r="J3504" s="15" t="n">
        <x:f>IF(D3504=0,"n.a.",E3504/D3504)</x:f>
        <x:v>0</x:v>
      </x:c>
      <x:c r="K3504" s="15" t="n">
        <x:f>F3504/'Datos'!$F$7</x:f>
        <x:v>0.0000020790978516010686</x:v>
      </x:c>
      <x:c r="L3504" s="3"/>
    </x:row>
    <x:row r="3505" ht="22" customHeight="1">
      <x:c r="A3505" s="3"/>
      <x:c r="B3505" s="3" t="str">
        <x:v>20793</x:v>
      </x:c>
      <x:c r="C3505" s="3" t="str">
        <x:v>BLUE TILED TRAY</x:v>
      </x:c>
      <x:c r="D3505" s="13" t="n">
        <x:v>54</x:v>
      </x:c>
      <x:c r="E3505" s="13" t="n">
        <x:v>33.75</x:v>
      </x:c>
      <x:c r="F3505" s="13" t="n">
        <x:f>D3505-E3505</x:f>
        <x:v>20.25</x:v>
      </x:c>
      <x:c r="G3505" s="3" t="n">
        <x:v>8</x:v>
      </x:c>
      <x:c r="H3505" s="3" t="n">
        <x:v>5</x:v>
      </x:c>
      <x:c r="I3505" s="3" t="n">
        <x:v>4</x:v>
      </x:c>
      <x:c r="J3505" s="15" t="n">
        <x:f>IF(D3505=0,"n.a.",E3505/D3505)</x:f>
        <x:v>0.625</x:v>
      </x:c>
      <x:c r="K3505" s="15" t="n">
        <x:f>F3505/'Datos'!$F$7</x:f>
        <x:v>0.000002067865004662163</x:v>
      </x:c>
      <x:c r="L3505" s="3"/>
    </x:row>
    <x:row r="3506" ht="22" customHeight="1">
      <x:c r="A3506" s="3"/>
      <x:c r="B3506" s="3" t="str">
        <x:v>90214P</x:v>
      </x:c>
      <x:c r="C3506" s="3" t="str">
        <x:v>LETTER "P" BLING KEY RING</x:v>
      </x:c>
      <x:c r="D3506" s="13" t="n">
        <x:v>20.23</x:v>
      </x:c>
      <x:c r="E3506" s="13" t="n">
        <x:v>0</x:v>
      </x:c>
      <x:c r="F3506" s="13" t="n">
        <x:f>D3506-E3506</x:f>
        <x:v>20.23</x:v>
      </x:c>
      <x:c r="G3506" s="3" t="n">
        <x:v>39</x:v>
      </x:c>
      <x:c r="H3506" s="3" t="n">
        <x:v>0</x:v>
      </x:c>
      <x:c r="I3506" s="3" t="n">
        <x:v>16</x:v>
      </x:c>
      <x:c r="J3506" s="15" t="n">
        <x:f>IF(D3506=0,"n.a.",E3506/D3506)</x:f>
        <x:v>0</x:v>
      </x:c>
      <x:c r="K3506" s="15" t="n">
        <x:f>F3506/'Datos'!$F$7</x:f>
        <x:v>0.0000020658226688550893</x:v>
      </x:c>
      <x:c r="L3506" s="3"/>
    </x:row>
    <x:row r="3507" ht="22" customHeight="1">
      <x:c r="A3507" s="3"/>
      <x:c r="B3507" s="3" t="str">
        <x:v>90034</x:v>
      </x:c>
      <x:c r="C3507" s="3" t="str">
        <x:v>WHITE SILVER NECKLACE SHELL GLASS</x:v>
      </x:c>
      <x:c r="D3507" s="13" t="n">
        <x:v>20.17</x:v>
      </x:c>
      <x:c r="E3507" s="13" t="n">
        <x:v>0</x:v>
      </x:c>
      <x:c r="F3507" s="13" t="n">
        <x:f>D3507-E3507</x:f>
        <x:v>20.17</x:v>
      </x:c>
      <x:c r="G3507" s="3" t="n">
        <x:v>2</x:v>
      </x:c>
      <x:c r="H3507" s="3" t="n">
        <x:v>0</x:v>
      </x:c>
      <x:c r="I3507" s="3" t="n">
        <x:v>2</x:v>
      </x:c>
      <x:c r="J3507" s="15" t="n">
        <x:f>IF(D3507=0,"n.a.",E3507/D3507)</x:f>
        <x:v>0</x:v>
      </x:c>
      <x:c r="K3507" s="15" t="n">
        <x:f>F3507/'Datos'!$F$7</x:f>
        <x:v>0.0000020596956614338683</x:v>
      </x:c>
      <x:c r="L3507" s="3"/>
    </x:row>
    <x:row r="3508" ht="22" customHeight="1">
      <x:c r="A3508" s="3"/>
      <x:c r="B3508" s="3" t="str">
        <x:v>84415B</x:v>
      </x:c>
      <x:c r="C3508" s="3" t="str">
        <x:v>BLUE FLOCK CUSHION COVER</x:v>
      </x:c>
      <x:c r="D3508" s="13" t="n">
        <x:v>20</x:v>
      </x:c>
      <x:c r="E3508" s="13" t="n">
        <x:v>0</x:v>
      </x:c>
      <x:c r="F3508" s="13" t="n">
        <x:f>D3508-E3508</x:f>
        <x:v>20</x:v>
      </x:c>
      <x:c r="G3508" s="3" t="n">
        <x:v>8</x:v>
      </x:c>
      <x:c r="H3508" s="3" t="n">
        <x:v>0</x:v>
      </x:c>
      <x:c r="I3508" s="3" t="n">
        <x:v>3</x:v>
      </x:c>
      <x:c r="J3508" s="15" t="n">
        <x:f>IF(D3508=0,"n.a.",E3508/D3508)</x:f>
        <x:v>0</x:v>
      </x:c>
      <x:c r="K3508" s="15" t="n">
        <x:f>F3508/'Datos'!$F$7</x:f>
        <x:v>0.0000020423358070737413</x:v>
      </x:c>
      <x:c r="L3508" s="3"/>
    </x:row>
    <x:row r="3509" ht="22" customHeight="1">
      <x:c r="A3509" s="3"/>
      <x:c r="B3509" s="3" t="str">
        <x:v>23601</x:v>
      </x:c>
      <x:c r="C3509" s="3" t="str">
        <x:v>SET 10 CARDS SNOWY SNOWDROPS 17100</x:v>
      </x:c>
      <x:c r="D3509" s="13" t="n">
        <x:v>19.92</x:v>
      </x:c>
      <x:c r="E3509" s="13" t="n">
        <x:v>0</x:v>
      </x:c>
      <x:c r="F3509" s="13" t="n">
        <x:f>D3509-E3509</x:f>
        <x:v>19.92</x:v>
      </x:c>
      <x:c r="G3509" s="3" t="n">
        <x:v>8</x:v>
      </x:c>
      <x:c r="H3509" s="3" t="n">
        <x:v>0</x:v>
      </x:c>
      <x:c r="I3509" s="3" t="n">
        <x:v>4</x:v>
      </x:c>
      <x:c r="J3509" s="15" t="n">
        <x:f>IF(D3509=0,"n.a.",E3509/D3509)</x:f>
        <x:v>0</x:v>
      </x:c>
      <x:c r="K3509" s="15" t="n">
        <x:f>F3509/'Datos'!$F$7</x:f>
        <x:v>0.0000020341664638454464</x:v>
      </x:c>
      <x:c r="L3509" s="3"/>
    </x:row>
    <x:row r="3510" ht="22" customHeight="1">
      <x:c r="A3510" s="3"/>
      <x:c r="B3510" s="3" t="str">
        <x:v>23616</x:v>
      </x:c>
      <x:c r="C3510" s="3" t="str">
        <x:v>SET 10 CARDS JINGLE BELLS 17217</x:v>
      </x:c>
      <x:c r="D3510" s="13" t="n">
        <x:v>19.92</x:v>
      </x:c>
      <x:c r="E3510" s="13" t="n">
        <x:v>0</x:v>
      </x:c>
      <x:c r="F3510" s="13" t="n">
        <x:f>D3510-E3510</x:f>
        <x:v>19.92</x:v>
      </x:c>
      <x:c r="G3510" s="3" t="n">
        <x:v>8</x:v>
      </x:c>
      <x:c r="H3510" s="3" t="n">
        <x:v>0</x:v>
      </x:c>
      <x:c r="I3510" s="3" t="n">
        <x:v>7</x:v>
      </x:c>
      <x:c r="J3510" s="15" t="n">
        <x:f>IF(D3510=0,"n.a.",E3510/D3510)</x:f>
        <x:v>0</x:v>
      </x:c>
      <x:c r="K3510" s="15" t="n">
        <x:f>F3510/'Datos'!$F$7</x:f>
        <x:v>0.0000020341664638454464</x:v>
      </x:c>
      <x:c r="L3510" s="3"/>
    </x:row>
    <x:row r="3511" ht="22" customHeight="1">
      <x:c r="A3511" s="3"/>
      <x:c r="B3511" s="3" t="str">
        <x:v>23646</x:v>
      </x:c>
      <x:c r="C3511" s="3" t="str">
        <x:v>SET 10 CARDS JINGLE BELLS 16957</x:v>
      </x:c>
      <x:c r="D3511" s="13" t="n">
        <x:v>19.92</x:v>
      </x:c>
      <x:c r="E3511" s="13" t="n">
        <x:v>0</x:v>
      </x:c>
      <x:c r="F3511" s="13" t="n">
        <x:f>D3511-E3511</x:f>
        <x:v>19.92</x:v>
      </x:c>
      <x:c r="G3511" s="3" t="n">
        <x:v>8</x:v>
      </x:c>
      <x:c r="H3511" s="3" t="n">
        <x:v>0</x:v>
      </x:c>
      <x:c r="I3511" s="3" t="n">
        <x:v>5</x:v>
      </x:c>
      <x:c r="J3511" s="15" t="n">
        <x:f>IF(D3511=0,"n.a.",E3511/D3511)</x:f>
        <x:v>0</x:v>
      </x:c>
      <x:c r="K3511" s="15" t="n">
        <x:f>F3511/'Datos'!$F$7</x:f>
        <x:v>0.0000020341664638454464</x:v>
      </x:c>
      <x:c r="L3511" s="3"/>
    </x:row>
    <x:row r="3512" ht="22" customHeight="1">
      <x:c r="A3512" s="3"/>
      <x:c r="B3512" s="3" t="str">
        <x:v>21681</x:v>
      </x:c>
      <x:c r="C3512" s="3" t="str">
        <x:v>GIANT MEDINA STAMPED METAL BOWL</x:v>
      </x:c>
      <x:c r="D3512" s="13" t="n">
        <x:v>19.9</x:v>
      </x:c>
      <x:c r="E3512" s="13" t="n">
        <x:v>0</x:v>
      </x:c>
      <x:c r="F3512" s="13" t="n">
        <x:f>D3512-E3512</x:f>
        <x:v>19.9</x:v>
      </x:c>
      <x:c r="G3512" s="3" t="n">
        <x:v>2</x:v>
      </x:c>
      <x:c r="H3512" s="3" t="n">
        <x:v>0</x:v>
      </x:c>
      <x:c r="I3512" s="3" t="n">
        <x:v>2</x:v>
      </x:c>
      <x:c r="J3512" s="15" t="n">
        <x:f>IF(D3512=0,"n.a.",E3512/D3512)</x:f>
        <x:v>0</x:v>
      </x:c>
      <x:c r="K3512" s="15" t="n">
        <x:f>F3512/'Datos'!$F$7</x:f>
        <x:v>0.0000020321241280383726</x:v>
      </x:c>
      <x:c r="L3512" s="3"/>
    </x:row>
    <x:row r="3513" ht="22" customHeight="1">
      <x:c r="A3513" s="3"/>
      <x:c r="B3513" s="3" t="str">
        <x:v>35817P</x:v>
      </x:c>
      <x:c r="C3513" s="3" t="str">
        <x:v>ACRYLIC JEWEL SNOWFLAKE,PINK</x:v>
      </x:c>
      <x:c r="D3513" s="13" t="n">
        <x:v>19.86</x:v>
      </x:c>
      <x:c r="E3513" s="13" t="n">
        <x:v>0</x:v>
      </x:c>
      <x:c r="F3513" s="13" t="n">
        <x:f>D3513-E3513</x:f>
        <x:v>19.86</x:v>
      </x:c>
      <x:c r="G3513" s="3" t="n">
        <x:v>18</x:v>
      </x:c>
      <x:c r="H3513" s="3" t="n">
        <x:v>0</x:v>
      </x:c>
      <x:c r="I3513" s="3" t="n">
        <x:v>2</x:v>
      </x:c>
      <x:c r="J3513" s="15" t="n">
        <x:f>IF(D3513=0,"n.a.",E3513/D3513)</x:f>
        <x:v>0</x:v>
      </x:c>
      <x:c r="K3513" s="15" t="n">
        <x:f>F3513/'Datos'!$F$7</x:f>
        <x:v>0.000002028039456424225</x:v>
      </x:c>
      <x:c r="L3513" s="3"/>
    </x:row>
    <x:row r="3514" ht="22" customHeight="1">
      <x:c r="A3514" s="3"/>
      <x:c r="B3514" s="3" t="str">
        <x:v>37491A</x:v>
      </x:c>
      <x:c r="C3514" s="3" t="str">
        <x:v>YELLOW/PINK CERAMIC CANDLE HOLDER</x:v>
      </x:c>
      <x:c r="D3514" s="13" t="n">
        <x:v>19.81</x:v>
      </x:c>
      <x:c r="E3514" s="13" t="n">
        <x:v>0</x:v>
      </x:c>
      <x:c r="F3514" s="13" t="n">
        <x:f>D3514-E3514</x:f>
        <x:v>19.81</x:v>
      </x:c>
      <x:c r="G3514" s="3" t="n">
        <x:v>6</x:v>
      </x:c>
      <x:c r="H3514" s="3" t="n">
        <x:v>0</x:v>
      </x:c>
      <x:c r="I3514" s="3" t="n">
        <x:v>4</x:v>
      </x:c>
      <x:c r="J3514" s="15" t="n">
        <x:f>IF(D3514=0,"n.a.",E3514/D3514)</x:f>
        <x:v>0</x:v>
      </x:c>
      <x:c r="K3514" s="15" t="n">
        <x:f>F3514/'Datos'!$F$7</x:f>
        <x:v>0.0000020229336169065405</x:v>
      </x:c>
      <x:c r="L3514" s="3"/>
    </x:row>
    <x:row r="3515" ht="22" customHeight="1">
      <x:c r="A3515" s="3"/>
      <x:c r="B3515" s="3" t="str">
        <x:v>90156</x:v>
      </x:c>
      <x:c r="C3515" s="3" t="str">
        <x:v>RESIN BRACELET W PASTEL BEADS</x:v>
      </x:c>
      <x:c r="D3515" s="13" t="n">
        <x:v>19.8</x:v>
      </x:c>
      <x:c r="E3515" s="13" t="n">
        <x:v>0</x:v>
      </x:c>
      <x:c r="F3515" s="13" t="n">
        <x:f>D3515-E3515</x:f>
        <x:v>19.8</x:v>
      </x:c>
      <x:c r="G3515" s="3" t="n">
        <x:v>4</x:v>
      </x:c>
      <x:c r="H3515" s="3" t="n">
        <x:v>0</x:v>
      </x:c>
      <x:c r="I3515" s="3" t="n">
        <x:v>3</x:v>
      </x:c>
      <x:c r="J3515" s="15" t="n">
        <x:f>IF(D3515=0,"n.a.",E3515/D3515)</x:f>
        <x:v>0</x:v>
      </x:c>
      <x:c r="K3515" s="15" t="n">
        <x:f>F3515/'Datos'!$F$7</x:f>
        <x:v>0.000002021912449003004</x:v>
      </x:c>
      <x:c r="L3515" s="3"/>
    </x:row>
    <x:row r="3516" ht="22" customHeight="1">
      <x:c r="A3516" s="3"/>
      <x:c r="B3516" s="3" t="str">
        <x:v>37487B</x:v>
      </x:c>
      <x:c r="C3516" s="3" t="str">
        <x:v>YELLOW/ORANGE FLOWER DESIGN PLATE</x:v>
      </x:c>
      <x:c r="D3516" s="13" t="n">
        <x:v>19.72</x:v>
      </x:c>
      <x:c r="E3516" s="13" t="n">
        <x:v>0</x:v>
      </x:c>
      <x:c r="F3516" s="13" t="n">
        <x:f>D3516-E3516</x:f>
        <x:v>19.72</x:v>
      </x:c>
      <x:c r="G3516" s="3" t="n">
        <x:v>68</x:v>
      </x:c>
      <x:c r="H3516" s="3" t="n">
        <x:v>0</x:v>
      </x:c>
      <x:c r="I3516" s="3" t="n">
        <x:v>2</x:v>
      </x:c>
      <x:c r="J3516" s="15" t="n">
        <x:f>IF(D3516=0,"n.a.",E3516/D3516)</x:f>
        <x:v>0</x:v>
      </x:c>
      <x:c r="K3516" s="15" t="n">
        <x:f>F3516/'Datos'!$F$7</x:f>
        <x:v>0.000002013743105774709</x:v>
      </x:c>
      <x:c r="L3516" s="3"/>
    </x:row>
    <x:row r="3517" ht="22" customHeight="1">
      <x:c r="A3517" s="3"/>
      <x:c r="B3517" s="3" t="str">
        <x:v>85028L</x:v>
      </x:c>
      <x:c r="C3517" s="3" t="str">
        <x:v>FRENCH CHATEAU LARGE FRUIT BOWL</x:v>
      </x:c>
      <x:c r="D3517" s="13" t="n">
        <x:v>19.5</x:v>
      </x:c>
      <x:c r="E3517" s="13" t="n">
        <x:v>0</x:v>
      </x:c>
      <x:c r="F3517" s="13" t="n">
        <x:f>D3517-E3517</x:f>
        <x:v>19.5</x:v>
      </x:c>
      <x:c r="G3517" s="3" t="n">
        <x:v>10</x:v>
      </x:c>
      <x:c r="H3517" s="3" t="n">
        <x:v>0</x:v>
      </x:c>
      <x:c r="I3517" s="3" t="n">
        <x:v>4</x:v>
      </x:c>
      <x:c r="J3517" s="15" t="n">
        <x:f>IF(D3517=0,"n.a.",E3517/D3517)</x:f>
        <x:v>0</x:v>
      </x:c>
      <x:c r="K3517" s="15" t="n">
        <x:f>F3517/'Datos'!$F$7</x:f>
        <x:v>0.000001991277411896898</x:v>
      </x:c>
      <x:c r="L3517" s="3"/>
    </x:row>
    <x:row r="3518" ht="22" customHeight="1">
      <x:c r="A3518" s="3"/>
      <x:c r="B3518" s="3" t="str">
        <x:v>79062D</x:v>
      </x:c>
      <x:c r="C3518" s="3" t="str">
        <x:v>RETRO TIN ASHTRAY,REVOLUTIONARY</x:v>
      </x:c>
      <x:c r="D3518" s="13" t="n">
        <x:v>19.4</x:v>
      </x:c>
      <x:c r="E3518" s="13" t="n">
        <x:v>0</x:v>
      </x:c>
      <x:c r="F3518" s="13" t="n">
        <x:f>D3518-E3518</x:f>
        <x:v>19.4</x:v>
      </x:c>
      <x:c r="G3518" s="3" t="n">
        <x:v>52</x:v>
      </x:c>
      <x:c r="H3518" s="3" t="n">
        <x:v>0</x:v>
      </x:c>
      <x:c r="I3518" s="3" t="n">
        <x:v>4</x:v>
      </x:c>
      <x:c r="J3518" s="15" t="n">
        <x:f>IF(D3518=0,"n.a.",E3518/D3518)</x:f>
        <x:v>0</x:v>
      </x:c>
      <x:c r="K3518" s="15" t="n">
        <x:f>F3518/'Datos'!$F$7</x:f>
        <x:v>0.000001981065732861529</x:v>
      </x:c>
      <x:c r="L3518" s="3"/>
    </x:row>
    <x:row r="3519" ht="22" customHeight="1">
      <x:c r="A3519" s="3"/>
      <x:c r="B3519" s="3" t="str">
        <x:v>21416</x:v>
      </x:c>
      <x:c r="C3519" s="3" t="str">
        <x:v>CLAM SHELL LARGE</x:v>
      </x:c>
      <x:c r="D3519" s="13" t="n">
        <x:v>18.75</x:v>
      </x:c>
      <x:c r="E3519" s="13" t="n">
        <x:v>0</x:v>
      </x:c>
      <x:c r="F3519" s="13" t="n">
        <x:f>D3519-E3519</x:f>
        <x:v>18.75</x:v>
      </x:c>
      <x:c r="G3519" s="3" t="n">
        <x:v>5</x:v>
      </x:c>
      <x:c r="H3519" s="3" t="n">
        <x:v>0</x:v>
      </x:c>
      <x:c r="I3519" s="3" t="n">
        <x:v>4</x:v>
      </x:c>
      <x:c r="J3519" s="15" t="n">
        <x:f>IF(D3519=0,"n.a.",E3519/D3519)</x:f>
        <x:v>0</x:v>
      </x:c>
      <x:c r="K3519" s="15" t="n">
        <x:f>F3519/'Datos'!$F$7</x:f>
        <x:v>0.0000019146898191316324</x:v>
      </x:c>
      <x:c r="L3519" s="3"/>
    </x:row>
    <x:row r="3520" ht="22" customHeight="1">
      <x:c r="A3520" s="3"/>
      <x:c r="B3520" s="3" t="str">
        <x:v>21538</x:v>
      </x:c>
      <x:c r="C3520" s="3" t="str">
        <x:v>DAIRY MAID PUDDING BOWL</x:v>
      </x:c>
      <x:c r="D3520" s="13" t="n">
        <x:v>18.75</x:v>
      </x:c>
      <x:c r="E3520" s="13" t="n">
        <x:v>0</x:v>
      </x:c>
      <x:c r="F3520" s="13" t="n">
        <x:f>D3520-E3520</x:f>
        <x:v>18.75</x:v>
      </x:c>
      <x:c r="G3520" s="3" t="n">
        <x:v>5</x:v>
      </x:c>
      <x:c r="H3520" s="3" t="n">
        <x:v>0</x:v>
      </x:c>
      <x:c r="I3520" s="3" t="n">
        <x:v>2</x:v>
      </x:c>
      <x:c r="J3520" s="15" t="n">
        <x:f>IF(D3520=0,"n.a.",E3520/D3520)</x:f>
        <x:v>0</x:v>
      </x:c>
      <x:c r="K3520" s="15" t="n">
        <x:f>F3520/'Datos'!$F$7</x:f>
        <x:v>0.0000019146898191316324</x:v>
      </x:c>
      <x:c r="L3520" s="3"/>
    </x:row>
    <x:row r="3521" ht="22" customHeight="1">
      <x:c r="A3521" s="3"/>
      <x:c r="B3521" s="3" t="str">
        <x:v>44092C</x:v>
      </x:c>
      <x:c r="C3521" s="3" t="str">
        <x:v>PURPLE/COPPER HANGING LAMPSHADE</x:v>
      </x:c>
      <x:c r="D3521" s="13" t="n">
        <x:v>18.7</x:v>
      </x:c>
      <x:c r="E3521" s="13" t="n">
        <x:v>0</x:v>
      </x:c>
      <x:c r="F3521" s="13" t="n">
        <x:f>D3521-E3521</x:f>
        <x:v>18.7</x:v>
      </x:c>
      <x:c r="G3521" s="3" t="n">
        <x:v>22</x:v>
      </x:c>
      <x:c r="H3521" s="3" t="n">
        <x:v>0</x:v>
      </x:c>
      <x:c r="I3521" s="3" t="n">
        <x:v>8</x:v>
      </x:c>
      <x:c r="J3521" s="15" t="n">
        <x:f>IF(D3521=0,"n.a.",E3521/D3521)</x:f>
        <x:v>0</x:v>
      </x:c>
      <x:c r="K3521" s="15" t="n">
        <x:f>F3521/'Datos'!$F$7</x:f>
        <x:v>0.000001909583979613948</x:v>
      </x:c>
      <x:c r="L3521" s="3"/>
    </x:row>
    <x:row r="3522" ht="22" customHeight="1">
      <x:c r="A3522" s="3"/>
      <x:c r="B3522" s="3" t="str">
        <x:v>90041</x:v>
      </x:c>
      <x:c r="C3522" s="3" t="str">
        <x:v>PEARL AND CHERRY QUARTZ BRACLET</x:v>
      </x:c>
      <x:c r="D3522" s="13" t="n">
        <x:v>18.27</x:v>
      </x:c>
      <x:c r="E3522" s="13" t="n">
        <x:v>0</x:v>
      </x:c>
      <x:c r="F3522" s="13" t="n">
        <x:f>D3522-E3522</x:f>
        <x:v>18.27</x:v>
      </x:c>
      <x:c r="G3522" s="3" t="n">
        <x:v>5</x:v>
      </x:c>
      <x:c r="H3522" s="3" t="n">
        <x:v>0</x:v>
      </x:c>
      <x:c r="I3522" s="3" t="n">
        <x:v>4</x:v>
      </x:c>
      <x:c r="J3522" s="15" t="n">
        <x:f>IF(D3522=0,"n.a.",E3522/D3522)</x:f>
        <x:v>0</x:v>
      </x:c>
      <x:c r="K3522" s="15" t="n">
        <x:f>F3522/'Datos'!$F$7</x:f>
        <x:v>0.0000018656737597618627</x:v>
      </x:c>
      <x:c r="L3522" s="3"/>
    </x:row>
    <x:row r="3523" ht="22" customHeight="1">
      <x:c r="A3523" s="3"/>
      <x:c r="B3523" s="3" t="str">
        <x:v>35607B</x:v>
      </x:c>
      <x:c r="C3523" s="3" t="str">
        <x:v>BLACK FEATHER CHRISTMAS DECORATION</x:v>
      </x:c>
      <x:c r="D3523" s="13" t="n">
        <x:v>18.24</x:v>
      </x:c>
      <x:c r="E3523" s="13" t="n">
        <x:v>0</x:v>
      </x:c>
      <x:c r="F3523" s="13" t="n">
        <x:f>D3523-E3523</x:f>
        <x:v>18.24</x:v>
      </x:c>
      <x:c r="G3523" s="3" t="n">
        <x:v>96</x:v>
      </x:c>
      <x:c r="H3523" s="3" t="n">
        <x:v>0</x:v>
      </x:c>
      <x:c r="I3523" s="3" t="n">
        <x:v>7</x:v>
      </x:c>
      <x:c r="J3523" s="15" t="n">
        <x:f>IF(D3523=0,"n.a.",E3523/D3523)</x:f>
        <x:v>0</x:v>
      </x:c>
      <x:c r="K3523" s="15" t="n">
        <x:f>F3523/'Datos'!$F$7</x:f>
        <x:v>0.000001862610256051252</x:v>
      </x:c>
      <x:c r="L3523" s="3"/>
    </x:row>
    <x:row r="3524" ht="22" customHeight="1">
      <x:c r="A3524" s="3"/>
      <x:c r="B3524" s="3" t="str">
        <x:v>72821</x:v>
      </x:c>
      <x:c r="C3524" s="3" t="str">
        <x:v>CUPID SCENTED CANDLE IN GLASS</x:v>
      </x:c>
      <x:c r="D3524" s="13" t="n">
        <x:v>18.15</x:v>
      </x:c>
      <x:c r="E3524" s="13" t="n">
        <x:v>0</x:v>
      </x:c>
      <x:c r="F3524" s="13" t="n">
        <x:f>D3524-E3524</x:f>
        <x:v>18.15</x:v>
      </x:c>
      <x:c r="G3524" s="3" t="n">
        <x:v>11</x:v>
      </x:c>
      <x:c r="H3524" s="3" t="n">
        <x:v>0</x:v>
      </x:c>
      <x:c r="I3524" s="3" t="n">
        <x:v>4</x:v>
      </x:c>
      <x:c r="J3524" s="15" t="n">
        <x:f>IF(D3524=0,"n.a.",E3524/D3524)</x:f>
        <x:v>0</x:v>
      </x:c>
      <x:c r="K3524" s="15" t="n">
        <x:f>F3524/'Datos'!$F$7</x:f>
        <x:v>0.0000018534197449194201</x:v>
      </x:c>
      <x:c r="L3524" s="3"/>
    </x:row>
    <x:row r="3525" ht="22" customHeight="1">
      <x:c r="A3525" s="3"/>
      <x:c r="B3525" s="3" t="str">
        <x:v>85024C</x:v>
      </x:c>
      <x:c r="C3525" s="3" t="str">
        <x:v>PINK SMALL JEWELLED PHOTOFRAME</x:v>
      </x:c>
      <x:c r="D3525" s="13" t="n">
        <x:v>19.8</x:v>
      </x:c>
      <x:c r="E3525" s="13" t="n">
        <x:v>1.65</x:v>
      </x:c>
      <x:c r="F3525" s="13" t="n">
        <x:f>D3525-E3525</x:f>
        <x:v>18.150000000000002</x:v>
      </x:c>
      <x:c r="G3525" s="3" t="n">
        <x:v>12</x:v>
      </x:c>
      <x:c r="H3525" s="3" t="n">
        <x:v>1</x:v>
      </x:c>
      <x:c r="I3525" s="3" t="n">
        <x:v>9</x:v>
      </x:c>
      <x:c r="J3525" s="15" t="n">
        <x:f>IF(D3525=0,"n.a.",E3525/D3525)</x:f>
        <x:v>0.08333333333333333</x:v>
      </x:c>
      <x:c r="K3525" s="15" t="n">
        <x:f>F3525/'Datos'!$F$7</x:f>
        <x:v>0.0000018534197449194205</x:v>
      </x:c>
      <x:c r="L3525" s="3"/>
    </x:row>
    <x:row r="3526" ht="22" customHeight="1">
      <x:c r="A3526" s="3"/>
      <x:c r="B3526" s="3" t="str">
        <x:v>21661</x:v>
      </x:c>
      <x:c r="C3526" s="3" t="str">
        <x:v>VINTAGE GLASS TEA CADDY</x:v>
      </x:c>
      <x:c r="D3526" s="13" t="n">
        <x:v>17.85</x:v>
      </x:c>
      <x:c r="E3526" s="13" t="n">
        <x:v>0</x:v>
      </x:c>
      <x:c r="F3526" s="13" t="n">
        <x:f>D3526-E3526</x:f>
        <x:v>17.85</x:v>
      </x:c>
      <x:c r="G3526" s="3" t="n">
        <x:v>3</x:v>
      </x:c>
      <x:c r="H3526" s="3" t="n">
        <x:v>0</x:v>
      </x:c>
      <x:c r="I3526" s="3" t="n">
        <x:v>3</x:v>
      </x:c>
      <x:c r="J3526" s="15" t="n">
        <x:f>IF(D3526=0,"n.a.",E3526/D3526)</x:f>
        <x:v>0</x:v>
      </x:c>
      <x:c r="K3526" s="15" t="n">
        <x:f>F3526/'Datos'!$F$7</x:f>
        <x:v>0.0000018227847078133143</x:v>
      </x:c>
      <x:c r="L3526" s="3"/>
    </x:row>
    <x:row r="3527" ht="22" customHeight="1">
      <x:c r="A3527" s="3"/>
      <x:c r="B3527" s="3" t="str">
        <x:v>84798B</x:v>
      </x:c>
      <x:c r="C3527" s="3" t="str">
        <x:v>PURPLE FOXGLOVE ARTIIFCIAL FLOWER</x:v>
      </x:c>
      <x:c r="D3527" s="13" t="n">
        <x:v>28.05</x:v>
      </x:c>
      <x:c r="E3527" s="13" t="n">
        <x:v>10.2</x:v>
      </x:c>
      <x:c r="F3527" s="13" t="n">
        <x:f>D3527-E3527</x:f>
        <x:v>17.85</x:v>
      </x:c>
      <x:c r="G3527" s="3" t="n">
        <x:v>11</x:v>
      </x:c>
      <x:c r="H3527" s="3" t="n">
        <x:v>4</x:v>
      </x:c>
      <x:c r="I3527" s="3" t="n">
        <x:v>3</x:v>
      </x:c>
      <x:c r="J3527" s="15" t="n">
        <x:f>IF(D3527=0,"n.a.",E3527/D3527)</x:f>
        <x:v>0.3636363636363636</x:v>
      </x:c>
      <x:c r="K3527" s="15" t="n">
        <x:f>F3527/'Datos'!$F$7</x:f>
        <x:v>0.0000018227847078133143</x:v>
      </x:c>
      <x:c r="L3527" s="3"/>
    </x:row>
    <x:row r="3528" ht="22" customHeight="1">
      <x:c r="A3528" s="3"/>
      <x:c r="B3528" s="3" t="str">
        <x:v>90060D</x:v>
      </x:c>
      <x:c r="C3528" s="3" t="str">
        <x:v>FIRE POLISHED GLASS NECKL BRONZE</x:v>
      </x:c>
      <x:c r="D3528" s="13" t="n">
        <x:v>17.85</x:v>
      </x:c>
      <x:c r="E3528" s="13" t="n">
        <x:v>0</x:v>
      </x:c>
      <x:c r="F3528" s="13" t="n">
        <x:f>D3528-E3528</x:f>
        <x:v>17.85</x:v>
      </x:c>
      <x:c r="G3528" s="3" t="n">
        <x:v>3</x:v>
      </x:c>
      <x:c r="H3528" s="3" t="n">
        <x:v>0</x:v>
      </x:c>
      <x:c r="I3528" s="3" t="n">
        <x:v>3</x:v>
      </x:c>
      <x:c r="J3528" s="15" t="n">
        <x:f>IF(D3528=0,"n.a.",E3528/D3528)</x:f>
        <x:v>0</x:v>
      </x:c>
      <x:c r="K3528" s="15" t="n">
        <x:f>F3528/'Datos'!$F$7</x:f>
        <x:v>0.0000018227847078133143</x:v>
      </x:c>
      <x:c r="L3528" s="3"/>
    </x:row>
    <x:row r="3529" ht="22" customHeight="1">
      <x:c r="A3529" s="3"/>
      <x:c r="B3529" s="3" t="str">
        <x:v>84856L</x:v>
      </x:c>
      <x:c r="C3529" s="3" t="str">
        <x:v>LARGE TAHITI BEACH BAG</x:v>
      </x:c>
      <x:c r="D3529" s="13" t="n">
        <x:v>17.82</x:v>
      </x:c>
      <x:c r="E3529" s="13" t="n">
        <x:v>0</x:v>
      </x:c>
      <x:c r="F3529" s="13" t="n">
        <x:f>D3529-E3529</x:f>
        <x:v>17.82</x:v>
      </x:c>
      <x:c r="G3529" s="3" t="n">
        <x:v>2</x:v>
      </x:c>
      <x:c r="H3529" s="3" t="n">
        <x:v>0</x:v>
      </x:c>
      <x:c r="I3529" s="3" t="n">
        <x:v>2</x:v>
      </x:c>
      <x:c r="J3529" s="15" t="n">
        <x:f>IF(D3529=0,"n.a.",E3529/D3529)</x:f>
        <x:v>0</x:v>
      </x:c>
      <x:c r="K3529" s="15" t="n">
        <x:f>F3529/'Datos'!$F$7</x:f>
        <x:v>0.0000018197212041027036</x:v>
      </x:c>
      <x:c r="L3529" s="3"/>
    </x:row>
    <x:row r="3530" ht="22" customHeight="1">
      <x:c r="A3530" s="3"/>
      <x:c r="B3530" s="3" t="str">
        <x:v>20935</x:v>
      </x:c>
      <x:c r="C3530" s="3" t="str">
        <x:v>ROUND CACTUS CANDLE</x:v>
      </x:c>
      <x:c r="D3530" s="13" t="n">
        <x:v>17.7</x:v>
      </x:c>
      <x:c r="E3530" s="13" t="n">
        <x:v>0</x:v>
      </x:c>
      <x:c r="F3530" s="13" t="n">
        <x:f>D3530-E3530</x:f>
        <x:v>17.7</x:v>
      </x:c>
      <x:c r="G3530" s="3" t="n">
        <x:v>6</x:v>
      </x:c>
      <x:c r="H3530" s="3" t="n">
        <x:v>0</x:v>
      </x:c>
      <x:c r="I3530" s="3" t="n">
        <x:v>4</x:v>
      </x:c>
      <x:c r="J3530" s="15" t="n">
        <x:f>IF(D3530=0,"n.a.",E3530/D3530)</x:f>
        <x:v>0</x:v>
      </x:c>
      <x:c r="K3530" s="15" t="n">
        <x:f>F3530/'Datos'!$F$7</x:f>
        <x:v>0.000001807467189260261</x:v>
      </x:c>
      <x:c r="L3530" s="3"/>
    </x:row>
    <x:row r="3531" ht="22" customHeight="1">
      <x:c r="A3531" s="3"/>
      <x:c r="B3531" s="3" t="str">
        <x:v>90162A</x:v>
      </x:c>
      <x:c r="C3531" s="3" t="str">
        <x:v>ANT SILVER TURQUOISE BOUDICCA RING</x:v>
      </x:c>
      <x:c r="D3531" s="13" t="n">
        <x:v>17.7</x:v>
      </x:c>
      <x:c r="E3531" s="13" t="n">
        <x:v>0</x:v>
      </x:c>
      <x:c r="F3531" s="13" t="n">
        <x:f>D3531-E3531</x:f>
        <x:v>17.7</x:v>
      </x:c>
      <x:c r="G3531" s="3" t="n">
        <x:v>6</x:v>
      </x:c>
      <x:c r="H3531" s="3" t="n">
        <x:v>0</x:v>
      </x:c>
      <x:c r="I3531" s="3" t="n">
        <x:v>1</x:v>
      </x:c>
      <x:c r="J3531" s="15" t="n">
        <x:f>IF(D3531=0,"n.a.",E3531/D3531)</x:f>
        <x:v>0</x:v>
      </x:c>
      <x:c r="K3531" s="15" t="n">
        <x:f>F3531/'Datos'!$F$7</x:f>
        <x:v>0.000001807467189260261</x:v>
      </x:c>
      <x:c r="L3531" s="3"/>
    </x:row>
    <x:row r="3532" ht="22" customHeight="1">
      <x:c r="A3532" s="3"/>
      <x:c r="B3532" s="3" t="str">
        <x:v>90027A</x:v>
      </x:c>
      <x:c r="C3532" s="3" t="str">
        <x:v>GLASS BEAD HOOP EARRINGS BLACK</x:v>
      </x:c>
      <x:c r="D3532" s="13" t="n">
        <x:v>17.66</x:v>
      </x:c>
      <x:c r="E3532" s="13" t="n">
        <x:v>0</x:v>
      </x:c>
      <x:c r="F3532" s="13" t="n">
        <x:f>D3532-E3532</x:f>
        <x:v>17.66</x:v>
      </x:c>
      <x:c r="G3532" s="3" t="n">
        <x:v>6</x:v>
      </x:c>
      <x:c r="H3532" s="3" t="n">
        <x:v>0</x:v>
      </x:c>
      <x:c r="I3532" s="3" t="n">
        <x:v>3</x:v>
      </x:c>
      <x:c r="J3532" s="15" t="n">
        <x:f>IF(D3532=0,"n.a.",E3532/D3532)</x:f>
        <x:v>0</x:v>
      </x:c>
      <x:c r="K3532" s="15" t="n">
        <x:f>F3532/'Datos'!$F$7</x:f>
        <x:v>0.0000018033825176461135</x:v>
      </x:c>
      <x:c r="L3532" s="3"/>
    </x:row>
    <x:row r="3533" ht="22" customHeight="1">
      <x:c r="A3533" s="3"/>
      <x:c r="B3533" s="3" t="str">
        <x:v>90179B</x:v>
      </x:c>
      <x:c r="C3533" s="3" t="str">
        <x:v>PURPLE FINE BEAD NECKLACE W TASSEL</x:v>
      </x:c>
      <x:c r="D3533" s="13" t="n">
        <x:v>17.59</x:v>
      </x:c>
      <x:c r="E3533" s="13" t="n">
        <x:v>0</x:v>
      </x:c>
      <x:c r="F3533" s="13" t="n">
        <x:f>D3533-E3533</x:f>
        <x:v>17.59</x:v>
      </x:c>
      <x:c r="G3533" s="3" t="n">
        <x:v>3</x:v>
      </x:c>
      <x:c r="H3533" s="3" t="n">
        <x:v>0</x:v>
      </x:c>
      <x:c r="I3533" s="3" t="n">
        <x:v>3</x:v>
      </x:c>
      <x:c r="J3533" s="15" t="n">
        <x:f>IF(D3533=0,"n.a.",E3533/D3533)</x:f>
        <x:v>0</x:v>
      </x:c>
      <x:c r="K3533" s="15" t="n">
        <x:f>F3533/'Datos'!$F$7</x:f>
        <x:v>0.0000017962343423213555</x:v>
      </x:c>
      <x:c r="L3533" s="3"/>
    </x:row>
    <x:row r="3534" ht="22" customHeight="1">
      <x:c r="A3534" s="3"/>
      <x:c r="B3534" s="3" t="str">
        <x:v>90011A</x:v>
      </x:c>
      <x:c r="C3534" s="3" t="str">
        <x:v>MIDNIGHT BLUE CRYSTAL DROP EARRINGS</x:v>
      </x:c>
      <x:c r="D3534" s="13" t="n">
        <x:v>17.51</x:v>
      </x:c>
      <x:c r="E3534" s="13" t="n">
        <x:v>0</x:v>
      </x:c>
      <x:c r="F3534" s="13" t="n">
        <x:f>D3534-E3534</x:f>
        <x:v>17.51</x:v>
      </x:c>
      <x:c r="G3534" s="3" t="n">
        <x:v>6</x:v>
      </x:c>
      <x:c r="H3534" s="3" t="n">
        <x:v>0</x:v>
      </x:c>
      <x:c r="I3534" s="3" t="n">
        <x:v>6</x:v>
      </x:c>
      <x:c r="J3534" s="15" t="n">
        <x:f>IF(D3534=0,"n.a.",E3534/D3534)</x:f>
        <x:v>0</x:v>
      </x:c>
      <x:c r="K3534" s="15" t="n">
        <x:f>F3534/'Datos'!$F$7</x:f>
        <x:v>0.0000017880649990930606</x:v>
      </x:c>
      <x:c r="L3534" s="3"/>
    </x:row>
    <x:row r="3535" ht="22" customHeight="1">
      <x:c r="A3535" s="3"/>
      <x:c r="B3535" s="3" t="str">
        <x:v>79331</x:v>
      </x:c>
      <x:c r="C3535" s="3" t="str">
        <x:v>PINK FLOCK GLASS CANDLEHOLDER</x:v>
      </x:c>
      <x:c r="D3535" s="13" t="n">
        <x:v>17.5</x:v>
      </x:c>
      <x:c r="E3535" s="13" t="n">
        <x:v>0</x:v>
      </x:c>
      <x:c r="F3535" s="13" t="n">
        <x:f>D3535-E3535</x:f>
        <x:v>17.5</x:v>
      </x:c>
      <x:c r="G3535" s="3" t="n">
        <x:v>26</x:v>
      </x:c>
      <x:c r="H3535" s="3" t="n">
        <x:v>0</x:v>
      </x:c>
      <x:c r="I3535" s="3" t="n">
        <x:v>3</x:v>
      </x:c>
      <x:c r="J3535" s="15" t="n">
        <x:f>IF(D3535=0,"n.a.",E3535/D3535)</x:f>
        <x:v>0</x:v>
      </x:c>
      <x:c r="K3535" s="15" t="n">
        <x:f>F3535/'Datos'!$F$7</x:f>
        <x:v>0.0000017870438311895237</x:v>
      </x:c>
      <x:c r="L3535" s="3"/>
    </x:row>
    <x:row r="3536" ht="22" customHeight="1">
      <x:c r="A3536" s="3"/>
      <x:c r="B3536" s="3" t="str">
        <x:v>90130A</x:v>
      </x:c>
      <x:c r="C3536" s="3" t="str">
        <x:v>WHITE STONE/CRYSTAL EARRINGS</x:v>
      </x:c>
      <x:c r="D3536" s="13" t="n">
        <x:v>17.5</x:v>
      </x:c>
      <x:c r="E3536" s="13" t="n">
        <x:v>0</x:v>
      </x:c>
      <x:c r="F3536" s="13" t="n">
        <x:f>D3536-E3536</x:f>
        <x:v>17.5</x:v>
      </x:c>
      <x:c r="G3536" s="3" t="n">
        <x:v>6</x:v>
      </x:c>
      <x:c r="H3536" s="3" t="n">
        <x:v>0</x:v>
      </x:c>
      <x:c r="I3536" s="3" t="n">
        <x:v>6</x:v>
      </x:c>
      <x:c r="J3536" s="15" t="n">
        <x:f>IF(D3536=0,"n.a.",E3536/D3536)</x:f>
        <x:v>0</x:v>
      </x:c>
      <x:c r="K3536" s="15" t="n">
        <x:f>F3536/'Datos'!$F$7</x:f>
        <x:v>0.0000017870438311895237</x:v>
      </x:c>
      <x:c r="L3536" s="3"/>
    </x:row>
    <x:row r="3537" ht="22" customHeight="1">
      <x:c r="A3537" s="3"/>
      <x:c r="B3537" s="3" t="str">
        <x:v>35597D</x:v>
      </x:c>
      <x:c r="C3537" s="3" t="str">
        <x:v>PINK/WHITE CHRISTMAS TREE 30CM</x:v>
      </x:c>
      <x:c r="D3537" s="13" t="n">
        <x:v>17.48</x:v>
      </x:c>
      <x:c r="E3537" s="13" t="n">
        <x:v>0</x:v>
      </x:c>
      <x:c r="F3537" s="13" t="n">
        <x:f>D3537-E3537</x:f>
        <x:v>17.48</x:v>
      </x:c>
      <x:c r="G3537" s="3" t="n">
        <x:v>46</x:v>
      </x:c>
      <x:c r="H3537" s="3" t="n">
        <x:v>0</x:v>
      </x:c>
      <x:c r="I3537" s="3" t="n">
        <x:v>2</x:v>
      </x:c>
      <x:c r="J3537" s="15" t="n">
        <x:f>IF(D3537=0,"n.a.",E3537/D3537)</x:f>
        <x:v>0</x:v>
      </x:c>
      <x:c r="K3537" s="15" t="n">
        <x:f>F3537/'Datos'!$F$7</x:f>
        <x:v>0.00000178500149538245</x:v>
      </x:c>
      <x:c r="L3537" s="3"/>
    </x:row>
    <x:row r="3538" ht="22" customHeight="1">
      <x:c r="A3538" s="3"/>
      <x:c r="B3538" s="3" t="str">
        <x:v>23627</x:v>
      </x:c>
      <x:c r="C3538" s="3" t="str">
        <x:v>SET 10 CARDS XMAS GRAPHIC 17218</x:v>
      </x:c>
      <x:c r="D3538" s="13" t="n">
        <x:v>17.43</x:v>
      </x:c>
      <x:c r="E3538" s="13" t="n">
        <x:v>0</x:v>
      </x:c>
      <x:c r="F3538" s="13" t="n">
        <x:f>D3538-E3538</x:f>
        <x:v>17.43</x:v>
      </x:c>
      <x:c r="G3538" s="3" t="n">
        <x:v>7</x:v>
      </x:c>
      <x:c r="H3538" s="3" t="n">
        <x:v>0</x:v>
      </x:c>
      <x:c r="I3538" s="3" t="n">
        <x:v>2</x:v>
      </x:c>
      <x:c r="J3538" s="15" t="n">
        <x:f>IF(D3538=0,"n.a.",E3538/D3538)</x:f>
        <x:v>0</x:v>
      </x:c>
      <x:c r="K3538" s="15" t="n">
        <x:f>F3538/'Datos'!$F$7</x:f>
        <x:v>0.0000017798956558647655</x:v>
      </x:c>
      <x:c r="L3538" s="3"/>
    </x:row>
    <x:row r="3539" ht="22" customHeight="1">
      <x:c r="A3539" s="3"/>
      <x:c r="B3539" s="3" t="str">
        <x:v>37489D</x:v>
      </x:c>
      <x:c r="C3539" s="3" t="str">
        <x:v>PINK/GREEN FLOWER DESIGN BIG MUG</x:v>
      </x:c>
      <x:c r="D3539" s="13" t="n">
        <x:v>17.16</x:v>
      </x:c>
      <x:c r="E3539" s="13" t="n">
        <x:v>0</x:v>
      </x:c>
      <x:c r="F3539" s="13" t="n">
        <x:f>D3539-E3539</x:f>
        <x:v>17.16</x:v>
      </x:c>
      <x:c r="G3539" s="3" t="n">
        <x:v>40</x:v>
      </x:c>
      <x:c r="H3539" s="3" t="n">
        <x:v>0</x:v>
      </x:c>
      <x:c r="I3539" s="3" t="n">
        <x:v>16</x:v>
      </x:c>
      <x:c r="J3539" s="15" t="n">
        <x:f>IF(D3539=0,"n.a.",E3539/D3539)</x:f>
        <x:v>0</x:v>
      </x:c>
      <x:c r="K3539" s="15" t="n">
        <x:f>F3539/'Datos'!$F$7</x:f>
        <x:v>0.00000175232412246927</x:v>
      </x:c>
      <x:c r="L3539" s="3"/>
    </x:row>
    <x:row r="3540" ht="22" customHeight="1">
      <x:c r="A3540" s="3"/>
      <x:c r="B3540" s="3" t="str">
        <x:v>35645</x:v>
      </x:c>
      <x:c r="C3540" s="3" t="str">
        <x:v>VINTAGE BEAD PINK JEWEL BOX</x:v>
      </x:c>
      <x:c r="D3540" s="13" t="n">
        <x:v>17</x:v>
      </x:c>
      <x:c r="E3540" s="13" t="n">
        <x:v>0</x:v>
      </x:c>
      <x:c r="F3540" s="13" t="n">
        <x:f>D3540-E3540</x:f>
        <x:v>17</x:v>
      </x:c>
      <x:c r="G3540" s="3" t="n">
        <x:v>4</x:v>
      </x:c>
      <x:c r="H3540" s="3" t="n">
        <x:v>0</x:v>
      </x:c>
      <x:c r="I3540" s="3" t="n">
        <x:v>3</x:v>
      </x:c>
      <x:c r="J3540" s="15" t="n">
        <x:f>IF(D3540=0,"n.a.",E3540/D3540)</x:f>
        <x:v>0</x:v>
      </x:c>
      <x:c r="K3540" s="15" t="n">
        <x:f>F3540/'Datos'!$F$7</x:f>
        <x:v>0.0000017359854360126802</x:v>
      </x:c>
      <x:c r="L3540" s="3"/>
    </x:row>
    <x:row r="3541" ht="22" customHeight="1">
      <x:c r="A3541" s="3"/>
      <x:c r="B3541" s="3" t="str">
        <x:v>47574B</x:v>
      </x:c>
      <x:c r="C3541" s="3" t="str">
        <x:v>ENGLISH ROSE SCENTED HANGING HEART</x:v>
      </x:c>
      <x:c r="D3541" s="13" t="n">
        <x:v>17</x:v>
      </x:c>
      <x:c r="E3541" s="13" t="n">
        <x:v>0</x:v>
      </x:c>
      <x:c r="F3541" s="13" t="n">
        <x:f>D3541-E3541</x:f>
        <x:v>17</x:v>
      </x:c>
      <x:c r="G3541" s="3" t="n">
        <x:v>4</x:v>
      </x:c>
      <x:c r="H3541" s="3" t="n">
        <x:v>0</x:v>
      </x:c>
      <x:c r="I3541" s="3" t="n">
        <x:v>2</x:v>
      </x:c>
      <x:c r="J3541" s="15" t="n">
        <x:f>IF(D3541=0,"n.a.",E3541/D3541)</x:f>
        <x:v>0</x:v>
      </x:c>
      <x:c r="K3541" s="15" t="n">
        <x:f>F3541/'Datos'!$F$7</x:f>
        <x:v>0.0000017359854360126802</x:v>
      </x:c>
      <x:c r="L3541" s="3"/>
    </x:row>
    <x:row r="3542" ht="22" customHeight="1">
      <x:c r="A3542" s="3"/>
      <x:c r="B3542" s="3" t="str">
        <x:v>85084</x:v>
      </x:c>
      <x:c r="C3542" s="3" t="str">
        <x:v>HOLLY TOP CHRISTMAS STOCKING</x:v>
      </x:c>
      <x:c r="D3542" s="13" t="n">
        <x:v>17</x:v>
      </x:c>
      <x:c r="E3542" s="13" t="n">
        <x:v>0</x:v>
      </x:c>
      <x:c r="F3542" s="13" t="n">
        <x:f>D3542-E3542</x:f>
        <x:v>17</x:v>
      </x:c>
      <x:c r="G3542" s="3" t="n">
        <x:v>20</x:v>
      </x:c>
      <x:c r="H3542" s="3" t="n">
        <x:v>0</x:v>
      </x:c>
      <x:c r="I3542" s="3" t="n">
        <x:v>7</x:v>
      </x:c>
      <x:c r="J3542" s="15" t="n">
        <x:f>IF(D3542=0,"n.a.",E3542/D3542)</x:f>
        <x:v>0</x:v>
      </x:c>
      <x:c r="K3542" s="15" t="n">
        <x:f>F3542/'Datos'!$F$7</x:f>
        <x:v>0.0000017359854360126802</x:v>
      </x:c>
      <x:c r="L3542" s="3"/>
    </x:row>
    <x:row r="3543" ht="22" customHeight="1">
      <x:c r="A3543" s="3"/>
      <x:c r="B3543" s="3" t="str">
        <x:v>90026A</x:v>
      </x:c>
      <x:c r="C3543" s="3" t="str">
        <x:v>GLASS BEAD HOOP NECKLACE BLACK</x:v>
      </x:c>
      <x:c r="D3543" s="13" t="n">
        <x:v>17</x:v>
      </x:c>
      <x:c r="E3543" s="13" t="n">
        <x:v>0</x:v>
      </x:c>
      <x:c r="F3543" s="13" t="n">
        <x:f>D3543-E3543</x:f>
        <x:v>17</x:v>
      </x:c>
      <x:c r="G3543" s="3" t="n">
        <x:v>2</x:v>
      </x:c>
      <x:c r="H3543" s="3" t="n">
        <x:v>0</x:v>
      </x:c>
      <x:c r="I3543" s="3" t="n">
        <x:v>1</x:v>
      </x:c>
      <x:c r="J3543" s="15" t="n">
        <x:f>IF(D3543=0,"n.a.",E3543/D3543)</x:f>
        <x:v>0</x:v>
      </x:c>
      <x:c r="K3543" s="15" t="n">
        <x:f>F3543/'Datos'!$F$7</x:f>
        <x:v>0.0000017359854360126802</x:v>
      </x:c>
      <x:c r="L3543" s="3"/>
    </x:row>
    <x:row r="3544" ht="22" customHeight="1">
      <x:c r="A3544" s="3"/>
      <x:c r="B3544" s="3" t="str">
        <x:v>21120</x:v>
      </x:c>
      <x:c r="C3544" s="3" t="str">
        <x:v>*Boombox Ipod Classic</x:v>
      </x:c>
      <x:c r="D3544" s="13" t="n">
        <x:v>16.98</x:v>
      </x:c>
      <x:c r="E3544" s="13" t="n">
        <x:v>0</x:v>
      </x:c>
      <x:c r="F3544" s="13" t="n">
        <x:f>D3544-E3544</x:f>
        <x:v>16.98</x:v>
      </x:c>
      <x:c r="G3544" s="3" t="n">
        <x:v>1</x:v>
      </x:c>
      <x:c r="H3544" s="3" t="n">
        <x:v>0</x:v>
      </x:c>
      <x:c r="I3544" s="3" t="n">
        <x:v>1</x:v>
      </x:c>
      <x:c r="J3544" s="15" t="n">
        <x:f>IF(D3544=0,"n.a.",E3544/D3544)</x:f>
        <x:v>0</x:v>
      </x:c>
      <x:c r="K3544" s="15" t="n">
        <x:f>F3544/'Datos'!$F$7</x:f>
        <x:v>0.0000017339431002056066</x:v>
      </x:c>
      <x:c r="L3544" s="3"/>
    </x:row>
    <x:row r="3545" ht="22" customHeight="1">
      <x:c r="A3545" s="3"/>
      <x:c r="B3545" s="3" t="str">
        <x:v>20954</x:v>
      </x:c>
      <x:c r="C3545" s="3" t="str">
        <x:v>*USB Office Mirror Ball</x:v>
      </x:c>
      <x:c r="D3545" s="13" t="n">
        <x:v>16.94</x:v>
      </x:c>
      <x:c r="E3545" s="13" t="n">
        <x:v>0</x:v>
      </x:c>
      <x:c r="F3545" s="13" t="n">
        <x:f>D3545-E3545</x:f>
        <x:v>16.94</x:v>
      </x:c>
      <x:c r="G3545" s="3" t="n">
        <x:v>2</x:v>
      </x:c>
      <x:c r="H3545" s="3" t="n">
        <x:v>0</x:v>
      </x:c>
      <x:c r="I3545" s="3" t="n">
        <x:v>2</x:v>
      </x:c>
      <x:c r="J3545" s="15" t="n">
        <x:f>IF(D3545=0,"n.a.",E3545/D3545)</x:f>
        <x:v>0</x:v>
      </x:c>
      <x:c r="K3545" s="15" t="n">
        <x:f>F3545/'Datos'!$F$7</x:f>
        <x:v>0.000001729858428591459</x:v>
      </x:c>
      <x:c r="L3545" s="3"/>
    </x:row>
    <x:row r="3546" ht="22" customHeight="1">
      <x:c r="A3546" s="3"/>
      <x:c r="B3546" s="3" t="str">
        <x:v>21595</x:v>
      </x:c>
      <x:c r="C3546" s="3" t="str">
        <x:v>Dad's Cab Electronic Meter</x:v>
      </x:c>
      <x:c r="D3546" s="13" t="n">
        <x:v>16.94</x:v>
      </x:c>
      <x:c r="E3546" s="13" t="n">
        <x:v>0</x:v>
      </x:c>
      <x:c r="F3546" s="13" t="n">
        <x:f>D3546-E3546</x:f>
        <x:v>16.94</x:v>
      </x:c>
      <x:c r="G3546" s="3" t="n">
        <x:v>2</x:v>
      </x:c>
      <x:c r="H3546" s="3" t="n">
        <x:v>0</x:v>
      </x:c>
      <x:c r="I3546" s="3" t="n">
        <x:v>2</x:v>
      </x:c>
      <x:c r="J3546" s="15" t="n">
        <x:f>IF(D3546=0,"n.a.",E3546/D3546)</x:f>
        <x:v>0</x:v>
      </x:c>
      <x:c r="K3546" s="15" t="n">
        <x:f>F3546/'Datos'!$F$7</x:f>
        <x:v>0.000001729858428591459</x:v>
      </x:c>
      <x:c r="L3546" s="3"/>
    </x:row>
    <x:row r="3547" ht="22" customHeight="1">
      <x:c r="A3547" s="3"/>
      <x:c r="B3547" s="3" t="str">
        <x:v>90024D</x:v>
      </x:c>
      <x:c r="C3547" s="3" t="str">
        <x:v>NEW BAROQUE B'FLY NECKLACE PINK</x:v>
      </x:c>
      <x:c r="D3547" s="13" t="n">
        <x:v>16.82</x:v>
      </x:c>
      <x:c r="E3547" s="13" t="n">
        <x:v>0</x:v>
      </x:c>
      <x:c r="F3547" s="13" t="n">
        <x:f>D3547-E3547</x:f>
        <x:v>16.82</x:v>
      </x:c>
      <x:c r="G3547" s="3" t="n">
        <x:v>2</x:v>
      </x:c>
      <x:c r="H3547" s="3" t="n">
        <x:v>0</x:v>
      </x:c>
      <x:c r="I3547" s="3" t="n">
        <x:v>2</x:v>
      </x:c>
      <x:c r="J3547" s="15" t="n">
        <x:f>IF(D3547=0,"n.a.",E3547/D3547)</x:f>
        <x:v>0</x:v>
      </x:c>
      <x:c r="K3547" s="15" t="n">
        <x:f>F3547/'Datos'!$F$7</x:f>
        <x:v>0.0000017176044137490165</x:v>
      </x:c>
      <x:c r="L3547" s="3"/>
    </x:row>
    <x:row r="3548" ht="22" customHeight="1">
      <x:c r="A3548" s="3"/>
      <x:c r="B3548" s="3" t="str">
        <x:v>90024E</x:v>
      </x:c>
      <x:c r="C3548" s="3" t="str">
        <x:v>NEW BAROQUE B'FLY NECKLACE MONTANA</x:v>
      </x:c>
      <x:c r="D3548" s="13" t="n">
        <x:v>16.81</x:v>
      </x:c>
      <x:c r="E3548" s="13" t="n">
        <x:v>0</x:v>
      </x:c>
      <x:c r="F3548" s="13" t="n">
        <x:f>D3548-E3548</x:f>
        <x:v>16.81</x:v>
      </x:c>
      <x:c r="G3548" s="3" t="n">
        <x:v>2</x:v>
      </x:c>
      <x:c r="H3548" s="3" t="n">
        <x:v>0</x:v>
      </x:c>
      <x:c r="I3548" s="3" t="n">
        <x:v>2</x:v>
      </x:c>
      <x:c r="J3548" s="15" t="n">
        <x:f>IF(D3548=0,"n.a.",E3548/D3548)</x:f>
        <x:v>0</x:v>
      </x:c>
      <x:c r="K3548" s="15" t="n">
        <x:f>F3548/'Datos'!$F$7</x:f>
        <x:v>0.0000017165832458454794</x:v>
      </x:c>
      <x:c r="L3548" s="3"/>
    </x:row>
    <x:row r="3549" ht="22" customHeight="1">
      <x:c r="A3549" s="3"/>
      <x:c r="B3549" s="3" t="str">
        <x:v>37489B</x:v>
      </x:c>
      <x:c r="C3549" s="3" t="str">
        <x:v>BLUE/YELLOW FLOWER DESIGN BIG MUG</x:v>
      </x:c>
      <x:c r="D3549" s="13" t="n">
        <x:v>16.77</x:v>
      </x:c>
      <x:c r="E3549" s="13" t="n">
        <x:v>0</x:v>
      </x:c>
      <x:c r="F3549" s="13" t="n">
        <x:f>D3549-E3549</x:f>
        <x:v>16.77</x:v>
      </x:c>
      <x:c r="G3549" s="3" t="n">
        <x:v>31</x:v>
      </x:c>
      <x:c r="H3549" s="3" t="n">
        <x:v>0</x:v>
      </x:c>
      <x:c r="I3549" s="3" t="n">
        <x:v>12</x:v>
      </x:c>
      <x:c r="J3549" s="15" t="n">
        <x:f>IF(D3549=0,"n.a.",E3549/D3549)</x:f>
        <x:v>0</x:v>
      </x:c>
      <x:c r="K3549" s="15" t="n">
        <x:f>F3549/'Datos'!$F$7</x:f>
        <x:v>0.0000017124985742313321</x:v>
      </x:c>
      <x:c r="L3549" s="3"/>
    </x:row>
    <x:row r="3550" ht="22" customHeight="1">
      <x:c r="A3550" s="3"/>
      <x:c r="B3550" s="3" t="str">
        <x:v>23644</x:v>
      </x:c>
      <x:c r="C3550" s="3" t="str">
        <x:v>SET 10 CARDS CHRISTMAS TREE 16955</x:v>
      </x:c>
      <x:c r="D3550" s="13" t="n">
        <x:v>16.65</x:v>
      </x:c>
      <x:c r="E3550" s="13" t="n">
        <x:v>0</x:v>
      </x:c>
      <x:c r="F3550" s="13" t="n">
        <x:f>D3550-E3550</x:f>
        <x:v>16.65</x:v>
      </x:c>
      <x:c r="G3550" s="3" t="n">
        <x:v>5</x:v>
      </x:c>
      <x:c r="H3550" s="3" t="n">
        <x:v>0</x:v>
      </x:c>
      <x:c r="I3550" s="3" t="n">
        <x:v>5</x:v>
      </x:c>
      <x:c r="J3550" s="15" t="n">
        <x:f>IF(D3550=0,"n.a.",E3550/D3550)</x:f>
        <x:v>0</x:v>
      </x:c>
      <x:c r="K3550" s="15" t="n">
        <x:f>F3550/'Datos'!$F$7</x:f>
        <x:v>0.0000017002445593888896</x:v>
      </x:c>
      <x:c r="L3550" s="3"/>
    </x:row>
    <x:row r="3551" ht="22" customHeight="1">
      <x:c r="A3551" s="3"/>
      <x:c r="B3551" s="3" t="str">
        <x:v>DCGS0004</x:v>
      </x:c>
      <x:c r="C3551" s="3" t="str">
        <x:v>HAYNES CAMPER SHOULDER BAG</x:v>
      </x:c>
      <x:c r="D3551" s="13" t="n">
        <x:v>16.63</x:v>
      </x:c>
      <x:c r="E3551" s="13" t="n">
        <x:v>0</x:v>
      </x:c>
      <x:c r="F3551" s="13" t="n">
        <x:f>D3551-E3551</x:f>
        <x:v>16.63</x:v>
      </x:c>
      <x:c r="G3551" s="3" t="n">
        <x:v>1</x:v>
      </x:c>
      <x:c r="H3551" s="3" t="n">
        <x:v>0</x:v>
      </x:c>
      <x:c r="I3551" s="3" t="n">
        <x:v>1</x:v>
      </x:c>
      <x:c r="J3551" s="15" t="n">
        <x:f>IF(D3551=0,"n.a.",E3551/D3551)</x:f>
        <x:v>0</x:v>
      </x:c>
      <x:c r="K3551" s="15" t="n">
        <x:f>F3551/'Datos'!$F$7</x:f>
        <x:v>0.0000016982022235818157</x:v>
      </x:c>
      <x:c r="L3551" s="3"/>
    </x:row>
    <x:row r="3552" ht="22" customHeight="1">
      <x:c r="A3552" s="3"/>
      <x:c r="B3552" s="3" t="str">
        <x:v>90059B</x:v>
      </x:c>
      <x:c r="C3552" s="3" t="str">
        <x:v>DIAMANTE HAIR GRIP PACK/2 BLACK DIA</x:v>
      </x:c>
      <x:c r="D3552" s="13" t="n">
        <x:v>26.52</x:v>
      </x:c>
      <x:c r="E3552" s="13" t="n">
        <x:v>9.9</x:v>
      </x:c>
      <x:c r="F3552" s="13" t="n">
        <x:f>D3552-E3552</x:f>
        <x:v>16.619999999999997</x:v>
      </x:c>
      <x:c r="G3552" s="3" t="n">
        <x:v>16</x:v>
      </x:c>
      <x:c r="H3552" s="3" t="n">
        <x:v>6</x:v>
      </x:c>
      <x:c r="I3552" s="3" t="n">
        <x:v>10</x:v>
      </x:c>
      <x:c r="J3552" s="15" t="n">
        <x:f>IF(D3552=0,"n.a.",E3552/D3552)</x:f>
        <x:v>0.3733031674208145</x:v>
      </x:c>
      <x:c r="K3552" s="15" t="n">
        <x:f>F3552/'Datos'!$F$7</x:f>
        <x:v>0.0000016971810556782788</x:v>
      </x:c>
      <x:c r="L3552" s="3"/>
    </x:row>
    <x:row r="3553" ht="22" customHeight="1">
      <x:c r="A3553" s="3"/>
      <x:c r="B3553" s="3" t="str">
        <x:v>90137</x:v>
      </x:c>
      <x:c r="C3553" s="3" t="str">
        <x:v>PINK COMBO MINI CRYSTALS NECKLACE</x:v>
      </x:c>
      <x:c r="D3553" s="13" t="n">
        <x:v>16.31</x:v>
      </x:c>
      <x:c r="E3553" s="13" t="n">
        <x:v>0</x:v>
      </x:c>
      <x:c r="F3553" s="13" t="n">
        <x:f>D3553-E3553</x:f>
        <x:v>16.31</x:v>
      </x:c>
      <x:c r="G3553" s="3" t="n">
        <x:v>3</x:v>
      </x:c>
      <x:c r="H3553" s="3" t="n">
        <x:v>0</x:v>
      </x:c>
      <x:c r="I3553" s="3" t="n">
        <x:v>3</x:v>
      </x:c>
      <x:c r="J3553" s="15" t="n">
        <x:f>IF(D3553=0,"n.a.",E3553/D3553)</x:f>
        <x:v>0</x:v>
      </x:c>
      <x:c r="K3553" s="15" t="n">
        <x:f>F3553/'Datos'!$F$7</x:f>
        <x:v>0.0000016655248506686359</x:v>
      </x:c>
      <x:c r="L3553" s="3"/>
    </x:row>
    <x:row r="3554" ht="22" customHeight="1">
      <x:c r="A3554" s="3"/>
      <x:c r="B3554" s="3" t="str">
        <x:v>16248B</x:v>
      </x:c>
      <x:c r="C3554" s="3" t="str">
        <x:v>BLUE HOLE PUNCH</x:v>
      </x:c>
      <x:c r="D3554" s="13" t="n">
        <x:v>16.25</x:v>
      </x:c>
      <x:c r="E3554" s="13" t="n">
        <x:v>0</x:v>
      </x:c>
      <x:c r="F3554" s="13" t="n">
        <x:f>D3554-E3554</x:f>
        <x:v>16.25</x:v>
      </x:c>
      <x:c r="G3554" s="3" t="n">
        <x:v>13</x:v>
      </x:c>
      <x:c r="H3554" s="3" t="n">
        <x:v>0</x:v>
      </x:c>
      <x:c r="I3554" s="3" t="n">
        <x:v>7</x:v>
      </x:c>
      <x:c r="J3554" s="15" t="n">
        <x:f>IF(D3554=0,"n.a.",E3554/D3554)</x:f>
        <x:v>0</x:v>
      </x:c>
      <x:c r="K3554" s="15" t="n">
        <x:f>F3554/'Datos'!$F$7</x:f>
        <x:v>0.0000016593978432474148</x:v>
      </x:c>
      <x:c r="L3554" s="3"/>
    </x:row>
    <x:row r="3555" ht="22" customHeight="1">
      <x:c r="A3555" s="3"/>
      <x:c r="B3555" s="3" t="str">
        <x:v>35647</x:v>
      </x:c>
      <x:c r="C3555" s="3" t="str">
        <x:v>VINTAGE BEAD PINK SHADE</x:v>
      </x:c>
      <x:c r="D3555" s="13" t="n">
        <x:v>16.25</x:v>
      </x:c>
      <x:c r="E3555" s="13" t="n">
        <x:v>0</x:v>
      </x:c>
      <x:c r="F3555" s="13" t="n">
        <x:f>D3555-E3555</x:f>
        <x:v>16.25</x:v>
      </x:c>
      <x:c r="G3555" s="3" t="n">
        <x:v>13</x:v>
      </x:c>
      <x:c r="H3555" s="3" t="n">
        <x:v>0</x:v>
      </x:c>
      <x:c r="I3555" s="3" t="n">
        <x:v>2</x:v>
      </x:c>
      <x:c r="J3555" s="15" t="n">
        <x:f>IF(D3555=0,"n.a.",E3555/D3555)</x:f>
        <x:v>0</x:v>
      </x:c>
      <x:c r="K3555" s="15" t="n">
        <x:f>F3555/'Datos'!$F$7</x:f>
        <x:v>0.0000016593978432474148</x:v>
      </x:c>
      <x:c r="L3555" s="3"/>
    </x:row>
    <x:row r="3556" ht="22" customHeight="1">
      <x:c r="A3556" s="3"/>
      <x:c r="B3556" s="3" t="str">
        <x:v>90089</x:v>
      </x:c>
      <x:c r="C3556" s="3" t="str">
        <x:v>PINK CRYSTAL SKULL PHONE CHARM</x:v>
      </x:c>
      <x:c r="D3556" s="13" t="n">
        <x:v>16.22</x:v>
      </x:c>
      <x:c r="E3556" s="13" t="n">
        <x:v>0</x:v>
      </x:c>
      <x:c r="F3556" s="13" t="n">
        <x:f>D3556-E3556</x:f>
        <x:v>16.22</x:v>
      </x:c>
      <x:c r="G3556" s="3" t="n">
        <x:v>32</x:v>
      </x:c>
      <x:c r="H3556" s="3" t="n">
        <x:v>0</x:v>
      </x:c>
      <x:c r="I3556" s="3" t="n">
        <x:v>9</x:v>
      </x:c>
      <x:c r="J3556" s="15" t="n">
        <x:f>IF(D3556=0,"n.a.",E3556/D3556)</x:f>
        <x:v>0</x:v>
      </x:c>
      <x:c r="K3556" s="15" t="n">
        <x:f>F3556/'Datos'!$F$7</x:f>
        <x:v>0.000001656334339536804</x:v>
      </x:c>
      <x:c r="L3556" s="3"/>
    </x:row>
    <x:row r="3557" ht="22" customHeight="1">
      <x:c r="A3557" s="3"/>
      <x:c r="B3557" s="3" t="str">
        <x:v>90214V</x:v>
      </x:c>
      <x:c r="C3557" s="3" t="str">
        <x:v>LETTER "V" BLING KEY RING</x:v>
      </x:c>
      <x:c r="D3557" s="13" t="n">
        <x:v>15.98</x:v>
      </x:c>
      <x:c r="E3557" s="13" t="n">
        <x:v>0</x:v>
      </x:c>
      <x:c r="F3557" s="13" t="n">
        <x:f>D3557-E3557</x:f>
        <x:v>15.98</x:v>
      </x:c>
      <x:c r="G3557" s="3" t="n">
        <x:v>26</x:v>
      </x:c>
      <x:c r="H3557" s="3" t="n">
        <x:v>0</x:v>
      </x:c>
      <x:c r="I3557" s="3" t="n">
        <x:v>14</x:v>
      </x:c>
      <x:c r="J3557" s="15" t="n">
        <x:f>IF(D3557=0,"n.a.",E3557/D3557)</x:f>
        <x:v>0</x:v>
      </x:c>
      <x:c r="K3557" s="15" t="n">
        <x:f>F3557/'Datos'!$F$7</x:f>
        <x:v>0.0000016318263098519193</x:v>
      </x:c>
      <x:c r="L3557" s="3"/>
    </x:row>
    <x:row r="3558" ht="22" customHeight="1">
      <x:c r="A3558" s="3"/>
      <x:c r="B3558" s="3" t="str">
        <x:v>84795C</x:v>
      </x:c>
      <x:c r="C3558" s="3" t="str">
        <x:v>OCEAN STRIPE HAMMOCK</x:v>
      </x:c>
      <x:c r="D3558" s="13" t="n">
        <x:v>15.9</x:v>
      </x:c>
      <x:c r="E3558" s="13" t="n">
        <x:v>0</x:v>
      </x:c>
      <x:c r="F3558" s="13" t="n">
        <x:f>D3558-E3558</x:f>
        <x:v>15.9</x:v>
      </x:c>
      <x:c r="G3558" s="3" t="n">
        <x:v>2</x:v>
      </x:c>
      <x:c r="H3558" s="3" t="n">
        <x:v>0</x:v>
      </x:c>
      <x:c r="I3558" s="3" t="n">
        <x:v>1</x:v>
      </x:c>
      <x:c r="J3558" s="15" t="n">
        <x:f>IF(D3558=0,"n.a.",E3558/D3558)</x:f>
        <x:v>0</x:v>
      </x:c>
      <x:c r="K3558" s="15" t="n">
        <x:f>F3558/'Datos'!$F$7</x:f>
        <x:v>0.0000016236569666236244</x:v>
      </x:c>
      <x:c r="L3558" s="3"/>
    </x:row>
    <x:row r="3559" ht="22" customHeight="1">
      <x:c r="A3559" s="3"/>
      <x:c r="B3559" s="3" t="str">
        <x:v>85136B</x:v>
      </x:c>
      <x:c r="C3559" s="3" t="str">
        <x:v>BLUE SHARK HELICOPTER</x:v>
      </x:c>
      <x:c r="D3559" s="13" t="n">
        <x:v>15.9</x:v>
      </x:c>
      <x:c r="E3559" s="13" t="n">
        <x:v>0</x:v>
      </x:c>
      <x:c r="F3559" s="13" t="n">
        <x:f>D3559-E3559</x:f>
        <x:v>15.9</x:v>
      </x:c>
      <x:c r="G3559" s="3" t="n">
        <x:v>2</x:v>
      </x:c>
      <x:c r="H3559" s="3" t="n">
        <x:v>0</x:v>
      </x:c>
      <x:c r="I3559" s="3" t="n">
        <x:v>2</x:v>
      </x:c>
      <x:c r="J3559" s="15" t="n">
        <x:f>IF(D3559=0,"n.a.",E3559/D3559)</x:f>
        <x:v>0</x:v>
      </x:c>
      <x:c r="K3559" s="15" t="n">
        <x:f>F3559/'Datos'!$F$7</x:f>
        <x:v>0.0000016236569666236244</x:v>
      </x:c>
      <x:c r="L3559" s="3"/>
    </x:row>
    <x:row r="3560" ht="22" customHeight="1">
      <x:c r="A3560" s="3"/>
      <x:c r="B3560" s="3" t="str">
        <x:v>DCGS0069</x:v>
      </x:c>
      <x:c r="C3560" s="3" t="str">
        <x:v>OOH LA LA DOGS COLLAR</x:v>
      </x:c>
      <x:c r="D3560" s="13" t="n">
        <x:v>15.79</x:v>
      </x:c>
      <x:c r="E3560" s="13" t="n">
        <x:v>0</x:v>
      </x:c>
      <x:c r="F3560" s="13" t="n">
        <x:f>D3560-E3560</x:f>
        <x:v>15.79</x:v>
      </x:c>
      <x:c r="G3560" s="3" t="n">
        <x:v>1</x:v>
      </x:c>
      <x:c r="H3560" s="3" t="n">
        <x:v>0</x:v>
      </x:c>
      <x:c r="I3560" s="3" t="n">
        <x:v>1</x:v>
      </x:c>
      <x:c r="J3560" s="15" t="n">
        <x:f>IF(D3560=0,"n.a.",E3560/D3560)</x:f>
        <x:v>0</x:v>
      </x:c>
      <x:c r="K3560" s="15" t="n">
        <x:f>F3560/'Datos'!$F$7</x:f>
        <x:v>0.0000016124241196847187</x:v>
      </x:c>
      <x:c r="L3560" s="3"/>
    </x:row>
    <x:row r="3561" ht="22" customHeight="1">
      <x:c r="A3561" s="3"/>
      <x:c r="B3561" s="3" t="str">
        <x:v>20816</x:v>
      </x:c>
      <x:c r="C3561" s="3" t="str">
        <x:v>GOLD FLOWER CUSHION COVER</x:v>
      </x:c>
      <x:c r="D3561" s="13" t="n">
        <x:v>15.6</x:v>
      </x:c>
      <x:c r="E3561" s="13" t="n">
        <x:v>0</x:v>
      </x:c>
      <x:c r="F3561" s="13" t="n">
        <x:f>D3561-E3561</x:f>
        <x:v>15.6</x:v>
      </x:c>
      <x:c r="G3561" s="3" t="n">
        <x:v>8</x:v>
      </x:c>
      <x:c r="H3561" s="3" t="n">
        <x:v>0</x:v>
      </x:c>
      <x:c r="I3561" s="3" t="n">
        <x:v>2</x:v>
      </x:c>
      <x:c r="J3561" s="15" t="n">
        <x:f>IF(D3561=0,"n.a.",E3561/D3561)</x:f>
        <x:v>0</x:v>
      </x:c>
      <x:c r="K3561" s="15" t="n">
        <x:f>F3561/'Datos'!$F$7</x:f>
        <x:v>0.0000015930219295175181</x:v>
      </x:c>
      <x:c r="L3561" s="3"/>
    </x:row>
    <x:row r="3562" ht="22" customHeight="1">
      <x:c r="A3562" s="3"/>
      <x:c r="B3562" s="3" t="str">
        <x:v>78034B</x:v>
      </x:c>
      <x:c r="C3562" s="3" t="str">
        <x:v>BLUE NETTING STORAGE HANGER</x:v>
      </x:c>
      <x:c r="D3562" s="13" t="n">
        <x:v>15.6</x:v>
      </x:c>
      <x:c r="E3562" s="13" t="n">
        <x:v>0</x:v>
      </x:c>
      <x:c r="F3562" s="13" t="n">
        <x:f>D3562-E3562</x:f>
        <x:v>15.6</x:v>
      </x:c>
      <x:c r="G3562" s="3" t="n">
        <x:v>8</x:v>
      </x:c>
      <x:c r="H3562" s="3" t="n">
        <x:v>0</x:v>
      </x:c>
      <x:c r="I3562" s="3" t="n">
        <x:v>6</x:v>
      </x:c>
      <x:c r="J3562" s="15" t="n">
        <x:f>IF(D3562=0,"n.a.",E3562/D3562)</x:f>
        <x:v>0</x:v>
      </x:c>
      <x:c r="K3562" s="15" t="n">
        <x:f>F3562/'Datos'!$F$7</x:f>
        <x:v>0.0000015930219295175181</x:v>
      </x:c>
      <x:c r="L3562" s="3"/>
    </x:row>
    <x:row r="3563" ht="22" customHeight="1">
      <x:c r="A3563" s="3"/>
      <x:c r="B3563" s="3" t="str">
        <x:v>90214F</x:v>
      </x:c>
      <x:c r="C3563" s="3" t="str">
        <x:v>LETTER "F" BLING KEY RING</x:v>
      </x:c>
      <x:c r="D3563" s="13" t="n">
        <x:v>15.43</x:v>
      </x:c>
      <x:c r="E3563" s="13" t="n">
        <x:v>0</x:v>
      </x:c>
      <x:c r="F3563" s="13" t="n">
        <x:f>D3563-E3563</x:f>
        <x:v>15.43</x:v>
      </x:c>
      <x:c r="G3563" s="3" t="n">
        <x:v>27</x:v>
      </x:c>
      <x:c r="H3563" s="3" t="n">
        <x:v>0</x:v>
      </x:c>
      <x:c r="I3563" s="3" t="n">
        <x:v>15</x:v>
      </x:c>
      <x:c r="J3563" s="15" t="n">
        <x:f>IF(D3563=0,"n.a.",E3563/D3563)</x:f>
        <x:v>0</x:v>
      </x:c>
      <x:c r="K3563" s="15" t="n">
        <x:f>F3563/'Datos'!$F$7</x:f>
        <x:v>0.0000015756620751573914</x:v>
      </x:c>
      <x:c r="L3563" s="3"/>
    </x:row>
    <x:row r="3564" ht="22" customHeight="1">
      <x:c r="A3564" s="3"/>
      <x:c r="B3564" s="3" t="str">
        <x:v>90132</x:v>
      </x:c>
      <x:c r="C3564" s="3" t="str">
        <x:v>LIGHT TOPAZ TEAL/AQUA COL NECKLACE</x:v>
      </x:c>
      <x:c r="D3564" s="13" t="n">
        <x:v>15.16</x:v>
      </x:c>
      <x:c r="E3564" s="13" t="n">
        <x:v>0</x:v>
      </x:c>
      <x:c r="F3564" s="13" t="n">
        <x:f>D3564-E3564</x:f>
        <x:v>15.16</x:v>
      </x:c>
      <x:c r="G3564" s="3" t="n">
        <x:v>3</x:v>
      </x:c>
      <x:c r="H3564" s="3" t="n">
        <x:v>0</x:v>
      </x:c>
      <x:c r="I3564" s="3" t="n">
        <x:v>3</x:v>
      </x:c>
      <x:c r="J3564" s="15" t="n">
        <x:f>IF(D3564=0,"n.a.",E3564/D3564)</x:f>
        <x:v>0</x:v>
      </x:c>
      <x:c r="K3564" s="15" t="n">
        <x:f>F3564/'Datos'!$F$7</x:f>
        <x:v>0.000001548090541761896</x:v>
      </x:c>
      <x:c r="L3564" s="3"/>
    </x:row>
    <x:row r="3565" ht="22" customHeight="1">
      <x:c r="A3565" s="3"/>
      <x:c r="B3565" s="3" t="str">
        <x:v>72024U</x:v>
      </x:c>
      <x:c r="C3565" s="3" t="str">
        <x:v>LILAC VOTIVE CANDLE</x:v>
      </x:c>
      <x:c r="D3565" s="13" t="n">
        <x:v>15.12</x:v>
      </x:c>
      <x:c r="E3565" s="13" t="n">
        <x:v>0</x:v>
      </x:c>
      <x:c r="F3565" s="13" t="n">
        <x:f>D3565-E3565</x:f>
        <x:v>15.12</x:v>
      </x:c>
      <x:c r="G3565" s="3" t="n">
        <x:v>72</x:v>
      </x:c>
      <x:c r="H3565" s="3" t="n">
        <x:v>0</x:v>
      </x:c>
      <x:c r="I3565" s="3" t="n">
        <x:v>3</x:v>
      </x:c>
      <x:c r="J3565" s="15" t="n">
        <x:f>IF(D3565=0,"n.a.",E3565/D3565)</x:f>
        <x:v>0</x:v>
      </x:c>
      <x:c r="K3565" s="15" t="n">
        <x:f>F3565/'Datos'!$F$7</x:f>
        <x:v>0.0000015440058701477485</x:v>
      </x:c>
      <x:c r="L3565" s="3"/>
    </x:row>
    <x:row r="3566" ht="22" customHeight="1">
      <x:c r="A3566" s="3"/>
      <x:c r="B3566" s="3" t="str">
        <x:v>90140</x:v>
      </x:c>
      <x:c r="C3566" s="3" t="str">
        <x:v>PINK SWEETIE NECKLACE</x:v>
      </x:c>
      <x:c r="D3566" s="13" t="n">
        <x:v>15.12</x:v>
      </x:c>
      <x:c r="E3566" s="13" t="n">
        <x:v>0</x:v>
      </x:c>
      <x:c r="F3566" s="13" t="n">
        <x:f>D3566-E3566</x:f>
        <x:v>15.12</x:v>
      </x:c>
      <x:c r="G3566" s="3" t="n">
        <x:v>2</x:v>
      </x:c>
      <x:c r="H3566" s="3" t="n">
        <x:v>0</x:v>
      </x:c>
      <x:c r="I3566" s="3" t="n">
        <x:v>2</x:v>
      </x:c>
      <x:c r="J3566" s="15" t="n">
        <x:f>IF(D3566=0,"n.a.",E3566/D3566)</x:f>
        <x:v>0</x:v>
      </x:c>
      <x:c r="K3566" s="15" t="n">
        <x:f>F3566/'Datos'!$F$7</x:f>
        <x:v>0.0000015440058701477485</x:v>
      </x:c>
      <x:c r="L3566" s="3"/>
    </x:row>
    <x:row r="3567" ht="22" customHeight="1">
      <x:c r="A3567" s="3"/>
      <x:c r="B3567" s="3" t="str">
        <x:v>35610A</x:v>
      </x:c>
      <x:c r="C3567" s="3" t="str">
        <x:v>PINK CHRISTMAS FLOCK DROPLET</x:v>
      </x:c>
      <x:c r="D3567" s="13" t="n">
        <x:v>15.02</x:v>
      </x:c>
      <x:c r="E3567" s="13" t="n">
        <x:v>0</x:v>
      </x:c>
      <x:c r="F3567" s="13" t="n">
        <x:f>D3567-E3567</x:f>
        <x:v>15.02</x:v>
      </x:c>
      <x:c r="G3567" s="3" t="n">
        <x:v>10</x:v>
      </x:c>
      <x:c r="H3567" s="3" t="n">
        <x:v>0</x:v>
      </x:c>
      <x:c r="I3567" s="3" t="n">
        <x:v>3</x:v>
      </x:c>
      <x:c r="J3567" s="15" t="n">
        <x:f>IF(D3567=0,"n.a.",E3567/D3567)</x:f>
        <x:v>0</x:v>
      </x:c>
      <x:c r="K3567" s="15" t="n">
        <x:f>F3567/'Datos'!$F$7</x:f>
        <x:v>0.0000015337941911123797</x:v>
      </x:c>
      <x:c r="L3567" s="3"/>
    </x:row>
    <x:row r="3568" ht="22" customHeight="1">
      <x:c r="A3568" s="3"/>
      <x:c r="B3568" s="3" t="str">
        <x:v>17191A</x:v>
      </x:c>
      <x:c r="C3568" s="3" t="str">
        <x:v>ROSE FLOWER CANDLE+INCENSE 16X16CM</x:v>
      </x:c>
      <x:c r="D3568" s="13" t="n">
        <x:v>15</x:v>
      </x:c>
      <x:c r="E3568" s="13" t="n">
        <x:v>0</x:v>
      </x:c>
      <x:c r="F3568" s="13" t="n">
        <x:f>D3568-E3568</x:f>
        <x:v>15</x:v>
      </x:c>
      <x:c r="G3568" s="3" t="n">
        <x:v>4</x:v>
      </x:c>
      <x:c r="H3568" s="3" t="n">
        <x:v>0</x:v>
      </x:c>
      <x:c r="I3568" s="3" t="n">
        <x:v>2</x:v>
      </x:c>
      <x:c r="J3568" s="15" t="n">
        <x:f>IF(D3568=0,"n.a.",E3568/D3568)</x:f>
        <x:v>0</x:v>
      </x:c>
      <x:c r="K3568" s="15" t="n">
        <x:f>F3568/'Datos'!$F$7</x:f>
        <x:v>0.000001531751855305306</x:v>
      </x:c>
      <x:c r="L3568" s="3"/>
    </x:row>
    <x:row r="3569" ht="22" customHeight="1">
      <x:c r="A3569" s="3"/>
      <x:c r="B3569" s="3" t="str">
        <x:v>23449</x:v>
      </x:c>
      <x:c r="C3569" s="3" t="str">
        <x:v>SET OF 6 EASTER RAINBOW CHICKS</x:v>
      </x:c>
      <x:c r="D3569" s="13" t="n">
        <x:v>15</x:v>
      </x:c>
      <x:c r="E3569" s="13" t="n">
        <x:v>0</x:v>
      </x:c>
      <x:c r="F3569" s="13" t="n">
        <x:f>D3569-E3569</x:f>
        <x:v>15</x:v>
      </x:c>
      <x:c r="G3569" s="3" t="n">
        <x:v>12</x:v>
      </x:c>
      <x:c r="H3569" s="3" t="n">
        <x:v>0</x:v>
      </x:c>
      <x:c r="I3569" s="3" t="n">
        <x:v>1</x:v>
      </x:c>
      <x:c r="J3569" s="15" t="n">
        <x:f>IF(D3569=0,"n.a.",E3569/D3569)</x:f>
        <x:v>0</x:v>
      </x:c>
      <x:c r="K3569" s="15" t="n">
        <x:f>F3569/'Datos'!$F$7</x:f>
        <x:v>0.000001531751855305306</x:v>
      </x:c>
      <x:c r="L3569" s="3"/>
    </x:row>
    <x:row r="3570" ht="22" customHeight="1">
      <x:c r="A3570" s="3"/>
      <x:c r="B3570" s="3" t="str">
        <x:v>84415A</x:v>
      </x:c>
      <x:c r="C3570" s="3" t="str">
        <x:v>PINK FLOCK SUEDE CUSHION COVER</x:v>
      </x:c>
      <x:c r="D3570" s="13" t="n">
        <x:v>15</x:v>
      </x:c>
      <x:c r="E3570" s="13" t="n">
        <x:v>0</x:v>
      </x:c>
      <x:c r="F3570" s="13" t="n">
        <x:f>D3570-E3570</x:f>
        <x:v>15</x:v>
      </x:c>
      <x:c r="G3570" s="3" t="n">
        <x:v>12</x:v>
      </x:c>
      <x:c r="H3570" s="3" t="n">
        <x:v>0</x:v>
      </x:c>
      <x:c r="I3570" s="3" t="n">
        <x:v>2</x:v>
      </x:c>
      <x:c r="J3570" s="15" t="n">
        <x:f>IF(D3570=0,"n.a.",E3570/D3570)</x:f>
        <x:v>0</x:v>
      </x:c>
      <x:c r="K3570" s="15" t="n">
        <x:f>F3570/'Datos'!$F$7</x:f>
        <x:v>0.000001531751855305306</x:v>
      </x:c>
      <x:c r="L3570" s="3"/>
    </x:row>
    <x:row r="3571" ht="22" customHeight="1">
      <x:c r="A3571" s="3"/>
      <x:c r="B3571" s="3" t="str">
        <x:v>84462</x:v>
      </x:c>
      <x:c r="C3571" s="3" t="str">
        <x:v>3 PINK HEN+CHICKS IN BASKET</x:v>
      </x:c>
      <x:c r="D3571" s="13" t="n">
        <x:v>15</x:v>
      </x:c>
      <x:c r="E3571" s="13" t="n">
        <x:v>0</x:v>
      </x:c>
      <x:c r="F3571" s="13" t="n">
        <x:f>D3571-E3571</x:f>
        <x:v>15</x:v>
      </x:c>
      <x:c r="G3571" s="3" t="n">
        <x:v>12</x:v>
      </x:c>
      <x:c r="H3571" s="3" t="n">
        <x:v>0</x:v>
      </x:c>
      <x:c r="I3571" s="3" t="n">
        <x:v>6</x:v>
      </x:c>
      <x:c r="J3571" s="15" t="n">
        <x:f>IF(D3571=0,"n.a.",E3571/D3571)</x:f>
        <x:v>0</x:v>
      </x:c>
      <x:c r="K3571" s="15" t="n">
        <x:f>F3571/'Datos'!$F$7</x:f>
        <x:v>0.000001531751855305306</x:v>
      </x:c>
      <x:c r="L3571" s="3"/>
    </x:row>
    <x:row r="3572" ht="22" customHeight="1">
      <x:c r="A3572" s="3"/>
      <x:c r="B3572" s="3" t="str">
        <x:v>84705C</x:v>
      </x:c>
      <x:c r="C3572" s="3" t="str">
        <x:v>PINK FLOCK PHOTO FRAME</x:v>
      </x:c>
      <x:c r="D3572" s="13" t="n">
        <x:v>15</x:v>
      </x:c>
      <x:c r="E3572" s="13" t="n">
        <x:v>0</x:v>
      </x:c>
      <x:c r="F3572" s="13" t="n">
        <x:f>D3572-E3572</x:f>
        <x:v>15</x:v>
      </x:c>
      <x:c r="G3572" s="3" t="n">
        <x:v>12</x:v>
      </x:c>
      <x:c r="H3572" s="3" t="n">
        <x:v>0</x:v>
      </x:c>
      <x:c r="I3572" s="3" t="n">
        <x:v>1</x:v>
      </x:c>
      <x:c r="J3572" s="15" t="n">
        <x:f>IF(D3572=0,"n.a.",E3572/D3572)</x:f>
        <x:v>0</x:v>
      </x:c>
      <x:c r="K3572" s="15" t="n">
        <x:f>F3572/'Datos'!$F$7</x:f>
        <x:v>0.000001531751855305306</x:v>
      </x:c>
      <x:c r="L3572" s="3"/>
    </x:row>
    <x:row r="3573" ht="22" customHeight="1">
      <x:c r="A3573" s="3"/>
      <x:c r="B3573" s="3" t="str">
        <x:v>90069</x:v>
      </x:c>
      <x:c r="C3573" s="3" t="str">
        <x:v>RUBY GLASS CLUSTER NECKLACE</x:v>
      </x:c>
      <x:c r="D3573" s="13" t="n">
        <x:v>15</x:v>
      </x:c>
      <x:c r="E3573" s="13" t="n">
        <x:v>0</x:v>
      </x:c>
      <x:c r="F3573" s="13" t="n">
        <x:f>D3573-E3573</x:f>
        <x:v>15</x:v>
      </x:c>
      <x:c r="G3573" s="3" t="n">
        <x:v>2</x:v>
      </x:c>
      <x:c r="H3573" s="3" t="n">
        <x:v>0</x:v>
      </x:c>
      <x:c r="I3573" s="3" t="n">
        <x:v>1</x:v>
      </x:c>
      <x:c r="J3573" s="15" t="n">
        <x:f>IF(D3573=0,"n.a.",E3573/D3573)</x:f>
        <x:v>0</x:v>
      </x:c>
      <x:c r="K3573" s="15" t="n">
        <x:f>F3573/'Datos'!$F$7</x:f>
        <x:v>0.000001531751855305306</x:v>
      </x:c>
      <x:c r="L3573" s="3"/>
    </x:row>
    <x:row r="3574" ht="22" customHeight="1">
      <x:c r="A3574" s="3"/>
      <x:c r="B3574" s="3" t="str">
        <x:v>90078</x:v>
      </x:c>
      <x:c r="C3574" s="3" t="str">
        <x:v>PINK/WHITE GLASS DEMI CHOKER</x:v>
      </x:c>
      <x:c r="D3574" s="13" t="n">
        <x:v>15</x:v>
      </x:c>
      <x:c r="E3574" s="13" t="n">
        <x:v>0</x:v>
      </x:c>
      <x:c r="F3574" s="13" t="n">
        <x:f>D3574-E3574</x:f>
        <x:v>15</x:v>
      </x:c>
      <x:c r="G3574" s="3" t="n">
        <x:v>2</x:v>
      </x:c>
      <x:c r="H3574" s="3" t="n">
        <x:v>0</x:v>
      </x:c>
      <x:c r="I3574" s="3" t="n">
        <x:v>1</x:v>
      </x:c>
      <x:c r="J3574" s="15" t="n">
        <x:f>IF(D3574=0,"n.a.",E3574/D3574)</x:f>
        <x:v>0</x:v>
      </x:c>
      <x:c r="K3574" s="15" t="n">
        <x:f>F3574/'Datos'!$F$7</x:f>
        <x:v>0.000001531751855305306</x:v>
      </x:c>
      <x:c r="L3574" s="3"/>
    </x:row>
    <x:row r="3575" ht="22" customHeight="1">
      <x:c r="A3575" s="3"/>
      <x:c r="B3575" s="3" t="str">
        <x:v>90189A</x:v>
      </x:c>
      <x:c r="C3575" s="3" t="str">
        <x:v>SILVER 2 STRAND NECKLACE-LEAF CHARM</x:v>
      </x:c>
      <x:c r="D3575" s="13" t="n">
        <x:v>15</x:v>
      </x:c>
      <x:c r="E3575" s="13" t="n">
        <x:v>0</x:v>
      </x:c>
      <x:c r="F3575" s="13" t="n">
        <x:f>D3575-E3575</x:f>
        <x:v>15</x:v>
      </x:c>
      <x:c r="G3575" s="3" t="n">
        <x:v>2</x:v>
      </x:c>
      <x:c r="H3575" s="3" t="n">
        <x:v>0</x:v>
      </x:c>
      <x:c r="I3575" s="3" t="n">
        <x:v>2</x:v>
      </x:c>
      <x:c r="J3575" s="15" t="n">
        <x:f>IF(D3575=0,"n.a.",E3575/D3575)</x:f>
        <x:v>0</x:v>
      </x:c>
      <x:c r="K3575" s="15" t="n">
        <x:f>F3575/'Datos'!$F$7</x:f>
        <x:v>0.000001531751855305306</x:v>
      </x:c>
      <x:c r="L3575" s="3"/>
    </x:row>
    <x:row r="3576" ht="22" customHeight="1">
      <x:c r="A3576" s="3"/>
      <x:c r="B3576" s="3" t="str">
        <x:v>90176A</x:v>
      </x:c>
      <x:c r="C3576" s="3" t="str">
        <x:v>CLASSIC DIAMANTE NECKLACE JET</x:v>
      </x:c>
      <x:c r="D3576" s="13" t="n">
        <x:v>22.48</x:v>
      </x:c>
      <x:c r="E3576" s="13" t="n">
        <x:v>7.5</x:v>
      </x:c>
      <x:c r="F3576" s="13" t="n">
        <x:f>D3576-E3576</x:f>
        <x:v>14.98</x:v>
      </x:c>
      <x:c r="G3576" s="3" t="n">
        <x:v>3</x:v>
      </x:c>
      <x:c r="H3576" s="3" t="n">
        <x:v>1</x:v>
      </x:c>
      <x:c r="I3576" s="3" t="n">
        <x:v>2</x:v>
      </x:c>
      <x:c r="J3576" s="15" t="n">
        <x:f>IF(D3576=0,"n.a.",E3576/D3576)</x:f>
        <x:v>0.33362989323843417</x:v>
      </x:c>
      <x:c r="K3576" s="15" t="n">
        <x:f>F3576/'Datos'!$F$7</x:f>
        <x:v>0.0000015297095194982323</x:v>
      </x:c>
      <x:c r="L3576" s="3"/>
    </x:row>
    <x:row r="3577" ht="22" customHeight="1">
      <x:c r="A3577" s="3"/>
      <x:c r="B3577" s="3" t="str">
        <x:v>90025F</x:v>
      </x:c>
      <x:c r="C3577" s="3" t="str">
        <x:v>BAROQUE BUTTERFLY EARRINGS CRYSTAL</x:v>
      </x:c>
      <x:c r="D3577" s="13" t="n">
        <x:v>14.96</x:v>
      </x:c>
      <x:c r="E3577" s="13" t="n">
        <x:v>0</x:v>
      </x:c>
      <x:c r="F3577" s="13" t="n">
        <x:f>D3577-E3577</x:f>
        <x:v>14.96</x:v>
      </x:c>
      <x:c r="G3577" s="3" t="n">
        <x:v>4</x:v>
      </x:c>
      <x:c r="H3577" s="3" t="n">
        <x:v>0</x:v>
      </x:c>
      <x:c r="I3577" s="3" t="n">
        <x:v>4</x:v>
      </x:c>
      <x:c r="J3577" s="15" t="n">
        <x:f>IF(D3577=0,"n.a.",E3577/D3577)</x:f>
        <x:v>0</x:v>
      </x:c>
      <x:c r="K3577" s="15" t="n">
        <x:f>F3577/'Datos'!$F$7</x:f>
        <x:v>0.0000015276671836911586</x:v>
      </x:c>
      <x:c r="L3577" s="3"/>
    </x:row>
    <x:row r="3578" ht="22" customHeight="1">
      <x:c r="A3578" s="3"/>
      <x:c r="B3578" s="3" t="str">
        <x:v>23621</x:v>
      </x:c>
      <x:c r="C3578" s="3" t="str">
        <x:v>SET 10 CARDS DAVID'S MADONNA 17074</x:v>
      </x:c>
      <x:c r="D3578" s="13" t="n">
        <x:v>14.94</x:v>
      </x:c>
      <x:c r="E3578" s="13" t="n">
        <x:v>0</x:v>
      </x:c>
      <x:c r="F3578" s="13" t="n">
        <x:f>D3578-E3578</x:f>
        <x:v>14.94</x:v>
      </x:c>
      <x:c r="G3578" s="3" t="n">
        <x:v>6</x:v>
      </x:c>
      <x:c r="H3578" s="3" t="n">
        <x:v>0</x:v>
      </x:c>
      <x:c r="I3578" s="3" t="n">
        <x:v>4</x:v>
      </x:c>
      <x:c r="J3578" s="15" t="n">
        <x:f>IF(D3578=0,"n.a.",E3578/D3578)</x:f>
        <x:v>0</x:v>
      </x:c>
      <x:c r="K3578" s="15" t="n">
        <x:f>F3578/'Datos'!$F$7</x:f>
        <x:v>0.0000015256248478840848</x:v>
      </x:c>
      <x:c r="L3578" s="3"/>
    </x:row>
    <x:row r="3579" ht="22" customHeight="1">
      <x:c r="A3579" s="3"/>
      <x:c r="B3579" s="3" t="str">
        <x:v>90059C</x:v>
      </x:c>
      <x:c r="C3579" s="3" t="str">
        <x:v>DIAMANTE HAIR GRIP PACK/2 MONTANA</x:v>
      </x:c>
      <x:c r="D3579" s="13" t="n">
        <x:v>24.79</x:v>
      </x:c>
      <x:c r="E3579" s="13" t="n">
        <x:v>9.9</x:v>
      </x:c>
      <x:c r="F3579" s="13" t="n">
        <x:f>D3579-E3579</x:f>
        <x:v>14.889999999999999</x:v>
      </x:c>
      <x:c r="G3579" s="3" t="n">
        <x:v>15</x:v>
      </x:c>
      <x:c r="H3579" s="3" t="n">
        <x:v>6</x:v>
      </x:c>
      <x:c r="I3579" s="3" t="n">
        <x:v>10</x:v>
      </x:c>
      <x:c r="J3579" s="15" t="n">
        <x:f>IF(D3579=0,"n.a.",E3579/D3579)</x:f>
        <x:v>0.3993545784590561</x:v>
      </x:c>
      <x:c r="K3579" s="15" t="n">
        <x:f>F3579/'Datos'!$F$7</x:f>
        <x:v>0.0000015205190083664002</x:v>
      </x:c>
      <x:c r="L3579" s="3"/>
    </x:row>
    <x:row r="3580" ht="22" customHeight="1">
      <x:c r="A3580" s="3"/>
      <x:c r="B3580" s="3" t="str">
        <x:v>85031C</x:v>
      </x:c>
      <x:c r="C3580" s="3" t="str">
        <x:v>CURIOUS IMAGES SCRAP BOOK SET</x:v>
      </x:c>
      <x:c r="D3580" s="13" t="n">
        <x:v>14.85</x:v>
      </x:c>
      <x:c r="E3580" s="13" t="n">
        <x:v>0</x:v>
      </x:c>
      <x:c r="F3580" s="13" t="n">
        <x:f>D3580-E3580</x:f>
        <x:v>14.85</x:v>
      </x:c>
      <x:c r="G3580" s="3" t="n">
        <x:v>3</x:v>
      </x:c>
      <x:c r="H3580" s="3" t="n">
        <x:v>0</x:v>
      </x:c>
      <x:c r="I3580" s="3" t="n">
        <x:v>1</x:v>
      </x:c>
      <x:c r="J3580" s="15" t="n">
        <x:f>IF(D3580=0,"n.a.",E3580/D3580)</x:f>
        <x:v>0</x:v>
      </x:c>
      <x:c r="K3580" s="15" t="n">
        <x:f>F3580/'Datos'!$F$7</x:f>
        <x:v>0.000001516434336752253</x:v>
      </x:c>
      <x:c r="L3580" s="3"/>
    </x:row>
    <x:row r="3581" ht="22" customHeight="1">
      <x:c r="A3581" s="3"/>
      <x:c r="B3581" s="3" t="str">
        <x:v>90046</x:v>
      </x:c>
      <x:c r="C3581" s="3" t="str">
        <x:v>WHITE WITH METAL BAG CHARM</x:v>
      </x:c>
      <x:c r="D3581" s="13" t="n">
        <x:v>14.85</x:v>
      </x:c>
      <x:c r="E3581" s="13" t="n">
        <x:v>0</x:v>
      </x:c>
      <x:c r="F3581" s="13" t="n">
        <x:f>D3581-E3581</x:f>
        <x:v>14.85</x:v>
      </x:c>
      <x:c r="G3581" s="3" t="n">
        <x:v>3</x:v>
      </x:c>
      <x:c r="H3581" s="3" t="n">
        <x:v>0</x:v>
      </x:c>
      <x:c r="I3581" s="3" t="n">
        <x:v>1</x:v>
      </x:c>
      <x:c r="J3581" s="15" t="n">
        <x:f>IF(D3581=0,"n.a.",E3581/D3581)</x:f>
        <x:v>0</x:v>
      </x:c>
      <x:c r="K3581" s="15" t="n">
        <x:f>F3581/'Datos'!$F$7</x:f>
        <x:v>0.000001516434336752253</x:v>
      </x:c>
      <x:c r="L3581" s="3"/>
    </x:row>
    <x:row r="3582" ht="22" customHeight="1">
      <x:c r="A3582" s="3"/>
      <x:c r="B3582" s="3" t="str">
        <x:v>90048</x:v>
      </x:c>
      <x:c r="C3582" s="3" t="str">
        <x:v>GREEN WITH METAL BAG CHARM</x:v>
      </x:c>
      <x:c r="D3582" s="13" t="n">
        <x:v>14.85</x:v>
      </x:c>
      <x:c r="E3582" s="13" t="n">
        <x:v>0</x:v>
      </x:c>
      <x:c r="F3582" s="13" t="n">
        <x:f>D3582-E3582</x:f>
        <x:v>14.85</x:v>
      </x:c>
      <x:c r="G3582" s="3" t="n">
        <x:v>3</x:v>
      </x:c>
      <x:c r="H3582" s="3" t="n">
        <x:v>0</x:v>
      </x:c>
      <x:c r="I3582" s="3" t="n">
        <x:v>1</x:v>
      </x:c>
      <x:c r="J3582" s="15" t="n">
        <x:f>IF(D3582=0,"n.a.",E3582/D3582)</x:f>
        <x:v>0</x:v>
      </x:c>
      <x:c r="K3582" s="15" t="n">
        <x:f>F3582/'Datos'!$F$7</x:f>
        <x:v>0.000001516434336752253</x:v>
      </x:c>
      <x:c r="L3582" s="3"/>
    </x:row>
    <x:row r="3583" ht="22" customHeight="1">
      <x:c r="A3583" s="3"/>
      <x:c r="B3583" s="3" t="str">
        <x:v>84856S</x:v>
      </x:c>
      <x:c r="C3583" s="3" t="str">
        <x:v>SMALL TAHITI BEACH BAG</x:v>
      </x:c>
      <x:c r="D3583" s="13" t="n">
        <x:v>18.6</x:v>
      </x:c>
      <x:c r="E3583" s="13" t="n">
        <x:v>3.81</x:v>
      </x:c>
      <x:c r="F3583" s="13" t="n">
        <x:f>D3583-E3583</x:f>
        <x:v>14.790000000000001</x:v>
      </x:c>
      <x:c r="G3583" s="3" t="n">
        <x:v>4</x:v>
      </x:c>
      <x:c r="H3583" s="3" t="n">
        <x:v>1</x:v>
      </x:c>
      <x:c r="I3583" s="3" t="n">
        <x:v>1</x:v>
      </x:c>
      <x:c r="J3583" s="15" t="n">
        <x:f>IF(D3583=0,"n.a.",E3583/D3583)</x:f>
        <x:v>0.20483870967741935</x:v>
      </x:c>
      <x:c r="K3583" s="15" t="n">
        <x:f>F3583/'Datos'!$F$7</x:f>
        <x:v>0.0000015103073293310319</x:v>
      </x:c>
      <x:c r="L3583" s="3"/>
    </x:row>
    <x:row r="3584" ht="22" customHeight="1">
      <x:c r="A3584" s="3"/>
      <x:c r="B3584" s="3" t="str">
        <x:v>84593</x:v>
      </x:c>
      <x:c r="C3584" s="3" t="str">
        <x:v>CROCHET ROSE DES CLOTHES HANGER</x:v>
      </x:c>
      <x:c r="D3584" s="13" t="n">
        <x:v>14.75</x:v>
      </x:c>
      <x:c r="E3584" s="13" t="n">
        <x:v>0</x:v>
      </x:c>
      <x:c r="F3584" s="13" t="n">
        <x:f>D3584-E3584</x:f>
        <x:v>14.75</x:v>
      </x:c>
      <x:c r="G3584" s="3" t="n">
        <x:v>5</x:v>
      </x:c>
      <x:c r="H3584" s="3" t="n">
        <x:v>0</x:v>
      </x:c>
      <x:c r="I3584" s="3" t="n">
        <x:v>1</x:v>
      </x:c>
      <x:c r="J3584" s="15" t="n">
        <x:f>IF(D3584=0,"n.a.",E3584/D3584)</x:f>
        <x:v>0</x:v>
      </x:c>
      <x:c r="K3584" s="15" t="n">
        <x:f>F3584/'Datos'!$F$7</x:f>
        <x:v>0.0000015062226577168842</x:v>
      </x:c>
      <x:c r="L3584" s="3"/>
    </x:row>
    <x:row r="3585" ht="22" customHeight="1">
      <x:c r="A3585" s="3"/>
      <x:c r="B3585" s="3" t="str">
        <x:v>23634</x:v>
      </x:c>
      <x:c r="C3585" s="3" t="str">
        <x:v>SET 10 CARDS XMAS CHOIR 17068</x:v>
      </x:c>
      <x:c r="D3585" s="13" t="n">
        <x:v>14.55</x:v>
      </x:c>
      <x:c r="E3585" s="13" t="n">
        <x:v>0</x:v>
      </x:c>
      <x:c r="F3585" s="13" t="n">
        <x:f>D3585-E3585</x:f>
        <x:v>14.55</x:v>
      </x:c>
      <x:c r="G3585" s="3" t="n">
        <x:v>5</x:v>
      </x:c>
      <x:c r="H3585" s="3" t="n">
        <x:v>0</x:v>
      </x:c>
      <x:c r="I3585" s="3" t="n">
        <x:v>5</x:v>
      </x:c>
      <x:c r="J3585" s="15" t="n">
        <x:f>IF(D3585=0,"n.a.",E3585/D3585)</x:f>
        <x:v>0</x:v>
      </x:c>
      <x:c r="K3585" s="15" t="n">
        <x:f>F3585/'Datos'!$F$7</x:f>
        <x:v>0.000001485799299646147</x:v>
      </x:c>
      <x:c r="L3585" s="3"/>
    </x:row>
    <x:row r="3586" ht="22" customHeight="1">
      <x:c r="A3586" s="3"/>
      <x:c r="B3586" s="3" t="str">
        <x:v>16202B</x:v>
      </x:c>
      <x:c r="C3586" s="3" t="str">
        <x:v>PASTEL BLUE PHOTO ALBUM</x:v>
      </x:c>
      <x:c r="D3586" s="13" t="n">
        <x:v>14.5</x:v>
      </x:c>
      <x:c r="E3586" s="13" t="n">
        <x:v>0</x:v>
      </x:c>
      <x:c r="F3586" s="13" t="n">
        <x:f>D3586-E3586</x:f>
        <x:v>14.5</x:v>
      </x:c>
      <x:c r="G3586" s="3" t="n">
        <x:v>29</x:v>
      </x:c>
      <x:c r="H3586" s="3" t="n">
        <x:v>0</x:v>
      </x:c>
      <x:c r="I3586" s="3" t="n">
        <x:v>2</x:v>
      </x:c>
      <x:c r="J3586" s="15" t="n">
        <x:f>IF(D3586=0,"n.a.",E3586/D3586)</x:f>
        <x:v>0</x:v>
      </x:c>
      <x:c r="K3586" s="15" t="n">
        <x:f>F3586/'Datos'!$F$7</x:f>
        <x:v>0.0000014806934601284626</x:v>
      </x:c>
      <x:c r="L3586" s="3"/>
    </x:row>
    <x:row r="3587" ht="22" customHeight="1">
      <x:c r="A3587" s="3"/>
      <x:c r="B3587" s="3" t="str">
        <x:v>90027C</x:v>
      </x:c>
      <x:c r="C3587" s="3" t="str">
        <x:v>GLASS BEAD HOOP EARRINGS GREEN</x:v>
      </x:c>
      <x:c r="D3587" s="13" t="n">
        <x:v>14.5</x:v>
      </x:c>
      <x:c r="E3587" s="13" t="n">
        <x:v>0</x:v>
      </x:c>
      <x:c r="F3587" s="13" t="n">
        <x:f>D3587-E3587</x:f>
        <x:v>14.5</x:v>
      </x:c>
      <x:c r="G3587" s="3" t="n">
        <x:v>5</x:v>
      </x:c>
      <x:c r="H3587" s="3" t="n">
        <x:v>0</x:v>
      </x:c>
      <x:c r="I3587" s="3" t="n">
        <x:v>5</x:v>
      </x:c>
      <x:c r="J3587" s="15" t="n">
        <x:f>IF(D3587=0,"n.a.",E3587/D3587)</x:f>
        <x:v>0</x:v>
      </x:c>
      <x:c r="K3587" s="15" t="n">
        <x:f>F3587/'Datos'!$F$7</x:f>
        <x:v>0.0000014806934601284626</x:v>
      </x:c>
      <x:c r="L3587" s="3"/>
    </x:row>
    <x:row r="3588" ht="22" customHeight="1">
      <x:c r="A3588" s="3"/>
      <x:c r="B3588" s="3" t="str">
        <x:v>90182B</x:v>
      </x:c>
      <x:c r="C3588" s="3" t="str">
        <x:v>AMETHYST 3 BEAD DROP EARRINGS</x:v>
      </x:c>
      <x:c r="D3588" s="13" t="n">
        <x:v>14.5</x:v>
      </x:c>
      <x:c r="E3588" s="13" t="n">
        <x:v>0</x:v>
      </x:c>
      <x:c r="F3588" s="13" t="n">
        <x:f>D3588-E3588</x:f>
        <x:v>14.5</x:v>
      </x:c>
      <x:c r="G3588" s="3" t="n">
        <x:v>5</x:v>
      </x:c>
      <x:c r="H3588" s="3" t="n">
        <x:v>0</x:v>
      </x:c>
      <x:c r="I3588" s="3" t="n">
        <x:v>5</x:v>
      </x:c>
      <x:c r="J3588" s="15" t="n">
        <x:f>IF(D3588=0,"n.a.",E3588/D3588)</x:f>
        <x:v>0</x:v>
      </x:c>
      <x:c r="K3588" s="15" t="n">
        <x:f>F3588/'Datos'!$F$7</x:f>
        <x:v>0.0000014806934601284626</x:v>
      </x:c>
      <x:c r="L3588" s="3"/>
    </x:row>
    <x:row r="3589" ht="22" customHeight="1">
      <x:c r="A3589" s="3"/>
      <x:c r="B3589" s="3" t="str">
        <x:v>37489A</x:v>
      </x:c>
      <x:c r="C3589" s="3" t="str">
        <x:v>YELLOW/PINK FLOWER DESIGN BIG MUG</x:v>
      </x:c>
      <x:c r="D3589" s="13" t="n">
        <x:v>14.43</x:v>
      </x:c>
      <x:c r="E3589" s="13" t="n">
        <x:v>0</x:v>
      </x:c>
      <x:c r="F3589" s="13" t="n">
        <x:f>D3589-E3589</x:f>
        <x:v>14.43</x:v>
      </x:c>
      <x:c r="G3589" s="3" t="n">
        <x:v>33</x:v>
      </x:c>
      <x:c r="H3589" s="3" t="n">
        <x:v>0</x:v>
      </x:c>
      <x:c r="I3589" s="3" t="n">
        <x:v>14</x:v>
      </x:c>
      <x:c r="J3589" s="15" t="n">
        <x:f>IF(D3589=0,"n.a.",E3589/D3589)</x:f>
        <x:v>0</x:v>
      </x:c>
      <x:c r="K3589" s="15" t="n">
        <x:f>F3589/'Datos'!$F$7</x:f>
        <x:v>0.0000014735452848037044</x:v>
      </x:c>
      <x:c r="L3589" s="3"/>
    </x:row>
    <x:row r="3590" ht="22" customHeight="1">
      <x:c r="A3590" s="3"/>
      <x:c r="B3590" s="3" t="str">
        <x:v>47593A</x:v>
      </x:c>
      <x:c r="C3590" s="3" t="str">
        <x:v>CAROUSEL PONIES BABY BIB</x:v>
      </x:c>
      <x:c r="D3590" s="13" t="n">
        <x:v>14.37</x:v>
      </x:c>
      <x:c r="E3590" s="13" t="n">
        <x:v>0</x:v>
      </x:c>
      <x:c r="F3590" s="13" t="n">
        <x:f>D3590-E3590</x:f>
        <x:v>14.37</x:v>
      </x:c>
      <x:c r="G3590" s="3" t="n">
        <x:v>33</x:v>
      </x:c>
      <x:c r="H3590" s="3" t="n">
        <x:v>0</x:v>
      </x:c>
      <x:c r="I3590" s="3" t="n">
        <x:v>12</x:v>
      </x:c>
      <x:c r="J3590" s="15" t="n">
        <x:f>IF(D3590=0,"n.a.",E3590/D3590)</x:f>
        <x:v>0</x:v>
      </x:c>
      <x:c r="K3590" s="15" t="n">
        <x:f>F3590/'Datos'!$F$7</x:f>
        <x:v>0.000001467418277382483</x:v>
      </x:c>
      <x:c r="L3590" s="3"/>
    </x:row>
    <x:row r="3591" ht="22" customHeight="1">
      <x:c r="A3591" s="3"/>
      <x:c r="B3591" s="3" t="str">
        <x:v>90052</x:v>
      </x:c>
      <x:c r="C3591" s="3" t="str">
        <x:v>CRACKED GLAZE NECKLACE BROWN</x:v>
      </x:c>
      <x:c r="D3591" s="13" t="n">
        <x:v>14.14</x:v>
      </x:c>
      <x:c r="E3591" s="13" t="n">
        <x:v>0</x:v>
      </x:c>
      <x:c r="F3591" s="13" t="n">
        <x:f>D3591-E3591</x:f>
        <x:v>14.14</x:v>
      </x:c>
      <x:c r="G3591" s="3" t="n">
        <x:v>2</x:v>
      </x:c>
      <x:c r="H3591" s="3" t="n">
        <x:v>0</x:v>
      </x:c>
      <x:c r="I3591" s="3" t="n">
        <x:v>2</x:v>
      </x:c>
      <x:c r="J3591" s="15" t="n">
        <x:f>IF(D3591=0,"n.a.",E3591/D3591)</x:f>
        <x:v>0</x:v>
      </x:c>
      <x:c r="K3591" s="15" t="n">
        <x:f>F3591/'Datos'!$F$7</x:f>
        <x:v>0.0000014439314156011352</x:v>
      </x:c>
      <x:c r="L3591" s="3"/>
    </x:row>
    <x:row r="3592" ht="22" customHeight="1">
      <x:c r="A3592" s="3"/>
      <x:c r="B3592" s="3" t="str">
        <x:v>79336</x:v>
      </x:c>
      <x:c r="C3592" s="3" t="str">
        <x:v>LIGHT PINK FLOCK GLASS CANDLEHOLDER</x:v>
      </x:c>
      <x:c r="D3592" s="13" t="n">
        <x:v>13.68</x:v>
      </x:c>
      <x:c r="E3592" s="13" t="n">
        <x:v>0</x:v>
      </x:c>
      <x:c r="F3592" s="13" t="n">
        <x:f>D3592-E3592</x:f>
        <x:v>13.68</x:v>
      </x:c>
      <x:c r="G3592" s="3" t="n">
        <x:v>36</x:v>
      </x:c>
      <x:c r="H3592" s="3" t="n">
        <x:v>0</x:v>
      </x:c>
      <x:c r="I3592" s="3" t="n">
        <x:v>3</x:v>
      </x:c>
      <x:c r="J3592" s="15" t="n">
        <x:f>IF(D3592=0,"n.a.",E3592/D3592)</x:f>
        <x:v>0</x:v>
      </x:c>
      <x:c r="K3592" s="15" t="n">
        <x:f>F3592/'Datos'!$F$7</x:f>
        <x:v>0.000001396957692038439</x:v>
      </x:c>
      <x:c r="L3592" s="3"/>
    </x:row>
    <x:row r="3593" ht="22" customHeight="1">
      <x:c r="A3593" s="3"/>
      <x:c r="B3593" s="3" t="str">
        <x:v>37489C</x:v>
      </x:c>
      <x:c r="C3593" s="3" t="str">
        <x:v>GREEN/BLUE FLOWER DESIGN BIG MUG</x:v>
      </x:c>
      <x:c r="D3593" s="13" t="n">
        <x:v>13.65</x:v>
      </x:c>
      <x:c r="E3593" s="13" t="n">
        <x:v>0</x:v>
      </x:c>
      <x:c r="F3593" s="13" t="n">
        <x:f>D3593-E3593</x:f>
        <x:v>13.65</x:v>
      </x:c>
      <x:c r="G3593" s="3" t="n">
        <x:v>23</x:v>
      </x:c>
      <x:c r="H3593" s="3" t="n">
        <x:v>0</x:v>
      </x:c>
      <x:c r="I3593" s="3" t="n">
        <x:v>8</x:v>
      </x:c>
      <x:c r="J3593" s="15" t="n">
        <x:f>IF(D3593=0,"n.a.",E3593/D3593)</x:f>
        <x:v>0</x:v>
      </x:c>
      <x:c r="K3593" s="15" t="n">
        <x:f>F3593/'Datos'!$F$7</x:f>
        <x:v>0.0000013938941883278284</x:v>
      </x:c>
      <x:c r="L3593" s="3"/>
    </x:row>
    <x:row r="3594" ht="22" customHeight="1">
      <x:c r="A3594" s="3"/>
      <x:c r="B3594" s="3" t="str">
        <x:v>85017A</x:v>
      </x:c>
      <x:c r="C3594" s="3" t="str">
        <x:v>ENVELOPE 50 ROMANTIC IMAGES</x:v>
      </x:c>
      <x:c r="D3594" s="13" t="n">
        <x:v>13.58</x:v>
      </x:c>
      <x:c r="E3594" s="13" t="n">
        <x:v>0</x:v>
      </x:c>
      <x:c r="F3594" s="13" t="n">
        <x:f>D3594-E3594</x:f>
        <x:v>13.58</x:v>
      </x:c>
      <x:c r="G3594" s="3" t="n">
        <x:v>16</x:v>
      </x:c>
      <x:c r="H3594" s="3" t="n">
        <x:v>0</x:v>
      </x:c>
      <x:c r="I3594" s="3" t="n">
        <x:v>8</x:v>
      </x:c>
      <x:c r="J3594" s="15" t="n">
        <x:f>IF(D3594=0,"n.a.",E3594/D3594)</x:f>
        <x:v>0</x:v>
      </x:c>
      <x:c r="K3594" s="15" t="n">
        <x:f>F3594/'Datos'!$F$7</x:f>
        <x:v>0.0000013867460130030704</x:v>
      </x:c>
      <x:c r="L3594" s="3"/>
    </x:row>
    <x:row r="3595" ht="22" customHeight="1">
      <x:c r="A3595" s="3"/>
      <x:c r="B3595" s="3" t="str">
        <x:v>90065B</x:v>
      </x:c>
      <x:c r="C3595" s="3" t="str">
        <x:v>BLACK VINT ART DEC CRYSTAL BRACELET</x:v>
      </x:c>
      <x:c r="D3595" s="13" t="n">
        <x:v>13.5</x:v>
      </x:c>
      <x:c r="E3595" s="13" t="n">
        <x:v>0</x:v>
      </x:c>
      <x:c r="F3595" s="13" t="n">
        <x:f>D3595-E3595</x:f>
        <x:v>13.5</x:v>
      </x:c>
      <x:c r="G3595" s="3" t="n">
        <x:v>2</x:v>
      </x:c>
      <x:c r="H3595" s="3" t="n">
        <x:v>0</x:v>
      </x:c>
      <x:c r="I3595" s="3" t="n">
        <x:v>2</x:v>
      </x:c>
      <x:c r="J3595" s="15" t="n">
        <x:f>IF(D3595=0,"n.a.",E3595/D3595)</x:f>
        <x:v>0</x:v>
      </x:c>
      <x:c r="K3595" s="15" t="n">
        <x:f>F3595/'Datos'!$F$7</x:f>
        <x:v>0.0000013785766697747753</x:v>
      </x:c>
      <x:c r="L3595" s="3"/>
    </x:row>
    <x:row r="3596" ht="22" customHeight="1">
      <x:c r="A3596" s="3"/>
      <x:c r="B3596" s="3" t="str">
        <x:v>90214T</x:v>
      </x:c>
      <x:c r="C3596" s="3" t="str">
        <x:v>LETTER "T" BLING KEY RING</x:v>
      </x:c>
      <x:c r="D3596" s="13" t="n">
        <x:v>13.46</x:v>
      </x:c>
      <x:c r="E3596" s="13" t="n">
        <x:v>0</x:v>
      </x:c>
      <x:c r="F3596" s="13" t="n">
        <x:f>D3596-E3596</x:f>
        <x:v>13.46</x:v>
      </x:c>
      <x:c r="G3596" s="3" t="n">
        <x:v>24</x:v>
      </x:c>
      <x:c r="H3596" s="3" t="n">
        <x:v>0</x:v>
      </x:c>
      <x:c r="I3596" s="3" t="n">
        <x:v>11</x:v>
      </x:c>
      <x:c r="J3596" s="15" t="n">
        <x:f>IF(D3596=0,"n.a.",E3596/D3596)</x:f>
        <x:v>0</x:v>
      </x:c>
      <x:c r="K3596" s="15" t="n">
        <x:f>F3596/'Datos'!$F$7</x:f>
        <x:v>0.000001374491998160628</x:v>
      </x:c>
      <x:c r="L3596" s="3"/>
    </x:row>
    <x:row r="3597" ht="22" customHeight="1">
      <x:c r="A3597" s="3"/>
      <x:c r="B3597" s="3" t="str">
        <x:v>84745A</x:v>
      </x:c>
      <x:c r="C3597" s="3" t="str">
        <x:v>PINK HANGING GINGHAM EASTER HEN</x:v>
      </x:c>
      <x:c r="D3597" s="13" t="n">
        <x:v>13.44</x:v>
      </x:c>
      <x:c r="E3597" s="13" t="n">
        <x:v>0</x:v>
      </x:c>
      <x:c r="F3597" s="13" t="n">
        <x:f>D3597-E3597</x:f>
        <x:v>13.44</x:v>
      </x:c>
      <x:c r="G3597" s="3" t="n">
        <x:v>32</x:v>
      </x:c>
      <x:c r="H3597" s="3" t="n">
        <x:v>0</x:v>
      </x:c>
      <x:c r="I3597" s="3" t="n">
        <x:v>5</x:v>
      </x:c>
      <x:c r="J3597" s="15" t="n">
        <x:f>IF(D3597=0,"n.a.",E3597/D3597)</x:f>
        <x:v>0</x:v>
      </x:c>
      <x:c r="K3597" s="15" t="n">
        <x:f>F3597/'Datos'!$F$7</x:f>
        <x:v>0.0000013724496623535542</x:v>
      </x:c>
      <x:c r="L3597" s="3"/>
    </x:row>
    <x:row r="3598" ht="22" customHeight="1">
      <x:c r="A3598" s="3"/>
      <x:c r="B3598" s="3" t="str">
        <x:v>84745B</x:v>
      </x:c>
      <x:c r="C3598" s="3" t="str">
        <x:v>BLUE HANGING GINGHAM EASTER HEN</x:v>
      </x:c>
      <x:c r="D3598" s="13" t="n">
        <x:v>13.44</x:v>
      </x:c>
      <x:c r="E3598" s="13" t="n">
        <x:v>0</x:v>
      </x:c>
      <x:c r="F3598" s="13" t="n">
        <x:f>D3598-E3598</x:f>
        <x:v>13.44</x:v>
      </x:c>
      <x:c r="G3598" s="3" t="n">
        <x:v>32</x:v>
      </x:c>
      <x:c r="H3598" s="3" t="n">
        <x:v>0</x:v>
      </x:c>
      <x:c r="I3598" s="3" t="n">
        <x:v>5</x:v>
      </x:c>
      <x:c r="J3598" s="15" t="n">
        <x:f>IF(D3598=0,"n.a.",E3598/D3598)</x:f>
        <x:v>0</x:v>
      </x:c>
      <x:c r="K3598" s="15" t="n">
        <x:f>F3598/'Datos'!$F$7</x:f>
        <x:v>0.0000013724496623535542</x:v>
      </x:c>
      <x:c r="L3598" s="3"/>
    </x:row>
    <x:row r="3599" ht="22" customHeight="1">
      <x:c r="A3599" s="3"/>
      <x:c r="B3599" s="3" t="str">
        <x:v>23639</x:v>
      </x:c>
      <x:c r="C3599" s="3" t="str">
        <x:v>SET 10 CARDS MAGICAL TREE 17086</x:v>
      </x:c>
      <x:c r="D3599" s="13" t="n">
        <x:v>13.32</x:v>
      </x:c>
      <x:c r="E3599" s="13" t="n">
        <x:v>0</x:v>
      </x:c>
      <x:c r="F3599" s="13" t="n">
        <x:f>D3599-E3599</x:f>
        <x:v>13.32</x:v>
      </x:c>
      <x:c r="G3599" s="3" t="n">
        <x:v>4</x:v>
      </x:c>
      <x:c r="H3599" s="3" t="n">
        <x:v>0</x:v>
      </x:c>
      <x:c r="I3599" s="3" t="n">
        <x:v>4</x:v>
      </x:c>
      <x:c r="J3599" s="15" t="n">
        <x:f>IF(D3599=0,"n.a.",E3599/D3599)</x:f>
        <x:v>0</x:v>
      </x:c>
      <x:c r="K3599" s="15" t="n">
        <x:f>F3599/'Datos'!$F$7</x:f>
        <x:v>0.0000013601956475111119</x:v>
      </x:c>
      <x:c r="L3599" s="3"/>
    </x:row>
    <x:row r="3600" ht="22" customHeight="1">
      <x:c r="A3600" s="3"/>
      <x:c r="B3600" s="3" t="str">
        <x:v>23607</x:v>
      </x:c>
      <x:c r="C3600" s="3" t="str">
        <x:v>SET 10 CARDS HATS &amp; STOCKINGS 17081</x:v>
      </x:c>
      <x:c r="D3600" s="13" t="n">
        <x:v>13.28</x:v>
      </x:c>
      <x:c r="E3600" s="13" t="n">
        <x:v>0</x:v>
      </x:c>
      <x:c r="F3600" s="13" t="n">
        <x:f>D3600-E3600</x:f>
        <x:v>13.28</x:v>
      </x:c>
      <x:c r="G3600" s="3" t="n">
        <x:v>8</x:v>
      </x:c>
      <x:c r="H3600" s="3" t="n">
        <x:v>0</x:v>
      </x:c>
      <x:c r="I3600" s="3" t="n">
        <x:v>7</x:v>
      </x:c>
      <x:c r="J3600" s="15" t="n">
        <x:f>IF(D3600=0,"n.a.",E3600/D3600)</x:f>
        <x:v>0</x:v>
      </x:c>
      <x:c r="K3600" s="15" t="n">
        <x:f>F3600/'Datos'!$F$7</x:f>
        <x:v>0.0000013561109758969642</x:v>
      </x:c>
      <x:c r="L3600" s="3"/>
    </x:row>
    <x:row r="3601" ht="22" customHeight="1">
      <x:c r="A3601" s="3"/>
      <x:c r="B3601" s="3" t="str">
        <x:v>62043B</x:v>
      </x:c>
      <x:c r="C3601" s="3" t="str">
        <x:v>BLUE CHECK BAG W HANDLE 34X20CM</x:v>
      </x:c>
      <x:c r="D3601" s="13" t="n">
        <x:v>14.11</x:v>
      </x:c>
      <x:c r="E3601" s="13" t="n">
        <x:v>0.83</x:v>
      </x:c>
      <x:c r="F3601" s="13" t="n">
        <x:f>D3601-E3601</x:f>
        <x:v>13.28</x:v>
      </x:c>
      <x:c r="G3601" s="3" t="n">
        <x:v>17</x:v>
      </x:c>
      <x:c r="H3601" s="3" t="n">
        <x:v>1</x:v>
      </x:c>
      <x:c r="I3601" s="3" t="n">
        <x:v>5</x:v>
      </x:c>
      <x:c r="J3601" s="15" t="n">
        <x:f>IF(D3601=0,"n.a.",E3601/D3601)</x:f>
        <x:v>0.058823529411764705</x:v>
      </x:c>
      <x:c r="K3601" s="15" t="n">
        <x:f>F3601/'Datos'!$F$7</x:f>
        <x:v>0.0000013561109758969642</x:v>
      </x:c>
      <x:c r="L3601" s="3"/>
    </x:row>
    <x:row r="3602" ht="22" customHeight="1">
      <x:c r="A3602" s="3"/>
      <x:c r="B3602" s="3" t="str">
        <x:v>37491C</x:v>
      </x:c>
      <x:c r="C3602" s="3" t="str">
        <x:v>GREEN/BLUE CERAMIC CANDLE HOLDER</x:v>
      </x:c>
      <x:c r="D3602" s="13" t="n">
        <x:v>13.2</x:v>
      </x:c>
      <x:c r="E3602" s="13" t="n">
        <x:v>0</x:v>
      </x:c>
      <x:c r="F3602" s="13" t="n">
        <x:f>D3602-E3602</x:f>
        <x:v>13.2</x:v>
      </x:c>
      <x:c r="G3602" s="3" t="n">
        <x:v>8</x:v>
      </x:c>
      <x:c r="H3602" s="3" t="n">
        <x:v>0</x:v>
      </x:c>
      <x:c r="I3602" s="3" t="n">
        <x:v>1</x:v>
      </x:c>
      <x:c r="J3602" s="15" t="n">
        <x:f>IF(D3602=0,"n.a.",E3602/D3602)</x:f>
        <x:v>0</x:v>
      </x:c>
      <x:c r="K3602" s="15" t="n">
        <x:f>F3602/'Datos'!$F$7</x:f>
        <x:v>0.0000013479416326686693</x:v>
      </x:c>
      <x:c r="L3602" s="3"/>
    </x:row>
    <x:row r="3603" ht="22" customHeight="1">
      <x:c r="A3603" s="3"/>
      <x:c r="B3603" s="3" t="str">
        <x:v>84388</x:v>
      </x:c>
      <x:c r="C3603" s="3" t="str">
        <x:v>WISE MAN STAR SHAPE EGG PAN</x:v>
      </x:c>
      <x:c r="D3603" s="13" t="n">
        <x:v>13.14</x:v>
      </x:c>
      <x:c r="E3603" s="13" t="n">
        <x:v>0</x:v>
      </x:c>
      <x:c r="F3603" s="13" t="n">
        <x:f>D3603-E3603</x:f>
        <x:v>13.14</x:v>
      </x:c>
      <x:c r="G3603" s="3" t="n">
        <x:v>24</x:v>
      </x:c>
      <x:c r="H3603" s="3" t="n">
        <x:v>0</x:v>
      </x:c>
      <x:c r="I3603" s="3" t="n">
        <x:v>6</x:v>
      </x:c>
      <x:c r="J3603" s="15" t="n">
        <x:f>IF(D3603=0,"n.a.",E3603/D3603)</x:f>
        <x:v>0</x:v>
      </x:c>
      <x:c r="K3603" s="15" t="n">
        <x:f>F3603/'Datos'!$F$7</x:f>
        <x:v>0.0000013418146252474482</x:v>
      </x:c>
      <x:c r="L3603" s="3"/>
    </x:row>
    <x:row r="3604" ht="22" customHeight="1">
      <x:c r="A3604" s="3"/>
      <x:c r="B3604" s="3" t="str">
        <x:v>37462E</x:v>
      </x:c>
      <x:c r="C3604" s="3" t="str">
        <x:v>PET MUG, GOLDFISH</x:v>
      </x:c>
      <x:c r="D3604" s="13" t="n">
        <x:v>13.1</x:v>
      </x:c>
      <x:c r="E3604" s="13" t="n">
        <x:v>0</x:v>
      </x:c>
      <x:c r="F3604" s="13" t="n">
        <x:f>D3604-E3604</x:f>
        <x:v>13.1</x:v>
      </x:c>
      <x:c r="G3604" s="3" t="n">
        <x:v>36</x:v>
      </x:c>
      <x:c r="H3604" s="3" t="n">
        <x:v>0</x:v>
      </x:c>
      <x:c r="I3604" s="3" t="n">
        <x:v>12</x:v>
      </x:c>
      <x:c r="J3604" s="15" t="n">
        <x:f>IF(D3604=0,"n.a.",E3604/D3604)</x:f>
        <x:v>0</x:v>
      </x:c>
      <x:c r="K3604" s="15" t="n">
        <x:f>F3604/'Datos'!$F$7</x:f>
        <x:v>0.0000013377299536333005</x:v>
      </x:c>
      <x:c r="L3604" s="3"/>
    </x:row>
    <x:row r="3605" ht="22" customHeight="1">
      <x:c r="A3605" s="3"/>
      <x:c r="B3605" s="3" t="str">
        <x:v>16162L</x:v>
      </x:c>
      <x:c r="C3605" s="3" t="str">
        <x:v>THE KING GIFT BAG</x:v>
      </x:c>
      <x:c r="D3605" s="13" t="n">
        <x:v>13</x:v>
      </x:c>
      <x:c r="E3605" s="13" t="n">
        <x:v>0</x:v>
      </x:c>
      <x:c r="F3605" s="13" t="n">
        <x:f>D3605-E3605</x:f>
        <x:v>13</x:v>
      </x:c>
      <x:c r="G3605" s="3" t="n">
        <x:v>20</x:v>
      </x:c>
      <x:c r="H3605" s="3" t="n">
        <x:v>0</x:v>
      </x:c>
      <x:c r="I3605" s="3" t="n">
        <x:v>8</x:v>
      </x:c>
      <x:c r="J3605" s="15" t="n">
        <x:f>IF(D3605=0,"n.a.",E3605/D3605)</x:f>
        <x:v>0</x:v>
      </x:c>
      <x:c r="K3605" s="15" t="n">
        <x:f>F3605/'Datos'!$F$7</x:f>
        <x:v>0.0000013275182745979318</x:v>
      </x:c>
      <x:c r="L3605" s="3"/>
    </x:row>
    <x:row r="3606" ht="22" customHeight="1">
      <x:c r="A3606" s="3"/>
      <x:c r="B3606" s="3" t="str">
        <x:v>18097A</x:v>
      </x:c>
      <x:c r="C3606" s="3" t="str">
        <x:v>PINK TALL PORCELAIN T-LIGHT HOLDER</x:v>
      </x:c>
      <x:c r="D3606" s="13" t="n">
        <x:v>12.75</x:v>
      </x:c>
      <x:c r="E3606" s="13" t="n">
        <x:v>0</x:v>
      </x:c>
      <x:c r="F3606" s="13" t="n">
        <x:f>D3606-E3606</x:f>
        <x:v>12.75</x:v>
      </x:c>
      <x:c r="G3606" s="3" t="n">
        <x:v>5</x:v>
      </x:c>
      <x:c r="H3606" s="3" t="n">
        <x:v>0</x:v>
      </x:c>
      <x:c r="I3606" s="3" t="n">
        <x:v>4</x:v>
      </x:c>
      <x:c r="J3606" s="15" t="n">
        <x:f>IF(D3606=0,"n.a.",E3606/D3606)</x:f>
        <x:v>0</x:v>
      </x:c>
      <x:c r="K3606" s="15" t="n">
        <x:f>F3606/'Datos'!$F$7</x:f>
        <x:v>0.0000013019890770095101</x:v>
      </x:c>
      <x:c r="L3606" s="3"/>
    </x:row>
    <x:row r="3607" ht="22" customHeight="1">
      <x:c r="A3607" s="3"/>
      <x:c r="B3607" s="3" t="str">
        <x:v>21895</x:v>
      </x:c>
      <x:c r="C3607" s="3" t="str">
        <x:v>POTTING SHED SOW 'N' GROW SET</x:v>
      </x:c>
      <x:c r="D3607" s="13" t="n">
        <x:v>12.72</x:v>
      </x:c>
      <x:c r="E3607" s="13" t="n">
        <x:v>0</x:v>
      </x:c>
      <x:c r="F3607" s="13" t="n">
        <x:f>D3607-E3607</x:f>
        <x:v>12.72</x:v>
      </x:c>
      <x:c r="G3607" s="3" t="n">
        <x:v>2</x:v>
      </x:c>
      <x:c r="H3607" s="3" t="n">
        <x:v>0</x:v>
      </x:c>
      <x:c r="I3607" s="3" t="n">
        <x:v>2</x:v>
      </x:c>
      <x:c r="J3607" s="15" t="n">
        <x:f>IF(D3607=0,"n.a.",E3607/D3607)</x:f>
        <x:v>0</x:v>
      </x:c>
      <x:c r="K3607" s="15" t="n">
        <x:f>F3607/'Datos'!$F$7</x:f>
        <x:v>0.0000012989255732988996</x:v>
      </x:c>
      <x:c r="L3607" s="3"/>
    </x:row>
    <x:row r="3608" ht="22" customHeight="1">
      <x:c r="A3608" s="3"/>
      <x:c r="B3608" s="3" t="str">
        <x:v>DCGS0070</x:v>
      </x:c>
      <x:c r="C3608" s="3" t="str">
        <x:v>CAMOUFLAGE DOG COLLAR</x:v>
      </x:c>
      <x:c r="D3608" s="13" t="n">
        <x:v>12.72</x:v>
      </x:c>
      <x:c r="E3608" s="13" t="n">
        <x:v>0</x:v>
      </x:c>
      <x:c r="F3608" s="13" t="n">
        <x:f>D3608-E3608</x:f>
        <x:v>12.72</x:v>
      </x:c>
      <x:c r="G3608" s="3" t="n">
        <x:v>1</x:v>
      </x:c>
      <x:c r="H3608" s="3" t="n">
        <x:v>0</x:v>
      </x:c>
      <x:c r="I3608" s="3" t="n">
        <x:v>1</x:v>
      </x:c>
      <x:c r="J3608" s="15" t="n">
        <x:f>IF(D3608=0,"n.a.",E3608/D3608)</x:f>
        <x:v>0</x:v>
      </x:c>
      <x:c r="K3608" s="15" t="n">
        <x:f>F3608/'Datos'!$F$7</x:f>
        <x:v>0.0000012989255732988996</x:v>
      </x:c>
      <x:c r="L3608" s="3"/>
    </x:row>
    <x:row r="3609" ht="22" customHeight="1">
      <x:c r="A3609" s="3"/>
      <x:c r="B3609" s="3" t="str">
        <x:v>90042C</x:v>
      </x:c>
      <x:c r="C3609" s="3" t="str">
        <x:v>FRESHWATER PEARL BRACELET IVORY</x:v>
      </x:c>
      <x:c r="D3609" s="13" t="n">
        <x:v>12.7</x:v>
      </x:c>
      <x:c r="E3609" s="13" t="n">
        <x:v>0</x:v>
      </x:c>
      <x:c r="F3609" s="13" t="n">
        <x:f>D3609-E3609</x:f>
        <x:v>12.7</x:v>
      </x:c>
      <x:c r="G3609" s="3" t="n">
        <x:v>5</x:v>
      </x:c>
      <x:c r="H3609" s="3" t="n">
        <x:v>0</x:v>
      </x:c>
      <x:c r="I3609" s="3" t="n">
        <x:v>5</x:v>
      </x:c>
      <x:c r="J3609" s="15" t="n">
        <x:f>IF(D3609=0,"n.a.",E3609/D3609)</x:f>
        <x:v>0</x:v>
      </x:c>
      <x:c r="K3609" s="15" t="n">
        <x:f>F3609/'Datos'!$F$7</x:f>
        <x:v>0.0000012968832374918258</x:v>
      </x:c>
      <x:c r="L3609" s="3"/>
    </x:row>
    <x:row r="3610" ht="22" customHeight="1">
      <x:c r="A3610" s="3"/>
      <x:c r="B3610" s="3" t="str">
        <x:v>90055</x:v>
      </x:c>
      <x:c r="C3610" s="3" t="str">
        <x:v>CRACKED GLAZE EARRINGS BROWN</x:v>
      </x:c>
      <x:c r="D3610" s="13" t="n">
        <x:v>12.53</x:v>
      </x:c>
      <x:c r="E3610" s="13" t="n">
        <x:v>0</x:v>
      </x:c>
      <x:c r="F3610" s="13" t="n">
        <x:f>D3610-E3610</x:f>
        <x:v>12.53</x:v>
      </x:c>
      <x:c r="G3610" s="3" t="n">
        <x:v>5</x:v>
      </x:c>
      <x:c r="H3610" s="3" t="n">
        <x:v>0</x:v>
      </x:c>
      <x:c r="I3610" s="3" t="n">
        <x:v>5</x:v>
      </x:c>
      <x:c r="J3610" s="15" t="n">
        <x:f>IF(D3610=0,"n.a.",E3610/D3610)</x:f>
        <x:v>0</x:v>
      </x:c>
      <x:c r="K3610" s="15" t="n">
        <x:f>F3610/'Datos'!$F$7</x:f>
        <x:v>0.0000012795233831316988</x:v>
      </x:c>
      <x:c r="L3610" s="3"/>
    </x:row>
    <x:row r="3611" ht="22" customHeight="1">
      <x:c r="A3611" s="3"/>
      <x:c r="B3611" s="3" t="str">
        <x:v>90037C</x:v>
      </x:c>
      <x:c r="C3611" s="3" t="str">
        <x:v>TINY CRYSTAL BRACELET BLUE</x:v>
      </x:c>
      <x:c r="D3611" s="13" t="n">
        <x:v>12.52</x:v>
      </x:c>
      <x:c r="E3611" s="13" t="n">
        <x:v>0</x:v>
      </x:c>
      <x:c r="F3611" s="13" t="n">
        <x:f>D3611-E3611</x:f>
        <x:v>12.52</x:v>
      </x:c>
      <x:c r="G3611" s="3" t="n">
        <x:v>5</x:v>
      </x:c>
      <x:c r="H3611" s="3" t="n">
        <x:v>0</x:v>
      </x:c>
      <x:c r="I3611" s="3" t="n">
        <x:v>5</x:v>
      </x:c>
      <x:c r="J3611" s="15" t="n">
        <x:f>IF(D3611=0,"n.a.",E3611/D3611)</x:f>
        <x:v>0</x:v>
      </x:c>
      <x:c r="K3611" s="15" t="n">
        <x:f>F3611/'Datos'!$F$7</x:f>
        <x:v>0.000001278502215228162</x:v>
      </x:c>
      <x:c r="L3611" s="3"/>
    </x:row>
    <x:row r="3612" ht="22" customHeight="1">
      <x:c r="A3612" s="3"/>
      <x:c r="B3612" s="3" t="str">
        <x:v>20671</x:v>
      </x:c>
      <x:c r="C3612" s="3" t="str">
        <x:v>BLUE TEATIME PRINT BOWL</x:v>
      </x:c>
      <x:c r="D3612" s="13" t="n">
        <x:v>12.5</x:v>
      </x:c>
      <x:c r="E3612" s="13" t="n">
        <x:v>0</x:v>
      </x:c>
      <x:c r="F3612" s="13" t="n">
        <x:f>D3612-E3612</x:f>
        <x:v>12.5</x:v>
      </x:c>
      <x:c r="G3612" s="3" t="n">
        <x:v>10</x:v>
      </x:c>
      <x:c r="H3612" s="3" t="n">
        <x:v>0</x:v>
      </x:c>
      <x:c r="I3612" s="3" t="n">
        <x:v>2</x:v>
      </x:c>
      <x:c r="J3612" s="15" t="n">
        <x:f>IF(D3612=0,"n.a.",E3612/D3612)</x:f>
        <x:v>0</x:v>
      </x:c>
      <x:c r="K3612" s="15" t="n">
        <x:f>F3612/'Datos'!$F$7</x:f>
        <x:v>0.0000012764598794210883</x:v>
      </x:c>
      <x:c r="L3612" s="3"/>
    </x:row>
    <x:row r="3613" ht="22" customHeight="1">
      <x:c r="A3613" s="3"/>
      <x:c r="B3613" s="3" t="str">
        <x:v>23635</x:v>
      </x:c>
      <x:c r="C3613" s="3" t="str">
        <x:v>SET 10 CARDS CHRISTMAS HOLLY 17259</x:v>
      </x:c>
      <x:c r="D3613" s="13" t="n">
        <x:v>12.48</x:v>
      </x:c>
      <x:c r="E3613" s="13" t="n">
        <x:v>0</x:v>
      </x:c>
      <x:c r="F3613" s="13" t="n">
        <x:f>D3613-E3613</x:f>
        <x:v>12.48</x:v>
      </x:c>
      <x:c r="G3613" s="3" t="n">
        <x:v>3</x:v>
      </x:c>
      <x:c r="H3613" s="3" t="n">
        <x:v>0</x:v>
      </x:c>
      <x:c r="I3613" s="3" t="n">
        <x:v>3</x:v>
      </x:c>
      <x:c r="J3613" s="15" t="n">
        <x:f>IF(D3613=0,"n.a.",E3613/D3613)</x:f>
        <x:v>0</x:v>
      </x:c>
      <x:c r="K3613" s="15" t="n">
        <x:f>F3613/'Datos'!$F$7</x:f>
        <x:v>0.0000012744175436140146</x:v>
      </x:c>
      <x:c r="L3613" s="3"/>
    </x:row>
    <x:row r="3614" ht="22" customHeight="1">
      <x:c r="A3614" s="3"/>
      <x:c r="B3614" s="3" t="str">
        <x:v>90020</x:v>
      </x:c>
      <x:c r="C3614" s="3" t="str">
        <x:v>FILIGREE DIAMANTE CHAIN</x:v>
      </x:c>
      <x:c r="D3614" s="13" t="n">
        <x:v>12.48</x:v>
      </x:c>
      <x:c r="E3614" s="13" t="n">
        <x:v>0</x:v>
      </x:c>
      <x:c r="F3614" s="13" t="n">
        <x:f>D3614-E3614</x:f>
        <x:v>12.48</x:v>
      </x:c>
      <x:c r="G3614" s="3" t="n">
        <x:v>1</x:v>
      </x:c>
      <x:c r="H3614" s="3" t="n">
        <x:v>0</x:v>
      </x:c>
      <x:c r="I3614" s="3" t="n">
        <x:v>1</x:v>
      </x:c>
      <x:c r="J3614" s="15" t="n">
        <x:f>IF(D3614=0,"n.a.",E3614/D3614)</x:f>
        <x:v>0</x:v>
      </x:c>
      <x:c r="K3614" s="15" t="n">
        <x:f>F3614/'Datos'!$F$7</x:f>
        <x:v>0.0000012744175436140146</x:v>
      </x:c>
      <x:c r="L3614" s="3"/>
    </x:row>
    <x:row r="3615" ht="22" customHeight="1">
      <x:c r="A3615" s="3"/>
      <x:c r="B3615" s="3" t="str">
        <x:v>23654</x:v>
      </x:c>
      <x:c r="C3615" s="3" t="str">
        <x:v>SET 10 CARD SNOWMAN 16965</x:v>
      </x:c>
      <x:c r="D3615" s="13" t="n">
        <x:v>12.45</x:v>
      </x:c>
      <x:c r="E3615" s="13" t="n">
        <x:v>0</x:v>
      </x:c>
      <x:c r="F3615" s="13" t="n">
        <x:f>D3615-E3615</x:f>
        <x:v>12.45</x:v>
      </x:c>
      <x:c r="G3615" s="3" t="n">
        <x:v>5</x:v>
      </x:c>
      <x:c r="H3615" s="3" t="n">
        <x:v>0</x:v>
      </x:c>
      <x:c r="I3615" s="3" t="n">
        <x:v>4</x:v>
      </x:c>
      <x:c r="J3615" s="15" t="n">
        <x:f>IF(D3615=0,"n.a.",E3615/D3615)</x:f>
        <x:v>0</x:v>
      </x:c>
      <x:c r="K3615" s="15" t="n">
        <x:f>F3615/'Datos'!$F$7</x:f>
        <x:v>0.0000012713540399034039</x:v>
      </x:c>
      <x:c r="L3615" s="3"/>
    </x:row>
    <x:row r="3616" ht="22" customHeight="1">
      <x:c r="A3616" s="3"/>
      <x:c r="B3616" s="3" t="str">
        <x:v>21144</x:v>
      </x:c>
      <x:c r="C3616" s="3" t="str">
        <x:v>PINK POODLE HANGING DECORATION</x:v>
      </x:c>
      <x:c r="D3616" s="13" t="n">
        <x:v>16.8</x:v>
      </x:c>
      <x:c r="E3616" s="13" t="n">
        <x:v>4.56</x:v>
      </x:c>
      <x:c r="F3616" s="13" t="n">
        <x:f>D3616-E3616</x:f>
        <x:v>12.240000000000002</x:v>
      </x:c>
      <x:c r="G3616" s="3" t="n">
        <x:v>5</x:v>
      </x:c>
      <x:c r="H3616" s="3" t="n">
        <x:v>12</x:v>
      </x:c>
      <x:c r="I3616" s="3" t="n">
        <x:v>2</x:v>
      </x:c>
      <x:c r="J3616" s="15" t="n">
        <x:f>IF(D3616=0,"n.a.",E3616/D3616)</x:f>
        <x:v>0.2714285714285714</x:v>
      </x:c>
      <x:c r="K3616" s="15" t="n">
        <x:f>F3616/'Datos'!$F$7</x:f>
        <x:v>0.00000124990951392913</x:v>
      </x:c>
      <x:c r="L3616" s="3"/>
    </x:row>
    <x:row r="3617" ht="22" customHeight="1">
      <x:c r="A3617" s="3"/>
      <x:c r="B3617" s="3" t="str">
        <x:v>17164B</x:v>
      </x:c>
      <x:c r="C3617" s="3" t="str">
        <x:v>ASS COL SMALL SAND GECKO P'WEIGHT</x:v>
      </x:c>
      <x:c r="D3617" s="13" t="n">
        <x:v>12.18</x:v>
      </x:c>
      <x:c r="E3617" s="13" t="n">
        <x:v>0</x:v>
      </x:c>
      <x:c r="F3617" s="13" t="n">
        <x:f>D3617-E3617</x:f>
        <x:v>12.18</x:v>
      </x:c>
      <x:c r="G3617" s="3" t="n">
        <x:v>29</x:v>
      </x:c>
      <x:c r="H3617" s="3" t="n">
        <x:v>0</x:v>
      </x:c>
      <x:c r="I3617" s="3" t="n">
        <x:v>9</x:v>
      </x:c>
      <x:c r="J3617" s="15" t="n">
        <x:f>IF(D3617=0,"n.a.",E3617/D3617)</x:f>
        <x:v>0</x:v>
      </x:c>
      <x:c r="K3617" s="15" t="n">
        <x:f>F3617/'Datos'!$F$7</x:f>
        <x:v>0.0000012437825065079084</x:v>
      </x:c>
      <x:c r="L3617" s="3"/>
    </x:row>
    <x:row r="3618" ht="22" customHeight="1">
      <x:c r="A3618" s="3"/>
      <x:c r="B3618" s="3" t="str">
        <x:v>79329</x:v>
      </x:c>
      <x:c r="C3618" s="3" t="str">
        <x:v>PINK FLOCK GLASS CANDLEHOLDER</x:v>
      </x:c>
      <x:c r="D3618" s="13" t="n">
        <x:v>12.18</x:v>
      </x:c>
      <x:c r="E3618" s="13" t="n">
        <x:v>0</x:v>
      </x:c>
      <x:c r="F3618" s="13" t="n">
        <x:f>D3618-E3618</x:f>
        <x:v>12.18</x:v>
      </x:c>
      <x:c r="G3618" s="3" t="n">
        <x:v>12</x:v>
      </x:c>
      <x:c r="H3618" s="3" t="n">
        <x:v>0</x:v>
      </x:c>
      <x:c r="I3618" s="3" t="n">
        <x:v>2</x:v>
      </x:c>
      <x:c r="J3618" s="15" t="n">
        <x:f>IF(D3618=0,"n.a.",E3618/D3618)</x:f>
        <x:v>0</x:v>
      </x:c>
      <x:c r="K3618" s="15" t="n">
        <x:f>F3618/'Datos'!$F$7</x:f>
        <x:v>0.0000012437825065079084</x:v>
      </x:c>
      <x:c r="L3618" s="3"/>
    </x:row>
    <x:row r="3619" ht="22" customHeight="1">
      <x:c r="A3619" s="3"/>
      <x:c r="B3619" s="3" t="str">
        <x:v>84016</x:v>
      </x:c>
      <x:c r="C3619" s="3" t="str">
        <x:v>FLAG OF ST GEORGE CAR FLAG</x:v>
      </x:c>
      <x:c r="D3619" s="13" t="n">
        <x:v>12.16</x:v>
      </x:c>
      <x:c r="E3619" s="13" t="n">
        <x:v>0</x:v>
      </x:c>
      <x:c r="F3619" s="13" t="n">
        <x:f>D3619-E3619</x:f>
        <x:v>12.16</x:v>
      </x:c>
      <x:c r="G3619" s="3" t="n">
        <x:v>27</x:v>
      </x:c>
      <x:c r="H3619" s="3" t="n">
        <x:v>0</x:v>
      </x:c>
      <x:c r="I3619" s="3" t="n">
        <x:v>2</x:v>
      </x:c>
      <x:c r="J3619" s="15" t="n">
        <x:f>IF(D3619=0,"n.a.",E3619/D3619)</x:f>
        <x:v>0</x:v>
      </x:c>
      <x:c r="K3619" s="15" t="n">
        <x:f>F3619/'Datos'!$F$7</x:f>
        <x:v>0.0000012417401707008348</x:v>
      </x:c>
      <x:c r="L3619" s="3"/>
    </x:row>
    <x:row r="3620" ht="22" customHeight="1">
      <x:c r="A3620" s="3"/>
      <x:c r="B3620" s="3" t="str">
        <x:v>90021</x:v>
      </x:c>
      <x:c r="C3620" s="3" t="str">
        <x:v>LASER CUT MULTI STRAND NECKLACE</x:v>
      </x:c>
      <x:c r="D3620" s="13" t="n">
        <x:v>11.95</x:v>
      </x:c>
      <x:c r="E3620" s="13" t="n">
        <x:v>0</x:v>
      </x:c>
      <x:c r="F3620" s="13" t="n">
        <x:f>D3620-E3620</x:f>
        <x:v>11.95</x:v>
      </x:c>
      <x:c r="G3620" s="3" t="n">
        <x:v>1</x:v>
      </x:c>
      <x:c r="H3620" s="3" t="n">
        <x:v>0</x:v>
      </x:c>
      <x:c r="I3620" s="3" t="n">
        <x:v>1</x:v>
      </x:c>
      <x:c r="J3620" s="15" t="n">
        <x:f>IF(D3620=0,"n.a.",E3620/D3620)</x:f>
        <x:v>0</x:v>
      </x:c>
      <x:c r="K3620" s="15" t="n">
        <x:f>F3620/'Datos'!$F$7</x:f>
        <x:v>0.0000012202956447265604</x:v>
      </x:c>
      <x:c r="L3620" s="3"/>
    </x:row>
    <x:row r="3621" ht="22" customHeight="1">
      <x:c r="A3621" s="3"/>
      <x:c r="B3621" s="3" t="str">
        <x:v>90178B</x:v>
      </x:c>
      <x:c r="C3621" s="3" t="str">
        <x:v>PURPLE CHUNKY GLASS+BEAD NECKLACE</x:v>
      </x:c>
      <x:c r="D3621" s="13" t="n">
        <x:v>11.95</x:v>
      </x:c>
      <x:c r="E3621" s="13" t="n">
        <x:v>0</x:v>
      </x:c>
      <x:c r="F3621" s="13" t="n">
        <x:f>D3621-E3621</x:f>
        <x:v>11.95</x:v>
      </x:c>
      <x:c r="G3621" s="3" t="n">
        <x:v>1</x:v>
      </x:c>
      <x:c r="H3621" s="3" t="n">
        <x:v>0</x:v>
      </x:c>
      <x:c r="I3621" s="3" t="n">
        <x:v>1</x:v>
      </x:c>
      <x:c r="J3621" s="15" t="n">
        <x:f>IF(D3621=0,"n.a.",E3621/D3621)</x:f>
        <x:v>0</x:v>
      </x:c>
      <x:c r="K3621" s="15" t="n">
        <x:f>F3621/'Datos'!$F$7</x:f>
        <x:v>0.0000012202956447265604</x:v>
      </x:c>
      <x:c r="L3621" s="3"/>
    </x:row>
    <x:row r="3622" ht="22" customHeight="1">
      <x:c r="A3622" s="3"/>
      <x:c r="B3622" s="3" t="str">
        <x:v>44092B</x:v>
      </x:c>
      <x:c r="C3622" s="3" t="str">
        <x:v>BLUE WHITE PLASTIC RINGS LAMPSHADE</x:v>
      </x:c>
      <x:c r="D3622" s="13" t="n">
        <x:v>11.9</x:v>
      </x:c>
      <x:c r="E3622" s="13" t="n">
        <x:v>0</x:v>
      </x:c>
      <x:c r="F3622" s="13" t="n">
        <x:f>D3622-E3622</x:f>
        <x:v>11.9</x:v>
      </x:c>
      <x:c r="G3622" s="3" t="n">
        <x:v>14</x:v>
      </x:c>
      <x:c r="H3622" s="3" t="n">
        <x:v>0</x:v>
      </x:c>
      <x:c r="I3622" s="3" t="n">
        <x:v>5</x:v>
      </x:c>
      <x:c r="J3622" s="15" t="n">
        <x:f>IF(D3622=0,"n.a.",E3622/D3622)</x:f>
        <x:v>0</x:v>
      </x:c>
      <x:c r="K3622" s="15" t="n">
        <x:f>F3622/'Datos'!$F$7</x:f>
        <x:v>0.0000012151898052088762</x:v>
      </x:c>
      <x:c r="L3622" s="3"/>
    </x:row>
    <x:row r="3623" ht="22" customHeight="1">
      <x:c r="A3623" s="3"/>
      <x:c r="B3623" s="3" t="str">
        <x:v>84614A</x:v>
      </x:c>
      <x:c r="C3623" s="3" t="str">
        <x:v>PINK BAROQUE FLOCK CANDLE HOLDER</x:v>
      </x:c>
      <x:c r="D3623" s="13" t="n">
        <x:v>11.9</x:v>
      </x:c>
      <x:c r="E3623" s="13" t="n">
        <x:v>0</x:v>
      </x:c>
      <x:c r="F3623" s="13" t="n">
        <x:f>D3623-E3623</x:f>
        <x:v>11.9</x:v>
      </x:c>
      <x:c r="G3623" s="3" t="n">
        <x:v>2</x:v>
      </x:c>
      <x:c r="H3623" s="3" t="n">
        <x:v>0</x:v>
      </x:c>
      <x:c r="I3623" s="3" t="n">
        <x:v>1</x:v>
      </x:c>
      <x:c r="J3623" s="15" t="n">
        <x:f>IF(D3623=0,"n.a.",E3623/D3623)</x:f>
        <x:v>0</x:v>
      </x:c>
      <x:c r="K3623" s="15" t="n">
        <x:f>F3623/'Datos'!$F$7</x:f>
        <x:v>0.0000012151898052088762</x:v>
      </x:c>
      <x:c r="L3623" s="3"/>
    </x:row>
    <x:row r="3624" ht="22" customHeight="1">
      <x:c r="A3624" s="3"/>
      <x:c r="B3624" s="3" t="str">
        <x:v>84620</x:v>
      </x:c>
      <x:c r="C3624" s="3" t="str">
        <x:v>BLUE GINGHAM ROSE CUSHION COVER</x:v>
      </x:c>
      <x:c r="D3624" s="13" t="n">
        <x:v>11.9</x:v>
      </x:c>
      <x:c r="E3624" s="13" t="n">
        <x:v>0</x:v>
      </x:c>
      <x:c r="F3624" s="13" t="n">
        <x:f>D3624-E3624</x:f>
        <x:v>11.9</x:v>
      </x:c>
      <x:c r="G3624" s="3" t="n">
        <x:v>2</x:v>
      </x:c>
      <x:c r="H3624" s="3" t="n">
        <x:v>0</x:v>
      </x:c>
      <x:c r="I3624" s="3" t="n">
        <x:v>1</x:v>
      </x:c>
      <x:c r="J3624" s="15" t="n">
        <x:f>IF(D3624=0,"n.a.",E3624/D3624)</x:f>
        <x:v>0</x:v>
      </x:c>
      <x:c r="K3624" s="15" t="n">
        <x:f>F3624/'Datos'!$F$7</x:f>
        <x:v>0.0000012151898052088762</x:v>
      </x:c>
      <x:c r="L3624" s="3"/>
    </x:row>
    <x:row r="3625" ht="22" customHeight="1">
      <x:c r="A3625" s="3"/>
      <x:c r="B3625" s="3" t="str">
        <x:v>90214Z</x:v>
      </x:c>
      <x:c r="C3625" s="3" t="str">
        <x:v>LETTER "Z" BLING KEY RING</x:v>
      </x:c>
      <x:c r="D3625" s="13" t="n">
        <x:v>11.84</x:v>
      </x:c>
      <x:c r="E3625" s="13" t="n">
        <x:v>0</x:v>
      </x:c>
      <x:c r="F3625" s="13" t="n">
        <x:f>D3625-E3625</x:f>
        <x:v>11.84</x:v>
      </x:c>
      <x:c r="G3625" s="3" t="n">
        <x:v>22</x:v>
      </x:c>
      <x:c r="H3625" s="3" t="n">
        <x:v>0</x:v>
      </x:c>
      <x:c r="I3625" s="3" t="n">
        <x:v>10</x:v>
      </x:c>
      <x:c r="J3625" s="15" t="n">
        <x:f>IF(D3625=0,"n.a.",E3625/D3625)</x:f>
        <x:v>0</x:v>
      </x:c>
      <x:c r="K3625" s="15" t="n">
        <x:f>F3625/'Datos'!$F$7</x:f>
        <x:v>0.000001209062797787655</x:v>
      </x:c>
      <x:c r="L3625" s="3"/>
    </x:row>
    <x:row r="3626" ht="22" customHeight="1">
      <x:c r="A3626" s="3"/>
      <x:c r="B3626" s="3" t="str">
        <x:v>37444B</x:v>
      </x:c>
      <x:c r="C3626" s="3" t="str">
        <x:v>BLUE BREAKFAST CUP AND SAUCER</x:v>
      </x:c>
      <x:c r="D3626" s="13" t="n">
        <x:v>11.8</x:v>
      </x:c>
      <x:c r="E3626" s="13" t="n">
        <x:v>0</x:v>
      </x:c>
      <x:c r="F3626" s="13" t="n">
        <x:f>D3626-E3626</x:f>
        <x:v>11.8</x:v>
      </x:c>
      <x:c r="G3626" s="3" t="n">
        <x:v>4</x:v>
      </x:c>
      <x:c r="H3626" s="3" t="n">
        <x:v>0</x:v>
      </x:c>
      <x:c r="I3626" s="3" t="n">
        <x:v>3</x:v>
      </x:c>
      <x:c r="J3626" s="15" t="n">
        <x:f>IF(D3626=0,"n.a.",E3626/D3626)</x:f>
        <x:v>0</x:v>
      </x:c>
      <x:c r="K3626" s="15" t="n">
        <x:f>F3626/'Datos'!$F$7</x:f>
        <x:v>0.0000012049781261735075</x:v>
      </x:c>
      <x:c r="L3626" s="3"/>
    </x:row>
    <x:row r="3627" ht="22" customHeight="1">
      <x:c r="A3627" s="3"/>
      <x:c r="B3627" s="3" t="str">
        <x:v>35818B</x:v>
      </x:c>
      <x:c r="C3627" s="3" t="str">
        <x:v>ACRYLIC JEWEL ICICLE, BLUE</x:v>
      </x:c>
      <x:c r="D3627" s="13" t="n">
        <x:v>11.78</x:v>
      </x:c>
      <x:c r="E3627" s="13" t="n">
        <x:v>0</x:v>
      </x:c>
      <x:c r="F3627" s="13" t="n">
        <x:f>D3627-E3627</x:f>
        <x:v>11.78</x:v>
      </x:c>
      <x:c r="G3627" s="3" t="n">
        <x:v>31</x:v>
      </x:c>
      <x:c r="H3627" s="3" t="n">
        <x:v>0</x:v>
      </x:c>
      <x:c r="I3627" s="3" t="n">
        <x:v>3</x:v>
      </x:c>
      <x:c r="J3627" s="15" t="n">
        <x:f>IF(D3627=0,"n.a.",E3627/D3627)</x:f>
        <x:v>0</x:v>
      </x:c>
      <x:c r="K3627" s="15" t="n">
        <x:f>F3627/'Datos'!$F$7</x:f>
        <x:v>0.0000012029357903664336</x:v>
      </x:c>
      <x:c r="L3627" s="3"/>
    </x:row>
    <x:row r="3628" ht="22" customHeight="1">
      <x:c r="A3628" s="3"/>
      <x:c r="B3628" s="3" t="str">
        <x:v>16043</x:v>
      </x:c>
      <x:c r="C3628" s="3" t="str">
        <x:v>POP ART PUSH DOWN RUBBER</x:v>
      </x:c>
      <x:c r="D3628" s="13" t="n">
        <x:v>11.76</x:v>
      </x:c>
      <x:c r="E3628" s="13" t="n">
        <x:v>0</x:v>
      </x:c>
      <x:c r="F3628" s="13" t="n">
        <x:f>D3628-E3628</x:f>
        <x:v>11.76</x:v>
      </x:c>
      <x:c r="G3628" s="3" t="n">
        <x:v>98</x:v>
      </x:c>
      <x:c r="H3628" s="3" t="n">
        <x:v>0</x:v>
      </x:c>
      <x:c r="I3628" s="3" t="n">
        <x:v>2</x:v>
      </x:c>
      <x:c r="J3628" s="15" t="n">
        <x:f>IF(D3628=0,"n.a.",E3628/D3628)</x:f>
        <x:v>0</x:v>
      </x:c>
      <x:c r="K3628" s="15" t="n">
        <x:f>F3628/'Datos'!$F$7</x:f>
        <x:v>0.0000012008934545593598</x:v>
      </x:c>
      <x:c r="L3628" s="3"/>
    </x:row>
    <x:row r="3629" ht="22" customHeight="1">
      <x:c r="A3629" s="3"/>
      <x:c r="B3629" s="3" t="str">
        <x:v>16162M</x:v>
      </x:c>
      <x:c r="C3629" s="3" t="str">
        <x:v>THE KING GIFT BAG 25x24x12cm</x:v>
      </x:c>
      <x:c r="D3629" s="13" t="n">
        <x:v>11.76</x:v>
      </x:c>
      <x:c r="E3629" s="13" t="n">
        <x:v>0</x:v>
      </x:c>
      <x:c r="F3629" s="13" t="n">
        <x:f>D3629-E3629</x:f>
        <x:v>11.76</x:v>
      </x:c>
      <x:c r="G3629" s="3" t="n">
        <x:v>28</x:v>
      </x:c>
      <x:c r="H3629" s="3" t="n">
        <x:v>0</x:v>
      </x:c>
      <x:c r="I3629" s="3" t="n">
        <x:v>8</x:v>
      </x:c>
      <x:c r="J3629" s="15" t="n">
        <x:f>IF(D3629=0,"n.a.",E3629/D3629)</x:f>
        <x:v>0</x:v>
      </x:c>
      <x:c r="K3629" s="15" t="n">
        <x:f>F3629/'Datos'!$F$7</x:f>
        <x:v>0.0000012008934545593598</x:v>
      </x:c>
      <x:c r="L3629" s="3"/>
    </x:row>
    <x:row r="3630" ht="22" customHeight="1">
      <x:c r="A3630" s="3"/>
      <x:c r="B3630" s="3" t="str">
        <x:v>23605</x:v>
      </x:c>
      <x:c r="C3630" s="3" t="str">
        <x:v>SET 10 CARDS 12 DAYS OF XMAS 17059</x:v>
      </x:c>
      <x:c r="D3630" s="13" t="n">
        <x:v>11.64</x:v>
      </x:c>
      <x:c r="E3630" s="13" t="n">
        <x:v>0</x:v>
      </x:c>
      <x:c r="F3630" s="13" t="n">
        <x:f>D3630-E3630</x:f>
        <x:v>11.64</x:v>
      </x:c>
      <x:c r="G3630" s="3" t="n">
        <x:v>4</x:v>
      </x:c>
      <x:c r="H3630" s="3" t="n">
        <x:v>0</x:v>
      </x:c>
      <x:c r="I3630" s="3" t="n">
        <x:v>1</x:v>
      </x:c>
      <x:c r="J3630" s="15" t="n">
        <x:f>IF(D3630=0,"n.a.",E3630/D3630)</x:f>
        <x:v>0</x:v>
      </x:c>
      <x:c r="K3630" s="15" t="n">
        <x:f>F3630/'Datos'!$F$7</x:f>
        <x:v>0.0000011886394397169174</x:v>
      </x:c>
      <x:c r="L3630" s="3"/>
    </x:row>
    <x:row r="3631" ht="22" customHeight="1">
      <x:c r="A3631" s="3"/>
      <x:c r="B3631" s="3" t="str">
        <x:v>23608</x:v>
      </x:c>
      <x:c r="C3631" s="3" t="str">
        <x:v>SET 10 CARDS RUDOLPHS NOSE 17097</x:v>
      </x:c>
      <x:c r="D3631" s="13" t="n">
        <x:v>11.64</x:v>
      </x:c>
      <x:c r="E3631" s="13" t="n">
        <x:v>0</x:v>
      </x:c>
      <x:c r="F3631" s="13" t="n">
        <x:f>D3631-E3631</x:f>
        <x:v>11.64</x:v>
      </x:c>
      <x:c r="G3631" s="3" t="n">
        <x:v>4</x:v>
      </x:c>
      <x:c r="H3631" s="3" t="n">
        <x:v>0</x:v>
      </x:c>
      <x:c r="I3631" s="3" t="n">
        <x:v>3</x:v>
      </x:c>
      <x:c r="J3631" s="15" t="n">
        <x:f>IF(D3631=0,"n.a.",E3631/D3631)</x:f>
        <x:v>0</x:v>
      </x:c>
      <x:c r="K3631" s="15" t="n">
        <x:f>F3631/'Datos'!$F$7</x:f>
        <x:v>0.0000011886394397169174</x:v>
      </x:c>
      <x:c r="L3631" s="3"/>
    </x:row>
    <x:row r="3632" ht="22" customHeight="1">
      <x:c r="A3632" s="3"/>
      <x:c r="B3632" s="3" t="str">
        <x:v>71050</x:v>
      </x:c>
      <x:c r="C3632" s="3" t="str">
        <x:v>SMALL SINGLE FLAME CANDLE HOLDER</x:v>
      </x:c>
      <x:c r="D3632" s="13" t="n">
        <x:v>11.55</x:v>
      </x:c>
      <x:c r="E3632" s="13" t="n">
        <x:v>0</x:v>
      </x:c>
      <x:c r="F3632" s="13" t="n">
        <x:f>D3632-E3632</x:f>
        <x:v>11.55</x:v>
      </x:c>
      <x:c r="G3632" s="3" t="n">
        <x:v>33</x:v>
      </x:c>
      <x:c r="H3632" s="3" t="n">
        <x:v>0</x:v>
      </x:c>
      <x:c r="I3632" s="3" t="n">
        <x:v>6</x:v>
      </x:c>
      <x:c r="J3632" s="15" t="n">
        <x:f>IF(D3632=0,"n.a.",E3632/D3632)</x:f>
        <x:v>0</x:v>
      </x:c>
      <x:c r="K3632" s="15" t="n">
        <x:f>F3632/'Datos'!$F$7</x:f>
        <x:v>0.0000011794489285850858</x:v>
      </x:c>
      <x:c r="L3632" s="3"/>
    </x:row>
    <x:row r="3633" ht="22" customHeight="1">
      <x:c r="A3633" s="3"/>
      <x:c r="B3633" s="3" t="str">
        <x:v>72798C</x:v>
      </x:c>
      <x:c r="C3633" s="3" t="str">
        <x:v>SET/4 GARDEN ROSE DINNER CANDLE</x:v>
      </x:c>
      <x:c r="D3633" s="13" t="n">
        <x:v>11.55</x:v>
      </x:c>
      <x:c r="E3633" s="13" t="n">
        <x:v>0</x:v>
      </x:c>
      <x:c r="F3633" s="13" t="n">
        <x:f>D3633-E3633</x:f>
        <x:v>11.55</x:v>
      </x:c>
      <x:c r="G3633" s="3" t="n">
        <x:v>7</x:v>
      </x:c>
      <x:c r="H3633" s="3" t="n">
        <x:v>0</x:v>
      </x:c>
      <x:c r="I3633" s="3" t="n">
        <x:v>3</x:v>
      </x:c>
      <x:c r="J3633" s="15" t="n">
        <x:f>IF(D3633=0,"n.a.",E3633/D3633)</x:f>
        <x:v>0</x:v>
      </x:c>
      <x:c r="K3633" s="15" t="n">
        <x:f>F3633/'Datos'!$F$7</x:f>
        <x:v>0.0000011794489285850858</x:v>
      </x:c>
      <x:c r="L3633" s="3"/>
    </x:row>
    <x:row r="3634" ht="22" customHeight="1">
      <x:c r="A3634" s="3"/>
      <x:c r="B3634" s="3" t="str">
        <x:v>47013C</x:v>
      </x:c>
      <x:c r="C3634" s="3" t="str">
        <x:v>WINE BOTTLE DRESSING DARK BLUE</x:v>
      </x:c>
      <x:c r="D3634" s="13" t="n">
        <x:v>12.97</x:v>
      </x:c>
      <x:c r="E3634" s="13" t="n">
        <x:v>1.44</x:v>
      </x:c>
      <x:c r="F3634" s="13" t="n">
        <x:f>D3634-E3634</x:f>
        <x:v>11.530000000000001</x:v>
      </x:c>
      <x:c r="G3634" s="3" t="n">
        <x:v>52</x:v>
      </x:c>
      <x:c r="H3634" s="3" t="n">
        <x:v>12</x:v>
      </x:c>
      <x:c r="I3634" s="3" t="n">
        <x:v>12</x:v>
      </x:c>
      <x:c r="J3634" s="15" t="n">
        <x:f>IF(D3634=0,"n.a.",E3634/D3634)</x:f>
        <x:v>0.1110254433307633</x:v>
      </x:c>
      <x:c r="K3634" s="15" t="n">
        <x:f>F3634/'Datos'!$F$7</x:f>
        <x:v>0.000001177406592778012</x:v>
      </x:c>
      <x:c r="L3634" s="3"/>
    </x:row>
    <x:row r="3635" ht="22" customHeight="1">
      <x:c r="A3635" s="3"/>
      <x:c r="B3635" s="3" t="str">
        <x:v>90152B</x:v>
      </x:c>
      <x:c r="C3635" s="3" t="str">
        <x:v>BLUE/GREEN SHELL NECKLACE W PENDANT</x:v>
      </x:c>
      <x:c r="D3635" s="13" t="n">
        <x:v>11.46</x:v>
      </x:c>
      <x:c r="E3635" s="13" t="n">
        <x:v>0</x:v>
      </x:c>
      <x:c r="F3635" s="13" t="n">
        <x:f>D3635-E3635</x:f>
        <x:v>11.46</x:v>
      </x:c>
      <x:c r="G3635" s="3" t="n">
        <x:v>2</x:v>
      </x:c>
      <x:c r="H3635" s="3" t="n">
        <x:v>0</x:v>
      </x:c>
      <x:c r="I3635" s="3" t="n">
        <x:v>2</x:v>
      </x:c>
      <x:c r="J3635" s="15" t="n">
        <x:f>IF(D3635=0,"n.a.",E3635/D3635)</x:f>
        <x:v>0</x:v>
      </x:c>
      <x:c r="K3635" s="15" t="n">
        <x:f>F3635/'Datos'!$F$7</x:f>
        <x:v>0.000001170258417453254</x:v>
      </x:c>
      <x:c r="L3635" s="3"/>
    </x:row>
    <x:row r="3636" ht="22" customHeight="1">
      <x:c r="A3636" s="3"/>
      <x:c r="B3636" s="3" t="str">
        <x:v>90025D</x:v>
      </x:c>
      <x:c r="C3636" s="3" t="str">
        <x:v>BAROQUE BUTTERFLY EARRINGS PINK</x:v>
      </x:c>
      <x:c r="D3636" s="13" t="n">
        <x:v>11.19</x:v>
      </x:c>
      <x:c r="E3636" s="13" t="n">
        <x:v>0</x:v>
      </x:c>
      <x:c r="F3636" s="13" t="n">
        <x:f>D3636-E3636</x:f>
        <x:v>11.19</x:v>
      </x:c>
      <x:c r="G3636" s="3" t="n">
        <x:v>3</x:v>
      </x:c>
      <x:c r="H3636" s="3" t="n">
        <x:v>0</x:v>
      </x:c>
      <x:c r="I3636" s="3" t="n">
        <x:v>3</x:v>
      </x:c>
      <x:c r="J3636" s="15" t="n">
        <x:f>IF(D3636=0,"n.a.",E3636/D3636)</x:f>
        <x:v>0</x:v>
      </x:c>
      <x:c r="K3636" s="15" t="n">
        <x:f>F3636/'Datos'!$F$7</x:f>
        <x:v>0.0000011426868840577583</x:v>
      </x:c>
      <x:c r="L3636" s="3"/>
    </x:row>
    <x:row r="3637" ht="22" customHeight="1">
      <x:c r="A3637" s="3"/>
      <x:c r="B3637" s="3" t="str">
        <x:v>37488A</x:v>
      </x:c>
      <x:c r="C3637" s="3" t="str">
        <x:v>YELLOW PINK FLOWER DESIGN BIG BOWL</x:v>
      </x:c>
      <x:c r="D3637" s="13" t="n">
        <x:v>10.92</x:v>
      </x:c>
      <x:c r="E3637" s="13" t="n">
        <x:v>0</x:v>
      </x:c>
      <x:c r="F3637" s="13" t="n">
        <x:f>D3637-E3637</x:f>
        <x:v>10.92</x:v>
      </x:c>
      <x:c r="G3637" s="3" t="n">
        <x:v>28</x:v>
      </x:c>
      <x:c r="H3637" s="3" t="n">
        <x:v>0</x:v>
      </x:c>
      <x:c r="I3637" s="3" t="n">
        <x:v>3</x:v>
      </x:c>
      <x:c r="J3637" s="15" t="n">
        <x:f>IF(D3637=0,"n.a.",E3637/D3637)</x:f>
        <x:v>0</x:v>
      </x:c>
      <x:c r="K3637" s="15" t="n">
        <x:f>F3637/'Datos'!$F$7</x:f>
        <x:v>0.0000011151153506622628</x:v>
      </x:c>
      <x:c r="L3637" s="3"/>
    </x:row>
    <x:row r="3638" ht="22" customHeight="1">
      <x:c r="A3638" s="3"/>
      <x:c r="B3638" s="3" t="str">
        <x:v>79026B</x:v>
      </x:c>
      <x:c r="C3638" s="3" t="str">
        <x:v>S/4 ICON COASTER,ELVIS LIVES</x:v>
      </x:c>
      <x:c r="D3638" s="13" t="n">
        <x:v>10.61</x:v>
      </x:c>
      <x:c r="E3638" s="13" t="n">
        <x:v>0</x:v>
      </x:c>
      <x:c r="F3638" s="13" t="n">
        <x:f>D3638-E3638</x:f>
        <x:v>10.61</x:v>
      </x:c>
      <x:c r="G3638" s="3" t="n">
        <x:v>25</x:v>
      </x:c>
      <x:c r="H3638" s="3" t="n">
        <x:v>0</x:v>
      </x:c>
      <x:c r="I3638" s="3" t="n">
        <x:v>9</x:v>
      </x:c>
      <x:c r="J3638" s="15" t="n">
        <x:f>IF(D3638=0,"n.a.",E3638/D3638)</x:f>
        <x:v>0</x:v>
      </x:c>
      <x:c r="K3638" s="15" t="n">
        <x:f>F3638/'Datos'!$F$7</x:f>
        <x:v>0.0000010834591456526196</x:v>
      </x:c>
      <x:c r="L3638" s="3"/>
    </x:row>
    <x:row r="3639" ht="22" customHeight="1">
      <x:c r="A3639" s="3"/>
      <x:c r="B3639" s="3" t="str">
        <x:v>16161M</x:v>
      </x:c>
      <x:c r="C3639" s="3" t="str">
        <x:v>WRAP PINK FLOCK</x:v>
      </x:c>
      <x:c r="D3639" s="13" t="n">
        <x:v>10.5</x:v>
      </x:c>
      <x:c r="E3639" s="13" t="n">
        <x:v>0</x:v>
      </x:c>
      <x:c r="F3639" s="13" t="n">
        <x:f>D3639-E3639</x:f>
        <x:v>10.5</x:v>
      </x:c>
      <x:c r="G3639" s="3" t="n">
        <x:v>25</x:v>
      </x:c>
      <x:c r="H3639" s="3" t="n">
        <x:v>0</x:v>
      </x:c>
      <x:c r="I3639" s="3" t="n">
        <x:v>1</x:v>
      </x:c>
      <x:c r="J3639" s="15" t="n">
        <x:f>IF(D3639=0,"n.a.",E3639/D3639)</x:f>
        <x:v>0</x:v>
      </x:c>
      <x:c r="K3639" s="15" t="n">
        <x:f>F3639/'Datos'!$F$7</x:f>
        <x:v>0.0000010722262987137142</x:v>
      </x:c>
      <x:c r="L3639" s="3"/>
    </x:row>
    <x:row r="3640" ht="22" customHeight="1">
      <x:c r="A3640" s="3"/>
      <x:c r="B3640" s="3" t="str">
        <x:v>16169N</x:v>
      </x:c>
      <x:c r="C3640" s="3" t="str">
        <x:v>WRAP BLUE RUSSIAN FOLKART</x:v>
      </x:c>
      <x:c r="D3640" s="13" t="n">
        <x:v>10.5</x:v>
      </x:c>
      <x:c r="E3640" s="13" t="n">
        <x:v>0</x:v>
      </x:c>
      <x:c r="F3640" s="13" t="n">
        <x:f>D3640-E3640</x:f>
        <x:v>10.5</x:v>
      </x:c>
      <x:c r="G3640" s="3" t="n">
        <x:v>25</x:v>
      </x:c>
      <x:c r="H3640" s="3" t="n">
        <x:v>0</x:v>
      </x:c>
      <x:c r="I3640" s="3" t="n">
        <x:v>1</x:v>
      </x:c>
      <x:c r="J3640" s="15" t="n">
        <x:f>IF(D3640=0,"n.a.",E3640/D3640)</x:f>
        <x:v>0</x:v>
      </x:c>
      <x:c r="K3640" s="15" t="n">
        <x:f>F3640/'Datos'!$F$7</x:f>
        <x:v>0.0000010722262987137142</x:v>
      </x:c>
      <x:c r="L3640" s="3"/>
    </x:row>
    <x:row r="3641" ht="22" customHeight="1">
      <x:c r="A3641" s="3"/>
      <x:c r="B3641" s="3" t="str">
        <x:v>35966</x:v>
      </x:c>
      <x:c r="C3641" s="3" t="str">
        <x:v>FOLKART CHRISTMAS TREE T-LIGHT HOLD</x:v>
      </x:c>
      <x:c r="D3641" s="13" t="n">
        <x:v>10.26</x:v>
      </x:c>
      <x:c r="E3641" s="13" t="n">
        <x:v>0</x:v>
      </x:c>
      <x:c r="F3641" s="13" t="n">
        <x:f>D3641-E3641</x:f>
        <x:v>10.26</x:v>
      </x:c>
      <x:c r="G3641" s="3" t="n">
        <x:v>27</x:v>
      </x:c>
      <x:c r="H3641" s="3" t="n">
        <x:v>0</x:v>
      </x:c>
      <x:c r="I3641" s="3" t="n">
        <x:v>2</x:v>
      </x:c>
      <x:c r="J3641" s="15" t="n">
        <x:f>IF(D3641=0,"n.a.",E3641/D3641)</x:f>
        <x:v>0</x:v>
      </x:c>
      <x:c r="K3641" s="15" t="n">
        <x:f>F3641/'Datos'!$F$7</x:f>
        <x:v>0.0000010477182690288292</x:v>
      </x:c>
      <x:c r="L3641" s="3"/>
    </x:row>
    <x:row r="3642" ht="22" customHeight="1">
      <x:c r="A3642" s="3"/>
      <x:c r="B3642" s="3" t="str">
        <x:v>35958</x:v>
      </x:c>
      <x:c r="C3642" s="3" t="str">
        <x:v>FOLKART ZINC STAR CHRISTMAS DEC</x:v>
      </x:c>
      <x:c r="D3642" s="13" t="n">
        <x:v>10.2</x:v>
      </x:c>
      <x:c r="E3642" s="13" t="n">
        <x:v>0</x:v>
      </x:c>
      <x:c r="F3642" s="13" t="n">
        <x:f>D3642-E3642</x:f>
        <x:v>10.2</x:v>
      </x:c>
      <x:c r="G3642" s="3" t="n">
        <x:v>12</x:v>
      </x:c>
      <x:c r="H3642" s="3" t="n">
        <x:v>0</x:v>
      </x:c>
      <x:c r="I3642" s="3" t="n">
        <x:v>3</x:v>
      </x:c>
      <x:c r="J3642" s="15" t="n">
        <x:f>IF(D3642=0,"n.a.",E3642/D3642)</x:f>
        <x:v>0</x:v>
      </x:c>
      <x:c r="K3642" s="15" t="n">
        <x:f>F3642/'Datos'!$F$7</x:f>
        <x:v>0.000001041591261607608</x:v>
      </x:c>
      <x:c r="L3642" s="3"/>
    </x:row>
    <x:row r="3643" ht="22" customHeight="1">
      <x:c r="A3643" s="3"/>
      <x:c r="B3643" s="3" t="str">
        <x:v>40005B</x:v>
      </x:c>
      <x:c r="C3643" s="3" t="str">
        <x:v>BLUE ORGANDY ROUND LAMPSHADE W BEA</x:v>
      </x:c>
      <x:c r="D3643" s="13" t="n">
        <x:v>10.2</x:v>
      </x:c>
      <x:c r="E3643" s="13" t="n">
        <x:v>0</x:v>
      </x:c>
      <x:c r="F3643" s="13" t="n">
        <x:f>D3643-E3643</x:f>
        <x:v>10.2</x:v>
      </x:c>
      <x:c r="G3643" s="3" t="n">
        <x:v>12</x:v>
      </x:c>
      <x:c r="H3643" s="3" t="n">
        <x:v>0</x:v>
      </x:c>
      <x:c r="I3643" s="3" t="n">
        <x:v>4</x:v>
      </x:c>
      <x:c r="J3643" s="15" t="n">
        <x:f>IF(D3643=0,"n.a.",E3643/D3643)</x:f>
        <x:v>0</x:v>
      </x:c>
      <x:c r="K3643" s="15" t="n">
        <x:f>F3643/'Datos'!$F$7</x:f>
        <x:v>0.000001041591261607608</x:v>
      </x:c>
      <x:c r="L3643" s="3"/>
    </x:row>
    <x:row r="3644" ht="22" customHeight="1">
      <x:c r="A3644" s="3"/>
      <x:c r="B3644" s="3" t="str">
        <x:v>85109</x:v>
      </x:c>
      <x:c r="C3644" s="3" t="str">
        <x:v>PINK BOUDOIR T-LIGHT HOLDER</x:v>
      </x:c>
      <x:c r="D3644" s="13" t="n">
        <x:v>10.2</x:v>
      </x:c>
      <x:c r="E3644" s="13" t="n">
        <x:v>0</x:v>
      </x:c>
      <x:c r="F3644" s="13" t="n">
        <x:f>D3644-E3644</x:f>
        <x:v>10.2</x:v>
      </x:c>
      <x:c r="G3644" s="3" t="n">
        <x:v>12</x:v>
      </x:c>
      <x:c r="H3644" s="3" t="n">
        <x:v>0</x:v>
      </x:c>
      <x:c r="I3644" s="3" t="n">
        <x:v>1</x:v>
      </x:c>
      <x:c r="J3644" s="15" t="n">
        <x:f>IF(D3644=0,"n.a.",E3644/D3644)</x:f>
        <x:v>0</x:v>
      </x:c>
      <x:c r="K3644" s="15" t="n">
        <x:f>F3644/'Datos'!$F$7</x:f>
        <x:v>0.000001041591261607608</x:v>
      </x:c>
      <x:c r="L3644" s="3"/>
    </x:row>
    <x:row r="3645" ht="22" customHeight="1">
      <x:c r="A3645" s="3"/>
      <x:c r="B3645" s="3" t="str">
        <x:v>44089C</x:v>
      </x:c>
      <x:c r="C3645" s="3" t="str">
        <x:v>LILAC GAUZE BUTTERFLY LAMPSHADE</x:v>
      </x:c>
      <x:c r="D3645" s="13" t="n">
        <x:v>10.08</x:v>
      </x:c>
      <x:c r="E3645" s="13" t="n">
        <x:v>0</x:v>
      </x:c>
      <x:c r="F3645" s="13" t="n">
        <x:f>D3645-E3645</x:f>
        <x:v>10.08</x:v>
      </x:c>
      <x:c r="G3645" s="3" t="n">
        <x:v>24</x:v>
      </x:c>
      <x:c r="H3645" s="3" t="n">
        <x:v>0</x:v>
      </x:c>
      <x:c r="I3645" s="3" t="n">
        <x:v>6</x:v>
      </x:c>
      <x:c r="J3645" s="15" t="n">
        <x:f>IF(D3645=0,"n.a.",E3645/D3645)</x:f>
        <x:v>0</x:v>
      </x:c>
      <x:c r="K3645" s="15" t="n">
        <x:f>F3645/'Datos'!$F$7</x:f>
        <x:v>0.0000010293372467651656</x:v>
      </x:c>
      <x:c r="L3645" s="3"/>
    </x:row>
    <x:row r="3646" ht="22" customHeight="1">
      <x:c r="A3646" s="3"/>
      <x:c r="B3646" s="3" t="str">
        <x:v>90053</x:v>
      </x:c>
      <x:c r="C3646" s="3" t="str">
        <x:v>CRACKED GLAZE EARRINGS IVORY</x:v>
      </x:c>
      <x:c r="D3646" s="13" t="n">
        <x:v>9.99</x:v>
      </x:c>
      <x:c r="E3646" s="13" t="n">
        <x:v>0</x:v>
      </x:c>
      <x:c r="F3646" s="13" t="n">
        <x:f>D3646-E3646</x:f>
        <x:v>9.99</x:v>
      </x:c>
      <x:c r="G3646" s="3" t="n">
        <x:v>4</x:v>
      </x:c>
      <x:c r="H3646" s="3" t="n">
        <x:v>0</x:v>
      </x:c>
      <x:c r="I3646" s="3" t="n">
        <x:v>4</x:v>
      </x:c>
      <x:c r="J3646" s="15" t="n">
        <x:f>IF(D3646=0,"n.a.",E3646/D3646)</x:f>
        <x:v>0</x:v>
      </x:c>
      <x:c r="K3646" s="15" t="n">
        <x:f>F3646/'Datos'!$F$7</x:f>
        <x:v>0.0000010201467356333337</x:v>
      </x:c>
      <x:c r="L3646" s="3"/>
    </x:row>
    <x:row r="3647" ht="22" customHeight="1">
      <x:c r="A3647" s="3"/>
      <x:c r="B3647" s="3" t="str">
        <x:v>23615</x:v>
      </x:c>
      <x:c r="C3647" s="3" t="str">
        <x:v>SET 10 CARDS PRINTED GRAPHIC 17219</x:v>
      </x:c>
      <x:c r="D3647" s="13" t="n">
        <x:v>9.96</x:v>
      </x:c>
      <x:c r="E3647" s="13" t="n">
        <x:v>0</x:v>
      </x:c>
      <x:c r="F3647" s="13" t="n">
        <x:f>D3647-E3647</x:f>
        <x:v>9.96</x:v>
      </x:c>
      <x:c r="G3647" s="3" t="n">
        <x:v>4</x:v>
      </x:c>
      <x:c r="H3647" s="3" t="n">
        <x:v>0</x:v>
      </x:c>
      <x:c r="I3647" s="3" t="n">
        <x:v>4</x:v>
      </x:c>
      <x:c r="J3647" s="15" t="n">
        <x:f>IF(D3647=0,"n.a.",E3647/D3647)</x:f>
        <x:v>0</x:v>
      </x:c>
      <x:c r="K3647" s="15" t="n">
        <x:f>F3647/'Datos'!$F$7</x:f>
        <x:v>0.0000010170832319227232</x:v>
      </x:c>
      <x:c r="L3647" s="3"/>
    </x:row>
    <x:row r="3648" ht="22" customHeight="1">
      <x:c r="A3648" s="3"/>
      <x:c r="B3648" s="3" t="str">
        <x:v>23619</x:v>
      </x:c>
      <x:c r="C3648" s="3" t="str">
        <x:v>SET 10 CARDS POINSETTIA 17093</x:v>
      </x:c>
      <x:c r="D3648" s="13" t="n">
        <x:v>9.96</x:v>
      </x:c>
      <x:c r="E3648" s="13" t="n">
        <x:v>0</x:v>
      </x:c>
      <x:c r="F3648" s="13" t="n">
        <x:f>D3648-E3648</x:f>
        <x:v>9.96</x:v>
      </x:c>
      <x:c r="G3648" s="3" t="n">
        <x:v>4</x:v>
      </x:c>
      <x:c r="H3648" s="3" t="n">
        <x:v>0</x:v>
      </x:c>
      <x:c r="I3648" s="3" t="n">
        <x:v>2</x:v>
      </x:c>
      <x:c r="J3648" s="15" t="n">
        <x:f>IF(D3648=0,"n.a.",E3648/D3648)</x:f>
        <x:v>0</x:v>
      </x:c>
      <x:c r="K3648" s="15" t="n">
        <x:f>F3648/'Datos'!$F$7</x:f>
        <x:v>0.0000010170832319227232</x:v>
      </x:c>
      <x:c r="L3648" s="3"/>
    </x:row>
    <x:row r="3649" ht="22" customHeight="1">
      <x:c r="A3649" s="3"/>
      <x:c r="B3649" s="3" t="str">
        <x:v>23624</x:v>
      </x:c>
      <x:c r="C3649" s="3" t="str">
        <x:v>SET 10 CARD PERFECT NATIVITY 17089</x:v>
      </x:c>
      <x:c r="D3649" s="13" t="n">
        <x:v>9.96</x:v>
      </x:c>
      <x:c r="E3649" s="13" t="n">
        <x:v>0</x:v>
      </x:c>
      <x:c r="F3649" s="13" t="n">
        <x:f>D3649-E3649</x:f>
        <x:v>9.96</x:v>
      </x:c>
      <x:c r="G3649" s="3" t="n">
        <x:v>4</x:v>
      </x:c>
      <x:c r="H3649" s="3" t="n">
        <x:v>0</x:v>
      </x:c>
      <x:c r="I3649" s="3" t="n">
        <x:v>4</x:v>
      </x:c>
      <x:c r="J3649" s="15" t="n">
        <x:f>IF(D3649=0,"n.a.",E3649/D3649)</x:f>
        <x:v>0</x:v>
      </x:c>
      <x:c r="K3649" s="15" t="n">
        <x:f>F3649/'Datos'!$F$7</x:f>
        <x:v>0.0000010170832319227232</x:v>
      </x:c>
      <x:c r="L3649" s="3"/>
    </x:row>
    <x:row r="3650" ht="22" customHeight="1">
      <x:c r="A3650" s="3"/>
      <x:c r="B3650" s="3" t="str">
        <x:v>23650</x:v>
      </x:c>
      <x:c r="C3650" s="3" t="str">
        <x:v>SET 10 CARDS FILIGREE BAUBLE 16961</x:v>
      </x:c>
      <x:c r="D3650" s="13" t="n">
        <x:v>9.96</x:v>
      </x:c>
      <x:c r="E3650" s="13" t="n">
        <x:v>0</x:v>
      </x:c>
      <x:c r="F3650" s="13" t="n">
        <x:f>D3650-E3650</x:f>
        <x:v>9.96</x:v>
      </x:c>
      <x:c r="G3650" s="3" t="n">
        <x:v>4</x:v>
      </x:c>
      <x:c r="H3650" s="3" t="n">
        <x:v>0</x:v>
      </x:c>
      <x:c r="I3650" s="3" t="n">
        <x:v>4</x:v>
      </x:c>
      <x:c r="J3650" s="15" t="n">
        <x:f>IF(D3650=0,"n.a.",E3650/D3650)</x:f>
        <x:v>0</x:v>
      </x:c>
      <x:c r="K3650" s="15" t="n">
        <x:f>F3650/'Datos'!$F$7</x:f>
        <x:v>0.0000010170832319227232</x:v>
      </x:c>
      <x:c r="L3650" s="3"/>
    </x:row>
    <x:row r="3651" ht="22" customHeight="1">
      <x:c r="A3651" s="3"/>
      <x:c r="B3651" s="3" t="str">
        <x:v>37474</x:v>
      </x:c>
      <x:c r="C3651" s="3" t="str">
        <x:v>SET/4 2 TONE EGG SHAPE MIXING BOWLS</x:v>
      </x:c>
      <x:c r="D3651" s="13" t="n">
        <x:v>9.95</x:v>
      </x:c>
      <x:c r="E3651" s="13" t="n">
        <x:v>0</x:v>
      </x:c>
      <x:c r="F3651" s="13" t="n">
        <x:f>D3651-E3651</x:f>
        <x:v>9.95</x:v>
      </x:c>
      <x:c r="G3651" s="3" t="n">
        <x:v>1</x:v>
      </x:c>
      <x:c r="H3651" s="3" t="n">
        <x:v>0</x:v>
      </x:c>
      <x:c r="I3651" s="3" t="n">
        <x:v>1</x:v>
      </x:c>
      <x:c r="J3651" s="15" t="n">
        <x:f>IF(D3651=0,"n.a.",E3651/D3651)</x:f>
        <x:v>0</x:v>
      </x:c>
      <x:c r="K3651" s="15" t="n">
        <x:f>F3651/'Datos'!$F$7</x:f>
        <x:v>0.0000010160620640191863</x:v>
      </x:c>
      <x:c r="L3651" s="3"/>
    </x:row>
    <x:row r="3652" ht="22" customHeight="1">
      <x:c r="A3652" s="3"/>
      <x:c r="B3652" s="3" t="str">
        <x:v>84689</x:v>
      </x:c>
      <x:c r="C3652" s="3" t="str">
        <x:v>S/2 BEACH HUT TREASURE CHESTS</x:v>
      </x:c>
      <x:c r="D3652" s="13" t="n">
        <x:v>9.95</x:v>
      </x:c>
      <x:c r="E3652" s="13" t="n">
        <x:v>0</x:v>
      </x:c>
      <x:c r="F3652" s="13" t="n">
        <x:f>D3652-E3652</x:f>
        <x:v>9.95</x:v>
      </x:c>
      <x:c r="G3652" s="3" t="n">
        <x:v>3</x:v>
      </x:c>
      <x:c r="H3652" s="3" t="n">
        <x:v>0</x:v>
      </x:c>
      <x:c r="I3652" s="3" t="n">
        <x:v>2</x:v>
      </x:c>
      <x:c r="J3652" s="15" t="n">
        <x:f>IF(D3652=0,"n.a.",E3652/D3652)</x:f>
        <x:v>0</x:v>
      </x:c>
      <x:c r="K3652" s="15" t="n">
        <x:f>F3652/'Datos'!$F$7</x:f>
        <x:v>0.0000010160620640191863</x:v>
      </x:c>
      <x:c r="L3652" s="3"/>
    </x:row>
    <x:row r="3653" ht="22" customHeight="1">
      <x:c r="A3653" s="3"/>
      <x:c r="B3653" s="3" t="str">
        <x:v>DCGS0003</x:v>
      </x:c>
      <x:c r="C3653" s="3" t="str">
        <x:v>BOXED GLASS ASHTRAY</x:v>
      </x:c>
      <x:c r="D3653" s="13" t="n">
        <x:v>9.94</x:v>
      </x:c>
      <x:c r="E3653" s="13" t="n">
        <x:v>0</x:v>
      </x:c>
      <x:c r="F3653" s="13" t="n">
        <x:f>D3653-E3653</x:f>
        <x:v>9.94</x:v>
      </x:c>
      <x:c r="G3653" s="3" t="n">
        <x:v>4</x:v>
      </x:c>
      <x:c r="H3653" s="3" t="n">
        <x:v>0</x:v>
      </x:c>
      <x:c r="I3653" s="3" t="n">
        <x:v>4</x:v>
      </x:c>
      <x:c r="J3653" s="15" t="n">
        <x:f>IF(D3653=0,"n.a.",E3653/D3653)</x:f>
        <x:v>0</x:v>
      </x:c>
      <x:c r="K3653" s="15" t="n">
        <x:f>F3653/'Datos'!$F$7</x:f>
        <x:v>0.0000010150408961156494</x:v>
      </x:c>
      <x:c r="L3653" s="3"/>
    </x:row>
    <x:row r="3654" ht="22" customHeight="1">
      <x:c r="A3654" s="3"/>
      <x:c r="B3654" s="3" t="str">
        <x:v>37491D</x:v>
      </x:c>
      <x:c r="C3654" s="3" t="str">
        <x:v>PURPLE/BLUE CERAMIC CANDLE HOLDER</x:v>
      </x:c>
      <x:c r="D3654" s="13" t="n">
        <x:v>9.88</x:v>
      </x:c>
      <x:c r="E3654" s="13" t="n">
        <x:v>0</x:v>
      </x:c>
      <x:c r="F3654" s="13" t="n">
        <x:f>D3654-E3654</x:f>
        <x:v>9.88</x:v>
      </x:c>
      <x:c r="G3654" s="3" t="n">
        <x:v>4</x:v>
      </x:c>
      <x:c r="H3654" s="3" t="n">
        <x:v>0</x:v>
      </x:c>
      <x:c r="I3654" s="3" t="n">
        <x:v>2</x:v>
      </x:c>
      <x:c r="J3654" s="15" t="n">
        <x:f>IF(D3654=0,"n.a.",E3654/D3654)</x:f>
        <x:v>0</x:v>
      </x:c>
      <x:c r="K3654" s="15" t="n">
        <x:f>F3654/'Datos'!$F$7</x:f>
        <x:v>0.0000010089138886944283</x:v>
      </x:c>
      <x:c r="L3654" s="3"/>
    </x:row>
    <x:row r="3655" ht="22" customHeight="1">
      <x:c r="A3655" s="3"/>
      <x:c r="B3655" s="3" t="str">
        <x:v>44242A</x:v>
      </x:c>
      <x:c r="C3655" s="3" t="str">
        <x:v>LILAC FEATHERS CURTAIN</x:v>
      </x:c>
      <x:c r="D3655" s="13" t="n">
        <x:v>9.48</x:v>
      </x:c>
      <x:c r="E3655" s="13" t="n">
        <x:v>0</x:v>
      </x:c>
      <x:c r="F3655" s="13" t="n">
        <x:f>D3655-E3655</x:f>
        <x:v>9.48</x:v>
      </x:c>
      <x:c r="G3655" s="3" t="n">
        <x:v>12</x:v>
      </x:c>
      <x:c r="H3655" s="3" t="n">
        <x:v>0</x:v>
      </x:c>
      <x:c r="I3655" s="3" t="n">
        <x:v>1</x:v>
      </x:c>
      <x:c r="J3655" s="15" t="n">
        <x:f>IF(D3655=0,"n.a.",E3655/D3655)</x:f>
        <x:v>0</x:v>
      </x:c>
      <x:c r="K3655" s="15" t="n">
        <x:f>F3655/'Datos'!$F$7</x:f>
        <x:v>9.680671725529535e-7</x:v>
      </x:c>
      <x:c r="L3655" s="3"/>
    </x:row>
    <x:row r="3656" ht="22" customHeight="1">
      <x:c r="A3656" s="3"/>
      <x:c r="B3656" s="3" t="str">
        <x:v>23441</x:v>
      </x:c>
      <x:c r="C3656" s="3" t="str">
        <x:v>HAND PAINTED HANGING EASTER EGG</x:v>
      </x:c>
      <x:c r="D3656" s="13" t="n">
        <x:v>9.24</x:v>
      </x:c>
      <x:c r="E3656" s="13" t="n">
        <x:v>0</x:v>
      </x:c>
      <x:c r="F3656" s="13" t="n">
        <x:f>D3656-E3656</x:f>
        <x:v>9.24</x:v>
      </x:c>
      <x:c r="G3656" s="3" t="n">
        <x:v>22</x:v>
      </x:c>
      <x:c r="H3656" s="3" t="n">
        <x:v>0</x:v>
      </x:c>
      <x:c r="I3656" s="3" t="n">
        <x:v>3</x:v>
      </x:c>
      <x:c r="J3656" s="15" t="n">
        <x:f>IF(D3656=0,"n.a.",E3656/D3656)</x:f>
        <x:v>0</x:v>
      </x:c>
      <x:c r="K3656" s="15" t="n">
        <x:f>F3656/'Datos'!$F$7</x:f>
        <x:v>9.435591428680686e-7</x:v>
      </x:c>
      <x:c r="L3656" s="3"/>
    </x:row>
    <x:row r="3657" ht="22" customHeight="1">
      <x:c r="A3657" s="3"/>
      <x:c r="B3657" s="3" t="str">
        <x:v>35809B</x:v>
      </x:c>
      <x:c r="C3657" s="3" t="str">
        <x:v>ENAMEL BLUE RIM TEA CONTAINER</x:v>
      </x:c>
      <x:c r="D3657" s="13" t="n">
        <x:v>9.18</x:v>
      </x:c>
      <x:c r="E3657" s="13" t="n">
        <x:v>0</x:v>
      </x:c>
      <x:c r="F3657" s="13" t="n">
        <x:f>D3657-E3657</x:f>
        <x:v>9.18</x:v>
      </x:c>
      <x:c r="G3657" s="3" t="n">
        <x:v>8</x:v>
      </x:c>
      <x:c r="H3657" s="3" t="n">
        <x:v>0</x:v>
      </x:c>
      <x:c r="I3657" s="3" t="n">
        <x:v>3</x:v>
      </x:c>
      <x:c r="J3657" s="15" t="n">
        <x:f>IF(D3657=0,"n.a.",E3657/D3657)</x:f>
        <x:v>0</x:v>
      </x:c>
      <x:c r="K3657" s="15" t="n">
        <x:f>F3657/'Datos'!$F$7</x:f>
        <x:v>9.374321354468473e-7</x:v>
      </x:c>
      <x:c r="L3657" s="3"/>
    </x:row>
    <x:row r="3658" ht="22" customHeight="1">
      <x:c r="A3658" s="3"/>
      <x:c r="B3658" s="3" t="str">
        <x:v>90181C</x:v>
      </x:c>
      <x:c r="C3658" s="3" t="str">
        <x:v>BLACK GLASS/SHELL/PEARL NECKLACE</x:v>
      </x:c>
      <x:c r="D3658" s="13" t="n">
        <x:v>9.15</x:v>
      </x:c>
      <x:c r="E3658" s="13" t="n">
        <x:v>0</x:v>
      </x:c>
      <x:c r="F3658" s="13" t="n">
        <x:f>D3658-E3658</x:f>
        <x:v>9.15</x:v>
      </x:c>
      <x:c r="G3658" s="3" t="n">
        <x:v>1</x:v>
      </x:c>
      <x:c r="H3658" s="3" t="n">
        <x:v>0</x:v>
      </x:c>
      <x:c r="I3658" s="3" t="n">
        <x:v>1</x:v>
      </x:c>
      <x:c r="J3658" s="15" t="n">
        <x:f>IF(D3658=0,"n.a.",E3658/D3658)</x:f>
        <x:v>0</x:v>
      </x:c>
      <x:c r="K3658" s="15" t="n">
        <x:f>F3658/'Datos'!$F$7</x:f>
        <x:v>9.343686317362367e-7</x:v>
      </x:c>
      <x:c r="L3658" s="3"/>
    </x:row>
    <x:row r="3659" ht="22" customHeight="1">
      <x:c r="A3659" s="3"/>
      <x:c r="B3659" s="3" t="str">
        <x:v>37351</x:v>
      </x:c>
      <x:c r="C3659" s="3" t="str">
        <x:v>ORANGE FLOWER MUG</x:v>
      </x:c>
      <x:c r="D3659" s="13" t="n">
        <x:v>9.06</x:v>
      </x:c>
      <x:c r="E3659" s="13" t="n">
        <x:v>0</x:v>
      </x:c>
      <x:c r="F3659" s="13" t="n">
        <x:f>D3659-E3659</x:f>
        <x:v>9.06</x:v>
      </x:c>
      <x:c r="G3659" s="3" t="n">
        <x:v>10</x:v>
      </x:c>
      <x:c r="H3659" s="3" t="n">
        <x:v>0</x:v>
      </x:c>
      <x:c r="I3659" s="3" t="n">
        <x:v>2</x:v>
      </x:c>
      <x:c r="J3659" s="15" t="n">
        <x:f>IF(D3659=0,"n.a.",E3659/D3659)</x:f>
        <x:v>0</x:v>
      </x:c>
      <x:c r="K3659" s="15" t="n">
        <x:f>F3659/'Datos'!$F$7</x:f>
        <x:v>9.251781206044049e-7</x:v>
      </x:c>
      <x:c r="L3659" s="3"/>
    </x:row>
    <x:row r="3660" ht="22" customHeight="1">
      <x:c r="A3660" s="3"/>
      <x:c r="B3660" s="3" t="str">
        <x:v>81950V</x:v>
      </x:c>
      <x:c r="C3660" s="3" t="str">
        <x:v>FLOWER PURPLE CLOCK WITH SUCKER</x:v>
      </x:c>
      <x:c r="D3660" s="13" t="n">
        <x:v>8.89</x:v>
      </x:c>
      <x:c r="E3660" s="13" t="n">
        <x:v>0</x:v>
      </x:c>
      <x:c r="F3660" s="13" t="n">
        <x:f>D3660-E3660</x:f>
        <x:v>8.89</x:v>
      </x:c>
      <x:c r="G3660" s="3" t="n">
        <x:v>21</x:v>
      </x:c>
      <x:c r="H3660" s="3" t="n">
        <x:v>0</x:v>
      </x:c>
      <x:c r="I3660" s="3" t="n">
        <x:v>6</x:v>
      </x:c>
      <x:c r="J3660" s="15" t="n">
        <x:f>IF(D3660=0,"n.a.",E3660/D3660)</x:f>
        <x:v>0</x:v>
      </x:c>
      <x:c r="K3660" s="15" t="n">
        <x:f>F3660/'Datos'!$F$7</x:f>
        <x:v>9.07818266244278e-7</x:v>
      </x:c>
      <x:c r="L3660" s="3"/>
    </x:row>
    <x:row r="3661" ht="22" customHeight="1">
      <x:c r="A3661" s="3"/>
      <x:c r="B3661" s="3" t="str">
        <x:v>20906</x:v>
      </x:c>
      <x:c r="C3661" s="3" t="str">
        <x:v>VINTAGE NOTEBOOK BEAUTY GIRL</x:v>
      </x:c>
      <x:c r="D3661" s="13" t="n">
        <x:v>8.85</x:v>
      </x:c>
      <x:c r="E3661" s="13" t="n">
        <x:v>0</x:v>
      </x:c>
      <x:c r="F3661" s="13" t="n">
        <x:f>D3661-E3661</x:f>
        <x:v>8.85</x:v>
      </x:c>
      <x:c r="G3661" s="3" t="n">
        <x:v>3</x:v>
      </x:c>
      <x:c r="H3661" s="3" t="n">
        <x:v>0</x:v>
      </x:c>
      <x:c r="I3661" s="3" t="n">
        <x:v>2</x:v>
      </x:c>
      <x:c r="J3661" s="15" t="n">
        <x:f>IF(D3661=0,"n.a.",E3661/D3661)</x:f>
        <x:v>0</x:v>
      </x:c>
      <x:c r="K3661" s="15" t="n">
        <x:f>F3661/'Datos'!$F$7</x:f>
        <x:v>9.037335946301305e-7</x:v>
      </x:c>
      <x:c r="L3661" s="3"/>
    </x:row>
    <x:row r="3662" ht="22" customHeight="1">
      <x:c r="A3662" s="3"/>
      <x:c r="B3662" s="3" t="str">
        <x:v>45013</x:v>
      </x:c>
      <x:c r="C3662" s="3" t="str">
        <x:v>FOLDING SHOE TIDY</x:v>
      </x:c>
      <x:c r="D3662" s="13" t="n">
        <x:v>8.85</x:v>
      </x:c>
      <x:c r="E3662" s="13" t="n">
        <x:v>0</x:v>
      </x:c>
      <x:c r="F3662" s="13" t="n">
        <x:f>D3662-E3662</x:f>
        <x:v>8.85</x:v>
      </x:c>
      <x:c r="G3662" s="3" t="n">
        <x:v>3</x:v>
      </x:c>
      <x:c r="H3662" s="3" t="n">
        <x:v>0</x:v>
      </x:c>
      <x:c r="I3662" s="3" t="n">
        <x:v>2</x:v>
      </x:c>
      <x:c r="J3662" s="15" t="n">
        <x:f>IF(D3662=0,"n.a.",E3662/D3662)</x:f>
        <x:v>0</x:v>
      </x:c>
      <x:c r="K3662" s="15" t="n">
        <x:f>F3662/'Datos'!$F$7</x:f>
        <x:v>9.037335946301305e-7</x:v>
      </x:c>
      <x:c r="L3662" s="3"/>
    </x:row>
    <x:row r="3663" ht="22" customHeight="1">
      <x:c r="A3663" s="3"/>
      <x:c r="B3663" s="3" t="str">
        <x:v>84773</x:v>
      </x:c>
      <x:c r="C3663" s="3" t="str">
        <x:v>RED ROSE AND LACE C/COVER</x:v>
      </x:c>
      <x:c r="D3663" s="13" t="n">
        <x:v>8.85</x:v>
      </x:c>
      <x:c r="E3663" s="13" t="n">
        <x:v>0</x:v>
      </x:c>
      <x:c r="F3663" s="13" t="n">
        <x:f>D3663-E3663</x:f>
        <x:v>8.85</x:v>
      </x:c>
      <x:c r="G3663" s="3" t="n">
        <x:v>3</x:v>
      </x:c>
      <x:c r="H3663" s="3" t="n">
        <x:v>0</x:v>
      </x:c>
      <x:c r="I3663" s="3" t="n">
        <x:v>1</x:v>
      </x:c>
      <x:c r="J3663" s="15" t="n">
        <x:f>IF(D3663=0,"n.a.",E3663/D3663)</x:f>
        <x:v>0</x:v>
      </x:c>
      <x:c r="K3663" s="15" t="n">
        <x:f>F3663/'Datos'!$F$7</x:f>
        <x:v>9.037335946301305e-7</x:v>
      </x:c>
      <x:c r="L3663" s="3"/>
    </x:row>
    <x:row r="3664" ht="22" customHeight="1">
      <x:c r="A3664" s="3"/>
      <x:c r="B3664" s="3" t="str">
        <x:v>90077</x:v>
      </x:c>
      <x:c r="C3664" s="3" t="str">
        <x:v>BLACK DIAMOND CLUSTER EARRINGS</x:v>
      </x:c>
      <x:c r="D3664" s="13" t="n">
        <x:v>8.82</x:v>
      </x:c>
      <x:c r="E3664" s="13" t="n">
        <x:v>0</x:v>
      </x:c>
      <x:c r="F3664" s="13" t="n">
        <x:f>D3664-E3664</x:f>
        <x:v>8.82</x:v>
      </x:c>
      <x:c r="G3664" s="3" t="n">
        <x:v>3</x:v>
      </x:c>
      <x:c r="H3664" s="3" t="n">
        <x:v>0</x:v>
      </x:c>
      <x:c r="I3664" s="3" t="n">
        <x:v>3</x:v>
      </x:c>
      <x:c r="J3664" s="15" t="n">
        <x:f>IF(D3664=0,"n.a.",E3664/D3664)</x:f>
        <x:v>0</x:v>
      </x:c>
      <x:c r="K3664" s="15" t="n">
        <x:f>F3664/'Datos'!$F$7</x:f>
        <x:v>9.0067009091952e-7</x:v>
      </x:c>
      <x:c r="L3664" s="3"/>
    </x:row>
    <x:row r="3665" ht="22" customHeight="1">
      <x:c r="A3665" s="3"/>
      <x:c r="B3665" s="3" t="str">
        <x:v>90011D</x:v>
      </x:c>
      <x:c r="C3665" s="3" t="str">
        <x:v>PURPLE CRYSTAL DROP EARRINGS</x:v>
      </x:c>
      <x:c r="D3665" s="13" t="n">
        <x:v>8.76</x:v>
      </x:c>
      <x:c r="E3665" s="13" t="n">
        <x:v>0</x:v>
      </x:c>
      <x:c r="F3665" s="13" t="n">
        <x:f>D3665-E3665</x:f>
        <x:v>8.76</x:v>
      </x:c>
      <x:c r="G3665" s="3" t="n">
        <x:v>3</x:v>
      </x:c>
      <x:c r="H3665" s="3" t="n">
        <x:v>0</x:v>
      </x:c>
      <x:c r="I3665" s="3" t="n">
        <x:v>3</x:v>
      </x:c>
      <x:c r="J3665" s="15" t="n">
        <x:f>IF(D3665=0,"n.a.",E3665/D3665)</x:f>
        <x:v>0</x:v>
      </x:c>
      <x:c r="K3665" s="15" t="n">
        <x:f>F3665/'Datos'!$F$7</x:f>
        <x:v>8.945430834982987e-7</x:v>
      </x:c>
      <x:c r="L3665" s="3"/>
    </x:row>
    <x:row r="3666" ht="22" customHeight="1">
      <x:c r="A3666" s="3"/>
      <x:c r="B3666" s="3" t="str">
        <x:v>90011E</x:v>
      </x:c>
      <x:c r="C3666" s="3" t="str">
        <x:v>AMBER CRYSTAL DROP EARRINGS</x:v>
      </x:c>
      <x:c r="D3666" s="13" t="n">
        <x:v>8.76</x:v>
      </x:c>
      <x:c r="E3666" s="13" t="n">
        <x:v>0</x:v>
      </x:c>
      <x:c r="F3666" s="13" t="n">
        <x:f>D3666-E3666</x:f>
        <x:v>8.76</x:v>
      </x:c>
      <x:c r="G3666" s="3" t="n">
        <x:v>3</x:v>
      </x:c>
      <x:c r="H3666" s="3" t="n">
        <x:v>0</x:v>
      </x:c>
      <x:c r="I3666" s="3" t="n">
        <x:v>3</x:v>
      </x:c>
      <x:c r="J3666" s="15" t="n">
        <x:f>IF(D3666=0,"n.a.",E3666/D3666)</x:f>
        <x:v>0</x:v>
      </x:c>
      <x:c r="K3666" s="15" t="n">
        <x:f>F3666/'Datos'!$F$7</x:f>
        <x:v>8.945430834982987e-7</x:v>
      </x:c>
      <x:c r="L3666" s="3"/>
    </x:row>
    <x:row r="3667" ht="22" customHeight="1">
      <x:c r="A3667" s="3"/>
      <x:c r="B3667" s="3" t="str">
        <x:v>90027B</x:v>
      </x:c>
      <x:c r="C3667" s="3" t="str">
        <x:v>GLASS BEAD HOOP EARRINGS MONTANA</x:v>
      </x:c>
      <x:c r="D3667" s="13" t="n">
        <x:v>8.76</x:v>
      </x:c>
      <x:c r="E3667" s="13" t="n">
        <x:v>0</x:v>
      </x:c>
      <x:c r="F3667" s="13" t="n">
        <x:f>D3667-E3667</x:f>
        <x:v>8.76</x:v>
      </x:c>
      <x:c r="G3667" s="3" t="n">
        <x:v>3</x:v>
      </x:c>
      <x:c r="H3667" s="3" t="n">
        <x:v>0</x:v>
      </x:c>
      <x:c r="I3667" s="3" t="n">
        <x:v>3</x:v>
      </x:c>
      <x:c r="J3667" s="15" t="n">
        <x:f>IF(D3667=0,"n.a.",E3667/D3667)</x:f>
        <x:v>0</x:v>
      </x:c>
      <x:c r="K3667" s="15" t="n">
        <x:f>F3667/'Datos'!$F$7</x:f>
        <x:v>8.945430834982987e-7</x:v>
      </x:c>
      <x:c r="L3667" s="3"/>
    </x:row>
    <x:row r="3668" ht="22" customHeight="1">
      <x:c r="A3668" s="3"/>
      <x:c r="B3668" s="3" t="str">
        <x:v>16206B</x:v>
      </x:c>
      <x:c r="C3668" s="3" t="str">
        <x:v>RED PURSE WITH PINK HEART</x:v>
      </x:c>
      <x:c r="D3668" s="13" t="n">
        <x:v>8.75</x:v>
      </x:c>
      <x:c r="E3668" s="13" t="n">
        <x:v>0</x:v>
      </x:c>
      <x:c r="F3668" s="13" t="n">
        <x:f>D3668-E3668</x:f>
        <x:v>8.75</x:v>
      </x:c>
      <x:c r="G3668" s="3" t="n">
        <x:v>7</x:v>
      </x:c>
      <x:c r="H3668" s="3" t="n">
        <x:v>0</x:v>
      </x:c>
      <x:c r="I3668" s="3" t="n">
        <x:v>2</x:v>
      </x:c>
      <x:c r="J3668" s="15" t="n">
        <x:f>IF(D3668=0,"n.a.",E3668/D3668)</x:f>
        <x:v>0</x:v>
      </x:c>
      <x:c r="K3668" s="15" t="n">
        <x:f>F3668/'Datos'!$F$7</x:f>
        <x:v>8.935219155947618e-7</x:v>
      </x:c>
      <x:c r="L3668" s="3"/>
    </x:row>
    <x:row r="3669" ht="22" customHeight="1">
      <x:c r="A3669" s="3"/>
      <x:c r="B3669" s="3" t="str">
        <x:v>90130D</x:v>
      </x:c>
      <x:c r="C3669" s="3" t="str">
        <x:v>RED STONE/CRYSTAL EARRINGS</x:v>
      </x:c>
      <x:c r="D3669" s="13" t="n">
        <x:v>8.7</x:v>
      </x:c>
      <x:c r="E3669" s="13" t="n">
        <x:v>0</x:v>
      </x:c>
      <x:c r="F3669" s="13" t="n">
        <x:f>D3669-E3669</x:f>
        <x:v>8.7</x:v>
      </x:c>
      <x:c r="G3669" s="3" t="n">
        <x:v>3</x:v>
      </x:c>
      <x:c r="H3669" s="3" t="n">
        <x:v>0</x:v>
      </x:c>
      <x:c r="I3669" s="3" t="n">
        <x:v>3</x:v>
      </x:c>
      <x:c r="J3669" s="15" t="n">
        <x:f>IF(D3669=0,"n.a.",E3669/D3669)</x:f>
        <x:v>0</x:v>
      </x:c>
      <x:c r="K3669" s="15" t="n">
        <x:f>F3669/'Datos'!$F$7</x:f>
        <x:v>8.884160760770774e-7</x:v>
      </x:c>
      <x:c r="L3669" s="3"/>
    </x:row>
    <x:row r="3670" ht="22" customHeight="1">
      <x:c r="A3670" s="3"/>
      <x:c r="B3670" s="3" t="str">
        <x:v>84732B</x:v>
      </x:c>
      <x:c r="C3670" s="3" t="str">
        <x:v>CUTE BIRD CEATURE SCREEN</x:v>
      </x:c>
      <x:c r="D3670" s="13" t="n">
        <x:v>8.58</x:v>
      </x:c>
      <x:c r="E3670" s="13" t="n">
        <x:v>0</x:v>
      </x:c>
      <x:c r="F3670" s="13" t="n">
        <x:f>D3670-E3670</x:f>
        <x:v>8.58</x:v>
      </x:c>
      <x:c r="G3670" s="3" t="n">
        <x:v>22</x:v>
      </x:c>
      <x:c r="H3670" s="3" t="n">
        <x:v>0</x:v>
      </x:c>
      <x:c r="I3670" s="3" t="n">
        <x:v>2</x:v>
      </x:c>
      <x:c r="J3670" s="15" t="n">
        <x:f>IF(D3670=0,"n.a.",E3670/D3670)</x:f>
        <x:v>0</x:v>
      </x:c>
      <x:c r="K3670" s="15" t="n">
        <x:f>F3670/'Datos'!$F$7</x:f>
        <x:v>8.76162061234635e-7</x:v>
      </x:c>
      <x:c r="L3670" s="3"/>
    </x:row>
    <x:row r="3671" ht="22" customHeight="1">
      <x:c r="A3671" s="3"/>
      <x:c r="B3671" s="3" t="str">
        <x:v>44265</x:v>
      </x:c>
      <x:c r="C3671" s="3" t="str">
        <x:v>M/COLOUR POM-POM CURTAIN</x:v>
      </x:c>
      <x:c r="D3671" s="13" t="n">
        <x:v>8.5</x:v>
      </x:c>
      <x:c r="E3671" s="13" t="n">
        <x:v>0</x:v>
      </x:c>
      <x:c r="F3671" s="13" t="n">
        <x:f>D3671-E3671</x:f>
        <x:v>8.5</x:v>
      </x:c>
      <x:c r="G3671" s="3" t="n">
        <x:v>2</x:v>
      </x:c>
      <x:c r="H3671" s="3" t="n">
        <x:v>0</x:v>
      </x:c>
      <x:c r="I3671" s="3" t="n">
        <x:v>1</x:v>
      </x:c>
      <x:c r="J3671" s="15" t="n">
        <x:f>IF(D3671=0,"n.a.",E3671/D3671)</x:f>
        <x:v>0</x:v>
      </x:c>
      <x:c r="K3671" s="15" t="n">
        <x:f>F3671/'Datos'!$F$7</x:f>
        <x:v>8.679927180063401e-7</x:v>
      </x:c>
      <x:c r="L3671" s="3"/>
    </x:row>
    <x:row r="3672" ht="22" customHeight="1">
      <x:c r="A3672" s="3"/>
      <x:c r="B3672" s="3" t="str">
        <x:v>90102</x:v>
      </x:c>
      <x:c r="C3672" s="3" t="str">
        <x:v>WHITE FRANGIPANI HAIR CLIP</x:v>
      </x:c>
      <x:c r="D3672" s="13" t="n">
        <x:v>8.5</x:v>
      </x:c>
      <x:c r="E3672" s="13" t="n">
        <x:v>0</x:v>
      </x:c>
      <x:c r="F3672" s="13" t="n">
        <x:f>D3672-E3672</x:f>
        <x:v>8.5</x:v>
      </x:c>
      <x:c r="G3672" s="3" t="n">
        <x:v>10</x:v>
      </x:c>
      <x:c r="H3672" s="3" t="n">
        <x:v>0</x:v>
      </x:c>
      <x:c r="I3672" s="3" t="n">
        <x:v>1</x:v>
      </x:c>
      <x:c r="J3672" s="15" t="n">
        <x:f>IF(D3672=0,"n.a.",E3672/D3672)</x:f>
        <x:v>0</x:v>
      </x:c>
      <x:c r="K3672" s="15" t="n">
        <x:f>F3672/'Datos'!$F$7</x:f>
        <x:v>8.679927180063401e-7</x:v>
      </x:c>
      <x:c r="L3672" s="3"/>
    </x:row>
    <x:row r="3673" ht="22" customHeight="1">
      <x:c r="A3673" s="3"/>
      <x:c r="B3673" s="3" t="str">
        <x:v>90167</x:v>
      </x:c>
      <x:c r="C3673" s="3" t="str">
        <x:v>BEADED LOVE HEART JEWELLERY SET</x:v>
      </x:c>
      <x:c r="D3673" s="13" t="n">
        <x:v>8.5</x:v>
      </x:c>
      <x:c r="E3673" s="13" t="n">
        <x:v>0</x:v>
      </x:c>
      <x:c r="F3673" s="13" t="n">
        <x:f>D3673-E3673</x:f>
        <x:v>8.5</x:v>
      </x:c>
      <x:c r="G3673" s="3" t="n">
        <x:v>10</x:v>
      </x:c>
      <x:c r="H3673" s="3" t="n">
        <x:v>0</x:v>
      </x:c>
      <x:c r="I3673" s="3" t="n">
        <x:v>1</x:v>
      </x:c>
      <x:c r="J3673" s="15" t="n">
        <x:f>IF(D3673=0,"n.a.",E3673/D3673)</x:f>
        <x:v>0</x:v>
      </x:c>
      <x:c r="K3673" s="15" t="n">
        <x:f>F3673/'Datos'!$F$7</x:f>
        <x:v>8.679927180063401e-7</x:v>
      </x:c>
      <x:c r="L3673" s="3"/>
    </x:row>
    <x:row r="3674" ht="22" customHeight="1">
      <x:c r="A3674" s="3"/>
      <x:c r="B3674" s="3" t="str">
        <x:v>21410</x:v>
      </x:c>
      <x:c r="C3674" s="3" t="str">
        <x:v>COUNTRY COTTAGE DOORSTOP GREEN</x:v>
      </x:c>
      <x:c r="D3674" s="13" t="n">
        <x:v>8.47</x:v>
      </x:c>
      <x:c r="E3674" s="13" t="n">
        <x:v>0</x:v>
      </x:c>
      <x:c r="F3674" s="13" t="n">
        <x:f>D3674-E3674</x:f>
        <x:v>8.47</x:v>
      </x:c>
      <x:c r="G3674" s="3" t="n">
        <x:v>1</x:v>
      </x:c>
      <x:c r="H3674" s="3" t="n">
        <x:v>0</x:v>
      </x:c>
      <x:c r="I3674" s="3" t="n">
        <x:v>1</x:v>
      </x:c>
      <x:c r="J3674" s="15" t="n">
        <x:f>IF(D3674=0,"n.a.",E3674/D3674)</x:f>
        <x:v>0</x:v>
      </x:c>
      <x:c r="K3674" s="15" t="n">
        <x:f>F3674/'Datos'!$F$7</x:f>
        <x:v>8.649292142957295e-7</x:v>
      </x:c>
      <x:c r="L3674" s="3"/>
    </x:row>
    <x:row r="3675" ht="22" customHeight="1">
      <x:c r="A3675" s="3"/>
      <x:c r="B3675" s="3" t="str">
        <x:v>72803B</x:v>
      </x:c>
      <x:c r="C3675" s="3" t="str">
        <x:v>OCEAN SCENT CANDLE JEWELLED DRAWER</x:v>
      </x:c>
      <x:c r="D3675" s="13" t="n">
        <x:v>8.47</x:v>
      </x:c>
      <x:c r="E3675" s="13" t="n">
        <x:v>0</x:v>
      </x:c>
      <x:c r="F3675" s="13" t="n">
        <x:f>D3675-E3675</x:f>
        <x:v>8.47</x:v>
      </x:c>
      <x:c r="G3675" s="3" t="n">
        <x:v>1</x:v>
      </x:c>
      <x:c r="H3675" s="3" t="n">
        <x:v>0</x:v>
      </x:c>
      <x:c r="I3675" s="3" t="n">
        <x:v>1</x:v>
      </x:c>
      <x:c r="J3675" s="15" t="n">
        <x:f>IF(D3675=0,"n.a.",E3675/D3675)</x:f>
        <x:v>0</x:v>
      </x:c>
      <x:c r="K3675" s="15" t="n">
        <x:f>F3675/'Datos'!$F$7</x:f>
        <x:v>8.649292142957295e-7</x:v>
      </x:c>
      <x:c r="L3675" s="3"/>
    </x:row>
    <x:row r="3676" ht="22" customHeight="1">
      <x:c r="A3676" s="3"/>
      <x:c r="B3676" s="3" t="str">
        <x:v>84975</x:v>
      </x:c>
      <x:c r="C3676" s="3" t="str">
        <x:v>HEART SHAPED MIRROR</x:v>
      </x:c>
      <x:c r="D3676" s="13" t="n">
        <x:v>8.45</x:v>
      </x:c>
      <x:c r="E3676" s="13" t="n">
        <x:v>0</x:v>
      </x:c>
      <x:c r="F3676" s="13" t="n">
        <x:f>D3676-E3676</x:f>
        <x:v>8.45</x:v>
      </x:c>
      <x:c r="G3676" s="3" t="n">
        <x:v>5</x:v>
      </x:c>
      <x:c r="H3676" s="3" t="n">
        <x:v>0</x:v>
      </x:c>
      <x:c r="I3676" s="3" t="n">
        <x:v>2</x:v>
      </x:c>
      <x:c r="J3676" s="15" t="n">
        <x:f>IF(D3676=0,"n.a.",E3676/D3676)</x:f>
        <x:v>0</x:v>
      </x:c>
      <x:c r="K3676" s="15" t="n">
        <x:f>F3676/'Datos'!$F$7</x:f>
        <x:v>8.628868784886556e-7</x:v>
      </x:c>
      <x:c r="L3676" s="3"/>
    </x:row>
    <x:row r="3677" ht="22" customHeight="1">
      <x:c r="A3677" s="3"/>
      <x:c r="B3677" s="3" t="str">
        <x:v>20871</x:v>
      </x:c>
      <x:c r="C3677" s="3" t="str">
        <x:v>OPULENT VELVET SET/3 CANDLES</x:v>
      </x:c>
      <x:c r="D3677" s="13" t="n">
        <x:v>8.42</x:v>
      </x:c>
      <x:c r="E3677" s="13" t="n">
        <x:v>0</x:v>
      </x:c>
      <x:c r="F3677" s="13" t="n">
        <x:f>D3677-E3677</x:f>
        <x:v>8.42</x:v>
      </x:c>
      <x:c r="G3677" s="3" t="n">
        <x:v>2</x:v>
      </x:c>
      <x:c r="H3677" s="3" t="n">
        <x:v>0</x:v>
      </x:c>
      <x:c r="I3677" s="3" t="n">
        <x:v>1</x:v>
      </x:c>
      <x:c r="J3677" s="15" t="n">
        <x:f>IF(D3677=0,"n.a.",E3677/D3677)</x:f>
        <x:v>0</x:v>
      </x:c>
      <x:c r="K3677" s="15" t="n">
        <x:f>F3677/'Datos'!$F$7</x:f>
        <x:v>8.598233747780451e-7</x:v>
      </x:c>
      <x:c r="L3677" s="3"/>
    </x:row>
    <x:row r="3678" ht="22" customHeight="1">
      <x:c r="A3678" s="3"/>
      <x:c r="B3678" s="3" t="str">
        <x:v>21594</x:v>
      </x:c>
      <x:c r="C3678" s="3" t="str">
        <x:v>Dr. Jam's Arouzer Stress Ball</x:v>
      </x:c>
      <x:c r="D3678" s="13" t="n">
        <x:v>8.34</x:v>
      </x:c>
      <x:c r="E3678" s="13" t="n">
        <x:v>0</x:v>
      </x:c>
      <x:c r="F3678" s="13" t="n">
        <x:f>D3678-E3678</x:f>
        <x:v>8.34</x:v>
      </x:c>
      <x:c r="G3678" s="3" t="n">
        <x:v>2</x:v>
      </x:c>
      <x:c r="H3678" s="3" t="n">
        <x:v>0</x:v>
      </x:c>
      <x:c r="I3678" s="3" t="n">
        <x:v>2</x:v>
      </x:c>
      <x:c r="J3678" s="15" t="n">
        <x:f>IF(D3678=0,"n.a.",E3678/D3678)</x:f>
        <x:v>0</x:v>
      </x:c>
      <x:c r="K3678" s="15" t="n">
        <x:f>F3678/'Datos'!$F$7</x:f>
        <x:v>8.516540315497502e-7</x:v>
      </x:c>
      <x:c r="L3678" s="3"/>
    </x:row>
    <x:row r="3679" ht="22" customHeight="1">
      <x:c r="A3679" s="3"/>
      <x:c r="B3679" s="3" t="str">
        <x:v>23612</x:v>
      </x:c>
      <x:c r="C3679" s="3" t="str">
        <x:v>SET 10 MINICARDS CUTE SNOWMAN 17071</x:v>
      </x:c>
      <x:c r="D3679" s="13" t="n">
        <x:v>8.3</x:v>
      </x:c>
      <x:c r="E3679" s="13" t="n">
        <x:v>0</x:v>
      </x:c>
      <x:c r="F3679" s="13" t="n">
        <x:f>D3679-E3679</x:f>
        <x:v>8.3</x:v>
      </x:c>
      <x:c r="G3679" s="3" t="n">
        <x:v>5</x:v>
      </x:c>
      <x:c r="H3679" s="3" t="n">
        <x:v>0</x:v>
      </x:c>
      <x:c r="I3679" s="3" t="n">
        <x:v>2</x:v>
      </x:c>
      <x:c r="J3679" s="15" t="n">
        <x:f>IF(D3679=0,"n.a.",E3679/D3679)</x:f>
        <x:v>0</x:v>
      </x:c>
      <x:c r="K3679" s="15" t="n">
        <x:f>F3679/'Datos'!$F$7</x:f>
        <x:v>8.475693599356027e-7</x:v>
      </x:c>
      <x:c r="L3679" s="3"/>
    </x:row>
    <x:row r="3680" ht="22" customHeight="1">
      <x:c r="A3680" s="3"/>
      <x:c r="B3680" s="3" t="str">
        <x:v>84924F</x:v>
      </x:c>
      <x:c r="C3680" s="3" t="str">
        <x:v>PSYCHEDELIC METAL SIGN CALENDAR</x:v>
      </x:c>
      <x:c r="D3680" s="13" t="n">
        <x:v>7.9</x:v>
      </x:c>
      <x:c r="E3680" s="13" t="n">
        <x:v>0</x:v>
      </x:c>
      <x:c r="F3680" s="13" t="n">
        <x:f>D3680-E3680</x:f>
        <x:v>7.9</x:v>
      </x:c>
      <x:c r="G3680" s="3" t="n">
        <x:v>10</x:v>
      </x:c>
      <x:c r="H3680" s="3" t="n">
        <x:v>0</x:v>
      </x:c>
      <x:c r="I3680" s="3" t="n">
        <x:v>3</x:v>
      </x:c>
      <x:c r="J3680" s="15" t="n">
        <x:f>IF(D3680=0,"n.a.",E3680/D3680)</x:f>
        <x:v>0</x:v>
      </x:c>
      <x:c r="K3680" s="15" t="n">
        <x:f>F3680/'Datos'!$F$7</x:f>
        <x:v>8.067226437941278e-7</x:v>
      </x:c>
      <x:c r="L3680" s="3"/>
    </x:row>
    <x:row r="3681" ht="22" customHeight="1">
      <x:c r="A3681" s="3"/>
      <x:c r="B3681" s="3" t="str">
        <x:v>16244B</x:v>
      </x:c>
      <x:c r="C3681" s="3" t="str">
        <x:v>MAXWELL 2 TONE BLUE 60 PAGE PHOTO A</x:v>
      </x:c>
      <x:c r="D3681" s="13" t="n">
        <x:v>7.85</x:v>
      </x:c>
      <x:c r="E3681" s="13" t="n">
        <x:v>0</x:v>
      </x:c>
      <x:c r="F3681" s="13" t="n">
        <x:f>D3681-E3681</x:f>
        <x:v>7.85</x:v>
      </x:c>
      <x:c r="G3681" s="3" t="n">
        <x:v>7</x:v>
      </x:c>
      <x:c r="H3681" s="3" t="n">
        <x:v>0</x:v>
      </x:c>
      <x:c r="I3681" s="3" t="n">
        <x:v>2</x:v>
      </x:c>
      <x:c r="J3681" s="15" t="n">
        <x:f>IF(D3681=0,"n.a.",E3681/D3681)</x:f>
        <x:v>0</x:v>
      </x:c>
      <x:c r="K3681" s="15" t="n">
        <x:f>F3681/'Datos'!$F$7</x:f>
        <x:v>8.016168042764434e-7</x:v>
      </x:c>
      <x:c r="L3681" s="3"/>
    </x:row>
    <x:row r="3682" ht="22" customHeight="1">
      <x:c r="A3682" s="3"/>
      <x:c r="B3682" s="3" t="str">
        <x:v>35607A</x:v>
      </x:c>
      <x:c r="C3682" s="3" t="str">
        <x:v>PINK FLUFFY CHRISTMAS DECORATION</x:v>
      </x:c>
      <x:c r="D3682" s="13" t="n">
        <x:v>7.82</x:v>
      </x:c>
      <x:c r="E3682" s="13" t="n">
        <x:v>0</x:v>
      </x:c>
      <x:c r="F3682" s="13" t="n">
        <x:f>D3682-E3682</x:f>
        <x:v>7.82</x:v>
      </x:c>
      <x:c r="G3682" s="3" t="n">
        <x:v>26</x:v>
      </x:c>
      <x:c r="H3682" s="3" t="n">
        <x:v>0</x:v>
      </x:c>
      <x:c r="I3682" s="3" t="n">
        <x:v>2</x:v>
      </x:c>
      <x:c r="J3682" s="15" t="n">
        <x:f>IF(D3682=0,"n.a.",E3682/D3682)</x:f>
        <x:v>0</x:v>
      </x:c>
      <x:c r="K3682" s="15" t="n">
        <x:f>F3682/'Datos'!$F$7</x:f>
        <x:v>7.985533005658329e-7</x:v>
      </x:c>
      <x:c r="L3682" s="3"/>
    </x:row>
    <x:row r="3683" ht="22" customHeight="1">
      <x:c r="A3683" s="3"/>
      <x:c r="B3683" s="3" t="str">
        <x:v>85189</x:v>
      </x:c>
      <x:c r="C3683" s="3" t="str">
        <x:v>HANGING BUTTERFLY EGG</x:v>
      </x:c>
      <x:c r="D3683" s="13" t="n">
        <x:v>7.65</x:v>
      </x:c>
      <x:c r="E3683" s="13" t="n">
        <x:v>0</x:v>
      </x:c>
      <x:c r="F3683" s="13" t="n">
        <x:f>D3683-E3683</x:f>
        <x:v>7.65</x:v>
      </x:c>
      <x:c r="G3683" s="3" t="n">
        <x:v>9</x:v>
      </x:c>
      <x:c r="H3683" s="3" t="n">
        <x:v>0</x:v>
      </x:c>
      <x:c r="I3683" s="3" t="n">
        <x:v>3</x:v>
      </x:c>
      <x:c r="J3683" s="15" t="n">
        <x:f>IF(D3683=0,"n.a.",E3683/D3683)</x:f>
        <x:v>0</x:v>
      </x:c>
      <x:c r="K3683" s="15" t="n">
        <x:f>F3683/'Datos'!$F$7</x:f>
        <x:v>7.811934462057061e-7</x:v>
      </x:c>
      <x:c r="L3683" s="3"/>
    </x:row>
    <x:row r="3684" ht="22" customHeight="1">
      <x:c r="A3684" s="3"/>
      <x:c r="B3684" s="3" t="str">
        <x:v>90042A</x:v>
      </x:c>
      <x:c r="C3684" s="3" t="str">
        <x:v>FRESHWATER PEARL BRACELET GOLD</x:v>
      </x:c>
      <x:c r="D3684" s="13" t="n">
        <x:v>7.65</x:v>
      </x:c>
      <x:c r="E3684" s="13" t="n">
        <x:v>0</x:v>
      </x:c>
      <x:c r="F3684" s="13" t="n">
        <x:f>D3684-E3684</x:f>
        <x:v>7.65</x:v>
      </x:c>
      <x:c r="G3684" s="3" t="n">
        <x:v>3</x:v>
      </x:c>
      <x:c r="H3684" s="3" t="n">
        <x:v>0</x:v>
      </x:c>
      <x:c r="I3684" s="3" t="n">
        <x:v>2</x:v>
      </x:c>
      <x:c r="J3684" s="15" t="n">
        <x:f>IF(D3684=0,"n.a.",E3684/D3684)</x:f>
        <x:v>0</x:v>
      </x:c>
      <x:c r="K3684" s="15" t="n">
        <x:f>F3684/'Datos'!$F$7</x:f>
        <x:v>7.811934462057061e-7</x:v>
      </x:c>
      <x:c r="L3684" s="3"/>
    </x:row>
    <x:row r="3685" ht="22" customHeight="1">
      <x:c r="A3685" s="3"/>
      <x:c r="B3685" s="3" t="str">
        <x:v>79149B</x:v>
      </x:c>
      <x:c r="C3685" s="3" t="str">
        <x:v>SILICON STAR BULB BLUE</x:v>
      </x:c>
      <x:c r="D3685" s="13" t="n">
        <x:v>7.56</x:v>
      </x:c>
      <x:c r="E3685" s="13" t="n">
        <x:v>0</x:v>
      </x:c>
      <x:c r="F3685" s="13" t="n">
        <x:f>D3685-E3685</x:f>
        <x:v>7.56</x:v>
      </x:c>
      <x:c r="G3685" s="3" t="n">
        <x:v>18</x:v>
      </x:c>
      <x:c r="H3685" s="3" t="n">
        <x:v>0</x:v>
      </x:c>
      <x:c r="I3685" s="3" t="n">
        <x:v>8</x:v>
      </x:c>
      <x:c r="J3685" s="15" t="n">
        <x:f>IF(D3685=0,"n.a.",E3685/D3685)</x:f>
        <x:v>0</x:v>
      </x:c>
      <x:c r="K3685" s="15" t="n">
        <x:f>F3685/'Datos'!$F$7</x:f>
        <x:v>7.720029350738742e-7</x:v>
      </x:c>
      <x:c r="L3685" s="3"/>
    </x:row>
    <x:row r="3686" ht="22" customHeight="1">
      <x:c r="A3686" s="3"/>
      <x:c r="B3686" s="3" t="str">
        <x:v>21827</x:v>
      </x:c>
      <x:c r="C3686" s="3" t="str">
        <x:v>EIGHT PIECE CREEPY CRAWLIE SET</x:v>
      </x:c>
      <x:c r="D3686" s="13" t="n">
        <x:v>7.5</x:v>
      </x:c>
      <x:c r="E3686" s="13" t="n">
        <x:v>0</x:v>
      </x:c>
      <x:c r="F3686" s="13" t="n">
        <x:f>D3686-E3686</x:f>
        <x:v>7.5</x:v>
      </x:c>
      <x:c r="G3686" s="3" t="n">
        <x:v>6</x:v>
      </x:c>
      <x:c r="H3686" s="3" t="n">
        <x:v>0</x:v>
      </x:c>
      <x:c r="I3686" s="3" t="n">
        <x:v>3</x:v>
      </x:c>
      <x:c r="J3686" s="15" t="n">
        <x:f>IF(D3686=0,"n.a.",E3686/D3686)</x:f>
        <x:v>0</x:v>
      </x:c>
      <x:c r="K3686" s="15" t="n">
        <x:f>F3686/'Datos'!$F$7</x:f>
        <x:v>7.65875927652653e-7</x:v>
      </x:c>
      <x:c r="L3686" s="3"/>
    </x:row>
    <x:row r="3687" ht="22" customHeight="1">
      <x:c r="A3687" s="3"/>
      <x:c r="B3687" s="3" t="str">
        <x:v>37379A</x:v>
      </x:c>
      <x:c r="C3687" s="3" t="str">
        <x:v>PINK CHERRY BLOSSOM CUP &amp; SAUCER</x:v>
      </x:c>
      <x:c r="D3687" s="13" t="n">
        <x:v>7.5</x:v>
      </x:c>
      <x:c r="E3687" s="13" t="n">
        <x:v>0</x:v>
      </x:c>
      <x:c r="F3687" s="13" t="n">
        <x:f>D3687-E3687</x:f>
        <x:v>7.5</x:v>
      </x:c>
      <x:c r="G3687" s="3" t="n">
        <x:v>6</x:v>
      </x:c>
      <x:c r="H3687" s="3" t="n">
        <x:v>0</x:v>
      </x:c>
      <x:c r="I3687" s="3" t="n">
        <x:v>1</x:v>
      </x:c>
      <x:c r="J3687" s="15" t="n">
        <x:f>IF(D3687=0,"n.a.",E3687/D3687)</x:f>
        <x:v>0</x:v>
      </x:c>
      <x:c r="K3687" s="15" t="n">
        <x:f>F3687/'Datos'!$F$7</x:f>
        <x:v>7.65875927652653e-7</x:v>
      </x:c>
      <x:c r="L3687" s="3"/>
    </x:row>
    <x:row r="3688" ht="22" customHeight="1">
      <x:c r="A3688" s="3"/>
      <x:c r="B3688" s="3" t="str">
        <x:v>90025A</x:v>
      </x:c>
      <x:c r="C3688" s="3" t="str">
        <x:v>BAROQUE BUTTERFLY EARRINGS BLACK</x:v>
      </x:c>
      <x:c r="D3688" s="13" t="n">
        <x:v>7.5</x:v>
      </x:c>
      <x:c r="E3688" s="13" t="n">
        <x:v>0</x:v>
      </x:c>
      <x:c r="F3688" s="13" t="n">
        <x:f>D3688-E3688</x:f>
        <x:v>7.5</x:v>
      </x:c>
      <x:c r="G3688" s="3" t="n">
        <x:v>2</x:v>
      </x:c>
      <x:c r="H3688" s="3" t="n">
        <x:v>0</x:v>
      </x:c>
      <x:c r="I3688" s="3" t="n">
        <x:v>2</x:v>
      </x:c>
      <x:c r="J3688" s="15" t="n">
        <x:f>IF(D3688=0,"n.a.",E3688/D3688)</x:f>
        <x:v>0</x:v>
      </x:c>
      <x:c r="K3688" s="15" t="n">
        <x:f>F3688/'Datos'!$F$7</x:f>
        <x:v>7.65875927652653e-7</x:v>
      </x:c>
      <x:c r="L3688" s="3"/>
    </x:row>
    <x:row r="3689" ht="22" customHeight="1">
      <x:c r="A3689" s="3"/>
      <x:c r="B3689" s="3" t="str">
        <x:v>90068</x:v>
      </x:c>
      <x:c r="C3689" s="3" t="str">
        <x:v>RUBY GLASS NECKLACE 42"</x:v>
      </x:c>
      <x:c r="D3689" s="13" t="n">
        <x:v>7.5</x:v>
      </x:c>
      <x:c r="E3689" s="13" t="n">
        <x:v>0</x:v>
      </x:c>
      <x:c r="F3689" s="13" t="n">
        <x:f>D3689-E3689</x:f>
        <x:v>7.5</x:v>
      </x:c>
      <x:c r="G3689" s="3" t="n">
        <x:v>1</x:v>
      </x:c>
      <x:c r="H3689" s="3" t="n">
        <x:v>0</x:v>
      </x:c>
      <x:c r="I3689" s="3" t="n">
        <x:v>1</x:v>
      </x:c>
      <x:c r="J3689" s="15" t="n">
        <x:f>IF(D3689=0,"n.a.",E3689/D3689)</x:f>
        <x:v>0</x:v>
      </x:c>
      <x:c r="K3689" s="15" t="n">
        <x:f>F3689/'Datos'!$F$7</x:f>
        <x:v>7.65875927652653e-7</x:v>
      </x:c>
      <x:c r="L3689" s="3"/>
    </x:row>
    <x:row r="3690" ht="22" customHeight="1">
      <x:c r="A3690" s="3"/>
      <x:c r="B3690" s="3" t="str">
        <x:v>23633</x:v>
      </x:c>
      <x:c r="C3690" s="3" t="str">
        <x:v>SET 10 CARDS WORLD CHILDREN 17067</x:v>
      </x:c>
      <x:c r="D3690" s="13" t="n">
        <x:v>7.47</x:v>
      </x:c>
      <x:c r="E3690" s="13" t="n">
        <x:v>0</x:v>
      </x:c>
      <x:c r="F3690" s="13" t="n">
        <x:f>D3690-E3690</x:f>
        <x:v>7.47</x:v>
      </x:c>
      <x:c r="G3690" s="3" t="n">
        <x:v>3</x:v>
      </x:c>
      <x:c r="H3690" s="3" t="n">
        <x:v>0</x:v>
      </x:c>
      <x:c r="I3690" s="3" t="n">
        <x:v>3</x:v>
      </x:c>
      <x:c r="J3690" s="15" t="n">
        <x:f>IF(D3690=0,"n.a.",E3690/D3690)</x:f>
        <x:v>0</x:v>
      </x:c>
      <x:c r="K3690" s="15" t="n">
        <x:f>F3690/'Datos'!$F$7</x:f>
        <x:v>7.628124239420424e-7</x:v>
      </x:c>
      <x:c r="L3690" s="3"/>
    </x:row>
    <x:row r="3691" ht="22" customHeight="1">
      <x:c r="A3691" s="3"/>
      <x:c r="B3691" s="3" t="str">
        <x:v>62097B</x:v>
      </x:c>
      <x:c r="C3691" s="3" t="str">
        <x:v>BLUE STRIPES SHOULDER BAG</x:v>
      </x:c>
      <x:c r="D3691" s="13" t="n">
        <x:v>7.47</x:v>
      </x:c>
      <x:c r="E3691" s="13" t="n">
        <x:v>0</x:v>
      </x:c>
      <x:c r="F3691" s="13" t="n">
        <x:f>D3691-E3691</x:f>
        <x:v>7.47</x:v>
      </x:c>
      <x:c r="G3691" s="3" t="n">
        <x:v>9</x:v>
      </x:c>
      <x:c r="H3691" s="3" t="n">
        <x:v>0</x:v>
      </x:c>
      <x:c r="I3691" s="3" t="n">
        <x:v>3</x:v>
      </x:c>
      <x:c r="J3691" s="15" t="n">
        <x:f>IF(D3691=0,"n.a.",E3691/D3691)</x:f>
        <x:v>0</x:v>
      </x:c>
      <x:c r="K3691" s="15" t="n">
        <x:f>F3691/'Datos'!$F$7</x:f>
        <x:v>7.628124239420424e-7</x:v>
      </x:c>
      <x:c r="L3691" s="3"/>
    </x:row>
    <x:row r="3692" ht="22" customHeight="1">
      <x:c r="A3692" s="3"/>
      <x:c r="B3692" s="3" t="str">
        <x:v>90128A</x:v>
      </x:c>
      <x:c r="C3692" s="3" t="str">
        <x:v>PINK LEAVES AND BEADS PHONE CHARM</x:v>
      </x:c>
      <x:c r="D3692" s="13" t="n">
        <x:v>7.43</x:v>
      </x:c>
      <x:c r="E3692" s="13" t="n">
        <x:v>0</x:v>
      </x:c>
      <x:c r="F3692" s="13" t="n">
        <x:f>D3692-E3692</x:f>
        <x:v>7.43</x:v>
      </x:c>
      <x:c r="G3692" s="3" t="n">
        <x:v>3</x:v>
      </x:c>
      <x:c r="H3692" s="3" t="n">
        <x:v>0</x:v>
      </x:c>
      <x:c r="I3692" s="3" t="n">
        <x:v>2</x:v>
      </x:c>
      <x:c r="J3692" s="15" t="n">
        <x:f>IF(D3692=0,"n.a.",E3692/D3692)</x:f>
        <x:v>0</x:v>
      </x:c>
      <x:c r="K3692" s="15" t="n">
        <x:f>F3692/'Datos'!$F$7</x:f>
        <x:v>7.587277523278948e-7</x:v>
      </x:c>
      <x:c r="L3692" s="3"/>
    </x:row>
    <x:row r="3693" ht="22" customHeight="1">
      <x:c r="A3693" s="3"/>
      <x:c r="B3693" s="3" t="str">
        <x:v>71496B</x:v>
      </x:c>
      <x:c r="C3693" s="3" t="str">
        <x:v>A4 WALL TIDY RED FLOWERS</x:v>
      </x:c>
      <x:c r="D3693" s="13" t="n">
        <x:v>7.37</x:v>
      </x:c>
      <x:c r="E3693" s="13" t="n">
        <x:v>0</x:v>
      </x:c>
      <x:c r="F3693" s="13" t="n">
        <x:f>D3693-E3693</x:f>
        <x:v>7.37</x:v>
      </x:c>
      <x:c r="G3693" s="3" t="n">
        <x:v>13</x:v>
      </x:c>
      <x:c r="H3693" s="3" t="n">
        <x:v>0</x:v>
      </x:c>
      <x:c r="I3693" s="3" t="n">
        <x:v>4</x:v>
      </x:c>
      <x:c r="J3693" s="15" t="n">
        <x:f>IF(D3693=0,"n.a.",E3693/D3693)</x:f>
        <x:v>0</x:v>
      </x:c>
      <x:c r="K3693" s="15" t="n">
        <x:f>F3693/'Datos'!$F$7</x:f>
        <x:v>7.526007449066737e-7</x:v>
      </x:c>
      <x:c r="L3693" s="3"/>
    </x:row>
    <x:row r="3694" ht="22" customHeight="1">
      <x:c r="A3694" s="3"/>
      <x:c r="B3694" s="3" t="str">
        <x:v>10124G</x:v>
      </x:c>
      <x:c r="C3694" s="3" t="str">
        <x:v>ARMY CAMO BOOKCOVER TAPE</x:v>
      </x:c>
      <x:c r="D3694" s="13" t="n">
        <x:v>7.14</x:v>
      </x:c>
      <x:c r="E3694" s="13" t="n">
        <x:v>0</x:v>
      </x:c>
      <x:c r="F3694" s="13" t="n">
        <x:f>D3694-E3694</x:f>
        <x:v>7.14</x:v>
      </x:c>
      <x:c r="G3694" s="3" t="n">
        <x:v>17</x:v>
      </x:c>
      <x:c r="H3694" s="3" t="n">
        <x:v>0</x:v>
      </x:c>
      <x:c r="I3694" s="3" t="n">
        <x:v>4</x:v>
      </x:c>
      <x:c r="J3694" s="15" t="n">
        <x:f>IF(D3694=0,"n.a.",E3694/D3694)</x:f>
        <x:v>0</x:v>
      </x:c>
      <x:c r="K3694" s="15" t="n">
        <x:f>F3694/'Datos'!$F$7</x:f>
        <x:v>7.291138831253256e-7</x:v>
      </x:c>
      <x:c r="L3694" s="3"/>
    </x:row>
    <x:row r="3695" ht="22" customHeight="1">
      <x:c r="A3695" s="3"/>
      <x:c r="B3695" s="3" t="str">
        <x:v>90214O</x:v>
      </x:c>
      <x:c r="C3695" s="3" t="str">
        <x:v>LETTER "O" BLING KEY RING</x:v>
      </x:c>
      <x:c r="D3695" s="13" t="n">
        <x:v>6.82</x:v>
      </x:c>
      <x:c r="E3695" s="13" t="n">
        <x:v>0</x:v>
      </x:c>
      <x:c r="F3695" s="13" t="n">
        <x:f>D3695-E3695</x:f>
        <x:v>6.82</x:v>
      </x:c>
      <x:c r="G3695" s="3" t="n">
        <x:v>16</x:v>
      </x:c>
      <x:c r="H3695" s="3" t="n">
        <x:v>0</x:v>
      </x:c>
      <x:c r="I3695" s="3" t="n">
        <x:v>5</x:v>
      </x:c>
      <x:c r="J3695" s="15" t="n">
        <x:f>IF(D3695=0,"n.a.",E3695/D3695)</x:f>
        <x:v>0</x:v>
      </x:c>
      <x:c r="K3695" s="15" t="n">
        <x:f>F3695/'Datos'!$F$7</x:f>
        <x:v>6.964365102121459e-7</x:v>
      </x:c>
      <x:c r="L3695" s="3"/>
    </x:row>
    <x:row r="3696" ht="22" customHeight="1">
      <x:c r="A3696" s="3"/>
      <x:c r="B3696" s="3" t="str">
        <x:v>90214W</x:v>
      </x:c>
      <x:c r="C3696" s="3" t="str">
        <x:v>LETTER "W" BLING KEY RING</x:v>
      </x:c>
      <x:c r="D3696" s="13" t="n">
        <x:v>6.82</x:v>
      </x:c>
      <x:c r="E3696" s="13" t="n">
        <x:v>0</x:v>
      </x:c>
      <x:c r="F3696" s="13" t="n">
        <x:f>D3696-E3696</x:f>
        <x:v>6.82</x:v>
      </x:c>
      <x:c r="G3696" s="3" t="n">
        <x:v>16</x:v>
      </x:c>
      <x:c r="H3696" s="3" t="n">
        <x:v>0</x:v>
      </x:c>
      <x:c r="I3696" s="3" t="n">
        <x:v>5</x:v>
      </x:c>
      <x:c r="J3696" s="15" t="n">
        <x:f>IF(D3696=0,"n.a.",E3696/D3696)</x:f>
        <x:v>0</x:v>
      </x:c>
      <x:c r="K3696" s="15" t="n">
        <x:f>F3696/'Datos'!$F$7</x:f>
        <x:v>6.964365102121459e-7</x:v>
      </x:c>
      <x:c r="L3696" s="3"/>
    </x:row>
    <x:row r="3697" ht="22" customHeight="1">
      <x:c r="A3697" s="3"/>
      <x:c r="B3697" s="3" t="str">
        <x:v>35443</x:v>
      </x:c>
      <x:c r="C3697" s="3" t="str">
        <x:v>RASTA IN BATH W SPLIFF ASHTRAY</x:v>
      </x:c>
      <x:c r="D3697" s="13" t="n">
        <x:v>6.8</x:v>
      </x:c>
      <x:c r="E3697" s="13" t="n">
        <x:v>0</x:v>
      </x:c>
      <x:c r="F3697" s="13" t="n">
        <x:f>D3697-E3697</x:f>
        <x:v>6.8</x:v>
      </x:c>
      <x:c r="G3697" s="3" t="n">
        <x:v>8</x:v>
      </x:c>
      <x:c r="H3697" s="3" t="n">
        <x:v>0</x:v>
      </x:c>
      <x:c r="I3697" s="3" t="n">
        <x:v>6</x:v>
      </x:c>
      <x:c r="J3697" s="15" t="n">
        <x:f>IF(D3697=0,"n.a.",E3697/D3697)</x:f>
        <x:v>0</x:v>
      </x:c>
      <x:c r="K3697" s="15" t="n">
        <x:f>F3697/'Datos'!$F$7</x:f>
        <x:v>6.94394174405072e-7</x:v>
      </x:c>
      <x:c r="L3697" s="3"/>
    </x:row>
    <x:row r="3698" ht="22" customHeight="1">
      <x:c r="A3698" s="3"/>
      <x:c r="B3698" s="3" t="str">
        <x:v>84802B</x:v>
      </x:c>
      <x:c r="C3698" s="3" t="str">
        <x:v>PURPLE ANEMONE ARTIFICIAL FLOWER</x:v>
      </x:c>
      <x:c r="D3698" s="13" t="n">
        <x:v>6.76</x:v>
      </x:c>
      <x:c r="E3698" s="13" t="n">
        <x:v>0</x:v>
      </x:c>
      <x:c r="F3698" s="13" t="n">
        <x:f>D3698-E3698</x:f>
        <x:v>6.76</x:v>
      </x:c>
      <x:c r="G3698" s="3" t="n">
        <x:v>4</x:v>
      </x:c>
      <x:c r="H3698" s="3" t="n">
        <x:v>0</x:v>
      </x:c>
      <x:c r="I3698" s="3" t="n">
        <x:v>1</x:v>
      </x:c>
      <x:c r="J3698" s="15" t="n">
        <x:f>IF(D3698=0,"n.a.",E3698/D3698)</x:f>
        <x:v>0</x:v>
      </x:c>
      <x:c r="K3698" s="15" t="n">
        <x:f>F3698/'Datos'!$F$7</x:f>
        <x:v>6.903095027909246e-7</x:v>
      </x:c>
      <x:c r="L3698" s="3"/>
    </x:row>
    <x:row r="3699" ht="22" customHeight="1">
      <x:c r="A3699" s="3"/>
      <x:c r="B3699" s="3" t="str">
        <x:v>10124A</x:v>
      </x:c>
      <x:c r="C3699" s="3" t="str">
        <x:v>SPOTS ON RED BOOKCOVER TAPE</x:v>
      </x:c>
      <x:c r="D3699" s="13" t="n">
        <x:v>6.72</x:v>
      </x:c>
      <x:c r="E3699" s="13" t="n">
        <x:v>0</x:v>
      </x:c>
      <x:c r="F3699" s="13" t="n">
        <x:f>D3699-E3699</x:f>
        <x:v>6.72</x:v>
      </x:c>
      <x:c r="G3699" s="3" t="n">
        <x:v>16</x:v>
      </x:c>
      <x:c r="H3699" s="3" t="n">
        <x:v>0</x:v>
      </x:c>
      <x:c r="I3699" s="3" t="n">
        <x:v>5</x:v>
      </x:c>
      <x:c r="J3699" s="15" t="n">
        <x:f>IF(D3699=0,"n.a.",E3699/D3699)</x:f>
        <x:v>0</x:v>
      </x:c>
      <x:c r="K3699" s="15" t="n">
        <x:f>F3699/'Datos'!$F$7</x:f>
        <x:v>6.862248311767771e-7</x:v>
      </x:c>
      <x:c r="L3699" s="3"/>
    </x:row>
    <x:row r="3700" ht="22" customHeight="1">
      <x:c r="A3700" s="3"/>
      <x:c r="B3700" s="3" t="str">
        <x:v>21186</x:v>
      </x:c>
      <x:c r="C3700" s="3" t="str">
        <x:v>WHITE DOVE HONEYCOMB PAPER GARLAND</x:v>
      </x:c>
      <x:c r="D3700" s="13" t="n">
        <x:v>6.72</x:v>
      </x:c>
      <x:c r="E3700" s="13" t="n">
        <x:v>0</x:v>
      </x:c>
      <x:c r="F3700" s="13" t="n">
        <x:f>D3700-E3700</x:f>
        <x:v>6.72</x:v>
      </x:c>
      <x:c r="G3700" s="3" t="n">
        <x:v>2</x:v>
      </x:c>
      <x:c r="H3700" s="3" t="n">
        <x:v>0</x:v>
      </x:c>
      <x:c r="I3700" s="3" t="n">
        <x:v>1</x:v>
      </x:c>
      <x:c r="J3700" s="15" t="n">
        <x:f>IF(D3700=0,"n.a.",E3700/D3700)</x:f>
        <x:v>0</x:v>
      </x:c>
      <x:c r="K3700" s="15" t="n">
        <x:f>F3700/'Datos'!$F$7</x:f>
        <x:v>6.862248311767771e-7</x:v>
      </x:c>
      <x:c r="L3700" s="3"/>
    </x:row>
    <x:row r="3701" ht="22" customHeight="1">
      <x:c r="A3701" s="3"/>
      <x:c r="B3701" s="3" t="str">
        <x:v>35833G</x:v>
      </x:c>
      <x:c r="C3701" s="3" t="str">
        <x:v>4 GOLD FLOCK CHRISTMAS BALLS</x:v>
      </x:c>
      <x:c r="D3701" s="13" t="n">
        <x:v>6.72</x:v>
      </x:c>
      <x:c r="E3701" s="13" t="n">
        <x:v>0</x:v>
      </x:c>
      <x:c r="F3701" s="13" t="n">
        <x:f>D3701-E3701</x:f>
        <x:v>6.72</x:v>
      </x:c>
      <x:c r="G3701" s="3" t="n">
        <x:v>2</x:v>
      </x:c>
      <x:c r="H3701" s="3" t="n">
        <x:v>0</x:v>
      </x:c>
      <x:c r="I3701" s="3" t="n">
        <x:v>1</x:v>
      </x:c>
      <x:c r="J3701" s="15" t="n">
        <x:f>IF(D3701=0,"n.a.",E3701/D3701)</x:f>
        <x:v>0</x:v>
      </x:c>
      <x:c r="K3701" s="15" t="n">
        <x:f>F3701/'Datos'!$F$7</x:f>
        <x:v>6.862248311767771e-7</x:v>
      </x:c>
      <x:c r="L3701" s="3"/>
    </x:row>
    <x:row r="3702" ht="22" customHeight="1">
      <x:c r="A3702" s="3"/>
      <x:c r="B3702" s="3" t="str">
        <x:v>62074B</x:v>
      </x:c>
      <x:c r="C3702" s="3" t="str">
        <x:v>ELEPHANT CLIP W SUCTION CUP</x:v>
      </x:c>
      <x:c r="D3702" s="13" t="n">
        <x:v>6.72</x:v>
      </x:c>
      <x:c r="E3702" s="13" t="n">
        <x:v>0</x:v>
      </x:c>
      <x:c r="F3702" s="13" t="n">
        <x:f>D3702-E3702</x:f>
        <x:v>6.72</x:v>
      </x:c>
      <x:c r="G3702" s="3" t="n">
        <x:v>16</x:v>
      </x:c>
      <x:c r="H3702" s="3" t="n">
        <x:v>0</x:v>
      </x:c>
      <x:c r="I3702" s="3" t="n">
        <x:v>4</x:v>
      </x:c>
      <x:c r="J3702" s="15" t="n">
        <x:f>IF(D3702=0,"n.a.",E3702/D3702)</x:f>
        <x:v>0</x:v>
      </x:c>
      <x:c r="K3702" s="15" t="n">
        <x:f>F3702/'Datos'!$F$7</x:f>
        <x:v>6.862248311767771e-7</x:v>
      </x:c>
      <x:c r="L3702" s="3"/>
    </x:row>
    <x:row r="3703" ht="22" customHeight="1">
      <x:c r="A3703" s="3"/>
      <x:c r="B3703" s="3" t="str">
        <x:v>23604</x:v>
      </x:c>
      <x:c r="C3703" s="3" t="str">
        <x:v>SET 10 MINI SANTA &amp; SNOWMAN 17087</x:v>
      </x:c>
      <x:c r="D3703" s="13" t="n">
        <x:v>6.64</x:v>
      </x:c>
      <x:c r="E3703" s="13" t="n">
        <x:v>0</x:v>
      </x:c>
      <x:c r="F3703" s="13" t="n">
        <x:f>D3703-E3703</x:f>
        <x:v>6.64</x:v>
      </x:c>
      <x:c r="G3703" s="3" t="n">
        <x:v>4</x:v>
      </x:c>
      <x:c r="H3703" s="3" t="n">
        <x:v>0</x:v>
      </x:c>
      <x:c r="I3703" s="3" t="n">
        <x:v>2</x:v>
      </x:c>
      <x:c r="J3703" s="15" t="n">
        <x:f>IF(D3703=0,"n.a.",E3703/D3703)</x:f>
        <x:v>0</x:v>
      </x:c>
      <x:c r="K3703" s="15" t="n">
        <x:f>F3703/'Datos'!$F$7</x:f>
        <x:v>6.780554879484821e-7</x:v>
      </x:c>
      <x:c r="L3703" s="3"/>
    </x:row>
    <x:row r="3704" ht="22" customHeight="1">
      <x:c r="A3704" s="3"/>
      <x:c r="B3704" s="3" t="str">
        <x:v>20678</x:v>
      </x:c>
      <x:c r="C3704" s="3" t="str">
        <x:v>LARGE BLACK DIAMANTE HAIRSLIDE</x:v>
      </x:c>
      <x:c r="D3704" s="13" t="n">
        <x:v>6.6</x:v>
      </x:c>
      <x:c r="E3704" s="13" t="n">
        <x:v>0</x:v>
      </x:c>
      <x:c r="F3704" s="13" t="n">
        <x:f>D3704-E3704</x:f>
        <x:v>6.6</x:v>
      </x:c>
      <x:c r="G3704" s="3" t="n">
        <x:v>4</x:v>
      </x:c>
      <x:c r="H3704" s="3" t="n">
        <x:v>0</x:v>
      </x:c>
      <x:c r="I3704" s="3" t="n">
        <x:v>1</x:v>
      </x:c>
      <x:c r="J3704" s="15" t="n">
        <x:f>IF(D3704=0,"n.a.",E3704/D3704)</x:f>
        <x:v>0</x:v>
      </x:c>
      <x:c r="K3704" s="15" t="n">
        <x:f>F3704/'Datos'!$F$7</x:f>
        <x:v>6.739708163343346e-7</x:v>
      </x:c>
      <x:c r="L3704" s="3"/>
    </x:row>
    <x:row r="3705" ht="22" customHeight="1">
      <x:c r="A3705" s="3"/>
      <x:c r="B3705" s="3" t="str">
        <x:v>37491B</x:v>
      </x:c>
      <x:c r="C3705" s="3" t="str">
        <x:v>BLUE/YELLOW CERAMIC CANDLE HOLDER</x:v>
      </x:c>
      <x:c r="D3705" s="13" t="n">
        <x:v>6.6</x:v>
      </x:c>
      <x:c r="E3705" s="13" t="n">
        <x:v>0</x:v>
      </x:c>
      <x:c r="F3705" s="13" t="n">
        <x:f>D3705-E3705</x:f>
        <x:v>6.6</x:v>
      </x:c>
      <x:c r="G3705" s="3" t="n">
        <x:v>4</x:v>
      </x:c>
      <x:c r="H3705" s="3" t="n">
        <x:v>0</x:v>
      </x:c>
      <x:c r="I3705" s="3" t="n">
        <x:v>1</x:v>
      </x:c>
      <x:c r="J3705" s="15" t="n">
        <x:f>IF(D3705=0,"n.a.",E3705/D3705)</x:f>
        <x:v>0</x:v>
      </x:c>
      <x:c r="K3705" s="15" t="n">
        <x:f>F3705/'Datos'!$F$7</x:f>
        <x:v>6.739708163343346e-7</x:v>
      </x:c>
      <x:c r="L3705" s="3"/>
    </x:row>
    <x:row r="3706" ht="22" customHeight="1">
      <x:c r="A3706" s="3"/>
      <x:c r="B3706" s="3" t="str">
        <x:v>90126C</x:v>
      </x:c>
      <x:c r="C3706" s="3" t="str">
        <x:v>AMBER BERTIE MOBILE PHONE CHARM</x:v>
      </x:c>
      <x:c r="D3706" s="13" t="n">
        <x:v>6.58</x:v>
      </x:c>
      <x:c r="E3706" s="13" t="n">
        <x:v>0</x:v>
      </x:c>
      <x:c r="F3706" s="13" t="n">
        <x:f>D3706-E3706</x:f>
        <x:v>6.58</x:v>
      </x:c>
      <x:c r="G3706" s="3" t="n">
        <x:v>2</x:v>
      </x:c>
      <x:c r="H3706" s="3" t="n">
        <x:v>0</x:v>
      </x:c>
      <x:c r="I3706" s="3" t="n">
        <x:v>1</x:v>
      </x:c>
      <x:c r="J3706" s="15" t="n">
        <x:f>IF(D3706=0,"n.a.",E3706/D3706)</x:f>
        <x:v>0</x:v>
      </x:c>
      <x:c r="K3706" s="15" t="n">
        <x:f>F3706/'Datos'!$F$7</x:f>
        <x:v>6.719284805272609e-7</x:v>
      </x:c>
      <x:c r="L3706" s="3"/>
    </x:row>
    <x:row r="3707" ht="22" customHeight="1">
      <x:c r="A3707" s="3"/>
      <x:c r="B3707" s="3" t="str">
        <x:v>44089A</x:v>
      </x:c>
      <x:c r="C3707" s="3" t="str">
        <x:v>PINK GAUZE BUTTERFLY LAMPSHADE</x:v>
      </x:c>
      <x:c r="D3707" s="13" t="n">
        <x:v>6.3</x:v>
      </x:c>
      <x:c r="E3707" s="13" t="n">
        <x:v>0</x:v>
      </x:c>
      <x:c r="F3707" s="13" t="n">
        <x:f>D3707-E3707</x:f>
        <x:v>6.3</x:v>
      </x:c>
      <x:c r="G3707" s="3" t="n">
        <x:v>15</x:v>
      </x:c>
      <x:c r="H3707" s="3" t="n">
        <x:v>0</x:v>
      </x:c>
      <x:c r="I3707" s="3" t="n">
        <x:v>4</x:v>
      </x:c>
      <x:c r="J3707" s="15" t="n">
        <x:f>IF(D3707=0,"n.a.",E3707/D3707)</x:f>
        <x:v>0</x:v>
      </x:c>
      <x:c r="K3707" s="15" t="n">
        <x:f>F3707/'Datos'!$F$7</x:f>
        <x:v>6.433357792282285e-7</x:v>
      </x:c>
      <x:c r="L3707" s="3"/>
    </x:row>
    <x:row r="3708" ht="22" customHeight="1">
      <x:c r="A3708" s="3"/>
      <x:c r="B3708" s="3" t="str">
        <x:v>85224</x:v>
      </x:c>
      <x:c r="C3708" s="3" t="str">
        <x:v>ASSORTED COLOUR SILK GLASSES CASE</x:v>
      </x:c>
      <x:c r="D3708" s="13" t="n">
        <x:v>6.3</x:v>
      </x:c>
      <x:c r="E3708" s="13" t="n">
        <x:v>0</x:v>
      </x:c>
      <x:c r="F3708" s="13" t="n">
        <x:f>D3708-E3708</x:f>
        <x:v>6.3</x:v>
      </x:c>
      <x:c r="G3708" s="3" t="n">
        <x:v>3</x:v>
      </x:c>
      <x:c r="H3708" s="3" t="n">
        <x:v>0</x:v>
      </x:c>
      <x:c r="I3708" s="3" t="n">
        <x:v>1</x:v>
      </x:c>
      <x:c r="J3708" s="15" t="n">
        <x:f>IF(D3708=0,"n.a.",E3708/D3708)</x:f>
        <x:v>0</x:v>
      </x:c>
      <x:c r="K3708" s="15" t="n">
        <x:f>F3708/'Datos'!$F$7</x:f>
        <x:v>6.433357792282285e-7</x:v>
      </x:c>
      <x:c r="L3708" s="3"/>
    </x:row>
    <x:row r="3709" ht="22" customHeight="1">
      <x:c r="A3709" s="3"/>
      <x:c r="B3709" s="3" t="str">
        <x:v>21228</x:v>
      </x:c>
      <x:c r="C3709" s="3" t="str">
        <x:v>POCKET MIRROR "GLAMOROUS"</x:v>
      </x:c>
      <x:c r="D3709" s="13" t="n">
        <x:v>6.25</x:v>
      </x:c>
      <x:c r="E3709" s="13" t="n">
        <x:v>0</x:v>
      </x:c>
      <x:c r="F3709" s="13" t="n">
        <x:f>D3709-E3709</x:f>
        <x:v>6.25</x:v>
      </x:c>
      <x:c r="G3709" s="3" t="n">
        <x:v>5</x:v>
      </x:c>
      <x:c r="H3709" s="3" t="n">
        <x:v>0</x:v>
      </x:c>
      <x:c r="I3709" s="3" t="n">
        <x:v>2</x:v>
      </x:c>
      <x:c r="J3709" s="15" t="n">
        <x:f>IF(D3709=0,"n.a.",E3709/D3709)</x:f>
        <x:v>0</x:v>
      </x:c>
      <x:c r="K3709" s="15" t="n">
        <x:f>F3709/'Datos'!$F$7</x:f>
        <x:v>6.382299397105441e-7</x:v>
      </x:c>
      <x:c r="L3709" s="3"/>
    </x:row>
    <x:row r="3710" ht="22" customHeight="1">
      <x:c r="A3710" s="3"/>
      <x:c r="B3710" s="3" t="str">
        <x:v>35591T</x:v>
      </x:c>
      <x:c r="C3710" s="3" t="str">
        <x:v>TURQUOISE CHRISTMAS TREE</x:v>
      </x:c>
      <x:c r="D3710" s="13" t="n">
        <x:v>6.25</x:v>
      </x:c>
      <x:c r="E3710" s="13" t="n">
        <x:v>0</x:v>
      </x:c>
      <x:c r="F3710" s="13" t="n">
        <x:f>D3710-E3710</x:f>
        <x:v>6.25</x:v>
      </x:c>
      <x:c r="G3710" s="3" t="n">
        <x:v>5</x:v>
      </x:c>
      <x:c r="H3710" s="3" t="n">
        <x:v>0</x:v>
      </x:c>
      <x:c r="I3710" s="3" t="n">
        <x:v>4</x:v>
      </x:c>
      <x:c r="J3710" s="15" t="n">
        <x:f>IF(D3710=0,"n.a.",E3710/D3710)</x:f>
        <x:v>0</x:v>
      </x:c>
      <x:c r="K3710" s="15" t="n">
        <x:f>F3710/'Datos'!$F$7</x:f>
        <x:v>6.382299397105441e-7</x:v>
      </x:c>
      <x:c r="L3710" s="3"/>
    </x:row>
    <x:row r="3711" ht="22" customHeight="1">
      <x:c r="A3711" s="3"/>
      <x:c r="B3711" s="3" t="str">
        <x:v>85225</x:v>
      </x:c>
      <x:c r="C3711" s="3" t="str">
        <x:v>BLING KEY RING STAND</x:v>
      </x:c>
      <x:c r="D3711" s="13" t="n">
        <x:v>6.25</x:v>
      </x:c>
      <x:c r="E3711" s="13" t="n">
        <x:v>0</x:v>
      </x:c>
      <x:c r="F3711" s="13" t="n">
        <x:f>D3711-E3711</x:f>
        <x:v>6.25</x:v>
      </x:c>
      <x:c r="G3711" s="3" t="n">
        <x:v>6</x:v>
      </x:c>
      <x:c r="H3711" s="3" t="n">
        <x:v>0</x:v>
      </x:c>
      <x:c r="I3711" s="3" t="n">
        <x:v>3</x:v>
      </x:c>
      <x:c r="J3711" s="15" t="n">
        <x:f>IF(D3711=0,"n.a.",E3711/D3711)</x:f>
        <x:v>0</x:v>
      </x:c>
      <x:c r="K3711" s="15" t="n">
        <x:f>F3711/'Datos'!$F$7</x:f>
        <x:v>6.382299397105441e-7</x:v>
      </x:c>
      <x:c r="L3711" s="3"/>
    </x:row>
    <x:row r="3712" ht="22" customHeight="1">
      <x:c r="A3712" s="3"/>
      <x:c r="B3712" s="3" t="str">
        <x:v>23610</x:v>
      </x:c>
      <x:c r="C3712" s="3" t="str">
        <x:v>SET 10 CARDS CHRISTMAS ROBIN 17095</x:v>
      </x:c>
      <x:c r="D3712" s="13" t="n">
        <x:v>6.24</x:v>
      </x:c>
      <x:c r="E3712" s="13" t="n">
        <x:v>0</x:v>
      </x:c>
      <x:c r="F3712" s="13" t="n">
        <x:f>D3712-E3712</x:f>
        <x:v>6.24</x:v>
      </x:c>
      <x:c r="G3712" s="3" t="n">
        <x:v>3</x:v>
      </x:c>
      <x:c r="H3712" s="3" t="n">
        <x:v>0</x:v>
      </x:c>
      <x:c r="I3712" s="3" t="n">
        <x:v>3</x:v>
      </x:c>
      <x:c r="J3712" s="15" t="n">
        <x:f>IF(D3712=0,"n.a.",E3712/D3712)</x:f>
        <x:v>0</x:v>
      </x:c>
      <x:c r="K3712" s="15" t="n">
        <x:f>F3712/'Datos'!$F$7</x:f>
        <x:v>6.372087718070073e-7</x:v>
      </x:c>
      <x:c r="L3712" s="3"/>
    </x:row>
    <x:row r="3713" ht="22" customHeight="1">
      <x:c r="A3713" s="3"/>
      <x:c r="B3713" s="3" t="str">
        <x:v>84499</x:v>
      </x:c>
      <x:c r="C3713" s="3" t="str">
        <x:v>BLACK FLOWER CANDLE PLATE</x:v>
      </x:c>
      <x:c r="D3713" s="13" t="n">
        <x:v>5.95</x:v>
      </x:c>
      <x:c r="E3713" s="13" t="n">
        <x:v>0</x:v>
      </x:c>
      <x:c r="F3713" s="13" t="n">
        <x:f>D3713-E3713</x:f>
        <x:v>5.95</x:v>
      </x:c>
      <x:c r="G3713" s="3" t="n">
        <x:v>7</x:v>
      </x:c>
      <x:c r="H3713" s="3" t="n">
        <x:v>0</x:v>
      </x:c>
      <x:c r="I3713" s="3" t="n">
        <x:v>2</x:v>
      </x:c>
      <x:c r="J3713" s="15" t="n">
        <x:f>IF(D3713=0,"n.a.",E3713/D3713)</x:f>
        <x:v>0</x:v>
      </x:c>
      <x:c r="K3713" s="15" t="n">
        <x:f>F3713/'Datos'!$F$7</x:f>
        <x:v>6.075949026044381e-7</x:v>
      </x:c>
      <x:c r="L3713" s="3"/>
    </x:row>
    <x:row r="3714" ht="22" customHeight="1">
      <x:c r="A3714" s="3"/>
      <x:c r="B3714" s="3" t="str">
        <x:v>90060B</x:v>
      </x:c>
      <x:c r="C3714" s="3" t="str">
        <x:v>FIRE POLISHED GLASS NECKL GOLD</x:v>
      </x:c>
      <x:c r="D3714" s="13" t="n">
        <x:v>5.95</x:v>
      </x:c>
      <x:c r="E3714" s="13" t="n">
        <x:v>0</x:v>
      </x:c>
      <x:c r="F3714" s="13" t="n">
        <x:f>D3714-E3714</x:f>
        <x:v>5.95</x:v>
      </x:c>
      <x:c r="G3714" s="3" t="n">
        <x:v>1</x:v>
      </x:c>
      <x:c r="H3714" s="3" t="n">
        <x:v>0</x:v>
      </x:c>
      <x:c r="I3714" s="3" t="n">
        <x:v>1</x:v>
      </x:c>
      <x:c r="J3714" s="15" t="n">
        <x:f>IF(D3714=0,"n.a.",E3714/D3714)</x:f>
        <x:v>0</x:v>
      </x:c>
      <x:c r="K3714" s="15" t="n">
        <x:f>F3714/'Datos'!$F$7</x:f>
        <x:v>6.075949026044381e-7</x:v>
      </x:c>
      <x:c r="L3714" s="3"/>
    </x:row>
    <x:row r="3715" ht="22" customHeight="1">
      <x:c r="A3715" s="3"/>
      <x:c r="B3715" s="3" t="str">
        <x:v>90152C</x:v>
      </x:c>
      <x:c r="C3715" s="3" t="str">
        <x:v>BLUE/NAT SHELL NECKLACE W PENDANT</x:v>
      </x:c>
      <x:c r="D3715" s="13" t="n">
        <x:v>5.95</x:v>
      </x:c>
      <x:c r="E3715" s="13" t="n">
        <x:v>0</x:v>
      </x:c>
      <x:c r="F3715" s="13" t="n">
        <x:f>D3715-E3715</x:f>
        <x:v>5.95</x:v>
      </x:c>
      <x:c r="G3715" s="3" t="n">
        <x:v>1</x:v>
      </x:c>
      <x:c r="H3715" s="3" t="n">
        <x:v>0</x:v>
      </x:c>
      <x:c r="I3715" s="3" t="n">
        <x:v>1</x:v>
      </x:c>
      <x:c r="J3715" s="15" t="n">
        <x:f>IF(D3715=0,"n.a.",E3715/D3715)</x:f>
        <x:v>0</x:v>
      </x:c>
      <x:c r="K3715" s="15" t="n">
        <x:f>F3715/'Datos'!$F$7</x:f>
        <x:v>6.075949026044381e-7</x:v>
      </x:c>
      <x:c r="L3715" s="3"/>
    </x:row>
    <x:row r="3716" ht="22" customHeight="1">
      <x:c r="A3716" s="3"/>
      <x:c r="B3716" s="3" t="str">
        <x:v>35598C</x:v>
      </x:c>
      <x:c r="C3716" s="3" t="str">
        <x:v>WHITE CHRISTMAS TREE 60CM</x:v>
      </x:c>
      <x:c r="D3716" s="13" t="n">
        <x:v>5.9</x:v>
      </x:c>
      <x:c r="E3716" s="13" t="n">
        <x:v>0</x:v>
      </x:c>
      <x:c r="F3716" s="13" t="n">
        <x:f>D3716-E3716</x:f>
        <x:v>5.9</x:v>
      </x:c>
      <x:c r="G3716" s="3" t="n">
        <x:v>2</x:v>
      </x:c>
      <x:c r="H3716" s="3" t="n">
        <x:v>0</x:v>
      </x:c>
      <x:c r="I3716" s="3" t="n">
        <x:v>2</x:v>
      </x:c>
      <x:c r="J3716" s="15" t="n">
        <x:f>IF(D3716=0,"n.a.",E3716/D3716)</x:f>
        <x:v>0</x:v>
      </x:c>
      <x:c r="K3716" s="15" t="n">
        <x:f>F3716/'Datos'!$F$7</x:f>
        <x:v>6.024890630867537e-7</x:v>
      </x:c>
      <x:c r="L3716" s="3"/>
    </x:row>
    <x:row r="3717" ht="22" customHeight="1">
      <x:c r="A3717" s="3"/>
      <x:c r="B3717" s="3" t="str">
        <x:v>79161A</x:v>
      </x:c>
      <x:c r="C3717" s="3" t="str">
        <x:v>ST GEORGE SET OF 10 PARTY LIGHTS</x:v>
      </x:c>
      <x:c r="D3717" s="13" t="n">
        <x:v>5.9</x:v>
      </x:c>
      <x:c r="E3717" s="13" t="n">
        <x:v>0</x:v>
      </x:c>
      <x:c r="F3717" s="13" t="n">
        <x:f>D3717-E3717</x:f>
        <x:v>5.9</x:v>
      </x:c>
      <x:c r="G3717" s="3" t="n">
        <x:v>2</x:v>
      </x:c>
      <x:c r="H3717" s="3" t="n">
        <x:v>0</x:v>
      </x:c>
      <x:c r="I3717" s="3" t="n">
        <x:v>2</x:v>
      </x:c>
      <x:c r="J3717" s="15" t="n">
        <x:f>IF(D3717=0,"n.a.",E3717/D3717)</x:f>
        <x:v>0</x:v>
      </x:c>
      <x:c r="K3717" s="15" t="n">
        <x:f>F3717/'Datos'!$F$7</x:f>
        <x:v>6.024890630867537e-7</x:v>
      </x:c>
      <x:c r="L3717" s="3"/>
    </x:row>
    <x:row r="3718" ht="22" customHeight="1">
      <x:c r="A3718" s="3"/>
      <x:c r="B3718" s="3" t="str">
        <x:v>23617</x:v>
      </x:c>
      <x:c r="C3718" s="3" t="str">
        <x:v>SET 10 CARDS SWIRLY XMAS TREE 17104</x:v>
      </x:c>
      <x:c r="D3718" s="13" t="n">
        <x:v>5.82</x:v>
      </x:c>
      <x:c r="E3718" s="13" t="n">
        <x:v>0</x:v>
      </x:c>
      <x:c r="F3718" s="13" t="n">
        <x:f>D3718-E3718</x:f>
        <x:v>5.82</x:v>
      </x:c>
      <x:c r="G3718" s="3" t="n">
        <x:v>2</x:v>
      </x:c>
      <x:c r="H3718" s="3" t="n">
        <x:v>0</x:v>
      </x:c>
      <x:c r="I3718" s="3" t="n">
        <x:v>1</x:v>
      </x:c>
      <x:c r="J3718" s="15" t="n">
        <x:f>IF(D3718=0,"n.a.",E3718/D3718)</x:f>
        <x:v>0</x:v>
      </x:c>
      <x:c r="K3718" s="15" t="n">
        <x:f>F3718/'Datos'!$F$7</x:f>
        <x:v>5.943197198584587e-7</x:v>
      </x:c>
      <x:c r="L3718" s="3"/>
    </x:row>
    <x:row r="3719" ht="22" customHeight="1">
      <x:c r="A3719" s="3"/>
      <x:c r="B3719" s="3" t="str">
        <x:v>23638</x:v>
      </x:c>
      <x:c r="C3719" s="3" t="str">
        <x:v>SET 10 CARDS ROBIN WATERPUMP 17096</x:v>
      </x:c>
      <x:c r="D3719" s="13" t="n">
        <x:v>5.82</x:v>
      </x:c>
      <x:c r="E3719" s="13" t="n">
        <x:v>0</x:v>
      </x:c>
      <x:c r="F3719" s="13" t="n">
        <x:f>D3719-E3719</x:f>
        <x:v>5.82</x:v>
      </x:c>
      <x:c r="G3719" s="3" t="n">
        <x:v>2</x:v>
      </x:c>
      <x:c r="H3719" s="3" t="n">
        <x:v>0</x:v>
      </x:c>
      <x:c r="I3719" s="3" t="n">
        <x:v>2</x:v>
      </x:c>
      <x:c r="J3719" s="15" t="n">
        <x:f>IF(D3719=0,"n.a.",E3719/D3719)</x:f>
        <x:v>0</x:v>
      </x:c>
      <x:c r="K3719" s="15" t="n">
        <x:f>F3719/'Datos'!$F$7</x:f>
        <x:v>5.943197198584587e-7</x:v>
      </x:c>
      <x:c r="L3719" s="3"/>
    </x:row>
    <x:row r="3720" ht="22" customHeight="1">
      <x:c r="A3720" s="3"/>
      <x:c r="B3720" s="3" t="str">
        <x:v>23652</x:v>
      </x:c>
      <x:c r="C3720" s="3" t="str">
        <x:v>SET 10 CARD CHRISTMAS STAMPS 16963</x:v>
      </x:c>
      <x:c r="D3720" s="13" t="n">
        <x:v>5.82</x:v>
      </x:c>
      <x:c r="E3720" s="13" t="n">
        <x:v>0</x:v>
      </x:c>
      <x:c r="F3720" s="13" t="n">
        <x:f>D3720-E3720</x:f>
        <x:v>5.82</x:v>
      </x:c>
      <x:c r="G3720" s="3" t="n">
        <x:v>2</x:v>
      </x:c>
      <x:c r="H3720" s="3" t="n">
        <x:v>0</x:v>
      </x:c>
      <x:c r="I3720" s="3" t="n">
        <x:v>1</x:v>
      </x:c>
      <x:c r="J3720" s="15" t="n">
        <x:f>IF(D3720=0,"n.a.",E3720/D3720)</x:f>
        <x:v>0</x:v>
      </x:c>
      <x:c r="K3720" s="15" t="n">
        <x:f>F3720/'Datos'!$F$7</x:f>
        <x:v>5.943197198584587e-7</x:v>
      </x:c>
      <x:c r="L3720" s="3"/>
    </x:row>
    <x:row r="3721" ht="22" customHeight="1">
      <x:c r="A3721" s="3"/>
      <x:c r="B3721" s="3" t="str">
        <x:v>90011C</x:v>
      </x:c>
      <x:c r="C3721" s="3" t="str">
        <x:v>GREEN CRYSTAL DROP EARRINGS</x:v>
      </x:c>
      <x:c r="D3721" s="13" t="n">
        <x:v>5.8</x:v>
      </x:c>
      <x:c r="E3721" s="13" t="n">
        <x:v>0</x:v>
      </x:c>
      <x:c r="F3721" s="13" t="n">
        <x:f>D3721-E3721</x:f>
        <x:v>5.8</x:v>
      </x:c>
      <x:c r="G3721" s="3" t="n">
        <x:v>2</x:v>
      </x:c>
      <x:c r="H3721" s="3" t="n">
        <x:v>0</x:v>
      </x:c>
      <x:c r="I3721" s="3" t="n">
        <x:v>2</x:v>
      </x:c>
      <x:c r="J3721" s="15" t="n">
        <x:f>IF(D3721=0,"n.a.",E3721/D3721)</x:f>
        <x:v>0</x:v>
      </x:c>
      <x:c r="K3721" s="15" t="n">
        <x:f>F3721/'Datos'!$F$7</x:f>
        <x:v>5.92277384051385e-7</x:v>
      </x:c>
      <x:c r="L3721" s="3"/>
    </x:row>
    <x:row r="3722" ht="22" customHeight="1">
      <x:c r="A3722" s="3"/>
      <x:c r="B3722" s="3" t="str">
        <x:v>90067B</x:v>
      </x:c>
      <x:c r="C3722" s="3" t="str">
        <x:v>BROWN VINTAGE VICTORIAN EARRINGS</x:v>
      </x:c>
      <x:c r="D3722" s="13" t="n">
        <x:v>5.8</x:v>
      </x:c>
      <x:c r="E3722" s="13" t="n">
        <x:v>0</x:v>
      </x:c>
      <x:c r="F3722" s="13" t="n">
        <x:f>D3722-E3722</x:f>
        <x:v>5.8</x:v>
      </x:c>
      <x:c r="G3722" s="3" t="n">
        <x:v>2</x:v>
      </x:c>
      <x:c r="H3722" s="3" t="n">
        <x:v>0</x:v>
      </x:c>
      <x:c r="I3722" s="3" t="n">
        <x:v>2</x:v>
      </x:c>
      <x:c r="J3722" s="15" t="n">
        <x:f>IF(D3722=0,"n.a.",E3722/D3722)</x:f>
        <x:v>0</x:v>
      </x:c>
      <x:c r="K3722" s="15" t="n">
        <x:f>F3722/'Datos'!$F$7</x:f>
        <x:v>5.92277384051385e-7</x:v>
      </x:c>
      <x:c r="L3722" s="3"/>
    </x:row>
    <x:row r="3723" ht="22" customHeight="1">
      <x:c r="A3723" s="3"/>
      <x:c r="B3723" s="3" t="str">
        <x:v>21839</x:v>
      </x:c>
      <x:c r="C3723" s="3" t="str">
        <x:v>MUMMY MOUSE RED GINGHAM RIBBON</x:v>
      </x:c>
      <x:c r="D3723" s="13" t="n">
        <x:v>5.45</x:v>
      </x:c>
      <x:c r="E3723" s="13" t="n">
        <x:v>0</x:v>
      </x:c>
      <x:c r="F3723" s="13" t="n">
        <x:f>D3723-E3723</x:f>
        <x:v>5.45</x:v>
      </x:c>
      <x:c r="G3723" s="3" t="n">
        <x:v>1</x:v>
      </x:c>
      <x:c r="H3723" s="3" t="n">
        <x:v>0</x:v>
      </x:c>
      <x:c r="I3723" s="3" t="n">
        <x:v>1</x:v>
      </x:c>
      <x:c r="J3723" s="15" t="n">
        <x:f>IF(D3723=0,"n.a.",E3723/D3723)</x:f>
        <x:v>0</x:v>
      </x:c>
      <x:c r="K3723" s="15" t="n">
        <x:f>F3723/'Datos'!$F$7</x:f>
        <x:v>5.565365074275946e-7</x:v>
      </x:c>
      <x:c r="L3723" s="3"/>
    </x:row>
    <x:row r="3724" ht="22" customHeight="1">
      <x:c r="A3724" s="3"/>
      <x:c r="B3724" s="3" t="str">
        <x:v>35004P</x:v>
      </x:c>
      <x:c r="C3724" s="3" t="str">
        <x:v>SET OF 3 PINK FLYING DUCKS</x:v>
      </x:c>
      <x:c r="D3724" s="13" t="n">
        <x:v>5.45</x:v>
      </x:c>
      <x:c r="E3724" s="13" t="n">
        <x:v>0</x:v>
      </x:c>
      <x:c r="F3724" s="13" t="n">
        <x:f>D3724-E3724</x:f>
        <x:v>5.45</x:v>
      </x:c>
      <x:c r="G3724" s="3" t="n">
        <x:v>1</x:v>
      </x:c>
      <x:c r="H3724" s="3" t="n">
        <x:v>0</x:v>
      </x:c>
      <x:c r="I3724" s="3" t="n">
        <x:v>1</x:v>
      </x:c>
      <x:c r="J3724" s="15" t="n">
        <x:f>IF(D3724=0,"n.a.",E3724/D3724)</x:f>
        <x:v>0</x:v>
      </x:c>
      <x:c r="K3724" s="15" t="n">
        <x:f>F3724/'Datos'!$F$7</x:f>
        <x:v>5.565365074275946e-7</x:v>
      </x:c>
      <x:c r="L3724" s="3"/>
    </x:row>
    <x:row r="3725" ht="22" customHeight="1">
      <x:c r="A3725" s="3"/>
      <x:c r="B3725" s="3" t="str">
        <x:v>81953P</x:v>
      </x:c>
      <x:c r="C3725" s="3" t="str">
        <x:v>ROUND ARTICULATED PINK CLOCK W/SUCK</x:v>
      </x:c>
      <x:c r="D3725" s="13" t="n">
        <x:v>5.32</x:v>
      </x:c>
      <x:c r="E3725" s="13" t="n">
        <x:v>0</x:v>
      </x:c>
      <x:c r="F3725" s="13" t="n">
        <x:f>D3725-E3725</x:f>
        <x:v>5.32</x:v>
      </x:c>
      <x:c r="G3725" s="3" t="n">
        <x:v>28</x:v>
      </x:c>
      <x:c r="H3725" s="3" t="n">
        <x:v>0</x:v>
      </x:c>
      <x:c r="I3725" s="3" t="n">
        <x:v>3</x:v>
      </x:c>
      <x:c r="J3725" s="15" t="n">
        <x:f>IF(D3725=0,"n.a.",E3725/D3725)</x:f>
        <x:v>0</x:v>
      </x:c>
      <x:c r="K3725" s="15" t="n">
        <x:f>F3725/'Datos'!$F$7</x:f>
        <x:v>5.432613246816152e-7</x:v>
      </x:c>
      <x:c r="L3725" s="3"/>
    </x:row>
    <x:row r="3726" ht="22" customHeight="1">
      <x:c r="A3726" s="3"/>
      <x:c r="B3726" s="3" t="str">
        <x:v>20964</x:v>
      </x:c>
      <x:c r="C3726" s="3" t="str">
        <x:v>POLYESTER FILLER PAD 60x40cm</x:v>
      </x:c>
      <x:c r="D3726" s="13" t="n">
        <x:v>5.1</x:v>
      </x:c>
      <x:c r="E3726" s="13" t="n">
        <x:v>0</x:v>
      </x:c>
      <x:c r="F3726" s="13" t="n">
        <x:f>D3726-E3726</x:f>
        <x:v>5.1</x:v>
      </x:c>
      <x:c r="G3726" s="3" t="n">
        <x:v>2</x:v>
      </x:c>
      <x:c r="H3726" s="3" t="n">
        <x:v>0</x:v>
      </x:c>
      <x:c r="I3726" s="3" t="n">
        <x:v>1</x:v>
      </x:c>
      <x:c r="J3726" s="15" t="n">
        <x:f>IF(D3726=0,"n.a.",E3726/D3726)</x:f>
        <x:v>0</x:v>
      </x:c>
      <x:c r="K3726" s="15" t="n">
        <x:f>F3726/'Datos'!$F$7</x:f>
        <x:v>5.20795630803804e-7</x:v>
      </x:c>
      <x:c r="L3726" s="3"/>
    </x:row>
    <x:row r="3727" ht="22" customHeight="1">
      <x:c r="A3727" s="3"/>
      <x:c r="B3727" s="3" t="str">
        <x:v>37509</x:v>
      </x:c>
      <x:c r="C3727" s="3" t="str">
        <x:v>NEW ENGLAND MUG W GIFT BOX</x:v>
      </x:c>
      <x:c r="D3727" s="13" t="n">
        <x:v>5.1</x:v>
      </x:c>
      <x:c r="E3727" s="13" t="n">
        <x:v>0</x:v>
      </x:c>
      <x:c r="F3727" s="13" t="n">
        <x:f>D3727-E3727</x:f>
        <x:v>5.1</x:v>
      </x:c>
      <x:c r="G3727" s="3" t="n">
        <x:v>2</x:v>
      </x:c>
      <x:c r="H3727" s="3" t="n">
        <x:v>0</x:v>
      </x:c>
      <x:c r="I3727" s="3" t="n">
        <x:v>2</x:v>
      </x:c>
      <x:c r="J3727" s="15" t="n">
        <x:f>IF(D3727=0,"n.a.",E3727/D3727)</x:f>
        <x:v>0</x:v>
      </x:c>
      <x:c r="K3727" s="15" t="n">
        <x:f>F3727/'Datos'!$F$7</x:f>
        <x:v>5.20795630803804e-7</x:v>
      </x:c>
      <x:c r="L3727" s="3"/>
    </x:row>
    <x:row r="3728" ht="22" customHeight="1">
      <x:c r="A3728" s="3"/>
      <x:c r="B3728" s="3" t="str">
        <x:v>90142A</x:v>
      </x:c>
      <x:c r="C3728" s="3" t="str">
        <x:v>GREEN PENDANT SHELL NECKLACE</x:v>
      </x:c>
      <x:c r="D3728" s="13" t="n">
        <x:v>5.09</x:v>
      </x:c>
      <x:c r="E3728" s="13" t="n">
        <x:v>0</x:v>
      </x:c>
      <x:c r="F3728" s="13" t="n">
        <x:f>D3728-E3728</x:f>
        <x:v>5.09</x:v>
      </x:c>
      <x:c r="G3728" s="3" t="n">
        <x:v>1</x:v>
      </x:c>
      <x:c r="H3728" s="3" t="n">
        <x:v>0</x:v>
      </x:c>
      <x:c r="I3728" s="3" t="n">
        <x:v>1</x:v>
      </x:c>
      <x:c r="J3728" s="15" t="n">
        <x:f>IF(D3728=0,"n.a.",E3728/D3728)</x:f>
        <x:v>0</x:v>
      </x:c>
      <x:c r="K3728" s="15" t="n">
        <x:f>F3728/'Datos'!$F$7</x:f>
        <x:v>5.197744629002672e-7</x:v>
      </x:c>
      <x:c r="L3728" s="3"/>
    </x:row>
    <x:row r="3729" ht="22" customHeight="1">
      <x:c r="A3729" s="3"/>
      <x:c r="B3729" s="3" t="str">
        <x:v>84803A</x:v>
      </x:c>
      <x:c r="C3729" s="3" t="str">
        <x:v>PINK ALLIUM ARTIFICIAL FLOWER</x:v>
      </x:c>
      <x:c r="D3729" s="13" t="n">
        <x:v>5.07</x:v>
      </x:c>
      <x:c r="E3729" s="13" t="n">
        <x:v>0</x:v>
      </x:c>
      <x:c r="F3729" s="13" t="n">
        <x:f>D3729-E3729</x:f>
        <x:v>5.07</x:v>
      </x:c>
      <x:c r="G3729" s="3" t="n">
        <x:v>3</x:v>
      </x:c>
      <x:c r="H3729" s="3" t="n">
        <x:v>0</x:v>
      </x:c>
      <x:c r="I3729" s="3" t="n">
        <x:v>1</x:v>
      </x:c>
      <x:c r="J3729" s="15" t="n">
        <x:f>IF(D3729=0,"n.a.",E3729/D3729)</x:f>
        <x:v>0</x:v>
      </x:c>
      <x:c r="K3729" s="15" t="n">
        <x:f>F3729/'Datos'!$F$7</x:f>
        <x:v>5.177321270931934e-7</x:v>
      </x:c>
      <x:c r="L3729" s="3"/>
    </x:row>
    <x:row r="3730" ht="22" customHeight="1">
      <x:c r="A3730" s="3"/>
      <x:c r="B3730" s="3" t="str">
        <x:v>23649</x:v>
      </x:c>
      <x:c r="C3730" s="3" t="str">
        <x:v>SET 10 CARDS DECK THE HALLS 16960</x:v>
      </x:c>
      <x:c r="D3730" s="13" t="n">
        <x:v>4.98</x:v>
      </x:c>
      <x:c r="E3730" s="13" t="n">
        <x:v>0</x:v>
      </x:c>
      <x:c r="F3730" s="13" t="n">
        <x:f>D3730-E3730</x:f>
        <x:v>4.98</x:v>
      </x:c>
      <x:c r="G3730" s="3" t="n">
        <x:v>2</x:v>
      </x:c>
      <x:c r="H3730" s="3" t="n">
        <x:v>0</x:v>
      </x:c>
      <x:c r="I3730" s="3" t="n">
        <x:v>2</x:v>
      </x:c>
      <x:c r="J3730" s="15" t="n">
        <x:f>IF(D3730=0,"n.a.",E3730/D3730)</x:f>
        <x:v>0</x:v>
      </x:c>
      <x:c r="K3730" s="15" t="n">
        <x:f>F3730/'Datos'!$F$7</x:f>
        <x:v>5.085416159613616e-7</x:v>
      </x:c>
      <x:c r="L3730" s="3"/>
    </x:row>
    <x:row r="3731" ht="22" customHeight="1">
      <x:c r="A3731" s="3"/>
      <x:c r="B3731" s="3" t="str">
        <x:v>90135A</x:v>
      </x:c>
      <x:c r="C3731" s="3" t="str">
        <x:v>ORANGE/FUSCHIA STONES NECKLACE</x:v>
      </x:c>
      <x:c r="D3731" s="13" t="n">
        <x:v>4.98</x:v>
      </x:c>
      <x:c r="E3731" s="13" t="n">
        <x:v>0</x:v>
      </x:c>
      <x:c r="F3731" s="13" t="n">
        <x:f>D3731-E3731</x:f>
        <x:v>4.98</x:v>
      </x:c>
      <x:c r="G3731" s="3" t="n">
        <x:v>1</x:v>
      </x:c>
      <x:c r="H3731" s="3" t="n">
        <x:v>0</x:v>
      </x:c>
      <x:c r="I3731" s="3" t="n">
        <x:v>1</x:v>
      </x:c>
      <x:c r="J3731" s="15" t="n">
        <x:f>IF(D3731=0,"n.a.",E3731/D3731)</x:f>
        <x:v>0</x:v>
      </x:c>
      <x:c r="K3731" s="15" t="n">
        <x:f>F3731/'Datos'!$F$7</x:f>
        <x:v>5.085416159613616e-7</x:v>
      </x:c>
      <x:c r="L3731" s="3"/>
    </x:row>
    <x:row r="3732" ht="22" customHeight="1">
      <x:c r="A3732" s="3"/>
      <x:c r="B3732" s="3" t="str">
        <x:v>90128C</x:v>
      </x:c>
      <x:c r="C3732" s="3" t="str">
        <x:v>GREEN LEAVES AND BEADS PHONE CHARM</x:v>
      </x:c>
      <x:c r="D3732" s="13" t="n">
        <x:v>4.97</x:v>
      </x:c>
      <x:c r="E3732" s="13" t="n">
        <x:v>0</x:v>
      </x:c>
      <x:c r="F3732" s="13" t="n">
        <x:f>D3732-E3732</x:f>
        <x:v>4.97</x:v>
      </x:c>
      <x:c r="G3732" s="3" t="n">
        <x:v>2</x:v>
      </x:c>
      <x:c r="H3732" s="3" t="n">
        <x:v>0</x:v>
      </x:c>
      <x:c r="I3732" s="3" t="n">
        <x:v>2</x:v>
      </x:c>
      <x:c r="J3732" s="15" t="n">
        <x:f>IF(D3732=0,"n.a.",E3732/D3732)</x:f>
        <x:v>0</x:v>
      </x:c>
      <x:c r="K3732" s="15" t="n">
        <x:f>F3732/'Datos'!$F$7</x:f>
        <x:v>5.075204480578247e-7</x:v>
      </x:c>
      <x:c r="L3732" s="3"/>
    </x:row>
    <x:row r="3733" ht="22" customHeight="1">
      <x:c r="A3733" s="3"/>
      <x:c r="B3733" s="3" t="str">
        <x:v>90128D</x:v>
      </x:c>
      <x:c r="C3733" s="3" t="str">
        <x:v>PURPLE LEAVES AND BEADS PHONE CHAR</x:v>
      </x:c>
      <x:c r="D3733" s="13" t="n">
        <x:v>4.97</x:v>
      </x:c>
      <x:c r="E3733" s="13" t="n">
        <x:v>0</x:v>
      </x:c>
      <x:c r="F3733" s="13" t="n">
        <x:f>D3733-E3733</x:f>
        <x:v>4.97</x:v>
      </x:c>
      <x:c r="G3733" s="3" t="n">
        <x:v>2</x:v>
      </x:c>
      <x:c r="H3733" s="3" t="n">
        <x:v>0</x:v>
      </x:c>
      <x:c r="I3733" s="3" t="n">
        <x:v>2</x:v>
      </x:c>
      <x:c r="J3733" s="15" t="n">
        <x:f>IF(D3733=0,"n.a.",E3733/D3733)</x:f>
        <x:v>0</x:v>
      </x:c>
      <x:c r="K3733" s="15" t="n">
        <x:f>F3733/'Datos'!$F$7</x:f>
        <x:v>5.075204480578247e-7</x:v>
      </x:c>
      <x:c r="L3733" s="3"/>
    </x:row>
    <x:row r="3734" ht="22" customHeight="1">
      <x:c r="A3734" s="3"/>
      <x:c r="B3734" s="3" t="str">
        <x:v>35650</x:v>
      </x:c>
      <x:c r="C3734" s="3" t="str">
        <x:v>VINTAGE BEAD PINK JEWEL STAND</x:v>
      </x:c>
      <x:c r="D3734" s="13" t="n">
        <x:v>4.95</x:v>
      </x:c>
      <x:c r="E3734" s="13" t="n">
        <x:v>0</x:v>
      </x:c>
      <x:c r="F3734" s="13" t="n">
        <x:f>D3734-E3734</x:f>
        <x:v>4.95</x:v>
      </x:c>
      <x:c r="G3734" s="3" t="n">
        <x:v>1</x:v>
      </x:c>
      <x:c r="H3734" s="3" t="n">
        <x:v>0</x:v>
      </x:c>
      <x:c r="I3734" s="3" t="n">
        <x:v>1</x:v>
      </x:c>
      <x:c r="J3734" s="15" t="n">
        <x:f>IF(D3734=0,"n.a.",E3734/D3734)</x:f>
        <x:v>0</x:v>
      </x:c>
      <x:c r="K3734" s="15" t="n">
        <x:f>F3734/'Datos'!$F$7</x:f>
        <x:v>5.05478112250751e-7</x:v>
      </x:c>
      <x:c r="L3734" s="3"/>
    </x:row>
    <x:row r="3735" ht="22" customHeight="1">
      <x:c r="A3735" s="3"/>
      <x:c r="B3735" s="3" t="str">
        <x:v>85031B</x:v>
      </x:c>
      <x:c r="C3735" s="3" t="str">
        <x:v>BLOSSOM IMAGES SCRAP BOOK SET</x:v>
      </x:c>
      <x:c r="D3735" s="13" t="n">
        <x:v>4.95</x:v>
      </x:c>
      <x:c r="E3735" s="13" t="n">
        <x:v>0</x:v>
      </x:c>
      <x:c r="F3735" s="13" t="n">
        <x:f>D3735-E3735</x:f>
        <x:v>4.95</x:v>
      </x:c>
      <x:c r="G3735" s="3" t="n">
        <x:v>1</x:v>
      </x:c>
      <x:c r="H3735" s="3" t="n">
        <x:v>0</x:v>
      </x:c>
      <x:c r="I3735" s="3" t="n">
        <x:v>1</x:v>
      </x:c>
      <x:c r="J3735" s="15" t="n">
        <x:f>IF(D3735=0,"n.a.",E3735/D3735)</x:f>
        <x:v>0</x:v>
      </x:c>
      <x:c r="K3735" s="15" t="n">
        <x:f>F3735/'Datos'!$F$7</x:f>
        <x:v>5.05478112250751e-7</x:v>
      </x:c>
      <x:c r="L3735" s="3"/>
    </x:row>
    <x:row r="3736" ht="22" customHeight="1">
      <x:c r="A3736" s="3"/>
      <x:c r="B3736" s="3" t="str">
        <x:v>90081B</x:v>
      </x:c>
      <x:c r="C3736" s="3" t="str">
        <x:v>LILY BROOCH WHITE/SILVER COLOUR</x:v>
      </x:c>
      <x:c r="D3736" s="13" t="n">
        <x:v>4.95</x:v>
      </x:c>
      <x:c r="E3736" s="13" t="n">
        <x:v>0</x:v>
      </x:c>
      <x:c r="F3736" s="13" t="n">
        <x:f>D3736-E3736</x:f>
        <x:v>4.95</x:v>
      </x:c>
      <x:c r="G3736" s="3" t="n">
        <x:v>1</x:v>
      </x:c>
      <x:c r="H3736" s="3" t="n">
        <x:v>0</x:v>
      </x:c>
      <x:c r="I3736" s="3" t="n">
        <x:v>1</x:v>
      </x:c>
      <x:c r="J3736" s="15" t="n">
        <x:f>IF(D3736=0,"n.a.",E3736/D3736)</x:f>
        <x:v>0</x:v>
      </x:c>
      <x:c r="K3736" s="15" t="n">
        <x:f>F3736/'Datos'!$F$7</x:f>
        <x:v>5.05478112250751e-7</x:v>
      </x:c>
      <x:c r="L3736" s="3"/>
    </x:row>
    <x:row r="3737" ht="22" customHeight="1">
      <x:c r="A3737" s="3"/>
      <x:c r="B3737" s="3" t="str">
        <x:v>84971L</x:v>
      </x:c>
      <x:c r="C3737" s="3" t="str">
        <x:v>LARGE HEART FLOWERS HOOK</x:v>
      </x:c>
      <x:c r="D3737" s="13" t="n">
        <x:v>4.92</x:v>
      </x:c>
      <x:c r="E3737" s="13" t="n">
        <x:v>0</x:v>
      </x:c>
      <x:c r="F3737" s="13" t="n">
        <x:f>D3737-E3737</x:f>
        <x:v>4.92</x:v>
      </x:c>
      <x:c r="G3737" s="3" t="n">
        <x:v>2</x:v>
      </x:c>
      <x:c r="H3737" s="3" t="n">
        <x:v>0</x:v>
      </x:c>
      <x:c r="I3737" s="3" t="n">
        <x:v>1</x:v>
      </x:c>
      <x:c r="J3737" s="15" t="n">
        <x:f>IF(D3737=0,"n.a.",E3737/D3737)</x:f>
        <x:v>0</x:v>
      </x:c>
      <x:c r="K3737" s="15" t="n">
        <x:f>F3737/'Datos'!$F$7</x:f>
        <x:v>5.024146085401404e-7</x:v>
      </x:c>
      <x:c r="L3737" s="3"/>
    </x:row>
    <x:row r="3738" ht="22" customHeight="1">
      <x:c r="A3738" s="3"/>
      <x:c r="B3738" s="3" t="str">
        <x:v>90127A</x:v>
      </x:c>
      <x:c r="C3738" s="3" t="str">
        <x:v>PINK BEADS+HAND PHONE CHARM</x:v>
      </x:c>
      <x:c r="D3738" s="13" t="n">
        <x:v>4.92</x:v>
      </x:c>
      <x:c r="E3738" s="13" t="n">
        <x:v>0</x:v>
      </x:c>
      <x:c r="F3738" s="13" t="n">
        <x:f>D3738-E3738</x:f>
        <x:v>4.92</x:v>
      </x:c>
      <x:c r="G3738" s="3" t="n">
        <x:v>2</x:v>
      </x:c>
      <x:c r="H3738" s="3" t="n">
        <x:v>0</x:v>
      </x:c>
      <x:c r="I3738" s="3" t="n">
        <x:v>1</x:v>
      </x:c>
      <x:c r="J3738" s="15" t="n">
        <x:f>IF(D3738=0,"n.a.",E3738/D3738)</x:f>
        <x:v>0</x:v>
      </x:c>
      <x:c r="K3738" s="15" t="n">
        <x:f>F3738/'Datos'!$F$7</x:f>
        <x:v>5.024146085401404e-7</x:v>
      </x:c>
      <x:c r="L3738" s="3"/>
    </x:row>
    <x:row r="3739" ht="22" customHeight="1">
      <x:c r="A3739" s="3"/>
      <x:c r="B3739" s="3" t="str">
        <x:v>84613C</x:v>
      </x:c>
      <x:c r="C3739" s="3" t="str">
        <x:v>BLUE NEW BAROQUE FLOCK CANDLESTICK</x:v>
      </x:c>
      <x:c r="D3739" s="13" t="n">
        <x:v>4.65</x:v>
      </x:c>
      <x:c r="E3739" s="13" t="n">
        <x:v>0</x:v>
      </x:c>
      <x:c r="F3739" s="13" t="n">
        <x:f>D3739-E3739</x:f>
        <x:v>4.65</x:v>
      </x:c>
      <x:c r="G3739" s="3" t="n">
        <x:v>1</x:v>
      </x:c>
      <x:c r="H3739" s="3" t="n">
        <x:v>0</x:v>
      </x:c>
      <x:c r="I3739" s="3" t="n">
        <x:v>1</x:v>
      </x:c>
      <x:c r="J3739" s="15" t="n">
        <x:f>IF(D3739=0,"n.a.",E3739/D3739)</x:f>
        <x:v>0</x:v>
      </x:c>
      <x:c r="K3739" s="15" t="n">
        <x:f>F3739/'Datos'!$F$7</x:f>
        <x:v>4.748430751446449e-7</x:v>
      </x:c>
      <x:c r="L3739" s="3"/>
    </x:row>
    <x:row r="3740" ht="22" customHeight="1">
      <x:c r="A3740" s="3"/>
      <x:c r="B3740" s="3" t="str">
        <x:v>71215</x:v>
      </x:c>
      <x:c r="C3740" s="3" t="str">
        <x:v>METAL BASE FOR CANDLES</x:v>
      </x:c>
      <x:c r="D3740" s="13" t="n">
        <x:v>4.62</x:v>
      </x:c>
      <x:c r="E3740" s="13" t="n">
        <x:v>0</x:v>
      </x:c>
      <x:c r="F3740" s="13" t="n">
        <x:f>D3740-E3740</x:f>
        <x:v>4.62</x:v>
      </x:c>
      <x:c r="G3740" s="3" t="n">
        <x:v>11</x:v>
      </x:c>
      <x:c r="H3740" s="3" t="n">
        <x:v>0</x:v>
      </x:c>
      <x:c r="I3740" s="3" t="n">
        <x:v>2</x:v>
      </x:c>
      <x:c r="J3740" s="15" t="n">
        <x:f>IF(D3740=0,"n.a.",E3740/D3740)</x:f>
        <x:v>0</x:v>
      </x:c>
      <x:c r="K3740" s="15" t="n">
        <x:f>F3740/'Datos'!$F$7</x:f>
        <x:v>4.717795714340343e-7</x:v>
      </x:c>
      <x:c r="L3740" s="3"/>
    </x:row>
    <x:row r="3741" ht="22" customHeight="1">
      <x:c r="A3741" s="3"/>
      <x:c r="B3741" s="3" t="str">
        <x:v>79151B</x:v>
      </x:c>
      <x:c r="C3741" s="3" t="str">
        <x:v>SILICON CUBE 25W, BLUE</x:v>
      </x:c>
      <x:c r="D3741" s="13" t="n">
        <x:v>4.62</x:v>
      </x:c>
      <x:c r="E3741" s="13" t="n">
        <x:v>0</x:v>
      </x:c>
      <x:c r="F3741" s="13" t="n">
        <x:f>D3741-E3741</x:f>
        <x:v>4.62</x:v>
      </x:c>
      <x:c r="G3741" s="3" t="n">
        <x:v>11</x:v>
      </x:c>
      <x:c r="H3741" s="3" t="n">
        <x:v>0</x:v>
      </x:c>
      <x:c r="I3741" s="3" t="n">
        <x:v>2</x:v>
      </x:c>
      <x:c r="J3741" s="15" t="n">
        <x:f>IF(D3741=0,"n.a.",E3741/D3741)</x:f>
        <x:v>0</x:v>
      </x:c>
      <x:c r="K3741" s="15" t="n">
        <x:f>F3741/'Datos'!$F$7</x:f>
        <x:v>4.717795714340343e-7</x:v>
      </x:c>
      <x:c r="L3741" s="3"/>
    </x:row>
    <x:row r="3742" ht="22" customHeight="1">
      <x:c r="A3742" s="3"/>
      <x:c r="B3742" s="3" t="str">
        <x:v>84206A</x:v>
      </x:c>
      <x:c r="C3742" s="3" t="str">
        <x:v>3 BLACK CATS W HEARTS BLANK CARD</x:v>
      </x:c>
      <x:c r="D3742" s="13" t="n">
        <x:v>4.56</x:v>
      </x:c>
      <x:c r="E3742" s="13" t="n">
        <x:v>0</x:v>
      </x:c>
      <x:c r="F3742" s="13" t="n">
        <x:f>D3742-E3742</x:f>
        <x:v>4.56</x:v>
      </x:c>
      <x:c r="G3742" s="3" t="n">
        <x:v>24</x:v>
      </x:c>
      <x:c r="H3742" s="3" t="n">
        <x:v>0</x:v>
      </x:c>
      <x:c r="I3742" s="3" t="n">
        <x:v>3</x:v>
      </x:c>
      <x:c r="J3742" s="15" t="n">
        <x:f>IF(D3742=0,"n.a.",E3742/D3742)</x:f>
        <x:v>0</x:v>
      </x:c>
      <x:c r="K3742" s="15" t="n">
        <x:f>F3742/'Datos'!$F$7</x:f>
        <x:v>4.65652564012813e-7</x:v>
      </x:c>
      <x:c r="L3742" s="3"/>
    </x:row>
    <x:row r="3743" ht="22" customHeight="1">
      <x:c r="A3743" s="3"/>
      <x:c r="B3743" s="3" t="str">
        <x:v>84732D</x:v>
      </x:c>
      <x:c r="C3743" s="3" t="str">
        <x:v>CUTE RABBIT CEATURE SCREEN</x:v>
      </x:c>
      <x:c r="D3743" s="13" t="n">
        <x:v>4.29</x:v>
      </x:c>
      <x:c r="E3743" s="13" t="n">
        <x:v>0</x:v>
      </x:c>
      <x:c r="F3743" s="13" t="n">
        <x:f>D3743-E3743</x:f>
        <x:v>4.29</x:v>
      </x:c>
      <x:c r="G3743" s="3" t="n">
        <x:v>11</x:v>
      </x:c>
      <x:c r="H3743" s="3" t="n">
        <x:v>0</x:v>
      </x:c>
      <x:c r="I3743" s="3" t="n">
        <x:v>2</x:v>
      </x:c>
      <x:c r="J3743" s="15" t="n">
        <x:f>IF(D3743=0,"n.a.",E3743/D3743)</x:f>
        <x:v>0</x:v>
      </x:c>
      <x:c r="K3743" s="15" t="n">
        <x:f>F3743/'Datos'!$F$7</x:f>
        <x:v>4.380810306173175e-7</x:v>
      </x:c>
      <x:c r="L3743" s="3"/>
    </x:row>
    <x:row r="3744" ht="22" customHeight="1">
      <x:c r="A3744" s="3"/>
      <x:c r="B3744" s="3" t="str">
        <x:v>22218</x:v>
      </x:c>
      <x:c r="C3744" s="3" t="str">
        <x:v>CAKE STAND LACE WHITE</x:v>
      </x:c>
      <x:c r="D3744" s="13" t="n">
        <x:v>4.25</x:v>
      </x:c>
      <x:c r="E3744" s="13" t="n">
        <x:v>0</x:v>
      </x:c>
      <x:c r="F3744" s="13" t="n">
        <x:f>D3744-E3744</x:f>
        <x:v>4.25</x:v>
      </x:c>
      <x:c r="G3744" s="3" t="n">
        <x:v>1</x:v>
      </x:c>
      <x:c r="H3744" s="3" t="n">
        <x:v>0</x:v>
      </x:c>
      <x:c r="I3744" s="3" t="n">
        <x:v>1</x:v>
      </x:c>
      <x:c r="J3744" s="15" t="n">
        <x:f>IF(D3744=0,"n.a.",E3744/D3744)</x:f>
        <x:v>0</x:v>
      </x:c>
      <x:c r="K3744" s="15" t="n">
        <x:f>F3744/'Datos'!$F$7</x:f>
        <x:v>4.3399635900317004e-7</x:v>
      </x:c>
      <x:c r="L3744" s="3"/>
    </x:row>
    <x:row r="3745" ht="22" customHeight="1">
      <x:c r="A3745" s="3"/>
      <x:c r="B3745" s="3" t="str">
        <x:v>79157V</x:v>
      </x:c>
      <x:c r="C3745" s="3" t="str">
        <x:v>UBO-LIGHT TRIOBASE PURPLE</x:v>
      </x:c>
      <x:c r="D3745" s="13" t="n">
        <x:v>4.25</x:v>
      </x:c>
      <x:c r="E3745" s="13" t="n">
        <x:v>0</x:v>
      </x:c>
      <x:c r="F3745" s="13" t="n">
        <x:f>D3745-E3745</x:f>
        <x:v>4.25</x:v>
      </x:c>
      <x:c r="G3745" s="3" t="n">
        <x:v>5</x:v>
      </x:c>
      <x:c r="H3745" s="3" t="n">
        <x:v>0</x:v>
      </x:c>
      <x:c r="I3745" s="3" t="n">
        <x:v>3</x:v>
      </x:c>
      <x:c r="J3745" s="15" t="n">
        <x:f>IF(D3745=0,"n.a.",E3745/D3745)</x:f>
        <x:v>0</x:v>
      </x:c>
      <x:c r="K3745" s="15" t="n">
        <x:f>F3745/'Datos'!$F$7</x:f>
        <x:v>4.3399635900317004e-7</x:v>
      </x:c>
      <x:c r="L3745" s="3"/>
    </x:row>
    <x:row r="3746" ht="22" customHeight="1">
      <x:c r="A3746" s="3"/>
      <x:c r="B3746" s="3" t="str">
        <x:v>20861</x:v>
      </x:c>
      <x:c r="C3746" s="3" t="str">
        <x:v>GOLD COSMETIC BAG PINK STAR</x:v>
      </x:c>
      <x:c r="D3746" s="13" t="n">
        <x:v>4.2</x:v>
      </x:c>
      <x:c r="E3746" s="13" t="n">
        <x:v>0</x:v>
      </x:c>
      <x:c r="F3746" s="13" t="n">
        <x:f>D3746-E3746</x:f>
        <x:v>4.2</x:v>
      </x:c>
      <x:c r="G3746" s="3" t="n">
        <x:v>2</x:v>
      </x:c>
      <x:c r="H3746" s="3" t="n">
        <x:v>0</x:v>
      </x:c>
      <x:c r="I3746" s="3" t="n">
        <x:v>2</x:v>
      </x:c>
      <x:c r="J3746" s="15" t="n">
        <x:f>IF(D3746=0,"n.a.",E3746/D3746)</x:f>
        <x:v>0</x:v>
      </x:c>
      <x:c r="K3746" s="15" t="n">
        <x:f>F3746/'Datos'!$F$7</x:f>
        <x:v>4.288905194854857e-7</x:v>
      </x:c>
      <x:c r="L3746" s="3"/>
    </x:row>
    <x:row r="3747" ht="22" customHeight="1">
      <x:c r="A3747" s="3"/>
      <x:c r="B3747" s="3" t="str">
        <x:v>47016</x:v>
      </x:c>
      <x:c r="C3747" s="3" t="str">
        <x:v>LIGHT DECORATION BATTERY OPERATED</x:v>
      </x:c>
      <x:c r="D3747" s="13" t="n">
        <x:v>4.2</x:v>
      </x:c>
      <x:c r="E3747" s="13" t="n">
        <x:v>0</x:v>
      </x:c>
      <x:c r="F3747" s="13" t="n">
        <x:f>D3747-E3747</x:f>
        <x:v>4.2</x:v>
      </x:c>
      <x:c r="G3747" s="3" t="n">
        <x:v>2</x:v>
      </x:c>
      <x:c r="H3747" s="3" t="n">
        <x:v>0</x:v>
      </x:c>
      <x:c r="I3747" s="3" t="n">
        <x:v>1</x:v>
      </x:c>
      <x:c r="J3747" s="15" t="n">
        <x:f>IF(D3747=0,"n.a.",E3747/D3747)</x:f>
        <x:v>0</x:v>
      </x:c>
      <x:c r="K3747" s="15" t="n">
        <x:f>F3747/'Datos'!$F$7</x:f>
        <x:v>4.288905194854857e-7</x:v>
      </x:c>
      <x:c r="L3747" s="3"/>
    </x:row>
    <x:row r="3748" ht="22" customHeight="1">
      <x:c r="A3748" s="3"/>
      <x:c r="B3748" s="3" t="str">
        <x:v>22206</x:v>
      </x:c>
      <x:c r="C3748" s="3" t="str">
        <x:v>MUG , DOTCOMGIFTSHOP.COM</x:v>
      </x:c>
      <x:c r="D3748" s="13" t="n">
        <x:v>4.17</x:v>
      </x:c>
      <x:c r="E3748" s="13" t="n">
        <x:v>0</x:v>
      </x:c>
      <x:c r="F3748" s="13" t="n">
        <x:f>D3748-E3748</x:f>
        <x:v>4.17</x:v>
      </x:c>
      <x:c r="G3748" s="3" t="n">
        <x:v>5</x:v>
      </x:c>
      <x:c r="H3748" s="3" t="n">
        <x:v>0</x:v>
      </x:c>
      <x:c r="I3748" s="3" t="n">
        <x:v>5</x:v>
      </x:c>
      <x:c r="J3748" s="15" t="n">
        <x:f>IF(D3748=0,"n.a.",E3748/D3748)</x:f>
        <x:v>0</x:v>
      </x:c>
      <x:c r="K3748" s="15" t="n">
        <x:f>F3748/'Datos'!$F$7</x:f>
        <x:v>4.258270157748751e-7</x:v>
      </x:c>
      <x:c r="L3748" s="3"/>
    </x:row>
    <x:row r="3749" ht="22" customHeight="1">
      <x:c r="A3749" s="3"/>
      <x:c r="B3749" s="3" t="str">
        <x:v>17174</x:v>
      </x:c>
      <x:c r="C3749" s="3" t="str">
        <x:v>ASSTD RASTA KEY-CHAINS</x:v>
      </x:c>
      <x:c r="D3749" s="13" t="n">
        <x:v>3.78</x:v>
      </x:c>
      <x:c r="E3749" s="13" t="n">
        <x:v>0</x:v>
      </x:c>
      <x:c r="F3749" s="13" t="n">
        <x:f>D3749-E3749</x:f>
        <x:v>3.78</x:v>
      </x:c>
      <x:c r="G3749" s="3" t="n">
        <x:v>9</x:v>
      </x:c>
      <x:c r="H3749" s="3" t="n">
        <x:v>0</x:v>
      </x:c>
      <x:c r="I3749" s="3" t="n">
        <x:v>3</x:v>
      </x:c>
      <x:c r="J3749" s="15" t="n">
        <x:f>IF(D3749=0,"n.a.",E3749/D3749)</x:f>
        <x:v>0</x:v>
      </x:c>
      <x:c r="K3749" s="15" t="n">
        <x:f>F3749/'Datos'!$F$7</x:f>
        <x:v>3.860014675369371e-7</x:v>
      </x:c>
      <x:c r="L3749" s="3"/>
    </x:row>
    <x:row r="3750" ht="22" customHeight="1">
      <x:c r="A3750" s="3"/>
      <x:c r="B3750" s="3" t="str">
        <x:v>44091A</x:v>
      </x:c>
      <x:c r="C3750" s="3" t="str">
        <x:v>BLUE CRUSOE CHECK LAMPSHADE</x:v>
      </x:c>
      <x:c r="D3750" s="13" t="n">
        <x:v>3.78</x:v>
      </x:c>
      <x:c r="E3750" s="13" t="n">
        <x:v>0</x:v>
      </x:c>
      <x:c r="F3750" s="13" t="n">
        <x:f>D3750-E3750</x:f>
        <x:v>3.78</x:v>
      </x:c>
      <x:c r="G3750" s="3" t="n">
        <x:v>9</x:v>
      </x:c>
      <x:c r="H3750" s="3" t="n">
        <x:v>0</x:v>
      </x:c>
      <x:c r="I3750" s="3" t="n">
        <x:v>3</x:v>
      </x:c>
      <x:c r="J3750" s="15" t="n">
        <x:f>IF(D3750=0,"n.a.",E3750/D3750)</x:f>
        <x:v>0</x:v>
      </x:c>
      <x:c r="K3750" s="15" t="n">
        <x:f>F3750/'Datos'!$F$7</x:f>
        <x:v>3.860014675369371e-7</x:v>
      </x:c>
      <x:c r="L3750" s="3"/>
    </x:row>
    <x:row r="3751" ht="22" customHeight="1">
      <x:c r="A3751" s="3"/>
      <x:c r="B3751" s="3" t="str">
        <x:v>90128B</x:v>
      </x:c>
      <x:c r="C3751" s="3" t="str">
        <x:v>BLUE LEAVES AND BEADS PHONE CHARM</x:v>
      </x:c>
      <x:c r="D3751" s="13" t="n">
        <x:v>3.76</x:v>
      </x:c>
      <x:c r="E3751" s="13" t="n">
        <x:v>0</x:v>
      </x:c>
      <x:c r="F3751" s="13" t="n">
        <x:f>D3751-E3751</x:f>
        <x:v>3.76</x:v>
      </x:c>
      <x:c r="G3751" s="3" t="n">
        <x:v>2</x:v>
      </x:c>
      <x:c r="H3751" s="3" t="n">
        <x:v>0</x:v>
      </x:c>
      <x:c r="I3751" s="3" t="n">
        <x:v>2</x:v>
      </x:c>
      <x:c r="J3751" s="15" t="n">
        <x:f>IF(D3751=0,"n.a.",E3751/D3751)</x:f>
        <x:v>0</x:v>
      </x:c>
      <x:c r="K3751" s="15" t="n">
        <x:f>F3751/'Datos'!$F$7</x:f>
        <x:v>3.8395913172986333e-7</x:v>
      </x:c>
      <x:c r="L3751" s="3"/>
    </x:row>
    <x:row r="3752" ht="22" customHeight="1">
      <x:c r="A3752" s="3"/>
      <x:c r="B3752" s="3" t="str">
        <x:v>37464</x:v>
      </x:c>
      <x:c r="C3752" s="3" t="str">
        <x:v>ROBOT MUG IN DISPLAY BOX</x:v>
      </x:c>
      <x:c r="D3752" s="13" t="n">
        <x:v>3.75</x:v>
      </x:c>
      <x:c r="E3752" s="13" t="n">
        <x:v>0</x:v>
      </x:c>
      <x:c r="F3752" s="13" t="n">
        <x:f>D3752-E3752</x:f>
        <x:v>3.75</x:v>
      </x:c>
      <x:c r="G3752" s="3" t="n">
        <x:v>3</x:v>
      </x:c>
      <x:c r="H3752" s="3" t="n">
        <x:v>0</x:v>
      </x:c>
      <x:c r="I3752" s="3" t="n">
        <x:v>2</x:v>
      </x:c>
      <x:c r="J3752" s="15" t="n">
        <x:f>IF(D3752=0,"n.a.",E3752/D3752)</x:f>
        <x:v>0</x:v>
      </x:c>
      <x:c r="K3752" s="15" t="n">
        <x:f>F3752/'Datos'!$F$7</x:f>
        <x:v>3.829379638263265e-7</x:v>
      </x:c>
      <x:c r="L3752" s="3"/>
    </x:row>
    <x:row r="3753" ht="22" customHeight="1">
      <x:c r="A3753" s="3"/>
      <x:c r="B3753" s="3" t="str">
        <x:v>79192A</x:v>
      </x:c>
      <x:c r="C3753" s="3" t="str">
        <x:v>RETRO PLASTIC 70'S TRAY</x:v>
      </x:c>
      <x:c r="D3753" s="13" t="n">
        <x:v>3.75</x:v>
      </x:c>
      <x:c r="E3753" s="13" t="n">
        <x:v>0</x:v>
      </x:c>
      <x:c r="F3753" s="13" t="n">
        <x:f>D3753-E3753</x:f>
        <x:v>3.75</x:v>
      </x:c>
      <x:c r="G3753" s="3" t="n">
        <x:v>3</x:v>
      </x:c>
      <x:c r="H3753" s="3" t="n">
        <x:v>0</x:v>
      </x:c>
      <x:c r="I3753" s="3" t="n">
        <x:v>2</x:v>
      </x:c>
      <x:c r="J3753" s="15" t="n">
        <x:f>IF(D3753=0,"n.a.",E3753/D3753)</x:f>
        <x:v>0</x:v>
      </x:c>
      <x:c r="K3753" s="15" t="n">
        <x:f>F3753/'Datos'!$F$7</x:f>
        <x:v>3.829379638263265e-7</x:v>
      </x:c>
      <x:c r="L3753" s="3"/>
    </x:row>
    <x:row r="3754" ht="22" customHeight="1">
      <x:c r="A3754" s="3"/>
      <x:c r="B3754" s="3" t="str">
        <x:v>90025B</x:v>
      </x:c>
      <x:c r="C3754" s="3" t="str">
        <x:v>BAROQUE BUTTERFLY EARRINGS RED</x:v>
      </x:c>
      <x:c r="D3754" s="13" t="n">
        <x:v>3.73</x:v>
      </x:c>
      <x:c r="E3754" s="13" t="n">
        <x:v>0</x:v>
      </x:c>
      <x:c r="F3754" s="13" t="n">
        <x:f>D3754-E3754</x:f>
        <x:v>3.73</x:v>
      </x:c>
      <x:c r="G3754" s="3" t="n">
        <x:v>1</x:v>
      </x:c>
      <x:c r="H3754" s="3" t="n">
        <x:v>0</x:v>
      </x:c>
      <x:c r="I3754" s="3" t="n">
        <x:v>1</x:v>
      </x:c>
      <x:c r="J3754" s="15" t="n">
        <x:f>IF(D3754=0,"n.a.",E3754/D3754)</x:f>
        <x:v>0</x:v>
      </x:c>
      <x:c r="K3754" s="15" t="n">
        <x:f>F3754/'Datos'!$F$7</x:f>
        <x:v>3.8089562801925274e-7</x:v>
      </x:c>
      <x:c r="L3754" s="3"/>
    </x:row>
    <x:row r="3755" ht="22" customHeight="1">
      <x:c r="A3755" s="3"/>
      <x:c r="B3755" s="3" t="str">
        <x:v>90025E</x:v>
      </x:c>
      <x:c r="C3755" s="3" t="str">
        <x:v>BAROQUE BUTTERFLY EARRINGS MONTANA</x:v>
      </x:c>
      <x:c r="D3755" s="13" t="n">
        <x:v>3.73</x:v>
      </x:c>
      <x:c r="E3755" s="13" t="n">
        <x:v>0</x:v>
      </x:c>
      <x:c r="F3755" s="13" t="n">
        <x:f>D3755-E3755</x:f>
        <x:v>3.73</x:v>
      </x:c>
      <x:c r="G3755" s="3" t="n">
        <x:v>1</x:v>
      </x:c>
      <x:c r="H3755" s="3" t="n">
        <x:v>0</x:v>
      </x:c>
      <x:c r="I3755" s="3" t="n">
        <x:v>1</x:v>
      </x:c>
      <x:c r="J3755" s="15" t="n">
        <x:f>IF(D3755=0,"n.a.",E3755/D3755)</x:f>
        <x:v>0</x:v>
      </x:c>
      <x:c r="K3755" s="15" t="n">
        <x:f>F3755/'Datos'!$F$7</x:f>
        <x:v>3.8089562801925274e-7</x:v>
      </x:c>
      <x:c r="L3755" s="3"/>
    </x:row>
    <x:row r="3756" ht="22" customHeight="1">
      <x:c r="A3756" s="3"/>
      <x:c r="B3756" s="3" t="str">
        <x:v>35271S</x:v>
      </x:c>
      <x:c r="C3756" s="3" t="str">
        <x:v>GOLD PRINT PAPER BAG</x:v>
      </x:c>
      <x:c r="D3756" s="13" t="n">
        <x:v>3.61</x:v>
      </x:c>
      <x:c r="E3756" s="13" t="n">
        <x:v>0</x:v>
      </x:c>
      <x:c r="F3756" s="13" t="n">
        <x:f>D3756-E3756</x:f>
        <x:v>3.61</x:v>
      </x:c>
      <x:c r="G3756" s="3" t="n">
        <x:v>19</x:v>
      </x:c>
      <x:c r="H3756" s="3" t="n">
        <x:v>0</x:v>
      </x:c>
      <x:c r="I3756" s="3" t="n">
        <x:v>2</x:v>
      </x:c>
      <x:c r="J3756" s="15" t="n">
        <x:f>IF(D3756=0,"n.a.",E3756/D3756)</x:f>
        <x:v>0</x:v>
      </x:c>
      <x:c r="K3756" s="15" t="n">
        <x:f>F3756/'Datos'!$F$7</x:f>
        <x:v>3.686416131768103e-7</x:v>
      </x:c>
      <x:c r="L3756" s="3"/>
    </x:row>
    <x:row r="3757" ht="22" customHeight="1">
      <x:c r="A3757" s="3"/>
      <x:c r="B3757" s="3" t="str">
        <x:v>16010</x:v>
      </x:c>
      <x:c r="C3757" s="3" t="str">
        <x:v>FOLDING CAMPING SCISSOR W/KNIF &amp; S</x:v>
      </x:c>
      <x:c r="D3757" s="13" t="n">
        <x:v>3.6</x:v>
      </x:c>
      <x:c r="E3757" s="13" t="n">
        <x:v>0</x:v>
      </x:c>
      <x:c r="F3757" s="13" t="n">
        <x:f>D3757-E3757</x:f>
        <x:v>3.6</x:v>
      </x:c>
      <x:c r="G3757" s="3" t="n">
        <x:v>30</x:v>
      </x:c>
      <x:c r="H3757" s="3" t="n">
        <x:v>0</x:v>
      </x:c>
      <x:c r="I3757" s="3" t="n">
        <x:v>3</x:v>
      </x:c>
      <x:c r="J3757" s="15" t="n">
        <x:f>IF(D3757=0,"n.a.",E3757/D3757)</x:f>
        <x:v>0</x:v>
      </x:c>
      <x:c r="K3757" s="15" t="n">
        <x:f>F3757/'Datos'!$F$7</x:f>
        <x:v>3.6762044527327345e-7</x:v>
      </x:c>
      <x:c r="L3757" s="3"/>
    </x:row>
    <x:row r="3758" ht="22" customHeight="1">
      <x:c r="A3758" s="3"/>
      <x:c r="B3758" s="3" t="str">
        <x:v>84270</x:v>
      </x:c>
      <x:c r="C3758" s="3" t="str">
        <x:v>ASSTD DESIGN BUBBLE GUM RING</x:v>
      </x:c>
      <x:c r="D3758" s="13" t="n">
        <x:v>3.57</x:v>
      </x:c>
      <x:c r="E3758" s="13" t="n">
        <x:v>0</x:v>
      </x:c>
      <x:c r="F3758" s="13" t="n">
        <x:f>D3758-E3758</x:f>
        <x:v>3.57</x:v>
      </x:c>
      <x:c r="G3758" s="3" t="n">
        <x:v>17</x:v>
      </x:c>
      <x:c r="H3758" s="3" t="n">
        <x:v>0</x:v>
      </x:c>
      <x:c r="I3758" s="3" t="n">
        <x:v>4</x:v>
      </x:c>
      <x:c r="J3758" s="15" t="n">
        <x:f>IF(D3758=0,"n.a.",E3758/D3758)</x:f>
        <x:v>0</x:v>
      </x:c>
      <x:c r="K3758" s="15" t="n">
        <x:f>F3758/'Datos'!$F$7</x:f>
        <x:v>3.645569415626628e-7</x:v>
      </x:c>
      <x:c r="L3758" s="3"/>
    </x:row>
    <x:row r="3759" ht="22" customHeight="1">
      <x:c r="A3759" s="3"/>
      <x:c r="B3759" s="3" t="str">
        <x:v>16202A</x:v>
      </x:c>
      <x:c r="C3759" s="3" t="str">
        <x:v>PASTEL PINK PHOTO ALBUM</x:v>
      </x:c>
      <x:c r="D3759" s="13" t="n">
        <x:v>3.5</x:v>
      </x:c>
      <x:c r="E3759" s="13" t="n">
        <x:v>0</x:v>
      </x:c>
      <x:c r="F3759" s="13" t="n">
        <x:f>D3759-E3759</x:f>
        <x:v>3.5</x:v>
      </x:c>
      <x:c r="G3759" s="3" t="n">
        <x:v>7</x:v>
      </x:c>
      <x:c r="H3759" s="3" t="n">
        <x:v>0</x:v>
      </x:c>
      <x:c r="I3759" s="3" t="n">
        <x:v>2</x:v>
      </x:c>
      <x:c r="J3759" s="15" t="n">
        <x:f>IF(D3759=0,"n.a.",E3759/D3759)</x:f>
        <x:v>0</x:v>
      </x:c>
      <x:c r="K3759" s="15" t="n">
        <x:f>F3759/'Datos'!$F$7</x:f>
        <x:v>3.5740876623790476e-7</x:v>
      </x:c>
      <x:c r="L3759" s="3"/>
    </x:row>
    <x:row r="3760" ht="22" customHeight="1">
      <x:c r="A3760" s="3"/>
      <x:c r="B3760" s="3" t="str">
        <x:v>90214U</x:v>
      </x:c>
      <x:c r="C3760" s="3" t="str">
        <x:v>LETTER "U" BLING KEY RING</x:v>
      </x:c>
      <x:c r="D3760" s="13" t="n">
        <x:v>3.48</x:v>
      </x:c>
      <x:c r="E3760" s="13" t="n">
        <x:v>0</x:v>
      </x:c>
      <x:c r="F3760" s="13" t="n">
        <x:f>D3760-E3760</x:f>
        <x:v>3.48</x:v>
      </x:c>
      <x:c r="G3760" s="3" t="n">
        <x:v>12</x:v>
      </x:c>
      <x:c r="H3760" s="3" t="n">
        <x:v>0</x:v>
      </x:c>
      <x:c r="I3760" s="3" t="n">
        <x:v>1</x:v>
      </x:c>
      <x:c r="J3760" s="15" t="n">
        <x:f>IF(D3760=0,"n.a.",E3760/D3760)</x:f>
        <x:v>0</x:v>
      </x:c>
      <x:c r="K3760" s="15" t="n">
        <x:f>F3760/'Datos'!$F$7</x:f>
        <x:v>3.55366430430831e-7</x:v>
      </x:c>
      <x:c r="L3760" s="3"/>
    </x:row>
    <x:row r="3761" ht="22" customHeight="1">
      <x:c r="A3761" s="3"/>
      <x:c r="B3761" s="3" t="str">
        <x:v>79157B</x:v>
      </x:c>
      <x:c r="C3761" s="3" t="str">
        <x:v>UBO-LIGHT TRIOBASE BLUE</x:v>
      </x:c>
      <x:c r="D3761" s="13" t="n">
        <x:v>3.4</x:v>
      </x:c>
      <x:c r="E3761" s="13" t="n">
        <x:v>0</x:v>
      </x:c>
      <x:c r="F3761" s="13" t="n">
        <x:f>D3761-E3761</x:f>
        <x:v>3.4</x:v>
      </x:c>
      <x:c r="G3761" s="3" t="n">
        <x:v>4</x:v>
      </x:c>
      <x:c r="H3761" s="3" t="n">
        <x:v>0</x:v>
      </x:c>
      <x:c r="I3761" s="3" t="n">
        <x:v>2</x:v>
      </x:c>
      <x:c r="J3761" s="15" t="n">
        <x:f>IF(D3761=0,"n.a.",E3761/D3761)</x:f>
        <x:v>0</x:v>
      </x:c>
      <x:c r="K3761" s="15" t="n">
        <x:f>F3761/'Datos'!$F$7</x:f>
        <x:v>3.47197087202536e-7</x:v>
      </x:c>
      <x:c r="L3761" s="3"/>
    </x:row>
    <x:row r="3762" ht="22" customHeight="1">
      <x:c r="A3762" s="3"/>
      <x:c r="B3762" s="3" t="str">
        <x:v>84802A</x:v>
      </x:c>
      <x:c r="C3762" s="3" t="str">
        <x:v>WHITE ANEMONE ARTIFICIAL FLOWER</x:v>
      </x:c>
      <x:c r="D3762" s="13" t="n">
        <x:v>3.38</x:v>
      </x:c>
      <x:c r="E3762" s="13" t="n">
        <x:v>0</x:v>
      </x:c>
      <x:c r="F3762" s="13" t="n">
        <x:f>D3762-E3762</x:f>
        <x:v>3.38</x:v>
      </x:c>
      <x:c r="G3762" s="3" t="n">
        <x:v>2</x:v>
      </x:c>
      <x:c r="H3762" s="3" t="n">
        <x:v>0</x:v>
      </x:c>
      <x:c r="I3762" s="3" t="n">
        <x:v>1</x:v>
      </x:c>
      <x:c r="J3762" s="15" t="n">
        <x:f>IF(D3762=0,"n.a.",E3762/D3762)</x:f>
        <x:v>0</x:v>
      </x:c>
      <x:c r="K3762" s="15" t="n">
        <x:f>F3762/'Datos'!$F$7</x:f>
        <x:v>3.451547513954623e-7</x:v>
      </x:c>
      <x:c r="L3762" s="3"/>
    </x:row>
    <x:row r="3763" ht="22" customHeight="1">
      <x:c r="A3763" s="3"/>
      <x:c r="B3763" s="3" t="str">
        <x:v>21160</x:v>
      </x:c>
      <x:c r="C3763" s="3" t="str">
        <x:v>KEEP OUT GIRLS DOOR HANGER</x:v>
      </x:c>
      <x:c r="D3763" s="13" t="n">
        <x:v>3.36</x:v>
      </x:c>
      <x:c r="E3763" s="13" t="n">
        <x:v>0</x:v>
      </x:c>
      <x:c r="F3763" s="13" t="n">
        <x:f>D3763-E3763</x:f>
        <x:v>3.36</x:v>
      </x:c>
      <x:c r="G3763" s="3" t="n">
        <x:v>1</x:v>
      </x:c>
      <x:c r="H3763" s="3" t="n">
        <x:v>0</x:v>
      </x:c>
      <x:c r="I3763" s="3" t="n">
        <x:v>1</x:v>
      </x:c>
      <x:c r="J3763" s="15" t="n">
        <x:f>IF(D3763=0,"n.a.",E3763/D3763)</x:f>
        <x:v>0</x:v>
      </x:c>
      <x:c r="K3763" s="15" t="n">
        <x:f>F3763/'Datos'!$F$7</x:f>
        <x:v>3.4311241558838856e-7</x:v>
      </x:c>
      <x:c r="L3763" s="3"/>
    </x:row>
    <x:row r="3764" ht="22" customHeight="1">
      <x:c r="A3764" s="3"/>
      <x:c r="B3764" s="3" t="str">
        <x:v>22528</x:v>
      </x:c>
      <x:c r="C3764" s="3" t="str">
        <x:v>GARDENERS KNEELING PAD</x:v>
      </x:c>
      <x:c r="D3764" s="13" t="n">
        <x:v>3.36</x:v>
      </x:c>
      <x:c r="E3764" s="13" t="n">
        <x:v>0</x:v>
      </x:c>
      <x:c r="F3764" s="13" t="n">
        <x:f>D3764-E3764</x:f>
        <x:v>3.36</x:v>
      </x:c>
      <x:c r="G3764" s="3" t="n">
        <x:v>1</x:v>
      </x:c>
      <x:c r="H3764" s="3" t="n">
        <x:v>0</x:v>
      </x:c>
      <x:c r="I3764" s="3" t="n">
        <x:v>1</x:v>
      </x:c>
      <x:c r="J3764" s="15" t="n">
        <x:f>IF(D3764=0,"n.a.",E3764/D3764)</x:f>
        <x:v>0</x:v>
      </x:c>
      <x:c r="K3764" s="15" t="n">
        <x:f>F3764/'Datos'!$F$7</x:f>
        <x:v>3.4311241558838856e-7</x:v>
      </x:c>
      <x:c r="L3764" s="3"/>
    </x:row>
    <x:row r="3765" ht="22" customHeight="1">
      <x:c r="A3765" s="3"/>
      <x:c r="B3765" s="3" t="str">
        <x:v>85119</x:v>
      </x:c>
      <x:c r="C3765" s="3" t="str">
        <x:v>WATERING CAN SINGLE HOOK PISTACHIO</x:v>
      </x:c>
      <x:c r="D3765" s="13" t="n">
        <x:v>3.36</x:v>
      </x:c>
      <x:c r="E3765" s="13" t="n">
        <x:v>0</x:v>
      </x:c>
      <x:c r="F3765" s="13" t="n">
        <x:f>D3765-E3765</x:f>
        <x:v>3.36</x:v>
      </x:c>
      <x:c r="G3765" s="3" t="n">
        <x:v>1</x:v>
      </x:c>
      <x:c r="H3765" s="3" t="n">
        <x:v>0</x:v>
      </x:c>
      <x:c r="I3765" s="3" t="n">
        <x:v>1</x:v>
      </x:c>
      <x:c r="J3765" s="15" t="n">
        <x:f>IF(D3765=0,"n.a.",E3765/D3765)</x:f>
        <x:v>0</x:v>
      </x:c>
      <x:c r="K3765" s="15" t="n">
        <x:f>F3765/'Datos'!$F$7</x:f>
        <x:v>3.4311241558838856e-7</x:v>
      </x:c>
      <x:c r="L3765" s="3"/>
    </x:row>
    <x:row r="3766" ht="22" customHeight="1">
      <x:c r="A3766" s="3"/>
      <x:c r="B3766" s="3" t="str">
        <x:v>90126A</x:v>
      </x:c>
      <x:c r="C3766" s="3" t="str">
        <x:v>PINK BERTIE MOBILE PHONE CHARM</x:v>
      </x:c>
      <x:c r="D3766" s="13" t="n">
        <x:v>3.36</x:v>
      </x:c>
      <x:c r="E3766" s="13" t="n">
        <x:v>0</x:v>
      </x:c>
      <x:c r="F3766" s="13" t="n">
        <x:f>D3766-E3766</x:f>
        <x:v>3.36</x:v>
      </x:c>
      <x:c r="G3766" s="3" t="n">
        <x:v>1</x:v>
      </x:c>
      <x:c r="H3766" s="3" t="n">
        <x:v>0</x:v>
      </x:c>
      <x:c r="I3766" s="3" t="n">
        <x:v>1</x:v>
      </x:c>
      <x:c r="J3766" s="15" t="n">
        <x:f>IF(D3766=0,"n.a.",E3766/D3766)</x:f>
        <x:v>0</x:v>
      </x:c>
      <x:c r="K3766" s="15" t="n">
        <x:f>F3766/'Datos'!$F$7</x:f>
        <x:v>3.4311241558838856e-7</x:v>
      </x:c>
      <x:c r="L3766" s="3"/>
    </x:row>
    <x:row r="3767" ht="22" customHeight="1">
      <x:c r="A3767" s="3"/>
      <x:c r="B3767" s="3" t="str">
        <x:v>23643</x:v>
      </x:c>
      <x:c r="C3767" s="3" t="str">
        <x:v>SET 10 CARDS CHRISTMAS BAUBLE 16954</x:v>
      </x:c>
      <x:c r="D3767" s="13" t="n">
        <x:v>3.33</x:v>
      </x:c>
      <x:c r="E3767" s="13" t="n">
        <x:v>0</x:v>
      </x:c>
      <x:c r="F3767" s="13" t="n">
        <x:f>D3767-E3767</x:f>
        <x:v>3.33</x:v>
      </x:c>
      <x:c r="G3767" s="3" t="n">
        <x:v>1</x:v>
      </x:c>
      <x:c r="H3767" s="3" t="n">
        <x:v>0</x:v>
      </x:c>
      <x:c r="I3767" s="3" t="n">
        <x:v>1</x:v>
      </x:c>
      <x:c r="J3767" s="15" t="n">
        <x:f>IF(D3767=0,"n.a.",E3767/D3767)</x:f>
        <x:v>0</x:v>
      </x:c>
      <x:c r="K3767" s="15" t="n">
        <x:f>F3767/'Datos'!$F$7</x:f>
        <x:v>3.4004891187777796e-7</x:v>
      </x:c>
      <x:c r="L3767" s="3"/>
    </x:row>
    <x:row r="3768" ht="22" customHeight="1">
      <x:c r="A3768" s="3"/>
      <x:c r="B3768" s="3" t="str">
        <x:v>90187A</x:v>
      </x:c>
      <x:c r="C3768" s="3" t="str">
        <x:v>BLUE DROP EARRINGS W BEAD CLUSTER</x:v>
      </x:c>
      <x:c r="D3768" s="13" t="n">
        <x:v>3.32</x:v>
      </x:c>
      <x:c r="E3768" s="13" t="n">
        <x:v>0</x:v>
      </x:c>
      <x:c r="F3768" s="13" t="n">
        <x:f>D3768-E3768</x:f>
        <x:v>3.32</x:v>
      </x:c>
      <x:c r="G3768" s="3" t="n">
        <x:v>1</x:v>
      </x:c>
      <x:c r="H3768" s="3" t="n">
        <x:v>0</x:v>
      </x:c>
      <x:c r="I3768" s="3" t="n">
        <x:v>1</x:v>
      </x:c>
      <x:c r="J3768" s="15" t="n">
        <x:f>IF(D3768=0,"n.a.",E3768/D3768)</x:f>
        <x:v>0</x:v>
      </x:c>
      <x:c r="K3768" s="15" t="n">
        <x:f>F3768/'Datos'!$F$7</x:f>
        <x:v>3.3902774397424105e-7</x:v>
      </x:c>
      <x:c r="L3768" s="3"/>
    </x:row>
    <x:row r="3769" ht="22" customHeight="1">
      <x:c r="A3769" s="3"/>
      <x:c r="B3769" s="3" t="str">
        <x:v>10123C</x:v>
      </x:c>
      <x:c r="C3769" s="3" t="str">
        <x:v>HEARTS WRAPPING TAPE</x:v>
      </x:c>
      <x:c r="D3769" s="13" t="n">
        <x:v>3.25</x:v>
      </x:c>
      <x:c r="E3769" s="13" t="n">
        <x:v>0</x:v>
      </x:c>
      <x:c r="F3769" s="13" t="n">
        <x:f>D3769-E3769</x:f>
        <x:v>3.25</x:v>
      </x:c>
      <x:c r="G3769" s="3" t="n">
        <x:v>5</x:v>
      </x:c>
      <x:c r="H3769" s="3" t="n">
        <x:v>0</x:v>
      </x:c>
      <x:c r="I3769" s="3" t="n">
        <x:v>3</x:v>
      </x:c>
      <x:c r="J3769" s="15" t="n">
        <x:f>IF(D3769=0,"n.a.",E3769/D3769)</x:f>
        <x:v>0</x:v>
      </x:c>
      <x:c r="K3769" s="15" t="n">
        <x:f>F3769/'Datos'!$F$7</x:f>
        <x:v>3.3187956864948295e-7</x:v>
      </x:c>
      <x:c r="L3769" s="3"/>
    </x:row>
    <x:row r="3770" ht="22" customHeight="1">
      <x:c r="A3770" s="3"/>
      <x:c r="B3770" s="3" t="str">
        <x:v>47013A</x:v>
      </x:c>
      <x:c r="C3770" s="3" t="str">
        <x:v>WINE BOTTLE DRESSING LT.BLUE</x:v>
      </x:c>
      <x:c r="D3770" s="13" t="n">
        <x:v>3.04</x:v>
      </x:c>
      <x:c r="E3770" s="13" t="n">
        <x:v>0</x:v>
      </x:c>
      <x:c r="F3770" s="13" t="n">
        <x:f>D3770-E3770</x:f>
        <x:v>3.04</x:v>
      </x:c>
      <x:c r="G3770" s="3" t="n">
        <x:v>14</x:v>
      </x:c>
      <x:c r="H3770" s="3" t="n">
        <x:v>0</x:v>
      </x:c>
      <x:c r="I3770" s="3" t="n">
        <x:v>4</x:v>
      </x:c>
      <x:c r="J3770" s="15" t="n">
        <x:f>IF(D3770=0,"n.a.",E3770/D3770)</x:f>
        <x:v>0</x:v>
      </x:c>
      <x:c r="K3770" s="15" t="n">
        <x:f>F3770/'Datos'!$F$7</x:f>
        <x:v>3.104350426752087e-7</x:v>
      </x:c>
      <x:c r="L3770" s="3"/>
    </x:row>
    <x:row r="3771" ht="22" customHeight="1">
      <x:c r="A3771" s="3"/>
      <x:c r="B3771" s="3" t="str">
        <x:v>23602</x:v>
      </x:c>
      <x:c r="C3771" s="3" t="str">
        <x:v>SET 10 CARDS 3 WISE MEN 17107</x:v>
      </x:c>
      <x:c r="D3771" s="13" t="n">
        <x:v>2.91</x:v>
      </x:c>
      <x:c r="E3771" s="13" t="n">
        <x:v>0</x:v>
      </x:c>
      <x:c r="F3771" s="13" t="n">
        <x:f>D3771-E3771</x:f>
        <x:v>2.91</x:v>
      </x:c>
      <x:c r="G3771" s="3" t="n">
        <x:v>1</x:v>
      </x:c>
      <x:c r="H3771" s="3" t="n">
        <x:v>0</x:v>
      </x:c>
      <x:c r="I3771" s="3" t="n">
        <x:v>1</x:v>
      </x:c>
      <x:c r="J3771" s="15" t="n">
        <x:f>IF(D3771=0,"n.a.",E3771/D3771)</x:f>
        <x:v>0</x:v>
      </x:c>
      <x:c r="K3771" s="15" t="n">
        <x:f>F3771/'Datos'!$F$7</x:f>
        <x:v>2.9715985992922936e-7</x:v>
      </x:c>
      <x:c r="L3771" s="3"/>
    </x:row>
    <x:row r="3772" ht="22" customHeight="1">
      <x:c r="A3772" s="3"/>
      <x:c r="B3772" s="3" t="str">
        <x:v>23609</x:v>
      </x:c>
      <x:c r="C3772" s="3" t="str">
        <x:v>SET 10 CARDS SNOWY ROBIN 17099</x:v>
      </x:c>
      <x:c r="D3772" s="13" t="n">
        <x:v>2.91</x:v>
      </x:c>
      <x:c r="E3772" s="13" t="n">
        <x:v>0</x:v>
      </x:c>
      <x:c r="F3772" s="13" t="n">
        <x:f>D3772-E3772</x:f>
        <x:v>2.91</x:v>
      </x:c>
      <x:c r="G3772" s="3" t="n">
        <x:v>1</x:v>
      </x:c>
      <x:c r="H3772" s="3" t="n">
        <x:v>0</x:v>
      </x:c>
      <x:c r="I3772" s="3" t="n">
        <x:v>1</x:v>
      </x:c>
      <x:c r="J3772" s="15" t="n">
        <x:f>IF(D3772=0,"n.a.",E3772/D3772)</x:f>
        <x:v>0</x:v>
      </x:c>
      <x:c r="K3772" s="15" t="n">
        <x:f>F3772/'Datos'!$F$7</x:f>
        <x:v>2.9715985992922936e-7</x:v>
      </x:c>
      <x:c r="L3772" s="3"/>
    </x:row>
    <x:row r="3773" ht="22" customHeight="1">
      <x:c r="A3773" s="3"/>
      <x:c r="B3773" s="3" t="str">
        <x:v>23628</x:v>
      </x:c>
      <x:c r="C3773" s="3" t="str">
        <x:v>SET 10 CARDS TRIANGLE ICONS 17220</x:v>
      </x:c>
      <x:c r="D3773" s="13" t="n">
        <x:v>2.91</x:v>
      </x:c>
      <x:c r="E3773" s="13" t="n">
        <x:v>0</x:v>
      </x:c>
      <x:c r="F3773" s="13" t="n">
        <x:f>D3773-E3773</x:f>
        <x:v>2.91</x:v>
      </x:c>
      <x:c r="G3773" s="3" t="n">
        <x:v>1</x:v>
      </x:c>
      <x:c r="H3773" s="3" t="n">
        <x:v>0</x:v>
      </x:c>
      <x:c r="I3773" s="3" t="n">
        <x:v>1</x:v>
      </x:c>
      <x:c r="J3773" s="15" t="n">
        <x:f>IF(D3773=0,"n.a.",E3773/D3773)</x:f>
        <x:v>0</x:v>
      </x:c>
      <x:c r="K3773" s="15" t="n">
        <x:f>F3773/'Datos'!$F$7</x:f>
        <x:v>2.9715985992922936e-7</x:v>
      </x:c>
      <x:c r="L3773" s="3"/>
    </x:row>
    <x:row r="3774" ht="22" customHeight="1">
      <x:c r="A3774" s="3"/>
      <x:c r="B3774" s="3" t="str">
        <x:v>90100</x:v>
      </x:c>
      <x:c r="C3774" s="3" t="str">
        <x:v>NECKLACE+BRACELET SET PINK DAISY</x:v>
      </x:c>
      <x:c r="D3774" s="13" t="n">
        <x:v>2.55</x:v>
      </x:c>
      <x:c r="E3774" s="13" t="n">
        <x:v>0</x:v>
      </x:c>
      <x:c r="F3774" s="13" t="n">
        <x:f>D3774-E3774</x:f>
        <x:v>2.55</x:v>
      </x:c>
      <x:c r="G3774" s="3" t="n">
        <x:v>1</x:v>
      </x:c>
      <x:c r="H3774" s="3" t="n">
        <x:v>0</x:v>
      </x:c>
      <x:c r="I3774" s="3" t="n">
        <x:v>1</x:v>
      </x:c>
      <x:c r="J3774" s="15" t="n">
        <x:f>IF(D3774=0,"n.a.",E3774/D3774)</x:f>
        <x:v>0</x:v>
      </x:c>
      <x:c r="K3774" s="15" t="n">
        <x:f>F3774/'Datos'!$F$7</x:f>
        <x:v>2.60397815401902e-7</x:v>
      </x:c>
      <x:c r="L3774" s="3"/>
    </x:row>
    <x:row r="3775" ht="22" customHeight="1">
      <x:c r="A3775" s="3"/>
      <x:c r="B3775" s="3" t="str">
        <x:v>17028J</x:v>
      </x:c>
      <x:c r="C3775" s="3" t="str">
        <x:v>INCENSE BAZAAR PEACH</x:v>
      </x:c>
      <x:c r="D3775" s="13" t="n">
        <x:v>2.52</x:v>
      </x:c>
      <x:c r="E3775" s="13" t="n">
        <x:v>0</x:v>
      </x:c>
      <x:c r="F3775" s="13" t="n">
        <x:f>D3775-E3775</x:f>
        <x:v>2.52</x:v>
      </x:c>
      <x:c r="G3775" s="3" t="n">
        <x:v>6</x:v>
      </x:c>
      <x:c r="H3775" s="3" t="n">
        <x:v>0</x:v>
      </x:c>
      <x:c r="I3775" s="3" t="n">
        <x:v>1</x:v>
      </x:c>
      <x:c r="J3775" s="15" t="n">
        <x:f>IF(D3775=0,"n.a.",E3775/D3775)</x:f>
        <x:v>0</x:v>
      </x:c>
      <x:c r="K3775" s="15" t="n">
        <x:f>F3775/'Datos'!$F$7</x:f>
        <x:v>2.573343116912914e-7</x:v>
      </x:c>
      <x:c r="L3775" s="3"/>
    </x:row>
    <x:row r="3776" ht="22" customHeight="1">
      <x:c r="A3776" s="3"/>
      <x:c r="B3776" s="3" t="str">
        <x:v>35609A</x:v>
      </x:c>
      <x:c r="C3776" s="3" t="str">
        <x:v>PINK FEATHER CHRISTMAS DECORATION</x:v>
      </x:c>
      <x:c r="D3776" s="13" t="n">
        <x:v>2.51</x:v>
      </x:c>
      <x:c r="E3776" s="13" t="n">
        <x:v>0</x:v>
      </x:c>
      <x:c r="F3776" s="13" t="n">
        <x:f>D3776-E3776</x:f>
        <x:v>2.51</x:v>
      </x:c>
      <x:c r="G3776" s="3" t="n">
        <x:v>1</x:v>
      </x:c>
      <x:c r="H3776" s="3" t="n">
        <x:v>0</x:v>
      </x:c>
      <x:c r="I3776" s="3" t="n">
        <x:v>1</x:v>
      </x:c>
      <x:c r="J3776" s="15" t="n">
        <x:f>IF(D3776=0,"n.a.",E3776/D3776)</x:f>
        <x:v>0</x:v>
      </x:c>
      <x:c r="K3776" s="15" t="n">
        <x:f>F3776/'Datos'!$F$7</x:f>
        <x:v>2.5631314378775453e-7</x:v>
      </x:c>
      <x:c r="L3776" s="3"/>
    </x:row>
    <x:row r="3777" ht="22" customHeight="1">
      <x:c r="A3777" s="3"/>
      <x:c r="B3777" s="3" t="str">
        <x:v>62096B</x:v>
      </x:c>
      <x:c r="C3777" s="3" t="str">
        <x:v>PURPLE/TURQ FLOWERS HANDBAG</x:v>
      </x:c>
      <x:c r="D3777" s="13" t="n">
        <x:v>2.5</x:v>
      </x:c>
      <x:c r="E3777" s="13" t="n">
        <x:v>0</x:v>
      </x:c>
      <x:c r="F3777" s="13" t="n">
        <x:f>D3777-E3777</x:f>
        <x:v>2.5</x:v>
      </x:c>
      <x:c r="G3777" s="3" t="n">
        <x:v>2</x:v>
      </x:c>
      <x:c r="H3777" s="3" t="n">
        <x:v>0</x:v>
      </x:c>
      <x:c r="I3777" s="3" t="n">
        <x:v>1</x:v>
      </x:c>
      <x:c r="J3777" s="15" t="n">
        <x:f>IF(D3777=0,"n.a.",E3777/D3777)</x:f>
        <x:v>0</x:v>
      </x:c>
      <x:c r="K3777" s="15" t="n">
        <x:f>F3777/'Datos'!$F$7</x:f>
        <x:v>2.5529197588421766e-7</x:v>
      </x:c>
      <x:c r="L3777" s="3"/>
    </x:row>
    <x:row r="3778" ht="22" customHeight="1">
      <x:c r="A3778" s="3"/>
      <x:c r="B3778" s="3" t="str">
        <x:v>23630</x:v>
      </x:c>
      <x:c r="C3778" s="3" t="str">
        <x:v>SET 10 CARDS HANGING BAUBLES 17080</x:v>
      </x:c>
      <x:c r="D3778" s="13" t="n">
        <x:v>5.48</x:v>
      </x:c>
      <x:c r="E3778" s="13" t="n">
        <x:v>2.99</x:v>
      </x:c>
      <x:c r="F3778" s="13" t="n">
        <x:f>D3778-E3778</x:f>
        <x:v>2.49</x:v>
      </x:c>
      <x:c r="G3778" s="3" t="n">
        <x:v>2</x:v>
      </x:c>
      <x:c r="H3778" s="3" t="n">
        <x:v>1</x:v>
      </x:c>
      <x:c r="I3778" s="3" t="n">
        <x:v>2</x:v>
      </x:c>
      <x:c r="J3778" s="15" t="n">
        <x:f>IF(D3778=0,"n.a.",E3778/D3778)</x:f>
        <x:v>0.5456204379562044</x:v>
      </x:c>
      <x:c r="K3778" s="15" t="n">
        <x:f>F3778/'Datos'!$F$7</x:f>
        <x:v>2.542708079806808e-7</x:v>
      </x:c>
      <x:c r="L3778" s="3"/>
    </x:row>
    <x:row r="3779" ht="22" customHeight="1">
      <x:c r="A3779" s="3"/>
      <x:c r="B3779" s="3" t="str">
        <x:v>90037A</x:v>
      </x:c>
      <x:c r="C3779" s="3" t="str">
        <x:v>TINY CRYSTAL BRACELET RED</x:v>
      </x:c>
      <x:c r="D3779" s="13" t="n">
        <x:v>2.48</x:v>
      </x:c>
      <x:c r="E3779" s="13" t="n">
        <x:v>0</x:v>
      </x:c>
      <x:c r="F3779" s="13" t="n">
        <x:f>D3779-E3779</x:f>
        <x:v>2.48</x:v>
      </x:c>
      <x:c r="G3779" s="3" t="n">
        <x:v>1</x:v>
      </x:c>
      <x:c r="H3779" s="3" t="n">
        <x:v>0</x:v>
      </x:c>
      <x:c r="I3779" s="3" t="n">
        <x:v>1</x:v>
      </x:c>
      <x:c r="J3779" s="15" t="n">
        <x:f>IF(D3779=0,"n.a.",E3779/D3779)</x:f>
        <x:v>0</x:v>
      </x:c>
      <x:c r="K3779" s="15" t="n">
        <x:f>F3779/'Datos'!$F$7</x:f>
        <x:v>2.5324964007714393e-7</x:v>
      </x:c>
      <x:c r="L3779" s="3"/>
    </x:row>
    <x:row r="3780" ht="22" customHeight="1">
      <x:c r="A3780" s="3"/>
      <x:c r="B3780" s="3" t="str">
        <x:v>84201B</x:v>
      </x:c>
      <x:c r="C3780" s="3" t="str">
        <x:v>HAPPY BIRTHDAY CARD STRIPEY TEDDY</x:v>
      </x:c>
      <x:c r="D3780" s="13" t="n">
        <x:v>2.47</x:v>
      </x:c>
      <x:c r="E3780" s="13" t="n">
        <x:v>0</x:v>
      </x:c>
      <x:c r="F3780" s="13" t="n">
        <x:f>D3780-E3780</x:f>
        <x:v>2.47</x:v>
      </x:c>
      <x:c r="G3780" s="3" t="n">
        <x:v>13</x:v>
      </x:c>
      <x:c r="H3780" s="3" t="n">
        <x:v>0</x:v>
      </x:c>
      <x:c r="I3780" s="3" t="n">
        <x:v>2</x:v>
      </x:c>
      <x:c r="J3780" s="15" t="n">
        <x:f>IF(D3780=0,"n.a.",E3780/D3780)</x:f>
        <x:v>0</x:v>
      </x:c>
      <x:c r="K3780" s="15" t="n">
        <x:f>F3780/'Datos'!$F$7</x:f>
        <x:v>2.5222847217360707e-7</x:v>
      </x:c>
      <x:c r="L3780" s="3"/>
    </x:row>
    <x:row r="3781" ht="22" customHeight="1">
      <x:c r="A3781" s="3"/>
      <x:c r="B3781" s="3" t="str">
        <x:v>37330</x:v>
      </x:c>
      <x:c r="C3781" s="3" t="str">
        <x:v>BIG POLKADOT MUG</x:v>
      </x:c>
      <x:c r="D3781" s="13" t="n">
        <x:v>2.34</x:v>
      </x:c>
      <x:c r="E3781" s="13" t="n">
        <x:v>0</x:v>
      </x:c>
      <x:c r="F3781" s="13" t="n">
        <x:f>D3781-E3781</x:f>
        <x:v>2.34</x:v>
      </x:c>
      <x:c r="G3781" s="3" t="n">
        <x:v>6</x:v>
      </x:c>
      <x:c r="H3781" s="3" t="n">
        <x:v>0</x:v>
      </x:c>
      <x:c r="I3781" s="3" t="n">
        <x:v>1</x:v>
      </x:c>
      <x:c r="J3781" s="15" t="n">
        <x:f>IF(D3781=0,"n.a.",E3781/D3781)</x:f>
        <x:v>0</x:v>
      </x:c>
      <x:c r="K3781" s="15" t="n">
        <x:f>F3781/'Datos'!$F$7</x:f>
        <x:v>2.3895328942762773e-7</x:v>
      </x:c>
      <x:c r="L3781" s="3"/>
    </x:row>
    <x:row r="3782" ht="22" customHeight="1">
      <x:c r="A3782" s="3"/>
      <x:c r="B3782" s="3" t="str">
        <x:v>46115B</x:v>
      </x:c>
      <x:c r="C3782" s="3" t="str">
        <x:v>GREEN POP ART MAO CUSHION COVER</x:v>
      </x:c>
      <x:c r="D3782" s="13" t="n">
        <x:v>2.28</x:v>
      </x:c>
      <x:c r="E3782" s="13" t="n">
        <x:v>0</x:v>
      </x:c>
      <x:c r="F3782" s="13" t="n">
        <x:f>D3782-E3782</x:f>
        <x:v>2.28</x:v>
      </x:c>
      <x:c r="G3782" s="3" t="n">
        <x:v>12</x:v>
      </x:c>
      <x:c r="H3782" s="3" t="n">
        <x:v>0</x:v>
      </x:c>
      <x:c r="I3782" s="3" t="n">
        <x:v>2</x:v>
      </x:c>
      <x:c r="J3782" s="15" t="n">
        <x:f>IF(D3782=0,"n.a.",E3782/D3782)</x:f>
        <x:v>0</x:v>
      </x:c>
      <x:c r="K3782" s="15" t="n">
        <x:f>F3782/'Datos'!$F$7</x:f>
        <x:v>2.328262820064065e-7</x:v>
      </x:c>
      <x:c r="L3782" s="3"/>
    </x:row>
    <x:row r="3783" ht="22" customHeight="1">
      <x:c r="A3783" s="3"/>
      <x:c r="B3783" s="3" t="str">
        <x:v>77079</x:v>
      </x:c>
      <x:c r="C3783" s="3" t="str">
        <x:v>DOLPHIN WINDMILL</x:v>
      </x:c>
      <x:c r="D3783" s="13" t="n">
        <x:v>2.12</x:v>
      </x:c>
      <x:c r="E3783" s="13" t="n">
        <x:v>0</x:v>
      </x:c>
      <x:c r="F3783" s="13" t="n">
        <x:f>D3783-E3783</x:f>
        <x:v>2.12</x:v>
      </x:c>
      <x:c r="G3783" s="3" t="n">
        <x:v>1</x:v>
      </x:c>
      <x:c r="H3783" s="3" t="n">
        <x:v>0</x:v>
      </x:c>
      <x:c r="I3783" s="3" t="n">
        <x:v>1</x:v>
      </x:c>
      <x:c r="J3783" s="15" t="n">
        <x:f>IF(D3783=0,"n.a.",E3783/D3783)</x:f>
        <x:v>0</x:v>
      </x:c>
      <x:c r="K3783" s="15" t="n">
        <x:f>F3783/'Datos'!$F$7</x:f>
        <x:v>2.164875955498166e-7</x:v>
      </x:c>
      <x:c r="L3783" s="3"/>
    </x:row>
    <x:row r="3784" ht="22" customHeight="1">
      <x:c r="A3784" s="3"/>
      <x:c r="B3784" s="3" t="str">
        <x:v>20860</x:v>
      </x:c>
      <x:c r="C3784" s="3" t="str">
        <x:v>GOLD COSMETICS BAG WITH BUTTERFLY</x:v>
      </x:c>
      <x:c r="D3784" s="13" t="n">
        <x:v>2.1</x:v>
      </x:c>
      <x:c r="E3784" s="13" t="n">
        <x:v>0</x:v>
      </x:c>
      <x:c r="F3784" s="13" t="n">
        <x:f>D3784-E3784</x:f>
        <x:v>2.1</x:v>
      </x:c>
      <x:c r="G3784" s="3" t="n">
        <x:v>1</x:v>
      </x:c>
      <x:c r="H3784" s="3" t="n">
        <x:v>0</x:v>
      </x:c>
      <x:c r="I3784" s="3" t="n">
        <x:v>1</x:v>
      </x:c>
      <x:c r="J3784" s="15" t="n">
        <x:f>IF(D3784=0,"n.a.",E3784/D3784)</x:f>
        <x:v>0</x:v>
      </x:c>
      <x:c r="K3784" s="15" t="n">
        <x:f>F3784/'Datos'!$F$7</x:f>
        <x:v>2.1444525974274286e-7</x:v>
      </x:c>
      <x:c r="L3784" s="3"/>
    </x:row>
    <x:row r="3785" ht="22" customHeight="1">
      <x:c r="A3785" s="3"/>
      <x:c r="B3785" s="3" t="str">
        <x:v>21414</x:v>
      </x:c>
      <x:c r="C3785" s="3" t="str">
        <x:v>SCALLOP SHELL SOAP DISH</x:v>
      </x:c>
      <x:c r="D3785" s="13" t="n">
        <x:v>2.1</x:v>
      </x:c>
      <x:c r="E3785" s="13" t="n">
        <x:v>0</x:v>
      </x:c>
      <x:c r="F3785" s="13" t="n">
        <x:f>D3785-E3785</x:f>
        <x:v>2.1</x:v>
      </x:c>
      <x:c r="G3785" s="3" t="n">
        <x:v>1</x:v>
      </x:c>
      <x:c r="H3785" s="3" t="n">
        <x:v>0</x:v>
      </x:c>
      <x:c r="I3785" s="3" t="n">
        <x:v>1</x:v>
      </x:c>
      <x:c r="J3785" s="15" t="n">
        <x:f>IF(D3785=0,"n.a.",E3785/D3785)</x:f>
        <x:v>0</x:v>
      </x:c>
      <x:c r="K3785" s="15" t="n">
        <x:f>F3785/'Datos'!$F$7</x:f>
        <x:v>2.1444525974274286e-7</x:v>
      </x:c>
      <x:c r="L3785" s="3"/>
    </x:row>
    <x:row r="3786" ht="22" customHeight="1">
      <x:c r="A3786" s="3"/>
      <x:c r="B3786" s="3" t="str">
        <x:v>47579</x:v>
      </x:c>
      <x:c r="C3786" s="3" t="str">
        <x:v>TEA TIME BREAKFAST BASKET</x:v>
      </x:c>
      <x:c r="D3786" s="13" t="n">
        <x:v>2.1</x:v>
      </x:c>
      <x:c r="E3786" s="13" t="n">
        <x:v>0</x:v>
      </x:c>
      <x:c r="F3786" s="13" t="n">
        <x:f>D3786-E3786</x:f>
        <x:v>2.1</x:v>
      </x:c>
      <x:c r="G3786" s="3" t="n">
        <x:v>1</x:v>
      </x:c>
      <x:c r="H3786" s="3" t="n">
        <x:v>0</x:v>
      </x:c>
      <x:c r="I3786" s="3" t="n">
        <x:v>1</x:v>
      </x:c>
      <x:c r="J3786" s="15" t="n">
        <x:f>IF(D3786=0,"n.a.",E3786/D3786)</x:f>
        <x:v>0</x:v>
      </x:c>
      <x:c r="K3786" s="15" t="n">
        <x:f>F3786/'Datos'!$F$7</x:f>
        <x:v>2.1444525974274286e-7</x:v>
      </x:c>
      <x:c r="L3786" s="3"/>
    </x:row>
    <x:row r="3787" ht="22" customHeight="1">
      <x:c r="A3787" s="3"/>
      <x:c r="B3787" s="3" t="str">
        <x:v>85170A</x:v>
      </x:c>
      <x:c r="C3787" s="3" t="str">
        <x:v>SET/6 IVORY BIRD T-LIGHT CANDLES</x:v>
      </x:c>
      <x:c r="D3787" s="13" t="n">
        <x:v>2.1</x:v>
      </x:c>
      <x:c r="E3787" s="13" t="n">
        <x:v>0</x:v>
      </x:c>
      <x:c r="F3787" s="13" t="n">
        <x:f>D3787-E3787</x:f>
        <x:v>2.1</x:v>
      </x:c>
      <x:c r="G3787" s="3" t="n">
        <x:v>1</x:v>
      </x:c>
      <x:c r="H3787" s="3" t="n">
        <x:v>0</x:v>
      </x:c>
      <x:c r="I3787" s="3" t="n">
        <x:v>1</x:v>
      </x:c>
      <x:c r="J3787" s="15" t="n">
        <x:f>IF(D3787=0,"n.a.",E3787/D3787)</x:f>
        <x:v>0</x:v>
      </x:c>
      <x:c r="K3787" s="15" t="n">
        <x:f>F3787/'Datos'!$F$7</x:f>
        <x:v>2.1444525974274286e-7</x:v>
      </x:c>
      <x:c r="L3787" s="3"/>
    </x:row>
    <x:row r="3788" ht="22" customHeight="1">
      <x:c r="A3788" s="3"/>
      <x:c r="B3788" s="3" t="str">
        <x:v>90112</x:v>
      </x:c>
      <x:c r="C3788" s="3" t="str">
        <x:v>PINK DOLLY HAIR CLIPS</x:v>
      </x:c>
      <x:c r="D3788" s="13" t="n">
        <x:v>2.1</x:v>
      </x:c>
      <x:c r="E3788" s="13" t="n">
        <x:v>0</x:v>
      </x:c>
      <x:c r="F3788" s="13" t="n">
        <x:f>D3788-E3788</x:f>
        <x:v>2.1</x:v>
      </x:c>
      <x:c r="G3788" s="3" t="n">
        <x:v>2</x:v>
      </x:c>
      <x:c r="H3788" s="3" t="n">
        <x:v>0</x:v>
      </x:c>
      <x:c r="I3788" s="3" t="n">
        <x:v>1</x:v>
      </x:c>
      <x:c r="J3788" s="15" t="n">
        <x:f>IF(D3788=0,"n.a.",E3788/D3788)</x:f>
        <x:v>0</x:v>
      </x:c>
      <x:c r="K3788" s="15" t="n">
        <x:f>F3788/'Datos'!$F$7</x:f>
        <x:v>2.1444525974274286e-7</x:v>
      </x:c>
      <x:c r="L3788" s="3"/>
    </x:row>
    <x:row r="3789" ht="22" customHeight="1">
      <x:c r="A3789" s="3"/>
      <x:c r="B3789" s="3" t="str">
        <x:v>81953B</x:v>
      </x:c>
      <x:c r="C3789" s="3" t="str">
        <x:v>ROUND BLUE CLOCK WITH SUCKER</x:v>
      </x:c>
      <x:c r="D3789" s="13" t="n">
        <x:v>2.09</x:v>
      </x:c>
      <x:c r="E3789" s="13" t="n">
        <x:v>0</x:v>
      </x:c>
      <x:c r="F3789" s="13" t="n">
        <x:f>D3789-E3789</x:f>
        <x:v>2.09</x:v>
      </x:c>
      <x:c r="G3789" s="3" t="n">
        <x:v>11</x:v>
      </x:c>
      <x:c r="H3789" s="3" t="n">
        <x:v>0</x:v>
      </x:c>
      <x:c r="I3789" s="3" t="n">
        <x:v>3</x:v>
      </x:c>
      <x:c r="J3789" s="15" t="n">
        <x:f>IF(D3789=0,"n.a.",E3789/D3789)</x:f>
        <x:v>0</x:v>
      </x:c>
      <x:c r="K3789" s="15" t="n">
        <x:f>F3789/'Datos'!$F$7</x:f>
        <x:v>2.1342409183920594e-7</x:v>
      </x:c>
      <x:c r="L3789" s="3"/>
    </x:row>
    <x:row r="3790" ht="22" customHeight="1">
      <x:c r="A3790" s="3"/>
      <x:c r="B3790" s="3" t="str">
        <x:v>84731</x:v>
      </x:c>
      <x:c r="C3790" s="3" t="str">
        <x:v>3 BIRDS CANVAS SCREEN</x:v>
      </x:c>
      <x:c r="D3790" s="13" t="n">
        <x:v>2.04</x:v>
      </x:c>
      <x:c r="E3790" s="13" t="n">
        <x:v>0</x:v>
      </x:c>
      <x:c r="F3790" s="13" t="n">
        <x:f>D3790-E3790</x:f>
        <x:v>2.04</x:v>
      </x:c>
      <x:c r="G3790" s="3" t="n">
        <x:v>2</x:v>
      </x:c>
      <x:c r="H3790" s="3" t="n">
        <x:v>0</x:v>
      </x:c>
      <x:c r="I3790" s="3" t="n">
        <x:v>2</x:v>
      </x:c>
      <x:c r="J3790" s="15" t="n">
        <x:f>IF(D3790=0,"n.a.",E3790/D3790)</x:f>
        <x:v>0</x:v>
      </x:c>
      <x:c r="K3790" s="15" t="n">
        <x:f>F3790/'Datos'!$F$7</x:f>
        <x:v>2.0831825232152162e-7</x:v>
      </x:c>
      <x:c r="L3790" s="3"/>
    </x:row>
    <x:row r="3791" ht="22" customHeight="1">
      <x:c r="A3791" s="3"/>
      <x:c r="B3791" s="3" t="str">
        <x:v>16202E</x:v>
      </x:c>
      <x:c r="C3791" s="3" t="str">
        <x:v>BLACK PHOTO ALBUM</x:v>
      </x:c>
      <x:c r="D3791" s="13" t="n">
        <x:v>7.5</x:v>
      </x:c>
      <x:c r="E3791" s="13" t="n">
        <x:v>5.55</x:v>
      </x:c>
      <x:c r="F3791" s="13" t="n">
        <x:f>D3791-E3791</x:f>
        <x:v>1.9500000000000002</x:v>
      </x:c>
      <x:c r="G3791" s="3" t="n">
        <x:v>15</x:v>
      </x:c>
      <x:c r="H3791" s="3" t="n">
        <x:v>1</x:v>
      </x:c>
      <x:c r="I3791" s="3" t="n">
        <x:v>3</x:v>
      </x:c>
      <x:c r="J3791" s="15" t="n">
        <x:f>IF(D3791=0,"n.a.",E3791/D3791)</x:f>
        <x:v>0.74</x:v>
      </x:c>
      <x:c r="K3791" s="15" t="n">
        <x:f>F3791/'Datos'!$F$7</x:f>
        <x:v>1.991277411896898e-7</x:v>
      </x:c>
      <x:c r="L3791" s="3"/>
    </x:row>
    <x:row r="3792" ht="22" customHeight="1">
      <x:c r="A3792" s="3"/>
      <x:c r="B3792" s="3" t="str">
        <x:v>21491</x:v>
      </x:c>
      <x:c r="C3792" s="3" t="str">
        <x:v>SET OF THREE VINTAGE GIFT WRAPS</x:v>
      </x:c>
      <x:c r="D3792" s="13" t="n">
        <x:v>1.95</x:v>
      </x:c>
      <x:c r="E3792" s="13" t="n">
        <x:v>0</x:v>
      </x:c>
      <x:c r="F3792" s="13" t="n">
        <x:f>D3792-E3792</x:f>
        <x:v>1.95</x:v>
      </x:c>
      <x:c r="G3792" s="3" t="n">
        <x:v>1</x:v>
      </x:c>
      <x:c r="H3792" s="3" t="n">
        <x:v>0</x:v>
      </x:c>
      <x:c r="I3792" s="3" t="n">
        <x:v>1</x:v>
      </x:c>
      <x:c r="J3792" s="15" t="n">
        <x:f>IF(D3792=0,"n.a.",E3792/D3792)</x:f>
        <x:v>0</x:v>
      </x:c>
      <x:c r="K3792" s="15" t="n">
        <x:f>F3792/'Datos'!$F$7</x:f>
        <x:v>1.9912774118968977e-7</x:v>
      </x:c>
      <x:c r="L3792" s="3"/>
    </x:row>
    <x:row r="3793" ht="22" customHeight="1">
      <x:c r="A3793" s="3"/>
      <x:c r="B3793" s="3" t="str">
        <x:v>22146</x:v>
      </x:c>
      <x:c r="C3793" s="3" t="str">
        <x:v>EASTER CRAFT IVY WREATH WITH CHICK</x:v>
      </x:c>
      <x:c r="D3793" s="13" t="n">
        <x:v>1.95</x:v>
      </x:c>
      <x:c r="E3793" s="13" t="n">
        <x:v>0</x:v>
      </x:c>
      <x:c r="F3793" s="13" t="n">
        <x:f>D3793-E3793</x:f>
        <x:v>1.95</x:v>
      </x:c>
      <x:c r="G3793" s="3" t="n">
        <x:v>1</x:v>
      </x:c>
      <x:c r="H3793" s="3" t="n">
        <x:v>0</x:v>
      </x:c>
      <x:c r="I3793" s="3" t="n">
        <x:v>1</x:v>
      </x:c>
      <x:c r="J3793" s="15" t="n">
        <x:f>IF(D3793=0,"n.a.",E3793/D3793)</x:f>
        <x:v>0</x:v>
      </x:c>
      <x:c r="K3793" s="15" t="n">
        <x:f>F3793/'Datos'!$F$7</x:f>
        <x:v>1.9912774118968977e-7</x:v>
      </x:c>
      <x:c r="L3793" s="3"/>
    </x:row>
    <x:row r="3794" ht="22" customHeight="1">
      <x:c r="A3794" s="3"/>
      <x:c r="B3794" s="3" t="str">
        <x:v>22323</x:v>
      </x:c>
      <x:c r="C3794" s="3" t="str">
        <x:v>PINK POLKADOT KIDS BAG</x:v>
      </x:c>
      <x:c r="D3794" s="13" t="n">
        <x:v>1.95</x:v>
      </x:c>
      <x:c r="E3794" s="13" t="n">
        <x:v>0</x:v>
      </x:c>
      <x:c r="F3794" s="13" t="n">
        <x:f>D3794-E3794</x:f>
        <x:v>1.95</x:v>
      </x:c>
      <x:c r="G3794" s="3" t="n">
        <x:v>1</x:v>
      </x:c>
      <x:c r="H3794" s="3" t="n">
        <x:v>0</x:v>
      </x:c>
      <x:c r="I3794" s="3" t="n">
        <x:v>1</x:v>
      </x:c>
      <x:c r="J3794" s="15" t="n">
        <x:f>IF(D3794=0,"n.a.",E3794/D3794)</x:f>
        <x:v>0</x:v>
      </x:c>
      <x:c r="K3794" s="15" t="n">
        <x:f>F3794/'Datos'!$F$7</x:f>
        <x:v>1.9912774118968977e-7</x:v>
      </x:c>
      <x:c r="L3794" s="3"/>
    </x:row>
    <x:row r="3795" ht="22" customHeight="1">
      <x:c r="A3795" s="3"/>
      <x:c r="B3795" s="3" t="str">
        <x:v>90092</x:v>
      </x:c>
      <x:c r="C3795" s="3" t="str">
        <x:v>BLUE CRYSTAL BOOT PHONE CHARM</x:v>
      </x:c>
      <x:c r="D3795" s="13" t="n">
        <x:v>1.66</x:v>
      </x:c>
      <x:c r="E3795" s="13" t="n">
        <x:v>0</x:v>
      </x:c>
      <x:c r="F3795" s="13" t="n">
        <x:f>D3795-E3795</x:f>
        <x:v>1.66</x:v>
      </x:c>
      <x:c r="G3795" s="3" t="n">
        <x:v>1</x:v>
      </x:c>
      <x:c r="H3795" s="3" t="n">
        <x:v>0</x:v>
      </x:c>
      <x:c r="I3795" s="3" t="n">
        <x:v>1</x:v>
      </x:c>
      <x:c r="J3795" s="15" t="n">
        <x:f>IF(D3795=0,"n.a.",E3795/D3795)</x:f>
        <x:v>0</x:v>
      </x:c>
      <x:c r="K3795" s="15" t="n">
        <x:f>F3795/'Datos'!$F$7</x:f>
        <x:v>1.6951387198712052e-7</x:v>
      </x:c>
      <x:c r="L3795" s="3"/>
    </x:row>
    <x:row r="3796" ht="22" customHeight="1">
      <x:c r="A3796" s="3"/>
      <x:c r="B3796" s="3" t="str">
        <x:v>23664</x:v>
      </x:c>
      <x:c r="C3796" s="3" t="str">
        <x:v>FLOWER SHOP DESIGN MUG</x:v>
      </x:c>
      <x:c r="D3796" s="13" t="n">
        <x:v>1.65</x:v>
      </x:c>
      <x:c r="E3796" s="13" t="n">
        <x:v>0</x:v>
      </x:c>
      <x:c r="F3796" s="13" t="n">
        <x:f>D3796-E3796</x:f>
        <x:v>1.65</x:v>
      </x:c>
      <x:c r="G3796" s="3" t="n">
        <x:v>1</x:v>
      </x:c>
      <x:c r="H3796" s="3" t="n">
        <x:v>0</x:v>
      </x:c>
      <x:c r="I3796" s="3" t="n">
        <x:v>1</x:v>
      </x:c>
      <x:c r="J3796" s="15" t="n">
        <x:f>IF(D3796=0,"n.a.",E3796/D3796)</x:f>
        <x:v>0</x:v>
      </x:c>
      <x:c r="K3796" s="15" t="n">
        <x:f>F3796/'Datos'!$F$7</x:f>
        <x:v>1.6849270408358366e-7</x:v>
      </x:c>
      <x:c r="L3796" s="3"/>
    </x:row>
    <x:row r="3797" ht="22" customHeight="1">
      <x:c r="A3797" s="3"/>
      <x:c r="B3797" s="3" t="str">
        <x:v>84550</x:v>
      </x:c>
      <x:c r="C3797" s="3" t="str">
        <x:v>CROCHET LILAC/RED BEAR KEYRING</x:v>
      </x:c>
      <x:c r="D3797" s="13" t="n">
        <x:v>1.65</x:v>
      </x:c>
      <x:c r="E3797" s="13" t="n">
        <x:v>0</x:v>
      </x:c>
      <x:c r="F3797" s="13" t="n">
        <x:f>D3797-E3797</x:f>
        <x:v>1.65</x:v>
      </x:c>
      <x:c r="G3797" s="3" t="n">
        <x:v>1</x:v>
      </x:c>
      <x:c r="H3797" s="3" t="n">
        <x:v>0</x:v>
      </x:c>
      <x:c r="I3797" s="3" t="n">
        <x:v>1</x:v>
      </x:c>
      <x:c r="J3797" s="15" t="n">
        <x:f>IF(D3797=0,"n.a.",E3797/D3797)</x:f>
        <x:v>0</x:v>
      </x:c>
      <x:c r="K3797" s="15" t="n">
        <x:f>F3797/'Datos'!$F$7</x:f>
        <x:v>1.6849270408358366e-7</x:v>
      </x:c>
      <x:c r="L3797" s="3"/>
    </x:row>
    <x:row r="3798" ht="22" customHeight="1">
      <x:c r="A3798" s="3"/>
      <x:c r="B3798" s="3" t="str">
        <x:v>84206C</x:v>
      </x:c>
      <x:c r="C3798" s="3" t="str">
        <x:v>CHAMPAGNE TRAY BLANK CARD</x:v>
      </x:c>
      <x:c r="D3798" s="13" t="n">
        <x:v>1.52</x:v>
      </x:c>
      <x:c r="E3798" s="13" t="n">
        <x:v>0</x:v>
      </x:c>
      <x:c r="F3798" s="13" t="n">
        <x:f>D3798-E3798</x:f>
        <x:v>1.52</x:v>
      </x:c>
      <x:c r="G3798" s="3" t="n">
        <x:v>8</x:v>
      </x:c>
      <x:c r="H3798" s="3" t="n">
        <x:v>0</x:v>
      </x:c>
      <x:c r="I3798" s="3" t="n">
        <x:v>2</x:v>
      </x:c>
      <x:c r="J3798" s="15" t="n">
        <x:f>IF(D3798=0,"n.a.",E3798/D3798)</x:f>
        <x:v>0</x:v>
      </x:c>
      <x:c r="K3798" s="15" t="n">
        <x:f>F3798/'Datos'!$F$7</x:f>
        <x:v>1.5521752133760435e-7</x:v>
      </x:c>
      <x:c r="L3798" s="3"/>
    </x:row>
    <x:row r="3799" ht="22" customHeight="1">
      <x:c r="A3799" s="3"/>
      <x:c r="B3799" s="3" t="str">
        <x:v>21009</x:v>
      </x:c>
      <x:c r="C3799" s="3" t="str">
        <x:v>ETCHED GLASS STAR TREE DECORATION</x:v>
      </x:c>
      <x:c r="D3799" s="13" t="n">
        <x:v>1.25</x:v>
      </x:c>
      <x:c r="E3799" s="13" t="n">
        <x:v>0</x:v>
      </x:c>
      <x:c r="F3799" s="13" t="n">
        <x:f>D3799-E3799</x:f>
        <x:v>1.25</x:v>
      </x:c>
      <x:c r="G3799" s="3" t="n">
        <x:v>1</x:v>
      </x:c>
      <x:c r="H3799" s="3" t="n">
        <x:v>0</x:v>
      </x:c>
      <x:c r="I3799" s="3" t="n">
        <x:v>1</x:v>
      </x:c>
      <x:c r="J3799" s="15" t="n">
        <x:f>IF(D3799=0,"n.a.",E3799/D3799)</x:f>
        <x:v>0</x:v>
      </x:c>
      <x:c r="K3799" s="15" t="n">
        <x:f>F3799/'Datos'!$F$7</x:f>
        <x:v>1.2764598794210883e-7</x:v>
      </x:c>
      <x:c r="L3799" s="3"/>
    </x:row>
    <x:row r="3800" ht="22" customHeight="1">
      <x:c r="A3800" s="3"/>
      <x:c r="B3800" s="3" t="str">
        <x:v>35597A</x:v>
      </x:c>
      <x:c r="C3800" s="3" t="str">
        <x:v>DUSTY PINK CHRISTMAS TREE 30CM</x:v>
      </x:c>
      <x:c r="D3800" s="13" t="n">
        <x:v>1.25</x:v>
      </x:c>
      <x:c r="E3800" s="13" t="n">
        <x:v>0</x:v>
      </x:c>
      <x:c r="F3800" s="13" t="n">
        <x:f>D3800-E3800</x:f>
        <x:v>1.25</x:v>
      </x:c>
      <x:c r="G3800" s="3" t="n">
        <x:v>1</x:v>
      </x:c>
      <x:c r="H3800" s="3" t="n">
        <x:v>0</x:v>
      </x:c>
      <x:c r="I3800" s="3" t="n">
        <x:v>1</x:v>
      </x:c>
      <x:c r="J3800" s="15" t="n">
        <x:f>IF(D3800=0,"n.a.",E3800/D3800)</x:f>
        <x:v>0</x:v>
      </x:c>
      <x:c r="K3800" s="15" t="n">
        <x:f>F3800/'Datos'!$F$7</x:f>
        <x:v>1.2764598794210883e-7</x:v>
      </x:c>
      <x:c r="L3800" s="3"/>
    </x:row>
    <x:row r="3801" ht="22" customHeight="1">
      <x:c r="A3801" s="3"/>
      <x:c r="B3801" s="3" t="str">
        <x:v>35597B</x:v>
      </x:c>
      <x:c r="C3801" s="3" t="str">
        <x:v>BLACKCHRISTMAS TREE 30CM</x:v>
      </x:c>
      <x:c r="D3801" s="13" t="n">
        <x:v>1.25</x:v>
      </x:c>
      <x:c r="E3801" s="13" t="n">
        <x:v>0</x:v>
      </x:c>
      <x:c r="F3801" s="13" t="n">
        <x:f>D3801-E3801</x:f>
        <x:v>1.25</x:v>
      </x:c>
      <x:c r="G3801" s="3" t="n">
        <x:v>1</x:v>
      </x:c>
      <x:c r="H3801" s="3" t="n">
        <x:v>0</x:v>
      </x:c>
      <x:c r="I3801" s="3" t="n">
        <x:v>1</x:v>
      </x:c>
      <x:c r="J3801" s="15" t="n">
        <x:f>IF(D3801=0,"n.a.",E3801/D3801)</x:f>
        <x:v>0</x:v>
      </x:c>
      <x:c r="K3801" s="15" t="n">
        <x:f>F3801/'Datos'!$F$7</x:f>
        <x:v>1.2764598794210883e-7</x:v>
      </x:c>
      <x:c r="L3801" s="3"/>
    </x:row>
    <x:row r="3802" ht="22" customHeight="1">
      <x:c r="A3802" s="3"/>
      <x:c r="B3802" s="3" t="str">
        <x:v>37461</x:v>
      </x:c>
      <x:c r="C3802" s="3" t="str">
        <x:v>FUNKY MONKEY MUG</x:v>
      </x:c>
      <x:c r="D3802" s="13" t="n">
        <x:v>1.25</x:v>
      </x:c>
      <x:c r="E3802" s="13" t="n">
        <x:v>0</x:v>
      </x:c>
      <x:c r="F3802" s="13" t="n">
        <x:f>D3802-E3802</x:f>
        <x:v>1.25</x:v>
      </x:c>
      <x:c r="G3802" s="3" t="n">
        <x:v>1</x:v>
      </x:c>
      <x:c r="H3802" s="3" t="n">
        <x:v>0</x:v>
      </x:c>
      <x:c r="I3802" s="3" t="n">
        <x:v>1</x:v>
      </x:c>
      <x:c r="J3802" s="15" t="n">
        <x:f>IF(D3802=0,"n.a.",E3802/D3802)</x:f>
        <x:v>0</x:v>
      </x:c>
      <x:c r="K3802" s="15" t="n">
        <x:f>F3802/'Datos'!$F$7</x:f>
        <x:v>1.2764598794210883e-7</x:v>
      </x:c>
      <x:c r="L3802" s="3"/>
    </x:row>
    <x:row r="3803" ht="22" customHeight="1">
      <x:c r="A3803" s="3"/>
      <x:c r="B3803" s="3" t="str">
        <x:v>84569C</x:v>
      </x:c>
      <x:c r="C3803" s="3" t="str">
        <x:v>PACK 4 FLOWER/BUTTERFLY PATCHES</x:v>
      </x:c>
      <x:c r="D3803" s="13" t="n">
        <x:v>1.25</x:v>
      </x:c>
      <x:c r="E3803" s="13" t="n">
        <x:v>0</x:v>
      </x:c>
      <x:c r="F3803" s="13" t="n">
        <x:f>D3803-E3803</x:f>
        <x:v>1.25</x:v>
      </x:c>
      <x:c r="G3803" s="3" t="n">
        <x:v>1</x:v>
      </x:c>
      <x:c r="H3803" s="3" t="n">
        <x:v>0</x:v>
      </x:c>
      <x:c r="I3803" s="3" t="n">
        <x:v>1</x:v>
      </x:c>
      <x:c r="J3803" s="15" t="n">
        <x:f>IF(D3803=0,"n.a.",E3803/D3803)</x:f>
        <x:v>0</x:v>
      </x:c>
      <x:c r="K3803" s="15" t="n">
        <x:f>F3803/'Datos'!$F$7</x:f>
        <x:v>1.2764598794210883e-7</x:v>
      </x:c>
      <x:c r="L3803" s="3"/>
    </x:row>
    <x:row r="3804" ht="22" customHeight="1">
      <x:c r="A3804" s="3"/>
      <x:c r="B3804" s="3" t="str">
        <x:v>84743C</x:v>
      </x:c>
      <x:c r="C3804" s="3" t="str">
        <x:v>ORANGE FELT VASE + FLOWERS</x:v>
      </x:c>
      <x:c r="D3804" s="13" t="n">
        <x:v>1.25</x:v>
      </x:c>
      <x:c r="E3804" s="13" t="n">
        <x:v>0</x:v>
      </x:c>
      <x:c r="F3804" s="13" t="n">
        <x:f>D3804-E3804</x:f>
        <x:v>1.25</x:v>
      </x:c>
      <x:c r="G3804" s="3" t="n">
        <x:v>1</x:v>
      </x:c>
      <x:c r="H3804" s="3" t="n">
        <x:v>0</x:v>
      </x:c>
      <x:c r="I3804" s="3" t="n">
        <x:v>1</x:v>
      </x:c>
      <x:c r="J3804" s="15" t="n">
        <x:f>IF(D3804=0,"n.a.",E3804/D3804)</x:f>
        <x:v>0</x:v>
      </x:c>
      <x:c r="K3804" s="15" t="n">
        <x:f>F3804/'Datos'!$F$7</x:f>
        <x:v>1.2764598794210883e-7</x:v>
      </x:c>
      <x:c r="L3804" s="3"/>
    </x:row>
    <x:row r="3805" ht="22" customHeight="1">
      <x:c r="A3805" s="3"/>
      <x:c r="B3805" s="3" t="str">
        <x:v>84977</x:v>
      </x:c>
      <x:c r="C3805" s="3" t="str">
        <x:v>WIRE FLOWER T-LIGHT HOLDER</x:v>
      </x:c>
      <x:c r="D3805" s="13" t="n">
        <x:v>1.25</x:v>
      </x:c>
      <x:c r="E3805" s="13" t="n">
        <x:v>0</x:v>
      </x:c>
      <x:c r="F3805" s="13" t="n">
        <x:f>D3805-E3805</x:f>
        <x:v>1.25</x:v>
      </x:c>
      <x:c r="G3805" s="3" t="n">
        <x:v>1</x:v>
      </x:c>
      <x:c r="H3805" s="3" t="n">
        <x:v>0</x:v>
      </x:c>
      <x:c r="I3805" s="3" t="n">
        <x:v>1</x:v>
      </x:c>
      <x:c r="J3805" s="15" t="n">
        <x:f>IF(D3805=0,"n.a.",E3805/D3805)</x:f>
        <x:v>0</x:v>
      </x:c>
      <x:c r="K3805" s="15" t="n">
        <x:f>F3805/'Datos'!$F$7</x:f>
        <x:v>1.2764598794210883e-7</x:v>
      </x:c>
      <x:c r="L3805" s="3"/>
    </x:row>
    <x:row r="3806" ht="22" customHeight="1">
      <x:c r="A3806" s="3"/>
      <x:c r="B3806" s="3" t="str">
        <x:v>84990</x:v>
      </x:c>
      <x:c r="C3806" s="3" t="str">
        <x:v>60 GOLD AND SILVER FAIRY CAKE CASES</x:v>
      </x:c>
      <x:c r="D3806" s="13" t="n">
        <x:v>1.1</x:v>
      </x:c>
      <x:c r="E3806" s="13" t="n">
        <x:v>0</x:v>
      </x:c>
      <x:c r="F3806" s="13" t="n">
        <x:f>D3806-E3806</x:f>
        <x:v>1.1</x:v>
      </x:c>
      <x:c r="G3806" s="3" t="n">
        <x:v>2</x:v>
      </x:c>
      <x:c r="H3806" s="3" t="n">
        <x:v>0</x:v>
      </x:c>
      <x:c r="I3806" s="3" t="n">
        <x:v>2</x:v>
      </x:c>
      <x:c r="J3806" s="15" t="n">
        <x:f>IF(D3806=0,"n.a.",E3806/D3806)</x:f>
        <x:v>0</x:v>
      </x:c>
      <x:c r="K3806" s="15" t="n">
        <x:f>F3806/'Datos'!$F$7</x:f>
        <x:v>1.1232846938905578e-7</x:v>
      </x:c>
      <x:c r="L3806" s="3"/>
    </x:row>
    <x:row r="3807" ht="22" customHeight="1">
      <x:c r="A3807" s="3"/>
      <x:c r="B3807" s="3" t="str">
        <x:v>72815</x:v>
      </x:c>
      <x:c r="C3807" s="3" t="str">
        <x:v>3 WICK CHRISTMAS BRIAR CANDLE</x:v>
      </x:c>
      <x:c r="D3807" s="13" t="n">
        <x:v>15.97</x:v>
      </x:c>
      <x:c r="E3807" s="13" t="n">
        <x:v>15</x:v>
      </x:c>
      <x:c r="F3807" s="13" t="n">
        <x:f>D3807-E3807</x:f>
        <x:v>0.9700000000000006</x:v>
      </x:c>
      <x:c r="G3807" s="3" t="n">
        <x:v>3</x:v>
      </x:c>
      <x:c r="H3807" s="3" t="n">
        <x:v>4</x:v>
      </x:c>
      <x:c r="I3807" s="3" t="n">
        <x:v>2</x:v>
      </x:c>
      <x:c r="J3807" s="15" t="n">
        <x:f>IF(D3807=0,"n.a.",E3807/D3807)</x:f>
        <x:v>0.939261114589856</x:v>
      </x:c>
      <x:c r="K3807" s="15" t="n">
        <x:f>F3807/'Datos'!$F$7</x:f>
        <x:v>9.905328664307652e-8</x:v>
      </x:c>
      <x:c r="L3807" s="3"/>
    </x:row>
    <x:row r="3808" ht="22" customHeight="1">
      <x:c r="A3808" s="3"/>
      <x:c r="B3808" s="3" t="str">
        <x:v>84201C</x:v>
      </x:c>
      <x:c r="C3808" s="3" t="str">
        <x:v>HAPPY BIRTHDAY CARD TEDDY/CAKE</x:v>
      </x:c>
      <x:c r="D3808" s="13" t="n">
        <x:v>0.95</x:v>
      </x:c>
      <x:c r="E3808" s="13" t="n">
        <x:v>0</x:v>
      </x:c>
      <x:c r="F3808" s="13" t="n">
        <x:f>D3808-E3808</x:f>
        <x:v>0.95</x:v>
      </x:c>
      <x:c r="G3808" s="3" t="n">
        <x:v>5</x:v>
      </x:c>
      <x:c r="H3808" s="3" t="n">
        <x:v>0</x:v>
      </x:c>
      <x:c r="I3808" s="3" t="n">
        <x:v>1</x:v>
      </x:c>
      <x:c r="J3808" s="15" t="n">
        <x:f>IF(D3808=0,"n.a.",E3808/D3808)</x:f>
        <x:v>0</x:v>
      </x:c>
      <x:c r="K3808" s="15" t="n">
        <x:f>F3808/'Datos'!$F$7</x:f>
        <x:v>9.701095083600271e-8</x:v>
      </x:c>
      <x:c r="L3808" s="3"/>
    </x:row>
    <x:row r="3809" ht="22" customHeight="1">
      <x:c r="A3809" s="3"/>
      <x:c r="B3809" s="3" t="str">
        <x:v>84206B</x:v>
      </x:c>
      <x:c r="C3809" s="3" t="str">
        <x:v>CAT WITH SUNGLASSES BLANK CARD</x:v>
      </x:c>
      <x:c r="D3809" s="13" t="n">
        <x:v>0.95</x:v>
      </x:c>
      <x:c r="E3809" s="13" t="n">
        <x:v>0</x:v>
      </x:c>
      <x:c r="F3809" s="13" t="n">
        <x:f>D3809-E3809</x:f>
        <x:v>0.95</x:v>
      </x:c>
      <x:c r="G3809" s="3" t="n">
        <x:v>5</x:v>
      </x:c>
      <x:c r="H3809" s="3" t="n">
        <x:v>0</x:v>
      </x:c>
      <x:c r="I3809" s="3" t="n">
        <x:v>1</x:v>
      </x:c>
      <x:c r="J3809" s="15" t="n">
        <x:f>IF(D3809=0,"n.a.",E3809/D3809)</x:f>
        <x:v>0</x:v>
      </x:c>
      <x:c r="K3809" s="15" t="n">
        <x:f>F3809/'Datos'!$F$7</x:f>
        <x:v>9.701095083600271e-8</x:v>
      </x:c>
      <x:c r="L3809" s="3"/>
    </x:row>
    <x:row r="3810" ht="22" customHeight="1">
      <x:c r="A3810" s="3"/>
      <x:c r="B3810" s="3" t="str">
        <x:v>90084</x:v>
      </x:c>
      <x:c r="C3810" s="3" t="str">
        <x:v>PINK CRYSTAL GUITAR PHONE CHARM</x:v>
      </x:c>
      <x:c r="D3810" s="13" t="n">
        <x:v>0.85</x:v>
      </x:c>
      <x:c r="E3810" s="13" t="n">
        <x:v>0</x:v>
      </x:c>
      <x:c r="F3810" s="13" t="n">
        <x:f>D3810-E3810</x:f>
        <x:v>0.85</x:v>
      </x:c>
      <x:c r="G3810" s="3" t="n">
        <x:v>1</x:v>
      </x:c>
      <x:c r="H3810" s="3" t="n">
        <x:v>0</x:v>
      </x:c>
      <x:c r="I3810" s="3" t="n">
        <x:v>1</x:v>
      </x:c>
      <x:c r="J3810" s="15" t="n">
        <x:f>IF(D3810=0,"n.a.",E3810/D3810)</x:f>
        <x:v>0</x:v>
      </x:c>
      <x:c r="K3810" s="15" t="n">
        <x:f>F3810/'Datos'!$F$7</x:f>
        <x:v>8.6799271800634e-8</x:v>
      </x:c>
      <x:c r="L3810" s="3"/>
    </x:row>
    <x:row r="3811" ht="22" customHeight="1">
      <x:c r="A3811" s="3"/>
      <x:c r="B3811" s="3" t="str">
        <x:v>21268</x:v>
      </x:c>
      <x:c r="C3811" s="3" t="str">
        <x:v>VINTAGE BLUE TINSEL REEL</x:v>
      </x:c>
      <x:c r="D3811" s="13" t="n">
        <x:v>0.84</x:v>
      </x:c>
      <x:c r="E3811" s="13" t="n">
        <x:v>0</x:v>
      </x:c>
      <x:c r="F3811" s="13" t="n">
        <x:f>D3811-E3811</x:f>
        <x:v>0.84</x:v>
      </x:c>
      <x:c r="G3811" s="3" t="n">
        <x:v>2</x:v>
      </x:c>
      <x:c r="H3811" s="3" t="n">
        <x:v>0</x:v>
      </x:c>
      <x:c r="I3811" s="3" t="n">
        <x:v>1</x:v>
      </x:c>
      <x:c r="J3811" s="15" t="n">
        <x:f>IF(D3811=0,"n.a.",E3811/D3811)</x:f>
        <x:v>0</x:v>
      </x:c>
      <x:c r="K3811" s="15" t="n">
        <x:f>F3811/'Datos'!$F$7</x:f>
        <x:v>8.577810389709714e-8</x:v>
      </x:c>
      <x:c r="L3811" s="3"/>
    </x:row>
    <x:row r="3812" ht="22" customHeight="1">
      <x:c r="A3812" s="3"/>
      <x:c r="B3812" s="3" t="str">
        <x:v>85047</x:v>
      </x:c>
      <x:c r="C3812" s="3" t="str">
        <x:v>WHITE BEADED GARLAND STRING 20LIGHT</x:v>
      </x:c>
      <x:c r="D3812" s="13" t="n">
        <x:v>19.05</x:v>
      </x:c>
      <x:c r="E3812" s="13" t="n">
        <x:v>18.25</x:v>
      </x:c>
      <x:c r="F3812" s="13" t="n">
        <x:f>D3812-E3812</x:f>
        <x:v>0.8000000000000007</x:v>
      </x:c>
      <x:c r="G3812" s="3" t="n">
        <x:v>3</x:v>
      </x:c>
      <x:c r="H3812" s="3" t="n">
        <x:v>3</x:v>
      </x:c>
      <x:c r="I3812" s="3" t="n">
        <x:v>2</x:v>
      </x:c>
      <x:c r="J3812" s="15" t="n">
        <x:f>IF(D3812=0,"n.a.",E3812/D3812)</x:f>
        <x:v>0.958005249343832</x:v>
      </x:c>
      <x:c r="K3812" s="15" t="n">
        <x:f>F3812/'Datos'!$F$7</x:f>
        <x:v>8.169343228294972e-8</x:v>
      </x:c>
      <x:c r="L3812" s="3"/>
    </x:row>
    <x:row r="3813" ht="22" customHeight="1">
      <x:c r="A3813" s="3"/>
      <x:c r="B3813" s="3" t="str">
        <x:v>84227</x:v>
      </x:c>
      <x:c r="C3813" s="3" t="str">
        <x:v>HEN HOUSE W CHICK IN NEST</x:v>
      </x:c>
      <x:c r="D3813" s="13" t="n">
        <x:v>0.42</x:v>
      </x:c>
      <x:c r="E3813" s="13" t="n">
        <x:v>0</x:v>
      </x:c>
      <x:c r="F3813" s="13" t="n">
        <x:f>D3813-E3813</x:f>
        <x:v>0.42</x:v>
      </x:c>
      <x:c r="G3813" s="3" t="n">
        <x:v>1</x:v>
      </x:c>
      <x:c r="H3813" s="3" t="n">
        <x:v>0</x:v>
      </x:c>
      <x:c r="I3813" s="3" t="n">
        <x:v>1</x:v>
      </x:c>
      <x:c r="J3813" s="15" t="n">
        <x:f>IF(D3813=0,"n.a.",E3813/D3813)</x:f>
        <x:v>0</x:v>
      </x:c>
      <x:c r="K3813" s="15" t="n">
        <x:f>F3813/'Datos'!$F$7</x:f>
        <x:v>4.288905194854857e-8</x:v>
      </x:c>
      <x:c r="L3813" s="3"/>
    </x:row>
    <x:row r="3814" ht="22" customHeight="1">
      <x:c r="A3814" s="3"/>
      <x:c r="B3814" s="3" t="str">
        <x:v>PADS</x:v>
      </x:c>
      <x:c r="C3814" s="3" t="str">
        <x:v>PADS TO MATCH ALL CUSHIONS</x:v>
      </x:c>
      <x:c r="D3814" s="13" t="n">
        <x:v>0.003</x:v>
      </x:c>
      <x:c r="E3814" s="13" t="n">
        <x:v>0</x:v>
      </x:c>
      <x:c r="F3814" s="13" t="n">
        <x:f>D3814-E3814</x:f>
        <x:v>0.003</x:v>
      </x:c>
      <x:c r="G3814" s="3" t="n">
        <x:v>3</x:v>
      </x:c>
      <x:c r="H3814" s="3" t="n">
        <x:v>0</x:v>
      </x:c>
      <x:c r="I3814" s="3" t="n">
        <x:v>3</x:v>
      </x:c>
      <x:c r="J3814" s="15" t="n">
        <x:f>IF(D3814=0,"n.a.",E3814/D3814)</x:f>
        <x:v>0</x:v>
      </x:c>
      <x:c r="K3814" s="15" t="n">
        <x:f>F3814/'Datos'!$F$7</x:f>
        <x:v>3.063503710610612e-10</x:v>
      </x:c>
      <x:c r="L3814" s="3"/>
    </x:row>
    <x:row r="3815" ht="22" customHeight="1">
      <x:c r="A3815" s="3"/>
      <x:c r="B3815" s="3" t="str">
        <x:v>21655</x:v>
      </x:c>
      <x:c r="C3815" s="3" t="str">
        <x:v>HANGING RIDGE GLASS T-LIGHT HOLDER</x:v>
      </x:c>
      <x:c r="D3815" s="13" t="n">
        <x:v>60.84</x:v>
      </x:c>
      <x:c r="E3815" s="13" t="n">
        <x:v>60.84</x:v>
      </x:c>
      <x:c r="F3815" s="13" t="n">
        <x:f>D3815-E3815</x:f>
        <x:v>0</x:v>
      </x:c>
      <x:c r="G3815" s="3" t="n">
        <x:v>36</x:v>
      </x:c>
      <x:c r="H3815" s="3" t="n">
        <x:v>36</x:v>
      </x:c>
      <x:c r="I3815" s="3" t="n">
        <x:v>2</x:v>
      </x:c>
      <x:c r="J3815" s="15" t="n">
        <x:f>IF(D3815=0,"n.a.",E3815/D3815)</x:f>
        <x:v>1</x:v>
      </x:c>
      <x:c r="K3815" s="15" t="n">
        <x:f>F3815/'Datos'!$F$7</x:f>
        <x:v>0</x:v>
      </x:c>
      <x:c r="L3815" s="3"/>
    </x:row>
    <x:row r="3816" ht="22" customHeight="1">
      <x:c r="A3816" s="3"/>
      <x:c r="B3816" s="3" t="str">
        <x:v>21667</x:v>
      </x:c>
      <x:c r="C3816" s="3" t="str">
        <x:v>GLASS CAKE COVER AND PLATE</x:v>
      </x:c>
      <x:c r="D3816" s="13" t="n">
        <x:v>29.9</x:v>
      </x:c>
      <x:c r="E3816" s="13" t="n">
        <x:v>29.9</x:v>
      </x:c>
      <x:c r="F3816" s="13" t="n">
        <x:f>D3816-E3816</x:f>
        <x:v>0</x:v>
      </x:c>
      <x:c r="G3816" s="3" t="n">
        <x:v>2</x:v>
      </x:c>
      <x:c r="H3816" s="3" t="n">
        <x:v>2</x:v>
      </x:c>
      <x:c r="I3816" s="3" t="n">
        <x:v>1</x:v>
      </x:c>
      <x:c r="J3816" s="15" t="n">
        <x:f>IF(D3816=0,"n.a.",E3816/D3816)</x:f>
        <x:v>1</x:v>
      </x:c>
      <x:c r="K3816" s="15" t="n">
        <x:f>F3816/'Datos'!$F$7</x:f>
        <x:v>0</x:v>
      </x:c>
      <x:c r="L3816" s="3"/>
    </x:row>
    <x:row r="3817" ht="22" customHeight="1">
      <x:c r="A3817" s="3"/>
      <x:c r="B3817" s="3" t="str">
        <x:v>23843</x:v>
      </x:c>
      <x:c r="C3817" s="3" t="str">
        <x:v>PAPER CRAFT , LITTLE BIRDIE</x:v>
      </x:c>
      <x:c r="D3817" s="13" t="n">
        <x:v>168469.6</x:v>
      </x:c>
      <x:c r="E3817" s="13" t="n">
        <x:v>168469.6</x:v>
      </x:c>
      <x:c r="F3817" s="13" t="n">
        <x:f>D3817-E3817</x:f>
        <x:v>0</x:v>
      </x:c>
      <x:c r="G3817" s="3" t="n">
        <x:v>80995</x:v>
      </x:c>
      <x:c r="H3817" s="3" t="n">
        <x:v>80995</x:v>
      </x:c>
      <x:c r="I3817" s="3" t="n">
        <x:v>1</x:v>
      </x:c>
      <x:c r="J3817" s="15" t="n">
        <x:f>IF(D3817=0,"n.a.",E3817/D3817)</x:f>
        <x:v>1</x:v>
      </x:c>
      <x:c r="K3817" s="15" t="n">
        <x:f>F3817/'Datos'!$F$7</x:f>
        <x:v>0</x:v>
      </x:c>
      <x:c r="L3817" s="3"/>
    </x:row>
    <x:row r="3818" ht="22" customHeight="1">
      <x:c r="A3818" s="3"/>
      <x:c r="B3818" s="3" t="str">
        <x:v>79323B</x:v>
      </x:c>
      <x:c r="C3818" s="3" t="str">
        <x:v>BLACK CHERRY LIGHTS</x:v>
      </x:c>
      <x:c r="D3818" s="13" t="n">
        <x:v>54</x:v>
      </x:c>
      <x:c r="E3818" s="13" t="n">
        <x:v>54</x:v>
      </x:c>
      <x:c r="F3818" s="13" t="n">
        <x:f>D3818-E3818</x:f>
        <x:v>0</x:v>
      </x:c>
      <x:c r="G3818" s="3" t="n">
        <x:v>8</x:v>
      </x:c>
      <x:c r="H3818" s="3" t="n">
        <x:v>8</x:v>
      </x:c>
      <x:c r="I3818" s="3" t="n">
        <x:v>1</x:v>
      </x:c>
      <x:c r="J3818" s="15" t="n">
        <x:f>IF(D3818=0,"n.a.",E3818/D3818)</x:f>
        <x:v>1</x:v>
      </x:c>
      <x:c r="K3818" s="15" t="n">
        <x:f>F3818/'Datos'!$F$7</x:f>
        <x:v>0</x:v>
      </x:c>
      <x:c r="L3818" s="3"/>
    </x:row>
    <x:row r="3819" ht="22" customHeight="1">
      <x:c r="A3819" s="3"/>
      <x:c r="B3819" s="3" t="str">
        <x:v>22034</x:v>
      </x:c>
      <x:c r="C3819" s="3" t="str">
        <x:v>ROBIN CHRISTMAS CARD</x:v>
      </x:c>
      <x:c r="D3819" s="13" t="n">
        <x:v>5.02</x:v>
      </x:c>
      <x:c r="E3819" s="13" t="n">
        <x:v>5.04</x:v>
      </x:c>
      <x:c r="F3819" s="13" t="n">
        <x:f>D3819-E3819</x:f>
        <x:v>-0.020000000000000462</x:v>
      </x:c>
      <x:c r="G3819" s="3" t="n">
        <x:v>10</x:v>
      </x:c>
      <x:c r="H3819" s="3" t="n">
        <x:v>12</x:v>
      </x:c>
      <x:c r="I3819" s="3" t="n">
        <x:v>4</x:v>
      </x:c>
      <x:c r="J3819" s="15" t="n">
        <x:f>IF(D3819=0,"n.a.",E3819/D3819)</x:f>
        <x:v>1.00398406374502</x:v>
      </x:c>
      <x:c r="K3819" s="15" t="n">
        <x:f>F3819/'Datos'!$F$7</x:f>
        <x:v>-2.0423358070737886e-9</x:v>
      </x:c>
      <x:c r="L3819" s="3"/>
    </x:row>
    <x:row r="3820" ht="22" customHeight="1">
      <x:c r="A3820" s="3"/>
      <x:c r="B3820" s="3" t="str">
        <x:v>20957</x:v>
      </x:c>
      <x:c r="C3820" s="3" t="str">
        <x:v>PORCELAIN HANGING BELL SMALL</x:v>
      </x:c>
      <x:c r="D3820" s="13" t="n">
        <x:v>0</x:v>
      </x:c>
      <x:c r="E3820" s="13" t="n">
        <x:v>1.45</x:v>
      </x:c>
      <x:c r="F3820" s="13" t="n">
        <x:f>D3820-E3820</x:f>
        <x:v>-1.45</x:v>
      </x:c>
      <x:c r="G3820" s="3" t="n">
        <x:v>0</x:v>
      </x:c>
      <x:c r="H3820" s="3" t="n">
        <x:v>1</x:v>
      </x:c>
      <x:c r="I3820" s="3" t="n">
        <x:v>0</x:v>
      </x:c>
      <x:c r="J3820" s="15" t="str">
        <x:f>IF(D3820=0,"n.a.",E3820/D3820)</x:f>
        <x:v>n.a.</x:v>
      </x:c>
      <x:c r="K3820" s="15" t="n">
        <x:f>F3820/'Datos'!$F$7</x:f>
        <x:v>-1.4806934601284625e-7</x:v>
      </x:c>
      <x:c r="L3820" s="3"/>
    </x:row>
    <x:row r="3821" ht="22" customHeight="1">
      <x:c r="A3821" s="3"/>
      <x:c r="B3821" s="3" t="str">
        <x:v>21412</x:v>
      </x:c>
      <x:c r="C3821" s="3" t="str">
        <x:v>VINTAGE GOLD TINSEL REEL</x:v>
      </x:c>
      <x:c r="D3821" s="13" t="n">
        <x:v>0</x:v>
      </x:c>
      <x:c r="E3821" s="13" t="n">
        <x:v>2.52</x:v>
      </x:c>
      <x:c r="F3821" s="13" t="n">
        <x:f>D3821-E3821</x:f>
        <x:v>-2.52</x:v>
      </x:c>
      <x:c r="G3821" s="3" t="n">
        <x:v>0</x:v>
      </x:c>
      <x:c r="H3821" s="3" t="n">
        <x:v>6</x:v>
      </x:c>
      <x:c r="I3821" s="3" t="n">
        <x:v>0</x:v>
      </x:c>
      <x:c r="J3821" s="15" t="str">
        <x:f>IF(D3821=0,"n.a.",E3821/D3821)</x:f>
        <x:v>n.a.</x:v>
      </x:c>
      <x:c r="K3821" s="15" t="n">
        <x:f>F3821/'Datos'!$F$7</x:f>
        <x:v>-2.573343116912914e-7</x:v>
      </x:c>
      <x:c r="L3821" s="3"/>
    </x:row>
    <x:row r="3822" ht="22" customHeight="1">
      <x:c r="A3822" s="3"/>
      <x:c r="B3822" s="3" t="str">
        <x:v>85023C</x:v>
      </x:c>
      <x:c r="C3822" s="3" t="str">
        <x:v>PINK LARGE JEWELED PHOTOFRAME</x:v>
      </x:c>
      <x:c r="D3822" s="13" t="n">
        <x:v>0</x:v>
      </x:c>
      <x:c r="E3822" s="13" t="n">
        <x:v>2.55</x:v>
      </x:c>
      <x:c r="F3822" s="13" t="n">
        <x:f>D3822-E3822</x:f>
        <x:v>-2.55</x:v>
      </x:c>
      <x:c r="G3822" s="3" t="n">
        <x:v>0</x:v>
      </x:c>
      <x:c r="H3822" s="3" t="n">
        <x:v>1</x:v>
      </x:c>
      <x:c r="I3822" s="3" t="n">
        <x:v>0</x:v>
      </x:c>
      <x:c r="J3822" s="15" t="str">
        <x:f>IF(D3822=0,"n.a.",E3822/D3822)</x:f>
        <x:v>n.a.</x:v>
      </x:c>
      <x:c r="K3822" s="15" t="n">
        <x:f>F3822/'Datos'!$F$7</x:f>
        <x:v>-2.60397815401902e-7</x:v>
      </x:c>
      <x:c r="L3822" s="3"/>
    </x:row>
    <x:row r="3823" ht="22" customHeight="1">
      <x:c r="A3823" s="3"/>
      <x:c r="B3823" s="3" t="str">
        <x:v>35832</x:v>
      </x:c>
      <x:c r="C3823" s="3" t="str">
        <x:v>WOOLLY HAT SOCK GLOVE ADVENT STRING</x:v>
      </x:c>
      <x:c r="D3823" s="13" t="n">
        <x:v>0</x:v>
      </x:c>
      <x:c r="E3823" s="13" t="n">
        <x:v>2.95</x:v>
      </x:c>
      <x:c r="F3823" s="13" t="n">
        <x:f>D3823-E3823</x:f>
        <x:v>-2.95</x:v>
      </x:c>
      <x:c r="G3823" s="3" t="n">
        <x:v>0</x:v>
      </x:c>
      <x:c r="H3823" s="3" t="n">
        <x:v>1</x:v>
      </x:c>
      <x:c r="I3823" s="3" t="n">
        <x:v>0</x:v>
      </x:c>
      <x:c r="J3823" s="15" t="str">
        <x:f>IF(D3823=0,"n.a.",E3823/D3823)</x:f>
        <x:v>n.a.</x:v>
      </x:c>
      <x:c r="K3823" s="15" t="n">
        <x:f>F3823/'Datos'!$F$7</x:f>
        <x:v>-3.0124453154337686e-7</x:v>
      </x:c>
      <x:c r="L3823" s="3"/>
    </x:row>
    <x:row r="3824" ht="22" customHeight="1">
      <x:c r="A3824" s="3"/>
      <x:c r="B3824" s="3" t="str">
        <x:v>85098B</x:v>
      </x:c>
      <x:c r="C3824" s="3" t="str">
        <x:v>BLUE FLYING SINGING CANARY</x:v>
      </x:c>
      <x:c r="D3824" s="13" t="n">
        <x:v>0</x:v>
      </x:c>
      <x:c r="E3824" s="13" t="n">
        <x:v>3.75</x:v>
      </x:c>
      <x:c r="F3824" s="13" t="n">
        <x:f>D3824-E3824</x:f>
        <x:v>-3.75</x:v>
      </x:c>
      <x:c r="G3824" s="3" t="n">
        <x:v>0</x:v>
      </x:c>
      <x:c r="H3824" s="3" t="n">
        <x:v>1</x:v>
      </x:c>
      <x:c r="I3824" s="3" t="n">
        <x:v>0</x:v>
      </x:c>
      <x:c r="J3824" s="15" t="str">
        <x:f>IF(D3824=0,"n.a.",E3824/D3824)</x:f>
        <x:v>n.a.</x:v>
      </x:c>
      <x:c r="K3824" s="15" t="n">
        <x:f>F3824/'Datos'!$F$7</x:f>
        <x:v>-3.829379638263265e-7</x:v>
      </x:c>
      <x:c r="L3824" s="3"/>
    </x:row>
    <x:row r="3825" ht="22" customHeight="1">
      <x:c r="A3825" s="3"/>
      <x:c r="B3825" s="3" t="str">
        <x:v>79320</x:v>
      </x:c>
      <x:c r="C3825" s="3" t="str">
        <x:v>FLAMINGO LIGHTS</x:v>
      </x:c>
      <x:c r="D3825" s="13" t="n">
        <x:v>0</x:v>
      </x:c>
      <x:c r="E3825" s="13" t="n">
        <x:v>4.95</x:v>
      </x:c>
      <x:c r="F3825" s="13" t="n">
        <x:f>D3825-E3825</x:f>
        <x:v>-4.95</x:v>
      </x:c>
      <x:c r="G3825" s="3" t="n">
        <x:v>0</x:v>
      </x:c>
      <x:c r="H3825" s="3" t="n">
        <x:v>1</x:v>
      </x:c>
      <x:c r="I3825" s="3" t="n">
        <x:v>0</x:v>
      </x:c>
      <x:c r="J3825" s="15" t="str">
        <x:f>IF(D3825=0,"n.a.",E3825/D3825)</x:f>
        <x:v>n.a.</x:v>
      </x:c>
      <x:c r="K3825" s="15" t="n">
        <x:f>F3825/'Datos'!$F$7</x:f>
        <x:v>-5.05478112250751e-7</x:v>
      </x:c>
      <x:c r="L3825" s="3"/>
    </x:row>
    <x:row r="3826" ht="22" customHeight="1">
      <x:c r="A3826" s="3"/>
      <x:c r="B3826" s="3" t="str">
        <x:v>84839</x:v>
      </x:c>
      <x:c r="C3826" s="3" t="str">
        <x:v>SWEETHEART KEY CABINET</x:v>
      </x:c>
      <x:c r="D3826" s="13" t="n">
        <x:v>0</x:v>
      </x:c>
      <x:c r="E3826" s="13" t="n">
        <x:v>5.55</x:v>
      </x:c>
      <x:c r="F3826" s="13" t="n">
        <x:f>D3826-E3826</x:f>
        <x:v>-5.55</x:v>
      </x:c>
      <x:c r="G3826" s="3" t="n">
        <x:v>0</x:v>
      </x:c>
      <x:c r="H3826" s="3" t="n">
        <x:v>1</x:v>
      </x:c>
      <x:c r="I3826" s="3" t="n">
        <x:v>0</x:v>
      </x:c>
      <x:c r="J3826" s="15" t="str">
        <x:f>IF(D3826=0,"n.a.",E3826/D3826)</x:f>
        <x:v>n.a.</x:v>
      </x:c>
      <x:c r="K3826" s="15" t="n">
        <x:f>F3826/'Datos'!$F$7</x:f>
        <x:v>-5.667481864629632e-7</x:v>
      </x:c>
      <x:c r="L3826" s="3"/>
    </x:row>
    <x:row r="3827" ht="22" customHeight="1">
      <x:c r="A3827" s="3"/>
      <x:c r="B3827" s="3" t="str">
        <x:v>84750A</x:v>
      </x:c>
      <x:c r="C3827" s="3" t="str">
        <x:v>PINK SMALL GLASS CAKE STAND</x:v>
      </x:c>
      <x:c r="D3827" s="13" t="n">
        <x:v>46.8</x:v>
      </x:c>
      <x:c r="E3827" s="13" t="n">
        <x:v>52.65</x:v>
      </x:c>
      <x:c r="F3827" s="13" t="n">
        <x:f>D3827-E3827</x:f>
        <x:v>-5.850000000000001</x:v>
      </x:c>
      <x:c r="G3827" s="3" t="n">
        <x:v>24</x:v>
      </x:c>
      <x:c r="H3827" s="3" t="n">
        <x:v>27</x:v>
      </x:c>
      <x:c r="I3827" s="3" t="n">
        <x:v>1</x:v>
      </x:c>
      <x:c r="J3827" s="15" t="n">
        <x:f>IF(D3827=0,"n.a.",E3827/D3827)</x:f>
        <x:v>1.125</x:v>
      </x:c>
      <x:c r="K3827" s="15" t="n">
        <x:f>F3827/'Datos'!$F$7</x:f>
        <x:v>-5.973832235690695e-7</x:v>
      </x:c>
      <x:c r="L3827" s="3"/>
    </x:row>
    <x:row r="3828" ht="22" customHeight="1">
      <x:c r="A3828" s="3"/>
      <x:c r="B3828" s="3" t="str">
        <x:v>85068</x:v>
      </x:c>
      <x:c r="C3828" s="3" t="str">
        <x:v>CREAM SWEETHEART SHELF + HOOKS</x:v>
      </x:c>
      <x:c r="D3828" s="13" t="n">
        <x:v>0</x:v>
      </x:c>
      <x:c r="E3828" s="13" t="n">
        <x:v>7.95</x:v>
      </x:c>
      <x:c r="F3828" s="13" t="n">
        <x:f>D3828-E3828</x:f>
        <x:v>-7.95</x:v>
      </x:c>
      <x:c r="G3828" s="3" t="n">
        <x:v>0</x:v>
      </x:c>
      <x:c r="H3828" s="3" t="n">
        <x:v>1</x:v>
      </x:c>
      <x:c r="I3828" s="3" t="n">
        <x:v>0</x:v>
      </x:c>
      <x:c r="J3828" s="15" t="str">
        <x:f>IF(D3828=0,"n.a.",E3828/D3828)</x:f>
        <x:v>n.a.</x:v>
      </x:c>
      <x:c r="K3828" s="15" t="n">
        <x:f>F3828/'Datos'!$F$7</x:f>
        <x:v>-8.118284833118122e-7</x:v>
      </x:c>
      <x:c r="L3828" s="3"/>
    </x:row>
    <x:row r="3829" ht="22" customHeight="1">
      <x:c r="A3829" s="3"/>
      <x:c r="B3829" s="3" t="str">
        <x:v>37503</x:v>
      </x:c>
      <x:c r="C3829" s="3" t="str">
        <x:v>TEA TIME CAKE STAND IN GIFT BOX</x:v>
      </x:c>
      <x:c r="D3829" s="13" t="n">
        <x:v>0</x:v>
      </x:c>
      <x:c r="E3829" s="13" t="n">
        <x:v>10.75</x:v>
      </x:c>
      <x:c r="F3829" s="13" t="n">
        <x:f>D3829-E3829</x:f>
        <x:v>-10.75</x:v>
      </x:c>
      <x:c r="G3829" s="3" t="n">
        <x:v>0</x:v>
      </x:c>
      <x:c r="H3829" s="3" t="n">
        <x:v>1</x:v>
      </x:c>
      <x:c r="I3829" s="3" t="n">
        <x:v>0</x:v>
      </x:c>
      <x:c r="J3829" s="15" t="str">
        <x:f>IF(D3829=0,"n.a.",E3829/D3829)</x:f>
        <x:v>n.a.</x:v>
      </x:c>
      <x:c r="K3829" s="15" t="n">
        <x:f>F3829/'Datos'!$F$7</x:f>
        <x:v>-0.000001097755496302136</x:v>
      </x:c>
      <x:c r="L3829" s="3"/>
    </x:row>
    <x:row r="3830" ht="22" customHeight="1">
      <x:c r="A3830" s="3"/>
      <x:c r="B3830" s="3" t="str">
        <x:v>85065</x:v>
      </x:c>
      <x:c r="C3830" s="3" t="str">
        <x:v>CREAM SWEETHEART TRAYS</x:v>
      </x:c>
      <x:c r="D3830" s="13" t="n">
        <x:v>0</x:v>
      </x:c>
      <x:c r="E3830" s="13" t="n">
        <x:v>12.75</x:v>
      </x:c>
      <x:c r="F3830" s="13" t="n">
        <x:f>D3830-E3830</x:f>
        <x:v>-12.75</x:v>
      </x:c>
      <x:c r="G3830" s="3" t="n">
        <x:v>0</x:v>
      </x:c>
      <x:c r="H3830" s="3" t="n">
        <x:v>1</x:v>
      </x:c>
      <x:c r="I3830" s="3" t="n">
        <x:v>0</x:v>
      </x:c>
      <x:c r="J3830" s="15" t="str">
        <x:f>IF(D3830=0,"n.a.",E3830/D3830)</x:f>
        <x:v>n.a.</x:v>
      </x:c>
      <x:c r="K3830" s="15" t="n">
        <x:f>F3830/'Datos'!$F$7</x:f>
        <x:v>-0.0000013019890770095101</x:v>
      </x:c>
      <x:c r="L3830" s="3"/>
    </x:row>
    <x:row r="3831" ht="22" customHeight="1">
      <x:c r="A3831" s="3"/>
      <x:c r="B3831" s="3" t="str">
        <x:v>85042</x:v>
      </x:c>
      <x:c r="C3831" s="3" t="str">
        <x:v>ANTIQUE LILY FAIRY LIGHTS</x:v>
      </x:c>
      <x:c r="D3831" s="13" t="n">
        <x:v>0</x:v>
      </x:c>
      <x:c r="E3831" s="13" t="n">
        <x:v>14.85</x:v>
      </x:c>
      <x:c r="F3831" s="13" t="n">
        <x:f>D3831-E3831</x:f>
        <x:v>-14.85</x:v>
      </x:c>
      <x:c r="G3831" s="3" t="n">
        <x:v>0</x:v>
      </x:c>
      <x:c r="H3831" s="3" t="n">
        <x:v>3</x:v>
      </x:c>
      <x:c r="I3831" s="3" t="n">
        <x:v>0</x:v>
      </x:c>
      <x:c r="J3831" s="15" t="str">
        <x:f>IF(D3831=0,"n.a.",E3831/D3831)</x:f>
        <x:v>n.a.</x:v>
      </x:c>
      <x:c r="K3831" s="15" t="n">
        <x:f>F3831/'Datos'!$F$7</x:f>
        <x:v>-0.000001516434336752253</x:v>
      </x:c>
      <x:c r="L3831" s="3"/>
    </x:row>
    <x:row r="3832" ht="22" customHeight="1">
      <x:c r="A3832" s="3"/>
      <x:c r="B3832" s="3" t="str">
        <x:v>20703</x:v>
      </x:c>
      <x:c r="C3832" s="3" t="str">
        <x:v>BLUE PADDED SOFT MOBILE</x:v>
      </x:c>
      <x:c r="D3832" s="13" t="n">
        <x:v>4.25</x:v>
      </x:c>
      <x:c r="E3832" s="13" t="n">
        <x:v>29.75</x:v>
      </x:c>
      <x:c r="F3832" s="13" t="n">
        <x:f>D3832-E3832</x:f>
        <x:v>-25.5</x:v>
      </x:c>
      <x:c r="G3832" s="3" t="n">
        <x:v>1</x:v>
      </x:c>
      <x:c r="H3832" s="3" t="n">
        <x:v>7</x:v>
      </x:c>
      <x:c r="I3832" s="3" t="n">
        <x:v>1</x:v>
      </x:c>
      <x:c r="J3832" s="15" t="n">
        <x:f>IF(D3832=0,"n.a.",E3832/D3832)</x:f>
        <x:v>7</x:v>
      </x:c>
      <x:c r="K3832" s="15" t="n">
        <x:f>F3832/'Datos'!$F$7</x:f>
        <x:v>-0.0000026039781540190203</x:v>
      </x:c>
      <x:c r="L3832" s="3"/>
    </x:row>
    <x:row r="3833" ht="22" customHeight="1">
      <x:c r="A3833" s="3"/>
      <x:c r="B3833" s="3" t="str">
        <x:v>79323P</x:v>
      </x:c>
      <x:c r="C3833" s="3" t="str">
        <x:v>PINK CHERRY LIGHTS</x:v>
      </x:c>
      <x:c r="D3833" s="13" t="n">
        <x:v>27</x:v>
      </x:c>
      <x:c r="E3833" s="13" t="n">
        <x:v>54</x:v>
      </x:c>
      <x:c r="F3833" s="13" t="n">
        <x:f>D3833-E3833</x:f>
        <x:v>-27</x:v>
      </x:c>
      <x:c r="G3833" s="3" t="n">
        <x:v>4</x:v>
      </x:c>
      <x:c r="H3833" s="3" t="n">
        <x:v>8</x:v>
      </x:c>
      <x:c r="I3833" s="3" t="n">
        <x:v>1</x:v>
      </x:c>
      <x:c r="J3833" s="15" t="n">
        <x:f>IF(D3833=0,"n.a.",E3833/D3833)</x:f>
        <x:v>2</x:v>
      </x:c>
      <x:c r="K3833" s="15" t="n">
        <x:f>F3833/'Datos'!$F$7</x:f>
        <x:v>-0.0000027571533395495506</x:v>
      </x:c>
      <x:c r="L3833" s="3"/>
    </x:row>
    <x:row r="3834" ht="22" customHeight="1">
      <x:c r="A3834" s="3"/>
      <x:c r="B3834" s="3" t="str">
        <x:v>21645</x:v>
      </x:c>
      <x:c r="C3834" s="3" t="str">
        <x:v>ASSORTED TUTTI FRUTTI ROUND BOX</x:v>
      </x:c>
      <x:c r="D3834" s="13" t="n">
        <x:v>0</x:v>
      </x:c>
      <x:c r="E3834" s="13" t="n">
        <x:v>39.6</x:v>
      </x:c>
      <x:c r="F3834" s="13" t="n">
        <x:f>D3834-E3834</x:f>
        <x:v>-39.6</x:v>
      </x:c>
      <x:c r="G3834" s="3" t="n">
        <x:v>0</x:v>
      </x:c>
      <x:c r="H3834" s="3" t="n">
        <x:v>24</x:v>
      </x:c>
      <x:c r="I3834" s="3" t="n">
        <x:v>0</x:v>
      </x:c>
      <x:c r="J3834" s="15" t="str">
        <x:f>IF(D3834=0,"n.a.",E3834/D3834)</x:f>
        <x:v>n.a.</x:v>
      </x:c>
      <x:c r="K3834" s="15" t="n">
        <x:f>F3834/'Datos'!$F$7</x:f>
        <x:v>-0.000004043824898006008</x:v>
      </x:c>
      <x:c r="L3834" s="3"/>
    </x:row>
    <x:row r="3835" ht="22" customHeight="1">
      <x:c r="A3835" s="3"/>
      <x:c r="B3835" s="3" t="str">
        <x:v>35400</x:v>
      </x:c>
      <x:c r="C3835" s="3" t="str">
        <x:v>WOODEN BOX ADVENT CALENDAR</x:v>
      </x:c>
      <x:c r="D3835" s="13" t="n">
        <x:v>89.5</x:v>
      </x:c>
      <x:c r="E3835" s="13" t="n">
        <x:v>135.2</x:v>
      </x:c>
      <x:c r="F3835" s="13" t="n">
        <x:f>D3835-E3835</x:f>
        <x:v>-45.69999999999999</x:v>
      </x:c>
      <x:c r="G3835" s="3" t="n">
        <x:v>10</x:v>
      </x:c>
      <x:c r="H3835" s="3" t="n">
        <x:v>16</x:v>
      </x:c>
      <x:c r="I3835" s="3" t="n">
        <x:v>5</x:v>
      </x:c>
      <x:c r="J3835" s="15" t="n">
        <x:f>IF(D3835=0,"n.a.",E3835/D3835)</x:f>
        <x:v>1.5106145251396648</x:v>
      </x:c>
      <x:c r="K3835" s="15" t="n">
        <x:f>F3835/'Datos'!$F$7</x:f>
        <x:v>-0.000004666737319163498</x:v>
      </x:c>
      <x:c r="L3835" s="3"/>
    </x:row>
    <x:row r="3836" ht="22" customHeight="1">
      <x:c r="A3836" s="3"/>
      <x:c r="B3836" s="3" t="str">
        <x:v>85063</x:v>
      </x:c>
      <x:c r="C3836" s="3" t="str">
        <x:v>CREAM SWEETHEART MAGAZINE RACK</x:v>
      </x:c>
      <x:c r="D3836" s="13" t="n">
        <x:v>0</x:v>
      </x:c>
      <x:c r="E3836" s="13" t="n">
        <x:v>46.85</x:v>
      </x:c>
      <x:c r="F3836" s="13" t="n">
        <x:f>D3836-E3836</x:f>
        <x:v>-46.85</x:v>
      </x:c>
      <x:c r="G3836" s="3" t="n">
        <x:v>0</x:v>
      </x:c>
      <x:c r="H3836" s="3" t="n">
        <x:v>3</x:v>
      </x:c>
      <x:c r="I3836" s="3" t="n">
        <x:v>0</x:v>
      </x:c>
      <x:c r="J3836" s="15" t="str">
        <x:f>IF(D3836=0,"n.a.",E3836/D3836)</x:f>
        <x:v>n.a.</x:v>
      </x:c>
      <x:c r="K3836" s="15" t="n">
        <x:f>F3836/'Datos'!$F$7</x:f>
        <x:v>-0.000004784171628070239</x:v>
      </x:c>
      <x:c r="L3836" s="3"/>
    </x:row>
    <x:row r="3837" ht="22" customHeight="1">
      <x:c r="A3837" s="3"/>
      <x:c r="B3837" s="3" t="str">
        <x:v>79323W</x:v>
      </x:c>
      <x:c r="C3837" s="3" t="str">
        <x:v>Unsaleable, destroyed.</x:v>
      </x:c>
      <x:c r="D3837" s="13" t="n">
        <x:v>0</x:v>
      </x:c>
      <x:c r="E3837" s="13" t="n">
        <x:v>54</x:v>
      </x:c>
      <x:c r="F3837" s="13" t="n">
        <x:f>D3837-E3837</x:f>
        <x:v>-54</x:v>
      </x:c>
      <x:c r="G3837" s="3" t="n">
        <x:v>0</x:v>
      </x:c>
      <x:c r="H3837" s="3" t="n">
        <x:v>8</x:v>
      </x:c>
      <x:c r="I3837" s="3" t="n">
        <x:v>0</x:v>
      </x:c>
      <x:c r="J3837" s="15" t="str">
        <x:f>IF(D3837=0,"n.a.",E3837/D3837)</x:f>
        <x:v>n.a.</x:v>
      </x:c>
      <x:c r="K3837" s="15" t="n">
        <x:f>F3837/'Datos'!$F$7</x:f>
        <x:v>-0.000005514306679099101</x:v>
      </x:c>
      <x:c r="L3837" s="3"/>
    </x:row>
    <x:row r="3838" ht="22" customHeight="1">
      <x:c r="A3838" s="3"/>
      <x:c r="B3838" s="3"/>
      <x:c r="C3838" s="3"/>
      <x:c r="D3838" s="3"/>
      <x:c r="E3838" s="3"/>
      <x:c r="F3838" s="3"/>
      <x:c r="G3838" s="3"/>
      <x:c r="H3838" s="3"/>
      <x:c r="I3838" s="3"/>
      <x:c r="J3838" s="3"/>
      <x:c r="K3838" s="3"/>
      <x:c r="L3838" s="3"/>
    </x:row>
    <x:row r="3839" ht="22" customHeight="1">
      <x:c r="A3839" s="3"/>
      <x:c r="B3839" s="3"/>
      <x:c r="C3839" s="3"/>
      <x:c r="D3839" s="3"/>
      <x:c r="E3839" s="3"/>
      <x:c r="F3839" s="3"/>
      <x:c r="G3839" s="3"/>
      <x:c r="H3839" s="3"/>
      <x:c r="I3839" s="3"/>
      <x:c r="J3839" s="3"/>
      <x:c r="K3839" s="3"/>
      <x:c r="L3839" s="3"/>
    </x:row>
    <x:row r="3840" ht="22" customHeight="1">
      <x:c r="A3840" s="3"/>
      <x:c r="B3840" s="3"/>
      <x:c r="C3840" s="3"/>
      <x:c r="D3840" s="3"/>
      <x:c r="E3840" s="3"/>
      <x:c r="F3840" s="3"/>
      <x:c r="G3840" s="3"/>
      <x:c r="H3840" s="3"/>
      <x:c r="I3840" s="3"/>
      <x:c r="J3840" s="3"/>
      <x:c r="K3840" s="3"/>
      <x:c r="L3840" s="3"/>
    </x:row>
    <x:row r="3841" ht="22" customHeight="1">
      <x:c r="A3841" s="3"/>
      <x:c r="B3841" s="3"/>
      <x:c r="C3841" s="3"/>
      <x:c r="D3841" s="3"/>
      <x:c r="E3841" s="3"/>
      <x:c r="F3841" s="3"/>
      <x:c r="G3841" s="3"/>
      <x:c r="H3841" s="3"/>
      <x:c r="I3841" s="3"/>
      <x:c r="J3841" s="3"/>
      <x:c r="K3841" s="3"/>
      <x:c r="L3841" s="3"/>
    </x:row>
    <x:row r="3842" ht="22" customHeight="1">
      <x:c r="A3842" s="3"/>
      <x:c r="B3842" s="3"/>
      <x:c r="C3842" s="3"/>
      <x:c r="D3842" s="3"/>
      <x:c r="E3842" s="3"/>
      <x:c r="F3842" s="3"/>
      <x:c r="G3842" s="3"/>
      <x:c r="H3842" s="3"/>
      <x:c r="I3842" s="3"/>
      <x:c r="J3842" s="3"/>
      <x:c r="K3842" s="3"/>
      <x:c r="L3842" s="3"/>
    </x:row>
    <x:row r="3843" ht="22" customHeight="1">
      <x:c r="A3843" s="3"/>
      <x:c r="B3843" s="3"/>
      <x:c r="C3843" s="3"/>
      <x:c r="D3843" s="3"/>
      <x:c r="E3843" s="3"/>
      <x:c r="F3843" s="3"/>
      <x:c r="G3843" s="3"/>
      <x:c r="H3843" s="3"/>
      <x:c r="I3843" s="3"/>
      <x:c r="J3843" s="3"/>
      <x:c r="K3843" s="3"/>
      <x:c r="L3843" s="3"/>
    </x:row>
    <x:row r="3844" ht="22" customHeight="1">
      <x:c r="A3844" s="3"/>
      <x:c r="B3844" s="3"/>
      <x:c r="C3844" s="3"/>
      <x:c r="D3844" s="3"/>
      <x:c r="E3844" s="3"/>
      <x:c r="F3844" s="3"/>
      <x:c r="G3844" s="3"/>
      <x:c r="H3844" s="3"/>
      <x:c r="I3844" s="3"/>
      <x:c r="J3844" s="3"/>
      <x:c r="K3844" s="3"/>
      <x:c r="L3844" s="3"/>
    </x:row>
    <x:row r="3845" ht="22" customHeight="1">
      <x:c r="A3845" s="3"/>
      <x:c r="B3845" s="3"/>
      <x:c r="C3845" s="3"/>
      <x:c r="D3845" s="3"/>
      <x:c r="E3845" s="3"/>
      <x:c r="F3845" s="3"/>
      <x:c r="G3845" s="3"/>
      <x:c r="H3845" s="3"/>
      <x:c r="I3845" s="3"/>
      <x:c r="J3845" s="3"/>
      <x:c r="K3845" s="3"/>
      <x:c r="L3845" s="3"/>
    </x:row>
  </x:sheetData>
  <x:pageMargins left="0.7" right="0.7" top="0.75" bottom="0.75" header="0.3" footer="0.3"/>
  <x:drawing xmlns:r="http://schemas.openxmlformats.org/officeDocument/2006/relationships" r:id="Ra3f022f9b963465d"/>
  <x:tableParts count="1">
    <x:tablePart xmlns:r="http://schemas.openxmlformats.org/officeDocument/2006/relationships" r:id="R07d0da1f76914d9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24" topLeftCell="A25" activePane="bottomLeft" state="frozen"/>
    </x:sheetView>
  </x:sheetViews>
  <x:sheetFormatPr defaultRowHeight="15"/>
  <x:cols>
    <x:col min="1" max="1" width="3" hidden="0" customWidth="1"/>
    <x:col min="2" max="2" width="14" hidden="0" customWidth="1"/>
    <x:col min="3" max="3" width="14" hidden="0" customWidth="1"/>
    <x:col min="4" max="4" width="14" hidden="0" customWidth="1"/>
    <x:col min="5" max="5" width="19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  <x:col min="11" max="11" width="14" hidden="0" customWidth="1"/>
    <x:col min="12" max="12" width="14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3"/>
      <x:c r="B2" s="4" t="str">
        <x:v>RETAIL / SIGNAL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7"/>
      <x:c r="N2" s="47"/>
      <x:c r="O2" s="47"/>
    </x:row>
    <x:row r="3" ht="34" customHeight="1">
      <x:c r="A3" s="3"/>
      <x:c r="B3" s="5" t="str">
        <x:v>Quién compra y quién vuelve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48"/>
      <x:c r="N3" s="48"/>
      <x:c r="O3" s="48"/>
    </x:row>
    <x:row r="4" ht="22" customHeight="1">
      <x:c r="A4" s="3"/>
      <x:c r="B4" s="7" t="str">
        <x:v>Periodo completo. UNKNOWN excluido del conteo y de esta tabla.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50"/>
      <x:c r="N4" s="50"/>
      <x:c r="O4" s="50"/>
    </x:row>
    <x:row r="5" ht="2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22" customHeight="1">
      <x:c r="A7" s="3"/>
      <x:c r="B7" s="3"/>
      <x:c r="C7" s="3"/>
      <x:c r="D7" s="3"/>
      <x:c r="E7" s="3"/>
      <x:c r="F7" s="3"/>
      <x:c r="G7" s="3"/>
      <x:c r="H7" s="3"/>
      <x:c r="I7" s="3"/>
      <x:c r="J7" s="3" t="str">
        <x:v>Clientes compradores</x:v>
      </x:c>
      <x:c r="K7" s="3" t="n">
        <x:v>4334</x:v>
      </x:c>
      <x:c r="L7" s="3"/>
    </x:row>
    <x:row r="8" ht="22" customHeight="1">
      <x:c r="A8" s="3"/>
      <x:c r="B8" s="3"/>
      <x:c r="C8" s="3"/>
      <x:c r="D8" s="3"/>
      <x:c r="E8" s="3"/>
      <x:c r="F8" s="3"/>
      <x:c r="G8" s="3"/>
      <x:c r="H8" s="3"/>
      <x:c r="I8" s="3"/>
      <x:c r="J8" s="3" t="str">
        <x:v>Recurrentes</x:v>
      </x:c>
      <x:c r="K8" s="3" t="n">
        <x:v>2829</x:v>
      </x:c>
      <x:c r="L8" s="3"/>
    </x:row>
    <x:row r="9" ht="22" customHeight="1">
      <x:c r="A9" s="3"/>
      <x:c r="B9" s="3"/>
      <x:c r="C9" s="3"/>
      <x:c r="D9" s="3"/>
      <x:c r="E9" s="3"/>
      <x:c r="F9" s="3"/>
      <x:c r="G9" s="3"/>
      <x:c r="H9" s="3"/>
      <x:c r="I9" s="3"/>
      <x:c r="J9" s="3" t="str">
        <x:v>Una compra</x:v>
      </x:c>
      <x:c r="K9" s="3" t="n">
        <x:v>1505</x:v>
      </x:c>
      <x:c r="L9" s="3"/>
    </x:row>
    <x:row r="10" ht="22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 t="str">
        <x:v>Recurrencia</x:v>
      </x:c>
      <x:c r="K10" s="15" t="n">
        <x:f>K8/K7</x:f>
        <x:v>0.6527457314259345</x:v>
      </x:c>
      <x:c r="L10" s="3"/>
    </x:row>
    <x:row r="11" ht="22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 t="str">
        <x:v>Cobertura del bruto</x:v>
      </x:c>
      <x:c r="K11" s="15" t="n">
        <x:f>8761066.653/10271433.063</x:f>
        <x:v>0.8529546558171444</x:v>
      </x:c>
      <x:c r="L11" s="3"/>
    </x:row>
    <x:row r="12" ht="22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22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22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30" customHeight="1">
      <x:c r="A24" s="3"/>
      <x:c r="B24" s="12" t="str">
        <x:v>Cliente</x:v>
      </x:c>
      <x:c r="C24" s="12" t="str">
        <x:v>Pedidos</x:v>
      </x:c>
      <x:c r="D24" s="12" t="str">
        <x:v>Última compra</x:v>
      </x:c>
      <x:c r="E24" s="12" t="str">
        <x:v>Segmento</x:v>
      </x:c>
      <x:c r="F24" s="12" t="str">
        <x:v>Bruto GBP</x:v>
      </x:c>
      <x:c r="G24" s="12" t="str">
        <x:v>Abonos GBP</x:v>
      </x:c>
      <x:c r="H24" s="12" t="str">
        <x:v>Neto GBP</x:v>
      </x:c>
      <x:c r="I24" s="12" t="str">
        <x:v>Ticket bruto</x:v>
      </x:c>
      <x:c r="J24" s="3"/>
      <x:c r="K24" s="3"/>
      <x:c r="L24" s="3"/>
    </x:row>
    <x:row r="25" ht="22" customHeight="1">
      <x:c r="A25" s="3"/>
      <x:c r="B25" s="3" t="str">
        <x:v>14646</x:v>
      </x:c>
      <x:c r="C25" s="3" t="n">
        <x:v>72</x:v>
      </x:c>
      <x:c r="D25" s="51" t="n">
        <x:v>40885</x:v>
      </x:c>
      <x:c r="E25" s="3" t="str">
        <x:v>Recurrente</x:v>
      </x:c>
      <x:c r="F25" s="13" t="n">
        <x:v>279138.02</x:v>
      </x:c>
      <x:c r="G25" s="13" t="n">
        <x:v>360</x:v>
      </x:c>
      <x:c r="H25" s="13" t="n">
        <x:f>F25-G25</x:f>
        <x:v>278778.02</x:v>
      </x:c>
      <x:c r="I25" s="13" t="n">
        <x:f>IF(C25=0,"n.a.",F25/C25)</x:f>
        <x:v>3876.9169444444447</x:v>
      </x:c>
      <x:c r="J25" s="3"/>
      <x:c r="K25" s="3"/>
      <x:c r="L25" s="3"/>
    </x:row>
    <x:row r="26" ht="22" customHeight="1">
      <x:c r="A26" s="3"/>
      <x:c r="B26" s="3" t="str">
        <x:v>18102</x:v>
      </x:c>
      <x:c r="C26" s="3" t="n">
        <x:v>60</x:v>
      </x:c>
      <x:c r="D26" s="51" t="n">
        <x:v>40886</x:v>
      </x:c>
      <x:c r="E26" s="3" t="str">
        <x:v>Recurrente</x:v>
      </x:c>
      <x:c r="F26" s="13" t="n">
        <x:v>259657.3</x:v>
      </x:c>
      <x:c r="G26" s="13" t="n">
        <x:v>0</x:v>
      </x:c>
      <x:c r="H26" s="13" t="n">
        <x:f>F26-G26</x:f>
        <x:v>259657.3</x:v>
      </x:c>
      <x:c r="I26" s="13" t="n">
        <x:f>IF(C26=0,"n.a.",F26/C26)</x:f>
        <x:v>4327.621666666667</x:v>
      </x:c>
      <x:c r="J26" s="3"/>
      <x:c r="K26" s="3"/>
      <x:c r="L26" s="3"/>
    </x:row>
    <x:row r="27" ht="22" customHeight="1">
      <x:c r="A27" s="3"/>
      <x:c r="B27" s="3" t="str">
        <x:v>17450</x:v>
      </x:c>
      <x:c r="C27" s="3" t="n">
        <x:v>46</x:v>
      </x:c>
      <x:c r="D27" s="51" t="n">
        <x:v>40878</x:v>
      </x:c>
      <x:c r="E27" s="3" t="str">
        <x:v>Recurrente</x:v>
      </x:c>
      <x:c r="F27" s="13" t="n">
        <x:v>194550.79</x:v>
      </x:c>
      <x:c r="G27" s="13" t="n">
        <x:v>4815.26</x:v>
      </x:c>
      <x:c r="H27" s="13" t="n">
        <x:f>F27-G27</x:f>
        <x:v>189735.53</x:v>
      </x:c>
      <x:c r="I27" s="13" t="n">
        <x:f>IF(C27=0,"n.a.",F27/C27)</x:f>
        <x:v>4229.365</x:v>
      </x:c>
      <x:c r="J27" s="3"/>
      <x:c r="K27" s="3"/>
      <x:c r="L27" s="3"/>
    </x:row>
    <x:row r="28" ht="22" customHeight="1">
      <x:c r="A28" s="3"/>
      <x:c r="B28" s="3" t="str">
        <x:v>14911</x:v>
      </x:c>
      <x:c r="C28" s="3" t="n">
        <x:v>198</x:v>
      </x:c>
      <x:c r="D28" s="51" t="n">
        <x:v>40885</x:v>
      </x:c>
      <x:c r="E28" s="3" t="str">
        <x:v>Recurrente</x:v>
      </x:c>
      <x:c r="F28" s="13" t="n">
        <x:v>136275.72</x:v>
      </x:c>
      <x:c r="G28" s="13" t="n">
        <x:v>7393.59</x:v>
      </x:c>
      <x:c r="H28" s="13" t="n">
        <x:f>F28-G28</x:f>
        <x:v>128882.13</x:v>
      </x:c>
      <x:c r="I28" s="13" t="n">
        <x:f>IF(C28=0,"n.a.",F28/C28)</x:f>
        <x:v>688.2612121212121</x:v>
      </x:c>
      <x:c r="J28" s="3"/>
      <x:c r="K28" s="3"/>
      <x:c r="L28" s="3"/>
    </x:row>
    <x:row r="29" ht="22" customHeight="1">
      <x:c r="A29" s="3"/>
      <x:c r="B29" s="3" t="str">
        <x:v>12415</x:v>
      </x:c>
      <x:c r="C29" s="3" t="n">
        <x:v>20</x:v>
      </x:c>
      <x:c r="D29" s="51" t="n">
        <x:v>40862</x:v>
      </x:c>
      <x:c r="E29" s="3" t="str">
        <x:v>Recurrente</x:v>
      </x:c>
      <x:c r="F29" s="13" t="n">
        <x:v>124564.53</x:v>
      </x:c>
      <x:c r="G29" s="13" t="n">
        <x:v>926.35</x:v>
      </x:c>
      <x:c r="H29" s="13" t="n">
        <x:f>F29-G29</x:f>
        <x:v>123638.18</x:v>
      </x:c>
      <x:c r="I29" s="13" t="n">
        <x:f>IF(C29=0,"n.a.",F29/C29)</x:f>
        <x:v>6228.2265</x:v>
      </x:c>
      <x:c r="J29" s="3"/>
      <x:c r="K29" s="3"/>
      <x:c r="L29" s="3"/>
    </x:row>
    <x:row r="30" ht="22" customHeight="1">
      <x:c r="A30" s="3"/>
      <x:c r="B30" s="3" t="str">
        <x:v>14156</x:v>
      </x:c>
      <x:c r="C30" s="3" t="n">
        <x:v>54</x:v>
      </x:c>
      <x:c r="D30" s="51" t="n">
        <x:v>40877</x:v>
      </x:c>
      <x:c r="E30" s="3" t="str">
        <x:v>Recurrente</x:v>
      </x:c>
      <x:c r="F30" s="13" t="n">
        <x:v>116729.63</x:v>
      </x:c>
      <x:c r="G30" s="13" t="n">
        <x:v>2874.31</x:v>
      </x:c>
      <x:c r="H30" s="13" t="n">
        <x:f>F30-G30</x:f>
        <x:v>113855.32</x:v>
      </x:c>
      <x:c r="I30" s="13" t="n">
        <x:f>IF(C30=0,"n.a.",F30/C30)</x:f>
        <x:v>2161.659814814815</x:v>
      </x:c>
      <x:c r="J30" s="3"/>
      <x:c r="K30" s="3"/>
      <x:c r="L30" s="3"/>
    </x:row>
    <x:row r="31" ht="22" customHeight="1">
      <x:c r="A31" s="3"/>
      <x:c r="B31" s="3" t="str">
        <x:v>17511</x:v>
      </x:c>
      <x:c r="C31" s="3" t="n">
        <x:v>31</x:v>
      </x:c>
      <x:c r="D31" s="51" t="n">
        <x:v>40884</x:v>
      </x:c>
      <x:c r="E31" s="3" t="str">
        <x:v>Recurrente</x:v>
      </x:c>
      <x:c r="F31" s="13" t="n">
        <x:v>91062.38</x:v>
      </x:c>
      <x:c r="G31" s="13" t="n">
        <x:v>2924.18</x:v>
      </x:c>
      <x:c r="H31" s="13" t="n">
        <x:f>F31-G31</x:f>
        <x:v>88138.20000000001</x:v>
      </x:c>
      <x:c r="I31" s="13" t="n">
        <x:f>IF(C31=0,"n.a.",F31/C31)</x:f>
        <x:v>2937.496129032258</x:v>
      </x:c>
      <x:c r="J31" s="3"/>
      <x:c r="K31" s="3"/>
      <x:c r="L31" s="3"/>
    </x:row>
    <x:row r="32" ht="22" customHeight="1">
      <x:c r="A32" s="3"/>
      <x:c r="B32" s="3" t="str">
        <x:v>16684</x:v>
      </x:c>
      <x:c r="C32" s="3" t="n">
        <x:v>28</x:v>
      </x:c>
      <x:c r="D32" s="51" t="n">
        <x:v>40882</x:v>
      </x:c>
      <x:c r="E32" s="3" t="str">
        <x:v>Recurrente</x:v>
      </x:c>
      <x:c r="F32" s="13" t="n">
        <x:v>66653.56</x:v>
      </x:c>
      <x:c r="G32" s="13" t="n">
        <x:v>733.44</x:v>
      </x:c>
      <x:c r="H32" s="13" t="n">
        <x:f>F32-G32</x:f>
        <x:v>65920.12</x:v>
      </x:c>
      <x:c r="I32" s="13" t="n">
        <x:f>IF(C32=0,"n.a.",F32/C32)</x:f>
        <x:v>2380.4842857142858</x:v>
      </x:c>
      <x:c r="J32" s="3"/>
      <x:c r="K32" s="3"/>
      <x:c r="L32" s="3"/>
    </x:row>
    <x:row r="33" ht="22" customHeight="1">
      <x:c r="A33" s="3"/>
      <x:c r="B33" s="3" t="str">
        <x:v>13694</x:v>
      </x:c>
      <x:c r="C33" s="3" t="n">
        <x:v>50</x:v>
      </x:c>
      <x:c r="D33" s="51" t="n">
        <x:v>40883</x:v>
      </x:c>
      <x:c r="E33" s="3" t="str">
        <x:v>Recurrente</x:v>
      </x:c>
      <x:c r="F33" s="13" t="n">
        <x:v>65039.62</x:v>
      </x:c>
      <x:c r="G33" s="13" t="n">
        <x:v>2115.52</x:v>
      </x:c>
      <x:c r="H33" s="13" t="n">
        <x:f>F33-G33</x:f>
        <x:v>62924.100000000006</x:v>
      </x:c>
      <x:c r="I33" s="13" t="n">
        <x:f>IF(C33=0,"n.a.",F33/C33)</x:f>
        <x:v>1300.7924</x:v>
      </x:c>
      <x:c r="J33" s="3"/>
      <x:c r="K33" s="3"/>
      <x:c r="L33" s="3"/>
    </x:row>
    <x:row r="34" ht="22" customHeight="1">
      <x:c r="A34" s="3"/>
      <x:c r="B34" s="3" t="str">
        <x:v>15311</x:v>
      </x:c>
      <x:c r="C34" s="3" t="n">
        <x:v>91</x:v>
      </x:c>
      <x:c r="D34" s="51" t="n">
        <x:v>40886</x:v>
      </x:c>
      <x:c r="E34" s="3" t="str">
        <x:v>Recurrente</x:v>
      </x:c>
      <x:c r="F34" s="13" t="n">
        <x:v>60767.9</x:v>
      </x:c>
      <x:c r="G34" s="13" t="n">
        <x:v>1348.56</x:v>
      </x:c>
      <x:c r="H34" s="13" t="n">
        <x:f>F34-G34</x:f>
        <x:v>59419.340000000004</x:v>
      </x:c>
      <x:c r="I34" s="13" t="n">
        <x:f>IF(C34=0,"n.a.",F34/C34)</x:f>
        <x:v>667.7791208791209</x:v>
      </x:c>
      <x:c r="J34" s="3"/>
      <x:c r="K34" s="3"/>
      <x:c r="L34" s="3"/>
    </x:row>
    <x:row r="35" ht="22" customHeight="1">
      <x:c r="A35" s="3"/>
      <x:c r="B35" s="3" t="str">
        <x:v>16029</x:v>
      </x:c>
      <x:c r="C35" s="3" t="n">
        <x:v>62</x:v>
      </x:c>
      <x:c r="D35" s="51" t="n">
        <x:v>40848</x:v>
      </x:c>
      <x:c r="E35" s="3" t="str">
        <x:v>Recurrente</x:v>
      </x:c>
      <x:c r="F35" s="13" t="n">
        <x:v>72882.09</x:v>
      </x:c>
      <x:c r="G35" s="13" t="n">
        <x:v>14688.24</x:v>
      </x:c>
      <x:c r="H35" s="13" t="n">
        <x:f>F35-G35</x:f>
        <x:v>58193.85</x:v>
      </x:c>
      <x:c r="I35" s="13" t="n">
        <x:f>IF(C35=0,"n.a.",F35/C35)</x:f>
        <x:v>1175.5175806451612</x:v>
      </x:c>
      <x:c r="J35" s="3"/>
      <x:c r="K35" s="3"/>
      <x:c r="L35" s="3"/>
    </x:row>
    <x:row r="36" ht="22" customHeight="1">
      <x:c r="A36" s="3"/>
      <x:c r="B36" s="3" t="str">
        <x:v>13089</x:v>
      </x:c>
      <x:c r="C36" s="3" t="n">
        <x:v>97</x:v>
      </x:c>
      <x:c r="D36" s="51" t="n">
        <x:v>40884</x:v>
      </x:c>
      <x:c r="E36" s="3" t="str">
        <x:v>Recurrente</x:v>
      </x:c>
      <x:c r="F36" s="13" t="n">
        <x:v>58825.83</x:v>
      </x:c>
      <x:c r="G36" s="13" t="n">
        <x:v>1439.95</x:v>
      </x:c>
      <x:c r="H36" s="13" t="n">
        <x:f>F36-G36</x:f>
        <x:v>57385.880000000005</x:v>
      </x:c>
      <x:c r="I36" s="13" t="n">
        <x:f>IF(C36=0,"n.a.",F36/C36)</x:f>
        <x:v>606.4518556701031</x:v>
      </x:c>
      <x:c r="J36" s="3"/>
      <x:c r="K36" s="3"/>
      <x:c r="L36" s="3"/>
    </x:row>
    <x:row r="37" ht="22" customHeight="1">
      <x:c r="A37" s="3"/>
      <x:c r="B37" s="3" t="str">
        <x:v>15061</x:v>
      </x:c>
      <x:c r="C37" s="3" t="n">
        <x:v>48</x:v>
      </x:c>
      <x:c r="D37" s="51" t="n">
        <x:v>40883</x:v>
      </x:c>
      <x:c r="E37" s="3" t="str">
        <x:v>Recurrente</x:v>
      </x:c>
      <x:c r="F37" s="13" t="n">
        <x:v>54534.14</x:v>
      </x:c>
      <x:c r="G37" s="13" t="n">
        <x:v>283.8</x:v>
      </x:c>
      <x:c r="H37" s="13" t="n">
        <x:f>F37-G37</x:f>
        <x:v>54250.34</x:v>
      </x:c>
      <x:c r="I37" s="13" t="n">
        <x:f>IF(C37=0,"n.a.",F37/C37)</x:f>
        <x:v>1136.1279166666666</x:v>
      </x:c>
      <x:c r="J37" s="3"/>
      <x:c r="K37" s="3"/>
      <x:c r="L37" s="3"/>
    </x:row>
    <x:row r="38" ht="22" customHeight="1">
      <x:c r="A38" s="3"/>
      <x:c r="B38" s="3" t="str">
        <x:v>14096</x:v>
      </x:c>
      <x:c r="C38" s="3" t="n">
        <x:v>17</x:v>
      </x:c>
      <x:c r="D38" s="51" t="n">
        <x:v>40882</x:v>
      </x:c>
      <x:c r="E38" s="3" t="str">
        <x:v>Recurrente</x:v>
      </x:c>
      <x:c r="F38" s="13" t="n">
        <x:v>53258.43</x:v>
      </x:c>
      <x:c r="G38" s="13" t="n">
        <x:v>0</x:v>
      </x:c>
      <x:c r="H38" s="13" t="n">
        <x:f>F38-G38</x:f>
        <x:v>53258.43</x:v>
      </x:c>
      <x:c r="I38" s="13" t="n">
        <x:f>IF(C38=0,"n.a.",F38/C38)</x:f>
        <x:v>3132.8488235294117</x:v>
      </x:c>
      <x:c r="J38" s="3"/>
      <x:c r="K38" s="3"/>
      <x:c r="L38" s="3"/>
    </x:row>
    <x:row r="39" ht="22" customHeight="1">
      <x:c r="A39" s="3"/>
      <x:c r="B39" s="3" t="str">
        <x:v>17949</x:v>
      </x:c>
      <x:c r="C39" s="3" t="n">
        <x:v>44</x:v>
      </x:c>
      <x:c r="D39" s="51" t="n">
        <x:v>40885</x:v>
      </x:c>
      <x:c r="E39" s="3" t="str">
        <x:v>Recurrente</x:v>
      </x:c>
      <x:c r="F39" s="13" t="n">
        <x:v>58030.48</x:v>
      </x:c>
      <x:c r="G39" s="13" t="n">
        <x:v>4814.74</x:v>
      </x:c>
      <x:c r="H39" s="13" t="n">
        <x:f>F39-G39</x:f>
        <x:v>53215.740000000005</x:v>
      </x:c>
      <x:c r="I39" s="13" t="n">
        <x:f>IF(C39=0,"n.a.",F39/C39)</x:f>
        <x:v>1318.8745454545456</x:v>
      </x:c>
      <x:c r="J39" s="3"/>
      <x:c r="K39" s="3"/>
      <x:c r="L39" s="3"/>
    </x:row>
    <x:row r="40" ht="22" customHeight="1">
      <x:c r="A40" s="3"/>
      <x:c r="B40" s="3" t="str">
        <x:v>15769</x:v>
      </x:c>
      <x:c r="C40" s="3" t="n">
        <x:v>26</x:v>
      </x:c>
      <x:c r="D40" s="51" t="n">
        <x:v>40879</x:v>
      </x:c>
      <x:c r="E40" s="3" t="str">
        <x:v>Recurrente</x:v>
      </x:c>
      <x:c r="F40" s="13" t="n">
        <x:v>56252.72</x:v>
      </x:c>
      <x:c r="G40" s="13" t="n">
        <x:v>4429</x:v>
      </x:c>
      <x:c r="H40" s="13" t="n">
        <x:f>F40-G40</x:f>
        <x:v>51823.72</x:v>
      </x:c>
      <x:c r="I40" s="13" t="n">
        <x:f>IF(C40=0,"n.a.",F40/C40)</x:f>
        <x:v>2163.566153846154</x:v>
      </x:c>
      <x:c r="J40" s="3"/>
      <x:c r="K40" s="3"/>
      <x:c r="L40" s="3"/>
    </x:row>
    <x:row r="41" ht="22" customHeight="1">
      <x:c r="A41" s="3"/>
      <x:c r="B41" s="3" t="str">
        <x:v>14298</x:v>
      </x:c>
      <x:c r="C41" s="3" t="n">
        <x:v>44</x:v>
      </x:c>
      <x:c r="D41" s="51" t="n">
        <x:v>40878</x:v>
      </x:c>
      <x:c r="E41" s="3" t="str">
        <x:v>Recurrente</x:v>
      </x:c>
      <x:c r="F41" s="13" t="n">
        <x:v>51527.3</x:v>
      </x:c>
      <x:c r="G41" s="13" t="n">
        <x:v>664.86</x:v>
      </x:c>
      <x:c r="H41" s="13" t="n">
        <x:f>F41-G41</x:f>
        <x:v>50862.44</x:v>
      </x:c>
      <x:c r="I41" s="13" t="n">
        <x:f>IF(C41=0,"n.a.",F41/C41)</x:f>
        <x:v>1171.075</x:v>
      </x:c>
      <x:c r="J41" s="3"/>
      <x:c r="K41" s="3"/>
      <x:c r="L41" s="3"/>
    </x:row>
    <x:row r="42" ht="22" customHeight="1">
      <x:c r="A42" s="3"/>
      <x:c r="B42" s="3" t="str">
        <x:v>14088</x:v>
      </x:c>
      <x:c r="C42" s="3" t="n">
        <x:v>13</x:v>
      </x:c>
      <x:c r="D42" s="51" t="n">
        <x:v>40876</x:v>
      </x:c>
      <x:c r="E42" s="3" t="str">
        <x:v>Recurrente</x:v>
      </x:c>
      <x:c r="F42" s="13" t="n">
        <x:v>50491.81</x:v>
      </x:c>
      <x:c r="G42" s="13" t="n">
        <x:v>76.32</x:v>
      </x:c>
      <x:c r="H42" s="13" t="n">
        <x:f>F42-G42</x:f>
        <x:v>50415.49</x:v>
      </x:c>
      <x:c r="I42" s="13" t="n">
        <x:f>IF(C42=0,"n.a.",F42/C42)</x:f>
        <x:v>3883.9853846153846</x:v>
      </x:c>
      <x:c r="J42" s="3"/>
      <x:c r="K42" s="3"/>
      <x:c r="L42" s="3"/>
    </x:row>
    <x:row r="43" ht="22" customHeight="1">
      <x:c r="A43" s="3"/>
      <x:c r="B43" s="3" t="str">
        <x:v>17841</x:v>
      </x:c>
      <x:c r="C43" s="3" t="n">
        <x:v>124</x:v>
      </x:c>
      <x:c r="D43" s="51" t="n">
        <x:v>40885</x:v>
      </x:c>
      <x:c r="E43" s="3" t="str">
        <x:v>Recurrente</x:v>
      </x:c>
      <x:c r="F43" s="13" t="n">
        <x:v>40967.72</x:v>
      </x:c>
      <x:c r="G43" s="13" t="n">
        <x:v>634.5</x:v>
      </x:c>
      <x:c r="H43" s="13" t="n">
        <x:f>F43-G43</x:f>
        <x:v>40333.22</x:v>
      </x:c>
      <x:c r="I43" s="13" t="n">
        <x:f>IF(C43=0,"n.a.",F43/C43)</x:f>
        <x:v>330.3848387096774</x:v>
      </x:c>
      <x:c r="J43" s="3"/>
      <x:c r="K43" s="3"/>
      <x:c r="L43" s="3"/>
    </x:row>
    <x:row r="44" ht="22" customHeight="1">
      <x:c r="A44" s="3"/>
      <x:c r="B44" s="3" t="str">
        <x:v>15098</x:v>
      </x:c>
      <x:c r="C44" s="3" t="n">
        <x:v>3</x:v>
      </x:c>
      <x:c r="D44" s="51" t="n">
        <x:v>40704</x:v>
      </x:c>
      <x:c r="E44" s="3" t="str">
        <x:v>Recurrente</x:v>
      </x:c>
      <x:c r="F44" s="13" t="n">
        <x:v>39916.5</x:v>
      </x:c>
      <x:c r="G44" s="13" t="n">
        <x:v>297</x:v>
      </x:c>
      <x:c r="H44" s="13" t="n">
        <x:f>F44-G44</x:f>
        <x:v>39619.5</x:v>
      </x:c>
      <x:c r="I44" s="13" t="n">
        <x:f>IF(C44=0,"n.a.",F44/C44)</x:f>
        <x:v>13305.5</x:v>
      </x:c>
      <x:c r="J44" s="3"/>
      <x:c r="K44" s="3"/>
      <x:c r="L44" s="3"/>
    </x:row>
    <x:row r="45" ht="22" customHeight="1">
      <x:c r="A45" s="3"/>
      <x:c r="B45" s="3" t="str">
        <x:v>13798</x:v>
      </x:c>
      <x:c r="C45" s="3" t="n">
        <x:v>57</x:v>
      </x:c>
      <x:c r="D45" s="51" t="n">
        <x:v>40885</x:v>
      </x:c>
      <x:c r="E45" s="3" t="str">
        <x:v>Recurrente</x:v>
      </x:c>
      <x:c r="F45" s="13" t="n">
        <x:v>37153.85</x:v>
      </x:c>
      <x:c r="G45" s="13" t="n">
        <x:v>802.43</x:v>
      </x:c>
      <x:c r="H45" s="13" t="n">
        <x:f>F45-G45</x:f>
        <x:v>36351.42</x:v>
      </x:c>
      <x:c r="I45" s="13" t="n">
        <x:f>IF(C45=0,"n.a.",F45/C45)</x:f>
        <x:v>651.8219298245614</x:v>
      </x:c>
      <x:c r="J45" s="3"/>
      <x:c r="K45" s="3"/>
      <x:c r="L45" s="3"/>
    </x:row>
    <x:row r="46" ht="22" customHeight="1">
      <x:c r="A46" s="3"/>
      <x:c r="B46" s="3" t="str">
        <x:v>16422</x:v>
      </x:c>
      <x:c r="C46" s="3" t="n">
        <x:v>51</x:v>
      </x:c>
      <x:c r="D46" s="51" t="n">
        <x:v>40869</x:v>
      </x:c>
      <x:c r="E46" s="3" t="str">
        <x:v>Recurrente</x:v>
      </x:c>
      <x:c r="F46" s="13" t="n">
        <x:v>34684.4</x:v>
      </x:c>
      <x:c r="G46" s="13" t="n">
        <x:v>373.4</x:v>
      </x:c>
      <x:c r="H46" s="13" t="n">
        <x:f>F46-G46</x:f>
        <x:v>34311</x:v>
      </x:c>
      <x:c r="I46" s="13" t="n">
        <x:f>IF(C46=0,"n.a.",F46/C46)</x:f>
        <x:v>680.086274509804</x:v>
      </x:c>
      <x:c r="J46" s="3"/>
      <x:c r="K46" s="3"/>
      <x:c r="L46" s="3"/>
    </x:row>
    <x:row r="47" ht="22" customHeight="1">
      <x:c r="A47" s="3"/>
      <x:c r="B47" s="3" t="str">
        <x:v>12931</x:v>
      </x:c>
      <x:c r="C47" s="3" t="n">
        <x:v>15</x:v>
      </x:c>
      <x:c r="D47" s="51" t="n">
        <x:v>40865</x:v>
      </x:c>
      <x:c r="E47" s="3" t="str">
        <x:v>Recurrente</x:v>
      </x:c>
      <x:c r="F47" s="13" t="n">
        <x:v>42055.96</x:v>
      </x:c>
      <x:c r="G47" s="13" t="n">
        <x:v>8511.15</x:v>
      </x:c>
      <x:c r="H47" s="13" t="n">
        <x:f>F47-G47</x:f>
        <x:v>33544.81</x:v>
      </x:c>
      <x:c r="I47" s="13" t="n">
        <x:f>IF(C47=0,"n.a.",F47/C47)</x:f>
        <x:v>2803.730666666667</x:v>
      </x:c>
      <x:c r="J47" s="3"/>
      <x:c r="K47" s="3"/>
      <x:c r="L47" s="3"/>
    </x:row>
    <x:row r="48" ht="22" customHeight="1">
      <x:c r="A48" s="3"/>
      <x:c r="B48" s="3" t="str">
        <x:v>16013</x:v>
      </x:c>
      <x:c r="C48" s="3" t="n">
        <x:v>47</x:v>
      </x:c>
      <x:c r="D48" s="51" t="n">
        <x:v>40883</x:v>
      </x:c>
      <x:c r="E48" s="3" t="str">
        <x:v>Recurrente</x:v>
      </x:c>
      <x:c r="F48" s="13" t="n">
        <x:v>37130.6</x:v>
      </x:c>
      <x:c r="G48" s="13" t="n">
        <x:v>3677.15</x:v>
      </x:c>
      <x:c r="H48" s="13" t="n">
        <x:f>F48-G48</x:f>
        <x:v>33453.45</x:v>
      </x:c>
      <x:c r="I48" s="13" t="n">
        <x:f>IF(C48=0,"n.a.",F48/C48)</x:f>
        <x:v>790.0127659574467</x:v>
      </x:c>
      <x:c r="J48" s="3"/>
      <x:c r="K48" s="3"/>
      <x:c r="L48" s="3"/>
    </x:row>
    <x:row r="49" ht="22" customHeight="1">
      <x:c r="A49" s="3"/>
      <x:c r="B49" s="3" t="str">
        <x:v>15838</x:v>
      </x:c>
      <x:c r="C49" s="3" t="n">
        <x:v>19</x:v>
      </x:c>
      <x:c r="D49" s="51" t="n">
        <x:v>40875</x:v>
      </x:c>
      <x:c r="E49" s="3" t="str">
        <x:v>Recurrente</x:v>
      </x:c>
      <x:c r="F49" s="13" t="n">
        <x:v>33643.08</x:v>
      </x:c>
      <x:c r="G49" s="13" t="n">
        <x:v>280.8</x:v>
      </x:c>
      <x:c r="H49" s="13" t="n">
        <x:f>F49-G49</x:f>
        <x:v>33362.28</x:v>
      </x:c>
      <x:c r="I49" s="13" t="n">
        <x:f>IF(C49=0,"n.a.",F49/C49)</x:f>
        <x:v>1770.6884210526316</x:v>
      </x:c>
      <x:c r="J49" s="3"/>
      <x:c r="K49" s="3"/>
      <x:c r="L49" s="3"/>
    </x:row>
    <x:row r="50" ht="22" customHeight="1">
      <x:c r="A50" s="3"/>
      <x:c r="B50" s="3" t="str">
        <x:v>17389</x:v>
      </x:c>
      <x:c r="C50" s="3" t="n">
        <x:v>34</x:v>
      </x:c>
      <x:c r="D50" s="51" t="n">
        <x:v>40886</x:v>
      </x:c>
      <x:c r="E50" s="3" t="str">
        <x:v>Recurrente</x:v>
      </x:c>
      <x:c r="F50" s="13" t="n">
        <x:v>31833.68</x:v>
      </x:c>
      <x:c r="G50" s="13" t="n">
        <x:v>516.2</x:v>
      </x:c>
      <x:c r="H50" s="13" t="n">
        <x:f>F50-G50</x:f>
        <x:v>31317.48</x:v>
      </x:c>
      <x:c r="I50" s="13" t="n">
        <x:f>IF(C50=0,"n.a.",F50/C50)</x:f>
        <x:v>936.2847058823529</x:v>
      </x:c>
      <x:c r="J50" s="3"/>
      <x:c r="K50" s="3"/>
      <x:c r="L50" s="3"/>
    </x:row>
    <x:row r="51" ht="22" customHeight="1">
      <x:c r="A51" s="3"/>
      <x:c r="B51" s="3" t="str">
        <x:v>12748</x:v>
      </x:c>
      <x:c r="C51" s="3" t="n">
        <x:v>206</x:v>
      </x:c>
      <x:c r="D51" s="51" t="n">
        <x:v>40886</x:v>
      </x:c>
      <x:c r="E51" s="3" t="str">
        <x:v>Recurrente</x:v>
      </x:c>
      <x:c r="F51" s="13" t="n">
        <x:v>32317.32</x:v>
      </x:c>
      <x:c r="G51" s="13" t="n">
        <x:v>1830.79</x:v>
      </x:c>
      <x:c r="H51" s="13" t="n">
        <x:f>F51-G51</x:f>
        <x:v>30486.53</x:v>
      </x:c>
      <x:c r="I51" s="13" t="n">
        <x:f>IF(C51=0,"n.a.",F51/C51)</x:f>
        <x:v>156.8801941747573</x:v>
      </x:c>
      <x:c r="J51" s="3"/>
      <x:c r="K51" s="3"/>
      <x:c r="L51" s="3"/>
    </x:row>
    <x:row r="52" ht="22" customHeight="1">
      <x:c r="A52" s="3"/>
      <x:c r="B52" s="3" t="str">
        <x:v>17404</x:v>
      </x:c>
      <x:c r="C52" s="3" t="n">
        <x:v>13</x:v>
      </x:c>
      <x:c r="D52" s="51" t="n">
        <x:v>40882</x:v>
      </x:c>
      <x:c r="E52" s="3" t="str">
        <x:v>Recurrente</x:v>
      </x:c>
      <x:c r="F52" s="13" t="n">
        <x:v>31781.82</x:v>
      </x:c>
      <x:c r="G52" s="13" t="n">
        <x:v>1606</x:v>
      </x:c>
      <x:c r="H52" s="13" t="n">
        <x:f>F52-G52</x:f>
        <x:v>30175.82</x:v>
      </x:c>
      <x:c r="I52" s="13" t="n">
        <x:f>IF(C52=0,"n.a.",F52/C52)</x:f>
        <x:v>2444.7553846153846</x:v>
      </x:c>
      <x:c r="J52" s="3"/>
      <x:c r="K52" s="3"/>
      <x:c r="L52" s="3"/>
    </x:row>
    <x:row r="53" ht="22" customHeight="1">
      <x:c r="A53" s="3"/>
      <x:c r="B53" s="3" t="str">
        <x:v>13098</x:v>
      </x:c>
      <x:c r="C53" s="3" t="n">
        <x:v>28</x:v>
      </x:c>
      <x:c r="D53" s="51" t="n">
        <x:v>40885</x:v>
      </x:c>
      <x:c r="E53" s="3" t="str">
        <x:v>Recurrente</x:v>
      </x:c>
      <x:c r="F53" s="13" t="n">
        <x:v>28882.44</x:v>
      </x:c>
      <x:c r="G53" s="13" t="n">
        <x:v>223.56</x:v>
      </x:c>
      <x:c r="H53" s="13" t="n">
        <x:f>F53-G53</x:f>
        <x:v>28658.879999999997</x:v>
      </x:c>
      <x:c r="I53" s="13" t="n">
        <x:f>IF(C53=0,"n.a.",F53/C53)</x:f>
        <x:v>1031.5157142857142</x:v>
      </x:c>
      <x:c r="J53" s="3"/>
      <x:c r="K53" s="3"/>
      <x:c r="L53" s="3"/>
    </x:row>
    <x:row r="54" ht="22" customHeight="1">
      <x:c r="A54" s="3"/>
      <x:c r="B54" s="3" t="str">
        <x:v>13081</x:v>
      </x:c>
      <x:c r="C54" s="3" t="n">
        <x:v>11</x:v>
      </x:c>
      <x:c r="D54" s="51" t="n">
        <x:v>40875</x:v>
      </x:c>
      <x:c r="E54" s="3" t="str">
        <x:v>Recurrente</x:v>
      </x:c>
      <x:c r="F54" s="13" t="n">
        <x:v>28337.38</x:v>
      </x:c>
      <x:c r="G54" s="13" t="n">
        <x:v>365.3</x:v>
      </x:c>
      <x:c r="H54" s="13" t="n">
        <x:f>F54-G54</x:f>
        <x:v>27972.08</x:v>
      </x:c>
      <x:c r="I54" s="13" t="n">
        <x:f>IF(C54=0,"n.a.",F54/C54)</x:f>
        <x:v>2576.1254545454544</x:v>
      </x:c>
      <x:c r="J54" s="3"/>
      <x:c r="K54" s="3"/>
      <x:c r="L54" s="3"/>
    </x:row>
    <x:row r="55" ht="22" customHeight="1">
      <x:c r="A55" s="3"/>
      <x:c r="B55" s="3" t="str">
        <x:v>13408</x:v>
      </x:c>
      <x:c r="C55" s="3" t="n">
        <x:v>62</x:v>
      </x:c>
      <x:c r="D55" s="51" t="n">
        <x:v>40885</x:v>
      </x:c>
      <x:c r="E55" s="3" t="str">
        <x:v>Recurrente</x:v>
      </x:c>
      <x:c r="F55" s="13" t="n">
        <x:v>28117.04</x:v>
      </x:c>
      <x:c r="G55" s="13" t="n">
        <x:v>228.66</x:v>
      </x:c>
      <x:c r="H55" s="13" t="n">
        <x:f>F55-G55</x:f>
        <x:v>27888.38</x:v>
      </x:c>
      <x:c r="I55" s="13" t="n">
        <x:f>IF(C55=0,"n.a.",F55/C55)</x:f>
        <x:v>453.5006451612903</x:v>
      </x:c>
      <x:c r="J55" s="3"/>
      <x:c r="K55" s="3"/>
      <x:c r="L55" s="3"/>
    </x:row>
    <x:row r="56" ht="22" customHeight="1">
      <x:c r="A56" s="3"/>
      <x:c r="B56" s="3" t="str">
        <x:v>14680</x:v>
      </x:c>
      <x:c r="C56" s="3" t="n">
        <x:v>16</x:v>
      </x:c>
      <x:c r="D56" s="51" t="n">
        <x:v>40861</x:v>
      </x:c>
      <x:c r="E56" s="3" t="str">
        <x:v>Recurrente</x:v>
      </x:c>
      <x:c r="F56" s="13" t="n">
        <x:v>28754.11</x:v>
      </x:c>
      <x:c r="G56" s="13" t="n">
        <x:v>1821.77</x:v>
      </x:c>
      <x:c r="H56" s="13" t="n">
        <x:f>F56-G56</x:f>
        <x:v>26932.34</x:v>
      </x:c>
      <x:c r="I56" s="13" t="n">
        <x:f>IF(C56=0,"n.a.",F56/C56)</x:f>
        <x:v>1797.131875</x:v>
      </x:c>
      <x:c r="J56" s="3"/>
      <x:c r="K56" s="3"/>
      <x:c r="L56" s="3"/>
    </x:row>
    <x:row r="57" ht="22" customHeight="1">
      <x:c r="A57" s="3"/>
      <x:c r="B57" s="3" t="str">
        <x:v>16333</x:v>
      </x:c>
      <x:c r="C57" s="3" t="n">
        <x:v>22</x:v>
      </x:c>
      <x:c r="D57" s="51" t="n">
        <x:v>40879</x:v>
      </x:c>
      <x:c r="E57" s="3" t="str">
        <x:v>Recurrente</x:v>
      </x:c>
      <x:c r="F57" s="13" t="n">
        <x:v>26626.8</x:v>
      </x:c>
      <x:c r="G57" s="13" t="n">
        <x:v>0</x:v>
      </x:c>
      <x:c r="H57" s="13" t="n">
        <x:f>F57-G57</x:f>
        <x:v>26626.8</x:v>
      </x:c>
      <x:c r="I57" s="13" t="n">
        <x:f>IF(C57=0,"n.a.",F57/C57)</x:f>
        <x:v>1210.3090909090909</x:v>
      </x:c>
      <x:c r="J57" s="3"/>
      <x:c r="K57" s="3"/>
      <x:c r="L57" s="3"/>
    </x:row>
    <x:row r="58" ht="22" customHeight="1">
      <x:c r="A58" s="3"/>
      <x:c r="B58" s="3" t="str">
        <x:v>13777</x:v>
      </x:c>
      <x:c r="C58" s="3" t="n">
        <x:v>33</x:v>
      </x:c>
      <x:c r="D58" s="51" t="n">
        <x:v>40886</x:v>
      </x:c>
      <x:c r="E58" s="3" t="str">
        <x:v>Recurrente</x:v>
      </x:c>
      <x:c r="F58" s="13" t="n">
        <x:v>25977.16</x:v>
      </x:c>
      <x:c r="G58" s="13" t="n">
        <x:v>219.06</x:v>
      </x:c>
      <x:c r="H58" s="13" t="n">
        <x:f>F58-G58</x:f>
        <x:v>25758.1</x:v>
      </x:c>
      <x:c r="I58" s="13" t="n">
        <x:f>IF(C58=0,"n.a.",F58/C58)</x:f>
        <x:v>787.1866666666666</x:v>
      </x:c>
      <x:c r="J58" s="3"/>
      <x:c r="K58" s="3"/>
      <x:c r="L58" s="3"/>
    </x:row>
    <x:row r="59" ht="22" customHeight="1">
      <x:c r="A59" s="3"/>
      <x:c r="B59" s="3" t="str">
        <x:v>17857</x:v>
      </x:c>
      <x:c r="C59" s="3" t="n">
        <x:v>22</x:v>
      </x:c>
      <x:c r="D59" s="51" t="n">
        <x:v>40882</x:v>
      </x:c>
      <x:c r="E59" s="3" t="str">
        <x:v>Recurrente</x:v>
      </x:c>
      <x:c r="F59" s="13" t="n">
        <x:v>25301.54</x:v>
      </x:c>
      <x:c r="G59" s="13" t="n">
        <x:v>115.7</x:v>
      </x:c>
      <x:c r="H59" s="13" t="n">
        <x:f>F59-G59</x:f>
        <x:v>25185.84</x:v>
      </x:c>
      <x:c r="I59" s="13" t="n">
        <x:f>IF(C59=0,"n.a.",F59/C59)</x:f>
        <x:v>1150.07</x:v>
      </x:c>
      <x:c r="J59" s="3"/>
      <x:c r="K59" s="3"/>
      <x:c r="L59" s="3"/>
    </x:row>
    <x:row r="60" ht="22" customHeight="1">
      <x:c r="A60" s="3"/>
      <x:c r="B60" s="3" t="str">
        <x:v>15749</x:v>
      </x:c>
      <x:c r="C60" s="3" t="n">
        <x:v>3</x:v>
      </x:c>
      <x:c r="D60" s="51" t="n">
        <x:v>40651</x:v>
      </x:c>
      <x:c r="E60" s="3" t="str">
        <x:v>Recurrente</x:v>
      </x:c>
      <x:c r="F60" s="13" t="n">
        <x:v>44534.3</x:v>
      </x:c>
      <x:c r="G60" s="13" t="n">
        <x:v>22998.4</x:v>
      </x:c>
      <x:c r="H60" s="13" t="n">
        <x:f>F60-G60</x:f>
        <x:v>21535.9</x:v>
      </x:c>
      <x:c r="I60" s="13" t="n">
        <x:f>IF(C60=0,"n.a.",F60/C60)</x:f>
        <x:v>14844.766666666668</x:v>
      </x:c>
      <x:c r="J60" s="3"/>
      <x:c r="K60" s="3"/>
      <x:c r="L60" s="3"/>
    </x:row>
    <x:row r="61" ht="22" customHeight="1">
      <x:c r="A61" s="3"/>
      <x:c r="B61" s="3" t="str">
        <x:v>16210</x:v>
      </x:c>
      <x:c r="C61" s="3" t="n">
        <x:v>17</x:v>
      </x:c>
      <x:c r="D61" s="51" t="n">
        <x:v>40885</x:v>
      </x:c>
      <x:c r="E61" s="3" t="str">
        <x:v>Recurrente</x:v>
      </x:c>
      <x:c r="F61" s="13" t="n">
        <x:v>21076.3</x:v>
      </x:c>
      <x:c r="G61" s="13" t="n">
        <x:v>0</x:v>
      </x:c>
      <x:c r="H61" s="13" t="n">
        <x:f>F61-G61</x:f>
        <x:v>21076.3</x:v>
      </x:c>
      <x:c r="I61" s="13" t="n">
        <x:f>IF(C61=0,"n.a.",F61/C61)</x:f>
        <x:v>1239.7823529411764</x:v>
      </x:c>
      <x:c r="J61" s="3"/>
      <x:c r="K61" s="3"/>
      <x:c r="L61" s="3"/>
    </x:row>
    <x:row r="62" ht="22" customHeight="1">
      <x:c r="A62" s="3"/>
      <x:c r="B62" s="3" t="str">
        <x:v>12753</x:v>
      </x:c>
      <x:c r="C62" s="3" t="n">
        <x:v>6</x:v>
      </x:c>
      <x:c r="D62" s="51" t="n">
        <x:v>40864</x:v>
      </x:c>
      <x:c r="E62" s="3" t="str">
        <x:v>Recurrente</x:v>
      </x:c>
      <x:c r="F62" s="13" t="n">
        <x:v>21429.39</x:v>
      </x:c>
      <x:c r="G62" s="13" t="n">
        <x:v>405.38</x:v>
      </x:c>
      <x:c r="H62" s="13" t="n">
        <x:f>F62-G62</x:f>
        <x:v>21024.01</x:v>
      </x:c>
      <x:c r="I62" s="13" t="n">
        <x:f>IF(C62=0,"n.a.",F62/C62)</x:f>
        <x:v>3571.565</x:v>
      </x:c>
      <x:c r="J62" s="3"/>
      <x:c r="K62" s="3"/>
      <x:c r="L62" s="3"/>
    </x:row>
    <x:row r="63" ht="22" customHeight="1">
      <x:c r="A63" s="3"/>
      <x:c r="B63" s="3" t="str">
        <x:v>17381</x:v>
      </x:c>
      <x:c r="C63" s="3" t="n">
        <x:v>29</x:v>
      </x:c>
      <x:c r="D63" s="51" t="n">
        <x:v>40878</x:v>
      </x:c>
      <x:c r="E63" s="3" t="str">
        <x:v>Recurrente</x:v>
      </x:c>
      <x:c r="F63" s="13" t="n">
        <x:v>20275.61</x:v>
      </x:c>
      <x:c r="G63" s="13" t="n">
        <x:v>3.18</x:v>
      </x:c>
      <x:c r="H63" s="13" t="n">
        <x:f>F63-G63</x:f>
        <x:v>20272.43</x:v>
      </x:c>
      <x:c r="I63" s="13" t="n">
        <x:f>IF(C63=0,"n.a.",F63/C63)</x:f>
        <x:v>699.1589655172414</x:v>
      </x:c>
      <x:c r="J63" s="3"/>
      <x:c r="K63" s="3"/>
      <x:c r="L63" s="3"/>
    </x:row>
    <x:row r="64" ht="22" customHeight="1">
      <x:c r="A64" s="3"/>
      <x:c r="B64" s="3" t="str">
        <x:v>17675</x:v>
      </x:c>
      <x:c r="C64" s="3" t="n">
        <x:v>31</x:v>
      </x:c>
      <x:c r="D64" s="51" t="n">
        <x:v>40885</x:v>
      </x:c>
      <x:c r="E64" s="3" t="str">
        <x:v>Recurrente</x:v>
      </x:c>
      <x:c r="F64" s="13" t="n">
        <x:v>20374.28</x:v>
      </x:c>
      <x:c r="G64" s="13" t="n">
        <x:v>276.18</x:v>
      </x:c>
      <x:c r="H64" s="13" t="n">
        <x:f>F64-G64</x:f>
        <x:v>20098.1</x:v>
      </x:c>
      <x:c r="I64" s="13" t="n">
        <x:f>IF(C64=0,"n.a.",F64/C64)</x:f>
        <x:v>657.2348387096774</x:v>
      </x:c>
      <x:c r="J64" s="3"/>
      <x:c r="K64" s="3"/>
      <x:c r="L64" s="3"/>
    </x:row>
    <x:row r="65" ht="22" customHeight="1">
      <x:c r="A65" s="3"/>
      <x:c r="B65" s="3" t="str">
        <x:v>15039</x:v>
      </x:c>
      <x:c r="C65" s="3" t="n">
        <x:v>47</x:v>
      </x:c>
      <x:c r="D65" s="51" t="n">
        <x:v>40877</x:v>
      </x:c>
      <x:c r="E65" s="3" t="str">
        <x:v>Recurrente</x:v>
      </x:c>
      <x:c r="F65" s="13" t="n">
        <x:v>19914.44</x:v>
      </x:c>
      <x:c r="G65" s="13" t="n">
        <x:v>128</x:v>
      </x:c>
      <x:c r="H65" s="13" t="n">
        <x:f>F65-G65</x:f>
        <x:v>19786.44</x:v>
      </x:c>
      <x:c r="I65" s="13" t="n">
        <x:f>IF(C65=0,"n.a.",F65/C65)</x:f>
        <x:v>423.7114893617021</x:v>
      </x:c>
      <x:c r="J65" s="3"/>
      <x:c r="K65" s="3"/>
      <x:c r="L65" s="3"/>
    </x:row>
    <x:row r="66" ht="22" customHeight="1">
      <x:c r="A66" s="3"/>
      <x:c r="B66" s="3" t="str">
        <x:v>12731</x:v>
      </x:c>
      <x:c r="C66" s="3" t="n">
        <x:v>12</x:v>
      </x:c>
      <x:c r="D66" s="51" t="n">
        <x:v>40863</x:v>
      </x:c>
      <x:c r="E66" s="3" t="str">
        <x:v>Recurrente</x:v>
      </x:c>
      <x:c r="F66" s="13" t="n">
        <x:v>18751.91</x:v>
      </x:c>
      <x:c r="G66" s="13" t="n">
        <x:v>91.5</x:v>
      </x:c>
      <x:c r="H66" s="13" t="n">
        <x:f>F66-G66</x:f>
        <x:v>18660.41</x:v>
      </x:c>
      <x:c r="I66" s="13" t="n">
        <x:f>IF(C66=0,"n.a.",F66/C66)</x:f>
        <x:v>1562.6591666666666</x:v>
      </x:c>
      <x:c r="J66" s="3"/>
      <x:c r="K66" s="3"/>
      <x:c r="L66" s="3"/>
    </x:row>
    <x:row r="67" ht="22" customHeight="1">
      <x:c r="A67" s="3"/>
      <x:c r="B67" s="3" t="str">
        <x:v>15159</x:v>
      </x:c>
      <x:c r="C67" s="3" t="n">
        <x:v>30</x:v>
      </x:c>
      <x:c r="D67" s="51" t="n">
        <x:v>40885</x:v>
      </x:c>
      <x:c r="E67" s="3" t="str">
        <x:v>Recurrente</x:v>
      </x:c>
      <x:c r="F67" s="13" t="n">
        <x:v>18641.01</x:v>
      </x:c>
      <x:c r="G67" s="13" t="n">
        <x:v>67.33</x:v>
      </x:c>
      <x:c r="H67" s="13" t="n">
        <x:f>F67-G67</x:f>
        <x:v>18573.679999999997</x:v>
      </x:c>
      <x:c r="I67" s="13" t="n">
        <x:f>IF(C67=0,"n.a.",F67/C67)</x:f>
        <x:v>621.367</x:v>
      </x:c>
      <x:c r="J67" s="3"/>
      <x:c r="K67" s="3"/>
      <x:c r="L67" s="3"/>
    </x:row>
    <x:row r="68" ht="22" customHeight="1">
      <x:c r="A68" s="3"/>
      <x:c r="B68" s="3" t="str">
        <x:v>17428</x:v>
      </x:c>
      <x:c r="C68" s="3" t="n">
        <x:v>28</x:v>
      </x:c>
      <x:c r="D68" s="51" t="n">
        <x:v>40886</x:v>
      </x:c>
      <x:c r="E68" s="3" t="str">
        <x:v>Recurrente</x:v>
      </x:c>
      <x:c r="F68" s="13" t="n">
        <x:v>17256.85</x:v>
      </x:c>
      <x:c r="G68" s="13" t="n">
        <x:v>178.4</x:v>
      </x:c>
      <x:c r="H68" s="13" t="n">
        <x:f>F68-G68</x:f>
        <x:v>17078.449999999997</x:v>
      </x:c>
      <x:c r="I68" s="13" t="n">
        <x:f>IF(C68=0,"n.a.",F68/C68)</x:f>
        <x:v>616.3160714285714</x:v>
      </x:c>
      <x:c r="J68" s="3"/>
      <x:c r="K68" s="3"/>
      <x:c r="L68" s="3"/>
    </x:row>
    <x:row r="69" ht="22" customHeight="1">
      <x:c r="A69" s="3"/>
      <x:c r="B69" s="3" t="str">
        <x:v>13881</x:v>
      </x:c>
      <x:c r="C69" s="3" t="n">
        <x:v>20</x:v>
      </x:c>
      <x:c r="D69" s="51" t="n">
        <x:v>40883</x:v>
      </x:c>
      <x:c r="E69" s="3" t="str">
        <x:v>Recurrente</x:v>
      </x:c>
      <x:c r="F69" s="13" t="n">
        <x:v>17159.52</x:v>
      </x:c>
      <x:c r="G69" s="13" t="n">
        <x:v>170</x:v>
      </x:c>
      <x:c r="H69" s="13" t="n">
        <x:f>F69-G69</x:f>
        <x:v>16989.52</x:v>
      </x:c>
      <x:c r="I69" s="13" t="n">
        <x:f>IF(C69=0,"n.a.",F69/C69)</x:f>
        <x:v>857.976</x:v>
      </x:c>
      <x:c r="J69" s="3"/>
      <x:c r="K69" s="3"/>
      <x:c r="L69" s="3"/>
    </x:row>
    <x:row r="70" ht="22" customHeight="1">
      <x:c r="A70" s="3"/>
      <x:c r="B70" s="3" t="str">
        <x:v>13767</x:v>
      </x:c>
      <x:c r="C70" s="3" t="n">
        <x:v>37</x:v>
      </x:c>
      <x:c r="D70" s="51" t="n">
        <x:v>40884</x:v>
      </x:c>
      <x:c r="E70" s="3" t="str">
        <x:v>Recurrente</x:v>
      </x:c>
      <x:c r="F70" s="13" t="n">
        <x:v>17220.36</x:v>
      </x:c>
      <x:c r="G70" s="13" t="n">
        <x:v>274.65</x:v>
      </x:c>
      <x:c r="H70" s="13" t="n">
        <x:f>F70-G70</x:f>
        <x:v>16945.71</x:v>
      </x:c>
      <x:c r="I70" s="13" t="n">
        <x:f>IF(C70=0,"n.a.",F70/C70)</x:f>
        <x:v>465.41513513513513</x:v>
      </x:c>
      <x:c r="J70" s="3"/>
      <x:c r="K70" s="3"/>
      <x:c r="L70" s="3"/>
    </x:row>
    <x:row r="71" ht="22" customHeight="1">
      <x:c r="A71" s="3"/>
      <x:c r="B71" s="3" t="str">
        <x:v>12921</x:v>
      </x:c>
      <x:c r="C71" s="3" t="n">
        <x:v>37</x:v>
      </x:c>
      <x:c r="D71" s="51" t="n">
        <x:v>40877</x:v>
      </x:c>
      <x:c r="E71" s="3" t="str">
        <x:v>Recurrente</x:v>
      </x:c>
      <x:c r="F71" s="13" t="n">
        <x:v>16587.09</x:v>
      </x:c>
      <x:c r="G71" s="13" t="n">
        <x:v>197.35</x:v>
      </x:c>
      <x:c r="H71" s="13" t="n">
        <x:f>F71-G71</x:f>
        <x:v>16389.74</x:v>
      </x:c>
      <x:c r="I71" s="13" t="n">
        <x:f>IF(C71=0,"n.a.",F71/C71)</x:f>
        <x:v>448.29972972972973</x:v>
      </x:c>
      <x:c r="J71" s="3"/>
      <x:c r="K71" s="3"/>
      <x:c r="L71" s="3"/>
    </x:row>
    <x:row r="72" ht="22" customHeight="1">
      <x:c r="A72" s="3"/>
      <x:c r="B72" s="3" t="str">
        <x:v>12471</x:v>
      </x:c>
      <x:c r="C72" s="3" t="n">
        <x:v>27</x:v>
      </x:c>
      <x:c r="D72" s="51" t="n">
        <x:v>40884</x:v>
      </x:c>
      <x:c r="E72" s="3" t="str">
        <x:v>Recurrente</x:v>
      </x:c>
      <x:c r="F72" s="13" t="n">
        <x:v>17424.05</x:v>
      </x:c>
      <x:c r="G72" s="13" t="n">
        <x:v>1065.13</x:v>
      </x:c>
      <x:c r="H72" s="13" t="n">
        <x:f>F72-G72</x:f>
        <x:v>16358.919999999998</x:v>
      </x:c>
      <x:c r="I72" s="13" t="n">
        <x:f>IF(C72=0,"n.a.",F72/C72)</x:f>
        <x:v>645.3351851851852</x:v>
      </x:c>
      <x:c r="J72" s="3"/>
      <x:c r="K72" s="3"/>
      <x:c r="L72" s="3"/>
    </x:row>
    <x:row r="73" ht="22" customHeight="1">
      <x:c r="A73" s="3"/>
      <x:c r="B73" s="3" t="str">
        <x:v>12901</x:v>
      </x:c>
      <x:c r="C73" s="3" t="n">
        <x:v>28</x:v>
      </x:c>
      <x:c r="D73" s="51" t="n">
        <x:v>40878</x:v>
      </x:c>
      <x:c r="E73" s="3" t="str">
        <x:v>Recurrente</x:v>
      </x:c>
      <x:c r="F73" s="13" t="n">
        <x:v>17654.54</x:v>
      </x:c>
      <x:c r="G73" s="13" t="n">
        <x:v>1338.4</x:v>
      </x:c>
      <x:c r="H73" s="13" t="n">
        <x:f>F73-G73</x:f>
        <x:v>16316.140000000001</x:v>
      </x:c>
      <x:c r="I73" s="13" t="n">
        <x:f>IF(C73=0,"n.a.",F73/C73)</x:f>
        <x:v>630.5192857142857</x:v>
      </x:c>
      <x:c r="J73" s="3"/>
      <x:c r="K73" s="3"/>
      <x:c r="L73" s="3"/>
    </x:row>
    <x:row r="74" ht="22" customHeight="1">
      <x:c r="A74" s="3"/>
      <x:c r="B74" s="3" t="str">
        <x:v>12678</x:v>
      </x:c>
      <x:c r="C74" s="3" t="n">
        <x:v>9</x:v>
      </x:c>
      <x:c r="D74" s="51" t="n">
        <x:v>40844</x:v>
      </x:c>
      <x:c r="E74" s="3" t="str">
        <x:v>Recurrente</x:v>
      </x:c>
      <x:c r="F74" s="13" t="n">
        <x:v>16331.46</x:v>
      </x:c>
      <x:c r="G74" s="13" t="n">
        <x:v>40.2</x:v>
      </x:c>
      <x:c r="H74" s="13" t="n">
        <x:f>F74-G74</x:f>
        <x:v>16291.259999999998</x:v>
      </x:c>
      <x:c r="I74" s="13" t="n">
        <x:f>IF(C74=0,"n.a.",F74/C74)</x:f>
        <x:v>1814.6066666666666</x:v>
      </x:c>
      <x:c r="J74" s="3"/>
      <x:c r="K74" s="3"/>
      <x:c r="L74" s="3"/>
    </x:row>
    <x:row r="75" ht="22" customHeight="1">
      <x:c r="A75" s="3"/>
      <x:c r="B75" s="3" t="str">
        <x:v>17677</x:v>
      </x:c>
      <x:c r="C75" s="3" t="n">
        <x:v>30</x:v>
      </x:c>
      <x:c r="D75" s="51" t="n">
        <x:v>40885</x:v>
      </x:c>
      <x:c r="E75" s="3" t="str">
        <x:v>Recurrente</x:v>
      </x:c>
      <x:c r="F75" s="13" t="n">
        <x:v>16363.23</x:v>
      </x:c>
      <x:c r="G75" s="13" t="n">
        <x:v>144.01</x:v>
      </x:c>
      <x:c r="H75" s="13" t="n">
        <x:f>F75-G75</x:f>
        <x:v>16219.22</x:v>
      </x:c>
      <x:c r="I75" s="13" t="n">
        <x:f>IF(C75=0,"n.a.",F75/C75)</x:f>
        <x:v>545.441</x:v>
      </x:c>
      <x:c r="J75" s="3"/>
      <x:c r="K75" s="3"/>
      <x:c r="L75" s="3"/>
    </x:row>
    <x:row r="76" ht="22" customHeight="1">
      <x:c r="A76" s="3"/>
      <x:c r="B76" s="3" t="str">
        <x:v>15856</x:v>
      </x:c>
      <x:c r="C76" s="3" t="n">
        <x:v>27</x:v>
      </x:c>
      <x:c r="D76" s="51" t="n">
        <x:v>40882</x:v>
      </x:c>
      <x:c r="E76" s="3" t="str">
        <x:v>Recurrente</x:v>
      </x:c>
      <x:c r="F76" s="13" t="n">
        <x:v>16386.31</x:v>
      </x:c>
      <x:c r="G76" s="13" t="n">
        <x:v>213.9</x:v>
      </x:c>
      <x:c r="H76" s="13" t="n">
        <x:f>F76-G76</x:f>
        <x:v>16172.410000000002</x:v>
      </x:c>
      <x:c r="I76" s="13" t="n">
        <x:f>IF(C76=0,"n.a.",F76/C76)</x:f>
        <x:v>606.9003703703704</x:v>
      </x:c>
      <x:c r="J76" s="3"/>
      <x:c r="K76" s="3"/>
      <x:c r="L76" s="3"/>
    </x:row>
    <x:row r="77" ht="22" customHeight="1">
      <x:c r="A77" s="3"/>
      <x:c r="B77" s="3" t="str">
        <x:v>15189</x:v>
      </x:c>
      <x:c r="C77" s="3" t="n">
        <x:v>41</x:v>
      </x:c>
      <x:c r="D77" s="51" t="n">
        <x:v>40885</x:v>
      </x:c>
      <x:c r="E77" s="3" t="str">
        <x:v>Recurrente</x:v>
      </x:c>
      <x:c r="F77" s="13" t="n">
        <x:v>16225.39</x:v>
      </x:c>
      <x:c r="G77" s="13" t="n">
        <x:v>423.25</x:v>
      </x:c>
      <x:c r="H77" s="13" t="n">
        <x:f>F77-G77</x:f>
        <x:v>15802.14</x:v>
      </x:c>
      <x:c r="I77" s="13" t="n">
        <x:f>IF(C77=0,"n.a.",F77/C77)</x:f>
        <x:v>395.74121951219513</x:v>
      </x:c>
      <x:c r="J77" s="3"/>
      <x:c r="K77" s="3"/>
      <x:c r="L77" s="3"/>
    </x:row>
    <x:row r="78" ht="22" customHeight="1">
      <x:c r="A78" s="3"/>
      <x:c r="B78" s="3" t="str">
        <x:v>14051</x:v>
      </x:c>
      <x:c r="C78" s="3" t="n">
        <x:v>23</x:v>
      </x:c>
      <x:c r="D78" s="51" t="n">
        <x:v>40886</x:v>
      </x:c>
      <x:c r="E78" s="3" t="str">
        <x:v>Recurrente</x:v>
      </x:c>
      <x:c r="F78" s="13" t="n">
        <x:v>15610.39</x:v>
      </x:c>
      <x:c r="G78" s="13" t="n">
        <x:v>133.05</x:v>
      </x:c>
      <x:c r="H78" s="13" t="n">
        <x:f>F78-G78</x:f>
        <x:v>15477.34</x:v>
      </x:c>
      <x:c r="I78" s="13" t="n">
        <x:f>IF(C78=0,"n.a.",F78/C78)</x:f>
        <x:v>678.7126086956522</x:v>
      </x:c>
      <x:c r="J78" s="3"/>
      <x:c r="K78" s="3"/>
      <x:c r="L78" s="3"/>
    </x:row>
    <x:row r="79" ht="22" customHeight="1">
      <x:c r="A79" s="3"/>
      <x:c r="B79" s="3" t="str">
        <x:v>16839</x:v>
      </x:c>
      <x:c r="C79" s="3" t="n">
        <x:v>34</x:v>
      </x:c>
      <x:c r="D79" s="51" t="n">
        <x:v>40878</x:v>
      </x:c>
      <x:c r="E79" s="3" t="str">
        <x:v>Recurrente</x:v>
      </x:c>
      <x:c r="F79" s="13" t="n">
        <x:v>16594.35</x:v>
      </x:c>
      <x:c r="G79" s="13" t="n">
        <x:v>1232.07</x:v>
      </x:c>
      <x:c r="H79" s="13" t="n">
        <x:f>F79-G79</x:f>
        <x:v>15362.279999999999</x:v>
      </x:c>
      <x:c r="I79" s="13" t="n">
        <x:f>IF(C79=0,"n.a.",F79/C79)</x:f>
        <x:v>488.06911764705876</x:v>
      </x:c>
      <x:c r="J79" s="3"/>
      <x:c r="K79" s="3"/>
      <x:c r="L79" s="3"/>
    </x:row>
    <x:row r="80" ht="22" customHeight="1">
      <x:c r="A80" s="3"/>
      <x:c r="B80" s="3" t="str">
        <x:v>14031</x:v>
      </x:c>
      <x:c r="C80" s="3" t="n">
        <x:v>19</x:v>
      </x:c>
      <x:c r="D80" s="51" t="n">
        <x:v>40879</x:v>
      </x:c>
      <x:c r="E80" s="3" t="str">
        <x:v>Recurrente</x:v>
      </x:c>
      <x:c r="F80" s="13" t="n">
        <x:v>17286.86</x:v>
      </x:c>
      <x:c r="G80" s="13" t="n">
        <x:v>2587.95</x:v>
      </x:c>
      <x:c r="H80" s="13" t="n">
        <x:f>F80-G80</x:f>
        <x:v>14698.91</x:v>
      </x:c>
      <x:c r="I80" s="13" t="n">
        <x:f>IF(C80=0,"n.a.",F80/C80)</x:f>
        <x:v>909.8347368421053</x:v>
      </x:c>
      <x:c r="J80" s="3"/>
      <x:c r="K80" s="3"/>
      <x:c r="L80" s="3"/>
    </x:row>
    <x:row r="81" ht="22" customHeight="1">
      <x:c r="A81" s="3"/>
      <x:c r="B81" s="3" t="str">
        <x:v>15513</x:v>
      </x:c>
      <x:c r="C81" s="3" t="n">
        <x:v>19</x:v>
      </x:c>
      <x:c r="D81" s="51" t="n">
        <x:v>40853</x:v>
      </x:c>
      <x:c r="E81" s="3" t="str">
        <x:v>Recurrente</x:v>
      </x:c>
      <x:c r="F81" s="13" t="n">
        <x:v>14758.22</x:v>
      </x:c>
      <x:c r="G81" s="13" t="n">
        <x:v>238.14</x:v>
      </x:c>
      <x:c r="H81" s="13" t="n">
        <x:f>F81-G81</x:f>
        <x:v>14520.08</x:v>
      </x:c>
      <x:c r="I81" s="13" t="n">
        <x:f>IF(C81=0,"n.a.",F81/C81)</x:f>
        <x:v>776.7484210526316</x:v>
      </x:c>
      <x:c r="J81" s="3"/>
      <x:c r="K81" s="3"/>
      <x:c r="L81" s="3"/>
    </x:row>
    <x:row r="82" ht="22" customHeight="1">
      <x:c r="A82" s="3"/>
      <x:c r="B82" s="3" t="str">
        <x:v>16133</x:v>
      </x:c>
      <x:c r="C82" s="3" t="n">
        <x:v>33</x:v>
      </x:c>
      <x:c r="D82" s="51" t="n">
        <x:v>40883</x:v>
      </x:c>
      <x:c r="E82" s="3" t="str">
        <x:v>Recurrente</x:v>
      </x:c>
      <x:c r="F82" s="13" t="n">
        <x:v>14589.04</x:v>
      </x:c>
      <x:c r="G82" s="13" t="n">
        <x:v>283.38</x:v>
      </x:c>
      <x:c r="H82" s="13" t="n">
        <x:f>F82-G82</x:f>
        <x:v>14305.660000000002</x:v>
      </x:c>
      <x:c r="I82" s="13" t="n">
        <x:f>IF(C82=0,"n.a.",F82/C82)</x:f>
        <x:v>442.09212121212124</x:v>
      </x:c>
      <x:c r="J82" s="3"/>
      <x:c r="K82" s="3"/>
      <x:c r="L82" s="3"/>
    </x:row>
    <x:row r="83" ht="22" customHeight="1">
      <x:c r="A83" s="3"/>
      <x:c r="B83" s="3" t="str">
        <x:v>14866</x:v>
      </x:c>
      <x:c r="C83" s="3" t="n">
        <x:v>11</x:v>
      </x:c>
      <x:c r="D83" s="51" t="n">
        <x:v>40876</x:v>
      </x:c>
      <x:c r="E83" s="3" t="str">
        <x:v>Recurrente</x:v>
      </x:c>
      <x:c r="F83" s="13" t="n">
        <x:v>14353.4</x:v>
      </x:c>
      <x:c r="G83" s="13" t="n">
        <x:v>192.45</x:v>
      </x:c>
      <x:c r="H83" s="13" t="n">
        <x:f>F83-G83</x:f>
        <x:v>14160.949999999999</x:v>
      </x:c>
      <x:c r="I83" s="13" t="n">
        <x:f>IF(C83=0,"n.a.",F83/C83)</x:f>
        <x:v>1304.8545454545454</x:v>
      </x:c>
      <x:c r="J83" s="3"/>
      <x:c r="K83" s="3"/>
      <x:c r="L83" s="3"/>
    </x:row>
    <x:row r="84" ht="22" customHeight="1">
      <x:c r="A84" s="3"/>
      <x:c r="B84" s="3" t="str">
        <x:v>16705</x:v>
      </x:c>
      <x:c r="C84" s="3" t="n">
        <x:v>20</x:v>
      </x:c>
      <x:c r="D84" s="51" t="n">
        <x:v>40886</x:v>
      </x:c>
      <x:c r="E84" s="3" t="str">
        <x:v>Recurrente</x:v>
      </x:c>
      <x:c r="F84" s="13" t="n">
        <x:v>14034.99</x:v>
      </x:c>
      <x:c r="G84" s="13" t="n">
        <x:v>88.86</x:v>
      </x:c>
      <x:c r="H84" s="13" t="n">
        <x:f>F84-G84</x:f>
        <x:v>13946.13</x:v>
      </x:c>
      <x:c r="I84" s="13" t="n">
        <x:f>IF(C84=0,"n.a.",F84/C84)</x:f>
        <x:v>701.7495</x:v>
      </x:c>
      <x:c r="J84" s="3"/>
      <x:c r="K84" s="3"/>
      <x:c r="L84" s="3"/>
    </x:row>
    <x:row r="85" ht="22" customHeight="1">
      <x:c r="A85" s="3"/>
      <x:c r="B85" s="3" t="str">
        <x:v>12433</x:v>
      </x:c>
      <x:c r="C85" s="3" t="n">
        <x:v>7</x:v>
      </x:c>
      <x:c r="D85" s="51" t="n">
        <x:v>40886</x:v>
      </x:c>
      <x:c r="E85" s="3" t="str">
        <x:v>Recurrente</x:v>
      </x:c>
      <x:c r="F85" s="13" t="n">
        <x:v>13375.87</x:v>
      </x:c>
      <x:c r="G85" s="13" t="n">
        <x:v>0</x:v>
      </x:c>
      <x:c r="H85" s="13" t="n">
        <x:f>F85-G85</x:f>
        <x:v>13375.87</x:v>
      </x:c>
      <x:c r="I85" s="13" t="n">
        <x:f>IF(C85=0,"n.a.",F85/C85)</x:f>
        <x:v>1910.8385714285716</x:v>
      </x:c>
      <x:c r="J85" s="3"/>
      <x:c r="K85" s="3"/>
      <x:c r="L85" s="3"/>
    </x:row>
    <x:row r="86" ht="22" customHeight="1">
      <x:c r="A86" s="3"/>
      <x:c r="B86" s="3" t="str">
        <x:v>15498</x:v>
      </x:c>
      <x:c r="C86" s="3" t="n">
        <x:v>27</x:v>
      </x:c>
      <x:c r="D86" s="51" t="n">
        <x:v>40884</x:v>
      </x:c>
      <x:c r="E86" s="3" t="str">
        <x:v>Recurrente</x:v>
      </x:c>
      <x:c r="F86" s="13" t="n">
        <x:v>13316.4</x:v>
      </x:c>
      <x:c r="G86" s="13" t="n">
        <x:v>63.85</x:v>
      </x:c>
      <x:c r="H86" s="13" t="n">
        <x:f>F86-G86</x:f>
        <x:v>13252.55</x:v>
      </x:c>
      <x:c r="I86" s="13" t="n">
        <x:f>IF(C86=0,"n.a.",F86/C86)</x:f>
        <x:v>493.2</x:v>
      </x:c>
      <x:c r="J86" s="3"/>
      <x:c r="K86" s="3"/>
      <x:c r="L86" s="3"/>
    </x:row>
    <x:row r="87" ht="22" customHeight="1">
      <x:c r="A87" s="3"/>
      <x:c r="B87" s="3" t="str">
        <x:v>12477</x:v>
      </x:c>
      <x:c r="C87" s="3" t="n">
        <x:v>6</x:v>
      </x:c>
      <x:c r="D87" s="51" t="n">
        <x:v>40864</x:v>
      </x:c>
      <x:c r="E87" s="3" t="str">
        <x:v>Recurrente</x:v>
      </x:c>
      <x:c r="F87" s="13" t="n">
        <x:v>13219.74</x:v>
      </x:c>
      <x:c r="G87" s="13" t="n">
        <x:v>102.73</x:v>
      </x:c>
      <x:c r="H87" s="13" t="n">
        <x:f>F87-G87</x:f>
        <x:v>13117.01</x:v>
      </x:c>
      <x:c r="I87" s="13" t="n">
        <x:f>IF(C87=0,"n.a.",F87/C87)</x:f>
        <x:v>2203.29</x:v>
      </x:c>
      <x:c r="J87" s="3"/>
      <x:c r="K87" s="3"/>
      <x:c r="L87" s="3"/>
    </x:row>
    <x:row r="88" ht="22" customHeight="1">
      <x:c r="A88" s="3"/>
      <x:c r="B88" s="3" t="str">
        <x:v>17735</x:v>
      </x:c>
      <x:c r="C88" s="3" t="n">
        <x:v>19</x:v>
      </x:c>
      <x:c r="D88" s="51" t="n">
        <x:v>40884</x:v>
      </x:c>
      <x:c r="E88" s="3" t="str">
        <x:v>Recurrente</x:v>
      </x:c>
      <x:c r="F88" s="13" t="n">
        <x:v>13110.02</x:v>
      </x:c>
      <x:c r="G88" s="13" t="n">
        <x:v>0</x:v>
      </x:c>
      <x:c r="H88" s="13" t="n">
        <x:f>F88-G88</x:f>
        <x:v>13110.02</x:v>
      </x:c>
      <x:c r="I88" s="13" t="n">
        <x:f>IF(C88=0,"n.a.",F88/C88)</x:f>
        <x:v>690.001052631579</x:v>
      </x:c>
      <x:c r="J88" s="3"/>
      <x:c r="K88" s="3"/>
      <x:c r="L88" s="3"/>
    </x:row>
    <x:row r="89" ht="22" customHeight="1">
      <x:c r="A89" s="3"/>
      <x:c r="B89" s="3" t="str">
        <x:v>14258</x:v>
      </x:c>
      <x:c r="C89" s="3" t="n">
        <x:v>9</x:v>
      </x:c>
      <x:c r="D89" s="51" t="n">
        <x:v>40877</x:v>
      </x:c>
      <x:c r="E89" s="3" t="str">
        <x:v>Recurrente</x:v>
      </x:c>
      <x:c r="F89" s="13" t="n">
        <x:v>12669.98</x:v>
      </x:c>
      <x:c r="G89" s="13" t="n">
        <x:v>19.9</x:v>
      </x:c>
      <x:c r="H89" s="13" t="n">
        <x:f>F89-G89</x:f>
        <x:v>12650.08</x:v>
      </x:c>
      <x:c r="I89" s="13" t="n">
        <x:f>IF(C89=0,"n.a.",F89/C89)</x:f>
        <x:v>1407.7755555555555</x:v>
      </x:c>
      <x:c r="J89" s="3"/>
      <x:c r="K89" s="3"/>
      <x:c r="L89" s="3"/>
    </x:row>
    <x:row r="90" ht="22" customHeight="1">
      <x:c r="A90" s="3"/>
      <x:c r="B90" s="3" t="str">
        <x:v>15640</x:v>
      </x:c>
      <x:c r="C90" s="3" t="n">
        <x:v>15</x:v>
      </x:c>
      <x:c r="D90" s="51" t="n">
        <x:v>40882</x:v>
      </x:c>
      <x:c r="E90" s="3" t="str">
        <x:v>Recurrente</x:v>
      </x:c>
      <x:c r="F90" s="13" t="n">
        <x:v>12515.66</x:v>
      </x:c>
      <x:c r="G90" s="13" t="n">
        <x:v>82.32</x:v>
      </x:c>
      <x:c r="H90" s="13" t="n">
        <x:f>F90-G90</x:f>
        <x:v>12433.34</x:v>
      </x:c>
      <x:c r="I90" s="13" t="n">
        <x:f>IF(C90=0,"n.a.",F90/C90)</x:f>
        <x:v>834.3773333333334</x:v>
      </x:c>
      <x:c r="J90" s="3"/>
      <x:c r="K90" s="3"/>
      <x:c r="L90" s="3"/>
    </x:row>
    <x:row r="91" ht="22" customHeight="1">
      <x:c r="A91" s="3"/>
      <x:c r="B91" s="3" t="str">
        <x:v>13078</x:v>
      </x:c>
      <x:c r="C91" s="3" t="n">
        <x:v>26</x:v>
      </x:c>
      <x:c r="D91" s="51" t="n">
        <x:v>40883</x:v>
      </x:c>
      <x:c r="E91" s="3" t="str">
        <x:v>Recurrente</x:v>
      </x:c>
      <x:c r="F91" s="13" t="n">
        <x:v>12627.94</x:v>
      </x:c>
      <x:c r="G91" s="13" t="n">
        <x:v>195.66</x:v>
      </x:c>
      <x:c r="H91" s="13" t="n">
        <x:f>F91-G91</x:f>
        <x:v>12432.28</x:v>
      </x:c>
      <x:c r="I91" s="13" t="n">
        <x:f>IF(C91=0,"n.a.",F91/C91)</x:f>
        <x:v>485.69</x:v>
      </x:c>
      <x:c r="J91" s="3"/>
      <x:c r="K91" s="3"/>
      <x:c r="L91" s="3"/>
    </x:row>
    <x:row r="92" ht="22" customHeight="1">
      <x:c r="A92" s="3"/>
      <x:c r="B92" s="3" t="str">
        <x:v>16000</x:v>
      </x:c>
      <x:c r="C92" s="3" t="n">
        <x:v>3</x:v>
      </x:c>
      <x:c r="D92" s="51" t="n">
        <x:v>40884</x:v>
      </x:c>
      <x:c r="E92" s="3" t="str">
        <x:v>Recurrente</x:v>
      </x:c>
      <x:c r="F92" s="13" t="n">
        <x:v>12393.7</x:v>
      </x:c>
      <x:c r="G92" s="13" t="n">
        <x:v>0</x:v>
      </x:c>
      <x:c r="H92" s="13" t="n">
        <x:f>F92-G92</x:f>
        <x:v>12393.7</x:v>
      </x:c>
      <x:c r="I92" s="13" t="n">
        <x:f>IF(C92=0,"n.a.",F92/C92)</x:f>
        <x:v>4131.233333333334</x:v>
      </x:c>
      <x:c r="J92" s="3"/>
      <x:c r="K92" s="3"/>
      <x:c r="L92" s="3"/>
    </x:row>
    <x:row r="93" ht="22" customHeight="1">
      <x:c r="A93" s="3"/>
      <x:c r="B93" s="3" t="str">
        <x:v>12621</x:v>
      </x:c>
      <x:c r="C93" s="3" t="n">
        <x:v>20</x:v>
      </x:c>
      <x:c r="D93" s="51" t="n">
        <x:v>40885</x:v>
      </x:c>
      <x:c r="E93" s="3" t="str">
        <x:v>Recurrente</x:v>
      </x:c>
      <x:c r="F93" s="13" t="n">
        <x:v>12411.67</x:v>
      </x:c>
      <x:c r="G93" s="13" t="n">
        <x:v>77.6</x:v>
      </x:c>
      <x:c r="H93" s="13" t="n">
        <x:f>F93-G93</x:f>
        <x:v>12334.07</x:v>
      </x:c>
      <x:c r="I93" s="13" t="n">
        <x:f>IF(C93=0,"n.a.",F93/C93)</x:f>
        <x:v>620.5835</x:v>
      </x:c>
      <x:c r="J93" s="3"/>
      <x:c r="K93" s="3"/>
      <x:c r="L93" s="3"/>
    </x:row>
    <x:row r="94" ht="22" customHeight="1">
      <x:c r="A94" s="3"/>
      <x:c r="B94" s="3" t="str">
        <x:v>12681</x:v>
      </x:c>
      <x:c r="C94" s="3" t="n">
        <x:v>22</x:v>
      </x:c>
      <x:c r="D94" s="51" t="n">
        <x:v>40872</x:v>
      </x:c>
      <x:c r="E94" s="3" t="str">
        <x:v>Recurrente</x:v>
      </x:c>
      <x:c r="F94" s="13" t="n">
        <x:v>12365.54</x:v>
      </x:c>
      <x:c r="G94" s="13" t="n">
        <x:v>55.95</x:v>
      </x:c>
      <x:c r="H94" s="13" t="n">
        <x:f>F94-G94</x:f>
        <x:v>12309.59</x:v>
      </x:c>
      <x:c r="I94" s="13" t="n">
        <x:f>IF(C94=0,"n.a.",F94/C94)</x:f>
        <x:v>562.07</x:v>
      </x:c>
      <x:c r="J94" s="3"/>
      <x:c r="K94" s="3"/>
      <x:c r="L94" s="3"/>
    </x:row>
    <x:row r="95" ht="22" customHeight="1">
      <x:c r="A95" s="3"/>
      <x:c r="B95" s="3" t="str">
        <x:v>17340</x:v>
      </x:c>
      <x:c r="C95" s="3" t="n">
        <x:v>11</x:v>
      </x:c>
      <x:c r="D95" s="51" t="n">
        <x:v>40857</x:v>
      </x:c>
      <x:c r="E95" s="3" t="str">
        <x:v>Recurrente</x:v>
      </x:c>
      <x:c r="F95" s="13" t="n">
        <x:v>12353.29</x:v>
      </x:c>
      <x:c r="G95" s="13" t="n">
        <x:v>194.99</x:v>
      </x:c>
      <x:c r="H95" s="13" t="n">
        <x:f>F95-G95</x:f>
        <x:v>12158.300000000001</x:v>
      </x:c>
      <x:c r="I95" s="13" t="n">
        <x:f>IF(C95=0,"n.a.",F95/C95)</x:f>
        <x:v>1123.0263636363636</x:v>
      </x:c>
      <x:c r="J95" s="3"/>
      <x:c r="K95" s="3"/>
      <x:c r="L95" s="3"/>
    </x:row>
    <x:row r="96" ht="22" customHeight="1">
      <x:c r="A96" s="3"/>
      <x:c r="B96" s="3" t="str">
        <x:v>12557</x:v>
      </x:c>
      <x:c r="C96" s="3" t="n">
        <x:v>5</x:v>
      </x:c>
      <x:c r="D96" s="51" t="n">
        <x:v>40870</x:v>
      </x:c>
      <x:c r="E96" s="3" t="str">
        <x:v>Recurrente</x:v>
      </x:c>
      <x:c r="F96" s="13" t="n">
        <x:v>11990.96</x:v>
      </x:c>
      <x:c r="G96" s="13" t="n">
        <x:v>0</x:v>
      </x:c>
      <x:c r="H96" s="13" t="n">
        <x:f>F96-G96</x:f>
        <x:v>11990.96</x:v>
      </x:c>
      <x:c r="I96" s="13" t="n">
        <x:f>IF(C96=0,"n.a.",F96/C96)</x:f>
        <x:v>2398.192</x:v>
      </x:c>
      <x:c r="J96" s="3"/>
      <x:c r="K96" s="3"/>
      <x:c r="L96" s="3"/>
    </x:row>
    <x:row r="97" ht="22" customHeight="1">
      <x:c r="A97" s="3"/>
      <x:c r="B97" s="3" t="str">
        <x:v>16525</x:v>
      </x:c>
      <x:c r="C97" s="3" t="n">
        <x:v>26</x:v>
      </x:c>
      <x:c r="D97" s="51" t="n">
        <x:v>40884</x:v>
      </x:c>
      <x:c r="E97" s="3" t="str">
        <x:v>Recurrente</x:v>
      </x:c>
      <x:c r="F97" s="13" t="n">
        <x:v>13027.45</x:v>
      </x:c>
      <x:c r="G97" s="13" t="n">
        <x:v>1131.88</x:v>
      </x:c>
      <x:c r="H97" s="13" t="n">
        <x:f>F97-G97</x:f>
        <x:v>11895.57</x:v>
      </x:c>
      <x:c r="I97" s="13" t="n">
        <x:f>IF(C97=0,"n.a.",F97/C97)</x:f>
        <x:v>501.0557692307693</x:v>
      </x:c>
      <x:c r="J97" s="3"/>
      <x:c r="K97" s="3"/>
      <x:c r="L97" s="3"/>
    </x:row>
    <x:row r="98" ht="22" customHeight="1">
      <x:c r="A98" s="3"/>
      <x:c r="B98" s="3" t="str">
        <x:v>12939</x:v>
      </x:c>
      <x:c r="C98" s="3" t="n">
        <x:v>8</x:v>
      </x:c>
      <x:c r="D98" s="51" t="n">
        <x:v>40822</x:v>
      </x:c>
      <x:c r="E98" s="3" t="str">
        <x:v>Recurrente</x:v>
      </x:c>
      <x:c r="F98" s="13" t="n">
        <x:v>11581.8</x:v>
      </x:c>
      <x:c r="G98" s="13" t="n">
        <x:v>0</x:v>
      </x:c>
      <x:c r="H98" s="13" t="n">
        <x:f>F98-G98</x:f>
        <x:v>11581.8</x:v>
      </x:c>
      <x:c r="I98" s="13" t="n">
        <x:f>IF(C98=0,"n.a.",F98/C98)</x:f>
        <x:v>1447.725</x:v>
      </x:c>
      <x:c r="J98" s="3"/>
      <x:c r="K98" s="3"/>
      <x:c r="L98" s="3"/>
    </x:row>
    <x:row r="99" ht="22" customHeight="1">
      <x:c r="A99" s="3"/>
      <x:c r="B99" s="3" t="str">
        <x:v>14606</x:v>
      </x:c>
      <x:c r="C99" s="3" t="n">
        <x:v>90</x:v>
      </x:c>
      <x:c r="D99" s="51" t="n">
        <x:v>40885</x:v>
      </x:c>
      <x:c r="E99" s="3" t="str">
        <x:v>Recurrente</x:v>
      </x:c>
      <x:c r="F99" s="13" t="n">
        <x:v>12006.65</x:v>
      </x:c>
      <x:c r="G99" s="13" t="n">
        <x:v>439.55</x:v>
      </x:c>
      <x:c r="H99" s="13" t="n">
        <x:f>F99-G99</x:f>
        <x:v>11567.1</x:v>
      </x:c>
      <x:c r="I99" s="13" t="n">
        <x:f>IF(C99=0,"n.a.",F99/C99)</x:f>
        <x:v>133.40722222222223</x:v>
      </x:c>
      <x:c r="J99" s="3"/>
      <x:c r="K99" s="3"/>
      <x:c r="L99" s="3"/>
    </x:row>
    <x:row r="100" ht="22" customHeight="1">
      <x:c r="A100" s="3"/>
      <x:c r="B100" s="3" t="str">
        <x:v>12540</x:v>
      </x:c>
      <x:c r="C100" s="3" t="n">
        <x:v>17</x:v>
      </x:c>
      <x:c r="D100" s="51" t="n">
        <x:v>40867</x:v>
      </x:c>
      <x:c r="E100" s="3" t="str">
        <x:v>Recurrente</x:v>
      </x:c>
      <x:c r="F100" s="13" t="n">
        <x:v>11580.24</x:v>
      </x:c>
      <x:c r="G100" s="13" t="n">
        <x:v>91.2</x:v>
      </x:c>
      <x:c r="H100" s="13" t="n">
        <x:f>F100-G100</x:f>
        <x:v>11489.039999999999</x:v>
      </x:c>
      <x:c r="I100" s="13" t="n">
        <x:f>IF(C100=0,"n.a.",F100/C100)</x:f>
        <x:v>681.1905882352941</x:v>
      </x:c>
      <x:c r="J100" s="3"/>
      <x:c r="K100" s="3"/>
      <x:c r="L100" s="3"/>
    </x:row>
    <x:row r="101" ht="22" customHeight="1">
      <x:c r="A101" s="3"/>
      <x:c r="B101" s="3" t="str">
        <x:v>14194</x:v>
      </x:c>
      <x:c r="C101" s="3" t="n">
        <x:v>21</x:v>
      </x:c>
      <x:c r="D101" s="51" t="n">
        <x:v>40882</x:v>
      </x:c>
      <x:c r="E101" s="3" t="str">
        <x:v>Recurrente</x:v>
      </x:c>
      <x:c r="F101" s="13" t="n">
        <x:v>11349.52</x:v>
      </x:c>
      <x:c r="G101" s="13" t="n">
        <x:v>132.77</x:v>
      </x:c>
      <x:c r="H101" s="13" t="n">
        <x:f>F101-G101</x:f>
        <x:v>11216.75</x:v>
      </x:c>
      <x:c r="I101" s="13" t="n">
        <x:f>IF(C101=0,"n.a.",F101/C101)</x:f>
        <x:v>540.4533333333334</x:v>
      </x:c>
      <x:c r="J101" s="3"/>
      <x:c r="K101" s="3"/>
      <x:c r="L101" s="3"/>
    </x:row>
    <x:row r="102" ht="22" customHeight="1">
      <x:c r="A102" s="3"/>
      <x:c r="B102" s="3" t="str">
        <x:v>15125</x:v>
      </x:c>
      <x:c r="C102" s="3" t="n">
        <x:v>15</x:v>
      </x:c>
      <x:c r="D102" s="51" t="n">
        <x:v>40861</x:v>
      </x:c>
      <x:c r="E102" s="3" t="str">
        <x:v>Recurrente</x:v>
      </x:c>
      <x:c r="F102" s="13" t="n">
        <x:v>11528.48</x:v>
      </x:c>
      <x:c r="G102" s="13" t="n">
        <x:v>411.43</x:v>
      </x:c>
      <x:c r="H102" s="13" t="n">
        <x:f>F102-G102</x:f>
        <x:v>11117.05</x:v>
      </x:c>
      <x:c r="I102" s="13" t="n">
        <x:f>IF(C102=0,"n.a.",F102/C102)</x:f>
        <x:v>768.5653333333333</x:v>
      </x:c>
      <x:c r="J102" s="3"/>
      <x:c r="K102" s="3"/>
      <x:c r="L102" s="3"/>
    </x:row>
    <x:row r="103" ht="22" customHeight="1">
      <x:c r="A103" s="3"/>
      <x:c r="B103" s="3" t="str">
        <x:v>12409</x:v>
      </x:c>
      <x:c r="C103" s="3" t="n">
        <x:v>3</x:v>
      </x:c>
      <x:c r="D103" s="51" t="n">
        <x:v>40808</x:v>
      </x:c>
      <x:c r="E103" s="3" t="str">
        <x:v>Recurrente</x:v>
      </x:c>
      <x:c r="F103" s="13" t="n">
        <x:v>11072.67</x:v>
      </x:c>
      <x:c r="G103" s="13" t="n">
        <x:v>15.74</x:v>
      </x:c>
      <x:c r="H103" s="13" t="n">
        <x:f>F103-G103</x:f>
        <x:v>11056.93</x:v>
      </x:c>
      <x:c r="I103" s="13" t="n">
        <x:f>IF(C103=0,"n.a.",F103/C103)</x:f>
        <x:v>3690.89</x:v>
      </x:c>
      <x:c r="J103" s="3"/>
      <x:c r="K103" s="3"/>
      <x:c r="L103" s="3"/>
    </x:row>
    <x:row r="104" ht="22" customHeight="1">
      <x:c r="A104" s="3"/>
      <x:c r="B104" s="3" t="str">
        <x:v>12682</x:v>
      </x:c>
      <x:c r="C104" s="3" t="n">
        <x:v>31</x:v>
      </x:c>
      <x:c r="D104" s="51" t="n">
        <x:v>40883</x:v>
      </x:c>
      <x:c r="E104" s="3" t="str">
        <x:v>Recurrente</x:v>
      </x:c>
      <x:c r="F104" s="13" t="n">
        <x:v>11028.22</x:v>
      </x:c>
      <x:c r="G104" s="13" t="n">
        <x:v>0</x:v>
      </x:c>
      <x:c r="H104" s="13" t="n">
        <x:f>F104-G104</x:f>
        <x:v>11028.22</x:v>
      </x:c>
      <x:c r="I104" s="13" t="n">
        <x:f>IF(C104=0,"n.a.",F104/C104)</x:f>
        <x:v>355.7490322580645</x:v>
      </x:c>
      <x:c r="J104" s="3"/>
      <x:c r="K104" s="3"/>
      <x:c r="L104" s="3"/>
    </x:row>
    <x:row r="105" ht="22" customHeight="1">
      <x:c r="A105" s="3"/>
      <x:c r="B105" s="3" t="str">
        <x:v>14895</x:v>
      </x:c>
      <x:c r="C105" s="3" t="n">
        <x:v>20</x:v>
      </x:c>
      <x:c r="D105" s="51" t="n">
        <x:v>40879</x:v>
      </x:c>
      <x:c r="E105" s="3" t="str">
        <x:v>Recurrente</x:v>
      </x:c>
      <x:c r="F105" s="13" t="n">
        <x:v>11138.71</x:v>
      </x:c>
      <x:c r="G105" s="13" t="n">
        <x:v>118.45</x:v>
      </x:c>
      <x:c r="H105" s="13" t="n">
        <x:f>F105-G105</x:f>
        <x:v>11020.259999999998</x:v>
      </x:c>
      <x:c r="I105" s="13" t="n">
        <x:f>IF(C105=0,"n.a.",F105/C105)</x:f>
        <x:v>556.9354999999999</x:v>
      </x:c>
      <x:c r="J105" s="3"/>
      <x:c r="K105" s="3"/>
      <x:c r="L105" s="3"/>
    </x:row>
    <x:row r="106" ht="22" customHeight="1">
      <x:c r="A106" s="3"/>
      <x:c r="B106" s="3" t="str">
        <x:v>12971</x:v>
      </x:c>
      <x:c r="C106" s="3" t="n">
        <x:v>86</x:v>
      </x:c>
      <x:c r="D106" s="51" t="n">
        <x:v>40883</x:v>
      </x:c>
      <x:c r="E106" s="3" t="str">
        <x:v>Recurrente</x:v>
      </x:c>
      <x:c r="F106" s="13" t="n">
        <x:v>11189.91</x:v>
      </x:c>
      <x:c r="G106" s="13" t="n">
        <x:v>256.15</x:v>
      </x:c>
      <x:c r="H106" s="13" t="n">
        <x:f>F106-G106</x:f>
        <x:v>10933.76</x:v>
      </x:c>
      <x:c r="I106" s="13" t="n">
        <x:f>IF(C106=0,"n.a.",F106/C106)</x:f>
        <x:v>130.11523255813952</x:v>
      </x:c>
      <x:c r="J106" s="3"/>
      <x:c r="K106" s="3"/>
      <x:c r="L106" s="3"/>
    </x:row>
    <x:row r="107" ht="22" customHeight="1">
      <x:c r="A107" s="3"/>
      <x:c r="B107" s="3" t="str">
        <x:v>13340</x:v>
      </x:c>
      <x:c r="C107" s="3" t="n">
        <x:v>7</x:v>
      </x:c>
      <x:c r="D107" s="51" t="n">
        <x:v>40841</x:v>
      </x:c>
      <x:c r="E107" s="3" t="str">
        <x:v>Recurrente</x:v>
      </x:c>
      <x:c r="F107" s="13" t="n">
        <x:v>10736.48</x:v>
      </x:c>
      <x:c r="G107" s="13" t="n">
        <x:v>0</x:v>
      </x:c>
      <x:c r="H107" s="13" t="n">
        <x:f>F107-G107</x:f>
        <x:v>10736.48</x:v>
      </x:c>
      <x:c r="I107" s="13" t="n">
        <x:f>IF(C107=0,"n.a.",F107/C107)</x:f>
        <x:v>1533.782857142857</x:v>
      </x:c>
      <x:c r="J107" s="3"/>
      <x:c r="K107" s="3"/>
      <x:c r="L107" s="3"/>
    </x:row>
    <x:row r="108" ht="22" customHeight="1">
      <x:c r="A108" s="3"/>
      <x:c r="B108" s="3" t="str">
        <x:v>17581</x:v>
      </x:c>
      <x:c r="C108" s="3" t="n">
        <x:v>25</x:v>
      </x:c>
      <x:c r="D108" s="51" t="n">
        <x:v>40886</x:v>
      </x:c>
      <x:c r="E108" s="3" t="str">
        <x:v>Recurrente</x:v>
      </x:c>
      <x:c r="F108" s="13" t="n">
        <x:v>11045.04</x:v>
      </x:c>
      <x:c r="G108" s="13" t="n">
        <x:v>308.93</x:v>
      </x:c>
      <x:c r="H108" s="13" t="n">
        <x:f>F108-G108</x:f>
        <x:v>10736.11</x:v>
      </x:c>
      <x:c r="I108" s="13" t="n">
        <x:f>IF(C108=0,"n.a.",F108/C108)</x:f>
        <x:v>441.8016</x:v>
      </x:c>
      <x:c r="J108" s="3"/>
      <x:c r="K108" s="3"/>
      <x:c r="L108" s="3"/>
    </x:row>
    <x:row r="109" ht="22" customHeight="1">
      <x:c r="A109" s="3"/>
      <x:c r="B109" s="3" t="str">
        <x:v>13319</x:v>
      </x:c>
      <x:c r="C109" s="3" t="n">
        <x:v>26</x:v>
      </x:c>
      <x:c r="D109" s="51" t="n">
        <x:v>40881</x:v>
      </x:c>
      <x:c r="E109" s="3" t="str">
        <x:v>Recurrente</x:v>
      </x:c>
      <x:c r="F109" s="13" t="n">
        <x:v>10845.55</x:v>
      </x:c>
      <x:c r="G109" s="13" t="n">
        <x:v>181.21</x:v>
      </x:c>
      <x:c r="H109" s="13" t="n">
        <x:f>F109-G109</x:f>
        <x:v>10664.34</x:v>
      </x:c>
      <x:c r="I109" s="13" t="n">
        <x:f>IF(C109=0,"n.a.",F109/C109)</x:f>
        <x:v>417.1365384615384</x:v>
      </x:c>
      <x:c r="J109" s="3"/>
      <x:c r="K109" s="3"/>
      <x:c r="L109" s="3"/>
    </x:row>
    <x:row r="110" ht="22" customHeight="1">
      <x:c r="A110" s="3"/>
      <x:c r="B110" s="3" t="str">
        <x:v>14769</x:v>
      </x:c>
      <x:c r="C110" s="3" t="n">
        <x:v>8</x:v>
      </x:c>
      <x:c r="D110" s="51" t="n">
        <x:v>40884</x:v>
      </x:c>
      <x:c r="E110" s="3" t="str">
        <x:v>Recurrente</x:v>
      </x:c>
      <x:c r="F110" s="13" t="n">
        <x:v>10673.1</x:v>
      </x:c>
      <x:c r="G110" s="13" t="n">
        <x:v>33.15</x:v>
      </x:c>
      <x:c r="H110" s="13" t="n">
        <x:f>F110-G110</x:f>
        <x:v>10639.95</x:v>
      </x:c>
      <x:c r="I110" s="13" t="n">
        <x:f>IF(C110=0,"n.a.",F110/C110)</x:f>
        <x:v>1334.1375</x:v>
      </x:c>
      <x:c r="J110" s="3"/>
      <x:c r="K110" s="3"/>
      <x:c r="L110" s="3"/>
    </x:row>
    <x:row r="111" ht="22" customHeight="1">
      <x:c r="A111" s="3"/>
      <x:c r="B111" s="3" t="str">
        <x:v>17139</x:v>
      </x:c>
      <x:c r="C111" s="3" t="n">
        <x:v>12</x:v>
      </x:c>
      <x:c r="D111" s="51" t="n">
        <x:v>40871</x:v>
      </x:c>
      <x:c r="E111" s="3" t="str">
        <x:v>Recurrente</x:v>
      </x:c>
      <x:c r="F111" s="13" t="n">
        <x:v>10668.47</x:v>
      </x:c>
      <x:c r="G111" s="13" t="n">
        <x:v>82.9</x:v>
      </x:c>
      <x:c r="H111" s="13" t="n">
        <x:f>F111-G111</x:f>
        <x:v>10585.57</x:v>
      </x:c>
      <x:c r="I111" s="13" t="n">
        <x:f>IF(C111=0,"n.a.",F111/C111)</x:f>
        <x:v>889.0391666666666</x:v>
      </x:c>
      <x:c r="J111" s="3"/>
      <x:c r="K111" s="3"/>
      <x:c r="L111" s="3"/>
    </x:row>
    <x:row r="112" ht="22" customHeight="1">
      <x:c r="A112" s="3"/>
      <x:c r="B112" s="3" t="str">
        <x:v>13113</x:v>
      </x:c>
      <x:c r="C112" s="3" t="n">
        <x:v>24</x:v>
      </x:c>
      <x:c r="D112" s="51" t="n">
        <x:v>40886</x:v>
      </x:c>
      <x:c r="E112" s="3" t="str">
        <x:v>Recurrente</x:v>
      </x:c>
      <x:c r="F112" s="13" t="n">
        <x:v>12245.96</x:v>
      </x:c>
      <x:c r="G112" s="13" t="n">
        <x:v>1722.31</x:v>
      </x:c>
      <x:c r="H112" s="13" t="n">
        <x:f>F112-G112</x:f>
        <x:v>10523.65</x:v>
      </x:c>
      <x:c r="I112" s="13" t="n">
        <x:f>IF(C112=0,"n.a.",F112/C112)</x:f>
        <x:v>510.2483333333333</x:v>
      </x:c>
      <x:c r="J112" s="3"/>
      <x:c r="K112" s="3"/>
      <x:c r="L112" s="3"/>
    </x:row>
    <x:row r="113" ht="22" customHeight="1">
      <x:c r="A113" s="3"/>
      <x:c r="B113" s="3" t="str">
        <x:v>14062</x:v>
      </x:c>
      <x:c r="C113" s="3" t="n">
        <x:v>12</x:v>
      </x:c>
      <x:c r="D113" s="51" t="n">
        <x:v>40877</x:v>
      </x:c>
      <x:c r="E113" s="3" t="str">
        <x:v>Recurrente</x:v>
      </x:c>
      <x:c r="F113" s="13" t="n">
        <x:v>10464.85</x:v>
      </x:c>
      <x:c r="G113" s="13" t="n">
        <x:v>0</x:v>
      </x:c>
      <x:c r="H113" s="13" t="n">
        <x:f>F113-G113</x:f>
        <x:v>10464.85</x:v>
      </x:c>
      <x:c r="I113" s="13" t="n">
        <x:f>IF(C113=0,"n.a.",F113/C113)</x:f>
        <x:v>872.0708333333333</x:v>
      </x:c>
      <x:c r="J113" s="3"/>
      <x:c r="K113" s="3"/>
      <x:c r="L113" s="3"/>
    </x:row>
    <x:row r="114" ht="22" customHeight="1">
      <x:c r="A114" s="3"/>
      <x:c r="B114" s="3" t="str">
        <x:v>16779</x:v>
      </x:c>
      <x:c r="C114" s="3" t="n">
        <x:v>22</x:v>
      </x:c>
      <x:c r="D114" s="51" t="n">
        <x:v>40884</x:v>
      </x:c>
      <x:c r="E114" s="3" t="str">
        <x:v>Recurrente</x:v>
      </x:c>
      <x:c r="F114" s="13" t="n">
        <x:v>10629.72</x:v>
      </x:c>
      <x:c r="G114" s="13" t="n">
        <x:v>175.67</x:v>
      </x:c>
      <x:c r="H114" s="13" t="n">
        <x:f>F114-G114</x:f>
        <x:v>10454.05</x:v>
      </x:c>
      <x:c r="I114" s="13" t="n">
        <x:f>IF(C114=0,"n.a.",F114/C114)</x:f>
        <x:v>483.16909090909087</x:v>
      </x:c>
      <x:c r="J114" s="3"/>
      <x:c r="K114" s="3"/>
      <x:c r="L114" s="3"/>
    </x:row>
    <x:row r="115" ht="22" customHeight="1">
      <x:c r="A115" s="3"/>
      <x:c r="B115" s="3" t="str">
        <x:v>17107</x:v>
      </x:c>
      <x:c r="C115" s="3" t="n">
        <x:v>6</x:v>
      </x:c>
      <x:c r="D115" s="51" t="n">
        <x:v>40853</x:v>
      </x:c>
      <x:c r="E115" s="3" t="str">
        <x:v>Recurrente</x:v>
      </x:c>
      <x:c r="F115" s="13" t="n">
        <x:v>10815.43</x:v>
      </x:c>
      <x:c r="G115" s="13" t="n">
        <x:v>435</x:v>
      </x:c>
      <x:c r="H115" s="13" t="n">
        <x:f>F115-G115</x:f>
        <x:v>10380.43</x:v>
      </x:c>
      <x:c r="I115" s="13" t="n">
        <x:f>IF(C115=0,"n.a.",F115/C115)</x:f>
        <x:v>1802.5716666666667</x:v>
      </x:c>
      <x:c r="J115" s="3"/>
      <x:c r="K115" s="3"/>
      <x:c r="L115" s="3"/>
    </x:row>
    <x:row r="116" ht="22" customHeight="1">
      <x:c r="A116" s="3"/>
      <x:c r="B116" s="3" t="str">
        <x:v>15615</x:v>
      </x:c>
      <x:c r="C116" s="3" t="n">
        <x:v>23</x:v>
      </x:c>
      <x:c r="D116" s="51" t="n">
        <x:v>40876</x:v>
      </x:c>
      <x:c r="E116" s="3" t="str">
        <x:v>Recurrente</x:v>
      </x:c>
      <x:c r="F116" s="13" t="n">
        <x:v>10399.74</x:v>
      </x:c>
      <x:c r="G116" s="13" t="n">
        <x:v>39.7</x:v>
      </x:c>
      <x:c r="H116" s="13" t="n">
        <x:f>F116-G116</x:f>
        <x:v>10360.039999999999</x:v>
      </x:c>
      <x:c r="I116" s="13" t="n">
        <x:f>IF(C116=0,"n.a.",F116/C116)</x:f>
        <x:v>452.1626086956522</x:v>
      </x:c>
      <x:c r="J116" s="3"/>
      <x:c r="K116" s="3"/>
      <x:c r="L116" s="3"/>
    </x:row>
    <x:row r="117" ht="22" customHeight="1">
      <x:c r="A117" s="3"/>
      <x:c r="B117" s="3" t="str">
        <x:v>15251</x:v>
      </x:c>
      <x:c r="C117" s="3" t="n">
        <x:v>11</x:v>
      </x:c>
      <x:c r="D117" s="51" t="n">
        <x:v>40877</x:v>
      </x:c>
      <x:c r="E117" s="3" t="str">
        <x:v>Recurrente</x:v>
      </x:c>
      <x:c r="F117" s="13" t="n">
        <x:v>10484.99</x:v>
      </x:c>
      <x:c r="G117" s="13" t="n">
        <x:v>157.88</x:v>
      </x:c>
      <x:c r="H117" s="13" t="n">
        <x:f>F117-G117</x:f>
        <x:v>10327.11</x:v>
      </x:c>
      <x:c r="I117" s="13" t="n">
        <x:f>IF(C117=0,"n.a.",F117/C117)</x:f>
        <x:v>953.180909090909</x:v>
      </x:c>
      <x:c r="J117" s="3"/>
      <x:c r="K117" s="3"/>
      <x:c r="L117" s="3"/>
    </x:row>
    <x:row r="118" ht="22" customHeight="1">
      <x:c r="A118" s="3"/>
      <x:c r="B118" s="3" t="str">
        <x:v>16180</x:v>
      </x:c>
      <x:c r="C118" s="3" t="n">
        <x:v>8</x:v>
      </x:c>
      <x:c r="D118" s="51" t="n">
        <x:v>40786</x:v>
      </x:c>
      <x:c r="E118" s="3" t="str">
        <x:v>Recurrente</x:v>
      </x:c>
      <x:c r="F118" s="13" t="n">
        <x:v>10254.18</x:v>
      </x:c>
      <x:c r="G118" s="13" t="n">
        <x:v>36.7</x:v>
      </x:c>
      <x:c r="H118" s="13" t="n">
        <x:f>F118-G118</x:f>
        <x:v>10217.48</x:v>
      </x:c>
      <x:c r="I118" s="13" t="n">
        <x:f>IF(C118=0,"n.a.",F118/C118)</x:f>
        <x:v>1281.7725</x:v>
      </x:c>
      <x:c r="J118" s="3"/>
      <x:c r="K118" s="3"/>
      <x:c r="L118" s="3"/>
    </x:row>
    <x:row r="119" ht="22" customHeight="1">
      <x:c r="A119" s="3"/>
      <x:c r="B119" s="3" t="str">
        <x:v>16843</x:v>
      </x:c>
      <x:c r="C119" s="3" t="n">
        <x:v>16</x:v>
      </x:c>
      <x:c r="D119" s="51" t="n">
        <x:v>40844</x:v>
      </x:c>
      <x:c r="E119" s="3" t="str">
        <x:v>Recurrente</x:v>
      </x:c>
      <x:c r="F119" s="13" t="n">
        <x:v>10196.57</x:v>
      </x:c>
      <x:c r="G119" s="13" t="n">
        <x:v>12.75</x:v>
      </x:c>
      <x:c r="H119" s="13" t="n">
        <x:f>F119-G119</x:f>
        <x:v>10183.82</x:v>
      </x:c>
      <x:c r="I119" s="13" t="n">
        <x:f>IF(C119=0,"n.a.",F119/C119)</x:f>
        <x:v>637.285625</x:v>
      </x:c>
      <x:c r="J119" s="3"/>
      <x:c r="K119" s="3"/>
      <x:c r="L119" s="3"/>
    </x:row>
    <x:row r="120" ht="22" customHeight="1">
      <x:c r="A120" s="3"/>
      <x:c r="B120" s="3" t="str">
        <x:v>17865</x:v>
      </x:c>
      <x:c r="C120" s="3" t="n">
        <x:v>20</x:v>
      </x:c>
      <x:c r="D120" s="51" t="n">
        <x:v>40856</x:v>
      </x:c>
      <x:c r="E120" s="3" t="str">
        <x:v>Recurrente</x:v>
      </x:c>
      <x:c r="F120" s="13" t="n">
        <x:v>10524.22</x:v>
      </x:c>
      <x:c r="G120" s="13" t="n">
        <x:v>367.78</x:v>
      </x:c>
      <x:c r="H120" s="13" t="n">
        <x:f>F120-G120</x:f>
        <x:v>10156.439999999999</x:v>
      </x:c>
      <x:c r="I120" s="13" t="n">
        <x:f>IF(C120=0,"n.a.",F120/C120)</x:f>
        <x:v>526.211</x:v>
      </x:c>
      <x:c r="J120" s="3"/>
      <x:c r="K120" s="3"/>
      <x:c r="L120" s="3"/>
    </x:row>
    <x:row r="121" ht="22" customHeight="1">
      <x:c r="A121" s="3"/>
      <x:c r="B121" s="3" t="str">
        <x:v>17706</x:v>
      </x:c>
      <x:c r="C121" s="3" t="n">
        <x:v>17</x:v>
      </x:c>
      <x:c r="D121" s="51" t="n">
        <x:v>40882</x:v>
      </x:c>
      <x:c r="E121" s="3" t="str">
        <x:v>Recurrente</x:v>
      </x:c>
      <x:c r="F121" s="13" t="n">
        <x:v>10504.49</x:v>
      </x:c>
      <x:c r="G121" s="13" t="n">
        <x:v>407.12</x:v>
      </x:c>
      <x:c r="H121" s="13" t="n">
        <x:f>F121-G121</x:f>
        <x:v>10097.369999999999</x:v>
      </x:c>
      <x:c r="I121" s="13" t="n">
        <x:f>IF(C121=0,"n.a.",F121/C121)</x:f>
        <x:v>617.9111764705882</x:v>
      </x:c>
      <x:c r="J121" s="3"/>
      <x:c r="K121" s="3"/>
      <x:c r="L121" s="3"/>
    </x:row>
    <x:row r="122" ht="22" customHeight="1">
      <x:c r="A122" s="3"/>
      <x:c r="B122" s="3" t="str">
        <x:v>13001</x:v>
      </x:c>
      <x:c r="C122" s="3" t="n">
        <x:v>13</x:v>
      </x:c>
      <x:c r="D122" s="51" t="n">
        <x:v>40882</x:v>
      </x:c>
      <x:c r="E122" s="3" t="str">
        <x:v>Recurrente</x:v>
      </x:c>
      <x:c r="F122" s="13" t="n">
        <x:v>9818.82</x:v>
      </x:c>
      <x:c r="G122" s="13" t="n">
        <x:v>20.9</x:v>
      </x:c>
      <x:c r="H122" s="13" t="n">
        <x:f>F122-G122</x:f>
        <x:v>9797.92</x:v>
      </x:c>
      <x:c r="I122" s="13" t="n">
        <x:f>IF(C122=0,"n.a.",F122/C122)</x:f>
        <x:v>755.2938461538462</x:v>
      </x:c>
      <x:c r="J122" s="3"/>
      <x:c r="K122" s="3"/>
      <x:c r="L122" s="3"/>
    </x:row>
    <x:row r="123" ht="22" customHeight="1">
      <x:c r="A123" s="3"/>
      <x:c r="B123" s="3" t="str">
        <x:v>14607</x:v>
      </x:c>
      <x:c r="C123" s="3" t="n">
        <x:v>12</x:v>
      </x:c>
      <x:c r="D123" s="51" t="n">
        <x:v>40871</x:v>
      </x:c>
      <x:c r="E123" s="3" t="str">
        <x:v>Recurrente</x:v>
      </x:c>
      <x:c r="F123" s="13" t="n">
        <x:v>15021.5</x:v>
      </x:c>
      <x:c r="G123" s="13" t="n">
        <x:v>5228.4</x:v>
      </x:c>
      <x:c r="H123" s="13" t="n">
        <x:f>F123-G123</x:f>
        <x:v>9793.1</x:v>
      </x:c>
      <x:c r="I123" s="13" t="n">
        <x:f>IF(C123=0,"n.a.",F123/C123)</x:f>
        <x:v>1251.7916666666667</x:v>
      </x:c>
      <x:c r="J123" s="3"/>
      <x:c r="K123" s="3"/>
      <x:c r="L123" s="3"/>
    </x:row>
    <x:row r="124" ht="22" customHeight="1">
      <x:c r="A124" s="3"/>
      <x:c r="B124" s="3" t="str">
        <x:v>13199</x:v>
      </x:c>
      <x:c r="C124" s="3" t="n">
        <x:v>37</x:v>
      </x:c>
      <x:c r="D124" s="51" t="n">
        <x:v>40883</x:v>
      </x:c>
      <x:c r="E124" s="3" t="str">
        <x:v>Recurrente</x:v>
      </x:c>
      <x:c r="F124" s="13" t="n">
        <x:v>9802.12</x:v>
      </x:c>
      <x:c r="G124" s="13" t="n">
        <x:v>13.16</x:v>
      </x:c>
      <x:c r="H124" s="13" t="n">
        <x:f>F124-G124</x:f>
        <x:v>9788.960000000001</x:v>
      </x:c>
      <x:c r="I124" s="13" t="n">
        <x:f>IF(C124=0,"n.a.",F124/C124)</x:f>
        <x:v>264.9221621621622</x:v>
      </x:c>
      <x:c r="J124" s="3"/>
      <x:c r="K124" s="3"/>
      <x:c r="L124" s="3"/>
    </x:row>
    <x:row r="125" ht="22" customHeight="1">
      <x:c r="A125" s="3"/>
      <x:c r="B125" s="3" t="str">
        <x:v>15078</x:v>
      </x:c>
      <x:c r="C125" s="3" t="n">
        <x:v>32</x:v>
      </x:c>
      <x:c r="D125" s="51" t="n">
        <x:v>40879</x:v>
      </x:c>
      <x:c r="E125" s="3" t="str">
        <x:v>Recurrente</x:v>
      </x:c>
      <x:c r="F125" s="13" t="n">
        <x:v>9743.11</x:v>
      </x:c>
      <x:c r="G125" s="13" t="n">
        <x:v>119.76</x:v>
      </x:c>
      <x:c r="H125" s="13" t="n">
        <x:f>F125-G125</x:f>
        <x:v>9623.35</x:v>
      </x:c>
      <x:c r="I125" s="13" t="n">
        <x:f>IF(C125=0,"n.a.",F125/C125)</x:f>
        <x:v>304.4721875</x:v>
      </x:c>
      <x:c r="J125" s="3"/>
      <x:c r="K125" s="3"/>
      <x:c r="L125" s="3"/>
    </x:row>
    <x:row r="126" ht="22" customHeight="1">
      <x:c r="A126" s="3"/>
      <x:c r="B126" s="3" t="str">
        <x:v>13458</x:v>
      </x:c>
      <x:c r="C126" s="3" t="n">
        <x:v>14</x:v>
      </x:c>
      <x:c r="D126" s="51" t="n">
        <x:v>40879</x:v>
      </x:c>
      <x:c r="E126" s="3" t="str">
        <x:v>Recurrente</x:v>
      </x:c>
      <x:c r="F126" s="13" t="n">
        <x:v>9646.57</x:v>
      </x:c>
      <x:c r="G126" s="13" t="n">
        <x:v>108.65</x:v>
      </x:c>
      <x:c r="H126" s="13" t="n">
        <x:f>F126-G126</x:f>
        <x:v>9537.92</x:v>
      </x:c>
      <x:c r="I126" s="13" t="n">
        <x:f>IF(C126=0,"n.a.",F126/C126)</x:f>
        <x:v>689.0407142857142</x:v>
      </x:c>
      <x:c r="J126" s="3"/>
      <x:c r="K126" s="3"/>
      <x:c r="L126" s="3"/>
    </x:row>
    <x:row r="127" ht="22" customHeight="1">
      <x:c r="A127" s="3"/>
      <x:c r="B127" s="3" t="str">
        <x:v>14733</x:v>
      </x:c>
      <x:c r="C127" s="3" t="n">
        <x:v>12</x:v>
      </x:c>
      <x:c r="D127" s="51" t="n">
        <x:v>40870</x:v>
      </x:c>
      <x:c r="E127" s="3" t="str">
        <x:v>Recurrente</x:v>
      </x:c>
      <x:c r="F127" s="13" t="n">
        <x:v>9585.91</x:v>
      </x:c>
      <x:c r="G127" s="13" t="n">
        <x:v>134.37</x:v>
      </x:c>
      <x:c r="H127" s="13" t="n">
        <x:f>F127-G127</x:f>
        <x:v>9451.539999999999</x:v>
      </x:c>
      <x:c r="I127" s="13" t="n">
        <x:f>IF(C127=0,"n.a.",F127/C127)</x:f>
        <x:v>798.8258333333333</x:v>
      </x:c>
      <x:c r="J127" s="3"/>
      <x:c r="K127" s="3"/>
      <x:c r="L127" s="3"/>
    </x:row>
    <x:row r="128" ht="22" customHeight="1">
      <x:c r="A128" s="3"/>
      <x:c r="B128" s="3" t="str">
        <x:v>12590</x:v>
      </x:c>
      <x:c r="C128" s="3" t="n">
        <x:v>1</x:v>
      </x:c>
      <x:c r="D128" s="51" t="n">
        <x:v>40675</x:v>
      </x:c>
      <x:c r="E128" s="3" t="str">
        <x:v>Una compra</x:v>
      </x:c>
      <x:c r="F128" s="13" t="n">
        <x:v>9341.26</x:v>
      </x:c>
      <x:c r="G128" s="13" t="n">
        <x:v>2.88</x:v>
      </x:c>
      <x:c r="H128" s="13" t="n">
        <x:f>F128-G128</x:f>
        <x:v>9338.380000000001</x:v>
      </x:c>
      <x:c r="I128" s="13" t="n">
        <x:f>IF(C128=0,"n.a.",F128/C128)</x:f>
        <x:v>9341.26</x:v>
      </x:c>
      <x:c r="J128" s="3"/>
      <x:c r="K128" s="3"/>
      <x:c r="L128" s="3"/>
    </x:row>
    <x:row r="129" ht="22" customHeight="1">
      <x:c r="A129" s="3"/>
      <x:c r="B129" s="3" t="str">
        <x:v>16523</x:v>
      </x:c>
      <x:c r="C129" s="3" t="n">
        <x:v>21</x:v>
      </x:c>
      <x:c r="D129" s="51" t="n">
        <x:v>40885</x:v>
      </x:c>
      <x:c r="E129" s="3" t="str">
        <x:v>Recurrente</x:v>
      </x:c>
      <x:c r="F129" s="13" t="n">
        <x:v>9418.47</x:v>
      </x:c>
      <x:c r="G129" s="13" t="n">
        <x:v>122.8</x:v>
      </x:c>
      <x:c r="H129" s="13" t="n">
        <x:f>F129-G129</x:f>
        <x:v>9295.67</x:v>
      </x:c>
      <x:c r="I129" s="13" t="n">
        <x:f>IF(C129=0,"n.a.",F129/C129)</x:f>
        <x:v>448.4985714285714</x:v>
      </x:c>
      <x:c r="J129" s="3"/>
      <x:c r="K129" s="3"/>
      <x:c r="L129" s="3"/>
    </x:row>
    <x:row r="130" ht="22" customHeight="1">
      <x:c r="A130" s="3"/>
      <x:c r="B130" s="3" t="str">
        <x:v>14667</x:v>
      </x:c>
      <x:c r="C130" s="3" t="n">
        <x:v>25</x:v>
      </x:c>
      <x:c r="D130" s="51" t="n">
        <x:v>40876</x:v>
      </x:c>
      <x:c r="E130" s="3" t="str">
        <x:v>Recurrente</x:v>
      </x:c>
      <x:c r="F130" s="13" t="n">
        <x:v>9236.95</x:v>
      </x:c>
      <x:c r="G130" s="13" t="n">
        <x:v>10</x:v>
      </x:c>
      <x:c r="H130" s="13" t="n">
        <x:f>F130-G130</x:f>
        <x:v>9226.95</x:v>
      </x:c>
      <x:c r="I130" s="13" t="n">
        <x:f>IF(C130=0,"n.a.",F130/C130)</x:f>
        <x:v>369.478</x:v>
      </x:c>
      <x:c r="J130" s="3"/>
      <x:c r="K130" s="3"/>
      <x:c r="L130" s="3"/>
    </x:row>
    <x:row r="131" ht="22" customHeight="1">
      <x:c r="A131" s="3"/>
      <x:c r="B131" s="3" t="str">
        <x:v>14367</x:v>
      </x:c>
      <x:c r="C131" s="3" t="n">
        <x:v>16</x:v>
      </x:c>
      <x:c r="D131" s="51" t="n">
        <x:v>40878</x:v>
      </x:c>
      <x:c r="E131" s="3" t="str">
        <x:v>Recurrente</x:v>
      </x:c>
      <x:c r="F131" s="13" t="n">
        <x:v>9261.52</x:v>
      </x:c>
      <x:c r="G131" s="13" t="n">
        <x:v>93.7</x:v>
      </x:c>
      <x:c r="H131" s="13" t="n">
        <x:f>F131-G131</x:f>
        <x:v>9167.82</x:v>
      </x:c>
      <x:c r="I131" s="13" t="n">
        <x:f>IF(C131=0,"n.a.",F131/C131)</x:f>
        <x:v>578.845</x:v>
      </x:c>
      <x:c r="J131" s="3"/>
      <x:c r="K131" s="3"/>
      <x:c r="L131" s="3"/>
    </x:row>
    <x:row r="132" ht="22" customHeight="1">
      <x:c r="A132" s="3"/>
      <x:c r="B132" s="3" t="str">
        <x:v>12744</x:v>
      </x:c>
      <x:c r="C132" s="3" t="n">
        <x:v>4</x:v>
      </x:c>
      <x:c r="D132" s="51" t="n">
        <x:v>40830</x:v>
      </x:c>
      <x:c r="E132" s="3" t="str">
        <x:v>Recurrente</x:v>
      </x:c>
      <x:c r="F132" s="13" t="n">
        <x:v>9120.39</x:v>
      </x:c>
      <x:c r="G132" s="13" t="n">
        <x:v>0</x:v>
      </x:c>
      <x:c r="H132" s="13" t="n">
        <x:f>F132-G132</x:f>
        <x:v>9120.39</x:v>
      </x:c>
      <x:c r="I132" s="13" t="n">
        <x:f>IF(C132=0,"n.a.",F132/C132)</x:f>
        <x:v>2280.0975</x:v>
      </x:c>
      <x:c r="J132" s="3"/>
      <x:c r="K132" s="3"/>
      <x:c r="L132" s="3"/>
    </x:row>
    <x:row r="133" ht="22" customHeight="1">
      <x:c r="A133" s="3"/>
      <x:c r="B133" s="3" t="str">
        <x:v>18092</x:v>
      </x:c>
      <x:c r="C133" s="3" t="n">
        <x:v>11</x:v>
      </x:c>
      <x:c r="D133" s="51" t="n">
        <x:v>40884</x:v>
      </x:c>
      <x:c r="E133" s="3" t="str">
        <x:v>Recurrente</x:v>
      </x:c>
      <x:c r="F133" s="13" t="n">
        <x:v>9068.26</x:v>
      </x:c>
      <x:c r="G133" s="13" t="n">
        <x:v>2.5</x:v>
      </x:c>
      <x:c r="H133" s="13" t="n">
        <x:f>F133-G133</x:f>
        <x:v>9065.76</x:v>
      </x:c>
      <x:c r="I133" s="13" t="n">
        <x:f>IF(C133=0,"n.a.",F133/C133)</x:f>
        <x:v>824.3872727272727</x:v>
      </x:c>
      <x:c r="J133" s="3"/>
      <x:c r="K133" s="3"/>
      <x:c r="L133" s="3"/>
    </x:row>
    <x:row r="134" ht="22" customHeight="1">
      <x:c r="A134" s="3"/>
      <x:c r="B134" s="3" t="str">
        <x:v>12709</x:v>
      </x:c>
      <x:c r="C134" s="3" t="n">
        <x:v>15</x:v>
      </x:c>
      <x:c r="D134" s="51" t="n">
        <x:v>40871</x:v>
      </x:c>
      <x:c r="E134" s="3" t="str">
        <x:v>Recurrente</x:v>
      </x:c>
      <x:c r="F134" s="13" t="n">
        <x:v>9430.52</x:v>
      </x:c>
      <x:c r="G134" s="13" t="n">
        <x:v>440.77</x:v>
      </x:c>
      <x:c r="H134" s="13" t="n">
        <x:f>F134-G134</x:f>
        <x:v>8989.75</x:v>
      </x:c>
      <x:c r="I134" s="13" t="n">
        <x:f>IF(C134=0,"n.a.",F134/C134)</x:f>
        <x:v>628.7013333333333</x:v>
      </x:c>
      <x:c r="J134" s="3"/>
      <x:c r="K134" s="3"/>
      <x:c r="L134" s="3"/>
    </x:row>
    <x:row r="135" ht="22" customHeight="1">
      <x:c r="A135" s="3"/>
      <x:c r="B135" s="3" t="str">
        <x:v>13969</x:v>
      </x:c>
      <x:c r="C135" s="3" t="n">
        <x:v>18</x:v>
      </x:c>
      <x:c r="D135" s="51" t="n">
        <x:v>40879</x:v>
      </x:c>
      <x:c r="E135" s="3" t="str">
        <x:v>Recurrente</x:v>
      </x:c>
      <x:c r="F135" s="13" t="n">
        <x:v>9053.94</x:v>
      </x:c>
      <x:c r="G135" s="13" t="n">
        <x:v>67.25</x:v>
      </x:c>
      <x:c r="H135" s="13" t="n">
        <x:f>F135-G135</x:f>
        <x:v>8986.69</x:v>
      </x:c>
      <x:c r="I135" s="13" t="n">
        <x:f>IF(C135=0,"n.a.",F135/C135)</x:f>
        <x:v>502.99666666666667</x:v>
      </x:c>
      <x:c r="J135" s="3"/>
      <x:c r="K135" s="3"/>
      <x:c r="L135" s="3"/>
    </x:row>
    <x:row r="136" ht="22" customHeight="1">
      <x:c r="A136" s="3"/>
      <x:c r="B136" s="3" t="str">
        <x:v>13488</x:v>
      </x:c>
      <x:c r="C136" s="3" t="n">
        <x:v>13</x:v>
      </x:c>
      <x:c r="D136" s="51" t="n">
        <x:v>40869</x:v>
      </x:c>
      <x:c r="E136" s="3" t="str">
        <x:v>Recurrente</x:v>
      </x:c>
      <x:c r="F136" s="13" t="n">
        <x:v>8968.31</x:v>
      </x:c>
      <x:c r="G136" s="13" t="n">
        <x:v>57.7</x:v>
      </x:c>
      <x:c r="H136" s="13" t="n">
        <x:f>F136-G136</x:f>
        <x:v>8910.609999999999</x:v>
      </x:c>
      <x:c r="I136" s="13" t="n">
        <x:f>IF(C136=0,"n.a.",F136/C136)</x:f>
        <x:v>689.87</x:v>
      </x:c>
      <x:c r="J136" s="3"/>
      <x:c r="K136" s="3"/>
      <x:c r="L136" s="3"/>
    </x:row>
    <x:row r="137" ht="22" customHeight="1">
      <x:c r="A137" s="3"/>
      <x:c r="B137" s="3" t="str">
        <x:v>12451</x:v>
      </x:c>
      <x:c r="C137" s="3" t="n">
        <x:v>5</x:v>
      </x:c>
      <x:c r="D137" s="51" t="n">
        <x:v>40876</x:v>
      </x:c>
      <x:c r="E137" s="3" t="str">
        <x:v>Recurrente</x:v>
      </x:c>
      <x:c r="F137" s="13" t="n">
        <x:v>8995.52</x:v>
      </x:c>
      <x:c r="G137" s="13" t="n">
        <x:v>102</x:v>
      </x:c>
      <x:c r="H137" s="13" t="n">
        <x:f>F137-G137</x:f>
        <x:v>8893.52</x:v>
      </x:c>
      <x:c r="I137" s="13" t="n">
        <x:f>IF(C137=0,"n.a.",F137/C137)</x:f>
        <x:v>1799.104</x:v>
      </x:c>
      <x:c r="J137" s="3"/>
      <x:c r="K137" s="3"/>
      <x:c r="L137" s="3"/>
    </x:row>
    <x:row r="138" ht="22" customHeight="1">
      <x:c r="A138" s="3"/>
      <x:c r="B138" s="3" t="str">
        <x:v>16033</x:v>
      </x:c>
      <x:c r="C138" s="3" t="n">
        <x:v>20</x:v>
      </x:c>
      <x:c r="D138" s="51" t="n">
        <x:v>40881</x:v>
      </x:c>
      <x:c r="E138" s="3" t="str">
        <x:v>Recurrente</x:v>
      </x:c>
      <x:c r="F138" s="13" t="n">
        <x:v>8816.4</x:v>
      </x:c>
      <x:c r="G138" s="13" t="n">
        <x:v>88.79</x:v>
      </x:c>
      <x:c r="H138" s="13" t="n">
        <x:f>F138-G138</x:f>
        <x:v>8727.609999999999</x:v>
      </x:c>
      <x:c r="I138" s="13" t="n">
        <x:f>IF(C138=0,"n.a.",F138/C138)</x:f>
        <x:v>440.82</x:v>
      </x:c>
      <x:c r="J138" s="3"/>
      <x:c r="K138" s="3"/>
      <x:c r="L138" s="3"/>
    </x:row>
    <x:row r="139" ht="22" customHeight="1">
      <x:c r="A139" s="3"/>
      <x:c r="B139" s="3" t="str">
        <x:v>13090</x:v>
      </x:c>
      <x:c r="C139" s="3" t="n">
        <x:v>13</x:v>
      </x:c>
      <x:c r="D139" s="51" t="n">
        <x:v>40878</x:v>
      </x:c>
      <x:c r="E139" s="3" t="str">
        <x:v>Recurrente</x:v>
      </x:c>
      <x:c r="F139" s="13" t="n">
        <x:v>8895.82</x:v>
      </x:c>
      <x:c r="G139" s="13" t="n">
        <x:v>221.43</x:v>
      </x:c>
      <x:c r="H139" s="13" t="n">
        <x:f>F139-G139</x:f>
        <x:v>8674.39</x:v>
      </x:c>
      <x:c r="I139" s="13" t="n">
        <x:f>IF(C139=0,"n.a.",F139/C139)</x:f>
        <x:v>684.2938461538462</x:v>
      </x:c>
      <x:c r="J139" s="3"/>
      <x:c r="K139" s="3"/>
      <x:c r="L139" s="3"/>
    </x:row>
    <x:row r="140" ht="22" customHeight="1">
      <x:c r="A140" s="3"/>
      <x:c r="B140" s="3" t="str">
        <x:v>17243</x:v>
      </x:c>
      <x:c r="C140" s="3" t="n">
        <x:v>26</x:v>
      </x:c>
      <x:c r="D140" s="51" t="n">
        <x:v>40885</x:v>
      </x:c>
      <x:c r="E140" s="3" t="str">
        <x:v>Recurrente</x:v>
      </x:c>
      <x:c r="F140" s="13" t="n">
        <x:v>8668.45</x:v>
      </x:c>
      <x:c r="G140" s="13" t="n">
        <x:v>48.3</x:v>
      </x:c>
      <x:c r="H140" s="13" t="n">
        <x:f>F140-G140</x:f>
        <x:v>8620.150000000001</x:v>
      </x:c>
      <x:c r="I140" s="13" t="n">
        <x:f>IF(C140=0,"n.a.",F140/C140)</x:f>
        <x:v>333.4019230769231</x:v>
      </x:c>
      <x:c r="J140" s="3"/>
      <x:c r="K140" s="3"/>
      <x:c r="L140" s="3"/>
    </x:row>
    <x:row r="141" ht="22" customHeight="1">
      <x:c r="A141" s="3"/>
      <x:c r="B141" s="3" t="str">
        <x:v>17306</x:v>
      </x:c>
      <x:c r="C141" s="3" t="n">
        <x:v>19</x:v>
      </x:c>
      <x:c r="D141" s="51" t="n">
        <x:v>40876</x:v>
      </x:c>
      <x:c r="E141" s="3" t="str">
        <x:v>Recurrente</x:v>
      </x:c>
      <x:c r="F141" s="13" t="n">
        <x:v>8631.31</x:v>
      </x:c>
      <x:c r="G141" s="13" t="n">
        <x:v>30.58</x:v>
      </x:c>
      <x:c r="H141" s="13" t="n">
        <x:f>F141-G141</x:f>
        <x:v>8600.73</x:v>
      </x:c>
      <x:c r="I141" s="13" t="n">
        <x:f>IF(C141=0,"n.a.",F141/C141)</x:f>
        <x:v>454.2794736842105</x:v>
      </x:c>
      <x:c r="J141" s="3"/>
      <x:c r="K141" s="3"/>
      <x:c r="L141" s="3"/>
    </x:row>
    <x:row r="142" ht="22" customHeight="1">
      <x:c r="A142" s="3"/>
      <x:c r="B142" s="3" t="str">
        <x:v>17017</x:v>
      </x:c>
      <x:c r="C142" s="3" t="n">
        <x:v>20</x:v>
      </x:c>
      <x:c r="D142" s="51" t="n">
        <x:v>40884</x:v>
      </x:c>
      <x:c r="E142" s="3" t="str">
        <x:v>Recurrente</x:v>
      </x:c>
      <x:c r="F142" s="13" t="n">
        <x:v>8694.26</x:v>
      </x:c>
      <x:c r="G142" s="13" t="n">
        <x:v>120.15</x:v>
      </x:c>
      <x:c r="H142" s="13" t="n">
        <x:f>F142-G142</x:f>
        <x:v>8574.11</x:v>
      </x:c>
      <x:c r="I142" s="13" t="n">
        <x:f>IF(C142=0,"n.a.",F142/C142)</x:f>
        <x:v>434.713</x:v>
      </x:c>
      <x:c r="J142" s="3"/>
      <x:c r="K142" s="3"/>
      <x:c r="L142" s="3"/>
    </x:row>
    <x:row r="143" ht="22" customHeight="1">
      <x:c r="A143" s="3"/>
      <x:c r="B143" s="3" t="str">
        <x:v>16656</x:v>
      </x:c>
      <x:c r="C143" s="3" t="n">
        <x:v>15</x:v>
      </x:c>
      <x:c r="D143" s="51" t="n">
        <x:v>40864</x:v>
      </x:c>
      <x:c r="E143" s="3" t="str">
        <x:v>Recurrente</x:v>
      </x:c>
      <x:c r="F143" s="13" t="n">
        <x:v>8625.8</x:v>
      </x:c>
      <x:c r="G143" s="13" t="n">
        <x:v>57.56</x:v>
      </x:c>
      <x:c r="H143" s="13" t="n">
        <x:f>F143-G143</x:f>
        <x:v>8568.24</x:v>
      </x:c>
      <x:c r="I143" s="13" t="n">
        <x:f>IF(C143=0,"n.a.",F143/C143)</x:f>
        <x:v>575.0533333333333</x:v>
      </x:c>
      <x:c r="J143" s="3"/>
      <x:c r="K143" s="3"/>
      <x:c r="L143" s="3"/>
    </x:row>
    <x:row r="144" ht="22" customHeight="1">
      <x:c r="A144" s="3"/>
      <x:c r="B144" s="3" t="str">
        <x:v>14527</x:v>
      </x:c>
      <x:c r="C144" s="3" t="n">
        <x:v>55</x:v>
      </x:c>
      <x:c r="D144" s="51" t="n">
        <x:v>40884</x:v>
      </x:c>
      <x:c r="E144" s="3" t="str">
        <x:v>Recurrente</x:v>
      </x:c>
      <x:c r="F144" s="13" t="n">
        <x:v>8507.82</x:v>
      </x:c>
      <x:c r="G144" s="13" t="n">
        <x:v>28.6</x:v>
      </x:c>
      <x:c r="H144" s="13" t="n">
        <x:f>F144-G144</x:f>
        <x:v>8479.22</x:v>
      </x:c>
      <x:c r="I144" s="13" t="n">
        <x:f>IF(C144=0,"n.a.",F144/C144)</x:f>
        <x:v>154.68763636363636</x:v>
      </x:c>
      <x:c r="J144" s="3"/>
      <x:c r="K144" s="3"/>
      <x:c r="L144" s="3"/>
    </x:row>
    <x:row r="145" ht="22" customHeight="1">
      <x:c r="A145" s="3"/>
      <x:c r="B145" s="3" t="str">
        <x:v>18139</x:v>
      </x:c>
      <x:c r="C145" s="3" t="n">
        <x:v>6</x:v>
      </x:c>
      <x:c r="D145" s="51" t="n">
        <x:v>40869</x:v>
      </x:c>
      <x:c r="E145" s="3" t="str">
        <x:v>Recurrente</x:v>
      </x:c>
      <x:c r="F145" s="13" t="n">
        <x:v>8438.34</x:v>
      </x:c>
      <x:c r="G145" s="13" t="n">
        <x:v>0</x:v>
      </x:c>
      <x:c r="H145" s="13" t="n">
        <x:f>F145-G145</x:f>
        <x:v>8438.34</x:v>
      </x:c>
      <x:c r="I145" s="13" t="n">
        <x:f>IF(C145=0,"n.a.",F145/C145)</x:f>
        <x:v>1406.39</x:v>
      </x:c>
      <x:c r="J145" s="3"/>
      <x:c r="K145" s="3"/>
      <x:c r="L145" s="3"/>
    </x:row>
    <x:row r="146" ht="22" customHeight="1">
      <x:c r="A146" s="3"/>
      <x:c r="B146" s="3" t="str">
        <x:v>12567</x:v>
      </x:c>
      <x:c r="C146" s="3" t="n">
        <x:v>10</x:v>
      </x:c>
      <x:c r="D146" s="51" t="n">
        <x:v>40864</x:v>
      </x:c>
      <x:c r="E146" s="3" t="str">
        <x:v>Recurrente</x:v>
      </x:c>
      <x:c r="F146" s="13" t="n">
        <x:v>8609.28</x:v>
      </x:c>
      <x:c r="G146" s="13" t="n">
        <x:v>286.34</x:v>
      </x:c>
      <x:c r="H146" s="13" t="n">
        <x:f>F146-G146</x:f>
        <x:v>8322.94</x:v>
      </x:c>
      <x:c r="I146" s="13" t="n">
        <x:f>IF(C146=0,"n.a.",F146/C146)</x:f>
        <x:v>860.9280000000001</x:v>
      </x:c>
      <x:c r="J146" s="3"/>
      <x:c r="K146" s="3"/>
      <x:c r="L146" s="3"/>
    </x:row>
    <x:row r="147" ht="22" customHeight="1">
      <x:c r="A147" s="3"/>
      <x:c r="B147" s="3" t="str">
        <x:v>16558</x:v>
      </x:c>
      <x:c r="C147" s="3" t="n">
        <x:v>20</x:v>
      </x:c>
      <x:c r="D147" s="51" t="n">
        <x:v>40886</x:v>
      </x:c>
      <x:c r="E147" s="3" t="str">
        <x:v>Recurrente</x:v>
      </x:c>
      <x:c r="F147" s="13" t="n">
        <x:v>8338.49</x:v>
      </x:c>
      <x:c r="G147" s="13" t="n">
        <x:v>81.45</x:v>
      </x:c>
      <x:c r="H147" s="13" t="n">
        <x:f>F147-G147</x:f>
        <x:v>8257.039999999999</x:v>
      </x:c>
      <x:c r="I147" s="13" t="n">
        <x:f>IF(C147=0,"n.a.",F147/C147)</x:f>
        <x:v>416.92449999999997</x:v>
      </x:c>
      <x:c r="J147" s="3"/>
      <x:c r="K147" s="3"/>
      <x:c r="L147" s="3"/>
    </x:row>
    <x:row r="148" ht="22" customHeight="1">
      <x:c r="A148" s="3"/>
      <x:c r="B148" s="3" t="str">
        <x:v>15358</x:v>
      </x:c>
      <x:c r="C148" s="3" t="n">
        <x:v>22</x:v>
      </x:c>
      <x:c r="D148" s="51" t="n">
        <x:v>40882</x:v>
      </x:c>
      <x:c r="E148" s="3" t="str">
        <x:v>Recurrente</x:v>
      </x:c>
      <x:c r="F148" s="13" t="n">
        <x:v>8347.2</x:v>
      </x:c>
      <x:c r="G148" s="13" t="n">
        <x:v>112.4</x:v>
      </x:c>
      <x:c r="H148" s="13" t="n">
        <x:f>F148-G148</x:f>
        <x:v>8234.800000000001</x:v>
      </x:c>
      <x:c r="I148" s="13" t="n">
        <x:f>IF(C148=0,"n.a.",F148/C148)</x:f>
        <x:v>379.41818181818184</x:v>
      </x:c>
      <x:c r="J148" s="3"/>
      <x:c r="K148" s="3"/>
      <x:c r="L148" s="3"/>
    </x:row>
    <x:row r="149" ht="22" customHeight="1">
      <x:c r="A149" s="3"/>
      <x:c r="B149" s="3" t="str">
        <x:v>14056</x:v>
      </x:c>
      <x:c r="C149" s="3" t="n">
        <x:v>23</x:v>
      </x:c>
      <x:c r="D149" s="51" t="n">
        <x:v>40885</x:v>
      </x:c>
      <x:c r="E149" s="3" t="str">
        <x:v>Recurrente</x:v>
      </x:c>
      <x:c r="F149" s="13" t="n">
        <x:v>8214.65</x:v>
      </x:c>
      <x:c r="G149" s="13" t="n">
        <x:v>89.41</x:v>
      </x:c>
      <x:c r="H149" s="13" t="n">
        <x:f>F149-G149</x:f>
        <x:v>8125.24</x:v>
      </x:c>
      <x:c r="I149" s="13" t="n">
        <x:f>IF(C149=0,"n.a.",F149/C149)</x:f>
        <x:v>357.1586956521739</x:v>
      </x:c>
      <x:c r="J149" s="3"/>
      <x:c r="K149" s="3"/>
      <x:c r="L149" s="3"/>
    </x:row>
    <x:row r="150" ht="22" customHeight="1">
      <x:c r="A150" s="3"/>
      <x:c r="B150" s="3" t="str">
        <x:v>16672</x:v>
      </x:c>
      <x:c r="C150" s="3" t="n">
        <x:v>20</x:v>
      </x:c>
      <x:c r="D150" s="51" t="n">
        <x:v>40884</x:v>
      </x:c>
      <x:c r="E150" s="3" t="str">
        <x:v>Recurrente</x:v>
      </x:c>
      <x:c r="F150" s="13" t="n">
        <x:v>8134.94</x:v>
      </x:c>
      <x:c r="G150" s="13" t="n">
        <x:v>15.25</x:v>
      </x:c>
      <x:c r="H150" s="13" t="n">
        <x:f>F150-G150</x:f>
        <x:v>8119.69</x:v>
      </x:c>
      <x:c r="I150" s="13" t="n">
        <x:f>IF(C150=0,"n.a.",F150/C150)</x:f>
        <x:v>406.74699999999996</x:v>
      </x:c>
      <x:c r="J150" s="3"/>
      <x:c r="K150" s="3"/>
      <x:c r="L150" s="3"/>
    </x:row>
    <x:row r="151" ht="22" customHeight="1">
      <x:c r="A151" s="3"/>
      <x:c r="B151" s="3" t="str">
        <x:v>14936</x:v>
      </x:c>
      <x:c r="C151" s="3" t="n">
        <x:v>8</x:v>
      </x:c>
      <x:c r="D151" s="51" t="n">
        <x:v>40853</x:v>
      </x:c>
      <x:c r="E151" s="3" t="str">
        <x:v>Recurrente</x:v>
      </x:c>
      <x:c r="F151" s="13" t="n">
        <x:v>8137.02</x:v>
      </x:c>
      <x:c r="G151" s="13" t="n">
        <x:v>19.6</x:v>
      </x:c>
      <x:c r="H151" s="13" t="n">
        <x:f>F151-G151</x:f>
        <x:v>8117.42</x:v>
      </x:c>
      <x:c r="I151" s="13" t="n">
        <x:f>IF(C151=0,"n.a.",F151/C151)</x:f>
        <x:v>1017.1275</x:v>
      </x:c>
      <x:c r="J151" s="3"/>
      <x:c r="K151" s="3"/>
      <x:c r="L151" s="3"/>
    </x:row>
    <x:row r="152" ht="22" customHeight="1">
      <x:c r="A152" s="3"/>
      <x:c r="B152" s="3" t="str">
        <x:v>13854</x:v>
      </x:c>
      <x:c r="C152" s="3" t="n">
        <x:v>25</x:v>
      </x:c>
      <x:c r="D152" s="51" t="n">
        <x:v>40878</x:v>
      </x:c>
      <x:c r="E152" s="3" t="str">
        <x:v>Recurrente</x:v>
      </x:c>
      <x:c r="F152" s="13" t="n">
        <x:v>8109.52</x:v>
      </x:c>
      <x:c r="G152" s="13" t="n">
        <x:v>84.5</x:v>
      </x:c>
      <x:c r="H152" s="13" t="n">
        <x:f>F152-G152</x:f>
        <x:v>8025.02</x:v>
      </x:c>
      <x:c r="I152" s="13" t="n">
        <x:f>IF(C152=0,"n.a.",F152/C152)</x:f>
        <x:v>324.3808</x:v>
      </x:c>
      <x:c r="J152" s="3"/>
      <x:c r="K152" s="3"/>
      <x:c r="L152" s="3"/>
    </x:row>
    <x:row r="153" ht="22" customHeight="1">
      <x:c r="A153" s="3"/>
      <x:c r="B153" s="3" t="str">
        <x:v>18109</x:v>
      </x:c>
      <x:c r="C153" s="3" t="n">
        <x:v>26</x:v>
      </x:c>
      <x:c r="D153" s="51" t="n">
        <x:v>40885</x:v>
      </x:c>
      <x:c r="E153" s="3" t="str">
        <x:v>Recurrente</x:v>
      </x:c>
      <x:c r="F153" s="13" t="n">
        <x:v>8052.97</x:v>
      </x:c>
      <x:c r="G153" s="13" t="n">
        <x:v>127.65</x:v>
      </x:c>
      <x:c r="H153" s="13" t="n">
        <x:f>F153-G153</x:f>
        <x:v>7925.320000000001</x:v>
      </x:c>
      <x:c r="I153" s="13" t="n">
        <x:f>IF(C153=0,"n.a.",F153/C153)</x:f>
        <x:v>309.7296153846154</x:v>
      </x:c>
      <x:c r="J153" s="3"/>
      <x:c r="K153" s="3"/>
      <x:c r="L153" s="3"/>
    </x:row>
    <x:row r="154" ht="22" customHeight="1">
      <x:c r="A154" s="3"/>
      <x:c r="B154" s="3" t="str">
        <x:v>14952</x:v>
      </x:c>
      <x:c r="C154" s="3" t="n">
        <x:v>11</x:v>
      </x:c>
      <x:c r="D154" s="51" t="n">
        <x:v>40827</x:v>
      </x:c>
      <x:c r="E154" s="3" t="str">
        <x:v>Recurrente</x:v>
      </x:c>
      <x:c r="F154" s="13" t="n">
        <x:v>8099.49</x:v>
      </x:c>
      <x:c r="G154" s="13" t="n">
        <x:v>186.7</x:v>
      </x:c>
      <x:c r="H154" s="13" t="n">
        <x:f>F154-G154</x:f>
        <x:v>7912.79</x:v>
      </x:c>
      <x:c r="I154" s="13" t="n">
        <x:f>IF(C154=0,"n.a.",F154/C154)</x:f>
        <x:v>736.3172727272727</x:v>
      </x:c>
      <x:c r="J154" s="3"/>
      <x:c r="K154" s="3"/>
      <x:c r="L154" s="3"/>
    </x:row>
    <x:row r="155" ht="22" customHeight="1">
      <x:c r="A155" s="3"/>
      <x:c r="B155" s="3" t="str">
        <x:v>14849</x:v>
      </x:c>
      <x:c r="C155" s="3" t="n">
        <x:v>25</x:v>
      </x:c>
      <x:c r="D155" s="51" t="n">
        <x:v>40865</x:v>
      </x:c>
      <x:c r="E155" s="3" t="str">
        <x:v>Recurrente</x:v>
      </x:c>
      <x:c r="F155" s="13" t="n">
        <x:v>7930.54</x:v>
      </x:c>
      <x:c r="G155" s="13" t="n">
        <x:v>26.26</x:v>
      </x:c>
      <x:c r="H155" s="13" t="n">
        <x:f>F155-G155</x:f>
        <x:v>7904.28</x:v>
      </x:c>
      <x:c r="I155" s="13" t="n">
        <x:f>IF(C155=0,"n.a.",F155/C155)</x:f>
        <x:v>317.2216</x:v>
      </x:c>
      <x:c r="J155" s="3"/>
      <x:c r="K155" s="3"/>
      <x:c r="L155" s="3"/>
    </x:row>
    <x:row r="156" ht="22" customHeight="1">
      <x:c r="A156" s="3"/>
      <x:c r="B156" s="3" t="str">
        <x:v>14796</x:v>
      </x:c>
      <x:c r="C156" s="3" t="n">
        <x:v>17</x:v>
      </x:c>
      <x:c r="D156" s="51" t="n">
        <x:v>40885</x:v>
      </x:c>
      <x:c r="E156" s="3" t="str">
        <x:v>Recurrente</x:v>
      </x:c>
      <x:c r="F156" s="13" t="n">
        <x:v>8020.93</x:v>
      </x:c>
      <x:c r="G156" s="13" t="n">
        <x:v>182.98</x:v>
      </x:c>
      <x:c r="H156" s="13" t="n">
        <x:f>F156-G156</x:f>
        <x:v>7837.950000000001</x:v>
      </x:c>
      <x:c r="I156" s="13" t="n">
        <x:f>IF(C156=0,"n.a.",F156/C156)</x:f>
        <x:v>471.8194117647059</x:v>
      </x:c>
      <x:c r="J156" s="3"/>
      <x:c r="K156" s="3"/>
      <x:c r="L156" s="3"/>
    </x:row>
    <x:row r="157" ht="22" customHeight="1">
      <x:c r="A157" s="3"/>
      <x:c r="B157" s="3" t="str">
        <x:v>12435</x:v>
      </x:c>
      <x:c r="C157" s="3" t="n">
        <x:v>2</x:v>
      </x:c>
      <x:c r="D157" s="51" t="n">
        <x:v>40807</x:v>
      </x:c>
      <x:c r="E157" s="3" t="str">
        <x:v>Recurrente</x:v>
      </x:c>
      <x:c r="F157" s="13" t="n">
        <x:v>7829.89</x:v>
      </x:c>
      <x:c r="G157" s="13" t="n">
        <x:v>0</x:v>
      </x:c>
      <x:c r="H157" s="13" t="n">
        <x:f>F157-G157</x:f>
        <x:v>7829.89</x:v>
      </x:c>
      <x:c r="I157" s="13" t="n">
        <x:f>IF(C157=0,"n.a.",F157/C157)</x:f>
        <x:v>3914.945</x:v>
      </x:c>
      <x:c r="J157" s="3"/>
      <x:c r="K157" s="3"/>
      <x:c r="L157" s="3"/>
    </x:row>
    <x:row r="158" ht="22" customHeight="1">
      <x:c r="A158" s="3"/>
      <x:c r="B158" s="3" t="str">
        <x:v>15290</x:v>
      </x:c>
      <x:c r="C158" s="3" t="n">
        <x:v>18</x:v>
      </x:c>
      <x:c r="D158" s="51" t="n">
        <x:v>40882</x:v>
      </x:c>
      <x:c r="E158" s="3" t="str">
        <x:v>Recurrente</x:v>
      </x:c>
      <x:c r="F158" s="13" t="n">
        <x:v>7943.22</x:v>
      </x:c>
      <x:c r="G158" s="13" t="n">
        <x:v>139.45</x:v>
      </x:c>
      <x:c r="H158" s="13" t="n">
        <x:f>F158-G158</x:f>
        <x:v>7803.77</x:v>
      </x:c>
      <x:c r="I158" s="13" t="n">
        <x:f>IF(C158=0,"n.a.",F158/C158)</x:f>
        <x:v>441.29</x:v>
      </x:c>
      <x:c r="J158" s="3"/>
      <x:c r="K158" s="3"/>
      <x:c r="L158" s="3"/>
    </x:row>
    <x:row r="159" ht="22" customHeight="1">
      <x:c r="A159" s="3"/>
      <x:c r="B159" s="3" t="str">
        <x:v>13629</x:v>
      </x:c>
      <x:c r="C159" s="3" t="n">
        <x:v>11</x:v>
      </x:c>
      <x:c r="D159" s="51" t="n">
        <x:v>40863</x:v>
      </x:c>
      <x:c r="E159" s="3" t="str">
        <x:v>Recurrente</x:v>
      </x:c>
      <x:c r="F159" s="13" t="n">
        <x:v>7792.36</x:v>
      </x:c>
      <x:c r="G159" s="13" t="n">
        <x:v>0</x:v>
      </x:c>
      <x:c r="H159" s="13" t="n">
        <x:f>F159-G159</x:f>
        <x:v>7792.36</x:v>
      </x:c>
      <x:c r="I159" s="13" t="n">
        <x:f>IF(C159=0,"n.a.",F159/C159)</x:f>
        <x:v>708.3963636363636</x:v>
      </x:c>
      <x:c r="J159" s="3"/>
      <x:c r="K159" s="3"/>
      <x:c r="L159" s="3"/>
    </x:row>
    <x:row r="160" ht="22" customHeight="1">
      <x:c r="A160" s="3"/>
      <x:c r="B160" s="3" t="str">
        <x:v>13093</x:v>
      </x:c>
      <x:c r="C160" s="3" t="n">
        <x:v>8</x:v>
      </x:c>
      <x:c r="D160" s="51" t="n">
        <x:v>40611</x:v>
      </x:c>
      <x:c r="E160" s="3" t="str">
        <x:v>Recurrente</x:v>
      </x:c>
      <x:c r="F160" s="13" t="n">
        <x:v>7832.47</x:v>
      </x:c>
      <x:c r="G160" s="13" t="n">
        <x:v>91</x:v>
      </x:c>
      <x:c r="H160" s="13" t="n">
        <x:f>F160-G160</x:f>
        <x:v>7741.47</x:v>
      </x:c>
      <x:c r="I160" s="13" t="n">
        <x:f>IF(C160=0,"n.a.",F160/C160)</x:f>
        <x:v>979.05875</x:v>
      </x:c>
      <x:c r="J160" s="3"/>
      <x:c r="K160" s="3"/>
      <x:c r="L160" s="3"/>
    </x:row>
    <x:row r="161" ht="22" customHeight="1">
      <x:c r="A161" s="3"/>
      <x:c r="B161" s="3" t="str">
        <x:v>17811</x:v>
      </x:c>
      <x:c r="C161" s="3" t="n">
        <x:v>39</x:v>
      </x:c>
      <x:c r="D161" s="51" t="n">
        <x:v>40882</x:v>
      </x:c>
      <x:c r="E161" s="3" t="str">
        <x:v>Recurrente</x:v>
      </x:c>
      <x:c r="F161" s="13" t="n">
        <x:v>7831.03</x:v>
      </x:c>
      <x:c r="G161" s="13" t="n">
        <x:v>160.02</x:v>
      </x:c>
      <x:c r="H161" s="13" t="n">
        <x:f>F161-G161</x:f>
        <x:v>7671.009999999999</x:v>
      </x:c>
      <x:c r="I161" s="13" t="n">
        <x:f>IF(C161=0,"n.a.",F161/C161)</x:f>
        <x:v>200.79564102564103</x:v>
      </x:c>
      <x:c r="J161" s="3"/>
      <x:c r="K161" s="3"/>
      <x:c r="L161" s="3"/>
    </x:row>
    <x:row r="162" ht="22" customHeight="1">
      <x:c r="A162" s="3"/>
      <x:c r="B162" s="3" t="str">
        <x:v>15044</x:v>
      </x:c>
      <x:c r="C162" s="3" t="n">
        <x:v>17</x:v>
      </x:c>
      <x:c r="D162" s="51" t="n">
        <x:v>40867</x:v>
      </x:c>
      <x:c r="E162" s="3" t="str">
        <x:v>Recurrente</x:v>
      </x:c>
      <x:c r="F162" s="13" t="n">
        <x:v>7700.23</x:v>
      </x:c>
      <x:c r="G162" s="13" t="n">
        <x:v>70.85</x:v>
      </x:c>
      <x:c r="H162" s="13" t="n">
        <x:f>F162-G162</x:f>
        <x:v>7629.379999999999</x:v>
      </x:c>
      <x:c r="I162" s="13" t="n">
        <x:f>IF(C162=0,"n.a.",F162/C162)</x:f>
        <x:v>452.9547058823529</x:v>
      </x:c>
      <x:c r="J162" s="3"/>
      <x:c r="K162" s="3"/>
      <x:c r="L162" s="3"/>
    </x:row>
    <x:row r="163" ht="22" customHeight="1">
      <x:c r="A163" s="3"/>
      <x:c r="B163" s="3" t="str">
        <x:v>15194</x:v>
      </x:c>
      <x:c r="C163" s="3" t="n">
        <x:v>15</x:v>
      </x:c>
      <x:c r="D163" s="51" t="n">
        <x:v>40883</x:v>
      </x:c>
      <x:c r="E163" s="3" t="str">
        <x:v>Recurrente</x:v>
      </x:c>
      <x:c r="F163" s="13" t="n">
        <x:v>7616.53</x:v>
      </x:c>
      <x:c r="G163" s="13" t="n">
        <x:v>95.36</x:v>
      </x:c>
      <x:c r="H163" s="13" t="n">
        <x:f>F163-G163</x:f>
        <x:v>7521.17</x:v>
      </x:c>
      <x:c r="I163" s="13" t="n">
        <x:f>IF(C163=0,"n.a.",F163/C163)</x:f>
        <x:v>507.76866666666666</x:v>
      </x:c>
      <x:c r="J163" s="3"/>
      <x:c r="K163" s="3"/>
      <x:c r="L163" s="3"/>
    </x:row>
    <x:row r="164" ht="22" customHeight="1">
      <x:c r="A164" s="3"/>
      <x:c r="B164" s="3" t="str">
        <x:v>18172</x:v>
      </x:c>
      <x:c r="C164" s="3" t="n">
        <x:v>20</x:v>
      </x:c>
      <x:c r="D164" s="51" t="n">
        <x:v>40872</x:v>
      </x:c>
      <x:c r="E164" s="3" t="str">
        <x:v>Recurrente</x:v>
      </x:c>
      <x:c r="F164" s="13" t="n">
        <x:v>7561.68</x:v>
      </x:c>
      <x:c r="G164" s="13" t="n">
        <x:v>71.51</x:v>
      </x:c>
      <x:c r="H164" s="13" t="n">
        <x:f>F164-G164</x:f>
        <x:v>7490.17</x:v>
      </x:c>
      <x:c r="I164" s="13" t="n">
        <x:f>IF(C164=0,"n.a.",F164/C164)</x:f>
        <x:v>378.084</x:v>
      </x:c>
      <x:c r="J164" s="3"/>
      <x:c r="K164" s="3"/>
      <x:c r="L164" s="3"/>
    </x:row>
    <x:row r="165" ht="22" customHeight="1">
      <x:c r="A165" s="3"/>
      <x:c r="B165" s="3" t="str">
        <x:v>13263</x:v>
      </x:c>
      <x:c r="C165" s="3" t="n">
        <x:v>34</x:v>
      </x:c>
      <x:c r="D165" s="51" t="n">
        <x:v>40885</x:v>
      </x:c>
      <x:c r="E165" s="3" t="str">
        <x:v>Recurrente</x:v>
      </x:c>
      <x:c r="F165" s="13" t="n">
        <x:v>7428.85</x:v>
      </x:c>
      <x:c r="G165" s="13" t="n">
        <x:v>0</x:v>
      </x:c>
      <x:c r="H165" s="13" t="n">
        <x:f>F165-G165</x:f>
        <x:v>7428.85</x:v>
      </x:c>
      <x:c r="I165" s="13" t="n">
        <x:f>IF(C165=0,"n.a.",F165/C165)</x:f>
        <x:v>218.49558823529412</x:v>
      </x:c>
      <x:c r="J165" s="3"/>
      <x:c r="K165" s="3"/>
      <x:c r="L165" s="3"/>
    </x:row>
    <x:row r="166" ht="22" customHeight="1">
      <x:c r="A166" s="3"/>
      <x:c r="B166" s="3" t="str">
        <x:v>12683</x:v>
      </x:c>
      <x:c r="C166" s="3" t="n">
        <x:v>14</x:v>
      </x:c>
      <x:c r="D166" s="51" t="n">
        <x:v>40882</x:v>
      </x:c>
      <x:c r="E166" s="3" t="str">
        <x:v>Recurrente</x:v>
      </x:c>
      <x:c r="F166" s="13" t="n">
        <x:v>7612.57</x:v>
      </x:c>
      <x:c r="G166" s="13" t="n">
        <x:v>255.48</x:v>
      </x:c>
      <x:c r="H166" s="13" t="n">
        <x:f>F166-G166</x:f>
        <x:v>7357.09</x:v>
      </x:c>
      <x:c r="I166" s="13" t="n">
        <x:f>IF(C166=0,"n.a.",F166/C166)</x:f>
        <x:v>543.755</x:v>
      </x:c>
      <x:c r="J166" s="3"/>
      <x:c r="K166" s="3"/>
      <x:c r="L166" s="3"/>
    </x:row>
    <x:row r="167" ht="22" customHeight="1">
      <x:c r="A167" s="3"/>
      <x:c r="B167" s="3" t="str">
        <x:v>17396</x:v>
      </x:c>
      <x:c r="C167" s="3" t="n">
        <x:v>7</x:v>
      </x:c>
      <x:c r="D167" s="51" t="n">
        <x:v>40847</x:v>
      </x:c>
      <x:c r="E167" s="3" t="str">
        <x:v>Recurrente</x:v>
      </x:c>
      <x:c r="F167" s="13" t="n">
        <x:v>7312.8</x:v>
      </x:c>
      <x:c r="G167" s="13" t="n">
        <x:v>0</x:v>
      </x:c>
      <x:c r="H167" s="13" t="n">
        <x:f>F167-G167</x:f>
        <x:v>7312.8</x:v>
      </x:c>
      <x:c r="I167" s="13" t="n">
        <x:f>IF(C167=0,"n.a.",F167/C167)</x:f>
        <x:v>1044.6857142857143</x:v>
      </x:c>
      <x:c r="J167" s="3"/>
      <x:c r="K167" s="3"/>
      <x:c r="L167" s="3"/>
    </x:row>
    <x:row r="168" ht="22" customHeight="1">
      <x:c r="A168" s="3"/>
      <x:c r="B168" s="3" t="str">
        <x:v>18229</x:v>
      </x:c>
      <x:c r="C168" s="3" t="n">
        <x:v>20</x:v>
      </x:c>
      <x:c r="D168" s="51" t="n">
        <x:v>40875</x:v>
      </x:c>
      <x:c r="E168" s="3" t="str">
        <x:v>Recurrente</x:v>
      </x:c>
      <x:c r="F168" s="13" t="n">
        <x:v>7276.9</x:v>
      </x:c>
      <x:c r="G168" s="13" t="n">
        <x:v>0</x:v>
      </x:c>
      <x:c r="H168" s="13" t="n">
        <x:f>F168-G168</x:f>
        <x:v>7276.9</x:v>
      </x:c>
      <x:c r="I168" s="13" t="n">
        <x:f>IF(C168=0,"n.a.",F168/C168)</x:f>
        <x:v>363.84499999999997</x:v>
      </x:c>
      <x:c r="J168" s="3"/>
      <x:c r="K168" s="3"/>
      <x:c r="L168" s="3"/>
    </x:row>
    <x:row r="169" ht="22" customHeight="1">
      <x:c r="A169" s="3"/>
      <x:c r="B169" s="3" t="str">
        <x:v>13018</x:v>
      </x:c>
      <x:c r="C169" s="3" t="n">
        <x:v>28</x:v>
      </x:c>
      <x:c r="D169" s="51" t="n">
        <x:v>40870</x:v>
      </x:c>
      <x:c r="E169" s="3" t="str">
        <x:v>Recurrente</x:v>
      </x:c>
      <x:c r="F169" s="13" t="n">
        <x:v>7277.7</x:v>
      </x:c>
      <x:c r="G169" s="13" t="n">
        <x:v>4.95</x:v>
      </x:c>
      <x:c r="H169" s="13" t="n">
        <x:f>F169-G169</x:f>
        <x:v>7272.75</x:v>
      </x:c>
      <x:c r="I169" s="13" t="n">
        <x:f>IF(C169=0,"n.a.",F169/C169)</x:f>
        <x:v>259.91785714285714</x:v>
      </x:c>
      <x:c r="J169" s="3"/>
      <x:c r="K169" s="3"/>
      <x:c r="L169" s="3"/>
    </x:row>
    <x:row r="170" ht="22" customHeight="1">
      <x:c r="A170" s="3"/>
      <x:c r="B170" s="3" t="str">
        <x:v>16745</x:v>
      </x:c>
      <x:c r="C170" s="3" t="n">
        <x:v>17</x:v>
      </x:c>
      <x:c r="D170" s="51" t="n">
        <x:v>40800</x:v>
      </x:c>
      <x:c r="E170" s="3" t="str">
        <x:v>Recurrente</x:v>
      </x:c>
      <x:c r="F170" s="13" t="n">
        <x:v>7194.3</x:v>
      </x:c>
      <x:c r="G170" s="13" t="n">
        <x:v>23.6</x:v>
      </x:c>
      <x:c r="H170" s="13" t="n">
        <x:f>F170-G170</x:f>
        <x:v>7170.7</x:v>
      </x:c>
      <x:c r="I170" s="13" t="n">
        <x:f>IF(C170=0,"n.a.",F170/C170)</x:f>
        <x:v>423.1941176470588</x:v>
      </x:c>
      <x:c r="J170" s="3"/>
      <x:c r="K170" s="3"/>
      <x:c r="L170" s="3"/>
    </x:row>
    <x:row r="171" ht="22" customHeight="1">
      <x:c r="A171" s="3"/>
      <x:c r="B171" s="3" t="str">
        <x:v>12980</x:v>
      </x:c>
      <x:c r="C171" s="3" t="n">
        <x:v>9</x:v>
      </x:c>
      <x:c r="D171" s="51" t="n">
        <x:v>40729</x:v>
      </x:c>
      <x:c r="E171" s="3" t="str">
        <x:v>Recurrente</x:v>
      </x:c>
      <x:c r="F171" s="13" t="n">
        <x:v>7374.9</x:v>
      </x:c>
      <x:c r="G171" s="13" t="n">
        <x:v>282.84</x:v>
      </x:c>
      <x:c r="H171" s="13" t="n">
        <x:f>F171-G171</x:f>
        <x:v>7092.0599999999995</x:v>
      </x:c>
      <x:c r="I171" s="13" t="n">
        <x:f>IF(C171=0,"n.a.",F171/C171)</x:f>
        <x:v>819.4333333333333</x:v>
      </x:c>
      <x:c r="J171" s="3"/>
      <x:c r="K171" s="3"/>
      <x:c r="L171" s="3"/>
    </x:row>
    <x:row r="172" ht="22" customHeight="1">
      <x:c r="A172" s="3"/>
      <x:c r="B172" s="3" t="str">
        <x:v>16729</x:v>
      </x:c>
      <x:c r="C172" s="3" t="n">
        <x:v>21</x:v>
      </x:c>
      <x:c r="D172" s="51" t="n">
        <x:v>40848</x:v>
      </x:c>
      <x:c r="E172" s="3" t="str">
        <x:v>Recurrente</x:v>
      </x:c>
      <x:c r="F172" s="13" t="n">
        <x:v>7236.6</x:v>
      </x:c>
      <x:c r="G172" s="13" t="n">
        <x:v>156.6</x:v>
      </x:c>
      <x:c r="H172" s="13" t="n">
        <x:f>F172-G172</x:f>
        <x:v>7080</x:v>
      </x:c>
      <x:c r="I172" s="13" t="n">
        <x:f>IF(C172=0,"n.a.",F172/C172)</x:f>
        <x:v>344.6</x:v>
      </x:c>
      <x:c r="J172" s="3"/>
      <x:c r="K172" s="3"/>
      <x:c r="L172" s="3"/>
    </x:row>
    <x:row r="173" ht="22" customHeight="1">
      <x:c r="A173" s="3"/>
      <x:c r="B173" s="3" t="str">
        <x:v>13324</x:v>
      </x:c>
      <x:c r="C173" s="3" t="n">
        <x:v>10</x:v>
      </x:c>
      <x:c r="D173" s="51" t="n">
        <x:v>40850</x:v>
      </x:c>
      <x:c r="E173" s="3" t="str">
        <x:v>Recurrente</x:v>
      </x:c>
      <x:c r="F173" s="13" t="n">
        <x:v>7121.95</x:v>
      </x:c>
      <x:c r="G173" s="13" t="n">
        <x:v>49.15</x:v>
      </x:c>
      <x:c r="H173" s="13" t="n">
        <x:f>F173-G173</x:f>
        <x:v>7072.8</x:v>
      </x:c>
      <x:c r="I173" s="13" t="n">
        <x:f>IF(C173=0,"n.a.",F173/C173)</x:f>
        <x:v>712.1949999999999</x:v>
      </x:c>
      <x:c r="J173" s="3"/>
      <x:c r="K173" s="3"/>
      <x:c r="L173" s="3"/>
    </x:row>
    <x:row r="174" ht="22" customHeight="1">
      <x:c r="A174" s="3"/>
      <x:c r="B174" s="3" t="str">
        <x:v>16873</x:v>
      </x:c>
      <x:c r="C174" s="3" t="n">
        <x:v>6</x:v>
      </x:c>
      <x:c r="D174" s="51" t="n">
        <x:v>40882</x:v>
      </x:c>
      <x:c r="E174" s="3" t="str">
        <x:v>Recurrente</x:v>
      </x:c>
      <x:c r="F174" s="13" t="n">
        <x:v>7123.62</x:v>
      </x:c>
      <x:c r="G174" s="13" t="n">
        <x:v>57.31</x:v>
      </x:c>
      <x:c r="H174" s="13" t="n">
        <x:f>F174-G174</x:f>
        <x:v>7066.3099999999995</x:v>
      </x:c>
      <x:c r="I174" s="13" t="n">
        <x:f>IF(C174=0,"n.a.",F174/C174)</x:f>
        <x:v>1187.27</x:v>
      </x:c>
      <x:c r="J174" s="3"/>
      <x:c r="K174" s="3"/>
      <x:c r="L174" s="3"/>
    </x:row>
    <x:row r="175" ht="22" customHeight="1">
      <x:c r="A175" s="3"/>
      <x:c r="B175" s="3" t="str">
        <x:v>13985</x:v>
      </x:c>
      <x:c r="C175" s="3" t="n">
        <x:v>15</x:v>
      </x:c>
      <x:c r="D175" s="51" t="n">
        <x:v>40882</x:v>
      </x:c>
      <x:c r="E175" s="3" t="str">
        <x:v>Recurrente</x:v>
      </x:c>
      <x:c r="F175" s="13" t="n">
        <x:v>7060.13</x:v>
      </x:c>
      <x:c r="G175" s="13" t="n">
        <x:v>35.6</x:v>
      </x:c>
      <x:c r="H175" s="13" t="n">
        <x:f>F175-G175</x:f>
        <x:v>7024.53</x:v>
      </x:c>
      <x:c r="I175" s="13" t="n">
        <x:f>IF(C175=0,"n.a.",F175/C175)</x:f>
        <x:v>470.67533333333336</x:v>
      </x:c>
      <x:c r="J175" s="3"/>
      <x:c r="K175" s="3"/>
      <x:c r="L175" s="3"/>
    </x:row>
    <x:row r="176" ht="22" customHeight="1">
      <x:c r="A176" s="3"/>
      <x:c r="B176" s="3" t="str">
        <x:v>14961</x:v>
      </x:c>
      <x:c r="C176" s="3" t="n">
        <x:v>9</x:v>
      </x:c>
      <x:c r="D176" s="51" t="n">
        <x:v>40876</x:v>
      </x:c>
      <x:c r="E176" s="3" t="str">
        <x:v>Recurrente</x:v>
      </x:c>
      <x:c r="F176" s="13" t="n">
        <x:v>7044.68</x:v>
      </x:c>
      <x:c r="G176" s="13" t="n">
        <x:v>38.1</x:v>
      </x:c>
      <x:c r="H176" s="13" t="n">
        <x:f>F176-G176</x:f>
        <x:v>7006.58</x:v>
      </x:c>
      <x:c r="I176" s="13" t="n">
        <x:f>IF(C176=0,"n.a.",F176/C176)</x:f>
        <x:v>782.7422222222223</x:v>
      </x:c>
      <x:c r="J176" s="3"/>
      <x:c r="K176" s="3"/>
      <x:c r="L176" s="3"/>
    </x:row>
    <x:row r="177" ht="22" customHeight="1">
      <x:c r="A177" s="3"/>
      <x:c r="B177" s="3" t="str">
        <x:v>12798</x:v>
      </x:c>
      <x:c r="C177" s="3" t="n">
        <x:v>3</x:v>
      </x:c>
      <x:c r="D177" s="51" t="n">
        <x:v>40876</x:v>
      </x:c>
      <x:c r="E177" s="3" t="str">
        <x:v>Recurrente</x:v>
      </x:c>
      <x:c r="F177" s="13" t="n">
        <x:v>6977.04</x:v>
      </x:c>
      <x:c r="G177" s="13" t="n">
        <x:v>0</x:v>
      </x:c>
      <x:c r="H177" s="13" t="n">
        <x:f>F177-G177</x:f>
        <x:v>6977.04</x:v>
      </x:c>
      <x:c r="I177" s="13" t="n">
        <x:f>IF(C177=0,"n.a.",F177/C177)</x:f>
        <x:v>2325.68</x:v>
      </x:c>
      <x:c r="J177" s="3"/>
      <x:c r="K177" s="3"/>
      <x:c r="L177" s="3"/>
    </x:row>
    <x:row r="178" ht="22" customHeight="1">
      <x:c r="A178" s="3"/>
      <x:c r="B178" s="3" t="str">
        <x:v>15465</x:v>
      </x:c>
      <x:c r="C178" s="3" t="n">
        <x:v>18</x:v>
      </x:c>
      <x:c r="D178" s="51" t="n">
        <x:v>40867</x:v>
      </x:c>
      <x:c r="E178" s="3" t="str">
        <x:v>Recurrente</x:v>
      </x:c>
      <x:c r="F178" s="13" t="n">
        <x:v>7354.62</x:v>
      </x:c>
      <x:c r="G178" s="13" t="n">
        <x:v>409.6</x:v>
      </x:c>
      <x:c r="H178" s="13" t="n">
        <x:f>F178-G178</x:f>
        <x:v>6945.0199999999995</x:v>
      </x:c>
      <x:c r="I178" s="13" t="n">
        <x:f>IF(C178=0,"n.a.",F178/C178)</x:f>
        <x:v>408.59</x:v>
      </x:c>
      <x:c r="J178" s="3"/>
      <x:c r="K178" s="3"/>
      <x:c r="L178" s="3"/>
    </x:row>
    <x:row r="179" ht="22" customHeight="1">
      <x:c r="A179" s="3"/>
      <x:c r="B179" s="3" t="str">
        <x:v>13027</x:v>
      </x:c>
      <x:c r="C179" s="3" t="n">
        <x:v>6</x:v>
      </x:c>
      <x:c r="D179" s="51" t="n">
        <x:v>40773</x:v>
      </x:c>
      <x:c r="E179" s="3" t="str">
        <x:v>Recurrente</x:v>
      </x:c>
      <x:c r="F179" s="13" t="n">
        <x:v>6912</x:v>
      </x:c>
      <x:c r="G179" s="13" t="n">
        <x:v>0</x:v>
      </x:c>
      <x:c r="H179" s="13" t="n">
        <x:f>F179-G179</x:f>
        <x:v>6912</x:v>
      </x:c>
      <x:c r="I179" s="13" t="n">
        <x:f>IF(C179=0,"n.a.",F179/C179)</x:f>
        <x:v>1152</x:v>
      </x:c>
      <x:c r="J179" s="3"/>
      <x:c r="K179" s="3"/>
      <x:c r="L179" s="3"/>
    </x:row>
    <x:row r="180" ht="22" customHeight="1">
      <x:c r="A180" s="3"/>
      <x:c r="B180" s="3" t="str">
        <x:v>12989</x:v>
      </x:c>
      <x:c r="C180" s="3" t="n">
        <x:v>15</x:v>
      </x:c>
      <x:c r="D180" s="51" t="n">
        <x:v>40883</x:v>
      </x:c>
      <x:c r="E180" s="3" t="str">
        <x:v>Recurrente</x:v>
      </x:c>
      <x:c r="F180" s="13" t="n">
        <x:v>6924.11</x:v>
      </x:c>
      <x:c r="G180" s="13" t="n">
        <x:v>69.6</x:v>
      </x:c>
      <x:c r="H180" s="13" t="n">
        <x:f>F180-G180</x:f>
        <x:v>6854.509999999999</x:v>
      </x:c>
      <x:c r="I180" s="13" t="n">
        <x:f>IF(C180=0,"n.a.",F180/C180)</x:f>
        <x:v>461.6073333333333</x:v>
      </x:c>
      <x:c r="J180" s="3"/>
      <x:c r="K180" s="3"/>
      <x:c r="L180" s="3"/>
    </x:row>
    <x:row r="181" ht="22" customHeight="1">
      <x:c r="A181" s="3"/>
      <x:c r="B181" s="3" t="str">
        <x:v>16187</x:v>
      </x:c>
      <x:c r="C181" s="3" t="n">
        <x:v>15</x:v>
      </x:c>
      <x:c r="D181" s="51" t="n">
        <x:v>40855</x:v>
      </x:c>
      <x:c r="E181" s="3" t="str">
        <x:v>Recurrente</x:v>
      </x:c>
      <x:c r="F181" s="13" t="n">
        <x:v>6911.44</x:v>
      </x:c>
      <x:c r="G181" s="13" t="n">
        <x:v>70.2</x:v>
      </x:c>
      <x:c r="H181" s="13" t="n">
        <x:f>F181-G181</x:f>
        <x:v>6841.24</x:v>
      </x:c>
      <x:c r="I181" s="13" t="n">
        <x:f>IF(C181=0,"n.a.",F181/C181)</x:f>
        <x:v>460.76266666666663</x:v>
      </x:c>
      <x:c r="J181" s="3"/>
      <x:c r="K181" s="3"/>
      <x:c r="L181" s="3"/>
    </x:row>
    <x:row r="182" ht="22" customHeight="1">
      <x:c r="A182" s="3"/>
      <x:c r="B182" s="3" t="str">
        <x:v>16713</x:v>
      </x:c>
      <x:c r="C182" s="3" t="n">
        <x:v>15</x:v>
      </x:c>
      <x:c r="D182" s="51" t="n">
        <x:v>40868</x:v>
      </x:c>
      <x:c r="E182" s="3" t="str">
        <x:v>Recurrente</x:v>
      </x:c>
      <x:c r="F182" s="13" t="n">
        <x:v>6923.13</x:v>
      </x:c>
      <x:c r="G182" s="13" t="n">
        <x:v>82.9</x:v>
      </x:c>
      <x:c r="H182" s="13" t="n">
        <x:f>F182-G182</x:f>
        <x:v>6840.2300000000005</x:v>
      </x:c>
      <x:c r="I182" s="13" t="n">
        <x:f>IF(C182=0,"n.a.",F182/C182)</x:f>
        <x:v>461.54200000000003</x:v>
      </x:c>
      <x:c r="J182" s="3"/>
      <x:c r="K182" s="3"/>
      <x:c r="L182" s="3"/>
    </x:row>
    <x:row r="183" ht="22" customHeight="1">
      <x:c r="A183" s="3"/>
      <x:c r="B183" s="3" t="str">
        <x:v>17416</x:v>
      </x:c>
      <x:c r="C183" s="3" t="n">
        <x:v>7</x:v>
      </x:c>
      <x:c r="D183" s="51" t="n">
        <x:v>40857</x:v>
      </x:c>
      <x:c r="E183" s="3" t="str">
        <x:v>Recurrente</x:v>
      </x:c>
      <x:c r="F183" s="13" t="n">
        <x:v>6893.42</x:v>
      </x:c>
      <x:c r="G183" s="13" t="n">
        <x:v>55.08</x:v>
      </x:c>
      <x:c r="H183" s="13" t="n">
        <x:f>F183-G183</x:f>
        <x:v>6838.34</x:v>
      </x:c>
      <x:c r="I183" s="13" t="n">
        <x:f>IF(C183=0,"n.a.",F183/C183)</x:f>
        <x:v>984.7742857142857</x:v>
      </x:c>
      <x:c r="J183" s="3"/>
      <x:c r="K183" s="3"/>
      <x:c r="L183" s="3"/>
    </x:row>
    <x:row r="184" ht="22" customHeight="1">
      <x:c r="A184" s="3"/>
      <x:c r="B184" s="3" t="str">
        <x:v>12830</x:v>
      </x:c>
      <x:c r="C184" s="3" t="n">
        <x:v>6</x:v>
      </x:c>
      <x:c r="D184" s="51" t="n">
        <x:v>40849</x:v>
      </x:c>
      <x:c r="E184" s="3" t="str">
        <x:v>Recurrente</x:v>
      </x:c>
      <x:c r="F184" s="13" t="n">
        <x:v>6814.64</x:v>
      </x:c>
      <x:c r="G184" s="13" t="n">
        <x:v>0</x:v>
      </x:c>
      <x:c r="H184" s="13" t="n">
        <x:f>F184-G184</x:f>
        <x:v>6814.64</x:v>
      </x:c>
      <x:c r="I184" s="13" t="n">
        <x:f>IF(C184=0,"n.a.",F184/C184)</x:f>
        <x:v>1135.7733333333333</x:v>
      </x:c>
      <x:c r="J184" s="3"/>
      <x:c r="K184" s="3"/>
      <x:c r="L184" s="3"/>
    </x:row>
    <x:row r="185" ht="22" customHeight="1">
      <x:c r="A185" s="3"/>
      <x:c r="B185" s="3" t="str">
        <x:v>18055</x:v>
      </x:c>
      <x:c r="C185" s="3" t="n">
        <x:v>10</x:v>
      </x:c>
      <x:c r="D185" s="51" t="n">
        <x:v>40879</x:v>
      </x:c>
      <x:c r="E185" s="3" t="str">
        <x:v>Recurrente</x:v>
      </x:c>
      <x:c r="F185" s="13" t="n">
        <x:v>6784.19</x:v>
      </x:c>
      <x:c r="G185" s="13" t="n">
        <x:v>32.05</x:v>
      </x:c>
      <x:c r="H185" s="13" t="n">
        <x:f>F185-G185</x:f>
        <x:v>6752.139999999999</x:v>
      </x:c>
      <x:c r="I185" s="13" t="n">
        <x:f>IF(C185=0,"n.a.",F185/C185)</x:f>
        <x:v>678.419</x:v>
      </x:c>
      <x:c r="J185" s="3"/>
      <x:c r="K185" s="3"/>
      <x:c r="L185" s="3"/>
    </x:row>
    <x:row r="186" ht="22" customHeight="1">
      <x:c r="A186" s="3"/>
      <x:c r="B186" s="3" t="str">
        <x:v>16532</x:v>
      </x:c>
      <x:c r="C186" s="3" t="n">
        <x:v>3</x:v>
      </x:c>
      <x:c r="D186" s="51" t="n">
        <x:v>40869</x:v>
      </x:c>
      <x:c r="E186" s="3" t="str">
        <x:v>Recurrente</x:v>
      </x:c>
      <x:c r="F186" s="13" t="n">
        <x:v>6748.8</x:v>
      </x:c>
      <x:c r="G186" s="13" t="n">
        <x:v>0</x:v>
      </x:c>
      <x:c r="H186" s="13" t="n">
        <x:f>F186-G186</x:f>
        <x:v>6748.8</x:v>
      </x:c>
      <x:c r="I186" s="13" t="n">
        <x:f>IF(C186=0,"n.a.",F186/C186)</x:f>
        <x:v>2249.6</x:v>
      </x:c>
      <x:c r="J186" s="3"/>
      <x:c r="K186" s="3"/>
      <x:c r="L186" s="3"/>
    </x:row>
    <x:row r="187" ht="22" customHeight="1">
      <x:c r="A187" s="3"/>
      <x:c r="B187" s="3" t="str">
        <x:v>15601</x:v>
      </x:c>
      <x:c r="C187" s="3" t="n">
        <x:v>14</x:v>
      </x:c>
      <x:c r="D187" s="51" t="n">
        <x:v>40875</x:v>
      </x:c>
      <x:c r="E187" s="3" t="str">
        <x:v>Recurrente</x:v>
      </x:c>
      <x:c r="F187" s="13" t="n">
        <x:v>6776.56</x:v>
      </x:c>
      <x:c r="G187" s="13" t="n">
        <x:v>31.2</x:v>
      </x:c>
      <x:c r="H187" s="13" t="n">
        <x:f>F187-G187</x:f>
        <x:v>6745.360000000001</x:v>
      </x:c>
      <x:c r="I187" s="13" t="n">
        <x:f>IF(C187=0,"n.a.",F187/C187)</x:f>
        <x:v>484.04</x:v>
      </x:c>
      <x:c r="J187" s="3"/>
      <x:c r="K187" s="3"/>
      <x:c r="L187" s="3"/>
    </x:row>
    <x:row r="188" ht="22" customHeight="1">
      <x:c r="A188" s="3"/>
      <x:c r="B188" s="3" t="str">
        <x:v>15023</x:v>
      </x:c>
      <x:c r="C188" s="3" t="n">
        <x:v>11</x:v>
      </x:c>
      <x:c r="D188" s="51" t="n">
        <x:v>40883</x:v>
      </x:c>
      <x:c r="E188" s="3" t="str">
        <x:v>Recurrente</x:v>
      </x:c>
      <x:c r="F188" s="13" t="n">
        <x:v>6783.86</x:v>
      </x:c>
      <x:c r="G188" s="13" t="n">
        <x:v>39.6</x:v>
      </x:c>
      <x:c r="H188" s="13" t="n">
        <x:f>F188-G188</x:f>
        <x:v>6744.259999999999</x:v>
      </x:c>
      <x:c r="I188" s="13" t="n">
        <x:f>IF(C188=0,"n.a.",F188/C188)</x:f>
        <x:v>616.7145454545454</x:v>
      </x:c>
      <x:c r="J188" s="3"/>
      <x:c r="K188" s="3"/>
      <x:c r="L188" s="3"/>
    </x:row>
    <x:row r="189" ht="22" customHeight="1">
      <x:c r="A189" s="3"/>
      <x:c r="B189" s="3" t="str">
        <x:v>13576</x:v>
      </x:c>
      <x:c r="C189" s="3" t="n">
        <x:v>18</x:v>
      </x:c>
      <x:c r="D189" s="51" t="n">
        <x:v>40876</x:v>
      </x:c>
      <x:c r="E189" s="3" t="str">
        <x:v>Recurrente</x:v>
      </x:c>
      <x:c r="F189" s="13" t="n">
        <x:v>6717.34</x:v>
      </x:c>
      <x:c r="G189" s="13" t="n">
        <x:v>14.04</x:v>
      </x:c>
      <x:c r="H189" s="13" t="n">
        <x:f>F189-G189</x:f>
        <x:v>6703.3</x:v>
      </x:c>
      <x:c r="I189" s="13" t="n">
        <x:f>IF(C189=0,"n.a.",F189/C189)</x:f>
        <x:v>373.18555555555554</x:v>
      </x:c>
      <x:c r="J189" s="3"/>
      <x:c r="K189" s="3"/>
      <x:c r="L189" s="3"/>
    </x:row>
    <x:row r="190" ht="22" customHeight="1">
      <x:c r="A190" s="3"/>
      <x:c r="B190" s="3" t="str">
        <x:v>16746</x:v>
      </x:c>
      <x:c r="C190" s="3" t="n">
        <x:v>18</x:v>
      </x:c>
      <x:c r="D190" s="51" t="n">
        <x:v>40882</x:v>
      </x:c>
      <x:c r="E190" s="3" t="str">
        <x:v>Recurrente</x:v>
      </x:c>
      <x:c r="F190" s="13" t="n">
        <x:v>6697.66</x:v>
      </x:c>
      <x:c r="G190" s="13" t="n">
        <x:v>3.35</x:v>
      </x:c>
      <x:c r="H190" s="13" t="n">
        <x:f>F190-G190</x:f>
        <x:v>6694.3099999999995</x:v>
      </x:c>
      <x:c r="I190" s="13" t="n">
        <x:f>IF(C190=0,"n.a.",F190/C190)</x:f>
        <x:v>372.09222222222223</x:v>
      </x:c>
      <x:c r="J190" s="3"/>
      <x:c r="K190" s="3"/>
      <x:c r="L190" s="3"/>
    </x:row>
    <x:row r="191" ht="22" customHeight="1">
      <x:c r="A191" s="3"/>
      <x:c r="B191" s="3" t="str">
        <x:v>16353</x:v>
      </x:c>
      <x:c r="C191" s="3" t="n">
        <x:v>23</x:v>
      </x:c>
      <x:c r="D191" s="51" t="n">
        <x:v>40883</x:v>
      </x:c>
      <x:c r="E191" s="3" t="str">
        <x:v>Recurrente</x:v>
      </x:c>
      <x:c r="F191" s="13" t="n">
        <x:v>6675.71</x:v>
      </x:c>
      <x:c r="G191" s="13" t="n">
        <x:v>0</x:v>
      </x:c>
      <x:c r="H191" s="13" t="n">
        <x:f>F191-G191</x:f>
        <x:v>6675.71</x:v>
      </x:c>
      <x:c r="I191" s="13" t="n">
        <x:f>IF(C191=0,"n.a.",F191/C191)</x:f>
        <x:v>290.24826086956523</x:v>
      </x:c>
      <x:c r="J191" s="3"/>
      <x:c r="K191" s="3"/>
      <x:c r="L191" s="3"/>
    </x:row>
    <x:row r="192" ht="22" customHeight="1">
      <x:c r="A192" s="3"/>
      <x:c r="B192" s="3" t="str">
        <x:v>16923</x:v>
      </x:c>
      <x:c r="C192" s="3" t="n">
        <x:v>19</x:v>
      </x:c>
      <x:c r="D192" s="51" t="n">
        <x:v>40874</x:v>
      </x:c>
      <x:c r="E192" s="3" t="str">
        <x:v>Recurrente</x:v>
      </x:c>
      <x:c r="F192" s="13" t="n">
        <x:v>7247.61</x:v>
      </x:c>
      <x:c r="G192" s="13" t="n">
        <x:v>580.78</x:v>
      </x:c>
      <x:c r="H192" s="13" t="n">
        <x:f>F192-G192</x:f>
        <x:v>6666.83</x:v>
      </x:c>
      <x:c r="I192" s="13" t="n">
        <x:f>IF(C192=0,"n.a.",F192/C192)</x:f>
        <x:v>381.4531578947368</x:v>
      </x:c>
      <x:c r="J192" s="3"/>
      <x:c r="K192" s="3"/>
      <x:c r="L192" s="3"/>
    </x:row>
    <x:row r="193" ht="22" customHeight="1">
      <x:c r="A193" s="3"/>
      <x:c r="B193" s="3" t="str">
        <x:v>15249</x:v>
      </x:c>
      <x:c r="C193" s="3" t="n">
        <x:v>13</x:v>
      </x:c>
      <x:c r="D193" s="51" t="n">
        <x:v>40855</x:v>
      </x:c>
      <x:c r="E193" s="3" t="str">
        <x:v>Recurrente</x:v>
      </x:c>
      <x:c r="F193" s="13" t="n">
        <x:v>6688.46</x:v>
      </x:c>
      <x:c r="G193" s="13" t="n">
        <x:v>31.1</x:v>
      </x:c>
      <x:c r="H193" s="13" t="n">
        <x:f>F193-G193</x:f>
        <x:v>6657.36</x:v>
      </x:c>
      <x:c r="I193" s="13" t="n">
        <x:f>IF(C193=0,"n.a.",F193/C193)</x:f>
        <x:v>514.496923076923</x:v>
      </x:c>
      <x:c r="J193" s="3"/>
      <x:c r="K193" s="3"/>
      <x:c r="L193" s="3"/>
    </x:row>
    <x:row r="194" ht="22" customHeight="1">
      <x:c r="A194" s="3"/>
      <x:c r="B194" s="3" t="str">
        <x:v>16652</x:v>
      </x:c>
      <x:c r="C194" s="3" t="n">
        <x:v>7</x:v>
      </x:c>
      <x:c r="D194" s="51" t="n">
        <x:v>40828</x:v>
      </x:c>
      <x:c r="E194" s="3" t="str">
        <x:v>Recurrente</x:v>
      </x:c>
      <x:c r="F194" s="13" t="n">
        <x:v>6773.97</x:v>
      </x:c>
      <x:c r="G194" s="13" t="n">
        <x:v>119.71</x:v>
      </x:c>
      <x:c r="H194" s="13" t="n">
        <x:f>F194-G194</x:f>
        <x:v>6654.26</x:v>
      </x:c>
      <x:c r="I194" s="13" t="n">
        <x:f>IF(C194=0,"n.a.",F194/C194)</x:f>
        <x:v>967.71</x:v>
      </x:c>
      <x:c r="J194" s="3"/>
      <x:c r="K194" s="3"/>
      <x:c r="L194" s="3"/>
    </x:row>
    <x:row r="195" ht="22" customHeight="1">
      <x:c r="A195" s="3"/>
      <x:c r="B195" s="3" t="str">
        <x:v>12583</x:v>
      </x:c>
      <x:c r="C195" s="3" t="n">
        <x:v>15</x:v>
      </x:c>
      <x:c r="D195" s="51" t="n">
        <x:v>40884</x:v>
      </x:c>
      <x:c r="E195" s="3" t="str">
        <x:v>Recurrente</x:v>
      </x:c>
      <x:c r="F195" s="13" t="n">
        <x:v>6705.38</x:v>
      </x:c>
      <x:c r="G195" s="13" t="n">
        <x:v>76.04</x:v>
      </x:c>
      <x:c r="H195" s="13" t="n">
        <x:f>F195-G195</x:f>
        <x:v>6629.34</x:v>
      </x:c>
      <x:c r="I195" s="13" t="n">
        <x:f>IF(C195=0,"n.a.",F195/C195)</x:f>
        <x:v>447.0253333333333</x:v>
      </x:c>
      <x:c r="J195" s="3"/>
      <x:c r="K195" s="3"/>
      <x:c r="L195" s="3"/>
    </x:row>
    <x:row r="196" ht="22" customHeight="1">
      <x:c r="A196" s="3"/>
      <x:c r="B196" s="3" t="str">
        <x:v>16182</x:v>
      </x:c>
      <x:c r="C196" s="3" t="n">
        <x:v>4</x:v>
      </x:c>
      <x:c r="D196" s="51" t="n">
        <x:v>40814</x:v>
      </x:c>
      <x:c r="E196" s="3" t="str">
        <x:v>Recurrente</x:v>
      </x:c>
      <x:c r="F196" s="13" t="n">
        <x:v>6617.65</x:v>
      </x:c>
      <x:c r="G196" s="13" t="n">
        <x:v>0</x:v>
      </x:c>
      <x:c r="H196" s="13" t="n">
        <x:f>F196-G196</x:f>
        <x:v>6617.65</x:v>
      </x:c>
      <x:c r="I196" s="13" t="n">
        <x:f>IF(C196=0,"n.a.",F196/C196)</x:f>
        <x:v>1654.4125</x:v>
      </x:c>
      <x:c r="J196" s="3"/>
      <x:c r="K196" s="3"/>
      <x:c r="L196" s="3"/>
    </x:row>
    <x:row r="197" ht="22" customHeight="1">
      <x:c r="A197" s="3"/>
      <x:c r="B197" s="3" t="str">
        <x:v>17338</x:v>
      </x:c>
      <x:c r="C197" s="3" t="n">
        <x:v>8</x:v>
      </x:c>
      <x:c r="D197" s="51" t="n">
        <x:v>40869</x:v>
      </x:c>
      <x:c r="E197" s="3" t="str">
        <x:v>Recurrente</x:v>
      </x:c>
      <x:c r="F197" s="13" t="n">
        <x:v>6635.14</x:v>
      </x:c>
      <x:c r="G197" s="13" t="n">
        <x:v>28.8</x:v>
      </x:c>
      <x:c r="H197" s="13" t="n">
        <x:f>F197-G197</x:f>
        <x:v>6606.34</x:v>
      </x:c>
      <x:c r="I197" s="13" t="n">
        <x:f>IF(C197=0,"n.a.",F197/C197)</x:f>
        <x:v>829.3925</x:v>
      </x:c>
      <x:c r="J197" s="3"/>
      <x:c r="K197" s="3"/>
      <x:c r="L197" s="3"/>
    </x:row>
    <x:row r="198" ht="22" customHeight="1">
      <x:c r="A198" s="3"/>
      <x:c r="B198" s="3" t="str">
        <x:v>15144</x:v>
      </x:c>
      <x:c r="C198" s="3" t="n">
        <x:v>17</x:v>
      </x:c>
      <x:c r="D198" s="51" t="n">
        <x:v>40878</x:v>
      </x:c>
      <x:c r="E198" s="3" t="str">
        <x:v>Recurrente</x:v>
      </x:c>
      <x:c r="F198" s="13" t="n">
        <x:v>6580.44</x:v>
      </x:c>
      <x:c r="G198" s="13" t="n">
        <x:v>50.4</x:v>
      </x:c>
      <x:c r="H198" s="13" t="n">
        <x:f>F198-G198</x:f>
        <x:v>6530.04</x:v>
      </x:c>
      <x:c r="I198" s="13" t="n">
        <x:f>IF(C198=0,"n.a.",F198/C198)</x:f>
        <x:v>387.0847058823529</x:v>
      </x:c>
      <x:c r="J198" s="3"/>
      <x:c r="K198" s="3"/>
      <x:c r="L198" s="3"/>
    </x:row>
    <x:row r="199" ht="22" customHeight="1">
      <x:c r="A199" s="3"/>
      <x:c r="B199" s="3" t="str">
        <x:v>15482</x:v>
      </x:c>
      <x:c r="C199" s="3" t="n">
        <x:v>11</x:v>
      </x:c>
      <x:c r="D199" s="51" t="n">
        <x:v>40871</x:v>
      </x:c>
      <x:c r="E199" s="3" t="str">
        <x:v>Recurrente</x:v>
      </x:c>
      <x:c r="F199" s="13" t="n">
        <x:v>11014.96</x:v>
      </x:c>
      <x:c r="G199" s="13" t="n">
        <x:v>4486.24</x:v>
      </x:c>
      <x:c r="H199" s="13" t="n">
        <x:f>F199-G199</x:f>
        <x:v>6528.719999999999</x:v>
      </x:c>
      <x:c r="I199" s="13" t="n">
        <x:f>IF(C199=0,"n.a.",F199/C199)</x:f>
        <x:v>1001.3599999999999</x:v>
      </x:c>
      <x:c r="J199" s="3"/>
      <x:c r="K199" s="3"/>
      <x:c r="L199" s="3"/>
    </x:row>
    <x:row r="200" ht="22" customHeight="1">
      <x:c r="A200" s="3"/>
      <x:c r="B200" s="3" t="str">
        <x:v>16814</x:v>
      </x:c>
      <x:c r="C200" s="3" t="n">
        <x:v>21</x:v>
      </x:c>
      <x:c r="D200" s="51" t="n">
        <x:v>40872</x:v>
      </x:c>
      <x:c r="E200" s="3" t="str">
        <x:v>Recurrente</x:v>
      </x:c>
      <x:c r="F200" s="13" t="n">
        <x:v>6499.2</x:v>
      </x:c>
      <x:c r="G200" s="13" t="n">
        <x:v>8.5</x:v>
      </x:c>
      <x:c r="H200" s="13" t="n">
        <x:f>F200-G200</x:f>
        <x:v>6490.7</x:v>
      </x:c>
      <x:c r="I200" s="13" t="n">
        <x:f>IF(C200=0,"n.a.",F200/C200)</x:f>
        <x:v>309.48571428571427</x:v>
      </x:c>
      <x:c r="J200" s="3"/>
      <x:c r="K200" s="3"/>
      <x:c r="L200" s="3"/>
    </x:row>
    <x:row r="201" ht="22" customHeight="1">
      <x:c r="A201" s="3"/>
      <x:c r="B201" s="3" t="str">
        <x:v>12474</x:v>
      </x:c>
      <x:c r="C201" s="3" t="n">
        <x:v>18</x:v>
      </x:c>
      <x:c r="D201" s="51" t="n">
        <x:v>40869</x:v>
      </x:c>
      <x:c r="E201" s="3" t="str">
        <x:v>Recurrente</x:v>
      </x:c>
      <x:c r="F201" s="13" t="n">
        <x:v>6745.79</x:v>
      </x:c>
      <x:c r="G201" s="13" t="n">
        <x:v>259.32</x:v>
      </x:c>
      <x:c r="H201" s="13" t="n">
        <x:f>F201-G201</x:f>
        <x:v>6486.47</x:v>
      </x:c>
      <x:c r="I201" s="13" t="n">
        <x:f>IF(C201=0,"n.a.",F201/C201)</x:f>
        <x:v>374.7661111111111</x:v>
      </x:c>
      <x:c r="J201" s="3"/>
      <x:c r="K201" s="3"/>
      <x:c r="L201" s="3"/>
    </x:row>
    <x:row r="202" ht="22" customHeight="1">
      <x:c r="A202" s="3"/>
      <x:c r="B202" s="3" t="str">
        <x:v>12766</x:v>
      </x:c>
      <x:c r="C202" s="3" t="n">
        <x:v>7</x:v>
      </x:c>
      <x:c r="D202" s="51" t="n">
        <x:v>40883</x:v>
      </x:c>
      <x:c r="E202" s="3" t="str">
        <x:v>Recurrente</x:v>
      </x:c>
      <x:c r="F202" s="13" t="n">
        <x:v>6457.63</x:v>
      </x:c>
      <x:c r="G202" s="13" t="n">
        <x:v>0</x:v>
      </x:c>
      <x:c r="H202" s="13" t="n">
        <x:f>F202-G202</x:f>
        <x:v>6457.63</x:v>
      </x:c>
      <x:c r="I202" s="13" t="n">
        <x:f>IF(C202=0,"n.a.",F202/C202)</x:f>
        <x:v>922.5185714285715</x:v>
      </x:c>
      <x:c r="J202" s="3"/>
      <x:c r="K202" s="3"/>
      <x:c r="L202" s="3"/>
    </x:row>
    <x:row r="203" ht="22" customHeight="1">
      <x:c r="A203" s="3"/>
      <x:c r="B203" s="3" t="str">
        <x:v>15694</x:v>
      </x:c>
      <x:c r="C203" s="3" t="n">
        <x:v>13</x:v>
      </x:c>
      <x:c r="D203" s="51" t="n">
        <x:v>40886</x:v>
      </x:c>
      <x:c r="E203" s="3" t="str">
        <x:v>Recurrente</x:v>
      </x:c>
      <x:c r="F203" s="13" t="n">
        <x:v>6464.4</x:v>
      </x:c>
      <x:c r="G203" s="13" t="n">
        <x:v>55.8</x:v>
      </x:c>
      <x:c r="H203" s="13" t="n">
        <x:f>F203-G203</x:f>
        <x:v>6408.599999999999</x:v>
      </x:c>
      <x:c r="I203" s="13" t="n">
        <x:f>IF(C203=0,"n.a.",F203/C203)</x:f>
        <x:v>497.2615384615384</x:v>
      </x:c>
      <x:c r="J203" s="3"/>
      <x:c r="K203" s="3"/>
      <x:c r="L203" s="3"/>
    </x:row>
    <x:row r="204" ht="22" customHeight="1">
      <x:c r="A204" s="3"/>
      <x:c r="B204" s="3" t="str">
        <x:v>13871</x:v>
      </x:c>
      <x:c r="C204" s="3" t="n">
        <x:v>13</x:v>
      </x:c>
      <x:c r="D204" s="51" t="n">
        <x:v>40864</x:v>
      </x:c>
      <x:c r="E204" s="3" t="str">
        <x:v>Recurrente</x:v>
      </x:c>
      <x:c r="F204" s="13" t="n">
        <x:v>6403.25</x:v>
      </x:c>
      <x:c r="G204" s="13" t="n">
        <x:v>13.45</x:v>
      </x:c>
      <x:c r="H204" s="13" t="n">
        <x:f>F204-G204</x:f>
        <x:v>6389.8</x:v>
      </x:c>
      <x:c r="I204" s="13" t="n">
        <x:f>IF(C204=0,"n.a.",F204/C204)</x:f>
        <x:v>492.5576923076923</x:v>
      </x:c>
      <x:c r="J204" s="3"/>
      <x:c r="K204" s="3"/>
      <x:c r="L204" s="3"/>
    </x:row>
    <x:row r="205" ht="22" customHeight="1">
      <x:c r="A205" s="3"/>
      <x:c r="B205" s="3" t="str">
        <x:v>12428</x:v>
      </x:c>
      <x:c r="C205" s="3" t="n">
        <x:v>8</x:v>
      </x:c>
      <x:c r="D205" s="51" t="n">
        <x:v>40861</x:v>
      </x:c>
      <x:c r="E205" s="3" t="str">
        <x:v>Recurrente</x:v>
      </x:c>
      <x:c r="F205" s="13" t="n">
        <x:v>6405.26</x:v>
      </x:c>
      <x:c r="G205" s="13" t="n">
        <x:v>39.26</x:v>
      </x:c>
      <x:c r="H205" s="13" t="n">
        <x:f>F205-G205</x:f>
        <x:v>6366</x:v>
      </x:c>
      <x:c r="I205" s="13" t="n">
        <x:f>IF(C205=0,"n.a.",F205/C205)</x:f>
        <x:v>800.6575</x:v>
      </x:c>
      <x:c r="J205" s="3"/>
      <x:c r="K205" s="3"/>
      <x:c r="L205" s="3"/>
    </x:row>
    <x:row r="206" ht="22" customHeight="1">
      <x:c r="A206" s="3"/>
      <x:c r="B206" s="3" t="str">
        <x:v>13102</x:v>
      </x:c>
      <x:c r="C206" s="3" t="n">
        <x:v>24</x:v>
      </x:c>
      <x:c r="D206" s="51" t="n">
        <x:v>40885</x:v>
      </x:c>
      <x:c r="E206" s="3" t="str">
        <x:v>Recurrente</x:v>
      </x:c>
      <x:c r="F206" s="13" t="n">
        <x:v>6424.09</x:v>
      </x:c>
      <x:c r="G206" s="13" t="n">
        <x:v>87.8</x:v>
      </x:c>
      <x:c r="H206" s="13" t="n">
        <x:f>F206-G206</x:f>
        <x:v>6336.29</x:v>
      </x:c>
      <x:c r="I206" s="13" t="n">
        <x:f>IF(C206=0,"n.a.",F206/C206)</x:f>
        <x:v>267.67041666666665</x:v>
      </x:c>
      <x:c r="J206" s="3"/>
      <x:c r="K206" s="3"/>
      <x:c r="L206" s="3"/>
    </x:row>
    <x:row r="207" ht="22" customHeight="1">
      <x:c r="A207" s="3"/>
      <x:c r="B207" s="3" t="str">
        <x:v>12705</x:v>
      </x:c>
      <x:c r="C207" s="3" t="n">
        <x:v>8</x:v>
      </x:c>
      <x:c r="D207" s="51" t="n">
        <x:v>40871</x:v>
      </x:c>
      <x:c r="E207" s="3" t="str">
        <x:v>Recurrente</x:v>
      </x:c>
      <x:c r="F207" s="13" t="n">
        <x:v>6382.29</x:v>
      </x:c>
      <x:c r="G207" s="13" t="n">
        <x:v>54.05</x:v>
      </x:c>
      <x:c r="H207" s="13" t="n">
        <x:f>F207-G207</x:f>
        <x:v>6328.24</x:v>
      </x:c>
      <x:c r="I207" s="13" t="n">
        <x:f>IF(C207=0,"n.a.",F207/C207)</x:f>
        <x:v>797.78625</x:v>
      </x:c>
      <x:c r="J207" s="3"/>
      <x:c r="K207" s="3"/>
      <x:c r="L207" s="3"/>
    </x:row>
    <x:row r="208" ht="22" customHeight="1">
      <x:c r="A208" s="3"/>
      <x:c r="B208" s="3" t="str">
        <x:v>18223</x:v>
      </x:c>
      <x:c r="C208" s="3" t="n">
        <x:v>14</x:v>
      </x:c>
      <x:c r="D208" s="51" t="n">
        <x:v>40882</x:v>
      </x:c>
      <x:c r="E208" s="3" t="str">
        <x:v>Recurrente</x:v>
      </x:c>
      <x:c r="F208" s="13" t="n">
        <x:v>6484.54</x:v>
      </x:c>
      <x:c r="G208" s="13" t="n">
        <x:v>166.47</x:v>
      </x:c>
      <x:c r="H208" s="13" t="n">
        <x:f>F208-G208</x:f>
        <x:v>6318.07</x:v>
      </x:c>
      <x:c r="I208" s="13" t="n">
        <x:f>IF(C208=0,"n.a.",F208/C208)</x:f>
        <x:v>463.18142857142857</x:v>
      </x:c>
      <x:c r="J208" s="3"/>
      <x:c r="K208" s="3"/>
      <x:c r="L208" s="3"/>
    </x:row>
    <x:row r="209" ht="22" customHeight="1">
      <x:c r="A209" s="3"/>
      <x:c r="B209" s="3" t="str">
        <x:v>12431</x:v>
      </x:c>
      <x:c r="C209" s="3" t="n">
        <x:v>15</x:v>
      </x:c>
      <x:c r="D209" s="51" t="n">
        <x:v>40851</x:v>
      </x:c>
      <x:c r="E209" s="3" t="str">
        <x:v>Recurrente</x:v>
      </x:c>
      <x:c r="F209" s="13" t="n">
        <x:v>6382.45</x:v>
      </x:c>
      <x:c r="G209" s="13" t="n">
        <x:v>71.06</x:v>
      </x:c>
      <x:c r="H209" s="13" t="n">
        <x:f>F209-G209</x:f>
        <x:v>6311.389999999999</x:v>
      </x:c>
      <x:c r="I209" s="13" t="n">
        <x:f>IF(C209=0,"n.a.",F209/C209)</x:f>
        <x:v>425.49666666666667</x:v>
      </x:c>
      <x:c r="J209" s="3"/>
      <x:c r="K209" s="3"/>
      <x:c r="L209" s="3"/>
    </x:row>
    <x:row r="210" ht="22" customHeight="1">
      <x:c r="A210" s="3"/>
      <x:c r="B210" s="3" t="str">
        <x:v>16126</x:v>
      </x:c>
      <x:c r="C210" s="3" t="n">
        <x:v>4</x:v>
      </x:c>
      <x:c r="D210" s="51" t="n">
        <x:v>40857</x:v>
      </x:c>
      <x:c r="E210" s="3" t="str">
        <x:v>Recurrente</x:v>
      </x:c>
      <x:c r="F210" s="13" t="n">
        <x:v>6287.77</x:v>
      </x:c>
      <x:c r="G210" s="13" t="n">
        <x:v>0</x:v>
      </x:c>
      <x:c r="H210" s="13" t="n">
        <x:f>F210-G210</x:f>
        <x:v>6287.77</x:v>
      </x:c>
      <x:c r="I210" s="13" t="n">
        <x:f>IF(C210=0,"n.a.",F210/C210)</x:f>
        <x:v>1571.9425</x:v>
      </x:c>
      <x:c r="J210" s="3"/>
      <x:c r="K210" s="3"/>
      <x:c r="L210" s="3"/>
    </x:row>
    <x:row r="211" ht="22" customHeight="1">
      <x:c r="A211" s="3"/>
      <x:c r="B211" s="3" t="str">
        <x:v>13709</x:v>
      </x:c>
      <x:c r="C211" s="3" t="n">
        <x:v>13</x:v>
      </x:c>
      <x:c r="D211" s="51" t="n">
        <x:v>40883</x:v>
      </x:c>
      <x:c r="E211" s="3" t="str">
        <x:v>Recurrente</x:v>
      </x:c>
      <x:c r="F211" s="13" t="n">
        <x:v>6328.05</x:v>
      </x:c>
      <x:c r="G211" s="13" t="n">
        <x:v>78.94</x:v>
      </x:c>
      <x:c r="H211" s="13" t="n">
        <x:f>F211-G211</x:f>
        <x:v>6249.110000000001</x:v>
      </x:c>
      <x:c r="I211" s="13" t="n">
        <x:f>IF(C211=0,"n.a.",F211/C211)</x:f>
        <x:v>486.7730769230769</x:v>
      </x:c>
      <x:c r="J211" s="3"/>
      <x:c r="K211" s="3"/>
      <x:c r="L211" s="3"/>
    </x:row>
    <x:row r="212" ht="22" customHeight="1">
      <x:c r="A212" s="3"/>
      <x:c r="B212" s="3" t="str">
        <x:v>12359</x:v>
      </x:c>
      <x:c r="C212" s="3" t="n">
        <x:v>4</x:v>
      </x:c>
      <x:c r="D212" s="51" t="n">
        <x:v>40829</x:v>
      </x:c>
      <x:c r="E212" s="3" t="str">
        <x:v>Recurrente</x:v>
      </x:c>
      <x:c r="F212" s="13" t="n">
        <x:v>6372.58</x:v>
      </x:c>
      <x:c r="G212" s="13" t="n">
        <x:v>127.05</x:v>
      </x:c>
      <x:c r="H212" s="13" t="n">
        <x:f>F212-G212</x:f>
        <x:v>6245.53</x:v>
      </x:c>
      <x:c r="I212" s="13" t="n">
        <x:f>IF(C212=0,"n.a.",F212/C212)</x:f>
        <x:v>1593.145</x:v>
      </x:c>
      <x:c r="J212" s="3"/>
      <x:c r="K212" s="3"/>
      <x:c r="L212" s="3"/>
    </x:row>
    <x:row r="213" ht="22" customHeight="1">
      <x:c r="A213" s="3"/>
      <x:c r="B213" s="3" t="str">
        <x:v>13668</x:v>
      </x:c>
      <x:c r="C213" s="3" t="n">
        <x:v>21</x:v>
      </x:c>
      <x:c r="D213" s="51" t="n">
        <x:v>40884</x:v>
      </x:c>
      <x:c r="E213" s="3" t="str">
        <x:v>Recurrente</x:v>
      </x:c>
      <x:c r="F213" s="13" t="n">
        <x:v>6363.59</x:v>
      </x:c>
      <x:c r="G213" s="13" t="n">
        <x:v>147.52</x:v>
      </x:c>
      <x:c r="H213" s="13" t="n">
        <x:f>F213-G213</x:f>
        <x:v>6216.07</x:v>
      </x:c>
      <x:c r="I213" s="13" t="n">
        <x:f>IF(C213=0,"n.a.",F213/C213)</x:f>
        <x:v>303.02809523809526</x:v>
      </x:c>
      <x:c r="J213" s="3"/>
      <x:c r="K213" s="3"/>
      <x:c r="L213" s="3"/>
    </x:row>
    <x:row r="214" ht="22" customHeight="1">
      <x:c r="A214" s="3"/>
      <x:c r="B214" s="3" t="str">
        <x:v>12357</x:v>
      </x:c>
      <x:c r="C214" s="3" t="n">
        <x:v>1</x:v>
      </x:c>
      <x:c r="D214" s="51" t="n">
        <x:v>40853</x:v>
      </x:c>
      <x:c r="E214" s="3" t="str">
        <x:v>Una compra</x:v>
      </x:c>
      <x:c r="F214" s="13" t="n">
        <x:v>6207.67</x:v>
      </x:c>
      <x:c r="G214" s="13" t="n">
        <x:v>0</x:v>
      </x:c>
      <x:c r="H214" s="13" t="n">
        <x:f>F214-G214</x:f>
        <x:v>6207.67</x:v>
      </x:c>
      <x:c r="I214" s="13" t="n">
        <x:f>IF(C214=0,"n.a.",F214/C214)</x:f>
        <x:v>6207.67</x:v>
      </x:c>
      <x:c r="J214" s="3"/>
      <x:c r="K214" s="3"/>
      <x:c r="L214" s="3"/>
    </x:row>
    <x:row r="215" ht="22" customHeight="1">
      <x:c r="A215" s="3"/>
      <x:c r="B215" s="3" t="str">
        <x:v>15005</x:v>
      </x:c>
      <x:c r="C215" s="3" t="n">
        <x:v>28</x:v>
      </x:c>
      <x:c r="D215" s="51" t="n">
        <x:v>40871</x:v>
      </x:c>
      <x:c r="E215" s="3" t="str">
        <x:v>Recurrente</x:v>
      </x:c>
      <x:c r="F215" s="13" t="n">
        <x:v>6314.87</x:v>
      </x:c>
      <x:c r="G215" s="13" t="n">
        <x:v>136.08</x:v>
      </x:c>
      <x:c r="H215" s="13" t="n">
        <x:f>F215-G215</x:f>
        <x:v>6178.79</x:v>
      </x:c>
      <x:c r="I215" s="13" t="n">
        <x:f>IF(C215=0,"n.a.",F215/C215)</x:f>
        <x:v>225.53107142857144</x:v>
      </x:c>
      <x:c r="J215" s="3"/>
      <x:c r="K215" s="3"/>
      <x:c r="L215" s="3"/>
    </x:row>
    <x:row r="216" ht="22" customHeight="1">
      <x:c r="A216" s="3"/>
      <x:c r="B216" s="3" t="str">
        <x:v>17315</x:v>
      </x:c>
      <x:c r="C216" s="3" t="n">
        <x:v>36</x:v>
      </x:c>
      <x:c r="D216" s="51" t="n">
        <x:v>40885</x:v>
      </x:c>
      <x:c r="E216" s="3" t="str">
        <x:v>Recurrente</x:v>
      </x:c>
      <x:c r="F216" s="13" t="n">
        <x:v>6252.18</x:v>
      </x:c>
      <x:c r="G216" s="13" t="n">
        <x:v>87.8</x:v>
      </x:c>
      <x:c r="H216" s="13" t="n">
        <x:f>F216-G216</x:f>
        <x:v>6164.38</x:v>
      </x:c>
      <x:c r="I216" s="13" t="n">
        <x:f>IF(C216=0,"n.a.",F216/C216)</x:f>
        <x:v>173.67166666666668</x:v>
      </x:c>
      <x:c r="J216" s="3"/>
      <x:c r="K216" s="3"/>
      <x:c r="L216" s="3"/>
    </x:row>
    <x:row r="217" ht="22" customHeight="1">
      <x:c r="A217" s="3"/>
      <x:c r="B217" s="3" t="str">
        <x:v>14057</x:v>
      </x:c>
      <x:c r="C217" s="3" t="n">
        <x:v>17</x:v>
      </x:c>
      <x:c r="D217" s="51" t="n">
        <x:v>40863</x:v>
      </x:c>
      <x:c r="E217" s="3" t="str">
        <x:v>Recurrente</x:v>
      </x:c>
      <x:c r="F217" s="13" t="n">
        <x:v>6217.96</x:v>
      </x:c>
      <x:c r="G217" s="13" t="n">
        <x:v>70.56</x:v>
      </x:c>
      <x:c r="H217" s="13" t="n">
        <x:f>F217-G217</x:f>
        <x:v>6147.4</x:v>
      </x:c>
      <x:c r="I217" s="13" t="n">
        <x:f>IF(C217=0,"n.a.",F217/C217)</x:f>
        <x:v>365.76235294117646</x:v>
      </x:c>
      <x:c r="J217" s="3"/>
      <x:c r="K217" s="3"/>
      <x:c r="L217" s="3"/>
    </x:row>
    <x:row r="218" ht="22" customHeight="1">
      <x:c r="A218" s="3"/>
      <x:c r="B218" s="3" t="str">
        <x:v>14060</x:v>
      </x:c>
      <x:c r="C218" s="3" t="n">
        <x:v>19</x:v>
      </x:c>
      <x:c r="D218" s="51" t="n">
        <x:v>40882</x:v>
      </x:c>
      <x:c r="E218" s="3" t="str">
        <x:v>Recurrente</x:v>
      </x:c>
      <x:c r="F218" s="13" t="n">
        <x:v>6140.42</x:v>
      </x:c>
      <x:c r="G218" s="13" t="n">
        <x:v>5.04</x:v>
      </x:c>
      <x:c r="H218" s="13" t="n">
        <x:f>F218-G218</x:f>
        <x:v>6135.38</x:v>
      </x:c>
      <x:c r="I218" s="13" t="n">
        <x:f>IF(C218=0,"n.a.",F218/C218)</x:f>
        <x:v>323.18</x:v>
      </x:c>
      <x:c r="J218" s="3"/>
      <x:c r="K218" s="3"/>
      <x:c r="L218" s="3"/>
    </x:row>
    <x:row r="219" ht="22" customHeight="1">
      <x:c r="A219" s="3"/>
      <x:c r="B219" s="3" t="str">
        <x:v>17509</x:v>
      </x:c>
      <x:c r="C219" s="3" t="n">
        <x:v>8</x:v>
      </x:c>
      <x:c r="D219" s="51" t="n">
        <x:v>40829</x:v>
      </x:c>
      <x:c r="E219" s="3" t="str">
        <x:v>Recurrente</x:v>
      </x:c>
      <x:c r="F219" s="13" t="n">
        <x:v>6115.14</x:v>
      </x:c>
      <x:c r="G219" s="13" t="n">
        <x:v>14.4</x:v>
      </x:c>
      <x:c r="H219" s="13" t="n">
        <x:f>F219-G219</x:f>
        <x:v>6100.740000000001</x:v>
      </x:c>
      <x:c r="I219" s="13" t="n">
        <x:f>IF(C219=0,"n.a.",F219/C219)</x:f>
        <x:v>764.3925</x:v>
      </x:c>
      <x:c r="J219" s="3"/>
      <x:c r="K219" s="3"/>
      <x:c r="L219" s="3"/>
    </x:row>
    <x:row r="220" ht="22" customHeight="1">
      <x:c r="A220" s="3"/>
      <x:c r="B220" s="3" t="str">
        <x:v>15939</x:v>
      </x:c>
      <x:c r="C220" s="3" t="n">
        <x:v>14</x:v>
      </x:c>
      <x:c r="D220" s="51" t="n">
        <x:v>40797</x:v>
      </x:c>
      <x:c r="E220" s="3" t="str">
        <x:v>Recurrente</x:v>
      </x:c>
      <x:c r="F220" s="13" t="n">
        <x:v>6100.01</x:v>
      </x:c>
      <x:c r="G220" s="13" t="n">
        <x:v>12.75</x:v>
      </x:c>
      <x:c r="H220" s="13" t="n">
        <x:f>F220-G220</x:f>
        <x:v>6087.26</x:v>
      </x:c>
      <x:c r="I220" s="13" t="n">
        <x:f>IF(C220=0,"n.a.",F220/C220)</x:f>
        <x:v>435.71500000000003</x:v>
      </x:c>
      <x:c r="J220" s="3"/>
      <x:c r="K220" s="3"/>
      <x:c r="L220" s="3"/>
    </x:row>
    <x:row r="221" ht="22" customHeight="1">
      <x:c r="A221" s="3"/>
      <x:c r="B221" s="3" t="str">
        <x:v>13225</x:v>
      </x:c>
      <x:c r="C221" s="3" t="n">
        <x:v>7</x:v>
      </x:c>
      <x:c r="D221" s="51" t="n">
        <x:v>40883</x:v>
      </x:c>
      <x:c r="E221" s="3" t="str">
        <x:v>Recurrente</x:v>
      </x:c>
      <x:c r="F221" s="13" t="n">
        <x:v>6463.84</x:v>
      </x:c>
      <x:c r="G221" s="13" t="n">
        <x:v>380.8</x:v>
      </x:c>
      <x:c r="H221" s="13" t="n">
        <x:f>F221-G221</x:f>
        <x:v>6083.04</x:v>
      </x:c>
      <x:c r="I221" s="13" t="n">
        <x:f>IF(C221=0,"n.a.",F221/C221)</x:f>
        <x:v>923.4057142857143</x:v>
      </x:c>
      <x:c r="J221" s="3"/>
      <x:c r="K221" s="3"/>
      <x:c r="L221" s="3"/>
    </x:row>
    <x:row r="222" ht="22" customHeight="1">
      <x:c r="A222" s="3"/>
      <x:c r="B222" s="3" t="str">
        <x:v>13316</x:v>
      </x:c>
      <x:c r="C222" s="3" t="n">
        <x:v>4</x:v>
      </x:c>
      <x:c r="D222" s="51" t="n">
        <x:v>40849</x:v>
      </x:c>
      <x:c r="E222" s="3" t="str">
        <x:v>Recurrente</x:v>
      </x:c>
      <x:c r="F222" s="13" t="n">
        <x:v>5977.73</x:v>
      </x:c>
      <x:c r="G222" s="13" t="n">
        <x:v>0</x:v>
      </x:c>
      <x:c r="H222" s="13" t="n">
        <x:f>F222-G222</x:f>
        <x:v>5977.73</x:v>
      </x:c>
      <x:c r="I222" s="13" t="n">
        <x:f>IF(C222=0,"n.a.",F222/C222)</x:f>
        <x:v>1494.4325</x:v>
      </x:c>
      <x:c r="J222" s="3"/>
      <x:c r="K222" s="3"/>
      <x:c r="L222" s="3"/>
    </x:row>
    <x:row r="223" ht="22" customHeight="1">
      <x:c r="A223" s="3"/>
      <x:c r="B223" s="3" t="str">
        <x:v>14101</x:v>
      </x:c>
      <x:c r="C223" s="3" t="n">
        <x:v>6</x:v>
      </x:c>
      <x:c r="D223" s="51" t="n">
        <x:v>40813</x:v>
      </x:c>
      <x:c r="E223" s="3" t="str">
        <x:v>Recurrente</x:v>
      </x:c>
      <x:c r="F223" s="13" t="n">
        <x:v>5976.79</x:v>
      </x:c>
      <x:c r="G223" s="13" t="n">
        <x:v>0</x:v>
      </x:c>
      <x:c r="H223" s="13" t="n">
        <x:f>F223-G223</x:f>
        <x:v>5976.79</x:v>
      </x:c>
      <x:c r="I223" s="13" t="n">
        <x:f>IF(C223=0,"n.a.",F223/C223)</x:f>
        <x:v>996.1316666666667</x:v>
      </x:c>
      <x:c r="J223" s="3"/>
      <x:c r="K223" s="3"/>
      <x:c r="L223" s="3"/>
    </x:row>
    <x:row r="224" ht="22" customHeight="1">
      <x:c r="A224" s="3"/>
      <x:c r="B224" s="3" t="str">
        <x:v>15382</x:v>
      </x:c>
      <x:c r="C224" s="3" t="n">
        <x:v>6</x:v>
      </x:c>
      <x:c r="D224" s="51" t="n">
        <x:v>40872</x:v>
      </x:c>
      <x:c r="E224" s="3" t="str">
        <x:v>Recurrente</x:v>
      </x:c>
      <x:c r="F224" s="13" t="n">
        <x:v>5955.71</x:v>
      </x:c>
      <x:c r="G224" s="13" t="n">
        <x:v>27.85</x:v>
      </x:c>
      <x:c r="H224" s="13" t="n">
        <x:f>F224-G224</x:f>
        <x:v>5927.86</x:v>
      </x:c>
      <x:c r="I224" s="13" t="n">
        <x:f>IF(C224=0,"n.a.",F224/C224)</x:f>
        <x:v>992.6183333333333</x:v>
      </x:c>
      <x:c r="J224" s="3"/>
      <x:c r="K224" s="3"/>
      <x:c r="L224" s="3"/>
    </x:row>
    <x:row r="225" ht="22" customHeight="1">
      <x:c r="A225" s="3"/>
      <x:c r="B225" s="3" t="str">
        <x:v>13097</x:v>
      </x:c>
      <x:c r="C225" s="3" t="n">
        <x:v>10</x:v>
      </x:c>
      <x:c r="D225" s="51" t="n">
        <x:v>40854</x:v>
      </x:c>
      <x:c r="E225" s="3" t="str">
        <x:v>Recurrente</x:v>
      </x:c>
      <x:c r="F225" s="13" t="n">
        <x:v>6010.42</x:v>
      </x:c>
      <x:c r="G225" s="13" t="n">
        <x:v>102.15</x:v>
      </x:c>
      <x:c r="H225" s="13" t="n">
        <x:f>F225-G225</x:f>
        <x:v>5908.27</x:v>
      </x:c>
      <x:c r="I225" s="13" t="n">
        <x:f>IF(C225=0,"n.a.",F225/C225)</x:f>
        <x:v>601.042</x:v>
      </x:c>
      <x:c r="J225" s="3"/>
      <x:c r="K225" s="3"/>
      <x:c r="L225" s="3"/>
    </x:row>
    <x:row r="226" ht="22" customHeight="1">
      <x:c r="A226" s="3"/>
      <x:c r="B226" s="3" t="str">
        <x:v>13418</x:v>
      </x:c>
      <x:c r="C226" s="3" t="n">
        <x:v>18</x:v>
      </x:c>
      <x:c r="D226" s="51" t="n">
        <x:v>40875</x:v>
      </x:c>
      <x:c r="E226" s="3" t="str">
        <x:v>Recurrente</x:v>
      </x:c>
      <x:c r="F226" s="13" t="n">
        <x:v>6127.43</x:v>
      </x:c>
      <x:c r="G226" s="13" t="n">
        <x:v>281.99</x:v>
      </x:c>
      <x:c r="H226" s="13" t="n">
        <x:f>F226-G226</x:f>
        <x:v>5845.4400000000005</x:v>
      </x:c>
      <x:c r="I226" s="13" t="n">
        <x:f>IF(C226=0,"n.a.",F226/C226)</x:f>
        <x:v>340.4127777777778</x:v>
      </x:c>
      <x:c r="J226" s="3"/>
      <x:c r="K226" s="3"/>
      <x:c r="L226" s="3"/>
    </x:row>
    <x:row r="227" ht="22" customHeight="1">
      <x:c r="A227" s="3"/>
      <x:c r="B227" s="3" t="str">
        <x:v>14944</x:v>
      </x:c>
      <x:c r="C227" s="3" t="n">
        <x:v>12</x:v>
      </x:c>
      <x:c r="D227" s="51" t="n">
        <x:v>40857</x:v>
      </x:c>
      <x:c r="E227" s="3" t="str">
        <x:v>Recurrente</x:v>
      </x:c>
      <x:c r="F227" s="13" t="n">
        <x:v>5900.25</x:v>
      </x:c>
      <x:c r="G227" s="13" t="n">
        <x:v>57.3</x:v>
      </x:c>
      <x:c r="H227" s="13" t="n">
        <x:f>F227-G227</x:f>
        <x:v>5842.95</x:v>
      </x:c>
      <x:c r="I227" s="13" t="n">
        <x:f>IF(C227=0,"n.a.",F227/C227)</x:f>
        <x:v>491.6875</x:v>
      </x:c>
      <x:c r="J227" s="3"/>
      <x:c r="K227" s="3"/>
      <x:c r="L227" s="3"/>
    </x:row>
    <x:row r="228" ht="22" customHeight="1">
      <x:c r="A228" s="3"/>
      <x:c r="B228" s="3" t="str">
        <x:v>13209</x:v>
      </x:c>
      <x:c r="C228" s="3" t="n">
        <x:v>8</x:v>
      </x:c>
      <x:c r="D228" s="51" t="n">
        <x:v>40856</x:v>
      </x:c>
      <x:c r="E228" s="3" t="str">
        <x:v>Recurrente</x:v>
      </x:c>
      <x:c r="F228" s="13" t="n">
        <x:v>5891.61</x:v>
      </x:c>
      <x:c r="G228" s="13" t="n">
        <x:v>71.45</x:v>
      </x:c>
      <x:c r="H228" s="13" t="n">
        <x:f>F228-G228</x:f>
        <x:v>5820.16</x:v>
      </x:c>
      <x:c r="I228" s="13" t="n">
        <x:f>IF(C228=0,"n.a.",F228/C228)</x:f>
        <x:v>736.45125</x:v>
      </x:c>
      <x:c r="J228" s="3"/>
      <x:c r="K228" s="3"/>
      <x:c r="L228" s="3"/>
    </x:row>
    <x:row r="229" ht="22" customHeight="1">
      <x:c r="A229" s="3"/>
      <x:c r="B229" s="3" t="str">
        <x:v>14505</x:v>
      </x:c>
      <x:c r="C229" s="3" t="n">
        <x:v>8</x:v>
      </x:c>
      <x:c r="D229" s="51" t="n">
        <x:v>40869</x:v>
      </x:c>
      <x:c r="E229" s="3" t="str">
        <x:v>Recurrente</x:v>
      </x:c>
      <x:c r="F229" s="13" t="n">
        <x:v>5905.64</x:v>
      </x:c>
      <x:c r="G229" s="13" t="n">
        <x:v>86.94</x:v>
      </x:c>
      <x:c r="H229" s="13" t="n">
        <x:f>F229-G229</x:f>
        <x:v>5818.700000000001</x:v>
      </x:c>
      <x:c r="I229" s="13" t="n">
        <x:f>IF(C229=0,"n.a.",F229/C229)</x:f>
        <x:v>738.205</x:v>
      </x:c>
      <x:c r="J229" s="3"/>
      <x:c r="K229" s="3"/>
      <x:c r="L229" s="3"/>
    </x:row>
    <x:row r="230" ht="22" customHeight="1">
      <x:c r="A230" s="3"/>
      <x:c r="B230" s="3" t="str">
        <x:v>14415</x:v>
      </x:c>
      <x:c r="C230" s="3" t="n">
        <x:v>13</x:v>
      </x:c>
      <x:c r="D230" s="51" t="n">
        <x:v>40885</x:v>
      </x:c>
      <x:c r="E230" s="3" t="str">
        <x:v>Recurrente</x:v>
      </x:c>
      <x:c r="F230" s="13" t="n">
        <x:v>5900.28</x:v>
      </x:c>
      <x:c r="G230" s="13" t="n">
        <x:v>88.72</x:v>
      </x:c>
      <x:c r="H230" s="13" t="n">
        <x:f>F230-G230</x:f>
        <x:v>5811.5599999999995</x:v>
      </x:c>
      <x:c r="I230" s="13" t="n">
        <x:f>IF(C230=0,"n.a.",F230/C230)</x:f>
        <x:v>453.86769230769227</x:v>
      </x:c>
      <x:c r="J230" s="3"/>
      <x:c r="K230" s="3"/>
      <x:c r="L230" s="3"/>
    </x:row>
    <x:row r="231" ht="22" customHeight="1">
      <x:c r="A231" s="3"/>
      <x:c r="B231" s="3" t="str">
        <x:v>12637</x:v>
      </x:c>
      <x:c r="C231" s="3" t="n">
        <x:v>8</x:v>
      </x:c>
      <x:c r="D231" s="51" t="n">
        <x:v>40819</x:v>
      </x:c>
      <x:c r="E231" s="3" t="str">
        <x:v>Recurrente</x:v>
      </x:c>
      <x:c r="F231" s="13" t="n">
        <x:v>5823.9</x:v>
      </x:c>
      <x:c r="G231" s="13" t="n">
        <x:v>14.65</x:v>
      </x:c>
      <x:c r="H231" s="13" t="n">
        <x:f>F231-G231</x:f>
        <x:v>5809.25</x:v>
      </x:c>
      <x:c r="I231" s="13" t="n">
        <x:f>IF(C231=0,"n.a.",F231/C231)</x:f>
        <x:v>727.9875</x:v>
      </x:c>
      <x:c r="J231" s="3"/>
      <x:c r="K231" s="3"/>
      <x:c r="L231" s="3"/>
    </x:row>
    <x:row r="232" ht="22" customHeight="1">
      <x:c r="A232" s="3"/>
      <x:c r="B232" s="3" t="str">
        <x:v>14735</x:v>
      </x:c>
      <x:c r="C232" s="3" t="n">
        <x:v>31</x:v>
      </x:c>
      <x:c r="D232" s="51" t="n">
        <x:v>40883</x:v>
      </x:c>
      <x:c r="E232" s="3" t="str">
        <x:v>Recurrente</x:v>
      </x:c>
      <x:c r="F232" s="13" t="n">
        <x:v>6050.69</x:v>
      </x:c>
      <x:c r="G232" s="13" t="n">
        <x:v>258</x:v>
      </x:c>
      <x:c r="H232" s="13" t="n">
        <x:f>F232-G232</x:f>
        <x:v>5792.69</x:v>
      </x:c>
      <x:c r="I232" s="13" t="n">
        <x:f>IF(C232=0,"n.a.",F232/C232)</x:f>
        <x:v>195.18354838709675</x:v>
      </x:c>
      <x:c r="J232" s="3"/>
      <x:c r="K232" s="3"/>
      <x:c r="L232" s="3"/>
    </x:row>
    <x:row r="233" ht="22" customHeight="1">
      <x:c r="A233" s="3"/>
      <x:c r="B233" s="3" t="str">
        <x:v>15218</x:v>
      </x:c>
      <x:c r="C233" s="3" t="n">
        <x:v>11</x:v>
      </x:c>
      <x:c r="D233" s="51" t="n">
        <x:v>40876</x:v>
      </x:c>
      <x:c r="E233" s="3" t="str">
        <x:v>Recurrente</x:v>
      </x:c>
      <x:c r="F233" s="13" t="n">
        <x:v>5756.89</x:v>
      </x:c>
      <x:c r="G233" s="13" t="n">
        <x:v>0</x:v>
      </x:c>
      <x:c r="H233" s="13" t="n">
        <x:f>F233-G233</x:f>
        <x:v>5756.89</x:v>
      </x:c>
      <x:c r="I233" s="13" t="n">
        <x:f>IF(C233=0,"n.a.",F233/C233)</x:f>
        <x:v>523.3536363636364</x:v>
      </x:c>
      <x:c r="J233" s="3"/>
      <x:c r="K233" s="3"/>
      <x:c r="L233" s="3"/>
    </x:row>
    <x:row r="234" ht="22" customHeight="1">
      <x:c r="A234" s="3"/>
      <x:c r="B234" s="3" t="str">
        <x:v>17686</x:v>
      </x:c>
      <x:c r="C234" s="3" t="n">
        <x:v>7</x:v>
      </x:c>
      <x:c r="D234" s="51" t="n">
        <x:v>40879</x:v>
      </x:c>
      <x:c r="E234" s="3" t="str">
        <x:v>Recurrente</x:v>
      </x:c>
      <x:c r="F234" s="13" t="n">
        <x:v>5739.46</x:v>
      </x:c>
      <x:c r="G234" s="13" t="n">
        <x:v>0</x:v>
      </x:c>
      <x:c r="H234" s="13" t="n">
        <x:f>F234-G234</x:f>
        <x:v>5739.46</x:v>
      </x:c>
      <x:c r="I234" s="13" t="n">
        <x:f>IF(C234=0,"n.a.",F234/C234)</x:f>
        <x:v>819.9228571428572</x:v>
      </x:c>
      <x:c r="J234" s="3"/>
      <x:c r="K234" s="3"/>
      <x:c r="L234" s="3"/>
    </x:row>
    <x:row r="235" ht="22" customHeight="1">
      <x:c r="A235" s="3"/>
      <x:c r="B235" s="3" t="str">
        <x:v>12472</x:v>
      </x:c>
      <x:c r="C235" s="3" t="n">
        <x:v>7</x:v>
      </x:c>
      <x:c r="D235" s="51" t="n">
        <x:v>40854</x:v>
      </x:c>
      <x:c r="E235" s="3" t="str">
        <x:v>Recurrente</x:v>
      </x:c>
      <x:c r="F235" s="13" t="n">
        <x:v>6068.11</x:v>
      </x:c>
      <x:c r="G235" s="13" t="n">
        <x:v>342.63</x:v>
      </x:c>
      <x:c r="H235" s="13" t="n">
        <x:f>F235-G235</x:f>
        <x:v>5725.48</x:v>
      </x:c>
      <x:c r="I235" s="13" t="n">
        <x:f>IF(C235=0,"n.a.",F235/C235)</x:f>
        <x:v>866.8728571428571</x:v>
      </x:c>
      <x:c r="J235" s="3"/>
      <x:c r="K235" s="3"/>
      <x:c r="L235" s="3"/>
    </x:row>
    <x:row r="236" ht="22" customHeight="1">
      <x:c r="A236" s="3"/>
      <x:c r="B236" s="3" t="str">
        <x:v>13178</x:v>
      </x:c>
      <x:c r="C236" s="3" t="n">
        <x:v>11</x:v>
      </x:c>
      <x:c r="D236" s="51" t="n">
        <x:v>40860</x:v>
      </x:c>
      <x:c r="E236" s="3" t="str">
        <x:v>Recurrente</x:v>
      </x:c>
      <x:c r="F236" s="13" t="n">
        <x:v>5725.47</x:v>
      </x:c>
      <x:c r="G236" s="13" t="n">
        <x:v>0</x:v>
      </x:c>
      <x:c r="H236" s="13" t="n">
        <x:f>F236-G236</x:f>
        <x:v>5725.47</x:v>
      </x:c>
      <x:c r="I236" s="13" t="n">
        <x:f>IF(C236=0,"n.a.",F236/C236)</x:f>
        <x:v>520.4972727272727</x:v>
      </x:c>
      <x:c r="J236" s="3"/>
      <x:c r="K236" s="3"/>
      <x:c r="L236" s="3"/>
    </x:row>
    <x:row r="237" ht="22" customHeight="1">
      <x:c r="A237" s="3"/>
      <x:c r="B237" s="3" t="str">
        <x:v>12626</x:v>
      </x:c>
      <x:c r="C237" s="3" t="n">
        <x:v>9</x:v>
      </x:c>
      <x:c r="D237" s="51" t="n">
        <x:v>40863</x:v>
      </x:c>
      <x:c r="E237" s="3" t="str">
        <x:v>Recurrente</x:v>
      </x:c>
      <x:c r="F237" s="13" t="n">
        <x:v>5954.48</x:v>
      </x:c>
      <x:c r="G237" s="13" t="n">
        <x:v>232.13</x:v>
      </x:c>
      <x:c r="H237" s="13" t="n">
        <x:f>F237-G237</x:f>
        <x:v>5722.349999999999</x:v>
      </x:c>
      <x:c r="I237" s="13" t="n">
        <x:f>IF(C237=0,"n.a.",F237/C237)</x:f>
        <x:v>661.6088888888888</x:v>
      </x:c>
      <x:c r="J237" s="3"/>
      <x:c r="K237" s="3"/>
      <x:c r="L237" s="3"/>
    </x:row>
    <x:row r="238" ht="22" customHeight="1">
      <x:c r="A238" s="3"/>
      <x:c r="B238" s="3" t="str">
        <x:v>13050</x:v>
      </x:c>
      <x:c r="C238" s="3" t="n">
        <x:v>17</x:v>
      </x:c>
      <x:c r="D238" s="51" t="n">
        <x:v>40872</x:v>
      </x:c>
      <x:c r="E238" s="3" t="str">
        <x:v>Recurrente</x:v>
      </x:c>
      <x:c r="F238" s="13" t="n">
        <x:v>5833.11</x:v>
      </x:c>
      <x:c r="G238" s="13" t="n">
        <x:v>152.25</x:v>
      </x:c>
      <x:c r="H238" s="13" t="n">
        <x:f>F238-G238</x:f>
        <x:v>5680.86</x:v>
      </x:c>
      <x:c r="I238" s="13" t="n">
        <x:f>IF(C238=0,"n.a.",F238/C238)</x:f>
        <x:v>343.1241176470588</x:v>
      </x:c>
      <x:c r="J238" s="3"/>
      <x:c r="K238" s="3"/>
      <x:c r="L238" s="3"/>
    </x:row>
    <x:row r="239" ht="22" customHeight="1">
      <x:c r="A239" s="3"/>
      <x:c r="B239" s="3" t="str">
        <x:v>14110</x:v>
      </x:c>
      <x:c r="C239" s="3" t="n">
        <x:v>12</x:v>
      </x:c>
      <x:c r="D239" s="51" t="n">
        <x:v>40883</x:v>
      </x:c>
      <x:c r="E239" s="3" t="str">
        <x:v>Recurrente</x:v>
      </x:c>
      <x:c r="F239" s="13" t="n">
        <x:v>5683.15</x:v>
      </x:c>
      <x:c r="G239" s="13" t="n">
        <x:v>13.5</x:v>
      </x:c>
      <x:c r="H239" s="13" t="n">
        <x:f>F239-G239</x:f>
        <x:v>5669.65</x:v>
      </x:c>
      <x:c r="I239" s="13" t="n">
        <x:f>IF(C239=0,"n.a.",F239/C239)</x:f>
        <x:v>473.5958333333333</x:v>
      </x:c>
      <x:c r="J239" s="3"/>
      <x:c r="K239" s="3"/>
      <x:c r="L239" s="3"/>
    </x:row>
    <x:row r="240" ht="22" customHeight="1">
      <x:c r="A240" s="3"/>
      <x:c r="B240" s="3" t="str">
        <x:v>16553</x:v>
      </x:c>
      <x:c r="C240" s="3" t="n">
        <x:v>12</x:v>
      </x:c>
      <x:c r="D240" s="51" t="n">
        <x:v>40723</x:v>
      </x:c>
      <x:c r="E240" s="3" t="str">
        <x:v>Recurrente</x:v>
      </x:c>
      <x:c r="F240" s="13" t="n">
        <x:v>5719.82</x:v>
      </x:c>
      <x:c r="G240" s="13" t="n">
        <x:v>55.25</x:v>
      </x:c>
      <x:c r="H240" s="13" t="n">
        <x:f>F240-G240</x:f>
        <x:v>5664.57</x:v>
      </x:c>
      <x:c r="I240" s="13" t="n">
        <x:f>IF(C240=0,"n.a.",F240/C240)</x:f>
        <x:v>476.65166666666664</x:v>
      </x:c>
      <x:c r="J240" s="3"/>
      <x:c r="K240" s="3"/>
      <x:c r="L240" s="3"/>
    </x:row>
    <x:row r="241" ht="22" customHeight="1">
      <x:c r="A241" s="3"/>
      <x:c r="B241" s="3" t="str">
        <x:v>13468</x:v>
      </x:c>
      <x:c r="C241" s="3" t="n">
        <x:v>37</x:v>
      </x:c>
      <x:c r="D241" s="51" t="n">
        <x:v>40885</x:v>
      </x:c>
      <x:c r="E241" s="3" t="str">
        <x:v>Recurrente</x:v>
      </x:c>
      <x:c r="F241" s="13" t="n">
        <x:v>5704.97</x:v>
      </x:c>
      <x:c r="G241" s="13" t="n">
        <x:v>48.22</x:v>
      </x:c>
      <x:c r="H241" s="13" t="n">
        <x:f>F241-G241</x:f>
        <x:v>5656.75</x:v>
      </x:c>
      <x:c r="I241" s="13" t="n">
        <x:f>IF(C241=0,"n.a.",F241/C241)</x:f>
        <x:v>154.1883783783784</x:v>
      </x:c>
      <x:c r="J241" s="3"/>
      <x:c r="K241" s="3"/>
      <x:c r="L241" s="3"/>
    </x:row>
    <x:row r="242" ht="22" customHeight="1">
      <x:c r="A242" s="3"/>
      <x:c r="B242" s="3" t="str">
        <x:v>14049</x:v>
      </x:c>
      <x:c r="C242" s="3" t="n">
        <x:v>4</x:v>
      </x:c>
      <x:c r="D242" s="51" t="n">
        <x:v>40870</x:v>
      </x:c>
      <x:c r="E242" s="3" t="str">
        <x:v>Recurrente</x:v>
      </x:c>
      <x:c r="F242" s="13" t="n">
        <x:v>5681.72</x:v>
      </x:c>
      <x:c r="G242" s="13" t="n">
        <x:v>42.57</x:v>
      </x:c>
      <x:c r="H242" s="13" t="n">
        <x:f>F242-G242</x:f>
        <x:v>5639.150000000001</x:v>
      </x:c>
      <x:c r="I242" s="13" t="n">
        <x:f>IF(C242=0,"n.a.",F242/C242)</x:f>
        <x:v>1420.43</x:v>
      </x:c>
      <x:c r="J242" s="3"/>
      <x:c r="K242" s="3"/>
      <x:c r="L242" s="3"/>
    </x:row>
    <x:row r="243" ht="22" customHeight="1">
      <x:c r="A243" s="3"/>
      <x:c r="B243" s="3" t="str">
        <x:v>12476</x:v>
      </x:c>
      <x:c r="C243" s="3" t="n">
        <x:v>11</x:v>
      </x:c>
      <x:c r="D243" s="51" t="n">
        <x:v>40871</x:v>
      </x:c>
      <x:c r="E243" s="3" t="str">
        <x:v>Recurrente</x:v>
      </x:c>
      <x:c r="F243" s="13" t="n">
        <x:v>5898.42</x:v>
      </x:c>
      <x:c r="G243" s="13" t="n">
        <x:v>269.84</x:v>
      </x:c>
      <x:c r="H243" s="13" t="n">
        <x:f>F243-G243</x:f>
        <x:v>5628.58</x:v>
      </x:c>
      <x:c r="I243" s="13" t="n">
        <x:f>IF(C243=0,"n.a.",F243/C243)</x:f>
        <x:v>536.22</x:v>
      </x:c>
      <x:c r="J243" s="3"/>
      <x:c r="K243" s="3"/>
      <x:c r="L243" s="3"/>
    </x:row>
    <x:row r="244" ht="22" customHeight="1">
      <x:c r="A244" s="3"/>
      <x:c r="B244" s="3" t="str">
        <x:v>13004</x:v>
      </x:c>
      <x:c r="C244" s="3" t="n">
        <x:v>18</x:v>
      </x:c>
      <x:c r="D244" s="51" t="n">
        <x:v>40875</x:v>
      </x:c>
      <x:c r="E244" s="3" t="str">
        <x:v>Recurrente</x:v>
      </x:c>
      <x:c r="F244" s="13" t="n">
        <x:v>5655.91</x:v>
      </x:c>
      <x:c r="G244" s="13" t="n">
        <x:v>42.48</x:v>
      </x:c>
      <x:c r="H244" s="13" t="n">
        <x:f>F244-G244</x:f>
        <x:v>5613.43</x:v>
      </x:c>
      <x:c r="I244" s="13" t="n">
        <x:f>IF(C244=0,"n.a.",F244/C244)</x:f>
        <x:v>314.21722222222223</x:v>
      </x:c>
      <x:c r="J244" s="3"/>
      <x:c r="K244" s="3"/>
      <x:c r="L244" s="3"/>
    </x:row>
    <x:row r="245" ht="22" customHeight="1">
      <x:c r="A245" s="3"/>
      <x:c r="B245" s="3" t="str">
        <x:v>13534</x:v>
      </x:c>
      <x:c r="C245" s="3" t="n">
        <x:v>25</x:v>
      </x:c>
      <x:c r="D245" s="51" t="n">
        <x:v>40884</x:v>
      </x:c>
      <x:c r="E245" s="3" t="str">
        <x:v>Recurrente</x:v>
      </x:c>
      <x:c r="F245" s="13" t="n">
        <x:v>5870.08</x:v>
      </x:c>
      <x:c r="G245" s="13" t="n">
        <x:v>257</x:v>
      </x:c>
      <x:c r="H245" s="13" t="n">
        <x:f>F245-G245</x:f>
        <x:v>5613.08</x:v>
      </x:c>
      <x:c r="I245" s="13" t="n">
        <x:f>IF(C245=0,"n.a.",F245/C245)</x:f>
        <x:v>234.8032</x:v>
      </x:c>
      <x:c r="J245" s="3"/>
      <x:c r="K245" s="3"/>
      <x:c r="L245" s="3"/>
    </x:row>
    <x:row r="246" ht="22" customHeight="1">
      <x:c r="A246" s="3"/>
      <x:c r="B246" s="3" t="str">
        <x:v>17049</x:v>
      </x:c>
      <x:c r="C246" s="3" t="n">
        <x:v>9</x:v>
      </x:c>
      <x:c r="D246" s="51" t="n">
        <x:v>40884</x:v>
      </x:c>
      <x:c r="E246" s="3" t="str">
        <x:v>Recurrente</x:v>
      </x:c>
      <x:c r="F246" s="13" t="n">
        <x:v>5659.98</x:v>
      </x:c>
      <x:c r="G246" s="13" t="n">
        <x:v>65.2</x:v>
      </x:c>
      <x:c r="H246" s="13" t="n">
        <x:f>F246-G246</x:f>
        <x:v>5594.78</x:v>
      </x:c>
      <x:c r="I246" s="13" t="n">
        <x:f>IF(C246=0,"n.a.",F246/C246)</x:f>
        <x:v>628.8866666666667</x:v>
      </x:c>
      <x:c r="J246" s="3"/>
      <x:c r="K246" s="3"/>
      <x:c r="L246" s="3"/>
    </x:row>
    <x:row r="247" ht="22" customHeight="1">
      <x:c r="A247" s="3"/>
      <x:c r="B247" s="3" t="str">
        <x:v>18118</x:v>
      </x:c>
      <x:c r="C247" s="3" t="n">
        <x:v>26</x:v>
      </x:c>
      <x:c r="D247" s="51" t="n">
        <x:v>40876</x:v>
      </x:c>
      <x:c r="E247" s="3" t="str">
        <x:v>Recurrente</x:v>
      </x:c>
      <x:c r="F247" s="13" t="n">
        <x:v>5651.42</x:v>
      </x:c>
      <x:c r="G247" s="13" t="n">
        <x:v>58.05</x:v>
      </x:c>
      <x:c r="H247" s="13" t="n">
        <x:f>F247-G247</x:f>
        <x:v>5593.37</x:v>
      </x:c>
      <x:c r="I247" s="13" t="n">
        <x:f>IF(C247=0,"n.a.",F247/C247)</x:f>
        <x:v>217.3623076923077</x:v>
      </x:c>
      <x:c r="J247" s="3"/>
      <x:c r="K247" s="3"/>
      <x:c r="L247" s="3"/>
    </x:row>
    <x:row r="248" ht="22" customHeight="1">
      <x:c r="A248" s="3"/>
      <x:c r="B248" s="3" t="str">
        <x:v>12839</x:v>
      </x:c>
      <x:c r="C248" s="3" t="n">
        <x:v>14</x:v>
      </x:c>
      <x:c r="D248" s="51" t="n">
        <x:v>40884</x:v>
      </x:c>
      <x:c r="E248" s="3" t="str">
        <x:v>Recurrente</x:v>
      </x:c>
      <x:c r="F248" s="13" t="n">
        <x:v>5591.42</x:v>
      </x:c>
      <x:c r="G248" s="13" t="n">
        <x:v>3.3</x:v>
      </x:c>
      <x:c r="H248" s="13" t="n">
        <x:f>F248-G248</x:f>
        <x:v>5588.12</x:v>
      </x:c>
      <x:c r="I248" s="13" t="n">
        <x:f>IF(C248=0,"n.a.",F248/C248)</x:f>
        <x:v>399.38714285714286</x:v>
      </x:c>
      <x:c r="J248" s="3"/>
      <x:c r="K248" s="3"/>
      <x:c r="L248" s="3"/>
    </x:row>
    <x:row r="249" ht="22" customHeight="1">
      <x:c r="A249" s="3"/>
      <x:c r="B249" s="3" t="str">
        <x:v>17757</x:v>
      </x:c>
      <x:c r="C249" s="3" t="n">
        <x:v>30</x:v>
      </x:c>
      <x:c r="D249" s="51" t="n">
        <x:v>40885</x:v>
      </x:c>
      <x:c r="E249" s="3" t="str">
        <x:v>Recurrente</x:v>
      </x:c>
      <x:c r="F249" s="13" t="n">
        <x:v>5601.34</x:v>
      </x:c>
      <x:c r="G249" s="13" t="n">
        <x:v>19.8</x:v>
      </x:c>
      <x:c r="H249" s="13" t="n">
        <x:f>F249-G249</x:f>
        <x:v>5581.54</x:v>
      </x:c>
      <x:c r="I249" s="13" t="n">
        <x:f>IF(C249=0,"n.a.",F249/C249)</x:f>
        <x:v>186.71133333333333</x:v>
      </x:c>
      <x:c r="J249" s="3"/>
      <x:c r="K249" s="3"/>
      <x:c r="L249" s="3"/>
    </x:row>
    <x:row r="250" ht="22" customHeight="1">
      <x:c r="A250" s="3"/>
      <x:c r="B250" s="3" t="str">
        <x:v>16767</x:v>
      </x:c>
      <x:c r="C250" s="3" t="n">
        <x:v>11</x:v>
      </x:c>
      <x:c r="D250" s="51" t="n">
        <x:v>40856</x:v>
      </x:c>
      <x:c r="E250" s="3" t="str">
        <x:v>Recurrente</x:v>
      </x:c>
      <x:c r="F250" s="13" t="n">
        <x:v>5580.6</x:v>
      </x:c>
      <x:c r="G250" s="13" t="n">
        <x:v>0</x:v>
      </x:c>
      <x:c r="H250" s="13" t="n">
        <x:f>F250-G250</x:f>
        <x:v>5580.6</x:v>
      </x:c>
      <x:c r="I250" s="13" t="n">
        <x:f>IF(C250=0,"n.a.",F250/C250)</x:f>
        <x:v>507.32727272727277</x:v>
      </x:c>
      <x:c r="J250" s="3"/>
      <x:c r="K250" s="3"/>
      <x:c r="L250" s="3"/>
    </x:row>
    <x:row r="251" ht="22" customHeight="1">
      <x:c r="A251" s="3"/>
      <x:c r="B251" s="3" t="str">
        <x:v>12539</x:v>
      </x:c>
      <x:c r="C251" s="3" t="n">
        <x:v>4</x:v>
      </x:c>
      <x:c r="D251" s="51" t="n">
        <x:v>40864</x:v>
      </x:c>
      <x:c r="E251" s="3" t="str">
        <x:v>Recurrente</x:v>
      </x:c>
      <x:c r="F251" s="13" t="n">
        <x:v>5568.35</x:v>
      </x:c>
      <x:c r="G251" s="13" t="n">
        <x:v>0</x:v>
      </x:c>
      <x:c r="H251" s="13" t="n">
        <x:f>F251-G251</x:f>
        <x:v>5568.35</x:v>
      </x:c>
      <x:c r="I251" s="13" t="n">
        <x:f>IF(C251=0,"n.a.",F251/C251)</x:f>
        <x:v>1392.0875</x:v>
      </x:c>
      <x:c r="J251" s="3"/>
      <x:c r="K251" s="3"/>
      <x:c r="L251" s="3"/>
    </x:row>
    <x:row r="252" ht="22" customHeight="1">
      <x:c r="A252" s="3"/>
      <x:c r="B252" s="3" t="str">
        <x:v>15502</x:v>
      </x:c>
      <x:c r="C252" s="3" t="n">
        <x:v>10</x:v>
      </x:c>
      <x:c r="D252" s="51" t="n">
        <x:v>40871</x:v>
      </x:c>
      <x:c r="E252" s="3" t="str">
        <x:v>Recurrente</x:v>
      </x:c>
      <x:c r="F252" s="13" t="n">
        <x:v>6923.98</x:v>
      </x:c>
      <x:c r="G252" s="13" t="n">
        <x:v>1375.4</x:v>
      </x:c>
      <x:c r="H252" s="13" t="n">
        <x:f>F252-G252</x:f>
        <x:v>5548.58</x:v>
      </x:c>
      <x:c r="I252" s="13" t="n">
        <x:f>IF(C252=0,"n.a.",F252/C252)</x:f>
        <x:v>692.3979999999999</x:v>
      </x:c>
      <x:c r="J252" s="3"/>
      <x:c r="K252" s="3"/>
      <x:c r="L252" s="3"/>
    </x:row>
    <x:row r="253" ht="22" customHeight="1">
      <x:c r="A253" s="3"/>
      <x:c r="B253" s="3" t="str">
        <x:v>17716</x:v>
      </x:c>
      <x:c r="C253" s="3" t="n">
        <x:v>11</x:v>
      </x:c>
      <x:c r="D253" s="51" t="n">
        <x:v>40864</x:v>
      </x:c>
      <x:c r="E253" s="3" t="str">
        <x:v>Recurrente</x:v>
      </x:c>
      <x:c r="F253" s="13" t="n">
        <x:v>5655.99</x:v>
      </x:c>
      <x:c r="G253" s="13" t="n">
        <x:v>150.2</x:v>
      </x:c>
      <x:c r="H253" s="13" t="n">
        <x:f>F253-G253</x:f>
        <x:v>5505.79</x:v>
      </x:c>
      <x:c r="I253" s="13" t="n">
        <x:f>IF(C253=0,"n.a.",F253/C253)</x:f>
        <x:v>514.180909090909</x:v>
      </x:c>
      <x:c r="J253" s="3"/>
      <x:c r="K253" s="3"/>
      <x:c r="L253" s="3"/>
    </x:row>
    <x:row r="254" ht="22" customHeight="1">
      <x:c r="A254" s="3"/>
      <x:c r="B254" s="3" t="str">
        <x:v>16985</x:v>
      </x:c>
      <x:c r="C254" s="3" t="n">
        <x:v>10</x:v>
      </x:c>
      <x:c r="D254" s="51" t="n">
        <x:v>40869</x:v>
      </x:c>
      <x:c r="E254" s="3" t="str">
        <x:v>Recurrente</x:v>
      </x:c>
      <x:c r="F254" s="13" t="n">
        <x:v>5464.12</x:v>
      </x:c>
      <x:c r="G254" s="13" t="n">
        <x:v>2.5</x:v>
      </x:c>
      <x:c r="H254" s="13" t="n">
        <x:f>F254-G254</x:f>
        <x:v>5461.62</x:v>
      </x:c>
      <x:c r="I254" s="13" t="n">
        <x:f>IF(C254=0,"n.a.",F254/C254)</x:f>
        <x:v>546.412</x:v>
      </x:c>
      <x:c r="J254" s="3"/>
      <x:c r="K254" s="3"/>
      <x:c r="L254" s="3"/>
    </x:row>
    <x:row r="255" ht="22" customHeight="1">
      <x:c r="A255" s="3"/>
      <x:c r="B255" s="3" t="str">
        <x:v>15805</x:v>
      </x:c>
      <x:c r="C255" s="3" t="n">
        <x:v>17</x:v>
      </x:c>
      <x:c r="D255" s="51" t="n">
        <x:v>40863</x:v>
      </x:c>
      <x:c r="E255" s="3" t="str">
        <x:v>Recurrente</x:v>
      </x:c>
      <x:c r="F255" s="13" t="n">
        <x:v>5528.48</x:v>
      </x:c>
      <x:c r="G255" s="13" t="n">
        <x:v>76.31</x:v>
      </x:c>
      <x:c r="H255" s="13" t="n">
        <x:f>F255-G255</x:f>
        <x:v>5452.169999999999</x:v>
      </x:c>
      <x:c r="I255" s="13" t="n">
        <x:f>IF(C255=0,"n.a.",F255/C255)</x:f>
        <x:v>325.2047058823529</x:v>
      </x:c>
      <x:c r="J255" s="3"/>
      <x:c r="K255" s="3"/>
      <x:c r="L255" s="3"/>
    </x:row>
    <x:row r="256" ht="22" customHeight="1">
      <x:c r="A256" s="3"/>
      <x:c r="B256" s="3" t="str">
        <x:v>16609</x:v>
      </x:c>
      <x:c r="C256" s="3" t="n">
        <x:v>7</x:v>
      </x:c>
      <x:c r="D256" s="51" t="n">
        <x:v>40871</x:v>
      </x:c>
      <x:c r="E256" s="3" t="str">
        <x:v>Recurrente</x:v>
      </x:c>
      <x:c r="F256" s="13" t="n">
        <x:v>5493.46</x:v>
      </x:c>
      <x:c r="G256" s="13" t="n">
        <x:v>42.5</x:v>
      </x:c>
      <x:c r="H256" s="13" t="n">
        <x:f>F256-G256</x:f>
        <x:v>5450.96</x:v>
      </x:c>
      <x:c r="I256" s="13" t="n">
        <x:f>IF(C256=0,"n.a.",F256/C256)</x:f>
        <x:v>784.78</x:v>
      </x:c>
      <x:c r="J256" s="3"/>
      <x:c r="K256" s="3"/>
      <x:c r="L256" s="3"/>
    </x:row>
    <x:row r="257" ht="22" customHeight="1">
      <x:c r="A257" s="3"/>
      <x:c r="B257" s="3" t="str">
        <x:v>16161</x:v>
      </x:c>
      <x:c r="C257" s="3" t="n">
        <x:v>19</x:v>
      </x:c>
      <x:c r="D257" s="51" t="n">
        <x:v>40885</x:v>
      </x:c>
      <x:c r="E257" s="3" t="str">
        <x:v>Recurrente</x:v>
      </x:c>
      <x:c r="F257" s="13" t="n">
        <x:v>5575.56</x:v>
      </x:c>
      <x:c r="G257" s="13" t="n">
        <x:v>178.84</x:v>
      </x:c>
      <x:c r="H257" s="13" t="n">
        <x:f>F257-G257</x:f>
        <x:v>5396.72</x:v>
      </x:c>
      <x:c r="I257" s="13" t="n">
        <x:f>IF(C257=0,"n.a.",F257/C257)</x:f>
        <x:v>293.4505263157895</x:v>
      </x:c>
      <x:c r="J257" s="3"/>
      <x:c r="K257" s="3"/>
      <x:c r="L257" s="3"/>
    </x:row>
    <x:row r="258" ht="22" customHeight="1">
      <x:c r="A258" s="3"/>
      <x:c r="B258" s="3" t="str">
        <x:v>17719</x:v>
      </x:c>
      <x:c r="C258" s="3" t="n">
        <x:v>15</x:v>
      </x:c>
      <x:c r="D258" s="51" t="n">
        <x:v>40849</x:v>
      </x:c>
      <x:c r="E258" s="3" t="str">
        <x:v>Recurrente</x:v>
      </x:c>
      <x:c r="F258" s="13" t="n">
        <x:v>5396.04</x:v>
      </x:c>
      <x:c r="G258" s="13" t="n">
        <x:v>28.24</x:v>
      </x:c>
      <x:c r="H258" s="13" t="n">
        <x:f>F258-G258</x:f>
        <x:v>5367.8</x:v>
      </x:c>
      <x:c r="I258" s="13" t="n">
        <x:f>IF(C258=0,"n.a.",F258/C258)</x:f>
        <x:v>359.736</x:v>
      </x:c>
      <x:c r="J258" s="3"/>
      <x:c r="K258" s="3"/>
      <x:c r="L258" s="3"/>
    </x:row>
    <x:row r="259" ht="22" customHeight="1">
      <x:c r="A259" s="3"/>
      <x:c r="B259" s="3" t="str">
        <x:v>18225</x:v>
      </x:c>
      <x:c r="C259" s="3" t="n">
        <x:v>12</x:v>
      </x:c>
      <x:c r="D259" s="51" t="n">
        <x:v>40883</x:v>
      </x:c>
      <x:c r="E259" s="3" t="str">
        <x:v>Recurrente</x:v>
      </x:c>
      <x:c r="F259" s="13" t="n">
        <x:v>5509.12</x:v>
      </x:c>
      <x:c r="G259" s="13" t="n">
        <x:v>148.1</x:v>
      </x:c>
      <x:c r="H259" s="13" t="n">
        <x:f>F259-G259</x:f>
        <x:v>5361.0199999999995</x:v>
      </x:c>
      <x:c r="I259" s="13" t="n">
        <x:f>IF(C259=0,"n.a.",F259/C259)</x:f>
        <x:v>459.0933333333333</x:v>
      </x:c>
      <x:c r="J259" s="3"/>
      <x:c r="K259" s="3"/>
      <x:c r="L259" s="3"/>
    </x:row>
    <x:row r="260" ht="22" customHeight="1">
      <x:c r="A260" s="3"/>
      <x:c r="B260" s="3" t="str">
        <x:v>17809</x:v>
      </x:c>
      <x:c r="C260" s="3" t="n">
        <x:v>12</x:v>
      </x:c>
      <x:c r="D260" s="51" t="n">
        <x:v>40870</x:v>
      </x:c>
      <x:c r="E260" s="3" t="str">
        <x:v>Recurrente</x:v>
      </x:c>
      <x:c r="F260" s="13" t="n">
        <x:v>5411.91</x:v>
      </x:c>
      <x:c r="G260" s="13" t="n">
        <x:v>67.06</x:v>
      </x:c>
      <x:c r="H260" s="13" t="n">
        <x:f>F260-G260</x:f>
        <x:v>5344.849999999999</x:v>
      </x:c>
      <x:c r="I260" s="13" t="n">
        <x:f>IF(C260=0,"n.a.",F260/C260)</x:f>
        <x:v>450.9925</x:v>
      </x:c>
      <x:c r="J260" s="3"/>
      <x:c r="K260" s="3"/>
      <x:c r="L260" s="3"/>
    </x:row>
    <x:row r="261" ht="22" customHeight="1">
      <x:c r="A261" s="3"/>
      <x:c r="B261" s="3" t="str">
        <x:v>16265</x:v>
      </x:c>
      <x:c r="C261" s="3" t="n">
        <x:v>9</x:v>
      </x:c>
      <x:c r="D261" s="51" t="n">
        <x:v>40877</x:v>
      </x:c>
      <x:c r="E261" s="3" t="str">
        <x:v>Recurrente</x:v>
      </x:c>
      <x:c r="F261" s="13" t="n">
        <x:v>5347</x:v>
      </x:c>
      <x:c r="G261" s="13" t="n">
        <x:v>23.85</x:v>
      </x:c>
      <x:c r="H261" s="13" t="n">
        <x:f>F261-G261</x:f>
        <x:v>5323.15</x:v>
      </x:c>
      <x:c r="I261" s="13" t="n">
        <x:f>IF(C261=0,"n.a.",F261/C261)</x:f>
        <x:v>594.1111111111111</x:v>
      </x:c>
      <x:c r="J261" s="3"/>
      <x:c r="K261" s="3"/>
      <x:c r="L261" s="3"/>
    </x:row>
    <x:row r="262" ht="22" customHeight="1">
      <x:c r="A262" s="3"/>
      <x:c r="B262" s="3" t="str">
        <x:v>13269</x:v>
      </x:c>
      <x:c r="C262" s="3" t="n">
        <x:v>15</x:v>
      </x:c>
      <x:c r="D262" s="51" t="n">
        <x:v>40885</x:v>
      </x:c>
      <x:c r="E262" s="3" t="str">
        <x:v>Recurrente</x:v>
      </x:c>
      <x:c r="F262" s="13" t="n">
        <x:v>5346.23</x:v>
      </x:c>
      <x:c r="G262" s="13" t="n">
        <x:v>30.31</x:v>
      </x:c>
      <x:c r="H262" s="13" t="n">
        <x:f>F262-G262</x:f>
        <x:v>5315.919999999999</x:v>
      </x:c>
      <x:c r="I262" s="13" t="n">
        <x:f>IF(C262=0,"n.a.",F262/C262)</x:f>
        <x:v>356.4153333333333</x:v>
      </x:c>
      <x:c r="J262" s="3"/>
      <x:c r="K262" s="3"/>
      <x:c r="L262" s="3"/>
    </x:row>
    <x:row r="263" ht="22" customHeight="1">
      <x:c r="A263" s="3"/>
      <x:c r="B263" s="3" t="str">
        <x:v>16303</x:v>
      </x:c>
      <x:c r="C263" s="3" t="n">
        <x:v>3</x:v>
      </x:c>
      <x:c r="D263" s="51" t="n">
        <x:v>40861</x:v>
      </x:c>
      <x:c r="E263" s="3" t="str">
        <x:v>Recurrente</x:v>
      </x:c>
      <x:c r="F263" s="13" t="n">
        <x:v>5360.63</x:v>
      </x:c>
      <x:c r="G263" s="13" t="n">
        <x:v>54.8</x:v>
      </x:c>
      <x:c r="H263" s="13" t="n">
        <x:f>F263-G263</x:f>
        <x:v>5305.83</x:v>
      </x:c>
      <x:c r="I263" s="13" t="n">
        <x:f>IF(C263=0,"n.a.",F263/C263)</x:f>
        <x:v>1786.8766666666668</x:v>
      </x:c>
      <x:c r="J263" s="3"/>
      <x:c r="K263" s="3"/>
      <x:c r="L263" s="3"/>
    </x:row>
    <x:row r="264" ht="22" customHeight="1">
      <x:c r="A264" s="3"/>
      <x:c r="B264" s="3" t="str">
        <x:v>15150</x:v>
      </x:c>
      <x:c r="C264" s="3" t="n">
        <x:v>10</x:v>
      </x:c>
      <x:c r="D264" s="51" t="n">
        <x:v>40869</x:v>
      </x:c>
      <x:c r="E264" s="3" t="str">
        <x:v>Recurrente</x:v>
      </x:c>
      <x:c r="F264" s="13" t="n">
        <x:v>5314.47</x:v>
      </x:c>
      <x:c r="G264" s="13" t="n">
        <x:v>10.5</x:v>
      </x:c>
      <x:c r="H264" s="13" t="n">
        <x:f>F264-G264</x:f>
        <x:v>5303.97</x:v>
      </x:c>
      <x:c r="I264" s="13" t="n">
        <x:f>IF(C264=0,"n.a.",F264/C264)</x:f>
        <x:v>531.447</x:v>
      </x:c>
      <x:c r="J264" s="3"/>
      <x:c r="K264" s="3"/>
      <x:c r="L264" s="3"/>
    </x:row>
    <x:row r="265" ht="22" customHeight="1">
      <x:c r="A265" s="3"/>
      <x:c r="B265" s="3" t="str">
        <x:v>17730</x:v>
      </x:c>
      <x:c r="C265" s="3" t="n">
        <x:v>13</x:v>
      </x:c>
      <x:c r="D265" s="51" t="n">
        <x:v>40883</x:v>
      </x:c>
      <x:c r="E265" s="3" t="str">
        <x:v>Recurrente</x:v>
      </x:c>
      <x:c r="F265" s="13" t="n">
        <x:v>5298.48</x:v>
      </x:c>
      <x:c r="G265" s="13" t="n">
        <x:v>9.65</x:v>
      </x:c>
      <x:c r="H265" s="13" t="n">
        <x:f>F265-G265</x:f>
        <x:v>5288.83</x:v>
      </x:c>
      <x:c r="I265" s="13" t="n">
        <x:f>IF(C265=0,"n.a.",F265/C265)</x:f>
        <x:v>407.57538461538456</x:v>
      </x:c>
      <x:c r="J265" s="3"/>
      <x:c r="K265" s="3"/>
      <x:c r="L265" s="3"/>
    </x:row>
    <x:row r="266" ht="22" customHeight="1">
      <x:c r="A266" s="3"/>
      <x:c r="B266" s="3" t="str">
        <x:v>17850</x:v>
      </x:c>
      <x:c r="C266" s="3" t="n">
        <x:v>34</x:v>
      </x:c>
      <x:c r="D266" s="51" t="n">
        <x:v>40514</x:v>
      </x:c>
      <x:c r="E266" s="3" t="str">
        <x:v>Recurrente</x:v>
      </x:c>
      <x:c r="F266" s="13" t="n">
        <x:v>5391.21</x:v>
      </x:c>
      <x:c r="G266" s="13" t="n">
        <x:v>102.58</x:v>
      </x:c>
      <x:c r="H266" s="13" t="n">
        <x:f>F266-G266</x:f>
        <x:v>5288.63</x:v>
      </x:c>
      <x:c r="I266" s="13" t="n">
        <x:f>IF(C266=0,"n.a.",F266/C266)</x:f>
        <x:v>158.565</x:v>
      </x:c>
      <x:c r="J266" s="3"/>
      <x:c r="K266" s="3"/>
      <x:c r="L266" s="3"/>
    </x:row>
    <x:row r="267" ht="22" customHeight="1">
      <x:c r="A267" s="3"/>
      <x:c r="B267" s="3" t="str">
        <x:v>16258</x:v>
      </x:c>
      <x:c r="C267" s="3" t="n">
        <x:v>5</x:v>
      </x:c>
      <x:c r="D267" s="51" t="n">
        <x:v>40841</x:v>
      </x:c>
      <x:c r="E267" s="3" t="str">
        <x:v>Recurrente</x:v>
      </x:c>
      <x:c r="F267" s="13" t="n">
        <x:v>5203.51</x:v>
      </x:c>
      <x:c r="G267" s="13" t="n">
        <x:v>0</x:v>
      </x:c>
      <x:c r="H267" s="13" t="n">
        <x:f>F267-G267</x:f>
        <x:v>5203.51</x:v>
      </x:c>
      <x:c r="I267" s="13" t="n">
        <x:f>IF(C267=0,"n.a.",F267/C267)</x:f>
        <x:v>1040.702</x:v>
      </x:c>
      <x:c r="J267" s="3"/>
      <x:c r="K267" s="3"/>
      <x:c r="L267" s="3"/>
    </x:row>
    <x:row r="268" ht="22" customHeight="1">
      <x:c r="A268" s="3"/>
      <x:c r="B268" s="3" t="str">
        <x:v>18226</x:v>
      </x:c>
      <x:c r="C268" s="3" t="n">
        <x:v>11</x:v>
      </x:c>
      <x:c r="D268" s="51" t="n">
        <x:v>40842</x:v>
      </x:c>
      <x:c r="E268" s="3" t="str">
        <x:v>Recurrente</x:v>
      </x:c>
      <x:c r="F268" s="13" t="n">
        <x:v>5228.05</x:v>
      </x:c>
      <x:c r="G268" s="13" t="n">
        <x:v>35.95</x:v>
      </x:c>
      <x:c r="H268" s="13" t="n">
        <x:f>F268-G268</x:f>
        <x:v>5192.1</x:v>
      </x:c>
      <x:c r="I268" s="13" t="n">
        <x:f>IF(C268=0,"n.a.",F268/C268)</x:f>
        <x:v>475.27727272727276</x:v>
      </x:c>
      <x:c r="J268" s="3"/>
      <x:c r="K268" s="3"/>
      <x:c r="L268" s="3"/>
    </x:row>
    <x:row r="269" ht="22" customHeight="1">
      <x:c r="A269" s="3"/>
      <x:c r="B269" s="3" t="str">
        <x:v>15727</x:v>
      </x:c>
      <x:c r="C269" s="3" t="n">
        <x:v>7</x:v>
      </x:c>
      <x:c r="D269" s="51" t="n">
        <x:v>40870</x:v>
      </x:c>
      <x:c r="E269" s="3" t="str">
        <x:v>Recurrente</x:v>
      </x:c>
      <x:c r="F269" s="13" t="n">
        <x:v>5178.96</x:v>
      </x:c>
      <x:c r="G269" s="13" t="n">
        <x:v>0</x:v>
      </x:c>
      <x:c r="H269" s="13" t="n">
        <x:f>F269-G269</x:f>
        <x:v>5178.96</x:v>
      </x:c>
      <x:c r="I269" s="13" t="n">
        <x:f>IF(C269=0,"n.a.",F269/C269)</x:f>
        <x:v>739.8514285714285</x:v>
      </x:c>
      <x:c r="J269" s="3"/>
      <x:c r="K269" s="3"/>
      <x:c r="L269" s="3"/>
    </x:row>
    <x:row r="270" ht="22" customHeight="1">
      <x:c r="A270" s="3"/>
      <x:c r="B270" s="3" t="str">
        <x:v>17858</x:v>
      </x:c>
      <x:c r="C270" s="3" t="n">
        <x:v>12</x:v>
      </x:c>
      <x:c r="D270" s="51" t="n">
        <x:v>40881</x:v>
      </x:c>
      <x:c r="E270" s="3" t="str">
        <x:v>Recurrente</x:v>
      </x:c>
      <x:c r="F270" s="13" t="n">
        <x:v>5155.66</x:v>
      </x:c>
      <x:c r="G270" s="13" t="n">
        <x:v>0</x:v>
      </x:c>
      <x:c r="H270" s="13" t="n">
        <x:f>F270-G270</x:f>
        <x:v>5155.66</x:v>
      </x:c>
      <x:c r="I270" s="13" t="n">
        <x:f>IF(C270=0,"n.a.",F270/C270)</x:f>
        <x:v>429.6383333333333</x:v>
      </x:c>
      <x:c r="J270" s="3"/>
      <x:c r="K270" s="3"/>
      <x:c r="L270" s="3"/>
    </x:row>
    <x:row r="271" ht="22" customHeight="1">
      <x:c r="A271" s="3"/>
      <x:c r="B271" s="3" t="str">
        <x:v>16701</x:v>
      </x:c>
      <x:c r="C271" s="3" t="n">
        <x:v>13</x:v>
      </x:c>
      <x:c r="D271" s="51" t="n">
        <x:v>40878</x:v>
      </x:c>
      <x:c r="E271" s="3" t="str">
        <x:v>Recurrente</x:v>
      </x:c>
      <x:c r="F271" s="13" t="n">
        <x:v>5398.3</x:v>
      </x:c>
      <x:c r="G271" s="13" t="n">
        <x:v>248.03</x:v>
      </x:c>
      <x:c r="H271" s="13" t="n">
        <x:f>F271-G271</x:f>
        <x:v>5150.27</x:v>
      </x:c>
      <x:c r="I271" s="13" t="n">
        <x:f>IF(C271=0,"n.a.",F271/C271)</x:f>
        <x:v>415.25384615384615</x:v>
      </x:c>
      <x:c r="J271" s="3"/>
      <x:c r="K271" s="3"/>
      <x:c r="L271" s="3"/>
    </x:row>
    <x:row r="272" ht="22" customHeight="1">
      <x:c r="A272" s="3"/>
      <x:c r="B272" s="3" t="str">
        <x:v>13756</x:v>
      </x:c>
      <x:c r="C272" s="3" t="n">
        <x:v>14</x:v>
      </x:c>
      <x:c r="D272" s="51" t="n">
        <x:v>40884</x:v>
      </x:c>
      <x:c r="E272" s="3" t="str">
        <x:v>Recurrente</x:v>
      </x:c>
      <x:c r="F272" s="13" t="n">
        <x:v>5189.52</x:v>
      </x:c>
      <x:c r="G272" s="13" t="n">
        <x:v>44.4</x:v>
      </x:c>
      <x:c r="H272" s="13" t="n">
        <x:f>F272-G272</x:f>
        <x:v>5145.120000000001</x:v>
      </x:c>
      <x:c r="I272" s="13" t="n">
        <x:f>IF(C272=0,"n.a.",F272/C272)</x:f>
        <x:v>370.68</x:v>
      </x:c>
      <x:c r="J272" s="3"/>
      <x:c r="K272" s="3"/>
      <x:c r="L272" s="3"/>
    </x:row>
    <x:row r="273" ht="22" customHeight="1">
      <x:c r="A273" s="3"/>
      <x:c r="B273" s="3" t="str">
        <x:v>15903</x:v>
      </x:c>
      <x:c r="C273" s="3" t="n">
        <x:v>7</x:v>
      </x:c>
      <x:c r="D273" s="51" t="n">
        <x:v>40877</x:v>
      </x:c>
      <x:c r="E273" s="3" t="str">
        <x:v>Recurrente</x:v>
      </x:c>
      <x:c r="F273" s="13" t="n">
        <x:v>5126.76</x:v>
      </x:c>
      <x:c r="G273" s="13" t="n">
        <x:v>0.42</x:v>
      </x:c>
      <x:c r="H273" s="13" t="n">
        <x:f>F273-G273</x:f>
        <x:v>5126.34</x:v>
      </x:c>
      <x:c r="I273" s="13" t="n">
        <x:f>IF(C273=0,"n.a.",F273/C273)</x:f>
        <x:v>732.3942857142857</x:v>
      </x:c>
      <x:c r="J273" s="3"/>
      <x:c r="K273" s="3"/>
      <x:c r="L273" s="3"/>
    </x:row>
    <x:row r="274" ht="22" customHeight="1">
      <x:c r="A274" s="3"/>
      <x:c r="B274" s="3" t="str">
        <x:v>17061</x:v>
      </x:c>
      <x:c r="C274" s="3" t="n">
        <x:v>11</x:v>
      </x:c>
      <x:c r="D274" s="51" t="n">
        <x:v>40813</x:v>
      </x:c>
      <x:c r="E274" s="3" t="str">
        <x:v>Recurrente</x:v>
      </x:c>
      <x:c r="F274" s="13" t="n">
        <x:v>5232.23</x:v>
      </x:c>
      <x:c r="G274" s="13" t="n">
        <x:v>116.1</x:v>
      </x:c>
      <x:c r="H274" s="13" t="n">
        <x:f>F274-G274</x:f>
        <x:v>5116.129999999999</x:v>
      </x:c>
      <x:c r="I274" s="13" t="n">
        <x:f>IF(C274=0,"n.a.",F274/C274)</x:f>
        <x:v>475.6572727272727</x:v>
      </x:c>
      <x:c r="J274" s="3"/>
      <x:c r="K274" s="3"/>
      <x:c r="L274" s="3"/>
    </x:row>
    <x:row r="275" ht="22" customHeight="1">
      <x:c r="A275" s="3"/>
      <x:c r="B275" s="3" t="str">
        <x:v>14688</x:v>
      </x:c>
      <x:c r="C275" s="3" t="n">
        <x:v>21</x:v>
      </x:c>
      <x:c r="D275" s="51" t="n">
        <x:v>40879</x:v>
      </x:c>
      <x:c r="E275" s="3" t="str">
        <x:v>Recurrente</x:v>
      </x:c>
      <x:c r="F275" s="13" t="n">
        <x:v>5630.87</x:v>
      </x:c>
      <x:c r="G275" s="13" t="n">
        <x:v>523.49</x:v>
      </x:c>
      <x:c r="H275" s="13" t="n">
        <x:f>F275-G275</x:f>
        <x:v>5107.38</x:v>
      </x:c>
      <x:c r="I275" s="13" t="n">
        <x:f>IF(C275=0,"n.a.",F275/C275)</x:f>
        <x:v>268.13666666666666</x:v>
      </x:c>
      <x:c r="J275" s="3"/>
      <x:c r="K275" s="3"/>
      <x:c r="L275" s="3"/>
    </x:row>
    <x:row r="276" ht="22" customHeight="1">
      <x:c r="A276" s="3"/>
      <x:c r="B276" s="3" t="str">
        <x:v>18198</x:v>
      </x:c>
      <x:c r="C276" s="3" t="n">
        <x:v>17</x:v>
      </x:c>
      <x:c r="D276" s="51" t="n">
        <x:v>40882</x:v>
      </x:c>
      <x:c r="E276" s="3" t="str">
        <x:v>Recurrente</x:v>
      </x:c>
      <x:c r="F276" s="13" t="n">
        <x:v>5425.56</x:v>
      </x:c>
      <x:c r="G276" s="13" t="n">
        <x:v>342.5</x:v>
      </x:c>
      <x:c r="H276" s="13" t="n">
        <x:f>F276-G276</x:f>
        <x:v>5083.06</x:v>
      </x:c>
      <x:c r="I276" s="13" t="n">
        <x:f>IF(C276=0,"n.a.",F276/C276)</x:f>
        <x:v>319.15058823529415</x:v>
      </x:c>
      <x:c r="J276" s="3"/>
      <x:c r="K276" s="3"/>
      <x:c r="L276" s="3"/>
    </x:row>
    <x:row r="277" ht="22" customHeight="1">
      <x:c r="A277" s="3"/>
      <x:c r="B277" s="3" t="str">
        <x:v>12720</x:v>
      </x:c>
      <x:c r="C277" s="3" t="n">
        <x:v>25</x:v>
      </x:c>
      <x:c r="D277" s="51" t="n">
        <x:v>40884</x:v>
      </x:c>
      <x:c r="E277" s="3" t="str">
        <x:v>Recurrente</x:v>
      </x:c>
      <x:c r="F277" s="13" t="n">
        <x:v>5115.73</x:v>
      </x:c>
      <x:c r="G277" s="13" t="n">
        <x:v>50.45</x:v>
      </x:c>
      <x:c r="H277" s="13" t="n">
        <x:f>F277-G277</x:f>
        <x:v>5065.28</x:v>
      </x:c>
      <x:c r="I277" s="13" t="n">
        <x:f>IF(C277=0,"n.a.",F277/C277)</x:f>
        <x:v>204.62919999999997</x:v>
      </x:c>
      <x:c r="J277" s="3"/>
      <x:c r="K277" s="3"/>
      <x:c r="L277" s="3"/>
    </x:row>
    <x:row r="278" ht="22" customHeight="1">
      <x:c r="A278" s="3"/>
      <x:c r="B278" s="3" t="str">
        <x:v>13139</x:v>
      </x:c>
      <x:c r="C278" s="3" t="n">
        <x:v>7</x:v>
      </x:c>
      <x:c r="D278" s="51" t="n">
        <x:v>40870</x:v>
      </x:c>
      <x:c r="E278" s="3" t="str">
        <x:v>Recurrente</x:v>
      </x:c>
      <x:c r="F278" s="13" t="n">
        <x:v>5064.94</x:v>
      </x:c>
      <x:c r="G278" s="13" t="n">
        <x:v>9.15</x:v>
      </x:c>
      <x:c r="H278" s="13" t="n">
        <x:f>F278-G278</x:f>
        <x:v>5055.79</x:v>
      </x:c>
      <x:c r="I278" s="13" t="n">
        <x:f>IF(C278=0,"n.a.",F278/C278)</x:f>
        <x:v>723.5628571428571</x:v>
      </x:c>
      <x:c r="J278" s="3"/>
      <x:c r="K278" s="3"/>
      <x:c r="L278" s="3"/>
    </x:row>
    <x:row r="279" ht="22" customHeight="1">
      <x:c r="A279" s="3"/>
      <x:c r="B279" s="3" t="str">
        <x:v>17602</x:v>
      </x:c>
      <x:c r="C279" s="3" t="n">
        <x:v>6</x:v>
      </x:c>
      <x:c r="D279" s="51" t="n">
        <x:v>40884</x:v>
      </x:c>
      <x:c r="E279" s="3" t="str">
        <x:v>Recurrente</x:v>
      </x:c>
      <x:c r="F279" s="13" t="n">
        <x:v>5102.97</x:v>
      </x:c>
      <x:c r="G279" s="13" t="n">
        <x:v>52.2</x:v>
      </x:c>
      <x:c r="H279" s="13" t="n">
        <x:f>F279-G279</x:f>
        <x:v>5050.77</x:v>
      </x:c>
      <x:c r="I279" s="13" t="n">
        <x:f>IF(C279=0,"n.a.",F279/C279)</x:f>
        <x:v>850.495</x:v>
      </x:c>
      <x:c r="J279" s="3"/>
      <x:c r="K279" s="3"/>
      <x:c r="L279" s="3"/>
    </x:row>
    <x:row r="280" ht="22" customHeight="1">
      <x:c r="A280" s="3"/>
      <x:c r="B280" s="3" t="str">
        <x:v>15046</x:v>
      </x:c>
      <x:c r="C280" s="3" t="n">
        <x:v>15</x:v>
      </x:c>
      <x:c r="D280" s="51" t="n">
        <x:v>40877</x:v>
      </x:c>
      <x:c r="E280" s="3" t="str">
        <x:v>Recurrente</x:v>
      </x:c>
      <x:c r="F280" s="13" t="n">
        <x:v>5194.82</x:v>
      </x:c>
      <x:c r="G280" s="13" t="n">
        <x:v>149.76</x:v>
      </x:c>
      <x:c r="H280" s="13" t="n">
        <x:f>F280-G280</x:f>
        <x:v>5045.0599999999995</x:v>
      </x:c>
      <x:c r="I280" s="13" t="n">
        <x:f>IF(C280=0,"n.a.",F280/C280)</x:f>
        <x:v>346.3213333333333</x:v>
      </x:c>
      <x:c r="J280" s="3"/>
      <x:c r="K280" s="3"/>
      <x:c r="L280" s="3"/>
    </x:row>
    <x:row r="281" ht="22" customHeight="1">
      <x:c r="A281" s="3"/>
      <x:c r="B281" s="3" t="str">
        <x:v>15719</x:v>
      </x:c>
      <x:c r="C281" s="3" t="n">
        <x:v>13</x:v>
      </x:c>
      <x:c r="D281" s="51" t="n">
        <x:v>40854</x:v>
      </x:c>
      <x:c r="E281" s="3" t="str">
        <x:v>Recurrente</x:v>
      </x:c>
      <x:c r="F281" s="13" t="n">
        <x:v>5043.96</x:v>
      </x:c>
      <x:c r="G281" s="13" t="n">
        <x:v>1.65</x:v>
      </x:c>
      <x:c r="H281" s="13" t="n">
        <x:f>F281-G281</x:f>
        <x:v>5042.31</x:v>
      </x:c>
      <x:c r="I281" s="13" t="n">
        <x:f>IF(C281=0,"n.a.",F281/C281)</x:f>
        <x:v>387.99692307692305</x:v>
      </x:c>
      <x:c r="J281" s="3"/>
      <x:c r="K281" s="3"/>
      <x:c r="L281" s="3"/>
    </x:row>
    <x:row r="282" ht="22" customHeight="1">
      <x:c r="A282" s="3"/>
      <x:c r="B282" s="3" t="str">
        <x:v>16700</x:v>
      </x:c>
      <x:c r="C282" s="3" t="n">
        <x:v>13</x:v>
      </x:c>
      <x:c r="D282" s="51" t="n">
        <x:v>40878</x:v>
      </x:c>
      <x:c r="E282" s="3" t="str">
        <x:v>Recurrente</x:v>
      </x:c>
      <x:c r="F282" s="13" t="n">
        <x:v>5076.55</x:v>
      </x:c>
      <x:c r="G282" s="13" t="n">
        <x:v>36.55</x:v>
      </x:c>
      <x:c r="H282" s="13" t="n">
        <x:f>F282-G282</x:f>
        <x:v>5040</x:v>
      </x:c>
      <x:c r="I282" s="13" t="n">
        <x:f>IF(C282=0,"n.a.",F282/C282)</x:f>
        <x:v>390.50384615384615</x:v>
      </x:c>
      <x:c r="J282" s="3"/>
      <x:c r="K282" s="3"/>
      <x:c r="L282" s="3"/>
    </x:row>
    <x:row r="283" ht="22" customHeight="1">
      <x:c r="A283" s="3"/>
      <x:c r="B283" s="3" t="str">
        <x:v>13599</x:v>
      </x:c>
      <x:c r="C283" s="3" t="n">
        <x:v>21</x:v>
      </x:c>
      <x:c r="D283" s="51" t="n">
        <x:v>40885</x:v>
      </x:c>
      <x:c r="E283" s="3" t="str">
        <x:v>Recurrente</x:v>
      </x:c>
      <x:c r="F283" s="13" t="n">
        <x:v>5153.67</x:v>
      </x:c>
      <x:c r="G283" s="13" t="n">
        <x:v>121.35</x:v>
      </x:c>
      <x:c r="H283" s="13" t="n">
        <x:f>F283-G283</x:f>
        <x:v>5032.32</x:v>
      </x:c>
      <x:c r="I283" s="13" t="n">
        <x:f>IF(C283=0,"n.a.",F283/C283)</x:f>
        <x:v>245.41285714285715</x:v>
      </x:c>
      <x:c r="J283" s="3"/>
      <x:c r="K283" s="3"/>
      <x:c r="L283" s="3"/>
    </x:row>
    <x:row r="284" ht="22" customHeight="1">
      <x:c r="A284" s="3"/>
      <x:c r="B284" s="3" t="str">
        <x:v>15301</x:v>
      </x:c>
      <x:c r="C284" s="3" t="n">
        <x:v>12</x:v>
      </x:c>
      <x:c r="D284" s="51" t="n">
        <x:v>40836</x:v>
      </x:c>
      <x:c r="E284" s="3" t="str">
        <x:v>Recurrente</x:v>
      </x:c>
      <x:c r="F284" s="13" t="n">
        <x:v>5070.35</x:v>
      </x:c>
      <x:c r="G284" s="13" t="n">
        <x:v>42.23</x:v>
      </x:c>
      <x:c r="H284" s="13" t="n">
        <x:f>F284-G284</x:f>
        <x:v>5028.120000000001</x:v>
      </x:c>
      <x:c r="I284" s="13" t="n">
        <x:f>IF(C284=0,"n.a.",F284/C284)</x:f>
        <x:v>422.5291666666667</x:v>
      </x:c>
      <x:c r="J284" s="3"/>
      <x:c r="K284" s="3"/>
      <x:c r="L284" s="3"/>
    </x:row>
    <x:row r="285" ht="22" customHeight="1">
      <x:c r="A285" s="3"/>
      <x:c r="B285" s="3" t="str">
        <x:v>17426</x:v>
      </x:c>
      <x:c r="C285" s="3" t="n">
        <x:v>6</x:v>
      </x:c>
      <x:c r="D285" s="51" t="n">
        <x:v>40878</x:v>
      </x:c>
      <x:c r="E285" s="3" t="str">
        <x:v>Recurrente</x:v>
      </x:c>
      <x:c r="F285" s="13" t="n">
        <x:v>5037.26</x:v>
      </x:c>
      <x:c r="G285" s="13" t="n">
        <x:v>15</x:v>
      </x:c>
      <x:c r="H285" s="13" t="n">
        <x:f>F285-G285</x:f>
        <x:v>5022.26</x:v>
      </x:c>
      <x:c r="I285" s="13" t="n">
        <x:f>IF(C285=0,"n.a.",F285/C285)</x:f>
        <x:v>839.5433333333334</x:v>
      </x:c>
      <x:c r="J285" s="3"/>
      <x:c r="K285" s="3"/>
      <x:c r="L285" s="3"/>
    </x:row>
    <x:row r="286" ht="22" customHeight="1">
      <x:c r="A286" s="3"/>
      <x:c r="B286" s="3" t="str">
        <x:v>12481</x:v>
      </x:c>
      <x:c r="C286" s="3" t="n">
        <x:v>10</x:v>
      </x:c>
      <x:c r="D286" s="51" t="n">
        <x:v>40864</x:v>
      </x:c>
      <x:c r="E286" s="3" t="str">
        <x:v>Recurrente</x:v>
      </x:c>
      <x:c r="F286" s="13" t="n">
        <x:v>5020.32</x:v>
      </x:c>
      <x:c r="G286" s="13" t="n">
        <x:v>5.46</x:v>
      </x:c>
      <x:c r="H286" s="13" t="n">
        <x:f>F286-G286</x:f>
        <x:v>5014.86</x:v>
      </x:c>
      <x:c r="I286" s="13" t="n">
        <x:f>IF(C286=0,"n.a.",F286/C286)</x:f>
        <x:v>502.032</x:v>
      </x:c>
      <x:c r="J286" s="3"/>
      <x:c r="K286" s="3"/>
      <x:c r="L286" s="3"/>
    </x:row>
    <x:row r="287" ht="22" customHeight="1">
      <x:c r="A287" s="3"/>
      <x:c r="B287" s="3" t="str">
        <x:v>14755</x:v>
      </x:c>
      <x:c r="C287" s="3" t="n">
        <x:v>11</x:v>
      </x:c>
      <x:c r="D287" s="51" t="n">
        <x:v>40877</x:v>
      </x:c>
      <x:c r="E287" s="3" t="str">
        <x:v>Recurrente</x:v>
      </x:c>
      <x:c r="F287" s="13" t="n">
        <x:v>5010.28</x:v>
      </x:c>
      <x:c r="G287" s="13" t="n">
        <x:v>44.9</x:v>
      </x:c>
      <x:c r="H287" s="13" t="n">
        <x:f>F287-G287</x:f>
        <x:v>4965.38</x:v>
      </x:c>
      <x:c r="I287" s="13" t="n">
        <x:f>IF(C287=0,"n.a.",F287/C287)</x:f>
        <x:v>455.47999999999996</x:v>
      </x:c>
      <x:c r="J287" s="3"/>
      <x:c r="K287" s="3"/>
      <x:c r="L287" s="3"/>
    </x:row>
    <x:row r="288" ht="22" customHeight="1">
      <x:c r="A288" s="3"/>
      <x:c r="B288" s="3" t="str">
        <x:v>15547</x:v>
      </x:c>
      <x:c r="C288" s="3" t="n">
        <x:v>14</x:v>
      </x:c>
      <x:c r="D288" s="51" t="n">
        <x:v>40879</x:v>
      </x:c>
      <x:c r="E288" s="3" t="str">
        <x:v>Recurrente</x:v>
      </x:c>
      <x:c r="F288" s="13" t="n">
        <x:v>4954.84</x:v>
      </x:c>
      <x:c r="G288" s="13" t="n">
        <x:v>0</x:v>
      </x:c>
      <x:c r="H288" s="13" t="n">
        <x:f>F288-G288</x:f>
        <x:v>4954.84</x:v>
      </x:c>
      <x:c r="I288" s="13" t="n">
        <x:f>IF(C288=0,"n.a.",F288/C288)</x:f>
        <x:v>353.9171428571429</x:v>
      </x:c>
      <x:c r="J288" s="3"/>
      <x:c r="K288" s="3"/>
      <x:c r="L288" s="3"/>
    </x:row>
    <x:row r="289" ht="22" customHeight="1">
      <x:c r="A289" s="3"/>
      <x:c r="B289" s="3" t="str">
        <x:v>14329</x:v>
      </x:c>
      <x:c r="C289" s="3" t="n">
        <x:v>7</x:v>
      </x:c>
      <x:c r="D289" s="51" t="n">
        <x:v>40869</x:v>
      </x:c>
      <x:c r="E289" s="3" t="str">
        <x:v>Recurrente</x:v>
      </x:c>
      <x:c r="F289" s="13" t="n">
        <x:v>5014.84</x:v>
      </x:c>
      <x:c r="G289" s="13" t="n">
        <x:v>86.1</x:v>
      </x:c>
      <x:c r="H289" s="13" t="n">
        <x:f>F289-G289</x:f>
        <x:v>4928.74</x:v>
      </x:c>
      <x:c r="I289" s="13" t="n">
        <x:f>IF(C289=0,"n.a.",F289/C289)</x:f>
        <x:v>716.4057142857143</x:v>
      </x:c>
      <x:c r="J289" s="3"/>
      <x:c r="K289" s="3"/>
      <x:c r="L289" s="3"/>
    </x:row>
    <x:row r="290" ht="22" customHeight="1">
      <x:c r="A290" s="3"/>
      <x:c r="B290" s="3" t="str">
        <x:v>16191</x:v>
      </x:c>
      <x:c r="C290" s="3" t="n">
        <x:v>13</x:v>
      </x:c>
      <x:c r="D290" s="51" t="n">
        <x:v>40884</x:v>
      </x:c>
      <x:c r="E290" s="3" t="str">
        <x:v>Recurrente</x:v>
      </x:c>
      <x:c r="F290" s="13" t="n">
        <x:v>5180.52</x:v>
      </x:c>
      <x:c r="G290" s="13" t="n">
        <x:v>263.95</x:v>
      </x:c>
      <x:c r="H290" s="13" t="n">
        <x:f>F290-G290</x:f>
        <x:v>4916.570000000001</x:v>
      </x:c>
      <x:c r="I290" s="13" t="n">
        <x:f>IF(C290=0,"n.a.",F290/C290)</x:f>
        <x:v>398.5015384615385</x:v>
      </x:c>
      <x:c r="J290" s="3"/>
      <x:c r="K290" s="3"/>
      <x:c r="L290" s="3"/>
    </x:row>
    <x:row r="291" ht="22" customHeight="1">
      <x:c r="A291" s="3"/>
      <x:c r="B291" s="3" t="str">
        <x:v>13941</x:v>
      </x:c>
      <x:c r="C291" s="3" t="n">
        <x:v>5</x:v>
      </x:c>
      <x:c r="D291" s="51" t="n">
        <x:v>40865</x:v>
      </x:c>
      <x:c r="E291" s="3" t="str">
        <x:v>Recurrente</x:v>
      </x:c>
      <x:c r="F291" s="13" t="n">
        <x:v>5112.96</x:v>
      </x:c>
      <x:c r="G291" s="13" t="n">
        <x:v>200.55</x:v>
      </x:c>
      <x:c r="H291" s="13" t="n">
        <x:f>F291-G291</x:f>
        <x:v>4912.41</x:v>
      </x:c>
      <x:c r="I291" s="13" t="n">
        <x:f>IF(C291=0,"n.a.",F291/C291)</x:f>
        <x:v>1022.592</x:v>
      </x:c>
      <x:c r="J291" s="3"/>
      <x:c r="K291" s="3"/>
      <x:c r="L291" s="3"/>
    </x:row>
    <x:row r="292" ht="22" customHeight="1">
      <x:c r="A292" s="3"/>
      <x:c r="B292" s="3" t="str">
        <x:v>14709</x:v>
      </x:c>
      <x:c r="C292" s="3" t="n">
        <x:v>13</x:v>
      </x:c>
      <x:c r="D292" s="51" t="n">
        <x:v>40871</x:v>
      </x:c>
      <x:c r="E292" s="3" t="str">
        <x:v>Recurrente</x:v>
      </x:c>
      <x:c r="F292" s="13" t="n">
        <x:v>4921.04</x:v>
      </x:c>
      <x:c r="G292" s="13" t="n">
        <x:v>9.9</x:v>
      </x:c>
      <x:c r="H292" s="13" t="n">
        <x:f>F292-G292</x:f>
        <x:v>4911.14</x:v>
      </x:c>
      <x:c r="I292" s="13" t="n">
        <x:f>IF(C292=0,"n.a.",F292/C292)</x:f>
        <x:v>378.54153846153844</x:v>
      </x:c>
      <x:c r="J292" s="3"/>
      <x:c r="K292" s="3"/>
      <x:c r="L292" s="3"/>
    </x:row>
    <x:row r="293" ht="22" customHeight="1">
      <x:c r="A293" s="3"/>
      <x:c r="B293" s="3" t="str">
        <x:v>17133</x:v>
      </x:c>
      <x:c r="C293" s="3" t="n">
        <x:v>7</x:v>
      </x:c>
      <x:c r="D293" s="51" t="n">
        <x:v>40871</x:v>
      </x:c>
      <x:c r="E293" s="3" t="str">
        <x:v>Recurrente</x:v>
      </x:c>
      <x:c r="F293" s="13" t="n">
        <x:v>4892.24</x:v>
      </x:c>
      <x:c r="G293" s="13" t="n">
        <x:v>0</x:v>
      </x:c>
      <x:c r="H293" s="13" t="n">
        <x:f>F293-G293</x:f>
        <x:v>4892.24</x:v>
      </x:c>
      <x:c r="I293" s="13" t="n">
        <x:f>IF(C293=0,"n.a.",F293/C293)</x:f>
        <x:v>698.8914285714285</x:v>
      </x:c>
      <x:c r="J293" s="3"/>
      <x:c r="K293" s="3"/>
      <x:c r="L293" s="3"/>
    </x:row>
    <x:row r="294" ht="22" customHeight="1">
      <x:c r="A294" s="3"/>
      <x:c r="B294" s="3" t="str">
        <x:v>12688</x:v>
      </x:c>
      <x:c r="C294" s="3" t="n">
        <x:v>1</x:v>
      </x:c>
      <x:c r="D294" s="51" t="n">
        <x:v>40773</x:v>
      </x:c>
      <x:c r="E294" s="3" t="str">
        <x:v>Una compra</x:v>
      </x:c>
      <x:c r="F294" s="13" t="n">
        <x:v>4873.81</x:v>
      </x:c>
      <x:c r="G294" s="13" t="n">
        <x:v>0</x:v>
      </x:c>
      <x:c r="H294" s="13" t="n">
        <x:f>F294-G294</x:f>
        <x:v>4873.81</x:v>
      </x:c>
      <x:c r="I294" s="13" t="n">
        <x:f>IF(C294=0,"n.a.",F294/C294)</x:f>
        <x:v>4873.81</x:v>
      </x:c>
      <x:c r="J294" s="3"/>
      <x:c r="K294" s="3"/>
      <x:c r="L294" s="3"/>
    </x:row>
    <x:row r="295" ht="22" customHeight="1">
      <x:c r="A295" s="3"/>
      <x:c r="B295" s="3" t="str">
        <x:v>12490</x:v>
      </x:c>
      <x:c r="C295" s="3" t="n">
        <x:v>10</x:v>
      </x:c>
      <x:c r="D295" s="51" t="n">
        <x:v>40881</x:v>
      </x:c>
      <x:c r="E295" s="3" t="str">
        <x:v>Recurrente</x:v>
      </x:c>
      <x:c r="F295" s="13" t="n">
        <x:v>4859.93</x:v>
      </x:c>
      <x:c r="G295" s="13" t="n">
        <x:v>0</x:v>
      </x:c>
      <x:c r="H295" s="13" t="n">
        <x:f>F295-G295</x:f>
        <x:v>4859.93</x:v>
      </x:c>
      <x:c r="I295" s="13" t="n">
        <x:f>IF(C295=0,"n.a.",F295/C295)</x:f>
        <x:v>485.99300000000005</x:v>
      </x:c>
      <x:c r="J295" s="3"/>
      <x:c r="K295" s="3"/>
      <x:c r="L295" s="3"/>
    </x:row>
    <x:row r="296" ht="22" customHeight="1">
      <x:c r="A296" s="3"/>
      <x:c r="B296" s="3" t="str">
        <x:v>15786</x:v>
      </x:c>
      <x:c r="C296" s="3" t="n">
        <x:v>3</x:v>
      </x:c>
      <x:c r="D296" s="51" t="n">
        <x:v>40840</x:v>
      </x:c>
      <x:c r="E296" s="3" t="str">
        <x:v>Recurrente</x:v>
      </x:c>
      <x:c r="F296" s="13" t="n">
        <x:v>4932.2</x:v>
      </x:c>
      <x:c r="G296" s="13" t="n">
        <x:v>98</x:v>
      </x:c>
      <x:c r="H296" s="13" t="n">
        <x:f>F296-G296</x:f>
        <x:v>4834.2</x:v>
      </x:c>
      <x:c r="I296" s="13" t="n">
        <x:f>IF(C296=0,"n.a.",F296/C296)</x:f>
        <x:v>1644.0666666666666</x:v>
      </x:c>
      <x:c r="J296" s="3"/>
      <x:c r="K296" s="3"/>
      <x:c r="L296" s="3"/>
    </x:row>
    <x:row r="297" ht="22" customHeight="1">
      <x:c r="A297" s="3"/>
      <x:c r="B297" s="3" t="str">
        <x:v>14292</x:v>
      </x:c>
      <x:c r="C297" s="3" t="n">
        <x:v>9</x:v>
      </x:c>
      <x:c r="D297" s="51" t="n">
        <x:v>40879</x:v>
      </x:c>
      <x:c r="E297" s="3" t="str">
        <x:v>Recurrente</x:v>
      </x:c>
      <x:c r="F297" s="13" t="n">
        <x:v>4871.93</x:v>
      </x:c>
      <x:c r="G297" s="13" t="n">
        <x:v>52.6</x:v>
      </x:c>
      <x:c r="H297" s="13" t="n">
        <x:f>F297-G297</x:f>
        <x:v>4819.33</x:v>
      </x:c>
      <x:c r="I297" s="13" t="n">
        <x:f>IF(C297=0,"n.a.",F297/C297)</x:f>
        <x:v>541.3255555555556</x:v>
      </x:c>
      <x:c r="J297" s="3"/>
      <x:c r="K297" s="3"/>
      <x:c r="L297" s="3"/>
    </x:row>
    <x:row r="298" ht="22" customHeight="1">
      <x:c r="A298" s="3"/>
      <x:c r="B298" s="3" t="str">
        <x:v>17365</x:v>
      </x:c>
      <x:c r="C298" s="3" t="n">
        <x:v>8</x:v>
      </x:c>
      <x:c r="D298" s="51" t="n">
        <x:v>40874</x:v>
      </x:c>
      <x:c r="E298" s="3" t="str">
        <x:v>Recurrente</x:v>
      </x:c>
      <x:c r="F298" s="13" t="n">
        <x:v>4796.52</x:v>
      </x:c>
      <x:c r="G298" s="13" t="n">
        <x:v>0</x:v>
      </x:c>
      <x:c r="H298" s="13" t="n">
        <x:f>F298-G298</x:f>
        <x:v>4796.52</x:v>
      </x:c>
      <x:c r="I298" s="13" t="n">
        <x:f>IF(C298=0,"n.a.",F298/C298)</x:f>
        <x:v>599.565</x:v>
      </x:c>
      <x:c r="J298" s="3"/>
      <x:c r="K298" s="3"/>
      <x:c r="L298" s="3"/>
    </x:row>
    <x:row r="299" ht="22" customHeight="1">
      <x:c r="A299" s="3"/>
      <x:c r="B299" s="3" t="str">
        <x:v>15738</x:v>
      </x:c>
      <x:c r="C299" s="3" t="n">
        <x:v>16</x:v>
      </x:c>
      <x:c r="D299" s="51" t="n">
        <x:v>40868</x:v>
      </x:c>
      <x:c r="E299" s="3" t="str">
        <x:v>Recurrente</x:v>
      </x:c>
      <x:c r="F299" s="13" t="n">
        <x:v>4812.42</x:v>
      </x:c>
      <x:c r="G299" s="13" t="n">
        <x:v>23.65</x:v>
      </x:c>
      <x:c r="H299" s="13" t="n">
        <x:f>F299-G299</x:f>
        <x:v>4788.77</x:v>
      </x:c>
      <x:c r="I299" s="13" t="n">
        <x:f>IF(C299=0,"n.a.",F299/C299)</x:f>
        <x:v>300.77625</x:v>
      </x:c>
      <x:c r="J299" s="3"/>
      <x:c r="K299" s="3"/>
      <x:c r="L299" s="3"/>
    </x:row>
    <x:row r="300" ht="22" customHeight="1">
      <x:c r="A300" s="3"/>
      <x:c r="B300" s="3" t="str">
        <x:v>13013</x:v>
      </x:c>
      <x:c r="C300" s="3" t="n">
        <x:v>13</x:v>
      </x:c>
      <x:c r="D300" s="51" t="n">
        <x:v>40885</x:v>
      </x:c>
      <x:c r="E300" s="3" t="str">
        <x:v>Recurrente</x:v>
      </x:c>
      <x:c r="F300" s="13" t="n">
        <x:v>4810.94</x:v>
      </x:c>
      <x:c r="G300" s="13" t="n">
        <x:v>23.95</x:v>
      </x:c>
      <x:c r="H300" s="13" t="n">
        <x:f>F300-G300</x:f>
        <x:v>4786.99</x:v>
      </x:c>
      <x:c r="I300" s="13" t="n">
        <x:f>IF(C300=0,"n.a.",F300/C300)</x:f>
        <x:v>370.0723076923077</x:v>
      </x:c>
      <x:c r="J300" s="3"/>
      <x:c r="K300" s="3"/>
      <x:c r="L300" s="3"/>
    </x:row>
    <x:row r="301" ht="22" customHeight="1">
      <x:c r="A301" s="3"/>
      <x:c r="B301" s="3" t="str">
        <x:v>15555</x:v>
      </x:c>
      <x:c r="C301" s="3" t="n">
        <x:v>16</x:v>
      </x:c>
      <x:c r="D301" s="51" t="n">
        <x:v>40874</x:v>
      </x:c>
      <x:c r="E301" s="3" t="str">
        <x:v>Recurrente</x:v>
      </x:c>
      <x:c r="F301" s="13" t="n">
        <x:v>4802.18</x:v>
      </x:c>
      <x:c r="G301" s="13" t="n">
        <x:v>46.12</x:v>
      </x:c>
      <x:c r="H301" s="13" t="n">
        <x:f>F301-G301</x:f>
        <x:v>4756.06</x:v>
      </x:c>
      <x:c r="I301" s="13" t="n">
        <x:f>IF(C301=0,"n.a.",F301/C301)</x:f>
        <x:v>300.13625</x:v>
      </x:c>
      <x:c r="J301" s="3"/>
      <x:c r="K301" s="3"/>
      <x:c r="L301" s="3"/>
    </x:row>
    <x:row r="302" ht="22" customHeight="1">
      <x:c r="A302" s="3"/>
      <x:c r="B302" s="3" t="str">
        <x:v>17690</x:v>
      </x:c>
      <x:c r="C302" s="3" t="n">
        <x:v>15</x:v>
      </x:c>
      <x:c r="D302" s="51" t="n">
        <x:v>40856</x:v>
      </x:c>
      <x:c r="E302" s="3" t="str">
        <x:v>Recurrente</x:v>
      </x:c>
      <x:c r="F302" s="13" t="n">
        <x:v>4757.95</x:v>
      </x:c>
      <x:c r="G302" s="13" t="n">
        <x:v>9.5</x:v>
      </x:c>
      <x:c r="H302" s="13" t="n">
        <x:f>F302-G302</x:f>
        <x:v>4748.45</x:v>
      </x:c>
      <x:c r="I302" s="13" t="n">
        <x:f>IF(C302=0,"n.a.",F302/C302)</x:f>
        <x:v>317.19666666666666</x:v>
      </x:c>
      <x:c r="J302" s="3"/>
      <x:c r="K302" s="3"/>
      <x:c r="L302" s="3"/>
    </x:row>
    <x:row r="303" ht="22" customHeight="1">
      <x:c r="A303" s="3"/>
      <x:c r="B303" s="3" t="str">
        <x:v>17652</x:v>
      </x:c>
      <x:c r="C303" s="3" t="n">
        <x:v>12</x:v>
      </x:c>
      <x:c r="D303" s="51" t="n">
        <x:v>40861</x:v>
      </x:c>
      <x:c r="E303" s="3" t="str">
        <x:v>Recurrente</x:v>
      </x:c>
      <x:c r="F303" s="13" t="n">
        <x:v>4867.72</x:v>
      </x:c>
      <x:c r="G303" s="13" t="n">
        <x:v>130.59</x:v>
      </x:c>
      <x:c r="H303" s="13" t="n">
        <x:f>F303-G303</x:f>
        <x:v>4737.13</x:v>
      </x:c>
      <x:c r="I303" s="13" t="n">
        <x:f>IF(C303=0,"n.a.",F303/C303)</x:f>
        <x:v>405.6433333333334</x:v>
      </x:c>
      <x:c r="J303" s="3"/>
      <x:c r="K303" s="3"/>
      <x:c r="L303" s="3"/>
    </x:row>
    <x:row r="304" ht="22" customHeight="1">
      <x:c r="A304" s="3"/>
      <x:c r="B304" s="3" t="str">
        <x:v>12955</x:v>
      </x:c>
      <x:c r="C304" s="3" t="n">
        <x:v>11</x:v>
      </x:c>
      <x:c r="D304" s="51" t="n">
        <x:v>40885</x:v>
      </x:c>
      <x:c r="E304" s="3" t="str">
        <x:v>Recurrente</x:v>
      </x:c>
      <x:c r="F304" s="13" t="n">
        <x:v>4757.16</x:v>
      </x:c>
      <x:c r="G304" s="13" t="n">
        <x:v>22.9</x:v>
      </x:c>
      <x:c r="H304" s="13" t="n">
        <x:f>F304-G304</x:f>
        <x:v>4734.26</x:v>
      </x:c>
      <x:c r="I304" s="13" t="n">
        <x:f>IF(C304=0,"n.a.",F304/C304)</x:f>
        <x:v>432.4690909090909</x:v>
      </x:c>
      <x:c r="J304" s="3"/>
      <x:c r="K304" s="3"/>
      <x:c r="L304" s="3"/>
    </x:row>
    <x:row r="305" ht="22" customHeight="1">
      <x:c r="A305" s="3"/>
      <x:c r="B305" s="3" t="str">
        <x:v>14562</x:v>
      </x:c>
      <x:c r="C305" s="3" t="n">
        <x:v>18</x:v>
      </x:c>
      <x:c r="D305" s="51" t="n">
        <x:v>40883</x:v>
      </x:c>
      <x:c r="E305" s="3" t="str">
        <x:v>Recurrente</x:v>
      </x:c>
      <x:c r="F305" s="13" t="n">
        <x:v>5074.77</x:v>
      </x:c>
      <x:c r="G305" s="13" t="n">
        <x:v>359.25</x:v>
      </x:c>
      <x:c r="H305" s="13" t="n">
        <x:f>F305-G305</x:f>
        <x:v>4715.52</x:v>
      </x:c>
      <x:c r="I305" s="13" t="n">
        <x:f>IF(C305=0,"n.a.",F305/C305)</x:f>
        <x:v>281.9316666666667</x:v>
      </x:c>
      <x:c r="J305" s="3"/>
      <x:c r="K305" s="3"/>
      <x:c r="L305" s="3"/>
    </x:row>
    <x:row r="306" ht="22" customHeight="1">
      <x:c r="A306" s="3"/>
      <x:c r="B306" s="3" t="str">
        <x:v>16722</x:v>
      </x:c>
      <x:c r="C306" s="3" t="n">
        <x:v>13</x:v>
      </x:c>
      <x:c r="D306" s="51" t="n">
        <x:v>40869</x:v>
      </x:c>
      <x:c r="E306" s="3" t="str">
        <x:v>Recurrente</x:v>
      </x:c>
      <x:c r="F306" s="13" t="n">
        <x:v>4730.81</x:v>
      </x:c>
      <x:c r="G306" s="13" t="n">
        <x:v>19.6</x:v>
      </x:c>
      <x:c r="H306" s="13" t="n">
        <x:f>F306-G306</x:f>
        <x:v>4711.21</x:v>
      </x:c>
      <x:c r="I306" s="13" t="n">
        <x:f>IF(C306=0,"n.a.",F306/C306)</x:f>
        <x:v>363.90846153846155</x:v>
      </x:c>
      <x:c r="J306" s="3"/>
      <x:c r="K306" s="3"/>
      <x:c r="L306" s="3"/>
    </x:row>
    <x:row r="307" ht="22" customHeight="1">
      <x:c r="A307" s="3"/>
      <x:c r="B307" s="3" t="str">
        <x:v>14135</x:v>
      </x:c>
      <x:c r="C307" s="3" t="n">
        <x:v>15</x:v>
      </x:c>
      <x:c r="D307" s="51" t="n">
        <x:v>40885</x:v>
      </x:c>
      <x:c r="E307" s="3" t="str">
        <x:v>Recurrente</x:v>
      </x:c>
      <x:c r="F307" s="13" t="n">
        <x:v>4690.31</x:v>
      </x:c>
      <x:c r="G307" s="13" t="n">
        <x:v>0</x:v>
      </x:c>
      <x:c r="H307" s="13" t="n">
        <x:f>F307-G307</x:f>
        <x:v>4690.31</x:v>
      </x:c>
      <x:c r="I307" s="13" t="n">
        <x:f>IF(C307=0,"n.a.",F307/C307)</x:f>
        <x:v>312.68733333333336</x:v>
      </x:c>
      <x:c r="J307" s="3"/>
      <x:c r="K307" s="3"/>
      <x:c r="L307" s="3"/>
    </x:row>
    <x:row r="308" ht="22" customHeight="1">
      <x:c r="A308" s="3"/>
      <x:c r="B308" s="3" t="str">
        <x:v>15152</x:v>
      </x:c>
      <x:c r="C308" s="3" t="n">
        <x:v>13</x:v>
      </x:c>
      <x:c r="D308" s="51" t="n">
        <x:v>40877</x:v>
      </x:c>
      <x:c r="E308" s="3" t="str">
        <x:v>Recurrente</x:v>
      </x:c>
      <x:c r="F308" s="13" t="n">
        <x:v>4745.69</x:v>
      </x:c>
      <x:c r="G308" s="13" t="n">
        <x:v>61.45</x:v>
      </x:c>
      <x:c r="H308" s="13" t="n">
        <x:f>F308-G308</x:f>
        <x:v>4684.24</x:v>
      </x:c>
      <x:c r="I308" s="13" t="n">
        <x:f>IF(C308=0,"n.a.",F308/C308)</x:f>
        <x:v>365.0530769230769</x:v>
      </x:c>
      <x:c r="J308" s="3"/>
      <x:c r="K308" s="3"/>
      <x:c r="L308" s="3"/>
    </x:row>
    <x:row r="309" ht="22" customHeight="1">
      <x:c r="A309" s="3"/>
      <x:c r="B309" s="3" t="str">
        <x:v>14159</x:v>
      </x:c>
      <x:c r="C309" s="3" t="n">
        <x:v>11</x:v>
      </x:c>
      <x:c r="D309" s="51" t="n">
        <x:v>40867</x:v>
      </x:c>
      <x:c r="E309" s="3" t="str">
        <x:v>Recurrente</x:v>
      </x:c>
      <x:c r="F309" s="13" t="n">
        <x:v>4690.64</x:v>
      </x:c>
      <x:c r="G309" s="13" t="n">
        <x:v>14.71</x:v>
      </x:c>
      <x:c r="H309" s="13" t="n">
        <x:f>F309-G309</x:f>
        <x:v>4675.93</x:v>
      </x:c>
      <x:c r="I309" s="13" t="n">
        <x:f>IF(C309=0,"n.a.",F309/C309)</x:f>
        <x:v>426.4218181818182</x:v>
      </x:c>
      <x:c r="J309" s="3"/>
      <x:c r="K309" s="3"/>
      <x:c r="L309" s="3"/>
    </x:row>
    <x:row r="310" ht="22" customHeight="1">
      <x:c r="A310" s="3"/>
      <x:c r="B310" s="3" t="str">
        <x:v>12362</x:v>
      </x:c>
      <x:c r="C310" s="3" t="n">
        <x:v>10</x:v>
      </x:c>
      <x:c r="D310" s="51" t="n">
        <x:v>40883</x:v>
      </x:c>
      <x:c r="E310" s="3" t="str">
        <x:v>Recurrente</x:v>
      </x:c>
      <x:c r="F310" s="13" t="n">
        <x:v>4737.23</x:v>
      </x:c>
      <x:c r="G310" s="13" t="n">
        <x:v>71.65</x:v>
      </x:c>
      <x:c r="H310" s="13" t="n">
        <x:f>F310-G310</x:f>
        <x:v>4665.58</x:v>
      </x:c>
      <x:c r="I310" s="13" t="n">
        <x:f>IF(C310=0,"n.a.",F310/C310)</x:f>
        <x:v>473.72299999999996</x:v>
      </x:c>
      <x:c r="J310" s="3"/>
      <x:c r="K310" s="3"/>
      <x:c r="L310" s="3"/>
    </x:row>
    <x:row r="311" ht="22" customHeight="1">
      <x:c r="A311" s="3"/>
      <x:c r="B311" s="3" t="str">
        <x:v>14191</x:v>
      </x:c>
      <x:c r="C311" s="3" t="n">
        <x:v>13</x:v>
      </x:c>
      <x:c r="D311" s="51" t="n">
        <x:v>40885</x:v>
      </x:c>
      <x:c r="E311" s="3" t="str">
        <x:v>Recurrente</x:v>
      </x:c>
      <x:c r="F311" s="13" t="n">
        <x:v>4684.76</x:v>
      </x:c>
      <x:c r="G311" s="13" t="n">
        <x:v>24.75</x:v>
      </x:c>
      <x:c r="H311" s="13" t="n">
        <x:f>F311-G311</x:f>
        <x:v>4660.01</x:v>
      </x:c>
      <x:c r="I311" s="13" t="n">
        <x:f>IF(C311=0,"n.a.",F311/C311)</x:f>
        <x:v>360.36615384615385</x:v>
      </x:c>
      <x:c r="J311" s="3"/>
      <x:c r="K311" s="3"/>
      <x:c r="L311" s="3"/>
    </x:row>
    <x:row r="312" ht="22" customHeight="1">
      <x:c r="A312" s="3"/>
      <x:c r="B312" s="3" t="str">
        <x:v>15187</x:v>
      </x:c>
      <x:c r="C312" s="3" t="n">
        <x:v>15</x:v>
      </x:c>
      <x:c r="D312" s="51" t="n">
        <x:v>40885</x:v>
      </x:c>
      <x:c r="E312" s="3" t="str">
        <x:v>Recurrente</x:v>
      </x:c>
      <x:c r="F312" s="13" t="n">
        <x:v>4762.18</x:v>
      </x:c>
      <x:c r="G312" s="13" t="n">
        <x:v>107.1</x:v>
      </x:c>
      <x:c r="H312" s="13" t="n">
        <x:f>F312-G312</x:f>
        <x:v>4655.08</x:v>
      </x:c>
      <x:c r="I312" s="13" t="n">
        <x:f>IF(C312=0,"n.a.",F312/C312)</x:f>
        <x:v>317.4786666666667</x:v>
      </x:c>
      <x:c r="J312" s="3"/>
      <x:c r="K312" s="3"/>
      <x:c r="L312" s="3"/>
    </x:row>
    <x:row r="313" ht="22" customHeight="1">
      <x:c r="A313" s="3"/>
      <x:c r="B313" s="3" t="str">
        <x:v>14180</x:v>
      </x:c>
      <x:c r="C313" s="3" t="n">
        <x:v>25</x:v>
      </x:c>
      <x:c r="D313" s="51" t="n">
        <x:v>40876</x:v>
      </x:c>
      <x:c r="E313" s="3" t="str">
        <x:v>Recurrente</x:v>
      </x:c>
      <x:c r="F313" s="13" t="n">
        <x:v>4748.52</x:v>
      </x:c>
      <x:c r="G313" s="13" t="n">
        <x:v>107.75</x:v>
      </x:c>
      <x:c r="H313" s="13" t="n">
        <x:f>F313-G313</x:f>
        <x:v>4640.77</x:v>
      </x:c>
      <x:c r="I313" s="13" t="n">
        <x:f>IF(C313=0,"n.a.",F313/C313)</x:f>
        <x:v>189.94080000000002</x:v>
      </x:c>
      <x:c r="J313" s="3"/>
      <x:c r="K313" s="3"/>
      <x:c r="L313" s="3"/>
    </x:row>
    <x:row r="314" ht="22" customHeight="1">
      <x:c r="A314" s="3"/>
      <x:c r="B314" s="3" t="str">
        <x:v>14189</x:v>
      </x:c>
      <x:c r="C314" s="3" t="n">
        <x:v>15</x:v>
      </x:c>
      <x:c r="D314" s="51" t="n">
        <x:v>40884</x:v>
      </x:c>
      <x:c r="E314" s="3" t="str">
        <x:v>Recurrente</x:v>
      </x:c>
      <x:c r="F314" s="13" t="n">
        <x:v>4654.08</x:v>
      </x:c>
      <x:c r="G314" s="13" t="n">
        <x:v>49.77</x:v>
      </x:c>
      <x:c r="H314" s="13" t="n">
        <x:f>F314-G314</x:f>
        <x:v>4604.3099999999995</x:v>
      </x:c>
      <x:c r="I314" s="13" t="n">
        <x:f>IF(C314=0,"n.a.",F314/C314)</x:f>
        <x:v>310.272</x:v>
      </x:c>
      <x:c r="J314" s="3"/>
      <x:c r="K314" s="3"/>
      <x:c r="L314" s="3"/>
    </x:row>
    <x:row r="315" ht="22" customHeight="1">
      <x:c r="A315" s="3"/>
      <x:c r="B315" s="3" t="str">
        <x:v>16931</x:v>
      </x:c>
      <x:c r="C315" s="3" t="n">
        <x:v>21</x:v>
      </x:c>
      <x:c r="D315" s="51" t="n">
        <x:v>40881</x:v>
      </x:c>
      <x:c r="E315" s="3" t="str">
        <x:v>Recurrente</x:v>
      </x:c>
      <x:c r="F315" s="13" t="n">
        <x:v>4604.22</x:v>
      </x:c>
      <x:c r="G315" s="13" t="n">
        <x:v>0</x:v>
      </x:c>
      <x:c r="H315" s="13" t="n">
        <x:f>F315-G315</x:f>
        <x:v>4604.22</x:v>
      </x:c>
      <x:c r="I315" s="13" t="n">
        <x:f>IF(C315=0,"n.a.",F315/C315)</x:f>
        <x:v>219.24857142857144</x:v>
      </x:c>
      <x:c r="J315" s="3"/>
      <x:c r="K315" s="3"/>
      <x:c r="L315" s="3"/>
    </x:row>
    <x:row r="316" ht="22" customHeight="1">
      <x:c r="A316" s="3"/>
      <x:c r="B316" s="3" t="str">
        <x:v>14286</x:v>
      </x:c>
      <x:c r="C316" s="3" t="n">
        <x:v>3</x:v>
      </x:c>
      <x:c r="D316" s="51" t="n">
        <x:v>40863</x:v>
      </x:c>
      <x:c r="E316" s="3" t="str">
        <x:v>Recurrente</x:v>
      </x:c>
      <x:c r="F316" s="13" t="n">
        <x:v>4628.75</x:v>
      </x:c>
      <x:c r="G316" s="13" t="n">
        <x:v>32.94</x:v>
      </x:c>
      <x:c r="H316" s="13" t="n">
        <x:f>F316-G316</x:f>
        <x:v>4595.81</x:v>
      </x:c>
      <x:c r="I316" s="13" t="n">
        <x:f>IF(C316=0,"n.a.",F316/C316)</x:f>
        <x:v>1542.9166666666667</x:v>
      </x:c>
      <x:c r="J316" s="3"/>
      <x:c r="K316" s="3"/>
      <x:c r="L316" s="3"/>
    </x:row>
    <x:row r="317" ht="22" customHeight="1">
      <x:c r="A317" s="3"/>
      <x:c r="B317" s="3" t="str">
        <x:v>14390</x:v>
      </x:c>
      <x:c r="C317" s="3" t="n">
        <x:v>9</x:v>
      </x:c>
      <x:c r="D317" s="51" t="n">
        <x:v>40876</x:v>
      </x:c>
      <x:c r="E317" s="3" t="str">
        <x:v>Recurrente</x:v>
      </x:c>
      <x:c r="F317" s="13" t="n">
        <x:v>4652.82</x:v>
      </x:c>
      <x:c r="G317" s="13" t="n">
        <x:v>60.35</x:v>
      </x:c>
      <x:c r="H317" s="13" t="n">
        <x:f>F317-G317</x:f>
        <x:v>4592.469999999999</x:v>
      </x:c>
      <x:c r="I317" s="13" t="n">
        <x:f>IF(C317=0,"n.a.",F317/C317)</x:f>
        <x:v>516.98</x:v>
      </x:c>
      <x:c r="J317" s="3"/>
      <x:c r="K317" s="3"/>
      <x:c r="L317" s="3"/>
    </x:row>
    <x:row r="318" ht="22" customHeight="1">
      <x:c r="A318" s="3"/>
      <x:c r="B318" s="3" t="str">
        <x:v>14004</x:v>
      </x:c>
      <x:c r="C318" s="3" t="n">
        <x:v>7</x:v>
      </x:c>
      <x:c r="D318" s="51" t="n">
        <x:v>40843</x:v>
      </x:c>
      <x:c r="E318" s="3" t="str">
        <x:v>Recurrente</x:v>
      </x:c>
      <x:c r="F318" s="13" t="n">
        <x:v>4582.64</x:v>
      </x:c>
      <x:c r="G318" s="13" t="n">
        <x:v>0</x:v>
      </x:c>
      <x:c r="H318" s="13" t="n">
        <x:f>F318-G318</x:f>
        <x:v>4582.64</x:v>
      </x:c>
      <x:c r="I318" s="13" t="n">
        <x:f>IF(C318=0,"n.a.",F318/C318)</x:f>
        <x:v>654.6628571428572</x:v>
      </x:c>
      <x:c r="J318" s="3"/>
      <x:c r="K318" s="3"/>
      <x:c r="L318" s="3"/>
    </x:row>
    <x:row r="319" ht="22" customHeight="1">
      <x:c r="A319" s="3"/>
      <x:c r="B319" s="3" t="str">
        <x:v>15291</x:v>
      </x:c>
      <x:c r="C319" s="3" t="n">
        <x:v>14</x:v>
      </x:c>
      <x:c r="D319" s="51" t="n">
        <x:v>40861</x:v>
      </x:c>
      <x:c r="E319" s="3" t="str">
        <x:v>Recurrente</x:v>
      </x:c>
      <x:c r="F319" s="13" t="n">
        <x:v>4623.3</x:v>
      </x:c>
      <x:c r="G319" s="13" t="n">
        <x:v>71.79</x:v>
      </x:c>
      <x:c r="H319" s="13" t="n">
        <x:f>F319-G319</x:f>
        <x:v>4551.51</x:v>
      </x:c>
      <x:c r="I319" s="13" t="n">
        <x:f>IF(C319=0,"n.a.",F319/C319)</x:f>
        <x:v>330.2357142857143</x:v>
      </x:c>
      <x:c r="J319" s="3"/>
      <x:c r="K319" s="3"/>
      <x:c r="L319" s="3"/>
    </x:row>
    <x:row r="320" ht="22" customHeight="1">
      <x:c r="A320" s="3"/>
      <x:c r="B320" s="3" t="str">
        <x:v>12700</x:v>
      </x:c>
      <x:c r="C320" s="3" t="n">
        <x:v>4</x:v>
      </x:c>
      <x:c r="D320" s="51" t="n">
        <x:v>40879</x:v>
      </x:c>
      <x:c r="E320" s="3" t="str">
        <x:v>Recurrente</x:v>
      </x:c>
      <x:c r="F320" s="13" t="n">
        <x:v>4525.99</x:v>
      </x:c>
      <x:c r="G320" s="13" t="n">
        <x:v>0</x:v>
      </x:c>
      <x:c r="H320" s="13" t="n">
        <x:f>F320-G320</x:f>
        <x:v>4525.99</x:v>
      </x:c>
      <x:c r="I320" s="13" t="n">
        <x:f>IF(C320=0,"n.a.",F320/C320)</x:f>
        <x:v>1131.4975</x:v>
      </x:c>
      <x:c r="J320" s="3"/>
      <x:c r="K320" s="3"/>
      <x:c r="L320" s="3"/>
    </x:row>
    <x:row r="321" ht="22" customHeight="1">
      <x:c r="A321" s="3"/>
      <x:c r="B321" s="3" t="str">
        <x:v>17068</x:v>
      </x:c>
      <x:c r="C321" s="3" t="n">
        <x:v>21</x:v>
      </x:c>
      <x:c r="D321" s="51" t="n">
        <x:v>40874</x:v>
      </x:c>
      <x:c r="E321" s="3" t="str">
        <x:v>Recurrente</x:v>
      </x:c>
      <x:c r="F321" s="13" t="n">
        <x:v>4545.89</x:v>
      </x:c>
      <x:c r="G321" s="13" t="n">
        <x:v>20.8</x:v>
      </x:c>
      <x:c r="H321" s="13" t="n">
        <x:f>F321-G321</x:f>
        <x:v>4525.09</x:v>
      </x:c>
      <x:c r="I321" s="13" t="n">
        <x:f>IF(C321=0,"n.a.",F321/C321)</x:f>
        <x:v>216.47095238095238</x:v>
      </x:c>
      <x:c r="J321" s="3"/>
      <x:c r="K321" s="3"/>
      <x:c r="L321" s="3"/>
    </x:row>
    <x:row r="322" ht="22" customHeight="1">
      <x:c r="A322" s="3"/>
      <x:c r="B322" s="3" t="str">
        <x:v>17613</x:v>
      </x:c>
      <x:c r="C322" s="3" t="n">
        <x:v>14</x:v>
      </x:c>
      <x:c r="D322" s="51" t="n">
        <x:v>40864</x:v>
      </x:c>
      <x:c r="E322" s="3" t="str">
        <x:v>Recurrente</x:v>
      </x:c>
      <x:c r="F322" s="13" t="n">
        <x:v>4559.15</x:v>
      </x:c>
      <x:c r="G322" s="13" t="n">
        <x:v>49.78</x:v>
      </x:c>
      <x:c r="H322" s="13" t="n">
        <x:f>F322-G322</x:f>
        <x:v>4509.37</x:v>
      </x:c>
      <x:c r="I322" s="13" t="n">
        <x:f>IF(C322=0,"n.a.",F322/C322)</x:f>
        <x:v>325.6535714285714</x:v>
      </x:c>
      <x:c r="J322" s="3"/>
      <x:c r="K322" s="3"/>
      <x:c r="L322" s="3"/>
    </x:row>
    <x:row r="323" ht="22" customHeight="1">
      <x:c r="A323" s="3"/>
      <x:c r="B323" s="3" t="str">
        <x:v>15032</x:v>
      </x:c>
      <x:c r="C323" s="3" t="n">
        <x:v>3</x:v>
      </x:c>
      <x:c r="D323" s="51" t="n">
        <x:v>40630</x:v>
      </x:c>
      <x:c r="E323" s="3" t="str">
        <x:v>Recurrente</x:v>
      </x:c>
      <x:c r="F323" s="13" t="n">
        <x:v>4959.1</x:v>
      </x:c>
      <x:c r="G323" s="13" t="n">
        <x:v>495</x:v>
      </x:c>
      <x:c r="H323" s="13" t="n">
        <x:f>F323-G323</x:f>
        <x:v>4464.1</x:v>
      </x:c>
      <x:c r="I323" s="13" t="n">
        <x:f>IF(C323=0,"n.a.",F323/C323)</x:f>
        <x:v>1653.0333333333335</x:v>
      </x:c>
      <x:c r="J323" s="3"/>
      <x:c r="K323" s="3"/>
      <x:c r="L323" s="3"/>
    </x:row>
    <x:row r="324" ht="22" customHeight="1">
      <x:c r="A324" s="3"/>
      <x:c r="B324" s="3" t="str">
        <x:v>17364</x:v>
      </x:c>
      <x:c r="C324" s="3" t="n">
        <x:v>11</x:v>
      </x:c>
      <x:c r="D324" s="51" t="n">
        <x:v>40886</x:v>
      </x:c>
      <x:c r="E324" s="3" t="str">
        <x:v>Recurrente</x:v>
      </x:c>
      <x:c r="F324" s="13" t="n">
        <x:v>4481.18</x:v>
      </x:c>
      <x:c r="G324" s="13" t="n">
        <x:v>25.45</x:v>
      </x:c>
      <x:c r="H324" s="13" t="n">
        <x:f>F324-G324</x:f>
        <x:v>4455.7300000000005</x:v>
      </x:c>
      <x:c r="I324" s="13" t="n">
        <x:f>IF(C324=0,"n.a.",F324/C324)</x:f>
        <x:v>407.38000000000005</x:v>
      </x:c>
      <x:c r="J324" s="3"/>
      <x:c r="K324" s="3"/>
      <x:c r="L324" s="3"/>
    </x:row>
    <x:row r="325" ht="22" customHeight="1">
      <x:c r="A325" s="3"/>
      <x:c r="B325" s="3" t="str">
        <x:v>14085</x:v>
      </x:c>
      <x:c r="C325" s="3" t="n">
        <x:v>18</x:v>
      </x:c>
      <x:c r="D325" s="51" t="n">
        <x:v>40884</x:v>
      </x:c>
      <x:c r="E325" s="3" t="str">
        <x:v>Recurrente</x:v>
      </x:c>
      <x:c r="F325" s="13" t="n">
        <x:v>4448.54</x:v>
      </x:c>
      <x:c r="G325" s="13" t="n">
        <x:v>12.75</x:v>
      </x:c>
      <x:c r="H325" s="13" t="n">
        <x:f>F325-G325</x:f>
        <x:v>4435.79</x:v>
      </x:c>
      <x:c r="I325" s="13" t="n">
        <x:f>IF(C325=0,"n.a.",F325/C325)</x:f>
        <x:v>247.14111111111112</x:v>
      </x:c>
      <x:c r="J325" s="3"/>
      <x:c r="K325" s="3"/>
      <x:c r="L325" s="3"/>
    </x:row>
    <x:row r="326" ht="22" customHeight="1">
      <x:c r="A326" s="3"/>
      <x:c r="B326" s="3" t="str">
        <x:v>15093</x:v>
      </x:c>
      <x:c r="C326" s="3" t="n">
        <x:v>6</x:v>
      </x:c>
      <x:c r="D326" s="51" t="n">
        <x:v>40868</x:v>
      </x:c>
      <x:c r="E326" s="3" t="str">
        <x:v>Recurrente</x:v>
      </x:c>
      <x:c r="F326" s="13" t="n">
        <x:v>4597.02</x:v>
      </x:c>
      <x:c r="G326" s="13" t="n">
        <x:v>186.88</x:v>
      </x:c>
      <x:c r="H326" s="13" t="n">
        <x:f>F326-G326</x:f>
        <x:v>4410.14</x:v>
      </x:c>
      <x:c r="I326" s="13" t="n">
        <x:f>IF(C326=0,"n.a.",F326/C326)</x:f>
        <x:v>766.1700000000001</x:v>
      </x:c>
      <x:c r="J326" s="3"/>
      <x:c r="K326" s="3"/>
      <x:c r="L326" s="3"/>
    </x:row>
    <x:row r="327" ht="22" customHeight="1">
      <x:c r="A327" s="3"/>
      <x:c r="B327" s="3" t="str">
        <x:v>13267</x:v>
      </x:c>
      <x:c r="C327" s="3" t="n">
        <x:v>19</x:v>
      </x:c>
      <x:c r="D327" s="51" t="n">
        <x:v>40884</x:v>
      </x:c>
      <x:c r="E327" s="3" t="str">
        <x:v>Recurrente</x:v>
      </x:c>
      <x:c r="F327" s="13" t="n">
        <x:v>4521.49</x:v>
      </x:c>
      <x:c r="G327" s="13" t="n">
        <x:v>117.05</x:v>
      </x:c>
      <x:c r="H327" s="13" t="n">
        <x:f>F327-G327</x:f>
        <x:v>4404.44</x:v>
      </x:c>
      <x:c r="I327" s="13" t="n">
        <x:f>IF(C327=0,"n.a.",F327/C327)</x:f>
        <x:v>237.97315789473683</x:v>
      </x:c>
      <x:c r="J327" s="3"/>
      <x:c r="K327" s="3"/>
      <x:c r="L327" s="3"/>
    </x:row>
    <x:row r="328" ht="22" customHeight="1">
      <x:c r="A328" s="3"/>
      <x:c r="B328" s="3" t="str">
        <x:v>12437</x:v>
      </x:c>
      <x:c r="C328" s="3" t="n">
        <x:v>18</x:v>
      </x:c>
      <x:c r="D328" s="51" t="n">
        <x:v>40885</x:v>
      </x:c>
      <x:c r="E328" s="3" t="str">
        <x:v>Recurrente</x:v>
      </x:c>
      <x:c r="F328" s="13" t="n">
        <x:v>4447.41</x:v>
      </x:c>
      <x:c r="G328" s="13" t="n">
        <x:v>54.75</x:v>
      </x:c>
      <x:c r="H328" s="13" t="n">
        <x:f>F328-G328</x:f>
        <x:v>4392.66</x:v>
      </x:c>
      <x:c r="I328" s="13" t="n">
        <x:f>IF(C328=0,"n.a.",F328/C328)</x:f>
        <x:v>247.07833333333332</x:v>
      </x:c>
      <x:c r="J328" s="3"/>
      <x:c r="K328" s="3"/>
      <x:c r="L328" s="3"/>
    </x:row>
    <x:row r="329" ht="22" customHeight="1">
      <x:c r="A329" s="3"/>
      <x:c r="B329" s="3" t="str">
        <x:v>16984</x:v>
      </x:c>
      <x:c r="C329" s="3" t="n">
        <x:v>2</x:v>
      </x:c>
      <x:c r="D329" s="51" t="n">
        <x:v>40798</x:v>
      </x:c>
      <x:c r="E329" s="3" t="str">
        <x:v>Recurrente</x:v>
      </x:c>
      <x:c r="F329" s="13" t="n">
        <x:v>4481.35</x:v>
      </x:c>
      <x:c r="G329" s="13" t="n">
        <x:v>88.93</x:v>
      </x:c>
      <x:c r="H329" s="13" t="n">
        <x:f>F329-G329</x:f>
        <x:v>4392.42</x:v>
      </x:c>
      <x:c r="I329" s="13" t="n">
        <x:f>IF(C329=0,"n.a.",F329/C329)</x:f>
        <x:v>2240.675</x:v>
      </x:c>
      <x:c r="J329" s="3"/>
      <x:c r="K329" s="3"/>
      <x:c r="L329" s="3"/>
    </x:row>
    <x:row r="330" ht="22" customHeight="1">
      <x:c r="A330" s="3"/>
      <x:c r="B330" s="3" t="str">
        <x:v>12664</x:v>
      </x:c>
      <x:c r="C330" s="3" t="n">
        <x:v>9</x:v>
      </x:c>
      <x:c r="D330" s="51" t="n">
        <x:v>40878</x:v>
      </x:c>
      <x:c r="E330" s="3" t="str">
        <x:v>Recurrente</x:v>
      </x:c>
      <x:c r="F330" s="13" t="n">
        <x:v>4391.88</x:v>
      </x:c>
      <x:c r="G330" s="13" t="n">
        <x:v>0</x:v>
      </x:c>
      <x:c r="H330" s="13" t="n">
        <x:f>F330-G330</x:f>
        <x:v>4391.88</x:v>
      </x:c>
      <x:c r="I330" s="13" t="n">
        <x:f>IF(C330=0,"n.a.",F330/C330)</x:f>
        <x:v>487.9866666666667</x:v>
      </x:c>
      <x:c r="J330" s="3"/>
      <x:c r="K330" s="3"/>
      <x:c r="L330" s="3"/>
    </x:row>
    <x:row r="331" ht="22" customHeight="1">
      <x:c r="A331" s="3"/>
      <x:c r="B331" s="3" t="str">
        <x:v>17975</x:v>
      </x:c>
      <x:c r="C331" s="3" t="n">
        <x:v>13</x:v>
      </x:c>
      <x:c r="D331" s="51" t="n">
        <x:v>40871</x:v>
      </x:c>
      <x:c r="E331" s="3" t="str">
        <x:v>Recurrente</x:v>
      </x:c>
      <x:c r="F331" s="13" t="n">
        <x:v>4485.51</x:v>
      </x:c>
      <x:c r="G331" s="13" t="n">
        <x:v>95.2</x:v>
      </x:c>
      <x:c r="H331" s="13" t="n">
        <x:f>F331-G331</x:f>
        <x:v>4390.31</x:v>
      </x:c>
      <x:c r="I331" s="13" t="n">
        <x:f>IF(C331=0,"n.a.",F331/C331)</x:f>
        <x:v>345.0392307692308</x:v>
      </x:c>
      <x:c r="J331" s="3"/>
      <x:c r="K331" s="3"/>
      <x:c r="L331" s="3"/>
    </x:row>
    <x:row r="332" ht="22" customHeight="1">
      <x:c r="A332" s="3"/>
      <x:c r="B332" s="3" t="str">
        <x:v>15955</x:v>
      </x:c>
      <x:c r="C332" s="3" t="n">
        <x:v>14</x:v>
      </x:c>
      <x:c r="D332" s="51" t="n">
        <x:v>40862</x:v>
      </x:c>
      <x:c r="E332" s="3" t="str">
        <x:v>Recurrente</x:v>
      </x:c>
      <x:c r="F332" s="13" t="n">
        <x:v>4416.26</x:v>
      </x:c>
      <x:c r="G332" s="13" t="n">
        <x:v>26.45</x:v>
      </x:c>
      <x:c r="H332" s="13" t="n">
        <x:f>F332-G332</x:f>
        <x:v>4389.81</x:v>
      </x:c>
      <x:c r="I332" s="13" t="n">
        <x:f>IF(C332=0,"n.a.",F332/C332)</x:f>
        <x:v>315.44714285714286</x:v>
      </x:c>
      <x:c r="J332" s="3"/>
      <x:c r="K332" s="3"/>
      <x:c r="L332" s="3"/>
    </x:row>
    <x:row r="333" ht="22" customHeight="1">
      <x:c r="A333" s="3"/>
      <x:c r="B333" s="3" t="str">
        <x:v>16626</x:v>
      </x:c>
      <x:c r="C333" s="3" t="n">
        <x:v>17</x:v>
      </x:c>
      <x:c r="D333" s="51" t="n">
        <x:v>40886</x:v>
      </x:c>
      <x:c r="E333" s="3" t="str">
        <x:v>Recurrente</x:v>
      </x:c>
      <x:c r="F333" s="13" t="n">
        <x:v>4413.1</x:v>
      </x:c>
      <x:c r="G333" s="13" t="n">
        <x:v>33.45</x:v>
      </x:c>
      <x:c r="H333" s="13" t="n">
        <x:f>F333-G333</x:f>
        <x:v>4379.650000000001</x:v>
      </x:c>
      <x:c r="I333" s="13" t="n">
        <x:f>IF(C333=0,"n.a.",F333/C333)</x:f>
        <x:v>259.59411764705885</x:v>
      </x:c>
      <x:c r="J333" s="3"/>
      <x:c r="K333" s="3"/>
      <x:c r="L333" s="3"/>
    </x:row>
    <x:row r="334" ht="22" customHeight="1">
      <x:c r="A334" s="3"/>
      <x:c r="B334" s="3" t="str">
        <x:v>12752</x:v>
      </x:c>
      <x:c r="C334" s="3" t="n">
        <x:v>1</x:v>
      </x:c>
      <x:c r="D334" s="51" t="n">
        <x:v>40805</x:v>
      </x:c>
      <x:c r="E334" s="3" t="str">
        <x:v>Una compra</x:v>
      </x:c>
      <x:c r="F334" s="13" t="n">
        <x:v>4366.78</x:v>
      </x:c>
      <x:c r="G334" s="13" t="n">
        <x:v>0</x:v>
      </x:c>
      <x:c r="H334" s="13" t="n">
        <x:f>F334-G334</x:f>
        <x:v>4366.78</x:v>
      </x:c>
      <x:c r="I334" s="13" t="n">
        <x:f>IF(C334=0,"n.a.",F334/C334)</x:f>
        <x:v>4366.78</x:v>
      </x:c>
      <x:c r="J334" s="3"/>
      <x:c r="K334" s="3"/>
      <x:c r="L334" s="3"/>
    </x:row>
    <x:row r="335" ht="22" customHeight="1">
      <x:c r="A335" s="3"/>
      <x:c r="B335" s="3" t="str">
        <x:v>12432</x:v>
      </x:c>
      <x:c r="C335" s="3" t="n">
        <x:v>4</x:v>
      </x:c>
      <x:c r="D335" s="51" t="n">
        <x:v>40844</x:v>
      </x:c>
      <x:c r="E335" s="3" t="str">
        <x:v>Recurrente</x:v>
      </x:c>
      <x:c r="F335" s="13" t="n">
        <x:v>4359.32</x:v>
      </x:c>
      <x:c r="G335" s="13" t="n">
        <x:v>0</x:v>
      </x:c>
      <x:c r="H335" s="13" t="n">
        <x:f>F335-G335</x:f>
        <x:v>4359.32</x:v>
      </x:c>
      <x:c r="I335" s="13" t="n">
        <x:f>IF(C335=0,"n.a.",F335/C335)</x:f>
        <x:v>1089.83</x:v>
      </x:c>
      <x:c r="J335" s="3"/>
      <x:c r="K335" s="3"/>
      <x:c r="L335" s="3"/>
    </x:row>
    <x:row r="336" ht="22" customHeight="1">
      <x:c r="A336" s="3"/>
      <x:c r="B336" s="3" t="str">
        <x:v>16945</x:v>
      </x:c>
      <x:c r="C336" s="3" t="n">
        <x:v>19</x:v>
      </x:c>
      <x:c r="D336" s="51" t="n">
        <x:v>40865</x:v>
      </x:c>
      <x:c r="E336" s="3" t="str">
        <x:v>Recurrente</x:v>
      </x:c>
      <x:c r="F336" s="13" t="n">
        <x:v>4345.5</x:v>
      </x:c>
      <x:c r="G336" s="13" t="n">
        <x:v>0</x:v>
      </x:c>
      <x:c r="H336" s="13" t="n">
        <x:f>F336-G336</x:f>
        <x:v>4345.5</x:v>
      </x:c>
      <x:c r="I336" s="13" t="n">
        <x:f>IF(C336=0,"n.a.",F336/C336)</x:f>
        <x:v>228.71052631578948</x:v>
      </x:c>
      <x:c r="J336" s="3"/>
      <x:c r="K336" s="3"/>
      <x:c r="L336" s="3"/>
    </x:row>
    <x:row r="337" ht="22" customHeight="1">
      <x:c r="A337" s="3"/>
      <x:c r="B337" s="3" t="str">
        <x:v>15874</x:v>
      </x:c>
      <x:c r="C337" s="3" t="n">
        <x:v>7</x:v>
      </x:c>
      <x:c r="D337" s="51" t="n">
        <x:v>40823</x:v>
      </x:c>
      <x:c r="E337" s="3" t="str">
        <x:v>Recurrente</x:v>
      </x:c>
      <x:c r="F337" s="13" t="n">
        <x:v>4405.88</x:v>
      </x:c>
      <x:c r="G337" s="13" t="n">
        <x:v>75.21</x:v>
      </x:c>
      <x:c r="H337" s="13" t="n">
        <x:f>F337-G337</x:f>
        <x:v>4330.67</x:v>
      </x:c>
      <x:c r="I337" s="13" t="n">
        <x:f>IF(C337=0,"n.a.",F337/C337)</x:f>
        <x:v>629.4114285714286</x:v>
      </x:c>
      <x:c r="J337" s="3"/>
      <x:c r="K337" s="3"/>
      <x:c r="L337" s="3"/>
    </x:row>
    <x:row r="338" ht="22" customHeight="1">
      <x:c r="A338" s="3"/>
      <x:c r="B338" s="3" t="str">
        <x:v>18251</x:v>
      </x:c>
      <x:c r="C338" s="3" t="n">
        <x:v>1</x:v>
      </x:c>
      <x:c r="D338" s="51" t="n">
        <x:v>40799</x:v>
      </x:c>
      <x:c r="E338" s="3" t="str">
        <x:v>Una compra</x:v>
      </x:c>
      <x:c r="F338" s="13" t="n">
        <x:v>4314.72</x:v>
      </x:c>
      <x:c r="G338" s="13" t="n">
        <x:v>0</x:v>
      </x:c>
      <x:c r="H338" s="13" t="n">
        <x:f>F338-G338</x:f>
        <x:v>4314.72</x:v>
      </x:c>
      <x:c r="I338" s="13" t="n">
        <x:f>IF(C338=0,"n.a.",F338/C338)</x:f>
        <x:v>4314.72</x:v>
      </x:c>
      <x:c r="J338" s="3"/>
      <x:c r="K338" s="3"/>
      <x:c r="L338" s="3"/>
    </x:row>
    <x:row r="339" ht="22" customHeight="1">
      <x:c r="A339" s="3"/>
      <x:c r="B339" s="3" t="str">
        <x:v>12347</x:v>
      </x:c>
      <x:c r="C339" s="3" t="n">
        <x:v>7</x:v>
      </x:c>
      <x:c r="D339" s="51" t="n">
        <x:v>40884</x:v>
      </x:c>
      <x:c r="E339" s="3" t="str">
        <x:v>Recurrente</x:v>
      </x:c>
      <x:c r="F339" s="13" t="n">
        <x:v>4310</x:v>
      </x:c>
      <x:c r="G339" s="13" t="n">
        <x:v>0</x:v>
      </x:c>
      <x:c r="H339" s="13" t="n">
        <x:f>F339-G339</x:f>
        <x:v>4310</x:v>
      </x:c>
      <x:c r="I339" s="13" t="n">
        <x:f>IF(C339=0,"n.a.",F339/C339)</x:f>
        <x:v>615.7142857142857</x:v>
      </x:c>
      <x:c r="J339" s="3"/>
      <x:c r="K339" s="3"/>
      <x:c r="L339" s="3"/>
    </x:row>
    <x:row r="340" ht="22" customHeight="1">
      <x:c r="A340" s="3"/>
      <x:c r="B340" s="3" t="str">
        <x:v>17937</x:v>
      </x:c>
      <x:c r="C340" s="3" t="n">
        <x:v>7</x:v>
      </x:c>
      <x:c r="D340" s="51" t="n">
        <x:v>40878</x:v>
      </x:c>
      <x:c r="E340" s="3" t="str">
        <x:v>Recurrente</x:v>
      </x:c>
      <x:c r="F340" s="13" t="n">
        <x:v>4301.22</x:v>
      </x:c>
      <x:c r="G340" s="13" t="n">
        <x:v>0</x:v>
      </x:c>
      <x:c r="H340" s="13" t="n">
        <x:f>F340-G340</x:f>
        <x:v>4301.22</x:v>
      </x:c>
      <x:c r="I340" s="13" t="n">
        <x:f>IF(C340=0,"n.a.",F340/C340)</x:f>
        <x:v>614.46</x:v>
      </x:c>
      <x:c r="J340" s="3"/>
      <x:c r="K340" s="3"/>
      <x:c r="L340" s="3"/>
    </x:row>
    <x:row r="341" ht="22" customHeight="1">
      <x:c r="A341" s="3"/>
      <x:c r="B341" s="3" t="str">
        <x:v>12714</x:v>
      </x:c>
      <x:c r="C341" s="3" t="n">
        <x:v>5</x:v>
      </x:c>
      <x:c r="D341" s="51" t="n">
        <x:v>40877</x:v>
      </x:c>
      <x:c r="E341" s="3" t="str">
        <x:v>Recurrente</x:v>
      </x:c>
      <x:c r="F341" s="13" t="n">
        <x:v>4294.86</x:v>
      </x:c>
      <x:c r="G341" s="13" t="n">
        <x:v>0</x:v>
      </x:c>
      <x:c r="H341" s="13" t="n">
        <x:f>F341-G341</x:f>
        <x:v>4294.86</x:v>
      </x:c>
      <x:c r="I341" s="13" t="n">
        <x:f>IF(C341=0,"n.a.",F341/C341)</x:f>
        <x:v>858.972</x:v>
      </x:c>
      <x:c r="J341" s="3"/>
      <x:c r="K341" s="3"/>
      <x:c r="L341" s="3"/>
    </x:row>
    <x:row r="342" ht="22" customHeight="1">
      <x:c r="A342" s="3"/>
      <x:c r="B342" s="3" t="str">
        <x:v>14016</x:v>
      </x:c>
      <x:c r="C342" s="3" t="n">
        <x:v>4</x:v>
      </x:c>
      <x:c r="D342" s="51" t="n">
        <x:v>40725</x:v>
      </x:c>
      <x:c r="E342" s="3" t="str">
        <x:v>Recurrente</x:v>
      </x:c>
      <x:c r="F342" s="13" t="n">
        <x:v>4291.21</x:v>
      </x:c>
      <x:c r="G342" s="13" t="n">
        <x:v>12.75</x:v>
      </x:c>
      <x:c r="H342" s="13" t="n">
        <x:f>F342-G342</x:f>
        <x:v>4278.46</x:v>
      </x:c>
      <x:c r="I342" s="13" t="n">
        <x:f>IF(C342=0,"n.a.",F342/C342)</x:f>
        <x:v>1072.8025</x:v>
      </x:c>
      <x:c r="J342" s="3"/>
      <x:c r="K342" s="3"/>
      <x:c r="L342" s="3"/>
    </x:row>
    <x:row r="343" ht="22" customHeight="1">
      <x:c r="A343" s="3"/>
      <x:c r="B343" s="3" t="str">
        <x:v>15034</x:v>
      </x:c>
      <x:c r="C343" s="3" t="n">
        <x:v>8</x:v>
      </x:c>
      <x:c r="D343" s="51" t="n">
        <x:v>40871</x:v>
      </x:c>
      <x:c r="E343" s="3" t="str">
        <x:v>Recurrente</x:v>
      </x:c>
      <x:c r="F343" s="13" t="n">
        <x:v>4308.61</x:v>
      </x:c>
      <x:c r="G343" s="13" t="n">
        <x:v>30.95</x:v>
      </x:c>
      <x:c r="H343" s="13" t="n">
        <x:f>F343-G343</x:f>
        <x:v>4277.66</x:v>
      </x:c>
      <x:c r="I343" s="13" t="n">
        <x:f>IF(C343=0,"n.a.",F343/C343)</x:f>
        <x:v>538.57625</x:v>
      </x:c>
      <x:c r="J343" s="3"/>
      <x:c r="K343" s="3"/>
      <x:c r="L343" s="3"/>
    </x:row>
    <x:row r="344" ht="22" customHeight="1">
      <x:c r="A344" s="3"/>
      <x:c r="B344" s="3" t="str">
        <x:v>14525</x:v>
      </x:c>
      <x:c r="C344" s="3" t="n">
        <x:v>9</x:v>
      </x:c>
      <x:c r="D344" s="51" t="n">
        <x:v>40867</x:v>
      </x:c>
      <x:c r="E344" s="3" t="str">
        <x:v>Recurrente</x:v>
      </x:c>
      <x:c r="F344" s="13" t="n">
        <x:v>4332.2</x:v>
      </x:c>
      <x:c r="G344" s="13" t="n">
        <x:v>65.83</x:v>
      </x:c>
      <x:c r="H344" s="13" t="n">
        <x:f>F344-G344</x:f>
        <x:v>4266.37</x:v>
      </x:c>
      <x:c r="I344" s="13" t="n">
        <x:f>IF(C344=0,"n.a.",F344/C344)</x:f>
        <x:v>481.35555555555555</x:v>
      </x:c>
      <x:c r="J344" s="3"/>
      <x:c r="K344" s="3"/>
      <x:c r="L344" s="3"/>
    </x:row>
    <x:row r="345" ht="22" customHeight="1">
      <x:c r="A345" s="3"/>
      <x:c r="B345" s="3" t="str">
        <x:v>14422</x:v>
      </x:c>
      <x:c r="C345" s="3" t="n">
        <x:v>6</x:v>
      </x:c>
      <x:c r="D345" s="51" t="n">
        <x:v>40886</x:v>
      </x:c>
      <x:c r="E345" s="3" t="str">
        <x:v>Recurrente</x:v>
      </x:c>
      <x:c r="F345" s="13" t="n">
        <x:v>4263.64</x:v>
      </x:c>
      <x:c r="G345" s="13" t="n">
        <x:v>0</x:v>
      </x:c>
      <x:c r="H345" s="13" t="n">
        <x:f>F345-G345</x:f>
        <x:v>4263.64</x:v>
      </x:c>
      <x:c r="I345" s="13" t="n">
        <x:f>IF(C345=0,"n.a.",F345/C345)</x:f>
        <x:v>710.6066666666667</x:v>
      </x:c>
      <x:c r="J345" s="3"/>
      <x:c r="K345" s="3"/>
      <x:c r="L345" s="3"/>
    </x:row>
    <x:row r="346" ht="22" customHeight="1">
      <x:c r="A346" s="3"/>
      <x:c r="B346" s="3" t="str">
        <x:v>14800</x:v>
      </x:c>
      <x:c r="C346" s="3" t="n">
        <x:v>12</x:v>
      </x:c>
      <x:c r="D346" s="51" t="n">
        <x:v>40839</x:v>
      </x:c>
      <x:c r="E346" s="3" t="str">
        <x:v>Recurrente</x:v>
      </x:c>
      <x:c r="F346" s="13" t="n">
        <x:v>4339.74</x:v>
      </x:c>
      <x:c r="G346" s="13" t="n">
        <x:v>103.4</x:v>
      </x:c>
      <x:c r="H346" s="13" t="n">
        <x:f>F346-G346</x:f>
        <x:v>4236.34</x:v>
      </x:c>
      <x:c r="I346" s="13" t="n">
        <x:f>IF(C346=0,"n.a.",F346/C346)</x:f>
        <x:v>361.645</x:v>
      </x:c>
      <x:c r="J346" s="3"/>
      <x:c r="K346" s="3"/>
      <x:c r="L346" s="3"/>
    </x:row>
    <x:row r="347" ht="22" customHeight="1">
      <x:c r="A347" s="3"/>
      <x:c r="B347" s="3" t="str">
        <x:v>17419</x:v>
      </x:c>
      <x:c r="C347" s="3" t="n">
        <x:v>12</x:v>
      </x:c>
      <x:c r="D347" s="51" t="n">
        <x:v>40875</x:v>
      </x:c>
      <x:c r="E347" s="3" t="str">
        <x:v>Recurrente</x:v>
      </x:c>
      <x:c r="F347" s="13" t="n">
        <x:v>4226.57</x:v>
      </x:c>
      <x:c r="G347" s="13" t="n">
        <x:v>25.6</x:v>
      </x:c>
      <x:c r="H347" s="13" t="n">
        <x:f>F347-G347</x:f>
        <x:v>4200.969999999999</x:v>
      </x:c>
      <x:c r="I347" s="13" t="n">
        <x:f>IF(C347=0,"n.a.",F347/C347)</x:f>
        <x:v>352.21416666666664</x:v>
      </x:c>
      <x:c r="J347" s="3"/>
      <x:c r="K347" s="3"/>
      <x:c r="L347" s="3"/>
    </x:row>
    <x:row r="348" ht="22" customHeight="1">
      <x:c r="A348" s="3"/>
      <x:c r="B348" s="3" t="str">
        <x:v>12747</x:v>
      </x:c>
      <x:c r="C348" s="3" t="n">
        <x:v>11</x:v>
      </x:c>
      <x:c r="D348" s="51" t="n">
        <x:v>40884</x:v>
      </x:c>
      <x:c r="E348" s="3" t="str">
        <x:v>Recurrente</x:v>
      </x:c>
      <x:c r="F348" s="13" t="n">
        <x:v>4196.01</x:v>
      </x:c>
      <x:c r="G348" s="13" t="n">
        <x:v>0</x:v>
      </x:c>
      <x:c r="H348" s="13" t="n">
        <x:f>F348-G348</x:f>
        <x:v>4196.01</x:v>
      </x:c>
      <x:c r="I348" s="13" t="n">
        <x:f>IF(C348=0,"n.a.",F348/C348)</x:f>
        <x:v>381.4554545454546</x:v>
      </x:c>
      <x:c r="J348" s="3"/>
      <x:c r="K348" s="3"/>
      <x:c r="L348" s="3"/>
    </x:row>
    <x:row r="349" ht="22" customHeight="1">
      <x:c r="A349" s="3"/>
      <x:c r="B349" s="3" t="str">
        <x:v>15971</x:v>
      </x:c>
      <x:c r="C349" s="3" t="n">
        <x:v>12</x:v>
      </x:c>
      <x:c r="D349" s="51" t="n">
        <x:v>40869</x:v>
      </x:c>
      <x:c r="E349" s="3" t="str">
        <x:v>Recurrente</x:v>
      </x:c>
      <x:c r="F349" s="13" t="n">
        <x:v>4194.9</x:v>
      </x:c>
      <x:c r="G349" s="13" t="n">
        <x:v>0</x:v>
      </x:c>
      <x:c r="H349" s="13" t="n">
        <x:f>F349-G349</x:f>
        <x:v>4194.9</x:v>
      </x:c>
      <x:c r="I349" s="13" t="n">
        <x:f>IF(C349=0,"n.a.",F349/C349)</x:f>
        <x:v>349.575</x:v>
      </x:c>
      <x:c r="J349" s="3"/>
      <x:c r="K349" s="3"/>
      <x:c r="L349" s="3"/>
    </x:row>
    <x:row r="350" ht="22" customHeight="1">
      <x:c r="A350" s="3"/>
      <x:c r="B350" s="3" t="str">
        <x:v>17920</x:v>
      </x:c>
      <x:c r="C350" s="3" t="n">
        <x:v>17</x:v>
      </x:c>
      <x:c r="D350" s="51" t="n">
        <x:v>40882</x:v>
      </x:c>
      <x:c r="E350" s="3" t="str">
        <x:v>Recurrente</x:v>
      </x:c>
      <x:c r="F350" s="13" t="n">
        <x:v>4192.2</x:v>
      </x:c>
      <x:c r="G350" s="13" t="n">
        <x:v>0</x:v>
      </x:c>
      <x:c r="H350" s="13" t="n">
        <x:f>F350-G350</x:f>
        <x:v>4192.2</x:v>
      </x:c>
      <x:c r="I350" s="13" t="n">
        <x:f>IF(C350=0,"n.a.",F350/C350)</x:f>
        <x:v>246.6</x:v>
      </x:c>
      <x:c r="J350" s="3"/>
      <x:c r="K350" s="3"/>
      <x:c r="L350" s="3"/>
    </x:row>
    <x:row r="351" ht="22" customHeight="1">
      <x:c r="A351" s="3"/>
      <x:c r="B351" s="3" t="str">
        <x:v>12757</x:v>
      </x:c>
      <x:c r="C351" s="3" t="n">
        <x:v>9</x:v>
      </x:c>
      <x:c r="D351" s="51" t="n">
        <x:v>40871</x:v>
      </x:c>
      <x:c r="E351" s="3" t="str">
        <x:v>Recurrente</x:v>
      </x:c>
      <x:c r="F351" s="13" t="n">
        <x:v>4199.2</x:v>
      </x:c>
      <x:c r="G351" s="13" t="n">
        <x:v>15</x:v>
      </x:c>
      <x:c r="H351" s="13" t="n">
        <x:f>F351-G351</x:f>
        <x:v>4184.2</x:v>
      </x:c>
      <x:c r="I351" s="13" t="n">
        <x:f>IF(C351=0,"n.a.",F351/C351)</x:f>
        <x:v>466.5777777777778</x:v>
      </x:c>
      <x:c r="J351" s="3"/>
      <x:c r="K351" s="3"/>
      <x:c r="L351" s="3"/>
    </x:row>
    <x:row r="352" ht="22" customHeight="1">
      <x:c r="A352" s="3"/>
      <x:c r="B352" s="3" t="str">
        <x:v>18041</x:v>
      </x:c>
      <x:c r="C352" s="3" t="n">
        <x:v>21</x:v>
      </x:c>
      <x:c r="D352" s="51" t="n">
        <x:v>40875</x:v>
      </x:c>
      <x:c r="E352" s="3" t="str">
        <x:v>Recurrente</x:v>
      </x:c>
      <x:c r="F352" s="13" t="n">
        <x:v>4183.39</x:v>
      </x:c>
      <x:c r="G352" s="13" t="n">
        <x:v>22.25</x:v>
      </x:c>
      <x:c r="H352" s="13" t="n">
        <x:f>F352-G352</x:f>
        <x:v>4161.14</x:v>
      </x:c>
      <x:c r="I352" s="13" t="n">
        <x:f>IF(C352=0,"n.a.",F352/C352)</x:f>
        <x:v>199.20904761904762</x:v>
      </x:c>
      <x:c r="J352" s="3"/>
      <x:c r="K352" s="3"/>
      <x:c r="L352" s="3"/>
    </x:row>
    <x:row r="353" ht="22" customHeight="1">
      <x:c r="A353" s="3"/>
      <x:c r="B353" s="3" t="str">
        <x:v>16549</x:v>
      </x:c>
      <x:c r="C353" s="3" t="n">
        <x:v>10</x:v>
      </x:c>
      <x:c r="D353" s="51" t="n">
        <x:v>40876</x:v>
      </x:c>
      <x:c r="E353" s="3" t="str">
        <x:v>Recurrente</x:v>
      </x:c>
      <x:c r="F353" s="13" t="n">
        <x:v>4154.64</x:v>
      </x:c>
      <x:c r="G353" s="13" t="n">
        <x:v>0</x:v>
      </x:c>
      <x:c r="H353" s="13" t="n">
        <x:f>F353-G353</x:f>
        <x:v>4154.64</x:v>
      </x:c>
      <x:c r="I353" s="13" t="n">
        <x:f>IF(C353=0,"n.a.",F353/C353)</x:f>
        <x:v>415.46400000000006</x:v>
      </x:c>
      <x:c r="J353" s="3"/>
      <x:c r="K353" s="3"/>
      <x:c r="L353" s="3"/>
    </x:row>
    <x:row r="354" ht="22" customHeight="1">
      <x:c r="A354" s="3"/>
      <x:c r="B354" s="3" t="str">
        <x:v>12536</x:v>
      </x:c>
      <x:c r="C354" s="3" t="n">
        <x:v>1</x:v>
      </x:c>
      <x:c r="D354" s="51" t="n">
        <x:v>40827</x:v>
      </x:c>
      <x:c r="E354" s="3" t="str">
        <x:v>Una compra</x:v>
      </x:c>
      <x:c r="F354" s="13" t="n">
        <x:v>4279.71</x:v>
      </x:c>
      <x:c r="G354" s="13" t="n">
        <x:v>128.45</x:v>
      </x:c>
      <x:c r="H354" s="13" t="n">
        <x:f>F354-G354</x:f>
        <x:v>4151.26</x:v>
      </x:c>
      <x:c r="I354" s="13" t="n">
        <x:f>IF(C354=0,"n.a.",F354/C354)</x:f>
        <x:v>4279.71</x:v>
      </x:c>
      <x:c r="J354" s="3"/>
      <x:c r="K354" s="3"/>
      <x:c r="L354" s="3"/>
    </x:row>
    <x:row r="355" ht="22" customHeight="1">
      <x:c r="A355" s="3"/>
      <x:c r="B355" s="3" t="str">
        <x:v>13555</x:v>
      </x:c>
      <x:c r="C355" s="3" t="n">
        <x:v>4</x:v>
      </x:c>
      <x:c r="D355" s="51" t="n">
        <x:v>40813</x:v>
      </x:c>
      <x:c r="E355" s="3" t="str">
        <x:v>Recurrente</x:v>
      </x:c>
      <x:c r="F355" s="13" t="n">
        <x:v>4149.28</x:v>
      </x:c>
      <x:c r="G355" s="13" t="n">
        <x:v>0</x:v>
      </x:c>
      <x:c r="H355" s="13" t="n">
        <x:f>F355-G355</x:f>
        <x:v>4149.28</x:v>
      </x:c>
      <x:c r="I355" s="13" t="n">
        <x:f>IF(C355=0,"n.a.",F355/C355)</x:f>
        <x:v>1037.32</x:v>
      </x:c>
      <x:c r="J355" s="3"/>
      <x:c r="K355" s="3"/>
      <x:c r="L355" s="3"/>
    </x:row>
    <x:row r="356" ht="22" customHeight="1">
      <x:c r="A356" s="3"/>
      <x:c r="B356" s="3" t="str">
        <x:v>12949</x:v>
      </x:c>
      <x:c r="C356" s="3" t="n">
        <x:v>8</x:v>
      </x:c>
      <x:c r="D356" s="51" t="n">
        <x:v>40856</x:v>
      </x:c>
      <x:c r="E356" s="3" t="str">
        <x:v>Recurrente</x:v>
      </x:c>
      <x:c r="F356" s="13" t="n">
        <x:v>4167.22</x:v>
      </x:c>
      <x:c r="G356" s="13" t="n">
        <x:v>24.2</x:v>
      </x:c>
      <x:c r="H356" s="13" t="n">
        <x:f>F356-G356</x:f>
        <x:v>4143.02</x:v>
      </x:c>
      <x:c r="I356" s="13" t="n">
        <x:f>IF(C356=0,"n.a.",F356/C356)</x:f>
        <x:v>520.9025</x:v>
      </x:c>
      <x:c r="J356" s="3"/>
      <x:c r="K356" s="3"/>
      <x:c r="L356" s="3"/>
    </x:row>
    <x:row r="357" ht="22" customHeight="1">
      <x:c r="A357" s="3"/>
      <x:c r="B357" s="3" t="str">
        <x:v>13384</x:v>
      </x:c>
      <x:c r="C357" s="3" t="n">
        <x:v>7</x:v>
      </x:c>
      <x:c r="D357" s="51" t="n">
        <x:v>40856</x:v>
      </x:c>
      <x:c r="E357" s="3" t="str">
        <x:v>Recurrente</x:v>
      </x:c>
      <x:c r="F357" s="13" t="n">
        <x:v>4151.93</x:v>
      </x:c>
      <x:c r="G357" s="13" t="n">
        <x:v>29.65</x:v>
      </x:c>
      <x:c r="H357" s="13" t="n">
        <x:f>F357-G357</x:f>
        <x:v>4122.280000000001</x:v>
      </x:c>
      <x:c r="I357" s="13" t="n">
        <x:f>IF(C357=0,"n.a.",F357/C357)</x:f>
        <x:v>593.1328571428572</x:v>
      </x:c>
      <x:c r="J357" s="3"/>
      <x:c r="K357" s="3"/>
      <x:c r="L357" s="3"/>
    </x:row>
    <x:row r="358" ht="22" customHeight="1">
      <x:c r="A358" s="3"/>
      <x:c r="B358" s="3" t="str">
        <x:v>15570</x:v>
      </x:c>
      <x:c r="C358" s="3" t="n">
        <x:v>12</x:v>
      </x:c>
      <x:c r="D358" s="51" t="n">
        <x:v>40879</x:v>
      </x:c>
      <x:c r="E358" s="3" t="str">
        <x:v>Recurrente</x:v>
      </x:c>
      <x:c r="F358" s="13" t="n">
        <x:v>4165.52</x:v>
      </x:c>
      <x:c r="G358" s="13" t="n">
        <x:v>55.55</x:v>
      </x:c>
      <x:c r="H358" s="13" t="n">
        <x:f>F358-G358</x:f>
        <x:v>4109.97</x:v>
      </x:c>
      <x:c r="I358" s="13" t="n">
        <x:f>IF(C358=0,"n.a.",F358/C358)</x:f>
        <x:v>347.1266666666667</x:v>
      </x:c>
      <x:c r="J358" s="3"/>
      <x:c r="K358" s="3"/>
      <x:c r="L358" s="3"/>
    </x:row>
    <x:row r="359" ht="22" customHeight="1">
      <x:c r="A359" s="3"/>
      <x:c r="B359" s="3" t="str">
        <x:v>13988</x:v>
      </x:c>
      <x:c r="C359" s="3" t="n">
        <x:v>6</x:v>
      </x:c>
      <x:c r="D359" s="51" t="n">
        <x:v>40867</x:v>
      </x:c>
      <x:c r="E359" s="3" t="str">
        <x:v>Recurrente</x:v>
      </x:c>
      <x:c r="F359" s="13" t="n">
        <x:v>4147.96</x:v>
      </x:c>
      <x:c r="G359" s="13" t="n">
        <x:v>49.16</x:v>
      </x:c>
      <x:c r="H359" s="13" t="n">
        <x:f>F359-G359</x:f>
        <x:v>4098.8</x:v>
      </x:c>
      <x:c r="I359" s="13" t="n">
        <x:f>IF(C359=0,"n.a.",F359/C359)</x:f>
        <x:v>691.3266666666667</x:v>
      </x:c>
      <x:c r="J359" s="3"/>
      <x:c r="K359" s="3"/>
      <x:c r="L359" s="3"/>
    </x:row>
    <x:row r="360" ht="22" customHeight="1">
      <x:c r="A360" s="3"/>
      <x:c r="B360" s="3" t="str">
        <x:v>12444</x:v>
      </x:c>
      <x:c r="C360" s="3" t="n">
        <x:v>5</x:v>
      </x:c>
      <x:c r="D360" s="51" t="n">
        <x:v>40865</x:v>
      </x:c>
      <x:c r="E360" s="3" t="str">
        <x:v>Recurrente</x:v>
      </x:c>
      <x:c r="F360" s="13" t="n">
        <x:v>4085.46</x:v>
      </x:c>
      <x:c r="G360" s="13" t="n">
        <x:v>0</x:v>
      </x:c>
      <x:c r="H360" s="13" t="n">
        <x:f>F360-G360</x:f>
        <x:v>4085.46</x:v>
      </x:c>
      <x:c r="I360" s="13" t="n">
        <x:f>IF(C360=0,"n.a.",F360/C360)</x:f>
        <x:v>817.092</x:v>
      </x:c>
      <x:c r="J360" s="3"/>
      <x:c r="K360" s="3"/>
      <x:c r="L360" s="3"/>
    </x:row>
    <x:row r="361" ht="22" customHeight="1">
      <x:c r="A361" s="3"/>
      <x:c r="B361" s="3" t="str">
        <x:v>12627</x:v>
      </x:c>
      <x:c r="C361" s="3" t="n">
        <x:v>6</x:v>
      </x:c>
      <x:c r="D361" s="51" t="n">
        <x:v>40876</x:v>
      </x:c>
      <x:c r="E361" s="3" t="str">
        <x:v>Recurrente</x:v>
      </x:c>
      <x:c r="F361" s="13" t="n">
        <x:v>4082.53</x:v>
      </x:c>
      <x:c r="G361" s="13" t="n">
        <x:v>0</x:v>
      </x:c>
      <x:c r="H361" s="13" t="n">
        <x:f>F361-G361</x:f>
        <x:v>4082.53</x:v>
      </x:c>
      <x:c r="I361" s="13" t="n">
        <x:f>IF(C361=0,"n.a.",F361/C361)</x:f>
        <x:v>680.4216666666667</x:v>
      </x:c>
      <x:c r="J361" s="3"/>
      <x:c r="K361" s="3"/>
      <x:c r="L361" s="3"/>
    </x:row>
    <x:row r="362" ht="22" customHeight="1">
      <x:c r="A362" s="3"/>
      <x:c r="B362" s="3" t="str">
        <x:v>14534</x:v>
      </x:c>
      <x:c r="C362" s="3" t="n">
        <x:v>18</x:v>
      </x:c>
      <x:c r="D362" s="51" t="n">
        <x:v>40884</x:v>
      </x:c>
      <x:c r="E362" s="3" t="str">
        <x:v>Recurrente</x:v>
      </x:c>
      <x:c r="F362" s="13" t="n">
        <x:v>4445.4</x:v>
      </x:c>
      <x:c r="G362" s="13" t="n">
        <x:v>371.7</x:v>
      </x:c>
      <x:c r="H362" s="13" t="n">
        <x:f>F362-G362</x:f>
        <x:v>4073.7</x:v>
      </x:c>
      <x:c r="I362" s="13" t="n">
        <x:f>IF(C362=0,"n.a.",F362/C362)</x:f>
        <x:v>246.96666666666664</x:v>
      </x:c>
      <x:c r="J362" s="3"/>
      <x:c r="K362" s="3"/>
      <x:c r="L362" s="3"/>
    </x:row>
    <x:row r="363" ht="22" customHeight="1">
      <x:c r="A363" s="3"/>
      <x:c r="B363" s="3" t="str">
        <x:v>16592</x:v>
      </x:c>
      <x:c r="C363" s="3" t="n">
        <x:v>16</x:v>
      </x:c>
      <x:c r="D363" s="51" t="n">
        <x:v>40882</x:v>
      </x:c>
      <x:c r="E363" s="3" t="str">
        <x:v>Recurrente</x:v>
      </x:c>
      <x:c r="F363" s="13" t="n">
        <x:v>4113.68</x:v>
      </x:c>
      <x:c r="G363" s="13" t="n">
        <x:v>40.4</x:v>
      </x:c>
      <x:c r="H363" s="13" t="n">
        <x:f>F363-G363</x:f>
        <x:v>4073.28</x:v>
      </x:c>
      <x:c r="I363" s="13" t="n">
        <x:f>IF(C363=0,"n.a.",F363/C363)</x:f>
        <x:v>257.105</x:v>
      </x:c>
      <x:c r="J363" s="3"/>
      <x:c r="K363" s="3"/>
      <x:c r="L363" s="3"/>
    </x:row>
    <x:row r="364" ht="22" customHeight="1">
      <x:c r="A364" s="3"/>
      <x:c r="B364" s="3" t="str">
        <x:v>16401</x:v>
      </x:c>
      <x:c r="C364" s="3" t="n">
        <x:v>12</x:v>
      </x:c>
      <x:c r="D364" s="51" t="n">
        <x:v>40885</x:v>
      </x:c>
      <x:c r="E364" s="3" t="str">
        <x:v>Recurrente</x:v>
      </x:c>
      <x:c r="F364" s="13" t="n">
        <x:v>4098.32</x:v>
      </x:c>
      <x:c r="G364" s="13" t="n">
        <x:v>35.13</x:v>
      </x:c>
      <x:c r="H364" s="13" t="n">
        <x:f>F364-G364</x:f>
        <x:v>4063.1899999999996</x:v>
      </x:c>
      <x:c r="I364" s="13" t="n">
        <x:f>IF(C364=0,"n.a.",F364/C364)</x:f>
        <x:v>341.52666666666664</x:v>
      </x:c>
      <x:c r="J364" s="3"/>
      <x:c r="K364" s="3"/>
      <x:c r="L364" s="3"/>
    </x:row>
    <x:row r="365" ht="22" customHeight="1">
      <x:c r="A365" s="3"/>
      <x:c r="B365" s="3" t="str">
        <x:v>14092</x:v>
      </x:c>
      <x:c r="C365" s="3" t="n">
        <x:v>14</x:v>
      </x:c>
      <x:c r="D365" s="51" t="n">
        <x:v>40879</x:v>
      </x:c>
      <x:c r="E365" s="3" t="str">
        <x:v>Recurrente</x:v>
      </x:c>
      <x:c r="F365" s="13" t="n">
        <x:v>4076.91</x:v>
      </x:c>
      <x:c r="G365" s="13" t="n">
        <x:v>13.81</x:v>
      </x:c>
      <x:c r="H365" s="13" t="n">
        <x:f>F365-G365</x:f>
        <x:v>4063.1</x:v>
      </x:c>
      <x:c r="I365" s="13" t="n">
        <x:f>IF(C365=0,"n.a.",F365/C365)</x:f>
        <x:v>291.2078571428571</x:v>
      </x:c>
      <x:c r="J365" s="3"/>
      <x:c r="K365" s="3"/>
      <x:c r="L365" s="3"/>
    </x:row>
    <x:row r="366" ht="22" customHeight="1">
      <x:c r="A366" s="3"/>
      <x:c r="B366" s="3" t="str">
        <x:v>14401</x:v>
      </x:c>
      <x:c r="C366" s="3" t="n">
        <x:v>13</x:v>
      </x:c>
      <x:c r="D366" s="51" t="n">
        <x:v>40882</x:v>
      </x:c>
      <x:c r="E366" s="3" t="str">
        <x:v>Recurrente</x:v>
      </x:c>
      <x:c r="F366" s="13" t="n">
        <x:v>4051.48</x:v>
      </x:c>
      <x:c r="G366" s="13" t="n">
        <x:v>11.5</x:v>
      </x:c>
      <x:c r="H366" s="13" t="n">
        <x:f>F366-G366</x:f>
        <x:v>4039.98</x:v>
      </x:c>
      <x:c r="I366" s="13" t="n">
        <x:f>IF(C366=0,"n.a.",F366/C366)</x:f>
        <x:v>311.6523076923077</x:v>
      </x:c>
      <x:c r="J366" s="3"/>
      <x:c r="K366" s="3"/>
      <x:c r="L366" s="3"/>
    </x:row>
    <x:row r="367" ht="22" customHeight="1">
      <x:c r="A367" s="3"/>
      <x:c r="B367" s="3" t="str">
        <x:v>12500</x:v>
      </x:c>
      <x:c r="C367" s="3" t="n">
        <x:v>11</x:v>
      </x:c>
      <x:c r="D367" s="51" t="n">
        <x:v>40863</x:v>
      </x:c>
      <x:c r="E367" s="3" t="str">
        <x:v>Recurrente</x:v>
      </x:c>
      <x:c r="F367" s="13" t="n">
        <x:v>4059.82</x:v>
      </x:c>
      <x:c r="G367" s="13" t="n">
        <x:v>33.55</x:v>
      </x:c>
      <x:c r="H367" s="13" t="n">
        <x:f>F367-G367</x:f>
        <x:v>4026.27</x:v>
      </x:c>
      <x:c r="I367" s="13" t="n">
        <x:f>IF(C367=0,"n.a.",F367/C367)</x:f>
        <x:v>369.07454545454544</x:v>
      </x:c>
      <x:c r="J367" s="3"/>
      <x:c r="K367" s="3"/>
      <x:c r="L367" s="3"/>
    </x:row>
    <x:row r="368" ht="22" customHeight="1">
      <x:c r="A368" s="3"/>
      <x:c r="B368" s="3" t="str">
        <x:v>16670</x:v>
      </x:c>
      <x:c r="C368" s="3" t="n">
        <x:v>11</x:v>
      </x:c>
      <x:c r="D368" s="51" t="n">
        <x:v>40870</x:v>
      </x:c>
      <x:c r="E368" s="3" t="str">
        <x:v>Recurrente</x:v>
      </x:c>
      <x:c r="F368" s="13" t="n">
        <x:v>4095.9</x:v>
      </x:c>
      <x:c r="G368" s="13" t="n">
        <x:v>73.44</x:v>
      </x:c>
      <x:c r="H368" s="13" t="n">
        <x:f>F368-G368</x:f>
        <x:v>4022.46</x:v>
      </x:c>
      <x:c r="I368" s="13" t="n">
        <x:f>IF(C368=0,"n.a.",F368/C368)</x:f>
        <x:v>372.3545454545455</x:v>
      </x:c>
      <x:c r="J368" s="3"/>
      <x:c r="K368" s="3"/>
      <x:c r="L368" s="3"/>
    </x:row>
    <x:row r="369" ht="22" customHeight="1">
      <x:c r="A369" s="3"/>
      <x:c r="B369" s="3" t="str">
        <x:v>17567</x:v>
      </x:c>
      <x:c r="C369" s="3" t="n">
        <x:v>8</x:v>
      </x:c>
      <x:c r="D369" s="51" t="n">
        <x:v>40879</x:v>
      </x:c>
      <x:c r="E369" s="3" t="str">
        <x:v>Recurrente</x:v>
      </x:c>
      <x:c r="F369" s="13" t="n">
        <x:v>4331.48</x:v>
      </x:c>
      <x:c r="G369" s="13" t="n">
        <x:v>318.92</x:v>
      </x:c>
      <x:c r="H369" s="13" t="n">
        <x:f>F369-G369</x:f>
        <x:v>4012.5599999999995</x:v>
      </x:c>
      <x:c r="I369" s="13" t="n">
        <x:f>IF(C369=0,"n.a.",F369/C369)</x:f>
        <x:v>541.435</x:v>
      </x:c>
      <x:c r="J369" s="3"/>
      <x:c r="K369" s="3"/>
      <x:c r="L369" s="3"/>
    </x:row>
    <x:row r="370" ht="22" customHeight="1">
      <x:c r="A370" s="3"/>
      <x:c r="B370" s="3" t="str">
        <x:v>12378</x:v>
      </x:c>
      <x:c r="C370" s="3" t="n">
        <x:v>1</x:v>
      </x:c>
      <x:c r="D370" s="51" t="n">
        <x:v>40757</x:v>
      </x:c>
      <x:c r="E370" s="3" t="str">
        <x:v>Una compra</x:v>
      </x:c>
      <x:c r="F370" s="13" t="n">
        <x:v>4008.62</x:v>
      </x:c>
      <x:c r="G370" s="13" t="n">
        <x:v>0</x:v>
      </x:c>
      <x:c r="H370" s="13" t="n">
        <x:f>F370-G370</x:f>
        <x:v>4008.62</x:v>
      </x:c>
      <x:c r="I370" s="13" t="n">
        <x:f>IF(C370=0,"n.a.",F370/C370)</x:f>
        <x:v>4008.62</x:v>
      </x:c>
      <x:c r="J370" s="3"/>
      <x:c r="K370" s="3"/>
      <x:c r="L370" s="3"/>
    </x:row>
    <x:row r="371" ht="22" customHeight="1">
      <x:c r="A371" s="3"/>
      <x:c r="B371" s="3" t="str">
        <x:v>16186</x:v>
      </x:c>
      <x:c r="C371" s="3" t="n">
        <x:v>12</x:v>
      </x:c>
      <x:c r="D371" s="51" t="n">
        <x:v>40864</x:v>
      </x:c>
      <x:c r="E371" s="3" t="str">
        <x:v>Recurrente</x:v>
      </x:c>
      <x:c r="F371" s="13" t="n">
        <x:v>4006.94</x:v>
      </x:c>
      <x:c r="G371" s="13" t="n">
        <x:v>15</x:v>
      </x:c>
      <x:c r="H371" s="13" t="n">
        <x:f>F371-G371</x:f>
        <x:v>3991.94</x:v>
      </x:c>
      <x:c r="I371" s="13" t="n">
        <x:f>IF(C371=0,"n.a.",F371/C371)</x:f>
        <x:v>333.9116666666667</x:v>
      </x:c>
      <x:c r="J371" s="3"/>
      <x:c r="K371" s="3"/>
      <x:c r="L371" s="3"/>
    </x:row>
    <x:row r="372" ht="22" customHeight="1">
      <x:c r="A372" s="3"/>
      <x:c r="B372" s="3" t="str">
        <x:v>12867</x:v>
      </x:c>
      <x:c r="C372" s="3" t="n">
        <x:v>7</x:v>
      </x:c>
      <x:c r="D372" s="51" t="n">
        <x:v>40860</x:v>
      </x:c>
      <x:c r="E372" s="3" t="str">
        <x:v>Recurrente</x:v>
      </x:c>
      <x:c r="F372" s="13" t="n">
        <x:v>4036.82</x:v>
      </x:c>
      <x:c r="G372" s="13" t="n">
        <x:v>46.35</x:v>
      </x:c>
      <x:c r="H372" s="13" t="n">
        <x:f>F372-G372</x:f>
        <x:v>3990.4700000000003</x:v>
      </x:c>
      <x:c r="I372" s="13" t="n">
        <x:f>IF(C372=0,"n.a.",F372/C372)</x:f>
        <x:v>576.6885714285714</x:v>
      </x:c>
      <x:c r="J372" s="3"/>
      <x:c r="K372" s="3"/>
      <x:c r="L372" s="3"/>
    </x:row>
    <x:row r="373" ht="22" customHeight="1">
      <x:c r="A373" s="3"/>
      <x:c r="B373" s="3" t="str">
        <x:v>17001</x:v>
      </x:c>
      <x:c r="C373" s="3" t="n">
        <x:v>11</x:v>
      </x:c>
      <x:c r="D373" s="51" t="n">
        <x:v>40886</x:v>
      </x:c>
      <x:c r="E373" s="3" t="str">
        <x:v>Recurrente</x:v>
      </x:c>
      <x:c r="F373" s="13" t="n">
        <x:v>3989.57</x:v>
      </x:c>
      <x:c r="G373" s="13" t="n">
        <x:v>0</x:v>
      </x:c>
      <x:c r="H373" s="13" t="n">
        <x:f>F373-G373</x:f>
        <x:v>3989.57</x:v>
      </x:c>
      <x:c r="I373" s="13" t="n">
        <x:f>IF(C373=0,"n.a.",F373/C373)</x:f>
        <x:v>362.6881818181818</x:v>
      </x:c>
      <x:c r="J373" s="3"/>
      <x:c r="K373" s="3"/>
      <x:c r="L373" s="3"/>
    </x:row>
    <x:row r="374" ht="22" customHeight="1">
      <x:c r="A374" s="3"/>
      <x:c r="B374" s="3" t="str">
        <x:v>14547</x:v>
      </x:c>
      <x:c r="C374" s="3" t="n">
        <x:v>8</x:v>
      </x:c>
      <x:c r="D374" s="51" t="n">
        <x:v>40883</x:v>
      </x:c>
      <x:c r="E374" s="3" t="str">
        <x:v>Recurrente</x:v>
      </x:c>
      <x:c r="F374" s="13" t="n">
        <x:v>4007.54</x:v>
      </x:c>
      <x:c r="G374" s="13" t="n">
        <x:v>20.8</x:v>
      </x:c>
      <x:c r="H374" s="13" t="n">
        <x:f>F374-G374</x:f>
        <x:v>3986.74</x:v>
      </x:c>
      <x:c r="I374" s="13" t="n">
        <x:f>IF(C374=0,"n.a.",F374/C374)</x:f>
        <x:v>500.9425</x:v>
      </x:c>
      <x:c r="J374" s="3"/>
      <x:c r="K374" s="3"/>
      <x:c r="L374" s="3"/>
    </x:row>
    <x:row r="375" ht="22" customHeight="1">
      <x:c r="A375" s="3"/>
      <x:c r="B375" s="3" t="str">
        <x:v>12957</x:v>
      </x:c>
      <x:c r="C375" s="3" t="n">
        <x:v>8</x:v>
      </x:c>
      <x:c r="D375" s="51" t="n">
        <x:v>40877</x:v>
      </x:c>
      <x:c r="E375" s="3" t="str">
        <x:v>Recurrente</x:v>
      </x:c>
      <x:c r="F375" s="13" t="n">
        <x:v>4017.54</x:v>
      </x:c>
      <x:c r="G375" s="13" t="n">
        <x:v>38.5</x:v>
      </x:c>
      <x:c r="H375" s="13" t="n">
        <x:f>F375-G375</x:f>
        <x:v>3979.04</x:v>
      </x:c>
      <x:c r="I375" s="13" t="n">
        <x:f>IF(C375=0,"n.a.",F375/C375)</x:f>
        <x:v>502.1925</x:v>
      </x:c>
      <x:c r="J375" s="3"/>
      <x:c r="K375" s="3"/>
      <x:c r="L375" s="3"/>
    </x:row>
    <x:row r="376" ht="22" customHeight="1">
      <x:c r="A376" s="3"/>
      <x:c r="B376" s="3" t="str">
        <x:v>15416</x:v>
      </x:c>
      <x:c r="C376" s="3" t="n">
        <x:v>4</x:v>
      </x:c>
      <x:c r="D376" s="51" t="n">
        <x:v>40822</x:v>
      </x:c>
      <x:c r="E376" s="3" t="str">
        <x:v>Recurrente</x:v>
      </x:c>
      <x:c r="F376" s="13" t="n">
        <x:v>3984.32</x:v>
      </x:c>
      <x:c r="G376" s="13" t="n">
        <x:v>9.95</x:v>
      </x:c>
      <x:c r="H376" s="13" t="n">
        <x:f>F376-G376</x:f>
        <x:v>3974.3700000000003</x:v>
      </x:c>
      <x:c r="I376" s="13" t="n">
        <x:f>IF(C376=0,"n.a.",F376/C376)</x:f>
        <x:v>996.08</x:v>
      </x:c>
      <x:c r="J376" s="3"/>
      <x:c r="K376" s="3"/>
      <x:c r="L376" s="3"/>
    </x:row>
    <x:row r="377" ht="22" customHeight="1">
      <x:c r="A377" s="3"/>
      <x:c r="B377" s="3" t="str">
        <x:v>15529</x:v>
      </x:c>
      <x:c r="C377" s="3" t="n">
        <x:v>11</x:v>
      </x:c>
      <x:c r="D377" s="51" t="n">
        <x:v>40864</x:v>
      </x:c>
      <x:c r="E377" s="3" t="str">
        <x:v>Recurrente</x:v>
      </x:c>
      <x:c r="F377" s="13" t="n">
        <x:v>3992.68</x:v>
      </x:c>
      <x:c r="G377" s="13" t="n">
        <x:v>27.45</x:v>
      </x:c>
      <x:c r="H377" s="13" t="n">
        <x:f>F377-G377</x:f>
        <x:v>3965.23</x:v>
      </x:c>
      <x:c r="I377" s="13" t="n">
        <x:f>IF(C377=0,"n.a.",F377/C377)</x:f>
        <x:v>362.97090909090906</x:v>
      </x:c>
      <x:c r="J377" s="3"/>
      <x:c r="K377" s="3"/>
      <x:c r="L377" s="3"/>
    </x:row>
    <x:row r="378" ht="22" customHeight="1">
      <x:c r="A378" s="3"/>
      <x:c r="B378" s="3" t="str">
        <x:v>17769</x:v>
      </x:c>
      <x:c r="C378" s="3" t="n">
        <x:v>10</x:v>
      </x:c>
      <x:c r="D378" s="51" t="n">
        <x:v>40874</x:v>
      </x:c>
      <x:c r="E378" s="3" t="str">
        <x:v>Recurrente</x:v>
      </x:c>
      <x:c r="F378" s="13" t="n">
        <x:v>3997.98</x:v>
      </x:c>
      <x:c r="G378" s="13" t="n">
        <x:v>37.35</x:v>
      </x:c>
      <x:c r="H378" s="13" t="n">
        <x:f>F378-G378</x:f>
        <x:v>3960.63</x:v>
      </x:c>
      <x:c r="I378" s="13" t="n">
        <x:f>IF(C378=0,"n.a.",F378/C378)</x:f>
        <x:v>399.798</x:v>
      </x:c>
      <x:c r="J378" s="3"/>
      <x:c r="K378" s="3"/>
      <x:c r="L378" s="3"/>
    </x:row>
    <x:row r="379" ht="22" customHeight="1">
      <x:c r="A379" s="3"/>
      <x:c r="B379" s="3" t="str">
        <x:v>13183</x:v>
      </x:c>
      <x:c r="C379" s="3" t="n">
        <x:v>9</x:v>
      </x:c>
      <x:c r="D379" s="51" t="n">
        <x:v>40879</x:v>
      </x:c>
      <x:c r="E379" s="3" t="str">
        <x:v>Recurrente</x:v>
      </x:c>
      <x:c r="F379" s="13" t="n">
        <x:v>3957.78</x:v>
      </x:c>
      <x:c r="G379" s="13" t="n">
        <x:v>0</x:v>
      </x:c>
      <x:c r="H379" s="13" t="n">
        <x:f>F379-G379</x:f>
        <x:v>3957.78</x:v>
      </x:c>
      <x:c r="I379" s="13" t="n">
        <x:f>IF(C379=0,"n.a.",F379/C379)</x:f>
        <x:v>439.75333333333333</x:v>
      </x:c>
      <x:c r="J379" s="3"/>
      <x:c r="K379" s="3"/>
      <x:c r="L379" s="3"/>
    </x:row>
    <x:row r="380" ht="22" customHeight="1">
      <x:c r="A380" s="3"/>
      <x:c r="B380" s="3" t="str">
        <x:v>17611</x:v>
      </x:c>
      <x:c r="C380" s="3" t="n">
        <x:v>15</x:v>
      </x:c>
      <x:c r="D380" s="51" t="n">
        <x:v>40879</x:v>
      </x:c>
      <x:c r="E380" s="3" t="str">
        <x:v>Recurrente</x:v>
      </x:c>
      <x:c r="F380" s="13" t="n">
        <x:v>3984.22</x:v>
      </x:c>
      <x:c r="G380" s="13" t="n">
        <x:v>36.35</x:v>
      </x:c>
      <x:c r="H380" s="13" t="n">
        <x:f>F380-G380</x:f>
        <x:v>3947.87</x:v>
      </x:c>
      <x:c r="I380" s="13" t="n">
        <x:f>IF(C380=0,"n.a.",F380/C380)</x:f>
        <x:v>265.61466666666666</x:v>
      </x:c>
      <x:c r="J380" s="3"/>
      <x:c r="K380" s="3"/>
      <x:c r="L380" s="3"/>
    </x:row>
    <x:row r="381" ht="22" customHeight="1">
      <x:c r="A381" s="3"/>
      <x:c r="B381" s="3" t="str">
        <x:v>12524</x:v>
      </x:c>
      <x:c r="C381" s="3" t="n">
        <x:v>8</x:v>
      </x:c>
      <x:c r="D381" s="51" t="n">
        <x:v>40877</x:v>
      </x:c>
      <x:c r="E381" s="3" t="str">
        <x:v>Recurrente</x:v>
      </x:c>
      <x:c r="F381" s="13" t="n">
        <x:v>3945.72</x:v>
      </x:c>
      <x:c r="G381" s="13" t="n">
        <x:v>0</x:v>
      </x:c>
      <x:c r="H381" s="13" t="n">
        <x:f>F381-G381</x:f>
        <x:v>3945.72</x:v>
      </x:c>
      <x:c r="I381" s="13" t="n">
        <x:f>IF(C381=0,"n.a.",F381/C381)</x:f>
        <x:v>493.215</x:v>
      </x:c>
      <x:c r="J381" s="3"/>
      <x:c r="K381" s="3"/>
      <x:c r="L381" s="3"/>
    </x:row>
    <x:row r="382" ht="22" customHeight="1">
      <x:c r="A382" s="3"/>
      <x:c r="B382" s="3" t="str">
        <x:v>17377</x:v>
      </x:c>
      <x:c r="C382" s="3" t="n">
        <x:v>20</x:v>
      </x:c>
      <x:c r="D382" s="51" t="n">
        <x:v>40863</x:v>
      </x:c>
      <x:c r="E382" s="3" t="str">
        <x:v>Recurrente</x:v>
      </x:c>
      <x:c r="F382" s="13" t="n">
        <x:v>4100.92</x:v>
      </x:c>
      <x:c r="G382" s="13" t="n">
        <x:v>175</x:v>
      </x:c>
      <x:c r="H382" s="13" t="n">
        <x:f>F382-G382</x:f>
        <x:v>3925.92</x:v>
      </x:c>
      <x:c r="I382" s="13" t="n">
        <x:f>IF(C382=0,"n.a.",F382/C382)</x:f>
        <x:v>205.046</x:v>
      </x:c>
      <x:c r="J382" s="3"/>
      <x:c r="K382" s="3"/>
      <x:c r="L382" s="3"/>
    </x:row>
    <x:row r="383" ht="22" customHeight="1">
      <x:c r="A383" s="3"/>
      <x:c r="B383" s="3" t="str">
        <x:v>14277</x:v>
      </x:c>
      <x:c r="C383" s="3" t="n">
        <x:v>3</x:v>
      </x:c>
      <x:c r="D383" s="51" t="n">
        <x:v>40871</x:v>
      </x:c>
      <x:c r="E383" s="3" t="str">
        <x:v>Recurrente</x:v>
      </x:c>
      <x:c r="F383" s="13" t="n">
        <x:v>4180.2</x:v>
      </x:c>
      <x:c r="G383" s="13" t="n">
        <x:v>259.2</x:v>
      </x:c>
      <x:c r="H383" s="13" t="n">
        <x:f>F383-G383</x:f>
        <x:v>3921</x:v>
      </x:c>
      <x:c r="I383" s="13" t="n">
        <x:f>IF(C383=0,"n.a.",F383/C383)</x:f>
        <x:v>1393.3999999999999</x:v>
      </x:c>
      <x:c r="J383" s="3"/>
      <x:c r="K383" s="3"/>
      <x:c r="L383" s="3"/>
    </x:row>
    <x:row r="384" ht="22" customHeight="1">
      <x:c r="A384" s="3"/>
      <x:c r="B384" s="3" t="str">
        <x:v>14426</x:v>
      </x:c>
      <x:c r="C384" s="3" t="n">
        <x:v>10</x:v>
      </x:c>
      <x:c r="D384" s="51" t="n">
        <x:v>40863</x:v>
      </x:c>
      <x:c r="E384" s="3" t="str">
        <x:v>Recurrente</x:v>
      </x:c>
      <x:c r="F384" s="13" t="n">
        <x:v>4481.67</x:v>
      </x:c>
      <x:c r="G384" s="13" t="n">
        <x:v>562.77</x:v>
      </x:c>
      <x:c r="H384" s="13" t="n">
        <x:f>F384-G384</x:f>
        <x:v>3918.9</x:v>
      </x:c>
      <x:c r="I384" s="13" t="n">
        <x:f>IF(C384=0,"n.a.",F384/C384)</x:f>
        <x:v>448.16700000000003</x:v>
      </x:c>
      <x:c r="J384" s="3"/>
      <x:c r="K384" s="3"/>
      <x:c r="L384" s="3"/>
    </x:row>
    <x:row r="385" ht="22" customHeight="1">
      <x:c r="A385" s="3"/>
      <x:c r="B385" s="3" t="str">
        <x:v>17593</x:v>
      </x:c>
      <x:c r="C385" s="3" t="n">
        <x:v>5</x:v>
      </x:c>
      <x:c r="D385" s="51" t="n">
        <x:v>40883</x:v>
      </x:c>
      <x:c r="E385" s="3" t="str">
        <x:v>Recurrente</x:v>
      </x:c>
      <x:c r="F385" s="13" t="n">
        <x:v>3927.34</x:v>
      </x:c>
      <x:c r="G385" s="13" t="n">
        <x:v>15.78</x:v>
      </x:c>
      <x:c r="H385" s="13" t="n">
        <x:f>F385-G385</x:f>
        <x:v>3911.56</x:v>
      </x:c>
      <x:c r="I385" s="13" t="n">
        <x:f>IF(C385=0,"n.a.",F385/C385)</x:f>
        <x:v>785.4680000000001</x:v>
      </x:c>
      <x:c r="J385" s="3"/>
      <x:c r="K385" s="3"/>
      <x:c r="L385" s="3"/>
    </x:row>
    <x:row r="386" ht="22" customHeight="1">
      <x:c r="A386" s="3"/>
      <x:c r="B386" s="3" t="str">
        <x:v>12484</x:v>
      </x:c>
      <x:c r="C386" s="3" t="n">
        <x:v>4</x:v>
      </x:c>
      <x:c r="D386" s="51" t="n">
        <x:v>40851</x:v>
      </x:c>
      <x:c r="E386" s="3" t="str">
        <x:v>Recurrente</x:v>
      </x:c>
      <x:c r="F386" s="13" t="n">
        <x:v>3953.72</x:v>
      </x:c>
      <x:c r="G386" s="13" t="n">
        <x:v>46.45</x:v>
      </x:c>
      <x:c r="H386" s="13" t="n">
        <x:f>F386-G386</x:f>
        <x:v>3907.27</x:v>
      </x:c>
      <x:c r="I386" s="13" t="n">
        <x:f>IF(C386=0,"n.a.",F386/C386)</x:f>
        <x:v>988.43</x:v>
      </x:c>
      <x:c r="J386" s="3"/>
      <x:c r="K386" s="3"/>
      <x:c r="L386" s="3"/>
    </x:row>
    <x:row r="387" ht="22" customHeight="1">
      <x:c r="A387" s="3"/>
      <x:c r="B387" s="3" t="str">
        <x:v>13802</x:v>
      </x:c>
      <x:c r="C387" s="3" t="n">
        <x:v>3</x:v>
      </x:c>
      <x:c r="D387" s="51" t="n">
        <x:v>40748</x:v>
      </x:c>
      <x:c r="E387" s="3" t="str">
        <x:v>Recurrente</x:v>
      </x:c>
      <x:c r="F387" s="13" t="n">
        <x:v>4599.42</x:v>
      </x:c>
      <x:c r="G387" s="13" t="n">
        <x:v>693.15</x:v>
      </x:c>
      <x:c r="H387" s="13" t="n">
        <x:f>F387-G387</x:f>
        <x:v>3906.27</x:v>
      </x:c>
      <x:c r="I387" s="13" t="n">
        <x:f>IF(C387=0,"n.a.",F387/C387)</x:f>
        <x:v>1533.14</x:v>
      </x:c>
      <x:c r="J387" s="3"/>
      <x:c r="K387" s="3"/>
      <x:c r="L387" s="3"/>
    </x:row>
    <x:row r="388" ht="22" customHeight="1">
      <x:c r="A388" s="3"/>
      <x:c r="B388" s="3" t="str">
        <x:v>15299</x:v>
      </x:c>
      <x:c r="C388" s="3" t="n">
        <x:v>6</x:v>
      </x:c>
      <x:c r="D388" s="51" t="n">
        <x:v>40819</x:v>
      </x:c>
      <x:c r="E388" s="3" t="str">
        <x:v>Recurrente</x:v>
      </x:c>
      <x:c r="F388" s="13" t="n">
        <x:v>3907.01</x:v>
      </x:c>
      <x:c r="G388" s="13" t="n">
        <x:v>6.01</x:v>
      </x:c>
      <x:c r="H388" s="13" t="n">
        <x:f>F388-G388</x:f>
        <x:v>3901</x:v>
      </x:c>
      <x:c r="I388" s="13" t="n">
        <x:f>IF(C388=0,"n.a.",F388/C388)</x:f>
        <x:v>651.1683333333334</x:v>
      </x:c>
      <x:c r="J388" s="3"/>
      <x:c r="K388" s="3"/>
      <x:c r="L388" s="3"/>
    </x:row>
    <x:row r="389" ht="22" customHeight="1">
      <x:c r="A389" s="3"/>
      <x:c r="B389" s="3" t="str">
        <x:v>14739</x:v>
      </x:c>
      <x:c r="C389" s="3" t="n">
        <x:v>7</x:v>
      </x:c>
      <x:c r="D389" s="51" t="n">
        <x:v>40882</x:v>
      </x:c>
      <x:c r="E389" s="3" t="str">
        <x:v>Recurrente</x:v>
      </x:c>
      <x:c r="F389" s="13" t="n">
        <x:v>3902.28</x:v>
      </x:c>
      <x:c r="G389" s="13" t="n">
        <x:v>3.18</x:v>
      </x:c>
      <x:c r="H389" s="13" t="n">
        <x:f>F389-G389</x:f>
        <x:v>3899.1000000000004</x:v>
      </x:c>
      <x:c r="I389" s="13" t="n">
        <x:f>IF(C389=0,"n.a.",F389/C389)</x:f>
        <x:v>557.4685714285714</x:v>
      </x:c>
      <x:c r="J389" s="3"/>
      <x:c r="K389" s="3"/>
      <x:c r="L389" s="3"/>
    </x:row>
    <x:row r="390" ht="22" customHeight="1">
      <x:c r="A390" s="3"/>
      <x:c r="B390" s="3" t="str">
        <x:v>17651</x:v>
      </x:c>
      <x:c r="C390" s="3" t="n">
        <x:v>10</x:v>
      </x:c>
      <x:c r="D390" s="51" t="n">
        <x:v>40875</x:v>
      </x:c>
      <x:c r="E390" s="3" t="str">
        <x:v>Recurrente</x:v>
      </x:c>
      <x:c r="F390" s="13" t="n">
        <x:v>3945</x:v>
      </x:c>
      <x:c r="G390" s="13" t="n">
        <x:v>58.33</x:v>
      </x:c>
      <x:c r="H390" s="13" t="n">
        <x:f>F390-G390</x:f>
        <x:v>3886.67</x:v>
      </x:c>
      <x:c r="I390" s="13" t="n">
        <x:f>IF(C390=0,"n.a.",F390/C390)</x:f>
        <x:v>394.5</x:v>
      </x:c>
      <x:c r="J390" s="3"/>
      <x:c r="K390" s="3"/>
      <x:c r="L390" s="3"/>
    </x:row>
    <x:row r="391" ht="22" customHeight="1">
      <x:c r="A391" s="3"/>
      <x:c r="B391" s="3" t="str">
        <x:v>12841</x:v>
      </x:c>
      <x:c r="C391" s="3" t="n">
        <x:v>25</x:v>
      </x:c>
      <x:c r="D391" s="51" t="n">
        <x:v>40882</x:v>
      </x:c>
      <x:c r="E391" s="3" t="str">
        <x:v>Recurrente</x:v>
      </x:c>
      <x:c r="F391" s="13" t="n">
        <x:v>4022.35</x:v>
      </x:c>
      <x:c r="G391" s="13" t="n">
        <x:v>145.95</x:v>
      </x:c>
      <x:c r="H391" s="13" t="n">
        <x:f>F391-G391</x:f>
        <x:v>3876.4</x:v>
      </x:c>
      <x:c r="I391" s="13" t="n">
        <x:f>IF(C391=0,"n.a.",F391/C391)</x:f>
        <x:v>160.894</x:v>
      </x:c>
      <x:c r="J391" s="3"/>
      <x:c r="K391" s="3"/>
      <x:c r="L391" s="3"/>
    </x:row>
    <x:row r="392" ht="22" customHeight="1">
      <x:c r="A392" s="3"/>
      <x:c r="B392" s="3" t="str">
        <x:v>14291</x:v>
      </x:c>
      <x:c r="C392" s="3" t="n">
        <x:v>11</x:v>
      </x:c>
      <x:c r="D392" s="51" t="n">
        <x:v>40885</x:v>
      </x:c>
      <x:c r="E392" s="3" t="str">
        <x:v>Recurrente</x:v>
      </x:c>
      <x:c r="F392" s="13" t="n">
        <x:v>3883.25</x:v>
      </x:c>
      <x:c r="G392" s="13" t="n">
        <x:v>9.95</x:v>
      </x:c>
      <x:c r="H392" s="13" t="n">
        <x:f>F392-G392</x:f>
        <x:v>3873.3</x:v>
      </x:c>
      <x:c r="I392" s="13" t="n">
        <x:f>IF(C392=0,"n.a.",F392/C392)</x:f>
        <x:v>353.02272727272725</x:v>
      </x:c>
      <x:c r="J392" s="3"/>
      <x:c r="K392" s="3"/>
      <x:c r="L392" s="3"/>
    </x:row>
    <x:row r="393" ht="22" customHeight="1">
      <x:c r="A393" s="3"/>
      <x:c r="B393" s="3" t="str">
        <x:v>12779</x:v>
      </x:c>
      <x:c r="C393" s="3" t="n">
        <x:v>8</x:v>
      </x:c>
      <x:c r="D393" s="51" t="n">
        <x:v>40849</x:v>
      </x:c>
      <x:c r="E393" s="3" t="str">
        <x:v>Recurrente</x:v>
      </x:c>
      <x:c r="F393" s="13" t="n">
        <x:v>3981.36</x:v>
      </x:c>
      <x:c r="G393" s="13" t="n">
        <x:v>112.66</x:v>
      </x:c>
      <x:c r="H393" s="13" t="n">
        <x:f>F393-G393</x:f>
        <x:v>3868.7000000000003</x:v>
      </x:c>
      <x:c r="I393" s="13" t="n">
        <x:f>IF(C393=0,"n.a.",F393/C393)</x:f>
        <x:v>497.67</x:v>
      </x:c>
      <x:c r="J393" s="3"/>
      <x:c r="K393" s="3"/>
      <x:c r="L393" s="3"/>
    </x:row>
    <x:row r="394" ht="22" customHeight="1">
      <x:c r="A394" s="3"/>
      <x:c r="B394" s="3" t="str">
        <x:v>13124</x:v>
      </x:c>
      <x:c r="C394" s="3" t="n">
        <x:v>3</x:v>
      </x:c>
      <x:c r="D394" s="51" t="n">
        <x:v>40797</x:v>
      </x:c>
      <x:c r="E394" s="3" t="str">
        <x:v>Recurrente</x:v>
      </x:c>
      <x:c r="F394" s="13" t="n">
        <x:v>3866.33</x:v>
      </x:c>
      <x:c r="G394" s="13" t="n">
        <x:v>0</x:v>
      </x:c>
      <x:c r="H394" s="13" t="n">
        <x:f>F394-G394</x:f>
        <x:v>3866.33</x:v>
      </x:c>
      <x:c r="I394" s="13" t="n">
        <x:f>IF(C394=0,"n.a.",F394/C394)</x:f>
        <x:v>1288.7766666666666</x:v>
      </x:c>
      <x:c r="J394" s="3"/>
      <x:c r="K394" s="3"/>
      <x:c r="L394" s="3"/>
    </x:row>
    <x:row r="395" ht="22" customHeight="1">
      <x:c r="A395" s="3"/>
      <x:c r="B395" s="3" t="str">
        <x:v>13999</x:v>
      </x:c>
      <x:c r="C395" s="3" t="n">
        <x:v>12</x:v>
      </x:c>
      <x:c r="D395" s="51" t="n">
        <x:v>40876</x:v>
      </x:c>
      <x:c r="E395" s="3" t="str">
        <x:v>Recurrente</x:v>
      </x:c>
      <x:c r="F395" s="13" t="n">
        <x:v>3901.81</x:v>
      </x:c>
      <x:c r="G395" s="13" t="n">
        <x:v>36.55</x:v>
      </x:c>
      <x:c r="H395" s="13" t="n">
        <x:f>F395-G395</x:f>
        <x:v>3865.2599999999998</x:v>
      </x:c>
      <x:c r="I395" s="13" t="n">
        <x:f>IF(C395=0,"n.a.",F395/C395)</x:f>
        <x:v>325.1508333333333</x:v>
      </x:c>
      <x:c r="J395" s="3"/>
      <x:c r="K395" s="3"/>
      <x:c r="L395" s="3"/>
    </x:row>
    <x:row r="396" ht="22" customHeight="1">
      <x:c r="A396" s="3"/>
      <x:c r="B396" s="3" t="str">
        <x:v>18073</x:v>
      </x:c>
      <x:c r="C396" s="3" t="n">
        <x:v>12</x:v>
      </x:c>
      <x:c r="D396" s="51" t="n">
        <x:v>40772</x:v>
      </x:c>
      <x:c r="E396" s="3" t="str">
        <x:v>Recurrente</x:v>
      </x:c>
      <x:c r="F396" s="13" t="n">
        <x:v>3877.52</x:v>
      </x:c>
      <x:c r="G396" s="13" t="n">
        <x:v>13.08</x:v>
      </x:c>
      <x:c r="H396" s="13" t="n">
        <x:f>F396-G396</x:f>
        <x:v>3864.44</x:v>
      </x:c>
      <x:c r="I396" s="13" t="n">
        <x:f>IF(C396=0,"n.a.",F396/C396)</x:f>
        <x:v>323.12666666666667</x:v>
      </x:c>
      <x:c r="J396" s="3"/>
      <x:c r="K396" s="3"/>
      <x:c r="L396" s="3"/>
    </x:row>
    <x:row r="397" ht="22" customHeight="1">
      <x:c r="A397" s="3"/>
      <x:c r="B397" s="3" t="str">
        <x:v>15195</x:v>
      </x:c>
      <x:c r="C397" s="3" t="n">
        <x:v>1</x:v>
      </x:c>
      <x:c r="D397" s="51" t="n">
        <x:v>40884</x:v>
      </x:c>
      <x:c r="E397" s="3" t="str">
        <x:v>Una compra</x:v>
      </x:c>
      <x:c r="F397" s="13" t="n">
        <x:v>3861</x:v>
      </x:c>
      <x:c r="G397" s="13" t="n">
        <x:v>0</x:v>
      </x:c>
      <x:c r="H397" s="13" t="n">
        <x:f>F397-G397</x:f>
        <x:v>3861</x:v>
      </x:c>
      <x:c r="I397" s="13" t="n">
        <x:f>IF(C397=0,"n.a.",F397/C397)</x:f>
        <x:v>3861</x:v>
      </x:c>
      <x:c r="J397" s="3"/>
      <x:c r="K397" s="3"/>
      <x:c r="L397" s="3"/>
    </x:row>
    <x:row r="398" ht="22" customHeight="1">
      <x:c r="A398" s="3"/>
      <x:c r="B398" s="3" t="str">
        <x:v>15804</x:v>
      </x:c>
      <x:c r="C398" s="3" t="n">
        <x:v>13</x:v>
      </x:c>
      <x:c r="D398" s="51" t="n">
        <x:v>40886</x:v>
      </x:c>
      <x:c r="E398" s="3" t="str">
        <x:v>Recurrente</x:v>
      </x:c>
      <x:c r="F398" s="13" t="n">
        <x:v>4206.39</x:v>
      </x:c>
      <x:c r="G398" s="13" t="n">
        <x:v>357.84</x:v>
      </x:c>
      <x:c r="H398" s="13" t="n">
        <x:f>F398-G398</x:f>
        <x:v>3848.55</x:v>
      </x:c>
      <x:c r="I398" s="13" t="n">
        <x:f>IF(C398=0,"n.a.",F398/C398)</x:f>
        <x:v>323.5684615384616</x:v>
      </x:c>
      <x:c r="J398" s="3"/>
      <x:c r="K398" s="3"/>
      <x:c r="L398" s="3"/>
    </x:row>
    <x:row r="399" ht="22" customHeight="1">
      <x:c r="A399" s="3"/>
      <x:c r="B399" s="3" t="str">
        <x:v>12749</x:v>
      </x:c>
      <x:c r="C399" s="3" t="n">
        <x:v>5</x:v>
      </x:c>
      <x:c r="D399" s="51" t="n">
        <x:v>40883</x:v>
      </x:c>
      <x:c r="E399" s="3" t="str">
        <x:v>Recurrente</x:v>
      </x:c>
      <x:c r="F399" s="13" t="n">
        <x:v>4040.88</x:v>
      </x:c>
      <x:c r="G399" s="13" t="n">
        <x:v>222.68</x:v>
      </x:c>
      <x:c r="H399" s="13" t="n">
        <x:f>F399-G399</x:f>
        <x:v>3818.2000000000003</x:v>
      </x:c>
      <x:c r="I399" s="13" t="n">
        <x:f>IF(C399=0,"n.a.",F399/C399)</x:f>
        <x:v>808.176</x:v>
      </x:c>
      <x:c r="J399" s="3"/>
      <x:c r="K399" s="3"/>
      <x:c r="L399" s="3"/>
    </x:row>
    <x:row r="400" ht="22" customHeight="1">
      <x:c r="A400" s="3"/>
      <x:c r="B400" s="3" t="str">
        <x:v>16327</x:v>
      </x:c>
      <x:c r="C400" s="3" t="n">
        <x:v>6</x:v>
      </x:c>
      <x:c r="D400" s="51" t="n">
        <x:v>40872</x:v>
      </x:c>
      <x:c r="E400" s="3" t="str">
        <x:v>Recurrente</x:v>
      </x:c>
      <x:c r="F400" s="13" t="n">
        <x:v>3813.62</x:v>
      </x:c>
      <x:c r="G400" s="13" t="n">
        <x:v>0</x:v>
      </x:c>
      <x:c r="H400" s="13" t="n">
        <x:f>F400-G400</x:f>
        <x:v>3813.62</x:v>
      </x:c>
      <x:c r="I400" s="13" t="n">
        <x:f>IF(C400=0,"n.a.",F400/C400)</x:f>
        <x:v>635.6033333333334</x:v>
      </x:c>
      <x:c r="J400" s="3"/>
      <x:c r="K400" s="3"/>
      <x:c r="L400" s="3"/>
    </x:row>
    <x:row r="401" ht="22" customHeight="1">
      <x:c r="A401" s="3"/>
      <x:c r="B401" s="3" t="str">
        <x:v>17091</x:v>
      </x:c>
      <x:c r="C401" s="3" t="n">
        <x:v>9</x:v>
      </x:c>
      <x:c r="D401" s="51" t="n">
        <x:v>40884</x:v>
      </x:c>
      <x:c r="E401" s="3" t="str">
        <x:v>Recurrente</x:v>
      </x:c>
      <x:c r="F401" s="13" t="n">
        <x:v>3827.76</x:v>
      </x:c>
      <x:c r="G401" s="13" t="n">
        <x:v>24.95</x:v>
      </x:c>
      <x:c r="H401" s="13" t="n">
        <x:f>F401-G401</x:f>
        <x:v>3802.8100000000004</x:v>
      </x:c>
      <x:c r="I401" s="13" t="n">
        <x:f>IF(C401=0,"n.a.",F401/C401)</x:f>
        <x:v>425.3066666666667</x:v>
      </x:c>
      <x:c r="J401" s="3"/>
      <x:c r="K401" s="3"/>
      <x:c r="L401" s="3"/>
    </x:row>
    <x:row r="402" ht="22" customHeight="1">
      <x:c r="A402" s="3"/>
      <x:c r="B402" s="3" t="str">
        <x:v>16655</x:v>
      </x:c>
      <x:c r="C402" s="3" t="n">
        <x:v>6</x:v>
      </x:c>
      <x:c r="D402" s="51" t="n">
        <x:v>40869</x:v>
      </x:c>
      <x:c r="E402" s="3" t="str">
        <x:v>Recurrente</x:v>
      </x:c>
      <x:c r="F402" s="13" t="n">
        <x:v>3794.52</x:v>
      </x:c>
      <x:c r="G402" s="13" t="n">
        <x:v>0</x:v>
      </x:c>
      <x:c r="H402" s="13" t="n">
        <x:f>F402-G402</x:f>
        <x:v>3794.52</x:v>
      </x:c>
      <x:c r="I402" s="13" t="n">
        <x:f>IF(C402=0,"n.a.",F402/C402)</x:f>
        <x:v>632.42</x:v>
      </x:c>
      <x:c r="J402" s="3"/>
      <x:c r="K402" s="3"/>
      <x:c r="L402" s="3"/>
    </x:row>
    <x:row r="403" ht="22" customHeight="1">
      <x:c r="A403" s="3"/>
      <x:c r="B403" s="3" t="str">
        <x:v>13435</x:v>
      </x:c>
      <x:c r="C403" s="3" t="n">
        <x:v>7</x:v>
      </x:c>
      <x:c r="D403" s="51" t="n">
        <x:v>40881</x:v>
      </x:c>
      <x:c r="E403" s="3" t="str">
        <x:v>Recurrente</x:v>
      </x:c>
      <x:c r="F403" s="13" t="n">
        <x:v>3809.89</x:v>
      </x:c>
      <x:c r="G403" s="13" t="n">
        <x:v>15.4</x:v>
      </x:c>
      <x:c r="H403" s="13" t="n">
        <x:f>F403-G403</x:f>
        <x:v>3794.49</x:v>
      </x:c>
      <x:c r="I403" s="13" t="n">
        <x:f>IF(C403=0,"n.a.",F403/C403)</x:f>
        <x:v>544.27</x:v>
      </x:c>
      <x:c r="J403" s="3"/>
      <x:c r="K403" s="3"/>
      <x:c r="L403" s="3"/>
    </x:row>
    <x:row r="404" ht="22" customHeight="1">
      <x:c r="A404" s="3"/>
      <x:c r="B404" s="3" t="str">
        <x:v>12712</x:v>
      </x:c>
      <x:c r="C404" s="3" t="n">
        <x:v>13</x:v>
      </x:c>
      <x:c r="D404" s="51" t="n">
        <x:v>40858</x:v>
      </x:c>
      <x:c r="E404" s="3" t="str">
        <x:v>Recurrente</x:v>
      </x:c>
      <x:c r="F404" s="13" t="n">
        <x:v>3928.13</x:v>
      </x:c>
      <x:c r="G404" s="13" t="n">
        <x:v>136.5</x:v>
      </x:c>
      <x:c r="H404" s="13" t="n">
        <x:f>F404-G404</x:f>
        <x:v>3791.63</x:v>
      </x:c>
      <x:c r="I404" s="13" t="n">
        <x:f>IF(C404=0,"n.a.",F404/C404)</x:f>
        <x:v>302.1638461538462</x:v>
      </x:c>
      <x:c r="J404" s="3"/>
      <x:c r="K404" s="3"/>
      <x:c r="L404" s="3"/>
    </x:row>
    <x:row r="405" ht="22" customHeight="1">
      <x:c r="A405" s="3"/>
      <x:c r="B405" s="3" t="str">
        <x:v>15867</x:v>
      </x:c>
      <x:c r="C405" s="3" t="n">
        <x:v>15</x:v>
      </x:c>
      <x:c r="D405" s="51" t="n">
        <x:v>40881</x:v>
      </x:c>
      <x:c r="E405" s="3" t="str">
        <x:v>Recurrente</x:v>
      </x:c>
      <x:c r="F405" s="13" t="n">
        <x:v>3806.1</x:v>
      </x:c>
      <x:c r="G405" s="13" t="n">
        <x:v>14.85</x:v>
      </x:c>
      <x:c r="H405" s="13" t="n">
        <x:f>F405-G405</x:f>
        <x:v>3791.25</x:v>
      </x:c>
      <x:c r="I405" s="13" t="n">
        <x:f>IF(C405=0,"n.a.",F405/C405)</x:f>
        <x:v>253.73999999999998</x:v>
      </x:c>
      <x:c r="J405" s="3"/>
      <x:c r="K405" s="3"/>
      <x:c r="L405" s="3"/>
    </x:row>
    <x:row r="406" ht="22" customHeight="1">
      <x:c r="A406" s="3"/>
      <x:c r="B406" s="3" t="str">
        <x:v>15298</x:v>
      </x:c>
      <x:c r="C406" s="3" t="n">
        <x:v>12</x:v>
      </x:c>
      <x:c r="D406" s="51" t="n">
        <x:v>40884</x:v>
      </x:c>
      <x:c r="E406" s="3" t="str">
        <x:v>Recurrente</x:v>
      </x:c>
      <x:c r="F406" s="13" t="n">
        <x:v>4799.9</x:v>
      </x:c>
      <x:c r="G406" s="13" t="n">
        <x:v>1025.8</x:v>
      </x:c>
      <x:c r="H406" s="13" t="n">
        <x:f>F406-G406</x:f>
        <x:v>3774.0999999999995</x:v>
      </x:c>
      <x:c r="I406" s="13" t="n">
        <x:f>IF(C406=0,"n.a.",F406/C406)</x:f>
        <x:v>399.9916666666666</x:v>
      </x:c>
      <x:c r="J406" s="3"/>
      <x:c r="K406" s="3"/>
      <x:c r="L406" s="3"/>
    </x:row>
    <x:row r="407" ht="22" customHeight="1">
      <x:c r="A407" s="3"/>
      <x:c r="B407" s="3" t="str">
        <x:v>16168</x:v>
      </x:c>
      <x:c r="C407" s="3" t="n">
        <x:v>27</x:v>
      </x:c>
      <x:c r="D407" s="51" t="n">
        <x:v>40876</x:v>
      </x:c>
      <x:c r="E407" s="3" t="str">
        <x:v>Recurrente</x:v>
      </x:c>
      <x:c r="F407" s="13" t="n">
        <x:v>3787.6</x:v>
      </x:c>
      <x:c r="G407" s="13" t="n">
        <x:v>17</x:v>
      </x:c>
      <x:c r="H407" s="13" t="n">
        <x:f>F407-G407</x:f>
        <x:v>3770.6</x:v>
      </x:c>
      <x:c r="I407" s="13" t="n">
        <x:f>IF(C407=0,"n.a.",F407/C407)</x:f>
        <x:v>140.28148148148148</x:v>
      </x:c>
      <x:c r="J407" s="3"/>
      <x:c r="K407" s="3"/>
      <x:c r="L407" s="3"/>
    </x:row>
    <x:row r="408" ht="22" customHeight="1">
      <x:c r="A408" s="3"/>
      <x:c r="B408" s="3" t="str">
        <x:v>17173</x:v>
      </x:c>
      <x:c r="C408" s="3" t="n">
        <x:v>8</x:v>
      </x:c>
      <x:c r="D408" s="51" t="n">
        <x:v>40881</x:v>
      </x:c>
      <x:c r="E408" s="3" t="str">
        <x:v>Recurrente</x:v>
      </x:c>
      <x:c r="F408" s="13" t="n">
        <x:v>3766.6</x:v>
      </x:c>
      <x:c r="G408" s="13" t="n">
        <x:v>10.95</x:v>
      </x:c>
      <x:c r="H408" s="13" t="n">
        <x:f>F408-G408</x:f>
        <x:v>3755.65</x:v>
      </x:c>
      <x:c r="I408" s="13" t="n">
        <x:f>IF(C408=0,"n.a.",F408/C408)</x:f>
        <x:v>470.825</x:v>
      </x:c>
      <x:c r="J408" s="3"/>
      <x:c r="K408" s="3"/>
      <x:c r="L408" s="3"/>
    </x:row>
    <x:row r="409" ht="22" customHeight="1">
      <x:c r="A409" s="3"/>
      <x:c r="B409" s="3" t="str">
        <x:v>13523</x:v>
      </x:c>
      <x:c r="C409" s="3" t="n">
        <x:v>5</x:v>
      </x:c>
      <x:c r="D409" s="51" t="n">
        <x:v>40853</x:v>
      </x:c>
      <x:c r="E409" s="3" t="str">
        <x:v>Recurrente</x:v>
      </x:c>
      <x:c r="F409" s="13" t="n">
        <x:v>3964.88</x:v>
      </x:c>
      <x:c r="G409" s="13" t="n">
        <x:v>209.5</x:v>
      </x:c>
      <x:c r="H409" s="13" t="n">
        <x:f>F409-G409</x:f>
        <x:v>3755.38</x:v>
      </x:c>
      <x:c r="I409" s="13" t="n">
        <x:f>IF(C409=0,"n.a.",F409/C409)</x:f>
        <x:v>792.976</x:v>
      </x:c>
      <x:c r="J409" s="3"/>
      <x:c r="K409" s="3"/>
      <x:c r="L409" s="3"/>
    </x:row>
    <x:row r="410" ht="22" customHeight="1">
      <x:c r="A410" s="3"/>
      <x:c r="B410" s="3" t="str">
        <x:v>17238</x:v>
      </x:c>
      <x:c r="C410" s="3" t="n">
        <x:v>17</x:v>
      </x:c>
      <x:c r="D410" s="51" t="n">
        <x:v>40884</x:v>
      </x:c>
      <x:c r="E410" s="3" t="str">
        <x:v>Recurrente</x:v>
      </x:c>
      <x:c r="F410" s="13" t="n">
        <x:v>3744.65</x:v>
      </x:c>
      <x:c r="G410" s="13" t="n">
        <x:v>0</x:v>
      </x:c>
      <x:c r="H410" s="13" t="n">
        <x:f>F410-G410</x:f>
        <x:v>3744.65</x:v>
      </x:c>
      <x:c r="I410" s="13" t="n">
        <x:f>IF(C410=0,"n.a.",F410/C410)</x:f>
        <x:v>220.2735294117647</x:v>
      </x:c>
      <x:c r="J410" s="3"/>
      <x:c r="K410" s="3"/>
      <x:c r="L410" s="3"/>
    </x:row>
    <x:row r="411" ht="22" customHeight="1">
      <x:c r="A411" s="3"/>
      <x:c r="B411" s="3" t="str">
        <x:v>16145</x:v>
      </x:c>
      <x:c r="C411" s="3" t="n">
        <x:v>11</x:v>
      </x:c>
      <x:c r="D411" s="51" t="n">
        <x:v>40878</x:v>
      </x:c>
      <x:c r="E411" s="3" t="str">
        <x:v>Recurrente</x:v>
      </x:c>
      <x:c r="F411" s="13" t="n">
        <x:v>3799.49</x:v>
      </x:c>
      <x:c r="G411" s="13" t="n">
        <x:v>57.51</x:v>
      </x:c>
      <x:c r="H411" s="13" t="n">
        <x:f>F411-G411</x:f>
        <x:v>3741.9799999999996</x:v>
      </x:c>
      <x:c r="I411" s="13" t="n">
        <x:f>IF(C411=0,"n.a.",F411/C411)</x:f>
        <x:v>345.4081818181818</x:v>
      </x:c>
      <x:c r="J411" s="3"/>
      <x:c r="K411" s="3"/>
      <x:c r="L411" s="3"/>
    </x:row>
    <x:row r="412" ht="22" customHeight="1">
      <x:c r="A412" s="3"/>
      <x:c r="B412" s="3" t="str">
        <x:v>16904</x:v>
      </x:c>
      <x:c r="C412" s="3" t="n">
        <x:v>15</x:v>
      </x:c>
      <x:c r="D412" s="51" t="n">
        <x:v>40882</x:v>
      </x:c>
      <x:c r="E412" s="3" t="str">
        <x:v>Recurrente</x:v>
      </x:c>
      <x:c r="F412" s="13" t="n">
        <x:v>3735.47</x:v>
      </x:c>
      <x:c r="G412" s="13" t="n">
        <x:v>0</x:v>
      </x:c>
      <x:c r="H412" s="13" t="n">
        <x:f>F412-G412</x:f>
        <x:v>3735.47</x:v>
      </x:c>
      <x:c r="I412" s="13" t="n">
        <x:f>IF(C412=0,"n.a.",F412/C412)</x:f>
        <x:v>249.03133333333332</x:v>
      </x:c>
      <x:c r="J412" s="3"/>
      <x:c r="K412" s="3"/>
      <x:c r="L412" s="3"/>
    </x:row>
    <x:row r="413" ht="22" customHeight="1">
      <x:c r="A413" s="3"/>
      <x:c r="B413" s="3" t="str">
        <x:v>14282</x:v>
      </x:c>
      <x:c r="C413" s="3" t="n">
        <x:v>15</x:v>
      </x:c>
      <x:c r="D413" s="51" t="n">
        <x:v>40883</x:v>
      </x:c>
      <x:c r="E413" s="3" t="str">
        <x:v>Recurrente</x:v>
      </x:c>
      <x:c r="F413" s="13" t="n">
        <x:v>3729.34</x:v>
      </x:c>
      <x:c r="G413" s="13" t="n">
        <x:v>0</x:v>
      </x:c>
      <x:c r="H413" s="13" t="n">
        <x:f>F413-G413</x:f>
        <x:v>3729.34</x:v>
      </x:c>
      <x:c r="I413" s="13" t="n">
        <x:f>IF(C413=0,"n.a.",F413/C413)</x:f>
        <x:v>248.62266666666667</x:v>
      </x:c>
      <x:c r="J413" s="3"/>
      <x:c r="K413" s="3"/>
      <x:c r="L413" s="3"/>
    </x:row>
    <x:row r="414" ht="22" customHeight="1">
      <x:c r="A414" s="3"/>
      <x:c r="B414" s="3" t="str">
        <x:v>15808</x:v>
      </x:c>
      <x:c r="C414" s="3" t="n">
        <x:v>4</x:v>
      </x:c>
      <x:c r="D414" s="51" t="n">
        <x:v>40580</x:v>
      </x:c>
      <x:c r="E414" s="3" t="str">
        <x:v>Recurrente</x:v>
      </x:c>
      <x:c r="F414" s="13" t="n">
        <x:v>3734.97</x:v>
      </x:c>
      <x:c r="G414" s="13" t="n">
        <x:v>10.2</x:v>
      </x:c>
      <x:c r="H414" s="13" t="n">
        <x:f>F414-G414</x:f>
        <x:v>3724.77</x:v>
      </x:c>
      <x:c r="I414" s="13" t="n">
        <x:f>IF(C414=0,"n.a.",F414/C414)</x:f>
        <x:v>933.7425</x:v>
      </x:c>
      <x:c r="J414" s="3"/>
      <x:c r="K414" s="3"/>
      <x:c r="L414" s="3"/>
    </x:row>
    <x:row r="415" ht="22" customHeight="1">
      <x:c r="A415" s="3"/>
      <x:c r="B415" s="3" t="str">
        <x:v>13069</x:v>
      </x:c>
      <x:c r="C415" s="3" t="n">
        <x:v>24</x:v>
      </x:c>
      <x:c r="D415" s="51" t="n">
        <x:v>40886</x:v>
      </x:c>
      <x:c r="E415" s="3" t="str">
        <x:v>Recurrente</x:v>
      </x:c>
      <x:c r="F415" s="13" t="n">
        <x:v>4436.12</x:v>
      </x:c>
      <x:c r="G415" s="13" t="n">
        <x:v>718.3</x:v>
      </x:c>
      <x:c r="H415" s="13" t="n">
        <x:f>F415-G415</x:f>
        <x:v>3717.8199999999997</x:v>
      </x:c>
      <x:c r="I415" s="13" t="n">
        <x:f>IF(C415=0,"n.a.",F415/C415)</x:f>
        <x:v>184.83833333333334</x:v>
      </x:c>
      <x:c r="J415" s="3"/>
      <x:c r="K415" s="3"/>
      <x:c r="L415" s="3"/>
    </x:row>
    <x:row r="416" ht="22" customHeight="1">
      <x:c r="A416" s="3"/>
      <x:c r="B416" s="3" t="str">
        <x:v>13266</x:v>
      </x:c>
      <x:c r="C416" s="3" t="n">
        <x:v>12</x:v>
      </x:c>
      <x:c r="D416" s="51" t="n">
        <x:v>40875</x:v>
      </x:c>
      <x:c r="E416" s="3" t="str">
        <x:v>Recurrente</x:v>
      </x:c>
      <x:c r="F416" s="13" t="n">
        <x:v>3834.26</x:v>
      </x:c>
      <x:c r="G416" s="13" t="n">
        <x:v>116.59</x:v>
      </x:c>
      <x:c r="H416" s="13" t="n">
        <x:f>F416-G416</x:f>
        <x:v>3717.67</x:v>
      </x:c>
      <x:c r="I416" s="13" t="n">
        <x:f>IF(C416=0,"n.a.",F416/C416)</x:f>
        <x:v>319.5216666666667</x:v>
      </x:c>
      <x:c r="J416" s="3"/>
      <x:c r="K416" s="3"/>
      <x:c r="L416" s="3"/>
    </x:row>
    <x:row r="417" ht="22" customHeight="1">
      <x:c r="A417" s="3"/>
      <x:c r="B417" s="3" t="str">
        <x:v>14364</x:v>
      </x:c>
      <x:c r="C417" s="3" t="n">
        <x:v>8</x:v>
      </x:c>
      <x:c r="D417" s="51" t="n">
        <x:v>40778</x:v>
      </x:c>
      <x:c r="E417" s="3" t="str">
        <x:v>Recurrente</x:v>
      </x:c>
      <x:c r="F417" s="13" t="n">
        <x:v>3717.35</x:v>
      </x:c>
      <x:c r="G417" s="13" t="n">
        <x:v>0</x:v>
      </x:c>
      <x:c r="H417" s="13" t="n">
        <x:f>F417-G417</x:f>
        <x:v>3717.35</x:v>
      </x:c>
      <x:c r="I417" s="13" t="n">
        <x:f>IF(C417=0,"n.a.",F417/C417)</x:f>
        <x:v>464.66875</x:v>
      </x:c>
      <x:c r="J417" s="3"/>
      <x:c r="K417" s="3"/>
      <x:c r="L417" s="3"/>
    </x:row>
    <x:row r="418" ht="22" customHeight="1">
      <x:c r="A418" s="3"/>
      <x:c r="B418" s="3" t="str">
        <x:v>16240</x:v>
      </x:c>
      <x:c r="C418" s="3" t="n">
        <x:v>2</x:v>
      </x:c>
      <x:c r="D418" s="51" t="n">
        <x:v>40862</x:v>
      </x:c>
      <x:c r="E418" s="3" t="str">
        <x:v>Recurrente</x:v>
      </x:c>
      <x:c r="F418" s="13" t="n">
        <x:v>3718.8</x:v>
      </x:c>
      <x:c r="G418" s="13" t="n">
        <x:v>24.99</x:v>
      </x:c>
      <x:c r="H418" s="13" t="n">
        <x:f>F418-G418</x:f>
        <x:v>3693.8100000000004</x:v>
      </x:c>
      <x:c r="I418" s="13" t="n">
        <x:f>IF(C418=0,"n.a.",F418/C418)</x:f>
        <x:v>1859.4</x:v>
      </x:c>
      <x:c r="J418" s="3"/>
      <x:c r="K418" s="3"/>
      <x:c r="L418" s="3"/>
    </x:row>
    <x:row r="419" ht="22" customHeight="1">
      <x:c r="A419" s="3"/>
      <x:c r="B419" s="3" t="str">
        <x:v>16253</x:v>
      </x:c>
      <x:c r="C419" s="3" t="n">
        <x:v>2</x:v>
      </x:c>
      <x:c r="D419" s="51" t="n">
        <x:v>40820</x:v>
      </x:c>
      <x:c r="E419" s="3" t="str">
        <x:v>Recurrente</x:v>
      </x:c>
      <x:c r="F419" s="13" t="n">
        <x:v>3683.86</x:v>
      </x:c>
      <x:c r="G419" s="13" t="n">
        <x:v>0</x:v>
      </x:c>
      <x:c r="H419" s="13" t="n">
        <x:f>F419-G419</x:f>
        <x:v>3683.86</x:v>
      </x:c>
      <x:c r="I419" s="13" t="n">
        <x:f>IF(C419=0,"n.a.",F419/C419)</x:f>
        <x:v>1841.93</x:v>
      </x:c>
      <x:c r="J419" s="3"/>
      <x:c r="K419" s="3"/>
      <x:c r="L419" s="3"/>
    </x:row>
    <x:row r="420" ht="22" customHeight="1">
      <x:c r="A420" s="3"/>
      <x:c r="B420" s="3" t="str">
        <x:v>17819</x:v>
      </x:c>
      <x:c r="C420" s="3" t="n">
        <x:v>7</x:v>
      </x:c>
      <x:c r="D420" s="51" t="n">
        <x:v>40815</x:v>
      </x:c>
      <x:c r="E420" s="3" t="str">
        <x:v>Recurrente</x:v>
      </x:c>
      <x:c r="F420" s="13" t="n">
        <x:v>3704.87</x:v>
      </x:c>
      <x:c r="G420" s="13" t="n">
        <x:v>43.8</x:v>
      </x:c>
      <x:c r="H420" s="13" t="n">
        <x:f>F420-G420</x:f>
        <x:v>3661.0699999999997</x:v>
      </x:c>
      <x:c r="I420" s="13" t="n">
        <x:f>IF(C420=0,"n.a.",F420/C420)</x:f>
        <x:v>529.2671428571429</x:v>
      </x:c>
      <x:c r="J420" s="3"/>
      <x:c r="K420" s="3"/>
      <x:c r="L420" s="3"/>
    </x:row>
    <x:row r="421" ht="22" customHeight="1">
      <x:c r="A421" s="3"/>
      <x:c r="B421" s="3" t="str">
        <x:v>13815</x:v>
      </x:c>
      <x:c r="C421" s="3" t="n">
        <x:v>4</x:v>
      </x:c>
      <x:c r="D421" s="51" t="n">
        <x:v>40864</x:v>
      </x:c>
      <x:c r="E421" s="3" t="str">
        <x:v>Recurrente</x:v>
      </x:c>
      <x:c r="F421" s="13" t="n">
        <x:v>3667.36</x:v>
      </x:c>
      <x:c r="G421" s="13" t="n">
        <x:v>12.45</x:v>
      </x:c>
      <x:c r="H421" s="13" t="n">
        <x:f>F421-G421</x:f>
        <x:v>3654.9100000000003</x:v>
      </x:c>
      <x:c r="I421" s="13" t="n">
        <x:f>IF(C421=0,"n.a.",F421/C421)</x:f>
        <x:v>916.84</x:v>
      </x:c>
      <x:c r="J421" s="3"/>
      <x:c r="K421" s="3"/>
      <x:c r="L421" s="3"/>
    </x:row>
    <x:row r="422" ht="22" customHeight="1">
      <x:c r="A422" s="3"/>
      <x:c r="B422" s="3" t="str">
        <x:v>18079</x:v>
      </x:c>
      <x:c r="C422" s="3" t="n">
        <x:v>4</x:v>
      </x:c>
      <x:c r="D422" s="51" t="n">
        <x:v>40841</x:v>
      </x:c>
      <x:c r="E422" s="3" t="str">
        <x:v>Recurrente</x:v>
      </x:c>
      <x:c r="F422" s="13" t="n">
        <x:v>3651.97</x:v>
      </x:c>
      <x:c r="G422" s="13" t="n">
        <x:v>0</x:v>
      </x:c>
      <x:c r="H422" s="13" t="n">
        <x:f>F422-G422</x:f>
        <x:v>3651.97</x:v>
      </x:c>
      <x:c r="I422" s="13" t="n">
        <x:f>IF(C422=0,"n.a.",F422/C422)</x:f>
        <x:v>912.9925</x:v>
      </x:c>
      <x:c r="J422" s="3"/>
      <x:c r="K422" s="3"/>
      <x:c r="L422" s="3"/>
    </x:row>
    <x:row r="423" ht="22" customHeight="1">
      <x:c r="A423" s="3"/>
      <x:c r="B423" s="3" t="str">
        <x:v>15845</x:v>
      </x:c>
      <x:c r="C423" s="3" t="n">
        <x:v>8</x:v>
      </x:c>
      <x:c r="D423" s="51" t="n">
        <x:v>40869</x:v>
      </x:c>
      <x:c r="E423" s="3" t="str">
        <x:v>Recurrente</x:v>
      </x:c>
      <x:c r="F423" s="13" t="n">
        <x:v>3711.77</x:v>
      </x:c>
      <x:c r="G423" s="13" t="n">
        <x:v>60.9</x:v>
      </x:c>
      <x:c r="H423" s="13" t="n">
        <x:f>F423-G423</x:f>
        <x:v>3650.87</x:v>
      </x:c>
      <x:c r="I423" s="13" t="n">
        <x:f>IF(C423=0,"n.a.",F423/C423)</x:f>
        <x:v>463.97125</x:v>
      </x:c>
      <x:c r="J423" s="3"/>
      <x:c r="K423" s="3"/>
      <x:c r="L423" s="3"/>
    </x:row>
    <x:row r="424" ht="22" customHeight="1">
      <x:c r="A424" s="3"/>
      <x:c r="B424" s="3" t="str">
        <x:v>13137</x:v>
      </x:c>
      <x:c r="C424" s="3" t="n">
        <x:v>8</x:v>
      </x:c>
      <x:c r="D424" s="51" t="n">
        <x:v>40876</x:v>
      </x:c>
      <x:c r="E424" s="3" t="str">
        <x:v>Recurrente</x:v>
      </x:c>
      <x:c r="F424" s="13" t="n">
        <x:v>3650.41</x:v>
      </x:c>
      <x:c r="G424" s="13" t="n">
        <x:v>0</x:v>
      </x:c>
      <x:c r="H424" s="13" t="n">
        <x:f>F424-G424</x:f>
        <x:v>3650.41</x:v>
      </x:c>
      <x:c r="I424" s="13" t="n">
        <x:f>IF(C424=0,"n.a.",F424/C424)</x:f>
        <x:v>456.30125</x:v>
      </x:c>
      <x:c r="J424" s="3"/>
      <x:c r="K424" s="3"/>
      <x:c r="L424" s="3"/>
    </x:row>
    <x:row r="425" ht="22" customHeight="1">
      <x:c r="A425" s="3"/>
      <x:c r="B425" s="3" t="str">
        <x:v>16440</x:v>
      </x:c>
      <x:c r="C425" s="3" t="n">
        <x:v>5</x:v>
      </x:c>
      <x:c r="D425" s="51" t="n">
        <x:v>40879</x:v>
      </x:c>
      <x:c r="E425" s="3" t="str">
        <x:v>Recurrente</x:v>
      </x:c>
      <x:c r="F425" s="13" t="n">
        <x:v>3640.67</x:v>
      </x:c>
      <x:c r="G425" s="13" t="n">
        <x:v>0</x:v>
      </x:c>
      <x:c r="H425" s="13" t="n">
        <x:f>F425-G425</x:f>
        <x:v>3640.67</x:v>
      </x:c>
      <x:c r="I425" s="13" t="n">
        <x:f>IF(C425=0,"n.a.",F425/C425)</x:f>
        <x:v>728.134</x:v>
      </x:c>
      <x:c r="J425" s="3"/>
      <x:c r="K425" s="3"/>
      <x:c r="L425" s="3"/>
    </x:row>
    <x:row r="426" ht="22" customHeight="1">
      <x:c r="A426" s="3"/>
      <x:c r="B426" s="3" t="str">
        <x:v>16712</x:v>
      </x:c>
      <x:c r="C426" s="3" t="n">
        <x:v>11</x:v>
      </x:c>
      <x:c r="D426" s="51" t="n">
        <x:v>40877</x:v>
      </x:c>
      <x:c r="E426" s="3" t="str">
        <x:v>Recurrente</x:v>
      </x:c>
      <x:c r="F426" s="13" t="n">
        <x:v>3637.78</x:v>
      </x:c>
      <x:c r="G426" s="13" t="n">
        <x:v>0</x:v>
      </x:c>
      <x:c r="H426" s="13" t="n">
        <x:f>F426-G426</x:f>
        <x:v>3637.78</x:v>
      </x:c>
      <x:c r="I426" s="13" t="n">
        <x:f>IF(C426=0,"n.a.",F426/C426)</x:f>
        <x:v>330.70727272727277</x:v>
      </x:c>
      <x:c r="J426" s="3"/>
      <x:c r="K426" s="3"/>
      <x:c r="L426" s="3"/>
    </x:row>
    <x:row r="427" ht="22" customHeight="1">
      <x:c r="A427" s="3"/>
      <x:c r="B427" s="3" t="str">
        <x:v>15379</x:v>
      </x:c>
      <x:c r="C427" s="3" t="n">
        <x:v>7</x:v>
      </x:c>
      <x:c r="D427" s="51" t="n">
        <x:v>40717</x:v>
      </x:c>
      <x:c r="E427" s="3" t="str">
        <x:v>Recurrente</x:v>
      </x:c>
      <x:c r="F427" s="13" t="n">
        <x:v>3703.29</x:v>
      </x:c>
      <x:c r="G427" s="13" t="n">
        <x:v>71.4</x:v>
      </x:c>
      <x:c r="H427" s="13" t="n">
        <x:f>F427-G427</x:f>
        <x:v>3631.89</x:v>
      </x:c>
      <x:c r="I427" s="13" t="n">
        <x:f>IF(C427=0,"n.a.",F427/C427)</x:f>
        <x:v>529.0414285714286</x:v>
      </x:c>
      <x:c r="J427" s="3"/>
      <x:c r="K427" s="3"/>
      <x:c r="L427" s="3"/>
    </x:row>
    <x:row r="428" ht="22" customHeight="1">
      <x:c r="A428" s="3"/>
      <x:c r="B428" s="3" t="str">
        <x:v>13381</x:v>
      </x:c>
      <x:c r="C428" s="3" t="n">
        <x:v>6</x:v>
      </x:c>
      <x:c r="D428" s="51" t="n">
        <x:v>40855</x:v>
      </x:c>
      <x:c r="E428" s="3" t="str">
        <x:v>Recurrente</x:v>
      </x:c>
      <x:c r="F428" s="13" t="n">
        <x:v>3639.31</x:v>
      </x:c>
      <x:c r="G428" s="13" t="n">
        <x:v>12.5</x:v>
      </x:c>
      <x:c r="H428" s="13" t="n">
        <x:f>F428-G428</x:f>
        <x:v>3626.81</x:v>
      </x:c>
      <x:c r="I428" s="13" t="n">
        <x:f>IF(C428=0,"n.a.",F428/C428)</x:f>
        <x:v>606.5516666666666</x:v>
      </x:c>
      <x:c r="J428" s="3"/>
      <x:c r="K428" s="3"/>
      <x:c r="L428" s="3"/>
    </x:row>
    <x:row r="429" ht="22" customHeight="1">
      <x:c r="A429" s="3"/>
      <x:c r="B429" s="3" t="str">
        <x:v>16570</x:v>
      </x:c>
      <x:c r="C429" s="3" t="n">
        <x:v>10</x:v>
      </x:c>
      <x:c r="D429" s="51" t="n">
        <x:v>40871</x:v>
      </x:c>
      <x:c r="E429" s="3" t="str">
        <x:v>Recurrente</x:v>
      </x:c>
      <x:c r="F429" s="13" t="n">
        <x:v>3738.4</x:v>
      </x:c>
      <x:c r="G429" s="13" t="n">
        <x:v>115.45</x:v>
      </x:c>
      <x:c r="H429" s="13" t="n">
        <x:f>F429-G429</x:f>
        <x:v>3622.9500000000003</x:v>
      </x:c>
      <x:c r="I429" s="13" t="n">
        <x:f>IF(C429=0,"n.a.",F429/C429)</x:f>
        <x:v>373.84000000000003</x:v>
      </x:c>
      <x:c r="J429" s="3"/>
      <x:c r="K429" s="3"/>
      <x:c r="L429" s="3"/>
    </x:row>
    <x:row r="430" ht="22" customHeight="1">
      <x:c r="A430" s="3"/>
      <x:c r="B430" s="3" t="str">
        <x:v>13327</x:v>
      </x:c>
      <x:c r="C430" s="3" t="n">
        <x:v>8</x:v>
      </x:c>
      <x:c r="D430" s="51" t="n">
        <x:v>40848</x:v>
      </x:c>
      <x:c r="E430" s="3" t="str">
        <x:v>Recurrente</x:v>
      </x:c>
      <x:c r="F430" s="13" t="n">
        <x:v>3627.77</x:v>
      </x:c>
      <x:c r="G430" s="13" t="n">
        <x:v>10.2</x:v>
      </x:c>
      <x:c r="H430" s="13" t="n">
        <x:f>F430-G430</x:f>
        <x:v>3617.57</x:v>
      </x:c>
      <x:c r="I430" s="13" t="n">
        <x:f>IF(C430=0,"n.a.",F430/C430)</x:f>
        <x:v>453.47125</x:v>
      </x:c>
      <x:c r="J430" s="3"/>
      <x:c r="K430" s="3"/>
      <x:c r="L430" s="3"/>
    </x:row>
    <x:row r="431" ht="22" customHeight="1">
      <x:c r="A431" s="3"/>
      <x:c r="B431" s="3" t="str">
        <x:v>15296</x:v>
      </x:c>
      <x:c r="C431" s="3" t="n">
        <x:v>6</x:v>
      </x:c>
      <x:c r="D431" s="51" t="n">
        <x:v>40836</x:v>
      </x:c>
      <x:c r="E431" s="3" t="str">
        <x:v>Recurrente</x:v>
      </x:c>
      <x:c r="F431" s="13" t="n">
        <x:v>3672.86</x:v>
      </x:c>
      <x:c r="G431" s="13" t="n">
        <x:v>62.55</x:v>
      </x:c>
      <x:c r="H431" s="13" t="n">
        <x:f>F431-G431</x:f>
        <x:v>3610.31</x:v>
      </x:c>
      <x:c r="I431" s="13" t="n">
        <x:f>IF(C431=0,"n.a.",F431/C431)</x:f>
        <x:v>612.1433333333333</x:v>
      </x:c>
      <x:c r="J431" s="3"/>
      <x:c r="K431" s="3"/>
      <x:c r="L431" s="3"/>
    </x:row>
    <x:row r="432" ht="22" customHeight="1">
      <x:c r="A432" s="3"/>
      <x:c r="B432" s="3" t="str">
        <x:v>16242</x:v>
      </x:c>
      <x:c r="C432" s="3" t="n">
        <x:v>7</x:v>
      </x:c>
      <x:c r="D432" s="51" t="n">
        <x:v>40878</x:v>
      </x:c>
      <x:c r="E432" s="3" t="str">
        <x:v>Recurrente</x:v>
      </x:c>
      <x:c r="F432" s="13" t="n">
        <x:v>3603.21</x:v>
      </x:c>
      <x:c r="G432" s="13" t="n">
        <x:v>4.95</x:v>
      </x:c>
      <x:c r="H432" s="13" t="n">
        <x:f>F432-G432</x:f>
        <x:v>3598.26</x:v>
      </x:c>
      <x:c r="I432" s="13" t="n">
        <x:f>IF(C432=0,"n.a.",F432/C432)</x:f>
        <x:v>514.7442857142858</x:v>
      </x:c>
      <x:c r="J432" s="3"/>
      <x:c r="K432" s="3"/>
      <x:c r="L432" s="3"/>
    </x:row>
    <x:row r="433" ht="22" customHeight="1">
      <x:c r="A433" s="3"/>
      <x:c r="B433" s="3" t="str">
        <x:v>12449</x:v>
      </x:c>
      <x:c r="C433" s="3" t="n">
        <x:v>4</x:v>
      </x:c>
      <x:c r="D433" s="51" t="n">
        <x:v>40864</x:v>
      </x:c>
      <x:c r="E433" s="3" t="str">
        <x:v>Recurrente</x:v>
      </x:c>
      <x:c r="F433" s="13" t="n">
        <x:v>3596.29</x:v>
      </x:c>
      <x:c r="G433" s="13" t="n">
        <x:v>0</x:v>
      </x:c>
      <x:c r="H433" s="13" t="n">
        <x:f>F433-G433</x:f>
        <x:v>3596.29</x:v>
      </x:c>
      <x:c r="I433" s="13" t="n">
        <x:f>IF(C433=0,"n.a.",F433/C433)</x:f>
        <x:v>899.0725</x:v>
      </x:c>
      <x:c r="J433" s="3"/>
      <x:c r="K433" s="3"/>
      <x:c r="L433" s="3"/>
    </x:row>
    <x:row r="434" ht="22" customHeight="1">
      <x:c r="A434" s="3"/>
      <x:c r="B434" s="3" t="str">
        <x:v>13082</x:v>
      </x:c>
      <x:c r="C434" s="3" t="n">
        <x:v>9</x:v>
      </x:c>
      <x:c r="D434" s="51" t="n">
        <x:v>40760</x:v>
      </x:c>
      <x:c r="E434" s="3" t="str">
        <x:v>Recurrente</x:v>
      </x:c>
      <x:c r="F434" s="13" t="n">
        <x:v>3613.63</x:v>
      </x:c>
      <x:c r="G434" s="13" t="n">
        <x:v>18.15</x:v>
      </x:c>
      <x:c r="H434" s="13" t="n">
        <x:f>F434-G434</x:f>
        <x:v>3595.48</x:v>
      </x:c>
      <x:c r="I434" s="13" t="n">
        <x:f>IF(C434=0,"n.a.",F434/C434)</x:f>
        <x:v>401.51444444444445</x:v>
      </x:c>
      <x:c r="J434" s="3"/>
      <x:c r="K434" s="3"/>
      <x:c r="L434" s="3"/>
    </x:row>
    <x:row r="435" ht="22" customHeight="1">
      <x:c r="A435" s="3"/>
      <x:c r="B435" s="3" t="str">
        <x:v>14132</x:v>
      </x:c>
      <x:c r="C435" s="3" t="n">
        <x:v>11</x:v>
      </x:c>
      <x:c r="D435" s="51" t="n">
        <x:v>40884</x:v>
      </x:c>
      <x:c r="E435" s="3" t="str">
        <x:v>Recurrente</x:v>
      </x:c>
      <x:c r="F435" s="13" t="n">
        <x:v>3586.03</x:v>
      </x:c>
      <x:c r="G435" s="13" t="n">
        <x:v>5.9</x:v>
      </x:c>
      <x:c r="H435" s="13" t="n">
        <x:f>F435-G435</x:f>
        <x:v>3580.13</x:v>
      </x:c>
      <x:c r="I435" s="13" t="n">
        <x:f>IF(C435=0,"n.a.",F435/C435)</x:f>
        <x:v>326.00272727272727</x:v>
      </x:c>
      <x:c r="J435" s="3"/>
      <x:c r="K435" s="3"/>
      <x:c r="L435" s="3"/>
    </x:row>
    <x:row r="436" ht="22" customHeight="1">
      <x:c r="A436" s="3"/>
      <x:c r="B436" s="3" t="str">
        <x:v>17203</x:v>
      </x:c>
      <x:c r="C436" s="3" t="n">
        <x:v>6</x:v>
      </x:c>
      <x:c r="D436" s="51" t="n">
        <x:v>40851</x:v>
      </x:c>
      <x:c r="E436" s="3" t="str">
        <x:v>Recurrente</x:v>
      </x:c>
      <x:c r="F436" s="13" t="n">
        <x:v>3563.85</x:v>
      </x:c>
      <x:c r="G436" s="13" t="n">
        <x:v>0</x:v>
      </x:c>
      <x:c r="H436" s="13" t="n">
        <x:f>F436-G436</x:f>
        <x:v>3563.85</x:v>
      </x:c>
      <x:c r="I436" s="13" t="n">
        <x:f>IF(C436=0,"n.a.",F436/C436)</x:f>
        <x:v>593.975</x:v>
      </x:c>
      <x:c r="J436" s="3"/>
      <x:c r="K436" s="3"/>
      <x:c r="L436" s="3"/>
    </x:row>
    <x:row r="437" ht="22" customHeight="1">
      <x:c r="A437" s="3"/>
      <x:c r="B437" s="3" t="str">
        <x:v>15484</x:v>
      </x:c>
      <x:c r="C437" s="3" t="n">
        <x:v>4</x:v>
      </x:c>
      <x:c r="D437" s="51" t="n">
        <x:v>40885</x:v>
      </x:c>
      <x:c r="E437" s="3" t="str">
        <x:v>Recurrente</x:v>
      </x:c>
      <x:c r="F437" s="13" t="n">
        <x:v>3594.31</x:v>
      </x:c>
      <x:c r="G437" s="13" t="n">
        <x:v>31.2</x:v>
      </x:c>
      <x:c r="H437" s="13" t="n">
        <x:f>F437-G437</x:f>
        <x:v>3563.11</x:v>
      </x:c>
      <x:c r="I437" s="13" t="n">
        <x:f>IF(C437=0,"n.a.",F437/C437)</x:f>
        <x:v>898.5775</x:v>
      </x:c>
      <x:c r="J437" s="3"/>
      <x:c r="K437" s="3"/>
      <x:c r="L437" s="3"/>
    </x:row>
    <x:row r="438" ht="22" customHeight="1">
      <x:c r="A438" s="3"/>
      <x:c r="B438" s="3" t="str">
        <x:v>13426</x:v>
      </x:c>
      <x:c r="C438" s="3" t="n">
        <x:v>10</x:v>
      </x:c>
      <x:c r="D438" s="51" t="n">
        <x:v>40886</x:v>
      </x:c>
      <x:c r="E438" s="3" t="str">
        <x:v>Recurrente</x:v>
      </x:c>
      <x:c r="F438" s="13" t="n">
        <x:v>3641.32</x:v>
      </x:c>
      <x:c r="G438" s="13" t="n">
        <x:v>83</x:v>
      </x:c>
      <x:c r="H438" s="13" t="n">
        <x:f>F438-G438</x:f>
        <x:v>3558.32</x:v>
      </x:c>
      <x:c r="I438" s="13" t="n">
        <x:f>IF(C438=0,"n.a.",F438/C438)</x:f>
        <x:v>364.132</x:v>
      </x:c>
      <x:c r="J438" s="3"/>
      <x:c r="K438" s="3"/>
      <x:c r="L438" s="3"/>
    </x:row>
    <x:row r="439" ht="22" customHeight="1">
      <x:c r="A439" s="3"/>
      <x:c r="B439" s="3" t="str">
        <x:v>12656</x:v>
      </x:c>
      <x:c r="C439" s="3" t="n">
        <x:v>5</x:v>
      </x:c>
      <x:c r="D439" s="51" t="n">
        <x:v>40869</x:v>
      </x:c>
      <x:c r="E439" s="3" t="str">
        <x:v>Recurrente</x:v>
      </x:c>
      <x:c r="F439" s="13" t="n">
        <x:v>3619.17</x:v>
      </x:c>
      <x:c r="G439" s="13" t="n">
        <x:v>68.45</x:v>
      </x:c>
      <x:c r="H439" s="13" t="n">
        <x:f>F439-G439</x:f>
        <x:v>3550.7200000000003</x:v>
      </x:c>
      <x:c r="I439" s="13" t="n">
        <x:f>IF(C439=0,"n.a.",F439/C439)</x:f>
        <x:v>723.8340000000001</x:v>
      </x:c>
      <x:c r="J439" s="3"/>
      <x:c r="K439" s="3"/>
      <x:c r="L439" s="3"/>
    </x:row>
    <x:row r="440" ht="22" customHeight="1">
      <x:c r="A440" s="3"/>
      <x:c r="B440" s="3" t="str">
        <x:v>14040</x:v>
      </x:c>
      <x:c r="C440" s="3" t="n">
        <x:v>12</x:v>
      </x:c>
      <x:c r="D440" s="51" t="n">
        <x:v>40846</x:v>
      </x:c>
      <x:c r="E440" s="3" t="str">
        <x:v>Recurrente</x:v>
      </x:c>
      <x:c r="F440" s="13" t="n">
        <x:v>3614.92</x:v>
      </x:c>
      <x:c r="G440" s="13" t="n">
        <x:v>68.68</x:v>
      </x:c>
      <x:c r="H440" s="13" t="n">
        <x:f>F440-G440</x:f>
        <x:v>3546.2400000000002</x:v>
      </x:c>
      <x:c r="I440" s="13" t="n">
        <x:f>IF(C440=0,"n.a.",F440/C440)</x:f>
        <x:v>301.24333333333334</x:v>
      </x:c>
      <x:c r="J440" s="3"/>
      <x:c r="K440" s="3"/>
      <x:c r="L440" s="3"/>
    </x:row>
    <x:row r="441" ht="22" customHeight="1">
      <x:c r="A441" s="3"/>
      <x:c r="B441" s="3" t="str">
        <x:v>14503</x:v>
      </x:c>
      <x:c r="C441" s="3" t="n">
        <x:v>6</x:v>
      </x:c>
      <x:c r="D441" s="51" t="n">
        <x:v>40883</x:v>
      </x:c>
      <x:c r="E441" s="3" t="str">
        <x:v>Recurrente</x:v>
      </x:c>
      <x:c r="F441" s="13" t="n">
        <x:v>3543.26</x:v>
      </x:c>
      <x:c r="G441" s="13" t="n">
        <x:v>0</x:v>
      </x:c>
      <x:c r="H441" s="13" t="n">
        <x:f>F441-G441</x:f>
        <x:v>3543.26</x:v>
      </x:c>
      <x:c r="I441" s="13" t="n">
        <x:f>IF(C441=0,"n.a.",F441/C441)</x:f>
        <x:v>590.5433333333334</x:v>
      </x:c>
      <x:c r="J441" s="3"/>
      <x:c r="K441" s="3"/>
      <x:c r="L441" s="3"/>
    </x:row>
    <x:row r="442" ht="22" customHeight="1">
      <x:c r="A442" s="3"/>
      <x:c r="B442" s="3" t="str">
        <x:v>15544</x:v>
      </x:c>
      <x:c r="C442" s="3" t="n">
        <x:v>9</x:v>
      </x:c>
      <x:c r="D442" s="51" t="n">
        <x:v>40877</x:v>
      </x:c>
      <x:c r="E442" s="3" t="str">
        <x:v>Recurrente</x:v>
      </x:c>
      <x:c r="F442" s="13" t="n">
        <x:v>3546.71</x:v>
      </x:c>
      <x:c r="G442" s="13" t="n">
        <x:v>4.2</x:v>
      </x:c>
      <x:c r="H442" s="13" t="n">
        <x:f>F442-G442</x:f>
        <x:v>3542.51</x:v>
      </x:c>
      <x:c r="I442" s="13" t="n">
        <x:f>IF(C442=0,"n.a.",F442/C442)</x:f>
        <x:v>394.0788888888889</x:v>
      </x:c>
      <x:c r="J442" s="3"/>
      <x:c r="K442" s="3"/>
      <x:c r="L442" s="3"/>
    </x:row>
    <x:row r="443" ht="22" customHeight="1">
      <x:c r="A443" s="3"/>
      <x:c r="B443" s="3" t="str">
        <x:v>17491</x:v>
      </x:c>
      <x:c r="C443" s="3" t="n">
        <x:v>10</x:v>
      </x:c>
      <x:c r="D443" s="51" t="n">
        <x:v>40885</x:v>
      </x:c>
      <x:c r="E443" s="3" t="str">
        <x:v>Recurrente</x:v>
      </x:c>
      <x:c r="F443" s="13" t="n">
        <x:v>3558.87</x:v>
      </x:c>
      <x:c r="G443" s="13" t="n">
        <x:v>16.95</x:v>
      </x:c>
      <x:c r="H443" s="13" t="n">
        <x:f>F443-G443</x:f>
        <x:v>3541.92</x:v>
      </x:c>
      <x:c r="I443" s="13" t="n">
        <x:f>IF(C443=0,"n.a.",F443/C443)</x:f>
        <x:v>355.887</x:v>
      </x:c>
      <x:c r="J443" s="3"/>
      <x:c r="K443" s="3"/>
      <x:c r="L443" s="3"/>
    </x:row>
    <x:row r="444" ht="22" customHeight="1">
      <x:c r="A444" s="3"/>
      <x:c r="B444" s="3" t="str">
        <x:v>17528</x:v>
      </x:c>
      <x:c r="C444" s="3" t="n">
        <x:v>8</x:v>
      </x:c>
      <x:c r="D444" s="51" t="n">
        <x:v>40885</x:v>
      </x:c>
      <x:c r="E444" s="3" t="str">
        <x:v>Recurrente</x:v>
      </x:c>
      <x:c r="F444" s="13" t="n">
        <x:v>3628.5</x:v>
      </x:c>
      <x:c r="G444" s="13" t="n">
        <x:v>88.4</x:v>
      </x:c>
      <x:c r="H444" s="13" t="n">
        <x:f>F444-G444</x:f>
        <x:v>3540.1</x:v>
      </x:c>
      <x:c r="I444" s="13" t="n">
        <x:f>IF(C444=0,"n.a.",F444/C444)</x:f>
        <x:v>453.5625</x:v>
      </x:c>
      <x:c r="J444" s="3"/>
      <x:c r="K444" s="3"/>
      <x:c r="L444" s="3"/>
    </x:row>
    <x:row r="445" ht="22" customHeight="1">
      <x:c r="A445" s="3"/>
      <x:c r="B445" s="3" t="str">
        <x:v>13552</x:v>
      </x:c>
      <x:c r="C445" s="3" t="n">
        <x:v>12</x:v>
      </x:c>
      <x:c r="D445" s="51" t="n">
        <x:v>40820</x:v>
      </x:c>
      <x:c r="E445" s="3" t="str">
        <x:v>Recurrente</x:v>
      </x:c>
      <x:c r="F445" s="13" t="n">
        <x:v>3740.07</x:v>
      </x:c>
      <x:c r="G445" s="13" t="n">
        <x:v>200.54</x:v>
      </x:c>
      <x:c r="H445" s="13" t="n">
        <x:f>F445-G445</x:f>
        <x:v>3539.53</x:v>
      </x:c>
      <x:c r="I445" s="13" t="n">
        <x:f>IF(C445=0,"n.a.",F445/C445)</x:f>
        <x:v>311.6725</x:v>
      </x:c>
      <x:c r="J445" s="3"/>
      <x:c r="K445" s="3"/>
      <x:c r="L445" s="3"/>
    </x:row>
    <x:row r="446" ht="22" customHeight="1">
      <x:c r="A446" s="3"/>
      <x:c r="B446" s="3" t="str">
        <x:v>13334</x:v>
      </x:c>
      <x:c r="C446" s="3" t="n">
        <x:v>3</x:v>
      </x:c>
      <x:c r="D446" s="51" t="n">
        <x:v>40804</x:v>
      </x:c>
      <x:c r="E446" s="3" t="str">
        <x:v>Recurrente</x:v>
      </x:c>
      <x:c r="F446" s="13" t="n">
        <x:v>3536.82</x:v>
      </x:c>
      <x:c r="G446" s="13" t="n">
        <x:v>0</x:v>
      </x:c>
      <x:c r="H446" s="13" t="n">
        <x:f>F446-G446</x:f>
        <x:v>3536.82</x:v>
      </x:c>
      <x:c r="I446" s="13" t="n">
        <x:f>IF(C446=0,"n.a.",F446/C446)</x:f>
        <x:v>1178.94</x:v>
      </x:c>
      <x:c r="J446" s="3"/>
      <x:c r="K446" s="3"/>
      <x:c r="L446" s="3"/>
    </x:row>
    <x:row r="447" ht="22" customHeight="1">
      <x:c r="A447" s="3"/>
      <x:c r="B447" s="3" t="str">
        <x:v>13505</x:v>
      </x:c>
      <x:c r="C447" s="3" t="n">
        <x:v>4</x:v>
      </x:c>
      <x:c r="D447" s="51" t="n">
        <x:v>40814</x:v>
      </x:c>
      <x:c r="E447" s="3" t="str">
        <x:v>Recurrente</x:v>
      </x:c>
      <x:c r="F447" s="13" t="n">
        <x:v>3633.63</x:v>
      </x:c>
      <x:c r="G447" s="13" t="n">
        <x:v>110.75</x:v>
      </x:c>
      <x:c r="H447" s="13" t="n">
        <x:f>F447-G447</x:f>
        <x:v>3522.88</x:v>
      </x:c>
      <x:c r="I447" s="13" t="n">
        <x:f>IF(C447=0,"n.a.",F447/C447)</x:f>
        <x:v>908.4075</x:v>
      </x:c>
      <x:c r="J447" s="3"/>
      <x:c r="K447" s="3"/>
      <x:c r="L447" s="3"/>
    </x:row>
    <x:row r="448" ht="22" customHeight="1">
      <x:c r="A448" s="3"/>
      <x:c r="B448" s="3" t="str">
        <x:v>17160</x:v>
      </x:c>
      <x:c r="C448" s="3" t="n">
        <x:v>6</x:v>
      </x:c>
      <x:c r="D448" s="51" t="n">
        <x:v>40855</x:v>
      </x:c>
      <x:c r="E448" s="3" t="str">
        <x:v>Recurrente</x:v>
      </x:c>
      <x:c r="F448" s="13" t="n">
        <x:v>3518.03</x:v>
      </x:c>
      <x:c r="G448" s="13" t="n">
        <x:v>0</x:v>
      </x:c>
      <x:c r="H448" s="13" t="n">
        <x:f>F448-G448</x:f>
        <x:v>3518.03</x:v>
      </x:c>
      <x:c r="I448" s="13" t="n">
        <x:f>IF(C448=0,"n.a.",F448/C448)</x:f>
        <x:v>586.3383333333334</x:v>
      </x:c>
      <x:c r="J448" s="3"/>
      <x:c r="K448" s="3"/>
      <x:c r="L448" s="3"/>
    </x:row>
    <x:row r="449" ht="22" customHeight="1">
      <x:c r="A449" s="3"/>
      <x:c r="B449" s="3" t="str">
        <x:v>13953</x:v>
      </x:c>
      <x:c r="C449" s="3" t="n">
        <x:v>7</x:v>
      </x:c>
      <x:c r="D449" s="51" t="n">
        <x:v>40879</x:v>
      </x:c>
      <x:c r="E449" s="3" t="str">
        <x:v>Recurrente</x:v>
      </x:c>
      <x:c r="F449" s="13" t="n">
        <x:v>3515.68</x:v>
      </x:c>
      <x:c r="G449" s="13" t="n">
        <x:v>0</x:v>
      </x:c>
      <x:c r="H449" s="13" t="n">
        <x:f>F449-G449</x:f>
        <x:v>3515.68</x:v>
      </x:c>
      <x:c r="I449" s="13" t="n">
        <x:f>IF(C449=0,"n.a.",F449/C449)</x:f>
        <x:v>502.23999999999995</x:v>
      </x:c>
      <x:c r="J449" s="3"/>
      <x:c r="K449" s="3"/>
      <x:c r="L449" s="3"/>
    </x:row>
    <x:row r="450" ht="22" customHeight="1">
      <x:c r="A450" s="3"/>
      <x:c r="B450" s="3" t="str">
        <x:v>12662</x:v>
      </x:c>
      <x:c r="C450" s="3" t="n">
        <x:v>11</x:v>
      </x:c>
      <x:c r="D450" s="51" t="n">
        <x:v>40886</x:v>
      </x:c>
      <x:c r="E450" s="3" t="str">
        <x:v>Recurrente</x:v>
      </x:c>
      <x:c r="F450" s="13" t="n">
        <x:v>3543.78</x:v>
      </x:c>
      <x:c r="G450" s="13" t="n">
        <x:v>32.7</x:v>
      </x:c>
      <x:c r="H450" s="13" t="n">
        <x:f>F450-G450</x:f>
        <x:v>3511.0800000000004</x:v>
      </x:c>
      <x:c r="I450" s="13" t="n">
        <x:f>IF(C450=0,"n.a.",F450/C450)</x:f>
        <x:v>322.1618181818182</x:v>
      </x:c>
      <x:c r="J450" s="3"/>
      <x:c r="K450" s="3"/>
      <x:c r="L450" s="3"/>
    </x:row>
    <x:row r="451" ht="22" customHeight="1">
      <x:c r="A451" s="3"/>
      <x:c r="B451" s="3" t="str">
        <x:v>16131</x:v>
      </x:c>
      <x:c r="C451" s="3" t="n">
        <x:v>6</x:v>
      </x:c>
      <x:c r="D451" s="51" t="n">
        <x:v>40835</x:v>
      </x:c>
      <x:c r="E451" s="3" t="str">
        <x:v>Recurrente</x:v>
      </x:c>
      <x:c r="F451" s="13" t="n">
        <x:v>3506.54</x:v>
      </x:c>
      <x:c r="G451" s="13" t="n">
        <x:v>0</x:v>
      </x:c>
      <x:c r="H451" s="13" t="n">
        <x:f>F451-G451</x:f>
        <x:v>3506.54</x:v>
      </x:c>
      <x:c r="I451" s="13" t="n">
        <x:f>IF(C451=0,"n.a.",F451/C451)</x:f>
        <x:v>584.4233333333333</x:v>
      </x:c>
      <x:c r="J451" s="3"/>
      <x:c r="K451" s="3"/>
      <x:c r="L451" s="3"/>
    </x:row>
    <x:row r="452" ht="22" customHeight="1">
      <x:c r="A452" s="3"/>
      <x:c r="B452" s="3" t="str">
        <x:v>15505</x:v>
      </x:c>
      <x:c r="C452" s="3" t="n">
        <x:v>5</x:v>
      </x:c>
      <x:c r="D452" s="51" t="n">
        <x:v>40834</x:v>
      </x:c>
      <x:c r="E452" s="3" t="str">
        <x:v>Recurrente</x:v>
      </x:c>
      <x:c r="F452" s="13" t="n">
        <x:v>3610.96</x:v>
      </x:c>
      <x:c r="G452" s="13" t="n">
        <x:v>113.82</x:v>
      </x:c>
      <x:c r="H452" s="13" t="n">
        <x:f>F452-G452</x:f>
        <x:v>3497.14</x:v>
      </x:c>
      <x:c r="I452" s="13" t="n">
        <x:f>IF(C452=0,"n.a.",F452/C452)</x:f>
        <x:v>722.192</x:v>
      </x:c>
      <x:c r="J452" s="3"/>
      <x:c r="K452" s="3"/>
      <x:c r="L452" s="3"/>
    </x:row>
    <x:row r="453" ht="22" customHeight="1">
      <x:c r="A453" s="3"/>
      <x:c r="B453" s="3" t="str">
        <x:v>16458</x:v>
      </x:c>
      <x:c r="C453" s="3" t="n">
        <x:v>18</x:v>
      </x:c>
      <x:c r="D453" s="51" t="n">
        <x:v>40884</x:v>
      </x:c>
      <x:c r="E453" s="3" t="str">
        <x:v>Recurrente</x:v>
      </x:c>
      <x:c r="F453" s="13" t="n">
        <x:v>3482.74</x:v>
      </x:c>
      <x:c r="G453" s="13" t="n">
        <x:v>0</x:v>
      </x:c>
      <x:c r="H453" s="13" t="n">
        <x:f>F453-G453</x:f>
        <x:v>3482.74</x:v>
      </x:c>
      <x:c r="I453" s="13" t="n">
        <x:f>IF(C453=0,"n.a.",F453/C453)</x:f>
        <x:v>193.48555555555555</x:v>
      </x:c>
      <x:c r="J453" s="3"/>
      <x:c r="K453" s="3"/>
      <x:c r="L453" s="3"/>
    </x:row>
    <x:row r="454" ht="22" customHeight="1">
      <x:c r="A454" s="3"/>
      <x:c r="B454" s="3" t="str">
        <x:v>14907</x:v>
      </x:c>
      <x:c r="C454" s="3" t="n">
        <x:v>7</x:v>
      </x:c>
      <x:c r="D454" s="51" t="n">
        <x:v>40883</x:v>
      </x:c>
      <x:c r="E454" s="3" t="str">
        <x:v>Recurrente</x:v>
      </x:c>
      <x:c r="F454" s="13" t="n">
        <x:v>3501.1</x:v>
      </x:c>
      <x:c r="G454" s="13" t="n">
        <x:v>22.25</x:v>
      </x:c>
      <x:c r="H454" s="13" t="n">
        <x:f>F454-G454</x:f>
        <x:v>3478.85</x:v>
      </x:c>
      <x:c r="I454" s="13" t="n">
        <x:f>IF(C454=0,"n.a.",F454/C454)</x:f>
        <x:v>500.15714285714284</x:v>
      </x:c>
      <x:c r="J454" s="3"/>
      <x:c r="K454" s="3"/>
      <x:c r="L454" s="3"/>
    </x:row>
    <x:row r="455" ht="22" customHeight="1">
      <x:c r="A455" s="3"/>
      <x:c r="B455" s="3" t="str">
        <x:v>14395</x:v>
      </x:c>
      <x:c r="C455" s="3" t="n">
        <x:v>9</x:v>
      </x:c>
      <x:c r="D455" s="51" t="n">
        <x:v>40884</x:v>
      </x:c>
      <x:c r="E455" s="3" t="str">
        <x:v>Recurrente</x:v>
      </x:c>
      <x:c r="F455" s="13" t="n">
        <x:v>3507.71</x:v>
      </x:c>
      <x:c r="G455" s="13" t="n">
        <x:v>35.8</x:v>
      </x:c>
      <x:c r="H455" s="13" t="n">
        <x:f>F455-G455</x:f>
        <x:v>3471.91</x:v>
      </x:c>
      <x:c r="I455" s="13" t="n">
        <x:f>IF(C455=0,"n.a.",F455/C455)</x:f>
        <x:v>389.74555555555554</x:v>
      </x:c>
      <x:c r="J455" s="3"/>
      <x:c r="K455" s="3"/>
      <x:c r="L455" s="3"/>
    </x:row>
    <x:row r="456" ht="22" customHeight="1">
      <x:c r="A456" s="3"/>
      <x:c r="B456" s="3" t="str">
        <x:v>17230</x:v>
      </x:c>
      <x:c r="C456" s="3" t="n">
        <x:v>8</x:v>
      </x:c>
      <x:c r="D456" s="51" t="n">
        <x:v>40622</x:v>
      </x:c>
      <x:c r="E456" s="3" t="str">
        <x:v>Recurrente</x:v>
      </x:c>
      <x:c r="F456" s="13" t="n">
        <x:v>3638.41</x:v>
      </x:c>
      <x:c r="G456" s="13" t="n">
        <x:v>171.74</x:v>
      </x:c>
      <x:c r="H456" s="13" t="n">
        <x:f>F456-G456</x:f>
        <x:v>3466.67</x:v>
      </x:c>
      <x:c r="I456" s="13" t="n">
        <x:f>IF(C456=0,"n.a.",F456/C456)</x:f>
        <x:v>454.80125</x:v>
      </x:c>
      <x:c r="J456" s="3"/>
      <x:c r="K456" s="3"/>
      <x:c r="L456" s="3"/>
    </x:row>
    <x:row r="457" ht="22" customHeight="1">
      <x:c r="A457" s="3"/>
      <x:c r="B457" s="3" t="str">
        <x:v>13448</x:v>
      </x:c>
      <x:c r="C457" s="3" t="n">
        <x:v>6</x:v>
      </x:c>
      <x:c r="D457" s="51" t="n">
        <x:v>40870</x:v>
      </x:c>
      <x:c r="E457" s="3" t="str">
        <x:v>Recurrente</x:v>
      </x:c>
      <x:c r="F457" s="13" t="n">
        <x:v>3539.37</x:v>
      </x:c>
      <x:c r="G457" s="13" t="n">
        <x:v>73.7</x:v>
      </x:c>
      <x:c r="H457" s="13" t="n">
        <x:f>F457-G457</x:f>
        <x:v>3465.67</x:v>
      </x:c>
      <x:c r="I457" s="13" t="n">
        <x:f>IF(C457=0,"n.a.",F457/C457)</x:f>
        <x:v>589.895</x:v>
      </x:c>
      <x:c r="J457" s="3"/>
      <x:c r="K457" s="3"/>
      <x:c r="L457" s="3"/>
    </x:row>
    <x:row r="458" ht="22" customHeight="1">
      <x:c r="A458" s="3"/>
      <x:c r="B458" s="3" t="str">
        <x:v>17576</x:v>
      </x:c>
      <x:c r="C458" s="3" t="n">
        <x:v>19</x:v>
      </x:c>
      <x:c r="D458" s="51" t="n">
        <x:v>40878</x:v>
      </x:c>
      <x:c r="E458" s="3" t="str">
        <x:v>Recurrente</x:v>
      </x:c>
      <x:c r="F458" s="13" t="n">
        <x:v>3622.68</x:v>
      </x:c>
      <x:c r="G458" s="13" t="n">
        <x:v>164.9</x:v>
      </x:c>
      <x:c r="H458" s="13" t="n">
        <x:f>F458-G458</x:f>
        <x:v>3457.7799999999997</x:v>
      </x:c>
      <x:c r="I458" s="13" t="n">
        <x:f>IF(C458=0,"n.a.",F458/C458)</x:f>
        <x:v>190.66736842105263</x:v>
      </x:c>
      <x:c r="J458" s="3"/>
      <x:c r="K458" s="3"/>
      <x:c r="L458" s="3"/>
    </x:row>
    <x:row r="459" ht="22" customHeight="1">
      <x:c r="A459" s="3"/>
      <x:c r="B459" s="3" t="str">
        <x:v>17758</x:v>
      </x:c>
      <x:c r="C459" s="3" t="n">
        <x:v>8</x:v>
      </x:c>
      <x:c r="D459" s="51" t="n">
        <x:v>40867</x:v>
      </x:c>
      <x:c r="E459" s="3" t="str">
        <x:v>Recurrente</x:v>
      </x:c>
      <x:c r="F459" s="13" t="n">
        <x:v>3456.7</x:v>
      </x:c>
      <x:c r="G459" s="13" t="n">
        <x:v>0</x:v>
      </x:c>
      <x:c r="H459" s="13" t="n">
        <x:f>F459-G459</x:f>
        <x:v>3456.7</x:v>
      </x:c>
      <x:c r="I459" s="13" t="n">
        <x:f>IF(C459=0,"n.a.",F459/C459)</x:f>
        <x:v>432.0875</x:v>
      </x:c>
      <x:c r="J459" s="3"/>
      <x:c r="K459" s="3"/>
      <x:c r="L459" s="3"/>
    </x:row>
    <x:row r="460" ht="22" customHeight="1">
      <x:c r="A460" s="3"/>
      <x:c r="B460" s="3" t="str">
        <x:v>15410</x:v>
      </x:c>
      <x:c r="C460" s="3" t="n">
        <x:v>8</x:v>
      </x:c>
      <x:c r="D460" s="51" t="n">
        <x:v>40802</x:v>
      </x:c>
      <x:c r="E460" s="3" t="str">
        <x:v>Recurrente</x:v>
      </x:c>
      <x:c r="F460" s="13" t="n">
        <x:v>3450.84</x:v>
      </x:c>
      <x:c r="G460" s="13" t="n">
        <x:v>0</x:v>
      </x:c>
      <x:c r="H460" s="13" t="n">
        <x:f>F460-G460</x:f>
        <x:v>3450.84</x:v>
      </x:c>
      <x:c r="I460" s="13" t="n">
        <x:f>IF(C460=0,"n.a.",F460/C460)</x:f>
        <x:v>431.355</x:v>
      </x:c>
      <x:c r="J460" s="3"/>
      <x:c r="K460" s="3"/>
      <x:c r="L460" s="3"/>
    </x:row>
    <x:row r="461" ht="22" customHeight="1">
      <x:c r="A461" s="3"/>
      <x:c r="B461" s="3" t="str">
        <x:v>16019</x:v>
      </x:c>
      <x:c r="C461" s="3" t="n">
        <x:v>9</x:v>
      </x:c>
      <x:c r="D461" s="51" t="n">
        <x:v>40840</x:v>
      </x:c>
      <x:c r="E461" s="3" t="str">
        <x:v>Recurrente</x:v>
      </x:c>
      <x:c r="F461" s="13" t="n">
        <x:v>3786.24</x:v>
      </x:c>
      <x:c r="G461" s="13" t="n">
        <x:v>336</x:v>
      </x:c>
      <x:c r="H461" s="13" t="n">
        <x:f>F461-G461</x:f>
        <x:v>3450.24</x:v>
      </x:c>
      <x:c r="I461" s="13" t="n">
        <x:f>IF(C461=0,"n.a.",F461/C461)</x:f>
        <x:v>420.6933333333333</x:v>
      </x:c>
      <x:c r="J461" s="3"/>
      <x:c r="K461" s="3"/>
      <x:c r="L461" s="3"/>
    </x:row>
    <x:row r="462" ht="22" customHeight="1">
      <x:c r="A462" s="3"/>
      <x:c r="B462" s="3" t="str">
        <x:v>13536</x:v>
      </x:c>
      <x:c r="C462" s="3" t="n">
        <x:v>7</x:v>
      </x:c>
      <x:c r="D462" s="51" t="n">
        <x:v>40885</x:v>
      </x:c>
      <x:c r="E462" s="3" t="str">
        <x:v>Recurrente</x:v>
      </x:c>
      <x:c r="F462" s="13" t="n">
        <x:v>3448.29</x:v>
      </x:c>
      <x:c r="G462" s="13" t="n">
        <x:v>0</x:v>
      </x:c>
      <x:c r="H462" s="13" t="n">
        <x:f>F462-G462</x:f>
        <x:v>3448.29</x:v>
      </x:c>
      <x:c r="I462" s="13" t="n">
        <x:f>IF(C462=0,"n.a.",F462/C462)</x:f>
        <x:v>492.61285714285714</x:v>
      </x:c>
      <x:c r="J462" s="3"/>
      <x:c r="K462" s="3"/>
      <x:c r="L462" s="3"/>
    </x:row>
    <x:row r="463" ht="22" customHeight="1">
      <x:c r="A463" s="3"/>
      <x:c r="B463" s="3" t="str">
        <x:v>15129</x:v>
      </x:c>
      <x:c r="C463" s="3" t="n">
        <x:v>11</x:v>
      </x:c>
      <x:c r="D463" s="51" t="n">
        <x:v>40836</x:v>
      </x:c>
      <x:c r="E463" s="3" t="str">
        <x:v>Recurrente</x:v>
      </x:c>
      <x:c r="F463" s="13" t="n">
        <x:v>3447.4</x:v>
      </x:c>
      <x:c r="G463" s="13" t="n">
        <x:v>0</x:v>
      </x:c>
      <x:c r="H463" s="13" t="n">
        <x:f>F463-G463</x:f>
        <x:v>3447.4</x:v>
      </x:c>
      <x:c r="I463" s="13" t="n">
        <x:f>IF(C463=0,"n.a.",F463/C463)</x:f>
        <x:v>313.40000000000003</x:v>
      </x:c>
      <x:c r="J463" s="3"/>
      <x:c r="K463" s="3"/>
      <x:c r="L463" s="3"/>
    </x:row>
    <x:row r="464" ht="22" customHeight="1">
      <x:c r="A464" s="3"/>
      <x:c r="B464" s="3" t="str">
        <x:v>15113</x:v>
      </x:c>
      <x:c r="C464" s="3" t="n">
        <x:v>3</x:v>
      </x:c>
      <x:c r="D464" s="51" t="n">
        <x:v>40877</x:v>
      </x:c>
      <x:c r="E464" s="3" t="str">
        <x:v>Recurrente</x:v>
      </x:c>
      <x:c r="F464" s="13" t="n">
        <x:v>3608.94</x:v>
      </x:c>
      <x:c r="G464" s="13" t="n">
        <x:v>169.92</x:v>
      </x:c>
      <x:c r="H464" s="13" t="n">
        <x:f>F464-G464</x:f>
        <x:v>3439.02</x:v>
      </x:c>
      <x:c r="I464" s="13" t="n">
        <x:f>IF(C464=0,"n.a.",F464/C464)</x:f>
        <x:v>1202.98</x:v>
      </x:c>
      <x:c r="J464" s="3"/>
      <x:c r="K464" s="3"/>
      <x:c r="L464" s="3"/>
    </x:row>
    <x:row r="465" ht="22" customHeight="1">
      <x:c r="A465" s="3"/>
      <x:c r="B465" s="3" t="str">
        <x:v>15974</x:v>
      </x:c>
      <x:c r="C465" s="3" t="n">
        <x:v>7</x:v>
      </x:c>
      <x:c r="D465" s="51" t="n">
        <x:v>40847</x:v>
      </x:c>
      <x:c r="E465" s="3" t="str">
        <x:v>Recurrente</x:v>
      </x:c>
      <x:c r="F465" s="13" t="n">
        <x:v>3442.15</x:v>
      </x:c>
      <x:c r="G465" s="13" t="n">
        <x:v>12.6</x:v>
      </x:c>
      <x:c r="H465" s="13" t="n">
        <x:f>F465-G465</x:f>
        <x:v>3429.55</x:v>
      </x:c>
      <x:c r="I465" s="13" t="n">
        <x:f>IF(C465=0,"n.a.",F465/C465)</x:f>
        <x:v>491.7357142857143</x:v>
      </x:c>
      <x:c r="J465" s="3"/>
      <x:c r="K465" s="3"/>
      <x:c r="L465" s="3"/>
    </x:row>
    <x:row r="466" ht="22" customHeight="1">
      <x:c r="A466" s="3"/>
      <x:c r="B466" s="3" t="str">
        <x:v>14221</x:v>
      </x:c>
      <x:c r="C466" s="3" t="n">
        <x:v>9</x:v>
      </x:c>
      <x:c r="D466" s="51" t="n">
        <x:v>40844</x:v>
      </x:c>
      <x:c r="E466" s="3" t="str">
        <x:v>Recurrente</x:v>
      </x:c>
      <x:c r="F466" s="13" t="n">
        <x:v>3432.8</x:v>
      </x:c>
      <x:c r="G466" s="13" t="n">
        <x:v>4.95</x:v>
      </x:c>
      <x:c r="H466" s="13" t="n">
        <x:f>F466-G466</x:f>
        <x:v>3427.8500000000004</x:v>
      </x:c>
      <x:c r="I466" s="13" t="n">
        <x:f>IF(C466=0,"n.a.",F466/C466)</x:f>
        <x:v>381.4222222222222</x:v>
      </x:c>
      <x:c r="J466" s="3"/>
      <x:c r="K466" s="3"/>
      <x:c r="L466" s="3"/>
    </x:row>
    <x:row r="467" ht="22" customHeight="1">
      <x:c r="A467" s="3"/>
      <x:c r="B467" s="3" t="str">
        <x:v>12727</x:v>
      </x:c>
      <x:c r="C467" s="3" t="n">
        <x:v>7</x:v>
      </x:c>
      <x:c r="D467" s="51" t="n">
        <x:v>40876</x:v>
      </x:c>
      <x:c r="E467" s="3" t="str">
        <x:v>Recurrente</x:v>
      </x:c>
      <x:c r="F467" s="13" t="n">
        <x:v>3440.7</x:v>
      </x:c>
      <x:c r="G467" s="13" t="n">
        <x:v>15</x:v>
      </x:c>
      <x:c r="H467" s="13" t="n">
        <x:f>F467-G467</x:f>
        <x:v>3425.7</x:v>
      </x:c>
      <x:c r="I467" s="13" t="n">
        <x:f>IF(C467=0,"n.a.",F467/C467)</x:f>
        <x:v>491.5285714285714</x:v>
      </x:c>
      <x:c r="J467" s="3"/>
      <x:c r="K467" s="3"/>
      <x:c r="L467" s="3"/>
    </x:row>
    <x:row r="468" ht="22" customHeight="1">
      <x:c r="A468" s="3"/>
      <x:c r="B468" s="3" t="str">
        <x:v>12370</x:v>
      </x:c>
      <x:c r="C468" s="3" t="n">
        <x:v>4</x:v>
      </x:c>
      <x:c r="D468" s="51" t="n">
        <x:v>40835</x:v>
      </x:c>
      <x:c r="E468" s="3" t="str">
        <x:v>Recurrente</x:v>
      </x:c>
      <x:c r="F468" s="13" t="n">
        <x:v>3425.69</x:v>
      </x:c>
      <x:c r="G468" s="13" t="n">
        <x:v>0</x:v>
      </x:c>
      <x:c r="H468" s="13" t="n">
        <x:f>F468-G468</x:f>
        <x:v>3425.69</x:v>
      </x:c>
      <x:c r="I468" s="13" t="n">
        <x:f>IF(C468=0,"n.a.",F468/C468)</x:f>
        <x:v>856.4225</x:v>
      </x:c>
      <x:c r="J468" s="3"/>
      <x:c r="K468" s="3"/>
      <x:c r="L468" s="3"/>
    </x:row>
    <x:row r="469" ht="22" customHeight="1">
      <x:c r="A469" s="3"/>
      <x:c r="B469" s="3" t="str">
        <x:v>16360</x:v>
      </x:c>
      <x:c r="C469" s="3" t="n">
        <x:v>6</x:v>
      </x:c>
      <x:c r="D469" s="51" t="n">
        <x:v>40882</x:v>
      </x:c>
      <x:c r="E469" s="3" t="str">
        <x:v>Recurrente</x:v>
      </x:c>
      <x:c r="F469" s="13" t="n">
        <x:v>3512.53</x:v>
      </x:c>
      <x:c r="G469" s="13" t="n">
        <x:v>100.84</x:v>
      </x:c>
      <x:c r="H469" s="13" t="n">
        <x:f>F469-G469</x:f>
        <x:v>3411.69</x:v>
      </x:c>
      <x:c r="I469" s="13" t="n">
        <x:f>IF(C469=0,"n.a.",F469/C469)</x:f>
        <x:v>585.4216666666667</x:v>
      </x:c>
      <x:c r="J469" s="3"/>
      <x:c r="K469" s="3"/>
      <x:c r="L469" s="3"/>
    </x:row>
    <x:row r="470" ht="22" customHeight="1">
      <x:c r="A470" s="3"/>
      <x:c r="B470" s="3" t="str">
        <x:v>13993</x:v>
      </x:c>
      <x:c r="C470" s="3" t="n">
        <x:v>9</x:v>
      </x:c>
      <x:c r="D470" s="51" t="n">
        <x:v>40844</x:v>
      </x:c>
      <x:c r="E470" s="3" t="str">
        <x:v>Recurrente</x:v>
      </x:c>
      <x:c r="F470" s="13" t="n">
        <x:v>3466.36</x:v>
      </x:c>
      <x:c r="G470" s="13" t="n">
        <x:v>56.7</x:v>
      </x:c>
      <x:c r="H470" s="13" t="n">
        <x:f>F470-G470</x:f>
        <x:v>3409.6600000000003</x:v>
      </x:c>
      <x:c r="I470" s="13" t="n">
        <x:f>IF(C470=0,"n.a.",F470/C470)</x:f>
        <x:v>385.1511111111111</x:v>
      </x:c>
      <x:c r="J470" s="3"/>
      <x:c r="K470" s="3"/>
      <x:c r="L470" s="3"/>
    </x:row>
    <x:row r="471" ht="22" customHeight="1">
      <x:c r="A471" s="3"/>
      <x:c r="B471" s="3" t="str">
        <x:v>15981</x:v>
      </x:c>
      <x:c r="C471" s="3" t="n">
        <x:v>8</x:v>
      </x:c>
      <x:c r="D471" s="51" t="n">
        <x:v>40862</x:v>
      </x:c>
      <x:c r="E471" s="3" t="str">
        <x:v>Recurrente</x:v>
      </x:c>
      <x:c r="F471" s="13" t="n">
        <x:v>3408.48</x:v>
      </x:c>
      <x:c r="G471" s="13" t="n">
        <x:v>0</x:v>
      </x:c>
      <x:c r="H471" s="13" t="n">
        <x:f>F471-G471</x:f>
        <x:v>3408.48</x:v>
      </x:c>
      <x:c r="I471" s="13" t="n">
        <x:f>IF(C471=0,"n.a.",F471/C471)</x:f>
        <x:v>426.06</x:v>
      </x:c>
      <x:c r="J471" s="3"/>
      <x:c r="K471" s="3"/>
      <x:c r="L471" s="3"/>
    </x:row>
    <x:row r="472" ht="22" customHeight="1">
      <x:c r="A472" s="3"/>
      <x:c r="B472" s="3" t="str">
        <x:v>13437</x:v>
      </x:c>
      <x:c r="C472" s="3" t="n">
        <x:v>7</x:v>
      </x:c>
      <x:c r="D472" s="51" t="n">
        <x:v>40872</x:v>
      </x:c>
      <x:c r="E472" s="3" t="str">
        <x:v>Recurrente</x:v>
      </x:c>
      <x:c r="F472" s="13" t="n">
        <x:v>3408.06</x:v>
      </x:c>
      <x:c r="G472" s="13" t="n">
        <x:v>0</x:v>
      </x:c>
      <x:c r="H472" s="13" t="n">
        <x:f>F472-G472</x:f>
        <x:v>3408.06</x:v>
      </x:c>
      <x:c r="I472" s="13" t="n">
        <x:f>IF(C472=0,"n.a.",F472/C472)</x:f>
        <x:v>486.86571428571426</x:v>
      </x:c>
      <x:c r="J472" s="3"/>
      <x:c r="K472" s="3"/>
      <x:c r="L472" s="3"/>
    </x:row>
    <x:row r="473" ht="22" customHeight="1">
      <x:c r="A473" s="3"/>
      <x:c r="B473" s="3" t="str">
        <x:v>17669</x:v>
      </x:c>
      <x:c r="C473" s="3" t="n">
        <x:v>7</x:v>
      </x:c>
      <x:c r="D473" s="51" t="n">
        <x:v>40844</x:v>
      </x:c>
      <x:c r="E473" s="3" t="str">
        <x:v>Recurrente</x:v>
      </x:c>
      <x:c r="F473" s="13" t="n">
        <x:v>3406.72</x:v>
      </x:c>
      <x:c r="G473" s="13" t="n">
        <x:v>0</x:v>
      </x:c>
      <x:c r="H473" s="13" t="n">
        <x:f>F473-G473</x:f>
        <x:v>3406.72</x:v>
      </x:c>
      <x:c r="I473" s="13" t="n">
        <x:f>IF(C473=0,"n.a.",F473/C473)</x:f>
        <x:v>486.6742857142857</x:v>
      </x:c>
      <x:c r="J473" s="3"/>
      <x:c r="K473" s="3"/>
      <x:c r="L473" s="3"/>
    </x:row>
    <x:row r="474" ht="22" customHeight="1">
      <x:c r="A474" s="3"/>
      <x:c r="B474" s="3" t="str">
        <x:v>12429</x:v>
      </x:c>
      <x:c r="C474" s="3" t="n">
        <x:v>4</x:v>
      </x:c>
      <x:c r="D474" s="51" t="n">
        <x:v>40877</x:v>
      </x:c>
      <x:c r="E474" s="3" t="str">
        <x:v>Recurrente</x:v>
      </x:c>
      <x:c r="F474" s="13" t="n">
        <x:v>3388.4</x:v>
      </x:c>
      <x:c r="G474" s="13" t="n">
        <x:v>0</x:v>
      </x:c>
      <x:c r="H474" s="13" t="n">
        <x:f>F474-G474</x:f>
        <x:v>3388.4</x:v>
      </x:c>
      <x:c r="I474" s="13" t="n">
        <x:f>IF(C474=0,"n.a.",F474/C474)</x:f>
        <x:v>847.1</x:v>
      </x:c>
      <x:c r="J474" s="3"/>
      <x:c r="K474" s="3"/>
      <x:c r="L474" s="3"/>
    </x:row>
    <x:row r="475" ht="22" customHeight="1">
      <x:c r="A475" s="3"/>
      <x:c r="B475" s="3" t="str">
        <x:v>12562</x:v>
      </x:c>
      <x:c r="C475" s="3" t="n">
        <x:v>7</x:v>
      </x:c>
      <x:c r="D475" s="51" t="n">
        <x:v>40878</x:v>
      </x:c>
      <x:c r="E475" s="3" t="str">
        <x:v>Recurrente</x:v>
      </x:c>
      <x:c r="F475" s="13" t="n">
        <x:v>3385.74</x:v>
      </x:c>
      <x:c r="G475" s="13" t="n">
        <x:v>0</x:v>
      </x:c>
      <x:c r="H475" s="13" t="n">
        <x:f>F475-G475</x:f>
        <x:v>3385.74</x:v>
      </x:c>
      <x:c r="I475" s="13" t="n">
        <x:f>IF(C475=0,"n.a.",F475/C475)</x:f>
        <x:v>483.6771428571428</x:v>
      </x:c>
      <x:c r="J475" s="3"/>
      <x:c r="K475" s="3"/>
      <x:c r="L475" s="3"/>
    </x:row>
    <x:row r="476" ht="22" customHeight="1">
      <x:c r="A476" s="3"/>
      <x:c r="B476" s="3" t="str">
        <x:v>13842</x:v>
      </x:c>
      <x:c r="C476" s="3" t="n">
        <x:v>9</x:v>
      </x:c>
      <x:c r="D476" s="51" t="n">
        <x:v>40828</x:v>
      </x:c>
      <x:c r="E476" s="3" t="str">
        <x:v>Recurrente</x:v>
      </x:c>
      <x:c r="F476" s="13" t="n">
        <x:v>3385.62</x:v>
      </x:c>
      <x:c r="G476" s="13" t="n">
        <x:v>0</x:v>
      </x:c>
      <x:c r="H476" s="13" t="n">
        <x:f>F476-G476</x:f>
        <x:v>3385.62</x:v>
      </x:c>
      <x:c r="I476" s="13" t="n">
        <x:f>IF(C476=0,"n.a.",F476/C476)</x:f>
        <x:v>376.18</x:v>
      </x:c>
      <x:c r="J476" s="3"/>
      <x:c r="K476" s="3"/>
      <x:c r="L476" s="3"/>
    </x:row>
    <x:row r="477" ht="22" customHeight="1">
      <x:c r="A477" s="3"/>
      <x:c r="B477" s="3" t="str">
        <x:v>13198</x:v>
      </x:c>
      <x:c r="C477" s="3" t="n">
        <x:v>6</x:v>
      </x:c>
      <x:c r="D477" s="51" t="n">
        <x:v>40876</x:v>
      </x:c>
      <x:c r="E477" s="3" t="str">
        <x:v>Recurrente</x:v>
      </x:c>
      <x:c r="F477" s="13" t="n">
        <x:v>3401.24</x:v>
      </x:c>
      <x:c r="G477" s="13" t="n">
        <x:v>17.15</x:v>
      </x:c>
      <x:c r="H477" s="13" t="n">
        <x:f>F477-G477</x:f>
        <x:v>3384.0899999999997</x:v>
      </x:c>
      <x:c r="I477" s="13" t="n">
        <x:f>IF(C477=0,"n.a.",F477/C477)</x:f>
        <x:v>566.8733333333333</x:v>
      </x:c>
      <x:c r="J477" s="3"/>
      <x:c r="K477" s="3"/>
      <x:c r="L477" s="3"/>
    </x:row>
    <x:row r="478" ht="22" customHeight="1">
      <x:c r="A478" s="3"/>
      <x:c r="B478" s="3" t="str">
        <x:v>15228</x:v>
      </x:c>
      <x:c r="C478" s="3" t="n">
        <x:v>4</x:v>
      </x:c>
      <x:c r="D478" s="51" t="n">
        <x:v>40820</x:v>
      </x:c>
      <x:c r="E478" s="3" t="str">
        <x:v>Recurrente</x:v>
      </x:c>
      <x:c r="F478" s="13" t="n">
        <x:v>3386.71</x:v>
      </x:c>
      <x:c r="G478" s="13" t="n">
        <x:v>9.75</x:v>
      </x:c>
      <x:c r="H478" s="13" t="n">
        <x:f>F478-G478</x:f>
        <x:v>3376.96</x:v>
      </x:c>
      <x:c r="I478" s="13" t="n">
        <x:f>IF(C478=0,"n.a.",F478/C478)</x:f>
        <x:v>846.6775</x:v>
      </x:c>
      <x:c r="J478" s="3"/>
      <x:c r="K478" s="3"/>
      <x:c r="L478" s="3"/>
    </x:row>
    <x:row r="479" ht="22" customHeight="1">
      <x:c r="A479" s="3"/>
      <x:c r="B479" s="3" t="str">
        <x:v>17725</x:v>
      </x:c>
      <x:c r="C479" s="3" t="n">
        <x:v>11</x:v>
      </x:c>
      <x:c r="D479" s="51" t="n">
        <x:v>40870</x:v>
      </x:c>
      <x:c r="E479" s="3" t="str">
        <x:v>Recurrente</x:v>
      </x:c>
      <x:c r="F479" s="13" t="n">
        <x:v>3439.08</x:v>
      </x:c>
      <x:c r="G479" s="13" t="n">
        <x:v>67.95</x:v>
      </x:c>
      <x:c r="H479" s="13" t="n">
        <x:f>F479-G479</x:f>
        <x:v>3371.13</x:v>
      </x:c>
      <x:c r="I479" s="13" t="n">
        <x:f>IF(C479=0,"n.a.",F479/C479)</x:f>
        <x:v>312.64363636363635</x:v>
      </x:c>
      <x:c r="J479" s="3"/>
      <x:c r="K479" s="3"/>
      <x:c r="L479" s="3"/>
    </x:row>
    <x:row r="480" ht="22" customHeight="1">
      <x:c r="A480" s="3"/>
      <x:c r="B480" s="3" t="str">
        <x:v>13014</x:v>
      </x:c>
      <x:c r="C480" s="3" t="n">
        <x:v>10</x:v>
      </x:c>
      <x:c r="D480" s="51" t="n">
        <x:v>40876</x:v>
      </x:c>
      <x:c r="E480" s="3" t="str">
        <x:v>Recurrente</x:v>
      </x:c>
      <x:c r="F480" s="13" t="n">
        <x:v>3466.28</x:v>
      </x:c>
      <x:c r="G480" s="13" t="n">
        <x:v>100.85</x:v>
      </x:c>
      <x:c r="H480" s="13" t="n">
        <x:f>F480-G480</x:f>
        <x:v>3365.4300000000003</x:v>
      </x:c>
      <x:c r="I480" s="13" t="n">
        <x:f>IF(C480=0,"n.a.",F480/C480)</x:f>
        <x:v>346.62800000000004</x:v>
      </x:c>
      <x:c r="J480" s="3"/>
      <x:c r="K480" s="3"/>
      <x:c r="L480" s="3"/>
    </x:row>
    <x:row r="481" ht="22" customHeight="1">
      <x:c r="A481" s="3"/>
      <x:c r="B481" s="3" t="str">
        <x:v>16011</x:v>
      </x:c>
      <x:c r="C481" s="3" t="n">
        <x:v>16</x:v>
      </x:c>
      <x:c r="D481" s="51" t="n">
        <x:v>40878</x:v>
      </x:c>
      <x:c r="E481" s="3" t="str">
        <x:v>Recurrente</x:v>
      </x:c>
      <x:c r="F481" s="13" t="n">
        <x:v>3362.71</x:v>
      </x:c>
      <x:c r="G481" s="13" t="n">
        <x:v>0</x:v>
      </x:c>
      <x:c r="H481" s="13" t="n">
        <x:f>F481-G481</x:f>
        <x:v>3362.71</x:v>
      </x:c>
      <x:c r="I481" s="13" t="n">
        <x:f>IF(C481=0,"n.a.",F481/C481)</x:f>
        <x:v>210.169375</x:v>
      </x:c>
      <x:c r="J481" s="3"/>
      <x:c r="K481" s="3"/>
      <x:c r="L481" s="3"/>
    </x:row>
    <x:row r="482" ht="22" customHeight="1">
      <x:c r="A482" s="3"/>
      <x:c r="B482" s="3" t="str">
        <x:v>13148</x:v>
      </x:c>
      <x:c r="C482" s="3" t="n">
        <x:v>12</x:v>
      </x:c>
      <x:c r="D482" s="51" t="n">
        <x:v>40857</x:v>
      </x:c>
      <x:c r="E482" s="3" t="str">
        <x:v>Recurrente</x:v>
      </x:c>
      <x:c r="F482" s="13" t="n">
        <x:v>3707.12</x:v>
      </x:c>
      <x:c r="G482" s="13" t="n">
        <x:v>358.64</x:v>
      </x:c>
      <x:c r="H482" s="13" t="n">
        <x:f>F482-G482</x:f>
        <x:v>3348.48</x:v>
      </x:c>
      <x:c r="I482" s="13" t="n">
        <x:f>IF(C482=0,"n.a.",F482/C482)</x:f>
        <x:v>308.9266666666667</x:v>
      </x:c>
      <x:c r="J482" s="3"/>
      <x:c r="K482" s="3"/>
      <x:c r="L482" s="3"/>
    </x:row>
    <x:row r="483" ht="22" customHeight="1">
      <x:c r="A483" s="3"/>
      <x:c r="B483" s="3" t="str">
        <x:v>13015</x:v>
      </x:c>
      <x:c r="C483" s="3" t="n">
        <x:v>5</x:v>
      </x:c>
      <x:c r="D483" s="51" t="n">
        <x:v>40833</x:v>
      </x:c>
      <x:c r="E483" s="3" t="str">
        <x:v>Recurrente</x:v>
      </x:c>
      <x:c r="F483" s="13" t="n">
        <x:v>3346.28</x:v>
      </x:c>
      <x:c r="G483" s="13" t="n">
        <x:v>0</x:v>
      </x:c>
      <x:c r="H483" s="13" t="n">
        <x:f>F483-G483</x:f>
        <x:v>3346.28</x:v>
      </x:c>
      <x:c r="I483" s="13" t="n">
        <x:f>IF(C483=0,"n.a.",F483/C483)</x:f>
        <x:v>669.2560000000001</x:v>
      </x:c>
      <x:c r="J483" s="3"/>
      <x:c r="K483" s="3"/>
      <x:c r="L483" s="3"/>
    </x:row>
    <x:row r="484" ht="22" customHeight="1">
      <x:c r="A484" s="3"/>
      <x:c r="B484" s="3" t="str">
        <x:v>15708</x:v>
      </x:c>
      <x:c r="C484" s="3" t="n">
        <x:v>7</x:v>
      </x:c>
      <x:c r="D484" s="51" t="n">
        <x:v>40846</x:v>
      </x:c>
      <x:c r="E484" s="3" t="str">
        <x:v>Recurrente</x:v>
      </x:c>
      <x:c r="F484" s="13" t="n">
        <x:v>3364.24</x:v>
      </x:c>
      <x:c r="G484" s="13" t="n">
        <x:v>34.52</x:v>
      </x:c>
      <x:c r="H484" s="13" t="n">
        <x:f>F484-G484</x:f>
        <x:v>3329.72</x:v>
      </x:c>
      <x:c r="I484" s="13" t="n">
        <x:f>IF(C484=0,"n.a.",F484/C484)</x:f>
        <x:v>480.60571428571427</x:v>
      </x:c>
      <x:c r="J484" s="3"/>
      <x:c r="K484" s="3"/>
      <x:c r="L484" s="3"/>
    </x:row>
    <x:row r="485" ht="22" customHeight="1">
      <x:c r="A485" s="3"/>
      <x:c r="B485" s="3" t="str">
        <x:v>15676</x:v>
      </x:c>
      <x:c r="C485" s="3" t="n">
        <x:v>3</x:v>
      </x:c>
      <x:c r="D485" s="51" t="n">
        <x:v>40868</x:v>
      </x:c>
      <x:c r="E485" s="3" t="str">
        <x:v>Recurrente</x:v>
      </x:c>
      <x:c r="F485" s="13" t="n">
        <x:v>3435.76</x:v>
      </x:c>
      <x:c r="G485" s="13" t="n">
        <x:v>111.67</x:v>
      </x:c>
      <x:c r="H485" s="13" t="n">
        <x:f>F485-G485</x:f>
        <x:v>3324.09</x:v>
      </x:c>
      <x:c r="I485" s="13" t="n">
        <x:f>IF(C485=0,"n.a.",F485/C485)</x:f>
        <x:v>1145.2533333333333</x:v>
      </x:c>
      <x:c r="J485" s="3"/>
      <x:c r="K485" s="3"/>
      <x:c r="L485" s="3"/>
    </x:row>
    <x:row r="486" ht="22" customHeight="1">
      <x:c r="A486" s="3"/>
      <x:c r="B486" s="3" t="str">
        <x:v>16818</x:v>
      </x:c>
      <x:c r="C486" s="3" t="n">
        <x:v>11</x:v>
      </x:c>
      <x:c r="D486" s="51" t="n">
        <x:v>40876</x:v>
      </x:c>
      <x:c r="E486" s="3" t="str">
        <x:v>Recurrente</x:v>
      </x:c>
      <x:c r="F486" s="13" t="n">
        <x:v>3349.57</x:v>
      </x:c>
      <x:c r="G486" s="13" t="n">
        <x:v>31.6</x:v>
      </x:c>
      <x:c r="H486" s="13" t="n">
        <x:f>F486-G486</x:f>
        <x:v>3317.9700000000003</x:v>
      </x:c>
      <x:c r="I486" s="13" t="n">
        <x:f>IF(C486=0,"n.a.",F486/C486)</x:f>
        <x:v>304.50636363636363</x:v>
      </x:c>
      <x:c r="J486" s="3"/>
      <x:c r="K486" s="3"/>
      <x:c r="L486" s="3"/>
    </x:row>
    <x:row r="487" ht="22" customHeight="1">
      <x:c r="A487" s="3"/>
      <x:c r="B487" s="3" t="str">
        <x:v>14227</x:v>
      </x:c>
      <x:c r="C487" s="3" t="n">
        <x:v>10</x:v>
      </x:c>
      <x:c r="D487" s="51" t="n">
        <x:v>40860</x:v>
      </x:c>
      <x:c r="E487" s="3" t="str">
        <x:v>Recurrente</x:v>
      </x:c>
      <x:c r="F487" s="13" t="n">
        <x:v>3350.96</x:v>
      </x:c>
      <x:c r="G487" s="13" t="n">
        <x:v>35.25</x:v>
      </x:c>
      <x:c r="H487" s="13" t="n">
        <x:f>F487-G487</x:f>
        <x:v>3315.71</x:v>
      </x:c>
      <x:c r="I487" s="13" t="n">
        <x:f>IF(C487=0,"n.a.",F487/C487)</x:f>
        <x:v>335.096</x:v>
      </x:c>
      <x:c r="J487" s="3"/>
      <x:c r="K487" s="3"/>
      <x:c r="L487" s="3"/>
    </x:row>
    <x:row r="488" ht="22" customHeight="1">
      <x:c r="A488" s="3"/>
      <x:c r="B488" s="3" t="str">
        <x:v>16556</x:v>
      </x:c>
      <x:c r="C488" s="3" t="n">
        <x:v>7</x:v>
      </x:c>
      <x:c r="D488" s="51" t="n">
        <x:v>40820</x:v>
      </x:c>
      <x:c r="E488" s="3" t="str">
        <x:v>Recurrente</x:v>
      </x:c>
      <x:c r="F488" s="13" t="n">
        <x:v>3313.79</x:v>
      </x:c>
      <x:c r="G488" s="13" t="n">
        <x:v>0</x:v>
      </x:c>
      <x:c r="H488" s="13" t="n">
        <x:f>F488-G488</x:f>
        <x:v>3313.79</x:v>
      </x:c>
      <x:c r="I488" s="13" t="n">
        <x:f>IF(C488=0,"n.a.",F488/C488)</x:f>
        <x:v>473.3985714285714</x:v>
      </x:c>
      <x:c r="J488" s="3"/>
      <x:c r="K488" s="3"/>
      <x:c r="L488" s="3"/>
    </x:row>
    <x:row r="489" ht="22" customHeight="1">
      <x:c r="A489" s="3"/>
      <x:c r="B489" s="3" t="str">
        <x:v>13373</x:v>
      </x:c>
      <x:c r="C489" s="3" t="n">
        <x:v>3</x:v>
      </x:c>
      <x:c r="D489" s="51" t="n">
        <x:v>40826</x:v>
      </x:c>
      <x:c r="E489" s="3" t="str">
        <x:v>Recurrente</x:v>
      </x:c>
      <x:c r="F489" s="13" t="n">
        <x:v>3312.25</x:v>
      </x:c>
      <x:c r="G489" s="13" t="n">
        <x:v>0</x:v>
      </x:c>
      <x:c r="H489" s="13" t="n">
        <x:f>F489-G489</x:f>
        <x:v>3312.25</x:v>
      </x:c>
      <x:c r="I489" s="13" t="n">
        <x:f>IF(C489=0,"n.a.",F489/C489)</x:f>
        <x:v>1104.0833333333333</x:v>
      </x:c>
      <x:c r="J489" s="3"/>
      <x:c r="K489" s="3"/>
      <x:c r="L489" s="3"/>
    </x:row>
    <x:row r="490" ht="22" customHeight="1">
      <x:c r="A490" s="3"/>
      <x:c r="B490" s="3" t="str">
        <x:v>14841</x:v>
      </x:c>
      <x:c r="C490" s="3" t="n">
        <x:v>6</x:v>
      </x:c>
      <x:c r="D490" s="51" t="n">
        <x:v>40833</x:v>
      </x:c>
      <x:c r="E490" s="3" t="str">
        <x:v>Recurrente</x:v>
      </x:c>
      <x:c r="F490" s="13" t="n">
        <x:v>3295.76</x:v>
      </x:c>
      <x:c r="G490" s="13" t="n">
        <x:v>0</x:v>
      </x:c>
      <x:c r="H490" s="13" t="n">
        <x:f>F490-G490</x:f>
        <x:v>3295.76</x:v>
      </x:c>
      <x:c r="I490" s="13" t="n">
        <x:f>IF(C490=0,"n.a.",F490/C490)</x:f>
        <x:v>549.2933333333334</x:v>
      </x:c>
      <x:c r="J490" s="3"/>
      <x:c r="K490" s="3"/>
      <x:c r="L490" s="3"/>
    </x:row>
    <x:row r="491" ht="22" customHeight="1">
      <x:c r="A491" s="3"/>
      <x:c r="B491" s="3" t="str">
        <x:v>17183</x:v>
      </x:c>
      <x:c r="C491" s="3" t="n">
        <x:v>6</x:v>
      </x:c>
      <x:c r="D491" s="51" t="n">
        <x:v>40879</x:v>
      </x:c>
      <x:c r="E491" s="3" t="str">
        <x:v>Recurrente</x:v>
      </x:c>
      <x:c r="F491" s="13" t="n">
        <x:v>3347.31</x:v>
      </x:c>
      <x:c r="G491" s="13" t="n">
        <x:v>60.4</x:v>
      </x:c>
      <x:c r="H491" s="13" t="n">
        <x:f>F491-G491</x:f>
        <x:v>3286.91</x:v>
      </x:c>
      <x:c r="I491" s="13" t="n">
        <x:f>IF(C491=0,"n.a.",F491/C491)</x:f>
        <x:v>557.885</x:v>
      </x:c>
      <x:c r="J491" s="3"/>
      <x:c r="K491" s="3"/>
      <x:c r="L491" s="3"/>
    </x:row>
    <x:row r="492" ht="22" customHeight="1">
      <x:c r="A492" s="3"/>
      <x:c r="B492" s="3" t="str">
        <x:v>12406</x:v>
      </x:c>
      <x:c r="C492" s="3" t="n">
        <x:v>2</x:v>
      </x:c>
      <x:c r="D492" s="51" t="n">
        <x:v>40864</x:v>
      </x:c>
      <x:c r="E492" s="3" t="str">
        <x:v>Recurrente</x:v>
      </x:c>
      <x:c r="F492" s="13" t="n">
        <x:v>3415.3</x:v>
      </x:c>
      <x:c r="G492" s="13" t="n">
        <x:v>134.55</x:v>
      </x:c>
      <x:c r="H492" s="13" t="n">
        <x:f>F492-G492</x:f>
        <x:v>3280.75</x:v>
      </x:c>
      <x:c r="I492" s="13" t="n">
        <x:f>IF(C492=0,"n.a.",F492/C492)</x:f>
        <x:v>1707.65</x:v>
      </x:c>
      <x:c r="J492" s="3"/>
      <x:c r="K492" s="3"/>
      <x:c r="L492" s="3"/>
    </x:row>
    <x:row r="493" ht="22" customHeight="1">
      <x:c r="A493" s="3"/>
      <x:c r="B493" s="3" t="str">
        <x:v>16717</x:v>
      </x:c>
      <x:c r="C493" s="3" t="n">
        <x:v>6</x:v>
      </x:c>
      <x:c r="D493" s="51" t="n">
        <x:v>40863</x:v>
      </x:c>
      <x:c r="E493" s="3" t="str">
        <x:v>Recurrente</x:v>
      </x:c>
      <x:c r="F493" s="13" t="n">
        <x:v>3858.38</x:v>
      </x:c>
      <x:c r="G493" s="13" t="n">
        <x:v>580.02</x:v>
      </x:c>
      <x:c r="H493" s="13" t="n">
        <x:f>F493-G493</x:f>
        <x:v>3278.36</x:v>
      </x:c>
      <x:c r="I493" s="13" t="n">
        <x:f>IF(C493=0,"n.a.",F493/C493)</x:f>
        <x:v>643.0633333333334</x:v>
      </x:c>
      <x:c r="J493" s="3"/>
      <x:c r="K493" s="3"/>
      <x:c r="L493" s="3"/>
    </x:row>
    <x:row r="494" ht="22" customHeight="1">
      <x:c r="A494" s="3"/>
      <x:c r="B494" s="3" t="str">
        <x:v>17723</x:v>
      </x:c>
      <x:c r="C494" s="3" t="n">
        <x:v>6</x:v>
      </x:c>
      <x:c r="D494" s="51" t="n">
        <x:v>40759</x:v>
      </x:c>
      <x:c r="E494" s="3" t="str">
        <x:v>Recurrente</x:v>
      </x:c>
      <x:c r="F494" s="13" t="n">
        <x:v>3276.4</x:v>
      </x:c>
      <x:c r="G494" s="13" t="n">
        <x:v>0</x:v>
      </x:c>
      <x:c r="H494" s="13" t="n">
        <x:f>F494-G494</x:f>
        <x:v>3276.4</x:v>
      </x:c>
      <x:c r="I494" s="13" t="n">
        <x:f>IF(C494=0,"n.a.",F494/C494)</x:f>
        <x:v>546.0666666666667</x:v>
      </x:c>
      <x:c r="J494" s="3"/>
      <x:c r="K494" s="3"/>
      <x:c r="L494" s="3"/>
    </x:row>
    <x:row r="495" ht="22" customHeight="1">
      <x:c r="A495" s="3"/>
      <x:c r="B495" s="3" t="str">
        <x:v>14702</x:v>
      </x:c>
      <x:c r="C495" s="3" t="n">
        <x:v>17</x:v>
      </x:c>
      <x:c r="D495" s="51" t="n">
        <x:v>40885</x:v>
      </x:c>
      <x:c r="E495" s="3" t="str">
        <x:v>Recurrente</x:v>
      </x:c>
      <x:c r="F495" s="13" t="n">
        <x:v>3292.14</x:v>
      </x:c>
      <x:c r="G495" s="13" t="n">
        <x:v>41.5</x:v>
      </x:c>
      <x:c r="H495" s="13" t="n">
        <x:f>F495-G495</x:f>
        <x:v>3250.64</x:v>
      </x:c>
      <x:c r="I495" s="13" t="n">
        <x:f>IF(C495=0,"n.a.",F495/C495)</x:f>
        <x:v>193.65529411764706</x:v>
      </x:c>
      <x:c r="J495" s="3"/>
      <x:c r="K495" s="3"/>
      <x:c r="L495" s="3"/>
    </x:row>
    <x:row r="496" ht="22" customHeight="1">
      <x:c r="A496" s="3"/>
      <x:c r="B496" s="3" t="str">
        <x:v>13952</x:v>
      </x:c>
      <x:c r="C496" s="3" t="n">
        <x:v>2</x:v>
      </x:c>
      <x:c r="D496" s="51" t="n">
        <x:v>40669</x:v>
      </x:c>
      <x:c r="E496" s="3" t="str">
        <x:v>Recurrente</x:v>
      </x:c>
      <x:c r="F496" s="13" t="n">
        <x:v>3251.071</x:v>
      </x:c>
      <x:c r="G496" s="13" t="n">
        <x:v>4.98</x:v>
      </x:c>
      <x:c r="H496" s="13" t="n">
        <x:f>F496-G496</x:f>
        <x:v>3246.091</x:v>
      </x:c>
      <x:c r="I496" s="13" t="n">
        <x:f>IF(C496=0,"n.a.",F496/C496)</x:f>
        <x:v>1625.5355</x:v>
      </x:c>
      <x:c r="J496" s="3"/>
      <x:c r="K496" s="3"/>
      <x:c r="L496" s="3"/>
    </x:row>
    <x:row r="497" ht="22" customHeight="1">
      <x:c r="A497" s="3"/>
      <x:c r="B497" s="3" t="str">
        <x:v>15764</x:v>
      </x:c>
      <x:c r="C497" s="3" t="n">
        <x:v>6</x:v>
      </x:c>
      <x:c r="D497" s="51" t="n">
        <x:v>40798</x:v>
      </x:c>
      <x:c r="E497" s="3" t="str">
        <x:v>Recurrente</x:v>
      </x:c>
      <x:c r="F497" s="13" t="n">
        <x:v>3279.97</x:v>
      </x:c>
      <x:c r="G497" s="13" t="n">
        <x:v>34.5</x:v>
      </x:c>
      <x:c r="H497" s="13" t="n">
        <x:f>F497-G497</x:f>
        <x:v>3245.47</x:v>
      </x:c>
      <x:c r="I497" s="13" t="n">
        <x:f>IF(C497=0,"n.a.",F497/C497)</x:f>
        <x:v>546.6616666666666</x:v>
      </x:c>
      <x:c r="J497" s="3"/>
      <x:c r="K497" s="3"/>
      <x:c r="L497" s="3"/>
    </x:row>
    <x:row r="498" ht="22" customHeight="1">
      <x:c r="A498" s="3"/>
      <x:c r="B498" s="3" t="str">
        <x:v>12553</x:v>
      </x:c>
      <x:c r="C498" s="3" t="n">
        <x:v>10</x:v>
      </x:c>
      <x:c r="D498" s="51" t="n">
        <x:v>40878</x:v>
      </x:c>
      <x:c r="E498" s="3" t="str">
        <x:v>Recurrente</x:v>
      </x:c>
      <x:c r="F498" s="13" t="n">
        <x:v>3278.28</x:v>
      </x:c>
      <x:c r="G498" s="13" t="n">
        <x:v>40.03</x:v>
      </x:c>
      <x:c r="H498" s="13" t="n">
        <x:f>F498-G498</x:f>
        <x:v>3238.25</x:v>
      </x:c>
      <x:c r="I498" s="13" t="n">
        <x:f>IF(C498=0,"n.a.",F498/C498)</x:f>
        <x:v>327.82800000000003</x:v>
      </x:c>
      <x:c r="J498" s="3"/>
      <x:c r="K498" s="3"/>
      <x:c r="L498" s="3"/>
    </x:row>
    <x:row r="499" ht="22" customHeight="1">
      <x:c r="A499" s="3"/>
      <x:c r="B499" s="3" t="str">
        <x:v>17050</x:v>
      </x:c>
      <x:c r="C499" s="3" t="n">
        <x:v>6</x:v>
      </x:c>
      <x:c r="D499" s="51" t="n">
        <x:v>40790</x:v>
      </x:c>
      <x:c r="E499" s="3" t="str">
        <x:v>Recurrente</x:v>
      </x:c>
      <x:c r="F499" s="13" t="n">
        <x:v>3228.84</x:v>
      </x:c>
      <x:c r="G499" s="13" t="n">
        <x:v>0</x:v>
      </x:c>
      <x:c r="H499" s="13" t="n">
        <x:f>F499-G499</x:f>
        <x:v>3228.84</x:v>
      </x:c>
      <x:c r="I499" s="13" t="n">
        <x:f>IF(C499=0,"n.a.",F499/C499)</x:f>
        <x:v>538.14</x:v>
      </x:c>
      <x:c r="J499" s="3"/>
      <x:c r="K499" s="3"/>
      <x:c r="L499" s="3"/>
    </x:row>
    <x:row r="500" ht="22" customHeight="1">
      <x:c r="A500" s="3"/>
      <x:c r="B500" s="3" t="str">
        <x:v>15622</x:v>
      </x:c>
      <x:c r="C500" s="3" t="n">
        <x:v>9</x:v>
      </x:c>
      <x:c r="D500" s="51" t="n">
        <x:v>40843</x:v>
      </x:c>
      <x:c r="E500" s="3" t="str">
        <x:v>Recurrente</x:v>
      </x:c>
      <x:c r="F500" s="13" t="n">
        <x:v>3709.56</x:v>
      </x:c>
      <x:c r="G500" s="13" t="n">
        <x:v>485.03</x:v>
      </x:c>
      <x:c r="H500" s="13" t="n">
        <x:f>F500-G500</x:f>
        <x:v>3224.5299999999997</x:v>
      </x:c>
      <x:c r="I500" s="13" t="n">
        <x:f>IF(C500=0,"n.a.",F500/C500)</x:f>
        <x:v>412.17333333333335</x:v>
      </x:c>
      <x:c r="J500" s="3"/>
      <x:c r="K500" s="3"/>
      <x:c r="L500" s="3"/>
    </x:row>
    <x:row r="501" ht="22" customHeight="1">
      <x:c r="A501" s="3"/>
      <x:c r="B501" s="3" t="str">
        <x:v>13880</x:v>
      </x:c>
      <x:c r="C501" s="3" t="n">
        <x:v>13</x:v>
      </x:c>
      <x:c r="D501" s="51" t="n">
        <x:v>40865</x:v>
      </x:c>
      <x:c r="E501" s="3" t="str">
        <x:v>Recurrente</x:v>
      </x:c>
      <x:c r="F501" s="13" t="n">
        <x:v>3219.77</x:v>
      </x:c>
      <x:c r="G501" s="13" t="n">
        <x:v>0</x:v>
      </x:c>
      <x:c r="H501" s="13" t="n">
        <x:f>F501-G501</x:f>
        <x:v>3219.77</x:v>
      </x:c>
      <x:c r="I501" s="13" t="n">
        <x:f>IF(C501=0,"n.a.",F501/C501)</x:f>
        <x:v>247.67461538461538</x:v>
      </x:c>
      <x:c r="J501" s="3"/>
      <x:c r="K501" s="3"/>
      <x:c r="L501" s="3"/>
    </x:row>
    <x:row r="502" ht="22" customHeight="1">
      <x:c r="A502" s="3"/>
      <x:c r="B502" s="3" t="str">
        <x:v>15443</x:v>
      </x:c>
      <x:c r="C502" s="3" t="n">
        <x:v>7</x:v>
      </x:c>
      <x:c r="D502" s="51" t="n">
        <x:v>40885</x:v>
      </x:c>
      <x:c r="E502" s="3" t="str">
        <x:v>Recurrente</x:v>
      </x:c>
      <x:c r="F502" s="13" t="n">
        <x:v>3236.91</x:v>
      </x:c>
      <x:c r="G502" s="13" t="n">
        <x:v>24.75</x:v>
      </x:c>
      <x:c r="H502" s="13" t="n">
        <x:f>F502-G502</x:f>
        <x:v>3212.16</x:v>
      </x:c>
      <x:c r="I502" s="13" t="n">
        <x:f>IF(C502=0,"n.a.",F502/C502)</x:f>
        <x:v>462.4157142857143</x:v>
      </x:c>
      <x:c r="J502" s="3"/>
      <x:c r="K502" s="3"/>
      <x:c r="L502" s="3"/>
    </x:row>
    <x:row r="503" ht="22" customHeight="1">
      <x:c r="A503" s="3"/>
      <x:c r="B503" s="3" t="str">
        <x:v>12594</x:v>
      </x:c>
      <x:c r="C503" s="3" t="n">
        <x:v>9</x:v>
      </x:c>
      <x:c r="D503" s="51" t="n">
        <x:v>40849</x:v>
      </x:c>
      <x:c r="E503" s="3" t="str">
        <x:v>Recurrente</x:v>
      </x:c>
      <x:c r="F503" s="13" t="n">
        <x:v>3208.22</x:v>
      </x:c>
      <x:c r="G503" s="13" t="n">
        <x:v>0</x:v>
      </x:c>
      <x:c r="H503" s="13" t="n">
        <x:f>F503-G503</x:f>
        <x:v>3208.22</x:v>
      </x:c>
      <x:c r="I503" s="13" t="n">
        <x:f>IF(C503=0,"n.a.",F503/C503)</x:f>
        <x:v>356.46888888888884</x:v>
      </x:c>
      <x:c r="J503" s="3"/>
      <x:c r="K503" s="3"/>
      <x:c r="L503" s="3"/>
    </x:row>
    <x:row r="504" ht="22" customHeight="1">
      <x:c r="A504" s="3"/>
      <x:c r="B504" s="3" t="str">
        <x:v>16107</x:v>
      </x:c>
      <x:c r="C504" s="3" t="n">
        <x:v>7</x:v>
      </x:c>
      <x:c r="D504" s="51" t="n">
        <x:v>40869</x:v>
      </x:c>
      <x:c r="E504" s="3" t="str">
        <x:v>Recurrente</x:v>
      </x:c>
      <x:c r="F504" s="13" t="n">
        <x:v>3204.16</x:v>
      </x:c>
      <x:c r="G504" s="13" t="n">
        <x:v>0</x:v>
      </x:c>
      <x:c r="H504" s="13" t="n">
        <x:f>F504-G504</x:f>
        <x:v>3204.16</x:v>
      </x:c>
      <x:c r="I504" s="13" t="n">
        <x:f>IF(C504=0,"n.a.",F504/C504)</x:f>
        <x:v>457.7371428571428</x:v>
      </x:c>
      <x:c r="J504" s="3"/>
      <x:c r="K504" s="3"/>
      <x:c r="L504" s="3"/>
    </x:row>
    <x:row r="505" ht="22" customHeight="1">
      <x:c r="A505" s="3"/>
      <x:c r="B505" s="3" t="str">
        <x:v>17220</x:v>
      </x:c>
      <x:c r="C505" s="3" t="n">
        <x:v>14</x:v>
      </x:c>
      <x:c r="D505" s="51" t="n">
        <x:v>40862</x:v>
      </x:c>
      <x:c r="E505" s="3" t="str">
        <x:v>Recurrente</x:v>
      </x:c>
      <x:c r="F505" s="13" t="n">
        <x:v>3198.25</x:v>
      </x:c>
      <x:c r="G505" s="13" t="n">
        <x:v>0</x:v>
      </x:c>
      <x:c r="H505" s="13" t="n">
        <x:f>F505-G505</x:f>
        <x:v>3198.25</x:v>
      </x:c>
      <x:c r="I505" s="13" t="n">
        <x:f>IF(C505=0,"n.a.",F505/C505)</x:f>
        <x:v>228.44642857142858</x:v>
      </x:c>
      <x:c r="J505" s="3"/>
      <x:c r="K505" s="3"/>
      <x:c r="L505" s="3"/>
    </x:row>
    <x:row r="506" ht="22" customHeight="1">
      <x:c r="A506" s="3"/>
      <x:c r="B506" s="3" t="str">
        <x:v>13868</x:v>
      </x:c>
      <x:c r="C506" s="3" t="n">
        <x:v>2</x:v>
      </x:c>
      <x:c r="D506" s="51" t="n">
        <x:v>40879</x:v>
      </x:c>
      <x:c r="E506" s="3" t="str">
        <x:v>Recurrente</x:v>
      </x:c>
      <x:c r="F506" s="13" t="n">
        <x:v>3192.54</x:v>
      </x:c>
      <x:c r="G506" s="13" t="n">
        <x:v>0</x:v>
      </x:c>
      <x:c r="H506" s="13" t="n">
        <x:f>F506-G506</x:f>
        <x:v>3192.54</x:v>
      </x:c>
      <x:c r="I506" s="13" t="n">
        <x:f>IF(C506=0,"n.a.",F506/C506)</x:f>
        <x:v>1596.27</x:v>
      </x:c>
      <x:c r="J506" s="3"/>
      <x:c r="K506" s="3"/>
      <x:c r="L506" s="3"/>
    </x:row>
    <x:row r="507" ht="22" customHeight="1">
      <x:c r="A507" s="3"/>
      <x:c r="B507" s="3" t="str">
        <x:v>17685</x:v>
      </x:c>
      <x:c r="C507" s="3" t="n">
        <x:v>7</x:v>
      </x:c>
      <x:c r="D507" s="51" t="n">
        <x:v>40870</x:v>
      </x:c>
      <x:c r="E507" s="3" t="str">
        <x:v>Recurrente</x:v>
      </x:c>
      <x:c r="F507" s="13" t="n">
        <x:v>3191.53</x:v>
      </x:c>
      <x:c r="G507" s="13" t="n">
        <x:v>0</x:v>
      </x:c>
      <x:c r="H507" s="13" t="n">
        <x:f>F507-G507</x:f>
        <x:v>3191.53</x:v>
      </x:c>
      <x:c r="I507" s="13" t="n">
        <x:f>IF(C507=0,"n.a.",F507/C507)</x:f>
        <x:v>455.9328571428572</x:v>
      </x:c>
      <x:c r="J507" s="3"/>
      <x:c r="K507" s="3"/>
      <x:c r="L507" s="3"/>
    </x:row>
    <x:row r="508" ht="22" customHeight="1">
      <x:c r="A508" s="3"/>
      <x:c r="B508" s="3" t="str">
        <x:v>13758</x:v>
      </x:c>
      <x:c r="C508" s="3" t="n">
        <x:v>7</x:v>
      </x:c>
      <x:c r="D508" s="51" t="n">
        <x:v>40875</x:v>
      </x:c>
      <x:c r="E508" s="3" t="str">
        <x:v>Recurrente</x:v>
      </x:c>
      <x:c r="F508" s="13" t="n">
        <x:v>3190.55</x:v>
      </x:c>
      <x:c r="G508" s="13" t="n">
        <x:v>0</x:v>
      </x:c>
      <x:c r="H508" s="13" t="n">
        <x:f>F508-G508</x:f>
        <x:v>3190.55</x:v>
      </x:c>
      <x:c r="I508" s="13" t="n">
        <x:f>IF(C508=0,"n.a.",F508/C508)</x:f>
        <x:v>455.79285714285714</x:v>
      </x:c>
      <x:c r="J508" s="3"/>
      <x:c r="K508" s="3"/>
      <x:c r="L508" s="3"/>
    </x:row>
    <x:row r="509" ht="22" customHeight="1">
      <x:c r="A509" s="3"/>
      <x:c r="B509" s="3" t="str">
        <x:v>14844</x:v>
      </x:c>
      <x:c r="C509" s="3" t="n">
        <x:v>4</x:v>
      </x:c>
      <x:c r="D509" s="51" t="n">
        <x:v>40823</x:v>
      </x:c>
      <x:c r="E509" s="3" t="str">
        <x:v>Recurrente</x:v>
      </x:c>
      <x:c r="F509" s="13" t="n">
        <x:v>3189.81</x:v>
      </x:c>
      <x:c r="G509" s="13" t="n">
        <x:v>0</x:v>
      </x:c>
      <x:c r="H509" s="13" t="n">
        <x:f>F509-G509</x:f>
        <x:v>3189.81</x:v>
      </x:c>
      <x:c r="I509" s="13" t="n">
        <x:f>IF(C509=0,"n.a.",F509/C509)</x:f>
        <x:v>797.4525</x:v>
      </x:c>
      <x:c r="J509" s="3"/>
      <x:c r="K509" s="3"/>
      <x:c r="L509" s="3"/>
    </x:row>
    <x:row r="510" ht="22" customHeight="1">
      <x:c r="A510" s="3"/>
      <x:c r="B510" s="3" t="str">
        <x:v>14388</x:v>
      </x:c>
      <x:c r="C510" s="3" t="n">
        <x:v>8</x:v>
      </x:c>
      <x:c r="D510" s="51" t="n">
        <x:v>40876</x:v>
      </x:c>
      <x:c r="E510" s="3" t="str">
        <x:v>Recurrente</x:v>
      </x:c>
      <x:c r="F510" s="13" t="n">
        <x:v>3212.84</x:v>
      </x:c>
      <x:c r="G510" s="13" t="n">
        <x:v>40.8</x:v>
      </x:c>
      <x:c r="H510" s="13" t="n">
        <x:f>F510-G510</x:f>
        <x:v>3172.04</x:v>
      </x:c>
      <x:c r="I510" s="13" t="n">
        <x:f>IF(C510=0,"n.a.",F510/C510)</x:f>
        <x:v>401.605</x:v>
      </x:c>
      <x:c r="J510" s="3"/>
      <x:c r="K510" s="3"/>
      <x:c r="L510" s="3"/>
    </x:row>
    <x:row r="511" ht="22" customHeight="1">
      <x:c r="A511" s="3"/>
      <x:c r="B511" s="3" t="str">
        <x:v>16837</x:v>
      </x:c>
      <x:c r="C511" s="3" t="n">
        <x:v>11</x:v>
      </x:c>
      <x:c r="D511" s="51" t="n">
        <x:v>40855</x:v>
      </x:c>
      <x:c r="E511" s="3" t="str">
        <x:v>Recurrente</x:v>
      </x:c>
      <x:c r="F511" s="13" t="n">
        <x:v>3170.98</x:v>
      </x:c>
      <x:c r="G511" s="13" t="n">
        <x:v>3.25</x:v>
      </x:c>
      <x:c r="H511" s="13" t="n">
        <x:f>F511-G511</x:f>
        <x:v>3167.73</x:v>
      </x:c>
      <x:c r="I511" s="13" t="n">
        <x:f>IF(C511=0,"n.a.",F511/C511)</x:f>
        <x:v>288.2709090909091</x:v>
      </x:c>
      <x:c r="J511" s="3"/>
      <x:c r="K511" s="3"/>
      <x:c r="L511" s="3"/>
    </x:row>
    <x:row r="512" ht="22" customHeight="1">
      <x:c r="A512" s="3"/>
      <x:c r="B512" s="3" t="str">
        <x:v>16041</x:v>
      </x:c>
      <x:c r="C512" s="3" t="n">
        <x:v>3</x:v>
      </x:c>
      <x:c r="D512" s="51" t="n">
        <x:v>40856</x:v>
      </x:c>
      <x:c r="E512" s="3" t="str">
        <x:v>Recurrente</x:v>
      </x:c>
      <x:c r="F512" s="13" t="n">
        <x:v>3166.4</x:v>
      </x:c>
      <x:c r="G512" s="13" t="n">
        <x:v>0</x:v>
      </x:c>
      <x:c r="H512" s="13" t="n">
        <x:f>F512-G512</x:f>
        <x:v>3166.4</x:v>
      </x:c>
      <x:c r="I512" s="13" t="n">
        <x:f>IF(C512=0,"n.a.",F512/C512)</x:f>
        <x:v>1055.4666666666667</x:v>
      </x:c>
      <x:c r="J512" s="3"/>
      <x:c r="K512" s="3"/>
      <x:c r="L512" s="3"/>
    </x:row>
    <x:row r="513" ht="22" customHeight="1">
      <x:c r="A513" s="3"/>
      <x:c r="B513" s="3" t="str">
        <x:v>17863</x:v>
      </x:c>
      <x:c r="C513" s="3" t="n">
        <x:v>6</x:v>
      </x:c>
      <x:c r="D513" s="51" t="n">
        <x:v>40827</x:v>
      </x:c>
      <x:c r="E513" s="3" t="str">
        <x:v>Recurrente</x:v>
      </x:c>
      <x:c r="F513" s="13" t="n">
        <x:v>3160</x:v>
      </x:c>
      <x:c r="G513" s="13" t="n">
        <x:v>0</x:v>
      </x:c>
      <x:c r="H513" s="13" t="n">
        <x:f>F513-G513</x:f>
        <x:v>3160</x:v>
      </x:c>
      <x:c r="I513" s="13" t="n">
        <x:f>IF(C513=0,"n.a.",F513/C513)</x:f>
        <x:v>526.6666666666666</x:v>
      </x:c>
      <x:c r="J513" s="3"/>
      <x:c r="K513" s="3"/>
      <x:c r="L513" s="3"/>
    </x:row>
    <x:row r="514" ht="22" customHeight="1">
      <x:c r="A514" s="3"/>
      <x:c r="B514" s="3" t="str">
        <x:v>12417</x:v>
      </x:c>
      <x:c r="C514" s="3" t="n">
        <x:v>9</x:v>
      </x:c>
      <x:c r="D514" s="51" t="n">
        <x:v>40883</x:v>
      </x:c>
      <x:c r="E514" s="3" t="str">
        <x:v>Recurrente</x:v>
      </x:c>
      <x:c r="F514" s="13" t="n">
        <x:v>3226.1</x:v>
      </x:c>
      <x:c r="G514" s="13" t="n">
        <x:v>70.3</x:v>
      </x:c>
      <x:c r="H514" s="13" t="n">
        <x:f>F514-G514</x:f>
        <x:v>3155.7999999999997</x:v>
      </x:c>
      <x:c r="I514" s="13" t="n">
        <x:f>IF(C514=0,"n.a.",F514/C514)</x:f>
        <x:v>358.4555555555555</x:v>
      </x:c>
      <x:c r="J514" s="3"/>
      <x:c r="K514" s="3"/>
      <x:c r="L514" s="3"/>
    </x:row>
    <x:row r="515" ht="22" customHeight="1">
      <x:c r="A515" s="3"/>
      <x:c r="B515" s="3" t="str">
        <x:v>14145</x:v>
      </x:c>
      <x:c r="C515" s="3" t="n">
        <x:v>4</x:v>
      </x:c>
      <x:c r="D515" s="51" t="n">
        <x:v>40840</x:v>
      </x:c>
      <x:c r="E515" s="3" t="str">
        <x:v>Recurrente</x:v>
      </x:c>
      <x:c r="F515" s="13" t="n">
        <x:v>3742.2</x:v>
      </x:c>
      <x:c r="G515" s="13" t="n">
        <x:v>594</x:v>
      </x:c>
      <x:c r="H515" s="13" t="n">
        <x:f>F515-G515</x:f>
        <x:v>3148.2</x:v>
      </x:c>
      <x:c r="I515" s="13" t="n">
        <x:f>IF(C515=0,"n.a.",F515/C515)</x:f>
        <x:v>935.55</x:v>
      </x:c>
      <x:c r="J515" s="3"/>
      <x:c r="K515" s="3"/>
      <x:c r="L515" s="3"/>
    </x:row>
    <x:row r="516" ht="22" customHeight="1">
      <x:c r="A516" s="3"/>
      <x:c r="B516" s="3" t="str">
        <x:v>15632</x:v>
      </x:c>
      <x:c r="C516" s="3" t="n">
        <x:v>8</x:v>
      </x:c>
      <x:c r="D516" s="51" t="n">
        <x:v>40871</x:v>
      </x:c>
      <x:c r="E516" s="3" t="str">
        <x:v>Recurrente</x:v>
      </x:c>
      <x:c r="F516" s="13" t="n">
        <x:v>3285.31</x:v>
      </x:c>
      <x:c r="G516" s="13" t="n">
        <x:v>138</x:v>
      </x:c>
      <x:c r="H516" s="13" t="n">
        <x:f>F516-G516</x:f>
        <x:v>3147.31</x:v>
      </x:c>
      <x:c r="I516" s="13" t="n">
        <x:f>IF(C516=0,"n.a.",F516/C516)</x:f>
        <x:v>410.66375</x:v>
      </x:c>
      <x:c r="J516" s="3"/>
      <x:c r="K516" s="3"/>
      <x:c r="L516" s="3"/>
    </x:row>
    <x:row r="517" ht="22" customHeight="1">
      <x:c r="A517" s="3"/>
      <x:c r="B517" s="3" t="str">
        <x:v>13268</x:v>
      </x:c>
      <x:c r="C517" s="3" t="n">
        <x:v>10</x:v>
      </x:c>
      <x:c r="D517" s="51" t="n">
        <x:v>40869</x:v>
      </x:c>
      <x:c r="E517" s="3" t="str">
        <x:v>Recurrente</x:v>
      </x:c>
      <x:c r="F517" s="13" t="n">
        <x:v>3192.65</x:v>
      </x:c>
      <x:c r="G517" s="13" t="n">
        <x:v>47.05</x:v>
      </x:c>
      <x:c r="H517" s="13" t="n">
        <x:f>F517-G517</x:f>
        <x:v>3145.6</x:v>
      </x:c>
      <x:c r="I517" s="13" t="n">
        <x:f>IF(C517=0,"n.a.",F517/C517)</x:f>
        <x:v>319.265</x:v>
      </x:c>
      <x:c r="J517" s="3"/>
      <x:c r="K517" s="3"/>
      <x:c r="L517" s="3"/>
    </x:row>
    <x:row r="518" ht="22" customHeight="1">
      <x:c r="A518" s="3"/>
      <x:c r="B518" s="3" t="str">
        <x:v>15065</x:v>
      </x:c>
      <x:c r="C518" s="3" t="n">
        <x:v>4</x:v>
      </x:c>
      <x:c r="D518" s="51" t="n">
        <x:v>40849</x:v>
      </x:c>
      <x:c r="E518" s="3" t="str">
        <x:v>Recurrente</x:v>
      </x:c>
      <x:c r="F518" s="13" t="n">
        <x:v>3158.13</x:v>
      </x:c>
      <x:c r="G518" s="13" t="n">
        <x:v>22.15</x:v>
      </x:c>
      <x:c r="H518" s="13" t="n">
        <x:f>F518-G518</x:f>
        <x:v>3135.98</x:v>
      </x:c>
      <x:c r="I518" s="13" t="n">
        <x:f>IF(C518=0,"n.a.",F518/C518)</x:f>
        <x:v>789.5325</x:v>
      </x:c>
      <x:c r="J518" s="3"/>
      <x:c r="K518" s="3"/>
      <x:c r="L518" s="3"/>
    </x:row>
    <x:row r="519" ht="22" customHeight="1">
      <x:c r="A519" s="3"/>
      <x:c r="B519" s="3" t="str">
        <x:v>12569</x:v>
      </x:c>
      <x:c r="C519" s="3" t="n">
        <x:v>32</x:v>
      </x:c>
      <x:c r="D519" s="51" t="n">
        <x:v>40884</x:v>
      </x:c>
      <x:c r="E519" s="3" t="str">
        <x:v>Recurrente</x:v>
      </x:c>
      <x:c r="F519" s="13" t="n">
        <x:v>3152.69</x:v>
      </x:c>
      <x:c r="G519" s="13" t="n">
        <x:v>23.7</x:v>
      </x:c>
      <x:c r="H519" s="13" t="n">
        <x:f>F519-G519</x:f>
        <x:v>3128.9900000000002</x:v>
      </x:c>
      <x:c r="I519" s="13" t="n">
        <x:f>IF(C519=0,"n.a.",F519/C519)</x:f>
        <x:v>98.5215625</x:v>
      </x:c>
      <x:c r="J519" s="3"/>
      <x:c r="K519" s="3"/>
      <x:c r="L519" s="3"/>
    </x:row>
    <x:row r="520" ht="22" customHeight="1">
      <x:c r="A520" s="3"/>
      <x:c r="B520" s="3" t="str">
        <x:v>17231</x:v>
      </x:c>
      <x:c r="C520" s="3" t="n">
        <x:v>10</x:v>
      </x:c>
      <x:c r="D520" s="51" t="n">
        <x:v>40874</x:v>
      </x:c>
      <x:c r="E520" s="3" t="str">
        <x:v>Recurrente</x:v>
      </x:c>
      <x:c r="F520" s="13" t="n">
        <x:v>3174.32</x:v>
      </x:c>
      <x:c r="G520" s="13" t="n">
        <x:v>46.5</x:v>
      </x:c>
      <x:c r="H520" s="13" t="n">
        <x:f>F520-G520</x:f>
        <x:v>3127.82</x:v>
      </x:c>
      <x:c r="I520" s="13" t="n">
        <x:f>IF(C520=0,"n.a.",F520/C520)</x:f>
        <x:v>317.432</x:v>
      </x:c>
      <x:c r="J520" s="3"/>
      <x:c r="K520" s="3"/>
      <x:c r="L520" s="3"/>
    </x:row>
    <x:row r="521" ht="22" customHeight="1">
      <x:c r="A521" s="3"/>
      <x:c r="B521" s="3" t="str">
        <x:v>13685</x:v>
      </x:c>
      <x:c r="C521" s="3" t="n">
        <x:v>7</x:v>
      </x:c>
      <x:c r="D521" s="51" t="n">
        <x:v>40884</x:v>
      </x:c>
      <x:c r="E521" s="3" t="str">
        <x:v>Recurrente</x:v>
      </x:c>
      <x:c r="F521" s="13" t="n">
        <x:v>3119.44</x:v>
      </x:c>
      <x:c r="G521" s="13" t="n">
        <x:v>0</x:v>
      </x:c>
      <x:c r="H521" s="13" t="n">
        <x:f>F521-G521</x:f>
        <x:v>3119.44</x:v>
      </x:c>
      <x:c r="I521" s="13" t="n">
        <x:f>IF(C521=0,"n.a.",F521/C521)</x:f>
        <x:v>445.63428571428574</x:v>
      </x:c>
      <x:c r="J521" s="3"/>
      <x:c r="K521" s="3"/>
      <x:c r="L521" s="3"/>
    </x:row>
    <x:row r="522" ht="22" customHeight="1">
      <x:c r="A522" s="3"/>
      <x:c r="B522" s="3" t="str">
        <x:v>12668</x:v>
      </x:c>
      <x:c r="C522" s="3" t="n">
        <x:v>4</x:v>
      </x:c>
      <x:c r="D522" s="51" t="n">
        <x:v>40875</x:v>
      </x:c>
      <x:c r="E522" s="3" t="str">
        <x:v>Recurrente</x:v>
      </x:c>
      <x:c r="F522" s="13" t="n">
        <x:v>3177.15</x:v>
      </x:c>
      <x:c r="G522" s="13" t="n">
        <x:v>63.97</x:v>
      </x:c>
      <x:c r="H522" s="13" t="n">
        <x:f>F522-G522</x:f>
        <x:v>3113.1800000000003</x:v>
      </x:c>
      <x:c r="I522" s="13" t="n">
        <x:f>IF(C522=0,"n.a.",F522/C522)</x:f>
        <x:v>794.2875</x:v>
      </x:c>
      <x:c r="J522" s="3"/>
      <x:c r="K522" s="3"/>
      <x:c r="L522" s="3"/>
    </x:row>
    <x:row r="523" ht="22" customHeight="1">
      <x:c r="A523" s="3"/>
      <x:c r="B523" s="3" t="str">
        <x:v>14175</x:v>
      </x:c>
      <x:c r="C523" s="3" t="n">
        <x:v>3</x:v>
      </x:c>
      <x:c r="D523" s="51" t="n">
        <x:v>40827</x:v>
      </x:c>
      <x:c r="E523" s="3" t="str">
        <x:v>Recurrente</x:v>
      </x:c>
      <x:c r="F523" s="13" t="n">
        <x:v>3222.3</x:v>
      </x:c>
      <x:c r="G523" s="13" t="n">
        <x:v>114.24</x:v>
      </x:c>
      <x:c r="H523" s="13" t="n">
        <x:f>F523-G523</x:f>
        <x:v>3108.0600000000004</x:v>
      </x:c>
      <x:c r="I523" s="13" t="n">
        <x:f>IF(C523=0,"n.a.",F523/C523)</x:f>
        <x:v>1074.1000000000001</x:v>
      </x:c>
      <x:c r="J523" s="3"/>
      <x:c r="K523" s="3"/>
      <x:c r="L523" s="3"/>
    </x:row>
    <x:row r="524" ht="22" customHeight="1">
      <x:c r="A524" s="3"/>
      <x:c r="B524" s="3" t="str">
        <x:v>17672</x:v>
      </x:c>
      <x:c r="C524" s="3" t="n">
        <x:v>2</x:v>
      </x:c>
      <x:c r="D524" s="51" t="n">
        <x:v>40836</x:v>
      </x:c>
      <x:c r="E524" s="3" t="str">
        <x:v>Recurrente</x:v>
      </x:c>
      <x:c r="F524" s="13" t="n">
        <x:v>3178.17</x:v>
      </x:c>
      <x:c r="G524" s="13" t="n">
        <x:v>71.55</x:v>
      </x:c>
      <x:c r="H524" s="13" t="n">
        <x:f>F524-G524</x:f>
        <x:v>3106.62</x:v>
      </x:c>
      <x:c r="I524" s="13" t="n">
        <x:f>IF(C524=0,"n.a.",F524/C524)</x:f>
        <x:v>1589.085</x:v>
      </x:c>
      <x:c r="J524" s="3"/>
      <x:c r="K524" s="3"/>
      <x:c r="L524" s="3"/>
    </x:row>
    <x:row r="525" ht="22" customHeight="1">
      <x:c r="A525" s="3"/>
      <x:c r="B525" s="3" t="str">
        <x:v>13869</x:v>
      </x:c>
      <x:c r="C525" s="3" t="n">
        <x:v>4</x:v>
      </x:c>
      <x:c r="D525" s="51" t="n">
        <x:v>40763</x:v>
      </x:c>
      <x:c r="E525" s="3" t="str">
        <x:v>Recurrente</x:v>
      </x:c>
      <x:c r="F525" s="13" t="n">
        <x:v>3104.95</x:v>
      </x:c>
      <x:c r="G525" s="13" t="n">
        <x:v>0</x:v>
      </x:c>
      <x:c r="H525" s="13" t="n">
        <x:f>F525-G525</x:f>
        <x:v>3104.95</x:v>
      </x:c>
      <x:c r="I525" s="13" t="n">
        <x:f>IF(C525=0,"n.a.",F525/C525)</x:f>
        <x:v>776.2375</x:v>
      </x:c>
      <x:c r="J525" s="3"/>
      <x:c r="K525" s="3"/>
      <x:c r="L525" s="3"/>
    </x:row>
    <x:row r="526" ht="22" customHeight="1">
      <x:c r="A526" s="3"/>
      <x:c r="B526" s="3" t="str">
        <x:v>13742</x:v>
      </x:c>
      <x:c r="C526" s="3" t="n">
        <x:v>12</x:v>
      </x:c>
      <x:c r="D526" s="51" t="n">
        <x:v>40870</x:v>
      </x:c>
      <x:c r="E526" s="3" t="str">
        <x:v>Recurrente</x:v>
      </x:c>
      <x:c r="F526" s="13" t="n">
        <x:v>3131.02</x:v>
      </x:c>
      <x:c r="G526" s="13" t="n">
        <x:v>28.6</x:v>
      </x:c>
      <x:c r="H526" s="13" t="n">
        <x:f>F526-G526</x:f>
        <x:v>3102.42</x:v>
      </x:c>
      <x:c r="I526" s="13" t="n">
        <x:f>IF(C526=0,"n.a.",F526/C526)</x:f>
        <x:v>260.91833333333335</x:v>
      </x:c>
      <x:c r="J526" s="3"/>
      <x:c r="K526" s="3"/>
      <x:c r="L526" s="3"/>
    </x:row>
    <x:row r="527" ht="22" customHeight="1">
      <x:c r="A527" s="3"/>
      <x:c r="B527" s="3" t="str">
        <x:v>13135</x:v>
      </x:c>
      <x:c r="C527" s="3" t="n">
        <x:v>1</x:v>
      </x:c>
      <x:c r="D527" s="51" t="n">
        <x:v>40690</x:v>
      </x:c>
      <x:c r="E527" s="3" t="str">
        <x:v>Una compra</x:v>
      </x:c>
      <x:c r="F527" s="13" t="n">
        <x:v>3096</x:v>
      </x:c>
      <x:c r="G527" s="13" t="n">
        <x:v>0</x:v>
      </x:c>
      <x:c r="H527" s="13" t="n">
        <x:f>F527-G527</x:f>
        <x:v>3096</x:v>
      </x:c>
      <x:c r="I527" s="13" t="n">
        <x:f>IF(C527=0,"n.a.",F527/C527)</x:f>
        <x:v>3096</x:v>
      </x:c>
      <x:c r="J527" s="3"/>
      <x:c r="K527" s="3"/>
      <x:c r="L527" s="3"/>
    </x:row>
    <x:row r="528" ht="22" customHeight="1">
      <x:c r="A528" s="3"/>
      <x:c r="B528" s="3" t="str">
        <x:v>17059</x:v>
      </x:c>
      <x:c r="C528" s="3" t="n">
        <x:v>5</x:v>
      </x:c>
      <x:c r="D528" s="51" t="n">
        <x:v>40857</x:v>
      </x:c>
      <x:c r="E528" s="3" t="str">
        <x:v>Recurrente</x:v>
      </x:c>
      <x:c r="F528" s="13" t="n">
        <x:v>3095.04</x:v>
      </x:c>
      <x:c r="G528" s="13" t="n">
        <x:v>0</x:v>
      </x:c>
      <x:c r="H528" s="13" t="n">
        <x:f>F528-G528</x:f>
        <x:v>3095.04</x:v>
      </x:c>
      <x:c r="I528" s="13" t="n">
        <x:f>IF(C528=0,"n.a.",F528/C528)</x:f>
        <x:v>619.008</x:v>
      </x:c>
      <x:c r="J528" s="3"/>
      <x:c r="K528" s="3"/>
      <x:c r="L528" s="3"/>
    </x:row>
    <x:row r="529" ht="22" customHeight="1">
      <x:c r="A529" s="3"/>
      <x:c r="B529" s="3" t="str">
        <x:v>12647</x:v>
      </x:c>
      <x:c r="C529" s="3" t="n">
        <x:v>12</x:v>
      </x:c>
      <x:c r="D529" s="51" t="n">
        <x:v>40864</x:v>
      </x:c>
      <x:c r="E529" s="3" t="str">
        <x:v>Recurrente</x:v>
      </x:c>
      <x:c r="F529" s="13" t="n">
        <x:v>3146.82</x:v>
      </x:c>
      <x:c r="G529" s="13" t="n">
        <x:v>52.9</x:v>
      </x:c>
      <x:c r="H529" s="13" t="n">
        <x:f>F529-G529</x:f>
        <x:v>3093.92</x:v>
      </x:c>
      <x:c r="I529" s="13" t="n">
        <x:f>IF(C529=0,"n.a.",F529/C529)</x:f>
        <x:v>262.235</x:v>
      </x:c>
      <x:c r="J529" s="3"/>
      <x:c r="K529" s="3"/>
      <x:c r="L529" s="3"/>
    </x:row>
    <x:row r="530" ht="22" customHeight="1">
      <x:c r="A530" s="3"/>
      <x:c r="B530" s="3" t="str">
        <x:v>14235</x:v>
      </x:c>
      <x:c r="C530" s="3" t="n">
        <x:v>5</x:v>
      </x:c>
      <x:c r="D530" s="51" t="n">
        <x:v>40811</x:v>
      </x:c>
      <x:c r="E530" s="3" t="str">
        <x:v>Recurrente</x:v>
      </x:c>
      <x:c r="F530" s="13" t="n">
        <x:v>3144.86</x:v>
      </x:c>
      <x:c r="G530" s="13" t="n">
        <x:v>51</x:v>
      </x:c>
      <x:c r="H530" s="13" t="n">
        <x:f>F530-G530</x:f>
        <x:v>3093.86</x:v>
      </x:c>
      <x:c r="I530" s="13" t="n">
        <x:f>IF(C530=0,"n.a.",F530/C530)</x:f>
        <x:v>628.972</x:v>
      </x:c>
      <x:c r="J530" s="3"/>
      <x:c r="K530" s="3"/>
      <x:c r="L530" s="3"/>
    </x:row>
    <x:row r="531" ht="22" customHeight="1">
      <x:c r="A531" s="3"/>
      <x:c r="B531" s="3" t="str">
        <x:v>14099</x:v>
      </x:c>
      <x:c r="C531" s="3" t="n">
        <x:v>11</x:v>
      </x:c>
      <x:c r="D531" s="51" t="n">
        <x:v>40870</x:v>
      </x:c>
      <x:c r="E531" s="3" t="str">
        <x:v>Recurrente</x:v>
      </x:c>
      <x:c r="F531" s="13" t="n">
        <x:v>3104.17</x:v>
      </x:c>
      <x:c r="G531" s="13" t="n">
        <x:v>11.2</x:v>
      </x:c>
      <x:c r="H531" s="13" t="n">
        <x:f>F531-G531</x:f>
        <x:v>3092.9700000000003</x:v>
      </x:c>
      <x:c r="I531" s="13" t="n">
        <x:f>IF(C531=0,"n.a.",F531/C531)</x:f>
        <x:v>282.1972727272727</x:v>
      </x:c>
      <x:c r="J531" s="3"/>
      <x:c r="K531" s="3"/>
      <x:c r="L531" s="3"/>
    </x:row>
    <x:row r="532" ht="22" customHeight="1">
      <x:c r="A532" s="3"/>
      <x:c r="B532" s="3" t="str">
        <x:v>15491</x:v>
      </x:c>
      <x:c r="C532" s="3" t="n">
        <x:v>6</x:v>
      </x:c>
      <x:c r="D532" s="51" t="n">
        <x:v>40791</x:v>
      </x:c>
      <x:c r="E532" s="3" t="str">
        <x:v>Recurrente</x:v>
      </x:c>
      <x:c r="F532" s="13" t="n">
        <x:v>3100.09</x:v>
      </x:c>
      <x:c r="G532" s="13" t="n">
        <x:v>9.24</x:v>
      </x:c>
      <x:c r="H532" s="13" t="n">
        <x:f>F532-G532</x:f>
        <x:v>3090.8500000000004</x:v>
      </x:c>
      <x:c r="I532" s="13" t="n">
        <x:f>IF(C532=0,"n.a.",F532/C532)</x:f>
        <x:v>516.6816666666667</x:v>
      </x:c>
      <x:c r="J532" s="3"/>
      <x:c r="K532" s="3"/>
      <x:c r="L532" s="3"/>
    </x:row>
    <x:row r="533" ht="22" customHeight="1">
      <x:c r="A533" s="3"/>
      <x:c r="B533" s="3" t="str">
        <x:v>13047</x:v>
      </x:c>
      <x:c r="C533" s="3" t="n">
        <x:v>9</x:v>
      </x:c>
      <x:c r="D533" s="51" t="n">
        <x:v>40830</x:v>
      </x:c>
      <x:c r="E533" s="3" t="str">
        <x:v>Recurrente</x:v>
      </x:c>
      <x:c r="F533" s="13" t="n">
        <x:v>3232.59</x:v>
      </x:c>
      <x:c r="G533" s="13" t="n">
        <x:v>143.49</x:v>
      </x:c>
      <x:c r="H533" s="13" t="n">
        <x:f>F533-G533</x:f>
        <x:v>3089.1000000000004</x:v>
      </x:c>
      <x:c r="I533" s="13" t="n">
        <x:f>IF(C533=0,"n.a.",F533/C533)</x:f>
        <x:v>359.1766666666667</x:v>
      </x:c>
      <x:c r="J533" s="3"/>
      <x:c r="K533" s="3"/>
      <x:c r="L533" s="3"/>
    </x:row>
    <x:row r="534" ht="22" customHeight="1">
      <x:c r="A534" s="3"/>
      <x:c r="B534" s="3" t="str">
        <x:v>14257</x:v>
      </x:c>
      <x:c r="C534" s="3" t="n">
        <x:v>5</x:v>
      </x:c>
      <x:c r="D534" s="51" t="n">
        <x:v>40822</x:v>
      </x:c>
      <x:c r="E534" s="3" t="str">
        <x:v>Recurrente</x:v>
      </x:c>
      <x:c r="F534" s="13" t="n">
        <x:v>3099.72</x:v>
      </x:c>
      <x:c r="G534" s="13" t="n">
        <x:v>12.45</x:v>
      </x:c>
      <x:c r="H534" s="13" t="n">
        <x:f>F534-G534</x:f>
        <x:v>3087.27</x:v>
      </x:c>
      <x:c r="I534" s="13" t="n">
        <x:f>IF(C534=0,"n.a.",F534/C534)</x:f>
        <x:v>619.944</x:v>
      </x:c>
      <x:c r="J534" s="3"/>
      <x:c r="K534" s="3"/>
      <x:c r="L534" s="3"/>
    </x:row>
    <x:row r="535" ht="22" customHeight="1">
      <x:c r="A535" s="3"/>
      <x:c r="B535" s="3" t="str">
        <x:v>16326</x:v>
      </x:c>
      <x:c r="C535" s="3" t="n">
        <x:v>14</x:v>
      </x:c>
      <x:c r="D535" s="51" t="n">
        <x:v>40881</x:v>
      </x:c>
      <x:c r="E535" s="3" t="str">
        <x:v>Recurrente</x:v>
      </x:c>
      <x:c r="F535" s="13" t="n">
        <x:v>3110.96</x:v>
      </x:c>
      <x:c r="G535" s="13" t="n">
        <x:v>25</x:v>
      </x:c>
      <x:c r="H535" s="13" t="n">
        <x:f>F535-G535</x:f>
        <x:v>3085.96</x:v>
      </x:c>
      <x:c r="I535" s="13" t="n">
        <x:f>IF(C535=0,"n.a.",F535/C535)</x:f>
        <x:v>222.21142857142857</x:v>
      </x:c>
      <x:c r="J535" s="3"/>
      <x:c r="K535" s="3"/>
      <x:c r="L535" s="3"/>
    </x:row>
    <x:row r="536" ht="22" customHeight="1">
      <x:c r="A536" s="3"/>
      <x:c r="B536" s="3" t="str">
        <x:v>13362</x:v>
      </x:c>
      <x:c r="C536" s="3" t="n">
        <x:v>4</x:v>
      </x:c>
      <x:c r="D536" s="51" t="n">
        <x:v>40877</x:v>
      </x:c>
      <x:c r="E536" s="3" t="str">
        <x:v>Recurrente</x:v>
      </x:c>
      <x:c r="F536" s="13" t="n">
        <x:v>3090.74</x:v>
      </x:c>
      <x:c r="G536" s="13" t="n">
        <x:v>5.25</x:v>
      </x:c>
      <x:c r="H536" s="13" t="n">
        <x:f>F536-G536</x:f>
        <x:v>3085.49</x:v>
      </x:c>
      <x:c r="I536" s="13" t="n">
        <x:f>IF(C536=0,"n.a.",F536/C536)</x:f>
        <x:v>772.685</x:v>
      </x:c>
      <x:c r="J536" s="3"/>
      <x:c r="K536" s="3"/>
      <x:c r="L536" s="3"/>
    </x:row>
    <x:row r="537" ht="22" customHeight="1">
      <x:c r="A537" s="3"/>
      <x:c r="B537" s="3" t="str">
        <x:v>16905</x:v>
      </x:c>
      <x:c r="C537" s="3" t="n">
        <x:v>7</x:v>
      </x:c>
      <x:c r="D537" s="51" t="n">
        <x:v>40881</x:v>
      </x:c>
      <x:c r="E537" s="3" t="str">
        <x:v>Recurrente</x:v>
      </x:c>
      <x:c r="F537" s="13" t="n">
        <x:v>3102.43</x:v>
      </x:c>
      <x:c r="G537" s="13" t="n">
        <x:v>16.95</x:v>
      </x:c>
      <x:c r="H537" s="13" t="n">
        <x:f>F537-G537</x:f>
        <x:v>3085.48</x:v>
      </x:c>
      <x:c r="I537" s="13" t="n">
        <x:f>IF(C537=0,"n.a.",F537/C537)</x:f>
        <x:v>443.2042857142857</x:v>
      </x:c>
      <x:c r="J537" s="3"/>
      <x:c r="K537" s="3"/>
      <x:c r="L537" s="3"/>
    </x:row>
    <x:row r="538" ht="22" customHeight="1">
      <x:c r="A538" s="3"/>
      <x:c r="B538" s="3" t="str">
        <x:v>15998</x:v>
      </x:c>
      <x:c r="C538" s="3" t="n">
        <x:v>5</x:v>
      </x:c>
      <x:c r="D538" s="51" t="n">
        <x:v>40850</x:v>
      </x:c>
      <x:c r="E538" s="3" t="str">
        <x:v>Recurrente</x:v>
      </x:c>
      <x:c r="F538" s="13" t="n">
        <x:v>3089.97</x:v>
      </x:c>
      <x:c r="G538" s="13" t="n">
        <x:v>5.8</x:v>
      </x:c>
      <x:c r="H538" s="13" t="n">
        <x:f>F538-G538</x:f>
        <x:v>3084.1699999999996</x:v>
      </x:c>
      <x:c r="I538" s="13" t="n">
        <x:f>IF(C538=0,"n.a.",F538/C538)</x:f>
        <x:v>617.9939999999999</x:v>
      </x:c>
      <x:c r="J538" s="3"/>
      <x:c r="K538" s="3"/>
      <x:c r="L538" s="3"/>
    </x:row>
    <x:row r="539" ht="22" customHeight="1">
      <x:c r="A539" s="3"/>
      <x:c r="B539" s="3" t="str">
        <x:v>12910</x:v>
      </x:c>
      <x:c r="C539" s="3" t="n">
        <x:v>8</x:v>
      </x:c>
      <x:c r="D539" s="51" t="n">
        <x:v>40863</x:v>
      </x:c>
      <x:c r="E539" s="3" t="str">
        <x:v>Recurrente</x:v>
      </x:c>
      <x:c r="F539" s="13" t="n">
        <x:v>3075.04</x:v>
      </x:c>
      <x:c r="G539" s="13" t="n">
        <x:v>0</x:v>
      </x:c>
      <x:c r="H539" s="13" t="n">
        <x:f>F539-G539</x:f>
        <x:v>3075.04</x:v>
      </x:c>
      <x:c r="I539" s="13" t="n">
        <x:f>IF(C539=0,"n.a.",F539/C539)</x:f>
        <x:v>384.38</x:v>
      </x:c>
      <x:c r="J539" s="3"/>
      <x:c r="K539" s="3"/>
      <x:c r="L539" s="3"/>
    </x:row>
    <x:row r="540" ht="22" customHeight="1">
      <x:c r="A540" s="3"/>
      <x:c r="B540" s="3" t="str">
        <x:v>12597</x:v>
      </x:c>
      <x:c r="C540" s="3" t="n">
        <x:v>4</x:v>
      </x:c>
      <x:c r="D540" s="51" t="n">
        <x:v>40867</x:v>
      </x:c>
      <x:c r="E540" s="3" t="str">
        <x:v>Recurrente</x:v>
      </x:c>
      <x:c r="F540" s="13" t="n">
        <x:v>3195.22</x:v>
      </x:c>
      <x:c r="G540" s="13" t="n">
        <x:v>128.09</x:v>
      </x:c>
      <x:c r="H540" s="13" t="n">
        <x:f>F540-G540</x:f>
        <x:v>3067.1299999999997</x:v>
      </x:c>
      <x:c r="I540" s="13" t="n">
        <x:f>IF(C540=0,"n.a.",F540/C540)</x:f>
        <x:v>798.805</x:v>
      </x:c>
      <x:c r="J540" s="3"/>
      <x:c r="K540" s="3"/>
      <x:c r="L540" s="3"/>
    </x:row>
    <x:row r="541" ht="22" customHeight="1">
      <x:c r="A541" s="3"/>
      <x:c r="B541" s="3" t="str">
        <x:v>18272</x:v>
      </x:c>
      <x:c r="C541" s="3" t="n">
        <x:v>6</x:v>
      </x:c>
      <x:c r="D541" s="51" t="n">
        <x:v>40884</x:v>
      </x:c>
      <x:c r="E541" s="3" t="str">
        <x:v>Recurrente</x:v>
      </x:c>
      <x:c r="F541" s="13" t="n">
        <x:v>3078.58</x:v>
      </x:c>
      <x:c r="G541" s="13" t="n">
        <x:v>13.8</x:v>
      </x:c>
      <x:c r="H541" s="13" t="n">
        <x:f>F541-G541</x:f>
        <x:v>3064.7799999999997</x:v>
      </x:c>
      <x:c r="I541" s="13" t="n">
        <x:f>IF(C541=0,"n.a.",F541/C541)</x:f>
        <x:v>513.0966666666667</x:v>
      </x:c>
      <x:c r="J541" s="3"/>
      <x:c r="K541" s="3"/>
      <x:c r="L541" s="3"/>
    </x:row>
    <x:row r="542" ht="22" customHeight="1">
      <x:c r="A542" s="3"/>
      <x:c r="B542" s="3" t="str">
        <x:v>16218</x:v>
      </x:c>
      <x:c r="C542" s="3" t="n">
        <x:v>7</x:v>
      </x:c>
      <x:c r="D542" s="51" t="n">
        <x:v>40857</x:v>
      </x:c>
      <x:c r="E542" s="3" t="str">
        <x:v>Recurrente</x:v>
      </x:c>
      <x:c r="F542" s="13" t="n">
        <x:v>3084.68</x:v>
      </x:c>
      <x:c r="G542" s="13" t="n">
        <x:v>29.81</x:v>
      </x:c>
      <x:c r="H542" s="13" t="n">
        <x:f>F542-G542</x:f>
        <x:v>3054.87</x:v>
      </x:c>
      <x:c r="I542" s="13" t="n">
        <x:f>IF(C542=0,"n.a.",F542/C542)</x:f>
        <x:v>440.6685714285714</x:v>
      </x:c>
      <x:c r="J542" s="3"/>
      <x:c r="K542" s="3"/>
      <x:c r="L542" s="3"/>
    </x:row>
    <x:row r="543" ht="22" customHeight="1">
      <x:c r="A543" s="3"/>
      <x:c r="B543" s="3" t="str">
        <x:v>16940</x:v>
      </x:c>
      <x:c r="C543" s="3" t="n">
        <x:v>3</x:v>
      </x:c>
      <x:c r="D543" s="51" t="n">
        <x:v>40834</x:v>
      </x:c>
      <x:c r="E543" s="3" t="str">
        <x:v>Recurrente</x:v>
      </x:c>
      <x:c r="F543" s="13" t="n">
        <x:v>3049.88</x:v>
      </x:c>
      <x:c r="G543" s="13" t="n">
        <x:v>0</x:v>
      </x:c>
      <x:c r="H543" s="13" t="n">
        <x:f>F543-G543</x:f>
        <x:v>3049.88</x:v>
      </x:c>
      <x:c r="I543" s="13" t="n">
        <x:f>IF(C543=0,"n.a.",F543/C543)</x:f>
        <x:v>1016.6266666666667</x:v>
      </x:c>
      <x:c r="J543" s="3"/>
      <x:c r="K543" s="3"/>
      <x:c r="L543" s="3"/>
    </x:row>
    <x:row r="544" ht="22" customHeight="1">
      <x:c r="A544" s="3"/>
      <x:c r="B544" s="3" t="str">
        <x:v>14456</x:v>
      </x:c>
      <x:c r="C544" s="3" t="n">
        <x:v>9</x:v>
      </x:c>
      <x:c r="D544" s="51" t="n">
        <x:v>40881</x:v>
      </x:c>
      <x:c r="E544" s="3" t="str">
        <x:v>Recurrente</x:v>
      </x:c>
      <x:c r="F544" s="13" t="n">
        <x:v>3059.44</x:v>
      </x:c>
      <x:c r="G544" s="13" t="n">
        <x:v>13.52</x:v>
      </x:c>
      <x:c r="H544" s="13" t="n">
        <x:f>F544-G544</x:f>
        <x:v>3045.92</x:v>
      </x:c>
      <x:c r="I544" s="13" t="n">
        <x:f>IF(C544=0,"n.a.",F544/C544)</x:f>
        <x:v>339.9377777777778</x:v>
      </x:c>
      <x:c r="J544" s="3"/>
      <x:c r="K544" s="3"/>
      <x:c r="L544" s="3"/>
    </x:row>
    <x:row r="545" ht="22" customHeight="1">
      <x:c r="A545" s="3"/>
      <x:c r="B545" s="3" t="str">
        <x:v>16686</x:v>
      </x:c>
      <x:c r="C545" s="3" t="n">
        <x:v>7</x:v>
      </x:c>
      <x:c r="D545" s="51" t="n">
        <x:v>40839</x:v>
      </x:c>
      <x:c r="E545" s="3" t="str">
        <x:v>Recurrente</x:v>
      </x:c>
      <x:c r="F545" s="13" t="n">
        <x:v>3062.83</x:v>
      </x:c>
      <x:c r="G545" s="13" t="n">
        <x:v>19.35</x:v>
      </x:c>
      <x:c r="H545" s="13" t="n">
        <x:f>F545-G545</x:f>
        <x:v>3043.48</x:v>
      </x:c>
      <x:c r="I545" s="13" t="n">
        <x:f>IF(C545=0,"n.a.",F545/C545)</x:f>
        <x:v>437.54714285714283</x:v>
      </x:c>
      <x:c r="J545" s="3"/>
      <x:c r="K545" s="3"/>
      <x:c r="L545" s="3"/>
    </x:row>
    <x:row r="546" ht="22" customHeight="1">
      <x:c r="A546" s="3"/>
      <x:c r="B546" s="3" t="str">
        <x:v>12643</x:v>
      </x:c>
      <x:c r="C546" s="3" t="n">
        <x:v>6</x:v>
      </x:c>
      <x:c r="D546" s="51" t="n">
        <x:v>40758</x:v>
      </x:c>
      <x:c r="E546" s="3" t="str">
        <x:v>Recurrente</x:v>
      </x:c>
      <x:c r="F546" s="13" t="n">
        <x:v>3041.64</x:v>
      </x:c>
      <x:c r="G546" s="13" t="n">
        <x:v>0</x:v>
      </x:c>
      <x:c r="H546" s="13" t="n">
        <x:f>F546-G546</x:f>
        <x:v>3041.64</x:v>
      </x:c>
      <x:c r="I546" s="13" t="n">
        <x:f>IF(C546=0,"n.a.",F546/C546)</x:f>
        <x:v>506.94</x:v>
      </x:c>
      <x:c r="J546" s="3"/>
      <x:c r="K546" s="3"/>
      <x:c r="L546" s="3"/>
    </x:row>
    <x:row r="547" ht="22" customHeight="1">
      <x:c r="A547" s="3"/>
      <x:c r="B547" s="3" t="str">
        <x:v>16607</x:v>
      </x:c>
      <x:c r="C547" s="3" t="n">
        <x:v>14</x:v>
      </x:c>
      <x:c r="D547" s="51" t="n">
        <x:v>40869</x:v>
      </x:c>
      <x:c r="E547" s="3" t="str">
        <x:v>Recurrente</x:v>
      </x:c>
      <x:c r="F547" s="13" t="n">
        <x:v>3347.71</x:v>
      </x:c>
      <x:c r="G547" s="13" t="n">
        <x:v>309.04</x:v>
      </x:c>
      <x:c r="H547" s="13" t="n">
        <x:f>F547-G547</x:f>
        <x:v>3038.67</x:v>
      </x:c>
      <x:c r="I547" s="13" t="n">
        <x:f>IF(C547=0,"n.a.",F547/C547)</x:f>
        <x:v>239.12214285714285</x:v>
      </x:c>
      <x:c r="J547" s="3"/>
      <x:c r="K547" s="3"/>
      <x:c r="L547" s="3"/>
    </x:row>
    <x:row r="548" ht="22" customHeight="1">
      <x:c r="A548" s="3"/>
      <x:c r="B548" s="3" t="str">
        <x:v>16156</x:v>
      </x:c>
      <x:c r="C548" s="3" t="n">
        <x:v>9</x:v>
      </x:c>
      <x:c r="D548" s="51" t="n">
        <x:v>40878</x:v>
      </x:c>
      <x:c r="E548" s="3" t="str">
        <x:v>Recurrente</x:v>
      </x:c>
      <x:c r="F548" s="13" t="n">
        <x:v>3122.04</x:v>
      </x:c>
      <x:c r="G548" s="13" t="n">
        <x:v>89.8</x:v>
      </x:c>
      <x:c r="H548" s="13" t="n">
        <x:f>F548-G548</x:f>
        <x:v>3032.24</x:v>
      </x:c>
      <x:c r="I548" s="13" t="n">
        <x:f>IF(C548=0,"n.a.",F548/C548)</x:f>
        <x:v>346.8933333333333</x:v>
      </x:c>
      <x:c r="J548" s="3"/>
      <x:c r="K548" s="3"/>
      <x:c r="L548" s="3"/>
    </x:row>
    <x:row r="549" ht="22" customHeight="1">
      <x:c r="A549" s="3"/>
      <x:c r="B549" s="3" t="str">
        <x:v>16709</x:v>
      </x:c>
      <x:c r="C549" s="3" t="n">
        <x:v>5</x:v>
      </x:c>
      <x:c r="D549" s="51" t="n">
        <x:v>40802</x:v>
      </x:c>
      <x:c r="E549" s="3" t="str">
        <x:v>Recurrente</x:v>
      </x:c>
      <x:c r="F549" s="13" t="n">
        <x:v>3029.87</x:v>
      </x:c>
      <x:c r="G549" s="13" t="n">
        <x:v>0</x:v>
      </x:c>
      <x:c r="H549" s="13" t="n">
        <x:f>F549-G549</x:f>
        <x:v>3029.87</x:v>
      </x:c>
      <x:c r="I549" s="13" t="n">
        <x:f>IF(C549=0,"n.a.",F549/C549)</x:f>
        <x:v>605.9739999999999</x:v>
      </x:c>
      <x:c r="J549" s="3"/>
      <x:c r="K549" s="3"/>
      <x:c r="L549" s="3"/>
    </x:row>
    <x:row r="550" ht="22" customHeight="1">
      <x:c r="A550" s="3"/>
      <x:c r="B550" s="3" t="str">
        <x:v>17799</x:v>
      </x:c>
      <x:c r="C550" s="3" t="n">
        <x:v>10</x:v>
      </x:c>
      <x:c r="D550" s="51" t="n">
        <x:v>40864</x:v>
      </x:c>
      <x:c r="E550" s="3" t="str">
        <x:v>Recurrente</x:v>
      </x:c>
      <x:c r="F550" s="13" t="n">
        <x:v>3055.93</x:v>
      </x:c>
      <x:c r="G550" s="13" t="n">
        <x:v>29.85</x:v>
      </x:c>
      <x:c r="H550" s="13" t="n">
        <x:f>F550-G550</x:f>
        <x:v>3026.08</x:v>
      </x:c>
      <x:c r="I550" s="13" t="n">
        <x:f>IF(C550=0,"n.a.",F550/C550)</x:f>
        <x:v>305.59299999999996</x:v>
      </x:c>
      <x:c r="J550" s="3"/>
      <x:c r="K550" s="3"/>
      <x:c r="L550" s="3"/>
    </x:row>
    <x:row r="551" ht="22" customHeight="1">
      <x:c r="A551" s="3"/>
      <x:c r="B551" s="3" t="str">
        <x:v>16678</x:v>
      </x:c>
      <x:c r="C551" s="3" t="n">
        <x:v>12</x:v>
      </x:c>
      <x:c r="D551" s="51" t="n">
        <x:v>40884</x:v>
      </x:c>
      <x:c r="E551" s="3" t="str">
        <x:v>Recurrente</x:v>
      </x:c>
      <x:c r="F551" s="13" t="n">
        <x:v>3109.99</x:v>
      </x:c>
      <x:c r="G551" s="13" t="n">
        <x:v>84.75</x:v>
      </x:c>
      <x:c r="H551" s="13" t="n">
        <x:f>F551-G551</x:f>
        <x:v>3025.24</x:v>
      </x:c>
      <x:c r="I551" s="13" t="n">
        <x:f>IF(C551=0,"n.a.",F551/C551)</x:f>
        <x:v>259.1658333333333</x:v>
      </x:c>
      <x:c r="J551" s="3"/>
      <x:c r="K551" s="3"/>
      <x:c r="L551" s="3"/>
    </x:row>
    <x:row r="552" ht="22" customHeight="1">
      <x:c r="A552" s="3"/>
      <x:c r="B552" s="3" t="str">
        <x:v>13631</x:v>
      </x:c>
      <x:c r="C552" s="3" t="n">
        <x:v>11</x:v>
      </x:c>
      <x:c r="D552" s="51" t="n">
        <x:v>40787</x:v>
      </x:c>
      <x:c r="E552" s="3" t="str">
        <x:v>Recurrente</x:v>
      </x:c>
      <x:c r="F552" s="13" t="n">
        <x:v>3070.42</x:v>
      </x:c>
      <x:c r="G552" s="13" t="n">
        <x:v>48.65</x:v>
      </x:c>
      <x:c r="H552" s="13" t="n">
        <x:f>F552-G552</x:f>
        <x:v>3021.77</x:v>
      </x:c>
      <x:c r="I552" s="13" t="n">
        <x:f>IF(C552=0,"n.a.",F552/C552)</x:f>
        <x:v>279.1290909090909</x:v>
      </x:c>
      <x:c r="J552" s="3"/>
      <x:c r="K552" s="3"/>
      <x:c r="L552" s="3"/>
    </x:row>
    <x:row r="553" ht="22" customHeight="1">
      <x:c r="A553" s="3"/>
      <x:c r="B553" s="3" t="str">
        <x:v>18094</x:v>
      </x:c>
      <x:c r="C553" s="3" t="n">
        <x:v>7</x:v>
      </x:c>
      <x:c r="D553" s="51" t="n">
        <x:v>40805</x:v>
      </x:c>
      <x:c r="E553" s="3" t="str">
        <x:v>Recurrente</x:v>
      </x:c>
      <x:c r="F553" s="13" t="n">
        <x:v>3017.3</x:v>
      </x:c>
      <x:c r="G553" s="13" t="n">
        <x:v>0</x:v>
      </x:c>
      <x:c r="H553" s="13" t="n">
        <x:f>F553-G553</x:f>
        <x:v>3017.3</x:v>
      </x:c>
      <x:c r="I553" s="13" t="n">
        <x:f>IF(C553=0,"n.a.",F553/C553)</x:f>
        <x:v>431.04285714285714</x:v>
      </x:c>
      <x:c r="J553" s="3"/>
      <x:c r="K553" s="3"/>
      <x:c r="L553" s="3"/>
    </x:row>
    <x:row r="554" ht="22" customHeight="1">
      <x:c r="A554" s="3"/>
      <x:c r="B554" s="3" t="str">
        <x:v>12754</x:v>
      </x:c>
      <x:c r="C554" s="3" t="n">
        <x:v>3</x:v>
      </x:c>
      <x:c r="D554" s="51" t="n">
        <x:v>40651</x:v>
      </x:c>
      <x:c r="E554" s="3" t="str">
        <x:v>Recurrente</x:v>
      </x:c>
      <x:c r="F554" s="13" t="n">
        <x:v>3010.74</x:v>
      </x:c>
      <x:c r="G554" s="13" t="n">
        <x:v>0</x:v>
      </x:c>
      <x:c r="H554" s="13" t="n">
        <x:f>F554-G554</x:f>
        <x:v>3010.74</x:v>
      </x:c>
      <x:c r="I554" s="13" t="n">
        <x:f>IF(C554=0,"n.a.",F554/C554)</x:f>
        <x:v>1003.5799999999999</x:v>
      </x:c>
      <x:c r="J554" s="3"/>
      <x:c r="K554" s="3"/>
      <x:c r="L554" s="3"/>
    </x:row>
    <x:row r="555" ht="22" customHeight="1">
      <x:c r="A555" s="3"/>
      <x:c r="B555" s="3" t="str">
        <x:v>15861</x:v>
      </x:c>
      <x:c r="C555" s="3" t="n">
        <x:v>8</x:v>
      </x:c>
      <x:c r="D555" s="51" t="n">
        <x:v>40874</x:v>
      </x:c>
      <x:c r="E555" s="3" t="str">
        <x:v>Recurrente</x:v>
      </x:c>
      <x:c r="F555" s="13" t="n">
        <x:v>3165.36</x:v>
      </x:c>
      <x:c r="G555" s="13" t="n">
        <x:v>165</x:v>
      </x:c>
      <x:c r="H555" s="13" t="n">
        <x:f>F555-G555</x:f>
        <x:v>3000.36</x:v>
      </x:c>
      <x:c r="I555" s="13" t="n">
        <x:f>IF(C555=0,"n.a.",F555/C555)</x:f>
        <x:v>395.67</x:v>
      </x:c>
      <x:c r="J555" s="3"/>
      <x:c r="K555" s="3"/>
      <x:c r="L555" s="3"/>
    </x:row>
    <x:row r="556" ht="22" customHeight="1">
      <x:c r="A556" s="3"/>
      <x:c r="B556" s="3" t="str">
        <x:v>12502</x:v>
      </x:c>
      <x:c r="C556" s="3" t="n">
        <x:v>5</x:v>
      </x:c>
      <x:c r="D556" s="51" t="n">
        <x:v>40791</x:v>
      </x:c>
      <x:c r="E556" s="3" t="str">
        <x:v>Recurrente</x:v>
      </x:c>
      <x:c r="F556" s="13" t="n">
        <x:v>2995.87</x:v>
      </x:c>
      <x:c r="G556" s="13" t="n">
        <x:v>0</x:v>
      </x:c>
      <x:c r="H556" s="13" t="n">
        <x:f>F556-G556</x:f>
        <x:v>2995.87</x:v>
      </x:c>
      <x:c r="I556" s="13" t="n">
        <x:f>IF(C556=0,"n.a.",F556/C556)</x:f>
        <x:v>599.174</x:v>
      </x:c>
      <x:c r="J556" s="3"/>
      <x:c r="K556" s="3"/>
      <x:c r="L556" s="3"/>
    </x:row>
    <x:row r="557" ht="22" customHeight="1">
      <x:c r="A557" s="3"/>
      <x:c r="B557" s="3" t="str">
        <x:v>14307</x:v>
      </x:c>
      <x:c r="C557" s="3" t="n">
        <x:v>6</x:v>
      </x:c>
      <x:c r="D557" s="51" t="n">
        <x:v>40798</x:v>
      </x:c>
      <x:c r="E557" s="3" t="str">
        <x:v>Recurrente</x:v>
      </x:c>
      <x:c r="F557" s="13" t="n">
        <x:v>2995.72</x:v>
      </x:c>
      <x:c r="G557" s="13" t="n">
        <x:v>0</x:v>
      </x:c>
      <x:c r="H557" s="13" t="n">
        <x:f>F557-G557</x:f>
        <x:v>2995.72</x:v>
      </x:c>
      <x:c r="I557" s="13" t="n">
        <x:f>IF(C557=0,"n.a.",F557/C557)</x:f>
        <x:v>499.28666666666663</x:v>
      </x:c>
      <x:c r="J557" s="3"/>
      <x:c r="K557" s="3"/>
      <x:c r="L557" s="3"/>
    </x:row>
    <x:row r="558" ht="22" customHeight="1">
      <x:c r="A558" s="3"/>
      <x:c r="B558" s="3" t="str">
        <x:v>12916</x:v>
      </x:c>
      <x:c r="C558" s="3" t="n">
        <x:v>4</x:v>
      </x:c>
      <x:c r="D558" s="51" t="n">
        <x:v>40748</x:v>
      </x:c>
      <x:c r="E558" s="3" t="str">
        <x:v>Recurrente</x:v>
      </x:c>
      <x:c r="F558" s="13" t="n">
        <x:v>3006.15</x:v>
      </x:c>
      <x:c r="G558" s="13" t="n">
        <x:v>23.8</x:v>
      </x:c>
      <x:c r="H558" s="13" t="n">
        <x:f>F558-G558</x:f>
        <x:v>2982.35</x:v>
      </x:c>
      <x:c r="I558" s="13" t="n">
        <x:f>IF(C558=0,"n.a.",F558/C558)</x:f>
        <x:v>751.5375</x:v>
      </x:c>
      <x:c r="J558" s="3"/>
      <x:c r="K558" s="3"/>
      <x:c r="L558" s="3"/>
    </x:row>
    <x:row r="559" ht="22" customHeight="1">
      <x:c r="A559" s="3"/>
      <x:c r="B559" s="3" t="str">
        <x:v>15687</x:v>
      </x:c>
      <x:c r="C559" s="3" t="n">
        <x:v>9</x:v>
      </x:c>
      <x:c r="D559" s="51" t="n">
        <x:v>40878</x:v>
      </x:c>
      <x:c r="E559" s="3" t="str">
        <x:v>Recurrente</x:v>
      </x:c>
      <x:c r="F559" s="13" t="n">
        <x:v>2993.1</x:v>
      </x:c>
      <x:c r="G559" s="13" t="n">
        <x:v>11.6</x:v>
      </x:c>
      <x:c r="H559" s="13" t="n">
        <x:f>F559-G559</x:f>
        <x:v>2981.5</x:v>
      </x:c>
      <x:c r="I559" s="13" t="n">
        <x:f>IF(C559=0,"n.a.",F559/C559)</x:f>
        <x:v>332.56666666666666</x:v>
      </x:c>
      <x:c r="J559" s="3"/>
      <x:c r="K559" s="3"/>
      <x:c r="L559" s="3"/>
    </x:row>
    <x:row r="560" ht="22" customHeight="1">
      <x:c r="A560" s="3"/>
      <x:c r="B560" s="3" t="str">
        <x:v>15854</x:v>
      </x:c>
      <x:c r="C560" s="3" t="n">
        <x:v>12</x:v>
      </x:c>
      <x:c r="D560" s="51" t="n">
        <x:v>40882</x:v>
      </x:c>
      <x:c r="E560" s="3" t="str">
        <x:v>Recurrente</x:v>
      </x:c>
      <x:c r="F560" s="13" t="n">
        <x:v>2974.65</x:v>
      </x:c>
      <x:c r="G560" s="13" t="n">
        <x:v>0</x:v>
      </x:c>
      <x:c r="H560" s="13" t="n">
        <x:f>F560-G560</x:f>
        <x:v>2974.65</x:v>
      </x:c>
      <x:c r="I560" s="13" t="n">
        <x:f>IF(C560=0,"n.a.",F560/C560)</x:f>
        <x:v>247.88750000000002</x:v>
      </x:c>
      <x:c r="J560" s="3"/>
      <x:c r="K560" s="3"/>
      <x:c r="L560" s="3"/>
    </x:row>
    <x:row r="561" ht="22" customHeight="1">
      <x:c r="A561" s="3"/>
      <x:c r="B561" s="3" t="str">
        <x:v>13520</x:v>
      </x:c>
      <x:c r="C561" s="3" t="n">
        <x:v>6</x:v>
      </x:c>
      <x:c r="D561" s="51" t="n">
        <x:v>40828</x:v>
      </x:c>
      <x:c r="E561" s="3" t="str">
        <x:v>Recurrente</x:v>
      </x:c>
      <x:c r="F561" s="13" t="n">
        <x:v>2984.35</x:v>
      </x:c>
      <x:c r="G561" s="13" t="n">
        <x:v>16.6</x:v>
      </x:c>
      <x:c r="H561" s="13" t="n">
        <x:f>F561-G561</x:f>
        <x:v>2967.75</x:v>
      </x:c>
      <x:c r="I561" s="13" t="n">
        <x:f>IF(C561=0,"n.a.",F561/C561)</x:f>
        <x:v>497.39166666666665</x:v>
      </x:c>
      <x:c r="J561" s="3"/>
      <x:c r="K561" s="3"/>
      <x:c r="L561" s="3"/>
    </x:row>
    <x:row r="562" ht="22" customHeight="1">
      <x:c r="A562" s="3"/>
      <x:c r="B562" s="3" t="str">
        <x:v>12613</x:v>
      </x:c>
      <x:c r="C562" s="3" t="n">
        <x:v>4</x:v>
      </x:c>
      <x:c r="D562" s="51" t="n">
        <x:v>40829</x:v>
      </x:c>
      <x:c r="E562" s="3" t="str">
        <x:v>Recurrente</x:v>
      </x:c>
      <x:c r="F562" s="13" t="n">
        <x:v>3092.38</x:v>
      </x:c>
      <x:c r="G562" s="13" t="n">
        <x:v>125.4</x:v>
      </x:c>
      <x:c r="H562" s="13" t="n">
        <x:f>F562-G562</x:f>
        <x:v>2966.98</x:v>
      </x:c>
      <x:c r="I562" s="13" t="n">
        <x:f>IF(C562=0,"n.a.",F562/C562)</x:f>
        <x:v>773.095</x:v>
      </x:c>
      <x:c r="J562" s="3"/>
      <x:c r="K562" s="3"/>
      <x:c r="L562" s="3"/>
    </x:row>
    <x:row r="563" ht="22" customHeight="1">
      <x:c r="A563" s="3"/>
      <x:c r="B563" s="3" t="str">
        <x:v>16497</x:v>
      </x:c>
      <x:c r="C563" s="3" t="n">
        <x:v>6</x:v>
      </x:c>
      <x:c r="D563" s="51" t="n">
        <x:v>40837</x:v>
      </x:c>
      <x:c r="E563" s="3" t="str">
        <x:v>Recurrente</x:v>
      </x:c>
      <x:c r="F563" s="13" t="n">
        <x:v>2965.69</x:v>
      </x:c>
      <x:c r="G563" s="13" t="n">
        <x:v>0</x:v>
      </x:c>
      <x:c r="H563" s="13" t="n">
        <x:f>F563-G563</x:f>
        <x:v>2965.69</x:v>
      </x:c>
      <x:c r="I563" s="13" t="n">
        <x:f>IF(C563=0,"n.a.",F563/C563)</x:f>
        <x:v>494.2816666666667</x:v>
      </x:c>
      <x:c r="J563" s="3"/>
      <x:c r="K563" s="3"/>
      <x:c r="L563" s="3"/>
    </x:row>
    <x:row r="564" ht="22" customHeight="1">
      <x:c r="A564" s="3"/>
      <x:c r="B564" s="3" t="str">
        <x:v>15514</x:v>
      </x:c>
      <x:c r="C564" s="3" t="n">
        <x:v>11</x:v>
      </x:c>
      <x:c r="D564" s="51" t="n">
        <x:v>40874</x:v>
      </x:c>
      <x:c r="E564" s="3" t="str">
        <x:v>Recurrente</x:v>
      </x:c>
      <x:c r="F564" s="13" t="n">
        <x:v>4139.46</x:v>
      </x:c>
      <x:c r="G564" s="13" t="n">
        <x:v>1176.27</x:v>
      </x:c>
      <x:c r="H564" s="13" t="n">
        <x:f>F564-G564</x:f>
        <x:v>2963.19</x:v>
      </x:c>
      <x:c r="I564" s="13" t="n">
        <x:f>IF(C564=0,"n.a.",F564/C564)</x:f>
        <x:v>376.31454545454545</x:v>
      </x:c>
      <x:c r="J564" s="3"/>
      <x:c r="K564" s="3"/>
      <x:c r="L564" s="3"/>
    </x:row>
    <x:row r="565" ht="22" customHeight="1">
      <x:c r="A565" s="3"/>
      <x:c r="B565" s="3" t="str">
        <x:v>17659</x:v>
      </x:c>
      <x:c r="C565" s="3" t="n">
        <x:v>12</x:v>
      </x:c>
      <x:c r="D565" s="51" t="n">
        <x:v>40869</x:v>
      </x:c>
      <x:c r="E565" s="3" t="str">
        <x:v>Recurrente</x:v>
      </x:c>
      <x:c r="F565" s="13" t="n">
        <x:v>2999.46</x:v>
      </x:c>
      <x:c r="G565" s="13" t="n">
        <x:v>44.71</x:v>
      </x:c>
      <x:c r="H565" s="13" t="n">
        <x:f>F565-G565</x:f>
        <x:v>2954.75</x:v>
      </x:c>
      <x:c r="I565" s="13" t="n">
        <x:f>IF(C565=0,"n.a.",F565/C565)</x:f>
        <x:v>249.955</x:v>
      </x:c>
      <x:c r="J565" s="3"/>
      <x:c r="K565" s="3"/>
      <x:c r="L565" s="3"/>
    </x:row>
    <x:row r="566" ht="22" customHeight="1">
      <x:c r="A566" s="3"/>
      <x:c r="B566" s="3" t="str">
        <x:v>14639</x:v>
      </x:c>
      <x:c r="C566" s="3" t="n">
        <x:v>6</x:v>
      </x:c>
      <x:c r="D566" s="51" t="n">
        <x:v>40834</x:v>
      </x:c>
      <x:c r="E566" s="3" t="str">
        <x:v>Recurrente</x:v>
      </x:c>
      <x:c r="F566" s="13" t="n">
        <x:v>2984.49</x:v>
      </x:c>
      <x:c r="G566" s="13" t="n">
        <x:v>32.15</x:v>
      </x:c>
      <x:c r="H566" s="13" t="n">
        <x:f>F566-G566</x:f>
        <x:v>2952.3399999999997</x:v>
      </x:c>
      <x:c r="I566" s="13" t="n">
        <x:f>IF(C566=0,"n.a.",F566/C566)</x:f>
        <x:v>497.41499999999996</x:v>
      </x:c>
      <x:c r="J566" s="3"/>
      <x:c r="K566" s="3"/>
      <x:c r="L566" s="3"/>
    </x:row>
    <x:row r="567" ht="22" customHeight="1">
      <x:c r="A567" s="3"/>
      <x:c r="B567" s="3" t="str">
        <x:v>17084</x:v>
      </x:c>
      <x:c r="C567" s="3" t="n">
        <x:v>2</x:v>
      </x:c>
      <x:c r="D567" s="51" t="n">
        <x:v>40851</x:v>
      </x:c>
      <x:c r="E567" s="3" t="str">
        <x:v>Recurrente</x:v>
      </x:c>
      <x:c r="F567" s="13" t="n">
        <x:v>2949.75</x:v>
      </x:c>
      <x:c r="G567" s="13" t="n">
        <x:v>0</x:v>
      </x:c>
      <x:c r="H567" s="13" t="n">
        <x:f>F567-G567</x:f>
        <x:v>2949.75</x:v>
      </x:c>
      <x:c r="I567" s="13" t="n">
        <x:f>IF(C567=0,"n.a.",F567/C567)</x:f>
        <x:v>1474.875</x:v>
      </x:c>
      <x:c r="J567" s="3"/>
      <x:c r="K567" s="3"/>
      <x:c r="L567" s="3"/>
    </x:row>
    <x:row r="568" ht="22" customHeight="1">
      <x:c r="A568" s="3"/>
      <x:c r="B568" s="3" t="str">
        <x:v>14146</x:v>
      </x:c>
      <x:c r="C568" s="3" t="n">
        <x:v>5</x:v>
      </x:c>
      <x:c r="D568" s="51" t="n">
        <x:v>40878</x:v>
      </x:c>
      <x:c r="E568" s="3" t="str">
        <x:v>Recurrente</x:v>
      </x:c>
      <x:c r="F568" s="13" t="n">
        <x:v>4191</x:v>
      </x:c>
      <x:c r="G568" s="13" t="n">
        <x:v>1241.43</x:v>
      </x:c>
      <x:c r="H568" s="13" t="n">
        <x:f>F568-G568</x:f>
        <x:v>2949.5699999999997</x:v>
      </x:c>
      <x:c r="I568" s="13" t="n">
        <x:f>IF(C568=0,"n.a.",F568/C568)</x:f>
        <x:v>838.2</x:v>
      </x:c>
      <x:c r="J568" s="3"/>
      <x:c r="K568" s="3"/>
      <x:c r="L568" s="3"/>
    </x:row>
    <x:row r="569" ht="22" customHeight="1">
      <x:c r="A569" s="3"/>
      <x:c r="B569" s="3" t="str">
        <x:v>14543</x:v>
      </x:c>
      <x:c r="C569" s="3" t="n">
        <x:v>16</x:v>
      </x:c>
      <x:c r="D569" s="51" t="n">
        <x:v>40858</x:v>
      </x:c>
      <x:c r="E569" s="3" t="str">
        <x:v>Recurrente</x:v>
      </x:c>
      <x:c r="F569" s="13" t="n">
        <x:v>3590.68</x:v>
      </x:c>
      <x:c r="G569" s="13" t="n">
        <x:v>645.46</x:v>
      </x:c>
      <x:c r="H569" s="13" t="n">
        <x:f>F569-G569</x:f>
        <x:v>2945.22</x:v>
      </x:c>
      <x:c r="I569" s="13" t="n">
        <x:f>IF(C569=0,"n.a.",F569/C569)</x:f>
        <x:v>224.4175</x:v>
      </x:c>
      <x:c r="J569" s="3"/>
      <x:c r="K569" s="3"/>
      <x:c r="L569" s="3"/>
    </x:row>
    <x:row r="570" ht="22" customHeight="1">
      <x:c r="A570" s="3"/>
      <x:c r="B570" s="3" t="str">
        <x:v>16393</x:v>
      </x:c>
      <x:c r="C570" s="3" t="n">
        <x:v>13</x:v>
      </x:c>
      <x:c r="D570" s="51" t="n">
        <x:v>40884</x:v>
      </x:c>
      <x:c r="E570" s="3" t="str">
        <x:v>Recurrente</x:v>
      </x:c>
      <x:c r="F570" s="13" t="n">
        <x:v>3046.21</x:v>
      </x:c>
      <x:c r="G570" s="13" t="n">
        <x:v>105.16</x:v>
      </x:c>
      <x:c r="H570" s="13" t="n">
        <x:f>F570-G570</x:f>
        <x:v>2941.05</x:v>
      </x:c>
      <x:c r="I570" s="13" t="n">
        <x:f>IF(C570=0,"n.a.",F570/C570)</x:f>
        <x:v>234.32384615384615</x:v>
      </x:c>
      <x:c r="J570" s="3"/>
      <x:c r="K570" s="3"/>
      <x:c r="L570" s="3"/>
    </x:row>
    <x:row r="571" ht="22" customHeight="1">
      <x:c r="A571" s="3"/>
      <x:c r="B571" s="3" t="str">
        <x:v>14868</x:v>
      </x:c>
      <x:c r="C571" s="3" t="n">
        <x:v>8</x:v>
      </x:c>
      <x:c r="D571" s="51" t="n">
        <x:v>40883</x:v>
      </x:c>
      <x:c r="E571" s="3" t="str">
        <x:v>Recurrente</x:v>
      </x:c>
      <x:c r="F571" s="13" t="n">
        <x:v>2953.59</x:v>
      </x:c>
      <x:c r="G571" s="13" t="n">
        <x:v>13.95</x:v>
      </x:c>
      <x:c r="H571" s="13" t="n">
        <x:f>F571-G571</x:f>
        <x:v>2939.6400000000003</x:v>
      </x:c>
      <x:c r="I571" s="13" t="n">
        <x:f>IF(C571=0,"n.a.",F571/C571)</x:f>
        <x:v>369.19875</x:v>
      </x:c>
      <x:c r="J571" s="3"/>
      <x:c r="K571" s="3"/>
      <x:c r="L571" s="3"/>
    </x:row>
    <x:row r="572" ht="22" customHeight="1">
      <x:c r="A572" s="3"/>
      <x:c r="B572" s="3" t="str">
        <x:v>14032</x:v>
      </x:c>
      <x:c r="C572" s="3" t="n">
        <x:v>11</x:v>
      </x:c>
      <x:c r="D572" s="51" t="n">
        <x:v>40884</x:v>
      </x:c>
      <x:c r="E572" s="3" t="str">
        <x:v>Recurrente</x:v>
      </x:c>
      <x:c r="F572" s="13" t="n">
        <x:v>2975.59</x:v>
      </x:c>
      <x:c r="G572" s="13" t="n">
        <x:v>45.75</x:v>
      </x:c>
      <x:c r="H572" s="13" t="n">
        <x:f>F572-G572</x:f>
        <x:v>2929.84</x:v>
      </x:c>
      <x:c r="I572" s="13" t="n">
        <x:f>IF(C572=0,"n.a.",F572/C572)</x:f>
        <x:v>270.5081818181818</x:v>
      </x:c>
      <x:c r="J572" s="3"/>
      <x:c r="K572" s="3"/>
      <x:c r="L572" s="3"/>
    </x:row>
    <x:row r="573" ht="22" customHeight="1">
      <x:c r="A573" s="3"/>
      <x:c r="B573" s="3" t="str">
        <x:v>14530</x:v>
      </x:c>
      <x:c r="C573" s="3" t="n">
        <x:v>6</x:v>
      </x:c>
      <x:c r="D573" s="51" t="n">
        <x:v>40861</x:v>
      </x:c>
      <x:c r="E573" s="3" t="str">
        <x:v>Recurrente</x:v>
      </x:c>
      <x:c r="F573" s="13" t="n">
        <x:v>2925.91</x:v>
      </x:c>
      <x:c r="G573" s="13" t="n">
        <x:v>0</x:v>
      </x:c>
      <x:c r="H573" s="13" t="n">
        <x:f>F573-G573</x:f>
        <x:v>2925.91</x:v>
      </x:c>
      <x:c r="I573" s="13" t="n">
        <x:f>IF(C573=0,"n.a.",F573/C573)</x:f>
        <x:v>487.65166666666664</x:v>
      </x:c>
      <x:c r="J573" s="3"/>
      <x:c r="K573" s="3"/>
      <x:c r="L573" s="3"/>
    </x:row>
    <x:row r="574" ht="22" customHeight="1">
      <x:c r="A574" s="3"/>
      <x:c r="B574" s="3" t="str">
        <x:v>14565</x:v>
      </x:c>
      <x:c r="C574" s="3" t="n">
        <x:v>4</x:v>
      </x:c>
      <x:c r="D574" s="51" t="n">
        <x:v>40791</x:v>
      </x:c>
      <x:c r="E574" s="3" t="str">
        <x:v>Recurrente</x:v>
      </x:c>
      <x:c r="F574" s="13" t="n">
        <x:v>2949.12</x:v>
      </x:c>
      <x:c r="G574" s="13" t="n">
        <x:v>25.35</x:v>
      </x:c>
      <x:c r="H574" s="13" t="n">
        <x:f>F574-G574</x:f>
        <x:v>2923.77</x:v>
      </x:c>
      <x:c r="I574" s="13" t="n">
        <x:f>IF(C574=0,"n.a.",F574/C574)</x:f>
        <x:v>737.28</x:v>
      </x:c>
      <x:c r="J574" s="3"/>
      <x:c r="K574" s="3"/>
      <x:c r="L574" s="3"/>
    </x:row>
    <x:row r="575" ht="22" customHeight="1">
      <x:c r="A575" s="3"/>
      <x:c r="B575" s="3" t="str">
        <x:v>17512</x:v>
      </x:c>
      <x:c r="C575" s="3" t="n">
        <x:v>10</x:v>
      </x:c>
      <x:c r="D575" s="51" t="n">
        <x:v>40858</x:v>
      </x:c>
      <x:c r="E575" s="3" t="str">
        <x:v>Recurrente</x:v>
      </x:c>
      <x:c r="F575" s="13" t="n">
        <x:v>2924.99</x:v>
      </x:c>
      <x:c r="G575" s="13" t="n">
        <x:v>4.95</x:v>
      </x:c>
      <x:c r="H575" s="13" t="n">
        <x:f>F575-G575</x:f>
        <x:v>2920.04</x:v>
      </x:c>
      <x:c r="I575" s="13" t="n">
        <x:f>IF(C575=0,"n.a.",F575/C575)</x:f>
        <x:v>292.49899999999997</x:v>
      </x:c>
      <x:c r="J575" s="3"/>
      <x:c r="K575" s="3"/>
      <x:c r="L575" s="3"/>
    </x:row>
    <x:row r="576" ht="22" customHeight="1">
      <x:c r="A576" s="3"/>
      <x:c r="B576" s="3" t="str">
        <x:v>12906</x:v>
      </x:c>
      <x:c r="C576" s="3" t="n">
        <x:v>5</x:v>
      </x:c>
      <x:c r="D576" s="51" t="n">
        <x:v>40875</x:v>
      </x:c>
      <x:c r="E576" s="3" t="str">
        <x:v>Recurrente</x:v>
      </x:c>
      <x:c r="F576" s="13" t="n">
        <x:v>2919.81</x:v>
      </x:c>
      <x:c r="G576" s="13" t="n">
        <x:v>0</x:v>
      </x:c>
      <x:c r="H576" s="13" t="n">
        <x:f>F576-G576</x:f>
        <x:v>2919.81</x:v>
      </x:c>
      <x:c r="I576" s="13" t="n">
        <x:f>IF(C576=0,"n.a.",F576/C576)</x:f>
        <x:v>583.962</x:v>
      </x:c>
      <x:c r="J576" s="3"/>
      <x:c r="K576" s="3"/>
      <x:c r="L576" s="3"/>
    </x:row>
    <x:row r="577" ht="22" customHeight="1">
      <x:c r="A577" s="3"/>
      <x:c r="B577" s="3" t="str">
        <x:v>18087</x:v>
      </x:c>
      <x:c r="C577" s="3" t="n">
        <x:v>1</x:v>
      </x:c>
      <x:c r="D577" s="51" t="n">
        <x:v>40596</x:v>
      </x:c>
      <x:c r="E577" s="3" t="str">
        <x:v>Una compra</x:v>
      </x:c>
      <x:c r="F577" s="13" t="n">
        <x:v>3202.92</x:v>
      </x:c>
      <x:c r="G577" s="13" t="n">
        <x:v>285.6</x:v>
      </x:c>
      <x:c r="H577" s="13" t="n">
        <x:f>F577-G577</x:f>
        <x:v>2917.32</x:v>
      </x:c>
      <x:c r="I577" s="13" t="n">
        <x:f>IF(C577=0,"n.a.",F577/C577)</x:f>
        <x:v>3202.92</x:v>
      </x:c>
      <x:c r="J577" s="3"/>
      <x:c r="K577" s="3"/>
      <x:c r="L577" s="3"/>
    </x:row>
    <x:row r="578" ht="22" customHeight="1">
      <x:c r="A578" s="3"/>
      <x:c r="B578" s="3" t="str">
        <x:v>13451</x:v>
      </x:c>
      <x:c r="C578" s="3" t="n">
        <x:v>5</x:v>
      </x:c>
      <x:c r="D578" s="51" t="n">
        <x:v>40860</x:v>
      </x:c>
      <x:c r="E578" s="3" t="str">
        <x:v>Recurrente</x:v>
      </x:c>
      <x:c r="F578" s="13" t="n">
        <x:v>2976.15</x:v>
      </x:c>
      <x:c r="G578" s="13" t="n">
        <x:v>59.7</x:v>
      </x:c>
      <x:c r="H578" s="13" t="n">
        <x:f>F578-G578</x:f>
        <x:v>2916.4500000000003</x:v>
      </x:c>
      <x:c r="I578" s="13" t="n">
        <x:f>IF(C578=0,"n.a.",F578/C578)</x:f>
        <x:v>595.23</x:v>
      </x:c>
      <x:c r="J578" s="3"/>
      <x:c r="K578" s="3"/>
      <x:c r="L578" s="3"/>
    </x:row>
    <x:row r="579" ht="22" customHeight="1">
      <x:c r="A579" s="3"/>
      <x:c r="B579" s="3" t="str">
        <x:v>12619</x:v>
      </x:c>
      <x:c r="C579" s="3" t="n">
        <x:v>8</x:v>
      </x:c>
      <x:c r="D579" s="51" t="n">
        <x:v>40870</x:v>
      </x:c>
      <x:c r="E579" s="3" t="str">
        <x:v>Recurrente</x:v>
      </x:c>
      <x:c r="F579" s="13" t="n">
        <x:v>2945.56</x:v>
      </x:c>
      <x:c r="G579" s="13" t="n">
        <x:v>36.75</x:v>
      </x:c>
      <x:c r="H579" s="13" t="n">
        <x:f>F579-G579</x:f>
        <x:v>2908.81</x:v>
      </x:c>
      <x:c r="I579" s="13" t="n">
        <x:f>IF(C579=0,"n.a.",F579/C579)</x:f>
        <x:v>368.195</x:v>
      </x:c>
      <x:c r="J579" s="3"/>
      <x:c r="K579" s="3"/>
      <x:c r="L579" s="3"/>
    </x:row>
    <x:row r="580" ht="22" customHeight="1">
      <x:c r="A580" s="3"/>
      <x:c r="B580" s="3" t="str">
        <x:v>17924</x:v>
      </x:c>
      <x:c r="C580" s="3" t="n">
        <x:v>7</x:v>
      </x:c>
      <x:c r="D580" s="51" t="n">
        <x:v>40875</x:v>
      </x:c>
      <x:c r="E580" s="3" t="str">
        <x:v>Recurrente</x:v>
      </x:c>
      <x:c r="F580" s="13" t="n">
        <x:v>2962.5</x:v>
      </x:c>
      <x:c r="G580" s="13" t="n">
        <x:v>68.17</x:v>
      </x:c>
      <x:c r="H580" s="13" t="n">
        <x:f>F580-G580</x:f>
        <x:v>2894.33</x:v>
      </x:c>
      <x:c r="I580" s="13" t="n">
        <x:f>IF(C580=0,"n.a.",F580/C580)</x:f>
        <x:v>423.2142857142857</x:v>
      </x:c>
      <x:c r="J580" s="3"/>
      <x:c r="K580" s="3"/>
      <x:c r="L580" s="3"/>
    </x:row>
    <x:row r="581" ht="22" customHeight="1">
      <x:c r="A581" s="3"/>
      <x:c r="B581" s="3" t="str">
        <x:v>18144</x:v>
      </x:c>
      <x:c r="C581" s="3" t="n">
        <x:v>12</x:v>
      </x:c>
      <x:c r="D581" s="51" t="n">
        <x:v>40879</x:v>
      </x:c>
      <x:c r="E581" s="3" t="str">
        <x:v>Recurrente</x:v>
      </x:c>
      <x:c r="F581" s="13" t="n">
        <x:v>2888.75</x:v>
      </x:c>
      <x:c r="G581" s="13" t="n">
        <x:v>0</x:v>
      </x:c>
      <x:c r="H581" s="13" t="n">
        <x:f>F581-G581</x:f>
        <x:v>2888.75</x:v>
      </x:c>
      <x:c r="I581" s="13" t="n">
        <x:f>IF(C581=0,"n.a.",F581/C581)</x:f>
        <x:v>240.72916666666666</x:v>
      </x:c>
      <x:c r="J581" s="3"/>
      <x:c r="K581" s="3"/>
      <x:c r="L581" s="3"/>
    </x:row>
    <x:row r="582" ht="22" customHeight="1">
      <x:c r="A582" s="3"/>
      <x:c r="B582" s="3" t="str">
        <x:v>12480</x:v>
      </x:c>
      <x:c r="C582" s="3" t="n">
        <x:v>4</x:v>
      </x:c>
      <x:c r="D582" s="51" t="n">
        <x:v>40858</x:v>
      </x:c>
      <x:c r="E582" s="3" t="str">
        <x:v>Recurrente</x:v>
      </x:c>
      <x:c r="F582" s="13" t="n">
        <x:v>2885.63</x:v>
      </x:c>
      <x:c r="G582" s="13" t="n">
        <x:v>0</x:v>
      </x:c>
      <x:c r="H582" s="13" t="n">
        <x:f>F582-G582</x:f>
        <x:v>2885.63</x:v>
      </x:c>
      <x:c r="I582" s="13" t="n">
        <x:f>IF(C582=0,"n.a.",F582/C582)</x:f>
        <x:v>721.4075</x:v>
      </x:c>
      <x:c r="J582" s="3"/>
      <x:c r="K582" s="3"/>
      <x:c r="L582" s="3"/>
    </x:row>
    <x:row r="583" ht="22" customHeight="1">
      <x:c r="A583" s="3"/>
      <x:c r="B583" s="3" t="str">
        <x:v>15673</x:v>
      </x:c>
      <x:c r="C583" s="3" t="n">
        <x:v>4</x:v>
      </x:c>
      <x:c r="D583" s="51" t="n">
        <x:v>40798</x:v>
      </x:c>
      <x:c r="E583" s="3" t="str">
        <x:v>Recurrente</x:v>
      </x:c>
      <x:c r="F583" s="13" t="n">
        <x:v>2881.02</x:v>
      </x:c>
      <x:c r="G583" s="13" t="n">
        <x:v>0</x:v>
      </x:c>
      <x:c r="H583" s="13" t="n">
        <x:f>F583-G583</x:f>
        <x:v>2881.02</x:v>
      </x:c>
      <x:c r="I583" s="13" t="n">
        <x:f>IF(C583=0,"n.a.",F583/C583)</x:f>
        <x:v>720.255</x:v>
      </x:c>
      <x:c r="J583" s="3"/>
      <x:c r="K583" s="3"/>
      <x:c r="L583" s="3"/>
    </x:row>
    <x:row r="584" ht="22" customHeight="1">
      <x:c r="A584" s="3"/>
      <x:c r="B584" s="3" t="str">
        <x:v>14251</x:v>
      </x:c>
      <x:c r="C584" s="3" t="n">
        <x:v>5</x:v>
      </x:c>
      <x:c r="D584" s="51" t="n">
        <x:v>40885</x:v>
      </x:c>
      <x:c r="E584" s="3" t="str">
        <x:v>Recurrente</x:v>
      </x:c>
      <x:c r="F584" s="13" t="n">
        <x:v>2879.7</x:v>
      </x:c>
      <x:c r="G584" s="13" t="n">
        <x:v>0</x:v>
      </x:c>
      <x:c r="H584" s="13" t="n">
        <x:f>F584-G584</x:f>
        <x:v>2879.7</x:v>
      </x:c>
      <x:c r="I584" s="13" t="n">
        <x:f>IF(C584=0,"n.a.",F584/C584)</x:f>
        <x:v>575.9399999999999</x:v>
      </x:c>
      <x:c r="J584" s="3"/>
      <x:c r="K584" s="3"/>
      <x:c r="L584" s="3"/>
    </x:row>
    <x:row r="585" ht="22" customHeight="1">
      <x:c r="A585" s="3"/>
      <x:c r="B585" s="3" t="str">
        <x:v>16633</x:v>
      </x:c>
      <x:c r="C585" s="3" t="n">
        <x:v>6</x:v>
      </x:c>
      <x:c r="D585" s="51" t="n">
        <x:v>40869</x:v>
      </x:c>
      <x:c r="E585" s="3" t="str">
        <x:v>Recurrente</x:v>
      </x:c>
      <x:c r="F585" s="13" t="n">
        <x:v>2883.1</x:v>
      </x:c>
      <x:c r="G585" s="13" t="n">
        <x:v>4.95</x:v>
      </x:c>
      <x:c r="H585" s="13" t="n">
        <x:f>F585-G585</x:f>
        <x:v>2878.15</x:v>
      </x:c>
      <x:c r="I585" s="13" t="n">
        <x:f>IF(C585=0,"n.a.",F585/C585)</x:f>
        <x:v>480.51666666666665</x:v>
      </x:c>
      <x:c r="J585" s="3"/>
      <x:c r="K585" s="3"/>
      <x:c r="L585" s="3"/>
    </x:row>
    <x:row r="586" ht="22" customHeight="1">
      <x:c r="A586" s="3"/>
      <x:c r="B586" s="3" t="str">
        <x:v>14005</x:v>
      </x:c>
      <x:c r="C586" s="3" t="n">
        <x:v>5</x:v>
      </x:c>
      <x:c r="D586" s="51" t="n">
        <x:v>40877</x:v>
      </x:c>
      <x:c r="E586" s="3" t="str">
        <x:v>Recurrente</x:v>
      </x:c>
      <x:c r="F586" s="13" t="n">
        <x:v>2874.72</x:v>
      </x:c>
      <x:c r="G586" s="13" t="n">
        <x:v>0</x:v>
      </x:c>
      <x:c r="H586" s="13" t="n">
        <x:f>F586-G586</x:f>
        <x:v>2874.72</x:v>
      </x:c>
      <x:c r="I586" s="13" t="n">
        <x:f>IF(C586=0,"n.a.",F586/C586)</x:f>
        <x:v>574.944</x:v>
      </x:c>
      <x:c r="J586" s="3"/>
      <x:c r="K586" s="3"/>
      <x:c r="L586" s="3"/>
    </x:row>
    <x:row r="587" ht="22" customHeight="1">
      <x:c r="A587" s="3"/>
      <x:c r="B587" s="3" t="str">
        <x:v>13901</x:v>
      </x:c>
      <x:c r="C587" s="3" t="n">
        <x:v>5</x:v>
      </x:c>
      <x:c r="D587" s="51" t="n">
        <x:v>40814</x:v>
      </x:c>
      <x:c r="E587" s="3" t="str">
        <x:v>Recurrente</x:v>
      </x:c>
      <x:c r="F587" s="13" t="n">
        <x:v>2867.2</x:v>
      </x:c>
      <x:c r="G587" s="13" t="n">
        <x:v>0</x:v>
      </x:c>
      <x:c r="H587" s="13" t="n">
        <x:f>F587-G587</x:f>
        <x:v>2867.2</x:v>
      </x:c>
      <x:c r="I587" s="13" t="n">
        <x:f>IF(C587=0,"n.a.",F587/C587)</x:f>
        <x:v>573.4399999999999</x:v>
      </x:c>
      <x:c r="J587" s="3"/>
      <x:c r="K587" s="3"/>
      <x:c r="L587" s="3"/>
    </x:row>
    <x:row r="588" ht="22" customHeight="1">
      <x:c r="A588" s="3"/>
      <x:c r="B588" s="3" t="str">
        <x:v>15628</x:v>
      </x:c>
      <x:c r="C588" s="3" t="n">
        <x:v>9</x:v>
      </x:c>
      <x:c r="D588" s="51" t="n">
        <x:v>40882</x:v>
      </x:c>
      <x:c r="E588" s="3" t="str">
        <x:v>Recurrente</x:v>
      </x:c>
      <x:c r="F588" s="13" t="n">
        <x:v>2870.24</x:v>
      </x:c>
      <x:c r="G588" s="13" t="n">
        <x:v>4.6</x:v>
      </x:c>
      <x:c r="H588" s="13" t="n">
        <x:f>F588-G588</x:f>
        <x:v>2865.64</x:v>
      </x:c>
      <x:c r="I588" s="13" t="n">
        <x:f>IF(C588=0,"n.a.",F588/C588)</x:f>
        <x:v>318.91555555555556</x:v>
      </x:c>
      <x:c r="J588" s="3"/>
      <x:c r="K588" s="3"/>
      <x:c r="L588" s="3"/>
    </x:row>
    <x:row r="589" ht="22" customHeight="1">
      <x:c r="A589" s="3"/>
      <x:c r="B589" s="3" t="str">
        <x:v>18145</x:v>
      </x:c>
      <x:c r="C589" s="3" t="n">
        <x:v>4</x:v>
      </x:c>
      <x:c r="D589" s="51" t="n">
        <x:v>40874</x:v>
      </x:c>
      <x:c r="E589" s="3" t="str">
        <x:v>Recurrente</x:v>
      </x:c>
      <x:c r="F589" s="13" t="n">
        <x:v>2861.55</x:v>
      </x:c>
      <x:c r="G589" s="13" t="n">
        <x:v>0</x:v>
      </x:c>
      <x:c r="H589" s="13" t="n">
        <x:f>F589-G589</x:f>
        <x:v>2861.55</x:v>
      </x:c>
      <x:c r="I589" s="13" t="n">
        <x:f>IF(C589=0,"n.a.",F589/C589)</x:f>
        <x:v>715.3875</x:v>
      </x:c>
      <x:c r="J589" s="3"/>
      <x:c r="K589" s="3"/>
      <x:c r="L589" s="3"/>
    </x:row>
    <x:row r="590" ht="22" customHeight="1">
      <x:c r="A590" s="3"/>
      <x:c r="B590" s="3" t="str">
        <x:v>17728</x:v>
      </x:c>
      <x:c r="C590" s="3" t="n">
        <x:v>3</x:v>
      </x:c>
      <x:c r="D590" s="51" t="n">
        <x:v>40883</x:v>
      </x:c>
      <x:c r="E590" s="3" t="str">
        <x:v>Recurrente</x:v>
      </x:c>
      <x:c r="F590" s="13" t="n">
        <x:v>2876.01</x:v>
      </x:c>
      <x:c r="G590" s="13" t="n">
        <x:v>15.3</x:v>
      </x:c>
      <x:c r="H590" s="13" t="n">
        <x:f>F590-G590</x:f>
        <x:v>2860.71</x:v>
      </x:c>
      <x:c r="I590" s="13" t="n">
        <x:f>IF(C590=0,"n.a.",F590/C590)</x:f>
        <x:v>958.6700000000001</x:v>
      </x:c>
      <x:c r="J590" s="3"/>
      <x:c r="K590" s="3"/>
      <x:c r="L590" s="3"/>
    </x:row>
    <x:row r="591" ht="22" customHeight="1">
      <x:c r="A591" s="3"/>
      <x:c r="B591" s="3" t="str">
        <x:v>14299</x:v>
      </x:c>
      <x:c r="C591" s="3" t="n">
        <x:v>9</x:v>
      </x:c>
      <x:c r="D591" s="51" t="n">
        <x:v>40878</x:v>
      </x:c>
      <x:c r="E591" s="3" t="str">
        <x:v>Recurrente</x:v>
      </x:c>
      <x:c r="F591" s="13" t="n">
        <x:v>3965.62</x:v>
      </x:c>
      <x:c r="G591" s="13" t="n">
        <x:v>1110.27</x:v>
      </x:c>
      <x:c r="H591" s="13" t="n">
        <x:f>F591-G591</x:f>
        <x:v>2855.35</x:v>
      </x:c>
      <x:c r="I591" s="13" t="n">
        <x:f>IF(C591=0,"n.a.",F591/C591)</x:f>
        <x:v>440.6244444444444</x:v>
      </x:c>
      <x:c r="J591" s="3"/>
      <x:c r="K591" s="3"/>
      <x:c r="L591" s="3"/>
    </x:row>
    <x:row r="592" ht="22" customHeight="1">
      <x:c r="A592" s="3"/>
      <x:c r="B592" s="3" t="str">
        <x:v>14535</x:v>
      </x:c>
      <x:c r="C592" s="3" t="n">
        <x:v>3</x:v>
      </x:c>
      <x:c r="D592" s="51" t="n">
        <x:v>40826</x:v>
      </x:c>
      <x:c r="E592" s="3" t="str">
        <x:v>Recurrente</x:v>
      </x:c>
      <x:c r="F592" s="13" t="n">
        <x:v>2864.19</x:v>
      </x:c>
      <x:c r="G592" s="13" t="n">
        <x:v>23.1</x:v>
      </x:c>
      <x:c r="H592" s="13" t="n">
        <x:f>F592-G592</x:f>
        <x:v>2841.09</x:v>
      </x:c>
      <x:c r="I592" s="13" t="n">
        <x:f>IF(C592=0,"n.a.",F592/C592)</x:f>
        <x:v>954.73</x:v>
      </x:c>
      <x:c r="J592" s="3"/>
      <x:c r="K592" s="3"/>
      <x:c r="L592" s="3"/>
    </x:row>
    <x:row r="593" ht="22" customHeight="1">
      <x:c r="A593" s="3"/>
      <x:c r="B593" s="3" t="str">
        <x:v>14711</x:v>
      </x:c>
      <x:c r="C593" s="3" t="n">
        <x:v>11</x:v>
      </x:c>
      <x:c r="D593" s="51" t="n">
        <x:v>40876</x:v>
      </x:c>
      <x:c r="E593" s="3" t="str">
        <x:v>Recurrente</x:v>
      </x:c>
      <x:c r="F593" s="13" t="n">
        <x:v>2868.8</x:v>
      </x:c>
      <x:c r="G593" s="13" t="n">
        <x:v>30.6</x:v>
      </x:c>
      <x:c r="H593" s="13" t="n">
        <x:f>F593-G593</x:f>
        <x:v>2838.2000000000003</x:v>
      </x:c>
      <x:c r="I593" s="13" t="n">
        <x:f>IF(C593=0,"n.a.",F593/C593)</x:f>
        <x:v>260.8</x:v>
      </x:c>
      <x:c r="J593" s="3"/>
      <x:c r="K593" s="3"/>
      <x:c r="L593" s="3"/>
    </x:row>
    <x:row r="594" ht="22" customHeight="1">
      <x:c r="A594" s="3"/>
      <x:c r="B594" s="3" t="str">
        <x:v>14852</x:v>
      </x:c>
      <x:c r="C594" s="3" t="n">
        <x:v>6</x:v>
      </x:c>
      <x:c r="D594" s="51" t="n">
        <x:v>40828</x:v>
      </x:c>
      <x:c r="E594" s="3" t="str">
        <x:v>Recurrente</x:v>
      </x:c>
      <x:c r="F594" s="13" t="n">
        <x:v>2836.69</x:v>
      </x:c>
      <x:c r="G594" s="13" t="n">
        <x:v>0</x:v>
      </x:c>
      <x:c r="H594" s="13" t="n">
        <x:f>F594-G594</x:f>
        <x:v>2836.69</x:v>
      </x:c>
      <x:c r="I594" s="13" t="n">
        <x:f>IF(C594=0,"n.a.",F594/C594)</x:f>
        <x:v>472.7816666666667</x:v>
      </x:c>
      <x:c r="J594" s="3"/>
      <x:c r="K594" s="3"/>
      <x:c r="L594" s="3"/>
    </x:row>
    <x:row r="595" ht="22" customHeight="1">
      <x:c r="A595" s="3"/>
      <x:c r="B595" s="3" t="str">
        <x:v>17596</x:v>
      </x:c>
      <x:c r="C595" s="3" t="n">
        <x:v>7</x:v>
      </x:c>
      <x:c r="D595" s="51" t="n">
        <x:v>40863</x:v>
      </x:c>
      <x:c r="E595" s="3" t="str">
        <x:v>Recurrente</x:v>
      </x:c>
      <x:c r="F595" s="13" t="n">
        <x:v>2827.93</x:v>
      </x:c>
      <x:c r="G595" s="13" t="n">
        <x:v>0</x:v>
      </x:c>
      <x:c r="H595" s="13" t="n">
        <x:f>F595-G595</x:f>
        <x:v>2827.93</x:v>
      </x:c>
      <x:c r="I595" s="13" t="n">
        <x:f>IF(C595=0,"n.a.",F595/C595)</x:f>
        <x:v>403.98999999999995</x:v>
      </x:c>
      <x:c r="J595" s="3"/>
      <x:c r="K595" s="3"/>
      <x:c r="L595" s="3"/>
    </x:row>
    <x:row r="596" ht="22" customHeight="1">
      <x:c r="A596" s="3"/>
      <x:c r="B596" s="3" t="str">
        <x:v>15984</x:v>
      </x:c>
      <x:c r="C596" s="3" t="n">
        <x:v>10</x:v>
      </x:c>
      <x:c r="D596" s="51" t="n">
        <x:v>40884</x:v>
      </x:c>
      <x:c r="E596" s="3" t="str">
        <x:v>Recurrente</x:v>
      </x:c>
      <x:c r="F596" s="13" t="n">
        <x:v>2837.67</x:v>
      </x:c>
      <x:c r="G596" s="13" t="n">
        <x:v>20.7</x:v>
      </x:c>
      <x:c r="H596" s="13" t="n">
        <x:f>F596-G596</x:f>
        <x:v>2816.9700000000003</x:v>
      </x:c>
      <x:c r="I596" s="13" t="n">
        <x:f>IF(C596=0,"n.a.",F596/C596)</x:f>
        <x:v>283.767</x:v>
      </x:c>
      <x:c r="J596" s="3"/>
      <x:c r="K596" s="3"/>
      <x:c r="L596" s="3"/>
    </x:row>
    <x:row r="597" ht="22" customHeight="1">
      <x:c r="A597" s="3"/>
      <x:c r="B597" s="3" t="str">
        <x:v>13174</x:v>
      </x:c>
      <x:c r="C597" s="3" t="n">
        <x:v>3</x:v>
      </x:c>
      <x:c r="D597" s="51" t="n">
        <x:v>40870</x:v>
      </x:c>
      <x:c r="E597" s="3" t="str">
        <x:v>Recurrente</x:v>
      </x:c>
      <x:c r="F597" s="13" t="n">
        <x:v>2813.03</x:v>
      </x:c>
      <x:c r="G597" s="13" t="n">
        <x:v>0</x:v>
      </x:c>
      <x:c r="H597" s="13" t="n">
        <x:f>F597-G597</x:f>
        <x:v>2813.03</x:v>
      </x:c>
      <x:c r="I597" s="13" t="n">
        <x:f>IF(C597=0,"n.a.",F597/C597)</x:f>
        <x:v>937.6766666666667</x:v>
      </x:c>
      <x:c r="J597" s="3"/>
      <x:c r="K597" s="3"/>
      <x:c r="L597" s="3"/>
    </x:row>
    <x:row r="598" ht="22" customHeight="1">
      <x:c r="A598" s="3"/>
      <x:c r="B598" s="3" t="str">
        <x:v>16081</x:v>
      </x:c>
      <x:c r="C598" s="3" t="n">
        <x:v>5</x:v>
      </x:c>
      <x:c r="D598" s="51" t="n">
        <x:v>40830</x:v>
      </x:c>
      <x:c r="E598" s="3" t="str">
        <x:v>Recurrente</x:v>
      </x:c>
      <x:c r="F598" s="13" t="n">
        <x:v>2806.9</x:v>
      </x:c>
      <x:c r="G598" s="13" t="n">
        <x:v>0</x:v>
      </x:c>
      <x:c r="H598" s="13" t="n">
        <x:f>F598-G598</x:f>
        <x:v>2806.9</x:v>
      </x:c>
      <x:c r="I598" s="13" t="n">
        <x:f>IF(C598=0,"n.a.",F598/C598)</x:f>
        <x:v>561.38</x:v>
      </x:c>
      <x:c r="J598" s="3"/>
      <x:c r="K598" s="3"/>
      <x:c r="L598" s="3"/>
    </x:row>
    <x:row r="599" ht="22" customHeight="1">
      <x:c r="A599" s="3"/>
      <x:c r="B599" s="3" t="str">
        <x:v>14572</x:v>
      </x:c>
      <x:c r="C599" s="3" t="n">
        <x:v>7</x:v>
      </x:c>
      <x:c r="D599" s="51" t="n">
        <x:v>40883</x:v>
      </x:c>
      <x:c r="E599" s="3" t="str">
        <x:v>Recurrente</x:v>
      </x:c>
      <x:c r="F599" s="13" t="n">
        <x:v>2832.84</x:v>
      </x:c>
      <x:c r="G599" s="13" t="n">
        <x:v>29.15</x:v>
      </x:c>
      <x:c r="H599" s="13" t="n">
        <x:f>F599-G599</x:f>
        <x:v>2803.69</x:v>
      </x:c>
      <x:c r="I599" s="13" t="n">
        <x:f>IF(C599=0,"n.a.",F599/C599)</x:f>
        <x:v>404.6914285714286</x:v>
      </x:c>
      <x:c r="J599" s="3"/>
      <x:c r="K599" s="3"/>
      <x:c r="L599" s="3"/>
    </x:row>
    <x:row r="600" ht="22" customHeight="1">
      <x:c r="A600" s="3"/>
      <x:c r="B600" s="3" t="str">
        <x:v>12758</x:v>
      </x:c>
      <x:c r="C600" s="3" t="n">
        <x:v>2</x:v>
      </x:c>
      <x:c r="D600" s="51" t="n">
        <x:v>40770</x:v>
      </x:c>
      <x:c r="E600" s="3" t="str">
        <x:v>Recurrente</x:v>
      </x:c>
      <x:c r="F600" s="13" t="n">
        <x:v>2791.59</x:v>
      </x:c>
      <x:c r="G600" s="13" t="n">
        <x:v>0</x:v>
      </x:c>
      <x:c r="H600" s="13" t="n">
        <x:f>F600-G600</x:f>
        <x:v>2791.59</x:v>
      </x:c>
      <x:c r="I600" s="13" t="n">
        <x:f>IF(C600=0,"n.a.",F600/C600)</x:f>
        <x:v>1395.795</x:v>
      </x:c>
      <x:c r="J600" s="3"/>
      <x:c r="K600" s="3"/>
      <x:c r="L600" s="3"/>
    </x:row>
    <x:row r="601" ht="22" customHeight="1">
      <x:c r="A601" s="3"/>
      <x:c r="B601" s="3" t="str">
        <x:v>12598</x:v>
      </x:c>
      <x:c r="C601" s="3" t="n">
        <x:v>7</x:v>
      </x:c>
      <x:c r="D601" s="51" t="n">
        <x:v>40877</x:v>
      </x:c>
      <x:c r="E601" s="3" t="str">
        <x:v>Recurrente</x:v>
      </x:c>
      <x:c r="F601" s="13" t="n">
        <x:v>2807.08</x:v>
      </x:c>
      <x:c r="G601" s="13" t="n">
        <x:v>20.4</x:v>
      </x:c>
      <x:c r="H601" s="13" t="n">
        <x:f>F601-G601</x:f>
        <x:v>2786.68</x:v>
      </x:c>
      <x:c r="I601" s="13" t="n">
        <x:f>IF(C601=0,"n.a.",F601/C601)</x:f>
        <x:v>401.01142857142855</x:v>
      </x:c>
      <x:c r="J601" s="3"/>
      <x:c r="K601" s="3"/>
      <x:c r="L601" s="3"/>
    </x:row>
    <x:row r="602" ht="22" customHeight="1">
      <x:c r="A602" s="3"/>
      <x:c r="B602" s="3" t="str">
        <x:v>17739</x:v>
      </x:c>
      <x:c r="C602" s="3" t="n">
        <x:v>7</x:v>
      </x:c>
      <x:c r="D602" s="51" t="n">
        <x:v>40875</x:v>
      </x:c>
      <x:c r="E602" s="3" t="str">
        <x:v>Recurrente</x:v>
      </x:c>
      <x:c r="F602" s="13" t="n">
        <x:v>2791.35</x:v>
      </x:c>
      <x:c r="G602" s="13" t="n">
        <x:v>5.3</x:v>
      </x:c>
      <x:c r="H602" s="13" t="n">
        <x:f>F602-G602</x:f>
        <x:v>2786.0499999999997</x:v>
      </x:c>
      <x:c r="I602" s="13" t="n">
        <x:f>IF(C602=0,"n.a.",F602/C602)</x:f>
        <x:v>398.7642857142857</x:v>
      </x:c>
      <x:c r="J602" s="3"/>
      <x:c r="K602" s="3"/>
      <x:c r="L602" s="3"/>
    </x:row>
    <x:row r="603" ht="22" customHeight="1">
      <x:c r="A603" s="3"/>
      <x:c r="B603" s="3" t="str">
        <x:v>12388</x:v>
      </x:c>
      <x:c r="C603" s="3" t="n">
        <x:v>6</x:v>
      </x:c>
      <x:c r="D603" s="51" t="n">
        <x:v>40871</x:v>
      </x:c>
      <x:c r="E603" s="3" t="str">
        <x:v>Recurrente</x:v>
      </x:c>
      <x:c r="F603" s="13" t="n">
        <x:v>2780.66</x:v>
      </x:c>
      <x:c r="G603" s="13" t="n">
        <x:v>0</x:v>
      </x:c>
      <x:c r="H603" s="13" t="n">
        <x:f>F603-G603</x:f>
        <x:v>2780.66</x:v>
      </x:c>
      <x:c r="I603" s="13" t="n">
        <x:f>IF(C603=0,"n.a.",F603/C603)</x:f>
        <x:v>463.4433333333333</x:v>
      </x:c>
      <x:c r="J603" s="3"/>
      <x:c r="K603" s="3"/>
      <x:c r="L603" s="3"/>
    </x:row>
    <x:row r="604" ht="22" customHeight="1">
      <x:c r="A604" s="3"/>
      <x:c r="B604" s="3" t="str">
        <x:v>14112</x:v>
      </x:c>
      <x:c r="C604" s="3" t="n">
        <x:v>7</x:v>
      </x:c>
      <x:c r="D604" s="51" t="n">
        <x:v>40864</x:v>
      </x:c>
      <x:c r="E604" s="3" t="str">
        <x:v>Recurrente</x:v>
      </x:c>
      <x:c r="F604" s="13" t="n">
        <x:v>2915.15</x:v>
      </x:c>
      <x:c r="G604" s="13" t="n">
        <x:v>140.98</x:v>
      </x:c>
      <x:c r="H604" s="13" t="n">
        <x:f>F604-G604</x:f>
        <x:v>2774.17</x:v>
      </x:c>
      <x:c r="I604" s="13" t="n">
        <x:f>IF(C604=0,"n.a.",F604/C604)</x:f>
        <x:v>416.45</x:v>
      </x:c>
      <x:c r="J604" s="3"/>
      <x:c r="K604" s="3"/>
      <x:c r="L604" s="3"/>
    </x:row>
    <x:row r="605" ht="22" customHeight="1">
      <x:c r="A605" s="3"/>
      <x:c r="B605" s="3" t="str">
        <x:v>16928</x:v>
      </x:c>
      <x:c r="C605" s="3" t="n">
        <x:v>17</x:v>
      </x:c>
      <x:c r="D605" s="51" t="n">
        <x:v>40806</x:v>
      </x:c>
      <x:c r="E605" s="3" t="str">
        <x:v>Recurrente</x:v>
      </x:c>
      <x:c r="F605" s="13" t="n">
        <x:v>2839.65</x:v>
      </x:c>
      <x:c r="G605" s="13" t="n">
        <x:v>66.1</x:v>
      </x:c>
      <x:c r="H605" s="13" t="n">
        <x:f>F605-G605</x:f>
        <x:v>2773.55</x:v>
      </x:c>
      <x:c r="I605" s="13" t="n">
        <x:f>IF(C605=0,"n.a.",F605/C605)</x:f>
        <x:v>167.03823529411764</x:v>
      </x:c>
      <x:c r="J605" s="3"/>
      <x:c r="K605" s="3"/>
      <x:c r="L605" s="3"/>
    </x:row>
    <x:row r="606" ht="22" customHeight="1">
      <x:c r="A606" s="3"/>
      <x:c r="B606" s="3" t="str">
        <x:v>13769</x:v>
      </x:c>
      <x:c r="C606" s="3" t="n">
        <x:v>10</x:v>
      </x:c>
      <x:c r="D606" s="51" t="n">
        <x:v>40884</x:v>
      </x:c>
      <x:c r="E606" s="3" t="str">
        <x:v>Recurrente</x:v>
      </x:c>
      <x:c r="F606" s="13" t="n">
        <x:v>2796.51</x:v>
      </x:c>
      <x:c r="G606" s="13" t="n">
        <x:v>24.64</x:v>
      </x:c>
      <x:c r="H606" s="13" t="n">
        <x:f>F606-G606</x:f>
        <x:v>2771.8700000000003</x:v>
      </x:c>
      <x:c r="I606" s="13" t="n">
        <x:f>IF(C606=0,"n.a.",F606/C606)</x:f>
        <x:v>279.651</x:v>
      </x:c>
      <x:c r="J606" s="3"/>
      <x:c r="K606" s="3"/>
      <x:c r="L606" s="3"/>
    </x:row>
    <x:row r="607" ht="22" customHeight="1">
      <x:c r="A607" s="3"/>
      <x:c r="B607" s="3" t="str">
        <x:v>17644</x:v>
      </x:c>
      <x:c r="C607" s="3" t="n">
        <x:v>11</x:v>
      </x:c>
      <x:c r="D607" s="51" t="n">
        <x:v>40885</x:v>
      </x:c>
      <x:c r="E607" s="3" t="str">
        <x:v>Recurrente</x:v>
      </x:c>
      <x:c r="F607" s="13" t="n">
        <x:v>2895.64</x:v>
      </x:c>
      <x:c r="G607" s="13" t="n">
        <x:v>126.66</x:v>
      </x:c>
      <x:c r="H607" s="13" t="n">
        <x:f>F607-G607</x:f>
        <x:v>2768.98</x:v>
      </x:c>
      <x:c r="I607" s="13" t="n">
        <x:f>IF(C607=0,"n.a.",F607/C607)</x:f>
        <x:v>263.24</x:v>
      </x:c>
      <x:c r="J607" s="3"/>
      <x:c r="K607" s="3"/>
      <x:c r="L607" s="3"/>
    </x:row>
    <x:row r="608" ht="22" customHeight="1">
      <x:c r="A608" s="3"/>
      <x:c r="B608" s="3" t="str">
        <x:v>15356</x:v>
      </x:c>
      <x:c r="C608" s="3" t="n">
        <x:v>10</x:v>
      </x:c>
      <x:c r="D608" s="51" t="n">
        <x:v>40855</x:v>
      </x:c>
      <x:c r="E608" s="3" t="str">
        <x:v>Recurrente</x:v>
      </x:c>
      <x:c r="F608" s="13" t="n">
        <x:v>2766.5</x:v>
      </x:c>
      <x:c r="G608" s="13" t="n">
        <x:v>0</x:v>
      </x:c>
      <x:c r="H608" s="13" t="n">
        <x:f>F608-G608</x:f>
        <x:v>2766.5</x:v>
      </x:c>
      <x:c r="I608" s="13" t="n">
        <x:f>IF(C608=0,"n.a.",F608/C608)</x:f>
        <x:v>276.65</x:v>
      </x:c>
      <x:c r="J608" s="3"/>
      <x:c r="K608" s="3"/>
      <x:c r="L608" s="3"/>
    </x:row>
    <x:row r="609" ht="22" customHeight="1">
      <x:c r="A609" s="3"/>
      <x:c r="B609" s="3" t="str">
        <x:v>13735</x:v>
      </x:c>
      <x:c r="C609" s="3" t="n">
        <x:v>4</x:v>
      </x:c>
      <x:c r="D609" s="51" t="n">
        <x:v>40862</x:v>
      </x:c>
      <x:c r="E609" s="3" t="str">
        <x:v>Recurrente</x:v>
      </x:c>
      <x:c r="F609" s="13" t="n">
        <x:v>2885.24</x:v>
      </x:c>
      <x:c r="G609" s="13" t="n">
        <x:v>119.06</x:v>
      </x:c>
      <x:c r="H609" s="13" t="n">
        <x:f>F609-G609</x:f>
        <x:v>2766.18</x:v>
      </x:c>
      <x:c r="I609" s="13" t="n">
        <x:f>IF(C609=0,"n.a.",F609/C609)</x:f>
        <x:v>721.31</x:v>
      </x:c>
      <x:c r="J609" s="3"/>
      <x:c r="K609" s="3"/>
      <x:c r="L609" s="3"/>
    </x:row>
    <x:row r="610" ht="22" customHeight="1">
      <x:c r="A610" s="3"/>
      <x:c r="B610" s="3" t="str">
        <x:v>13230</x:v>
      </x:c>
      <x:c r="C610" s="3" t="n">
        <x:v>14</x:v>
      </x:c>
      <x:c r="D610" s="51" t="n">
        <x:v>40882</x:v>
      </x:c>
      <x:c r="E610" s="3" t="str">
        <x:v>Recurrente</x:v>
      </x:c>
      <x:c r="F610" s="13" t="n">
        <x:v>2806.97</x:v>
      </x:c>
      <x:c r="G610" s="13" t="n">
        <x:v>43.56</x:v>
      </x:c>
      <x:c r="H610" s="13" t="n">
        <x:f>F610-G610</x:f>
        <x:v>2763.41</x:v>
      </x:c>
      <x:c r="I610" s="13" t="n">
        <x:f>IF(C610=0,"n.a.",F610/C610)</x:f>
        <x:v>200.49785714285713</x:v>
      </x:c>
      <x:c r="J610" s="3"/>
      <x:c r="K610" s="3"/>
      <x:c r="L610" s="3"/>
    </x:row>
    <x:row r="611" ht="22" customHeight="1">
      <x:c r="A611" s="3"/>
      <x:c r="B611" s="3" t="str">
        <x:v>16871</x:v>
      </x:c>
      <x:c r="C611" s="3" t="n">
        <x:v>6</x:v>
      </x:c>
      <x:c r="D611" s="51" t="n">
        <x:v>40864</x:v>
      </x:c>
      <x:c r="E611" s="3" t="str">
        <x:v>Recurrente</x:v>
      </x:c>
      <x:c r="F611" s="13" t="n">
        <x:v>2812.34</x:v>
      </x:c>
      <x:c r="G611" s="13" t="n">
        <x:v>50.85</x:v>
      </x:c>
      <x:c r="H611" s="13" t="n">
        <x:f>F611-G611</x:f>
        <x:v>2761.4900000000002</x:v>
      </x:c>
      <x:c r="I611" s="13" t="n">
        <x:f>IF(C611=0,"n.a.",F611/C611)</x:f>
        <x:v>468.72333333333336</x:v>
      </x:c>
      <x:c r="J611" s="3"/>
      <x:c r="K611" s="3"/>
      <x:c r="L611" s="3"/>
    </x:row>
    <x:row r="612" ht="22" customHeight="1">
      <x:c r="A612" s="3"/>
      <x:c r="B612" s="3" t="str">
        <x:v>15114</x:v>
      </x:c>
      <x:c r="C612" s="3" t="n">
        <x:v>10</x:v>
      </x:c>
      <x:c r="D612" s="51" t="n">
        <x:v>40856</x:v>
      </x:c>
      <x:c r="E612" s="3" t="str">
        <x:v>Recurrente</x:v>
      </x:c>
      <x:c r="F612" s="13" t="n">
        <x:v>2760.56</x:v>
      </x:c>
      <x:c r="G612" s="13" t="n">
        <x:v>0</x:v>
      </x:c>
      <x:c r="H612" s="13" t="n">
        <x:f>F612-G612</x:f>
        <x:v>2760.56</x:v>
      </x:c>
      <x:c r="I612" s="13" t="n">
        <x:f>IF(C612=0,"n.a.",F612/C612)</x:f>
        <x:v>276.056</x:v>
      </x:c>
      <x:c r="J612" s="3"/>
      <x:c r="K612" s="3"/>
      <x:c r="L612" s="3"/>
    </x:row>
    <x:row r="613" ht="22" customHeight="1">
      <x:c r="A613" s="3"/>
      <x:c r="B613" s="3" t="str">
        <x:v>16764</x:v>
      </x:c>
      <x:c r="C613" s="3" t="n">
        <x:v>13</x:v>
      </x:c>
      <x:c r="D613" s="51" t="n">
        <x:v>40883</x:v>
      </x:c>
      <x:c r="E613" s="3" t="str">
        <x:v>Recurrente</x:v>
      </x:c>
      <x:c r="F613" s="13" t="n">
        <x:v>2799.25</x:v>
      </x:c>
      <x:c r="G613" s="13" t="n">
        <x:v>41</x:v>
      </x:c>
      <x:c r="H613" s="13" t="n">
        <x:f>F613-G613</x:f>
        <x:v>2758.25</x:v>
      </x:c>
      <x:c r="I613" s="13" t="n">
        <x:f>IF(C613=0,"n.a.",F613/C613)</x:f>
        <x:v>215.32692307692307</x:v>
      </x:c>
      <x:c r="J613" s="3"/>
      <x:c r="K613" s="3"/>
      <x:c r="L613" s="3"/>
    </x:row>
    <x:row r="614" ht="22" customHeight="1">
      <x:c r="A614" s="3"/>
      <x:c r="B614" s="3" t="str">
        <x:v>14626</x:v>
      </x:c>
      <x:c r="C614" s="3" t="n">
        <x:v>4</x:v>
      </x:c>
      <x:c r="D614" s="51" t="n">
        <x:v>40863</x:v>
      </x:c>
      <x:c r="E614" s="3" t="str">
        <x:v>Recurrente</x:v>
      </x:c>
      <x:c r="F614" s="13" t="n">
        <x:v>2791.27</x:v>
      </x:c>
      <x:c r="G614" s="13" t="n">
        <x:v>34.2</x:v>
      </x:c>
      <x:c r="H614" s="13" t="n">
        <x:f>F614-G614</x:f>
        <x:v>2757.07</x:v>
      </x:c>
      <x:c r="I614" s="13" t="n">
        <x:f>IF(C614=0,"n.a.",F614/C614)</x:f>
        <x:v>697.8175</x:v>
      </x:c>
      <x:c r="J614" s="3"/>
      <x:c r="K614" s="3"/>
      <x:c r="L614" s="3"/>
    </x:row>
    <x:row r="615" ht="22" customHeight="1">
      <x:c r="A615" s="3"/>
      <x:c r="B615" s="3" t="str">
        <x:v>16316</x:v>
      </x:c>
      <x:c r="C615" s="3" t="n">
        <x:v>8</x:v>
      </x:c>
      <x:c r="D615" s="51" t="n">
        <x:v>40822</x:v>
      </x:c>
      <x:c r="E615" s="3" t="str">
        <x:v>Recurrente</x:v>
      </x:c>
      <x:c r="F615" s="13" t="n">
        <x:v>2938.91</x:v>
      </x:c>
      <x:c r="G615" s="13" t="n">
        <x:v>183.35</x:v>
      </x:c>
      <x:c r="H615" s="13" t="n">
        <x:f>F615-G615</x:f>
        <x:v>2755.56</x:v>
      </x:c>
      <x:c r="I615" s="13" t="n">
        <x:f>IF(C615=0,"n.a.",F615/C615)</x:f>
        <x:v>367.36375</x:v>
      </x:c>
      <x:c r="J615" s="3"/>
      <x:c r="K615" s="3"/>
      <x:c r="L615" s="3"/>
    </x:row>
    <x:row r="616" ht="22" customHeight="1">
      <x:c r="A616" s="3"/>
      <x:c r="B616" s="3" t="str">
        <x:v>13870</x:v>
      </x:c>
      <x:c r="C616" s="3" t="n">
        <x:v>8</x:v>
      </x:c>
      <x:c r="D616" s="51" t="n">
        <x:v>40884</x:v>
      </x:c>
      <x:c r="E616" s="3" t="str">
        <x:v>Recurrente</x:v>
      </x:c>
      <x:c r="F616" s="13" t="n">
        <x:v>2770.94</x:v>
      </x:c>
      <x:c r="G616" s="13" t="n">
        <x:v>19.69</x:v>
      </x:c>
      <x:c r="H616" s="13" t="n">
        <x:f>F616-G616</x:f>
        <x:v>2751.25</x:v>
      </x:c>
      <x:c r="I616" s="13" t="n">
        <x:f>IF(C616=0,"n.a.",F616/C616)</x:f>
        <x:v>346.3675</x:v>
      </x:c>
      <x:c r="J616" s="3"/>
      <x:c r="K616" s="3"/>
      <x:c r="L616" s="3"/>
    </x:row>
    <x:row r="617" ht="22" customHeight="1">
      <x:c r="A617" s="3"/>
      <x:c r="B617" s="3" t="str">
        <x:v>14854</x:v>
      </x:c>
      <x:c r="C617" s="3" t="n">
        <x:v>7</x:v>
      </x:c>
      <x:c r="D617" s="51" t="n">
        <x:v>40808</x:v>
      </x:c>
      <x:c r="E617" s="3" t="str">
        <x:v>Recurrente</x:v>
      </x:c>
      <x:c r="F617" s="13" t="n">
        <x:v>2759.83</x:v>
      </x:c>
      <x:c r="G617" s="13" t="n">
        <x:v>9.94</x:v>
      </x:c>
      <x:c r="H617" s="13" t="n">
        <x:f>F617-G617</x:f>
        <x:v>2749.89</x:v>
      </x:c>
      <x:c r="I617" s="13" t="n">
        <x:f>IF(C617=0,"n.a.",F617/C617)</x:f>
        <x:v>394.26142857142855</x:v>
      </x:c>
      <x:c r="J617" s="3"/>
      <x:c r="K617" s="3"/>
      <x:c r="L617" s="3"/>
    </x:row>
    <x:row r="618" ht="22" customHeight="1">
      <x:c r="A618" s="3"/>
      <x:c r="B618" s="3" t="str">
        <x:v>15993</x:v>
      </x:c>
      <x:c r="C618" s="3" t="n">
        <x:v>7</x:v>
      </x:c>
      <x:c r="D618" s="51" t="n">
        <x:v>40878</x:v>
      </x:c>
      <x:c r="E618" s="3" t="str">
        <x:v>Recurrente</x:v>
      </x:c>
      <x:c r="F618" s="13" t="n">
        <x:v>2788.87</x:v>
      </x:c>
      <x:c r="G618" s="13" t="n">
        <x:v>40.75</x:v>
      </x:c>
      <x:c r="H618" s="13" t="n">
        <x:f>F618-G618</x:f>
        <x:v>2748.12</x:v>
      </x:c>
      <x:c r="I618" s="13" t="n">
        <x:f>IF(C618=0,"n.a.",F618/C618)</x:f>
        <x:v>398.40999999999997</x:v>
      </x:c>
      <x:c r="J618" s="3"/>
      <x:c r="K618" s="3"/>
      <x:c r="L618" s="3"/>
    </x:row>
    <x:row r="619" ht="22" customHeight="1">
      <x:c r="A619" s="3"/>
      <x:c r="B619" s="3" t="str">
        <x:v>17504</x:v>
      </x:c>
      <x:c r="C619" s="3" t="n">
        <x:v>9</x:v>
      </x:c>
      <x:c r="D619" s="51" t="n">
        <x:v>40680</x:v>
      </x:c>
      <x:c r="E619" s="3" t="str">
        <x:v>Recurrente</x:v>
      </x:c>
      <x:c r="F619" s="13" t="n">
        <x:v>2997.03</x:v>
      </x:c>
      <x:c r="G619" s="13" t="n">
        <x:v>251.75</x:v>
      </x:c>
      <x:c r="H619" s="13" t="n">
        <x:f>F619-G619</x:f>
        <x:v>2745.28</x:v>
      </x:c>
      <x:c r="I619" s="13" t="n">
        <x:f>IF(C619=0,"n.a.",F619/C619)</x:f>
        <x:v>333.00333333333333</x:v>
      </x:c>
      <x:c r="J619" s="3"/>
      <x:c r="K619" s="3"/>
      <x:c r="L619" s="3"/>
    </x:row>
    <x:row r="620" ht="22" customHeight="1">
      <x:c r="A620" s="3"/>
      <x:c r="B620" s="3" t="str">
        <x:v>14903</x:v>
      </x:c>
      <x:c r="C620" s="3" t="n">
        <x:v>5</x:v>
      </x:c>
      <x:c r="D620" s="51" t="n">
        <x:v>40865</x:v>
      </x:c>
      <x:c r="E620" s="3" t="str">
        <x:v>Recurrente</x:v>
      </x:c>
      <x:c r="F620" s="13" t="n">
        <x:v>2810.63</x:v>
      </x:c>
      <x:c r="G620" s="13" t="n">
        <x:v>66.15</x:v>
      </x:c>
      <x:c r="H620" s="13" t="n">
        <x:f>F620-G620</x:f>
        <x:v>2744.48</x:v>
      </x:c>
      <x:c r="I620" s="13" t="n">
        <x:f>IF(C620=0,"n.a.",F620/C620)</x:f>
        <x:v>562.126</x:v>
      </x:c>
      <x:c r="J620" s="3"/>
      <x:c r="K620" s="3"/>
      <x:c r="L620" s="3"/>
    </x:row>
    <x:row r="621" ht="22" customHeight="1">
      <x:c r="A621" s="3"/>
      <x:c r="B621" s="3" t="str">
        <x:v>17213</x:v>
      </x:c>
      <x:c r="C621" s="3" t="n">
        <x:v>7</x:v>
      </x:c>
      <x:c r="D621" s="51" t="n">
        <x:v>40846</x:v>
      </x:c>
      <x:c r="E621" s="3" t="str">
        <x:v>Recurrente</x:v>
      </x:c>
      <x:c r="F621" s="13" t="n">
        <x:v>2781.23</x:v>
      </x:c>
      <x:c r="G621" s="13" t="n">
        <x:v>40.15</x:v>
      </x:c>
      <x:c r="H621" s="13" t="n">
        <x:f>F621-G621</x:f>
        <x:v>2741.08</x:v>
      </x:c>
      <x:c r="I621" s="13" t="n">
        <x:f>IF(C621=0,"n.a.",F621/C621)</x:f>
        <x:v>397.31857142857143</x:v>
      </x:c>
      <x:c r="J621" s="3"/>
      <x:c r="K621" s="3"/>
      <x:c r="L621" s="3"/>
    </x:row>
    <x:row r="622" ht="22" customHeight="1">
      <x:c r="A622" s="3"/>
      <x:c r="B622" s="3" t="str">
        <x:v>14125</x:v>
      </x:c>
      <x:c r="C622" s="3" t="n">
        <x:v>3</x:v>
      </x:c>
      <x:c r="D622" s="51" t="n">
        <x:v>40876</x:v>
      </x:c>
      <x:c r="E622" s="3" t="str">
        <x:v>Recurrente</x:v>
      </x:c>
      <x:c r="F622" s="13" t="n">
        <x:v>2740.43</x:v>
      </x:c>
      <x:c r="G622" s="13" t="n">
        <x:v>0</x:v>
      </x:c>
      <x:c r="H622" s="13" t="n">
        <x:f>F622-G622</x:f>
        <x:v>2740.43</x:v>
      </x:c>
      <x:c r="I622" s="13" t="n">
        <x:f>IF(C622=0,"n.a.",F622/C622)</x:f>
        <x:v>913.4766666666666</x:v>
      </x:c>
      <x:c r="J622" s="3"/>
      <x:c r="K622" s="3"/>
      <x:c r="L622" s="3"/>
    </x:row>
    <x:row r="623" ht="22" customHeight="1">
      <x:c r="A623" s="3"/>
      <x:c r="B623" s="3" t="str">
        <x:v>14121</x:v>
      </x:c>
      <x:c r="C623" s="3" t="n">
        <x:v>4</x:v>
      </x:c>
      <x:c r="D623" s="51" t="n">
        <x:v>40883</x:v>
      </x:c>
      <x:c r="E623" s="3" t="str">
        <x:v>Recurrente</x:v>
      </x:c>
      <x:c r="F623" s="13" t="n">
        <x:v>2780.15</x:v>
      </x:c>
      <x:c r="G623" s="13" t="n">
        <x:v>39.85</x:v>
      </x:c>
      <x:c r="H623" s="13" t="n">
        <x:f>F623-G623</x:f>
        <x:v>2740.3</x:v>
      </x:c>
      <x:c r="I623" s="13" t="n">
        <x:f>IF(C623=0,"n.a.",F623/C623)</x:f>
        <x:v>695.0375</x:v>
      </x:c>
      <x:c r="J623" s="3"/>
      <x:c r="K623" s="3"/>
      <x:c r="L623" s="3"/>
    </x:row>
    <x:row r="624" ht="22" customHeight="1">
      <x:c r="A624" s="3"/>
      <x:c r="B624" s="3" t="str">
        <x:v>16003</x:v>
      </x:c>
      <x:c r="C624" s="3" t="n">
        <x:v>5</x:v>
      </x:c>
      <x:c r="D624" s="51" t="n">
        <x:v>40857</x:v>
      </x:c>
      <x:c r="E624" s="3" t="str">
        <x:v>Recurrente</x:v>
      </x:c>
      <x:c r="F624" s="13" t="n">
        <x:v>2735.37</x:v>
      </x:c>
      <x:c r="G624" s="13" t="n">
        <x:v>0</x:v>
      </x:c>
      <x:c r="H624" s="13" t="n">
        <x:f>F624-G624</x:f>
        <x:v>2735.37</x:v>
      </x:c>
      <x:c r="I624" s="13" t="n">
        <x:f>IF(C624=0,"n.a.",F624/C624)</x:f>
        <x:v>547.074</x:v>
      </x:c>
      <x:c r="J624" s="3"/>
      <x:c r="K624" s="3"/>
      <x:c r="L624" s="3"/>
    </x:row>
    <x:row r="625" ht="22" customHeight="1">
      <x:c r="A625" s="3"/>
      <x:c r="B625" s="3" t="str">
        <x:v>12670</x:v>
      </x:c>
      <x:c r="C625" s="3" t="n">
        <x:v>5</x:v>
      </x:c>
      <x:c r="D625" s="51" t="n">
        <x:v>40876</x:v>
      </x:c>
      <x:c r="E625" s="3" t="str">
        <x:v>Recurrente</x:v>
      </x:c>
      <x:c r="F625" s="13" t="n">
        <x:v>2744.05</x:v>
      </x:c>
      <x:c r="G625" s="13" t="n">
        <x:v>9.9</x:v>
      </x:c>
      <x:c r="H625" s="13" t="n">
        <x:f>F625-G625</x:f>
        <x:v>2734.15</x:v>
      </x:c>
      <x:c r="I625" s="13" t="n">
        <x:f>IF(C625=0,"n.a.",F625/C625)</x:f>
        <x:v>548.8100000000001</x:v>
      </x:c>
      <x:c r="J625" s="3"/>
      <x:c r="K625" s="3"/>
      <x:c r="L625" s="3"/>
    </x:row>
    <x:row r="626" ht="22" customHeight="1">
      <x:c r="A626" s="3"/>
      <x:c r="B626" s="3" t="str">
        <x:v>18230</x:v>
      </x:c>
      <x:c r="C626" s="3" t="n">
        <x:v>7</x:v>
      </x:c>
      <x:c r="D626" s="51" t="n">
        <x:v>40877</x:v>
      </x:c>
      <x:c r="E626" s="3" t="str">
        <x:v>Recurrente</x:v>
      </x:c>
      <x:c r="F626" s="13" t="n">
        <x:v>2810.2</x:v>
      </x:c>
      <x:c r="G626" s="13" t="n">
        <x:v>93.6</x:v>
      </x:c>
      <x:c r="H626" s="13" t="n">
        <x:f>F626-G626</x:f>
        <x:v>2716.6</x:v>
      </x:c>
      <x:c r="I626" s="13" t="n">
        <x:f>IF(C626=0,"n.a.",F626/C626)</x:f>
        <x:v>401.45714285714286</x:v>
      </x:c>
      <x:c r="J626" s="3"/>
      <x:c r="K626" s="3"/>
      <x:c r="L626" s="3"/>
    </x:row>
    <x:row r="627" ht="22" customHeight="1">
      <x:c r="A627" s="3"/>
      <x:c r="B627" s="3" t="str">
        <x:v>12840</x:v>
      </x:c>
      <x:c r="C627" s="3" t="n">
        <x:v>4</x:v>
      </x:c>
      <x:c r="D627" s="51" t="n">
        <x:v>40743</x:v>
      </x:c>
      <x:c r="E627" s="3" t="str">
        <x:v>Recurrente</x:v>
      </x:c>
      <x:c r="F627" s="13" t="n">
        <x:v>2726.77</x:v>
      </x:c>
      <x:c r="G627" s="13" t="n">
        <x:v>12.5</x:v>
      </x:c>
      <x:c r="H627" s="13" t="n">
        <x:f>F627-G627</x:f>
        <x:v>2714.27</x:v>
      </x:c>
      <x:c r="I627" s="13" t="n">
        <x:f>IF(C627=0,"n.a.",F627/C627)</x:f>
        <x:v>681.6925</x:v>
      </x:c>
      <x:c r="J627" s="3"/>
      <x:c r="K627" s="3"/>
      <x:c r="L627" s="3"/>
    </x:row>
    <x:row r="628" ht="22" customHeight="1">
      <x:c r="A628" s="3"/>
      <x:c r="B628" s="3" t="str">
        <x:v>13285</x:v>
      </x:c>
      <x:c r="C628" s="3" t="n">
        <x:v>4</x:v>
      </x:c>
      <x:c r="D628" s="51" t="n">
        <x:v>40863</x:v>
      </x:c>
      <x:c r="E628" s="3" t="str">
        <x:v>Recurrente</x:v>
      </x:c>
      <x:c r="F628" s="13" t="n">
        <x:v>2709.12</x:v>
      </x:c>
      <x:c r="G628" s="13" t="n">
        <x:v>0</x:v>
      </x:c>
      <x:c r="H628" s="13" t="n">
        <x:f>F628-G628</x:f>
        <x:v>2709.12</x:v>
      </x:c>
      <x:c r="I628" s="13" t="n">
        <x:f>IF(C628=0,"n.a.",F628/C628)</x:f>
        <x:v>677.28</x:v>
      </x:c>
      <x:c r="J628" s="3"/>
      <x:c r="K628" s="3"/>
      <x:c r="L628" s="3"/>
    </x:row>
    <x:row r="629" ht="22" customHeight="1">
      <x:c r="A629" s="3"/>
      <x:c r="B629" s="3" t="str">
        <x:v>15796</x:v>
      </x:c>
      <x:c r="C629" s="3" t="n">
        <x:v>8</x:v>
      </x:c>
      <x:c r="D629" s="51" t="n">
        <x:v>40885</x:v>
      </x:c>
      <x:c r="E629" s="3" t="str">
        <x:v>Recurrente</x:v>
      </x:c>
      <x:c r="F629" s="13" t="n">
        <x:v>2710.56</x:v>
      </x:c>
      <x:c r="G629" s="13" t="n">
        <x:v>2.95</x:v>
      </x:c>
      <x:c r="H629" s="13" t="n">
        <x:f>F629-G629</x:f>
        <x:v>2707.61</x:v>
      </x:c>
      <x:c r="I629" s="13" t="n">
        <x:f>IF(C629=0,"n.a.",F629/C629)</x:f>
        <x:v>338.82</x:v>
      </x:c>
      <x:c r="J629" s="3"/>
      <x:c r="K629" s="3"/>
      <x:c r="L629" s="3"/>
    </x:row>
    <x:row r="630" ht="22" customHeight="1">
      <x:c r="A630" s="3"/>
      <x:c r="B630" s="3" t="str">
        <x:v>13654</x:v>
      </x:c>
      <x:c r="C630" s="3" t="n">
        <x:v>6</x:v>
      </x:c>
      <x:c r="D630" s="51" t="n">
        <x:v>40843</x:v>
      </x:c>
      <x:c r="E630" s="3" t="str">
        <x:v>Recurrente</x:v>
      </x:c>
      <x:c r="F630" s="13" t="n">
        <x:v>2707.33</x:v>
      </x:c>
      <x:c r="G630" s="13" t="n">
        <x:v>0</x:v>
      </x:c>
      <x:c r="H630" s="13" t="n">
        <x:f>F630-G630</x:f>
        <x:v>2707.33</x:v>
      </x:c>
      <x:c r="I630" s="13" t="n">
        <x:f>IF(C630=0,"n.a.",F630/C630)</x:f>
        <x:v>451.22166666666664</x:v>
      </x:c>
      <x:c r="J630" s="3"/>
      <x:c r="K630" s="3"/>
      <x:c r="L630" s="3"/>
    </x:row>
    <x:row r="631" ht="22" customHeight="1">
      <x:c r="A631" s="3"/>
      <x:c r="B631" s="3" t="str">
        <x:v>13971</x:v>
      </x:c>
      <x:c r="C631" s="3" t="n">
        <x:v>8</x:v>
      </x:c>
      <x:c r="D631" s="51" t="n">
        <x:v>40868</x:v>
      </x:c>
      <x:c r="E631" s="3" t="str">
        <x:v>Recurrente</x:v>
      </x:c>
      <x:c r="F631" s="13" t="n">
        <x:v>2758.26</x:v>
      </x:c>
      <x:c r="G631" s="13" t="n">
        <x:v>56.04</x:v>
      </x:c>
      <x:c r="H631" s="13" t="n">
        <x:f>F631-G631</x:f>
        <x:v>2702.2200000000003</x:v>
      </x:c>
      <x:c r="I631" s="13" t="n">
        <x:f>IF(C631=0,"n.a.",F631/C631)</x:f>
        <x:v>344.7825</x:v>
      </x:c>
      <x:c r="J631" s="3"/>
      <x:c r="K631" s="3"/>
      <x:c r="L631" s="3"/>
    </x:row>
    <x:row r="632" ht="22" customHeight="1">
      <x:c r="A632" s="3"/>
      <x:c r="B632" s="3" t="str">
        <x:v>15521</x:v>
      </x:c>
      <x:c r="C632" s="3" t="n">
        <x:v>8</x:v>
      </x:c>
      <x:c r="D632" s="51" t="n">
        <x:v>40846</x:v>
      </x:c>
      <x:c r="E632" s="3" t="str">
        <x:v>Recurrente</x:v>
      </x:c>
      <x:c r="F632" s="13" t="n">
        <x:v>3000.2</x:v>
      </x:c>
      <x:c r="G632" s="13" t="n">
        <x:v>300.55</x:v>
      </x:c>
      <x:c r="H632" s="13" t="n">
        <x:f>F632-G632</x:f>
        <x:v>2699.6499999999996</x:v>
      </x:c>
      <x:c r="I632" s="13" t="n">
        <x:f>IF(C632=0,"n.a.",F632/C632)</x:f>
        <x:v>375.025</x:v>
      </x:c>
      <x:c r="J632" s="3"/>
      <x:c r="K632" s="3"/>
      <x:c r="L632" s="3"/>
    </x:row>
    <x:row r="633" ht="22" customHeight="1">
      <x:c r="A633" s="3"/>
      <x:c r="B633" s="3" t="str">
        <x:v>18097</x:v>
      </x:c>
      <x:c r="C633" s="3" t="n">
        <x:v>6</x:v>
      </x:c>
      <x:c r="D633" s="51" t="n">
        <x:v>40879</x:v>
      </x:c>
      <x:c r="E633" s="3" t="str">
        <x:v>Recurrente</x:v>
      </x:c>
      <x:c r="F633" s="13" t="n">
        <x:v>2697.8</x:v>
      </x:c>
      <x:c r="G633" s="13" t="n">
        <x:v>4.95</x:v>
      </x:c>
      <x:c r="H633" s="13" t="n">
        <x:f>F633-G633</x:f>
        <x:v>2692.8500000000004</x:v>
      </x:c>
      <x:c r="I633" s="13" t="n">
        <x:f>IF(C633=0,"n.a.",F633/C633)</x:f>
        <x:v>449.6333333333334</x:v>
      </x:c>
      <x:c r="J633" s="3"/>
      <x:c r="K633" s="3"/>
      <x:c r="L633" s="3"/>
    </x:row>
    <x:row r="634" ht="22" customHeight="1">
      <x:c r="A634" s="3"/>
      <x:c r="B634" s="3" t="str">
        <x:v>14107</x:v>
      </x:c>
      <x:c r="C634" s="3" t="n">
        <x:v>7</x:v>
      </x:c>
      <x:c r="D634" s="51" t="n">
        <x:v>40835</x:v>
      </x:c>
      <x:c r="E634" s="3" t="str">
        <x:v>Recurrente</x:v>
      </x:c>
      <x:c r="F634" s="13" t="n">
        <x:v>2703.23</x:v>
      </x:c>
      <x:c r="G634" s="13" t="n">
        <x:v>14.75</x:v>
      </x:c>
      <x:c r="H634" s="13" t="n">
        <x:f>F634-G634</x:f>
        <x:v>2688.48</x:v>
      </x:c>
      <x:c r="I634" s="13" t="n">
        <x:f>IF(C634=0,"n.a.",F634/C634)</x:f>
        <x:v>386.17571428571426</x:v>
      </x:c>
      <x:c r="J634" s="3"/>
      <x:c r="K634" s="3"/>
      <x:c r="L634" s="3"/>
    </x:row>
    <x:row r="635" ht="22" customHeight="1">
      <x:c r="A635" s="3"/>
      <x:c r="B635" s="3" t="str">
        <x:v>17386</x:v>
      </x:c>
      <x:c r="C635" s="3" t="n">
        <x:v>6</x:v>
      </x:c>
      <x:c r="D635" s="51" t="n">
        <x:v>40879</x:v>
      </x:c>
      <x:c r="E635" s="3" t="str">
        <x:v>Recurrente</x:v>
      </x:c>
      <x:c r="F635" s="13" t="n">
        <x:v>2686.42</x:v>
      </x:c>
      <x:c r="G635" s="13" t="n">
        <x:v>0</x:v>
      </x:c>
      <x:c r="H635" s="13" t="n">
        <x:f>F635-G635</x:f>
        <x:v>2686.42</x:v>
      </x:c>
      <x:c r="I635" s="13" t="n">
        <x:f>IF(C635=0,"n.a.",F635/C635)</x:f>
        <x:v>447.7366666666667</x:v>
      </x:c>
      <x:c r="J635" s="3"/>
      <x:c r="K635" s="3"/>
      <x:c r="L635" s="3"/>
    </x:row>
    <x:row r="636" ht="22" customHeight="1">
      <x:c r="A636" s="3"/>
      <x:c r="B636" s="3" t="str">
        <x:v>14732</x:v>
      </x:c>
      <x:c r="C636" s="3" t="n">
        <x:v>8</x:v>
      </x:c>
      <x:c r="D636" s="51" t="n">
        <x:v>40878</x:v>
      </x:c>
      <x:c r="E636" s="3" t="str">
        <x:v>Recurrente</x:v>
      </x:c>
      <x:c r="F636" s="13" t="n">
        <x:v>2702.49</x:v>
      </x:c>
      <x:c r="G636" s="13" t="n">
        <x:v>16.15</x:v>
      </x:c>
      <x:c r="H636" s="13" t="n">
        <x:f>F636-G636</x:f>
        <x:v>2686.3399999999997</x:v>
      </x:c>
      <x:c r="I636" s="13" t="n">
        <x:f>IF(C636=0,"n.a.",F636/C636)</x:f>
        <x:v>337.81125</x:v>
      </x:c>
      <x:c r="J636" s="3"/>
      <x:c r="K636" s="3"/>
      <x:c r="L636" s="3"/>
    </x:row>
    <x:row r="637" ht="22" customHeight="1">
      <x:c r="A637" s="3"/>
      <x:c r="B637" s="3" t="str">
        <x:v>14713</x:v>
      </x:c>
      <x:c r="C637" s="3" t="n">
        <x:v>11</x:v>
      </x:c>
      <x:c r="D637" s="51" t="n">
        <x:v>40877</x:v>
      </x:c>
      <x:c r="E637" s="3" t="str">
        <x:v>Recurrente</x:v>
      </x:c>
      <x:c r="F637" s="13" t="n">
        <x:v>2666.36</x:v>
      </x:c>
      <x:c r="G637" s="13" t="n">
        <x:v>2.1</x:v>
      </x:c>
      <x:c r="H637" s="13" t="n">
        <x:f>F637-G637</x:f>
        <x:v>2664.26</x:v>
      </x:c>
      <x:c r="I637" s="13" t="n">
        <x:f>IF(C637=0,"n.a.",F637/C637)</x:f>
        <x:v>242.39636363636365</x:v>
      </x:c>
      <x:c r="J637" s="3"/>
      <x:c r="K637" s="3"/>
      <x:c r="L637" s="3"/>
    </x:row>
    <x:row r="638" ht="22" customHeight="1">
      <x:c r="A638" s="3"/>
      <x:c r="B638" s="3" t="str">
        <x:v>12395</x:v>
      </x:c>
      <x:c r="C638" s="3" t="n">
        <x:v>12</x:v>
      </x:c>
      <x:c r="D638" s="51" t="n">
        <x:v>40867</x:v>
      </x:c>
      <x:c r="E638" s="3" t="str">
        <x:v>Recurrente</x:v>
      </x:c>
      <x:c r="F638" s="13" t="n">
        <x:v>2682.63</x:v>
      </x:c>
      <x:c r="G638" s="13" t="n">
        <x:v>20.35</x:v>
      </x:c>
      <x:c r="H638" s="13" t="n">
        <x:f>F638-G638</x:f>
        <x:v>2662.28</x:v>
      </x:c>
      <x:c r="I638" s="13" t="n">
        <x:f>IF(C638=0,"n.a.",F638/C638)</x:f>
        <x:v>223.5525</x:v>
      </x:c>
      <x:c r="J638" s="3"/>
      <x:c r="K638" s="3"/>
      <x:c r="L638" s="3"/>
    </x:row>
    <x:row r="639" ht="22" customHeight="1">
      <x:c r="A639" s="3"/>
      <x:c r="B639" s="3" t="str">
        <x:v>14439</x:v>
      </x:c>
      <x:c r="C639" s="3" t="n">
        <x:v>1</x:v>
      </x:c>
      <x:c r="D639" s="51" t="n">
        <x:v>40567</x:v>
      </x:c>
      <x:c r="E639" s="3" t="str">
        <x:v>Una compra</x:v>
      </x:c>
      <x:c r="F639" s="13" t="n">
        <x:v>2661.24</x:v>
      </x:c>
      <x:c r="G639" s="13" t="n">
        <x:v>0</x:v>
      </x:c>
      <x:c r="H639" s="13" t="n">
        <x:f>F639-G639</x:f>
        <x:v>2661.24</x:v>
      </x:c>
      <x:c r="I639" s="13" t="n">
        <x:f>IF(C639=0,"n.a.",F639/C639)</x:f>
        <x:v>2661.24</x:v>
      </x:c>
      <x:c r="J639" s="3"/>
      <x:c r="K639" s="3"/>
      <x:c r="L639" s="3"/>
    </x:row>
    <x:row r="640" ht="22" customHeight="1">
      <x:c r="A640" s="3"/>
      <x:c r="B640" s="3" t="str">
        <x:v>17069</x:v>
      </x:c>
      <x:c r="C640" s="3" t="n">
        <x:v>9</x:v>
      </x:c>
      <x:c r="D640" s="51" t="n">
        <x:v>40858</x:v>
      </x:c>
      <x:c r="E640" s="3" t="str">
        <x:v>Recurrente</x:v>
      </x:c>
      <x:c r="F640" s="13" t="n">
        <x:v>2709.7</x:v>
      </x:c>
      <x:c r="G640" s="13" t="n">
        <x:v>54.48</x:v>
      </x:c>
      <x:c r="H640" s="13" t="n">
        <x:f>F640-G640</x:f>
        <x:v>2655.22</x:v>
      </x:c>
      <x:c r="I640" s="13" t="n">
        <x:f>IF(C640=0,"n.a.",F640/C640)</x:f>
        <x:v>301.0777777777778</x:v>
      </x:c>
      <x:c r="J640" s="3"/>
      <x:c r="K640" s="3"/>
      <x:c r="L640" s="3"/>
    </x:row>
    <x:row r="641" ht="22" customHeight="1">
      <x:c r="A641" s="3"/>
      <x:c r="B641" s="3" t="str">
        <x:v>13851</x:v>
      </x:c>
      <x:c r="C641" s="3" t="n">
        <x:v>3</x:v>
      </x:c>
      <x:c r="D641" s="51" t="n">
        <x:v>40791</x:v>
      </x:c>
      <x:c r="E641" s="3" t="str">
        <x:v>Recurrente</x:v>
      </x:c>
      <x:c r="F641" s="13" t="n">
        <x:v>2651.46</x:v>
      </x:c>
      <x:c r="G641" s="13" t="n">
        <x:v>0</x:v>
      </x:c>
      <x:c r="H641" s="13" t="n">
        <x:f>F641-G641</x:f>
        <x:v>2651.46</x:v>
      </x:c>
      <x:c r="I641" s="13" t="n">
        <x:f>IF(C641=0,"n.a.",F641/C641)</x:f>
        <x:v>883.82</x:v>
      </x:c>
      <x:c r="J641" s="3"/>
      <x:c r="K641" s="3"/>
      <x:c r="L641" s="3"/>
    </x:row>
    <x:row r="642" ht="22" customHeight="1">
      <x:c r="A642" s="3"/>
      <x:c r="B642" s="3" t="str">
        <x:v>15321</x:v>
      </x:c>
      <x:c r="C642" s="3" t="n">
        <x:v>3</x:v>
      </x:c>
      <x:c r="D642" s="51" t="n">
        <x:v>40816</x:v>
      </x:c>
      <x:c r="E642" s="3" t="str">
        <x:v>Recurrente</x:v>
      </x:c>
      <x:c r="F642" s="13" t="n">
        <x:v>2748.31</x:v>
      </x:c>
      <x:c r="G642" s="13" t="n">
        <x:v>97.58</x:v>
      </x:c>
      <x:c r="H642" s="13" t="n">
        <x:f>F642-G642</x:f>
        <x:v>2650.73</x:v>
      </x:c>
      <x:c r="I642" s="13" t="n">
        <x:f>IF(C642=0,"n.a.",F642/C642)</x:f>
        <x:v>916.1033333333334</x:v>
      </x:c>
      <x:c r="J642" s="3"/>
      <x:c r="K642" s="3"/>
      <x:c r="L642" s="3"/>
    </x:row>
    <x:row r="643" ht="22" customHeight="1">
      <x:c r="A643" s="3"/>
      <x:c r="B643" s="3" t="str">
        <x:v>15696</x:v>
      </x:c>
      <x:c r="C643" s="3" t="n">
        <x:v>8</x:v>
      </x:c>
      <x:c r="D643" s="51" t="n">
        <x:v>40853</x:v>
      </x:c>
      <x:c r="E643" s="3" t="str">
        <x:v>Recurrente</x:v>
      </x:c>
      <x:c r="F643" s="13" t="n">
        <x:v>2736.46</x:v>
      </x:c>
      <x:c r="G643" s="13" t="n">
        <x:v>92</x:v>
      </x:c>
      <x:c r="H643" s="13" t="n">
        <x:f>F643-G643</x:f>
        <x:v>2644.46</x:v>
      </x:c>
      <x:c r="I643" s="13" t="n">
        <x:f>IF(C643=0,"n.a.",F643/C643)</x:f>
        <x:v>342.0575</x:v>
      </x:c>
      <x:c r="J643" s="3"/>
      <x:c r="K643" s="3"/>
      <x:c r="L643" s="3"/>
    </x:row>
    <x:row r="644" ht="22" customHeight="1">
      <x:c r="A644" s="3"/>
      <x:c r="B644" s="3" t="str">
        <x:v>13804</x:v>
      </x:c>
      <x:c r="C644" s="3" t="n">
        <x:v>7</x:v>
      </x:c>
      <x:c r="D644" s="51" t="n">
        <x:v>40856</x:v>
      </x:c>
      <x:c r="E644" s="3" t="str">
        <x:v>Recurrente</x:v>
      </x:c>
      <x:c r="F644" s="13" t="n">
        <x:v>2635.79</x:v>
      </x:c>
      <x:c r="G644" s="13" t="n">
        <x:v>0</x:v>
      </x:c>
      <x:c r="H644" s="13" t="n">
        <x:f>F644-G644</x:f>
        <x:v>2635.79</x:v>
      </x:c>
      <x:c r="I644" s="13" t="n">
        <x:f>IF(C644=0,"n.a.",F644/C644)</x:f>
        <x:v>376.5414285714286</x:v>
      </x:c>
      <x:c r="J644" s="3"/>
      <x:c r="K644" s="3"/>
      <x:c r="L644" s="3"/>
    </x:row>
    <x:row r="645" ht="22" customHeight="1">
      <x:c r="A645" s="3"/>
      <x:c r="B645" s="3" t="str">
        <x:v>15671</x:v>
      </x:c>
      <x:c r="C645" s="3" t="n">
        <x:v>7</x:v>
      </x:c>
      <x:c r="D645" s="51" t="n">
        <x:v>40868</x:v>
      </x:c>
      <x:c r="E645" s="3" t="str">
        <x:v>Recurrente</x:v>
      </x:c>
      <x:c r="F645" s="13" t="n">
        <x:v>2657.13</x:v>
      </x:c>
      <x:c r="G645" s="13" t="n">
        <x:v>21.64</x:v>
      </x:c>
      <x:c r="H645" s="13" t="n">
        <x:f>F645-G645</x:f>
        <x:v>2635.4900000000002</x:v>
      </x:c>
      <x:c r="I645" s="13" t="n">
        <x:f>IF(C645=0,"n.a.",F645/C645)</x:f>
        <x:v>379.59000000000003</x:v>
      </x:c>
      <x:c r="J645" s="3"/>
      <x:c r="K645" s="3"/>
      <x:c r="L645" s="3"/>
    </x:row>
    <x:row r="646" ht="22" customHeight="1">
      <x:c r="A646" s="3"/>
      <x:c r="B646" s="3" t="str">
        <x:v>18077</x:v>
      </x:c>
      <x:c r="C646" s="3" t="n">
        <x:v>11</x:v>
      </x:c>
      <x:c r="D646" s="51" t="n">
        <x:v>40878</x:v>
      </x:c>
      <x:c r="E646" s="3" t="str">
        <x:v>Recurrente</x:v>
      </x:c>
      <x:c r="F646" s="13" t="n">
        <x:v>2633.01</x:v>
      </x:c>
      <x:c r="G646" s="13" t="n">
        <x:v>0</x:v>
      </x:c>
      <x:c r="H646" s="13" t="n">
        <x:f>F646-G646</x:f>
        <x:v>2633.01</x:v>
      </x:c>
      <x:c r="I646" s="13" t="n">
        <x:f>IF(C646=0,"n.a.",F646/C646)</x:f>
        <x:v>239.36454545454546</x:v>
      </x:c>
      <x:c r="J646" s="3"/>
      <x:c r="K646" s="3"/>
      <x:c r="L646" s="3"/>
    </x:row>
    <x:row r="647" ht="22" customHeight="1">
      <x:c r="A647" s="3"/>
      <x:c r="B647" s="3" t="str">
        <x:v>13771</x:v>
      </x:c>
      <x:c r="C647" s="3" t="n">
        <x:v>4</x:v>
      </x:c>
      <x:c r="D647" s="51" t="n">
        <x:v>40822</x:v>
      </x:c>
      <x:c r="E647" s="3" t="str">
        <x:v>Recurrente</x:v>
      </x:c>
      <x:c r="F647" s="13" t="n">
        <x:v>2634.45</x:v>
      </x:c>
      <x:c r="G647" s="13" t="n">
        <x:v>2.75</x:v>
      </x:c>
      <x:c r="H647" s="13" t="n">
        <x:f>F647-G647</x:f>
        <x:v>2631.7</x:v>
      </x:c>
      <x:c r="I647" s="13" t="n">
        <x:f>IF(C647=0,"n.a.",F647/C647)</x:f>
        <x:v>658.6125</x:v>
      </x:c>
      <x:c r="J647" s="3"/>
      <x:c r="K647" s="3"/>
      <x:c r="L647" s="3"/>
    </x:row>
    <x:row r="648" ht="22" customHeight="1">
      <x:c r="A648" s="3"/>
      <x:c r="B648" s="3" t="str">
        <x:v>16618</x:v>
      </x:c>
      <x:c r="C648" s="3" t="n">
        <x:v>5</x:v>
      </x:c>
      <x:c r="D648" s="51" t="n">
        <x:v>40855</x:v>
      </x:c>
      <x:c r="E648" s="3" t="str">
        <x:v>Recurrente</x:v>
      </x:c>
      <x:c r="F648" s="13" t="n">
        <x:v>2647.59</x:v>
      </x:c>
      <x:c r="G648" s="13" t="n">
        <x:v>16.95</x:v>
      </x:c>
      <x:c r="H648" s="13" t="n">
        <x:f>F648-G648</x:f>
        <x:v>2630.6400000000003</x:v>
      </x:c>
      <x:c r="I648" s="13" t="n">
        <x:f>IF(C648=0,"n.a.",F648/C648)</x:f>
        <x:v>529.518</x:v>
      </x:c>
      <x:c r="J648" s="3"/>
      <x:c r="K648" s="3"/>
      <x:c r="L648" s="3"/>
    </x:row>
    <x:row r="649" ht="22" customHeight="1">
      <x:c r="A649" s="3"/>
      <x:c r="B649" s="3" t="str">
        <x:v>15752</x:v>
      </x:c>
      <x:c r="C649" s="3" t="n">
        <x:v>7</x:v>
      </x:c>
      <x:c r="D649" s="51" t="n">
        <x:v>40847</x:v>
      </x:c>
      <x:c r="E649" s="3" t="str">
        <x:v>Recurrente</x:v>
      </x:c>
      <x:c r="F649" s="13" t="n">
        <x:v>2637.38</x:v>
      </x:c>
      <x:c r="G649" s="13" t="n">
        <x:v>8.45</x:v>
      </x:c>
      <x:c r="H649" s="13" t="n">
        <x:f>F649-G649</x:f>
        <x:v>2628.9300000000003</x:v>
      </x:c>
      <x:c r="I649" s="13" t="n">
        <x:f>IF(C649=0,"n.a.",F649/C649)</x:f>
        <x:v>376.7685714285714</x:v>
      </x:c>
      <x:c r="J649" s="3"/>
      <x:c r="K649" s="3"/>
      <x:c r="L649" s="3"/>
    </x:row>
    <x:row r="650" ht="22" customHeight="1">
      <x:c r="A650" s="3"/>
      <x:c r="B650" s="3" t="str">
        <x:v>17965</x:v>
      </x:c>
      <x:c r="C650" s="3" t="n">
        <x:v>14</x:v>
      </x:c>
      <x:c r="D650" s="51" t="n">
        <x:v>40849</x:v>
      </x:c>
      <x:c r="E650" s="3" t="str">
        <x:v>Recurrente</x:v>
      </x:c>
      <x:c r="F650" s="13" t="n">
        <x:v>2622.57</x:v>
      </x:c>
      <x:c r="G650" s="13" t="n">
        <x:v>0</x:v>
      </x:c>
      <x:c r="H650" s="13" t="n">
        <x:f>F650-G650</x:f>
        <x:v>2622.57</x:v>
      </x:c>
      <x:c r="I650" s="13" t="n">
        <x:f>IF(C650=0,"n.a.",F650/C650)</x:f>
        <x:v>187.32642857142858</x:v>
      </x:c>
      <x:c r="J650" s="3"/>
      <x:c r="K650" s="3"/>
      <x:c r="L650" s="3"/>
    </x:row>
    <x:row r="651" ht="22" customHeight="1">
      <x:c r="A651" s="3"/>
      <x:c r="B651" s="3" t="str">
        <x:v>18210</x:v>
      </x:c>
      <x:c r="C651" s="3" t="n">
        <x:v>6</x:v>
      </x:c>
      <x:c r="D651" s="51" t="n">
        <x:v>40885</x:v>
      </x:c>
      <x:c r="E651" s="3" t="str">
        <x:v>Recurrente</x:v>
      </x:c>
      <x:c r="F651" s="13" t="n">
        <x:v>2621.38</x:v>
      </x:c>
      <x:c r="G651" s="13" t="n">
        <x:v>0</x:v>
      </x:c>
      <x:c r="H651" s="13" t="n">
        <x:f>F651-G651</x:f>
        <x:v>2621.38</x:v>
      </x:c>
      <x:c r="I651" s="13" t="n">
        <x:f>IF(C651=0,"n.a.",F651/C651)</x:f>
        <x:v>436.8966666666667</x:v>
      </x:c>
      <x:c r="J651" s="3"/>
      <x:c r="K651" s="3"/>
      <x:c r="L651" s="3"/>
    </x:row>
    <x:row r="652" ht="22" customHeight="1">
      <x:c r="A652" s="3"/>
      <x:c r="B652" s="3" t="str">
        <x:v>14262</x:v>
      </x:c>
      <x:c r="C652" s="3" t="n">
        <x:v>8</x:v>
      </x:c>
      <x:c r="D652" s="51" t="n">
        <x:v>40878</x:v>
      </x:c>
      <x:c r="E652" s="3" t="str">
        <x:v>Recurrente</x:v>
      </x:c>
      <x:c r="F652" s="13" t="n">
        <x:v>2618.23</x:v>
      </x:c>
      <x:c r="G652" s="13" t="n">
        <x:v>0</x:v>
      </x:c>
      <x:c r="H652" s="13" t="n">
        <x:f>F652-G652</x:f>
        <x:v>2618.23</x:v>
      </x:c>
      <x:c r="I652" s="13" t="n">
        <x:f>IF(C652=0,"n.a.",F652/C652)</x:f>
        <x:v>327.27875</x:v>
      </x:c>
      <x:c r="J652" s="3"/>
      <x:c r="K652" s="3"/>
      <x:c r="L652" s="3"/>
    </x:row>
    <x:row r="653" ht="22" customHeight="1">
      <x:c r="A653" s="3"/>
      <x:c r="B653" s="3" t="str">
        <x:v>12836</x:v>
      </x:c>
      <x:c r="C653" s="3" t="n">
        <x:v>4</x:v>
      </x:c>
      <x:c r="D653" s="51" t="n">
        <x:v>40827</x:v>
      </x:c>
      <x:c r="E653" s="3" t="str">
        <x:v>Recurrente</x:v>
      </x:c>
      <x:c r="F653" s="13" t="n">
        <x:v>2612.86</x:v>
      </x:c>
      <x:c r="G653" s="13" t="n">
        <x:v>0</x:v>
      </x:c>
      <x:c r="H653" s="13" t="n">
        <x:f>F653-G653</x:f>
        <x:v>2612.86</x:v>
      </x:c>
      <x:c r="I653" s="13" t="n">
        <x:f>IF(C653=0,"n.a.",F653/C653)</x:f>
        <x:v>653.215</x:v>
      </x:c>
      <x:c r="J653" s="3"/>
      <x:c r="K653" s="3"/>
      <x:c r="L653" s="3"/>
    </x:row>
    <x:row r="654" ht="22" customHeight="1">
      <x:c r="A654" s="3"/>
      <x:c r="B654" s="3" t="str">
        <x:v>17346</x:v>
      </x:c>
      <x:c r="C654" s="3" t="n">
        <x:v>15</x:v>
      </x:c>
      <x:c r="D654" s="51" t="n">
        <x:v>40883</x:v>
      </x:c>
      <x:c r="E654" s="3" t="str">
        <x:v>Recurrente</x:v>
      </x:c>
      <x:c r="F654" s="13" t="n">
        <x:v>2676.56</x:v>
      </x:c>
      <x:c r="G654" s="13" t="n">
        <x:v>64.98</x:v>
      </x:c>
      <x:c r="H654" s="13" t="n">
        <x:f>F654-G654</x:f>
        <x:v>2611.58</x:v>
      </x:c>
      <x:c r="I654" s="13" t="n">
        <x:f>IF(C654=0,"n.a.",F654/C654)</x:f>
        <x:v>178.43733333333333</x:v>
      </x:c>
      <x:c r="J654" s="3"/>
      <x:c r="K654" s="3"/>
      <x:c r="L654" s="3"/>
    </x:row>
    <x:row r="655" ht="22" customHeight="1">
      <x:c r="A655" s="3"/>
      <x:c r="B655" s="3" t="str">
        <x:v>16255</x:v>
      </x:c>
      <x:c r="C655" s="3" t="n">
        <x:v>8</x:v>
      </x:c>
      <x:c r="D655" s="51" t="n">
        <x:v>40870</x:v>
      </x:c>
      <x:c r="E655" s="3" t="str">
        <x:v>Recurrente</x:v>
      </x:c>
      <x:c r="F655" s="13" t="n">
        <x:v>2619.91</x:v>
      </x:c>
      <x:c r="G655" s="13" t="n">
        <x:v>10.61</x:v>
      </x:c>
      <x:c r="H655" s="13" t="n">
        <x:f>F655-G655</x:f>
        <x:v>2609.2999999999997</x:v>
      </x:c>
      <x:c r="I655" s="13" t="n">
        <x:f>IF(C655=0,"n.a.",F655/C655)</x:f>
        <x:v>327.48875</x:v>
      </x:c>
      <x:c r="J655" s="3"/>
      <x:c r="K655" s="3"/>
      <x:c r="L655" s="3"/>
    </x:row>
    <x:row r="656" ht="22" customHeight="1">
      <x:c r="A656" s="3"/>
      <x:c r="B656" s="3" t="str">
        <x:v>16241</x:v>
      </x:c>
      <x:c r="C656" s="3" t="n">
        <x:v>13</x:v>
      </x:c>
      <x:c r="D656" s="51" t="n">
        <x:v>40877</x:v>
      </x:c>
      <x:c r="E656" s="3" t="str">
        <x:v>Recurrente</x:v>
      </x:c>
      <x:c r="F656" s="13" t="n">
        <x:v>2607.87</x:v>
      </x:c>
      <x:c r="G656" s="13" t="n">
        <x:v>0</x:v>
      </x:c>
      <x:c r="H656" s="13" t="n">
        <x:f>F656-G656</x:f>
        <x:v>2607.87</x:v>
      </x:c>
      <x:c r="I656" s="13" t="n">
        <x:f>IF(C656=0,"n.a.",F656/C656)</x:f>
        <x:v>200.6053846153846</x:v>
      </x:c>
      <x:c r="J656" s="3"/>
      <x:c r="K656" s="3"/>
      <x:c r="L656" s="3"/>
    </x:row>
    <x:row r="657" ht="22" customHeight="1">
      <x:c r="A657" s="3"/>
      <x:c r="B657" s="3" t="str">
        <x:v>14408</x:v>
      </x:c>
      <x:c r="C657" s="3" t="n">
        <x:v>7</x:v>
      </x:c>
      <x:c r="D657" s="51" t="n">
        <x:v>40876</x:v>
      </x:c>
      <x:c r="E657" s="3" t="str">
        <x:v>Recurrente</x:v>
      </x:c>
      <x:c r="F657" s="13" t="n">
        <x:v>2606.53</x:v>
      </x:c>
      <x:c r="G657" s="13" t="n">
        <x:v>0</x:v>
      </x:c>
      <x:c r="H657" s="13" t="n">
        <x:f>F657-G657</x:f>
        <x:v>2606.53</x:v>
      </x:c>
      <x:c r="I657" s="13" t="n">
        <x:f>IF(C657=0,"n.a.",F657/C657)</x:f>
        <x:v>372.3614285714286</x:v>
      </x:c>
      <x:c r="J657" s="3"/>
      <x:c r="K657" s="3"/>
      <x:c r="L657" s="3"/>
    </x:row>
    <x:row r="658" ht="22" customHeight="1">
      <x:c r="A658" s="3"/>
      <x:c r="B658" s="3" t="str">
        <x:v>13422</x:v>
      </x:c>
      <x:c r="C658" s="3" t="n">
        <x:v>1</x:v>
      </x:c>
      <x:c r="D658" s="51" t="n">
        <x:v>40822</x:v>
      </x:c>
      <x:c r="E658" s="3" t="str">
        <x:v>Una compra</x:v>
      </x:c>
      <x:c r="F658" s="13" t="n">
        <x:v>2626.3</x:v>
      </x:c>
      <x:c r="G658" s="13" t="n">
        <x:v>24.75</x:v>
      </x:c>
      <x:c r="H658" s="13" t="n">
        <x:f>F658-G658</x:f>
        <x:v>2601.55</x:v>
      </x:c>
      <x:c r="I658" s="13" t="n">
        <x:f>IF(C658=0,"n.a.",F658/C658)</x:f>
        <x:v>2626.3</x:v>
      </x:c>
      <x:c r="J658" s="3"/>
      <x:c r="K658" s="3"/>
      <x:c r="L658" s="3"/>
    </x:row>
    <x:row r="659" ht="22" customHeight="1">
      <x:c r="A659" s="3"/>
      <x:c r="B659" s="3" t="str">
        <x:v>17402</x:v>
      </x:c>
      <x:c r="C659" s="3" t="n">
        <x:v>12</x:v>
      </x:c>
      <x:c r="D659" s="51" t="n">
        <x:v>40882</x:v>
      </x:c>
      <x:c r="E659" s="3" t="str">
        <x:v>Recurrente</x:v>
      </x:c>
      <x:c r="F659" s="13" t="n">
        <x:v>2598.85</x:v>
      </x:c>
      <x:c r="G659" s="13" t="n">
        <x:v>0</x:v>
      </x:c>
      <x:c r="H659" s="13" t="n">
        <x:f>F659-G659</x:f>
        <x:v>2598.85</x:v>
      </x:c>
      <x:c r="I659" s="13" t="n">
        <x:f>IF(C659=0,"n.a.",F659/C659)</x:f>
        <x:v>216.57083333333333</x:v>
      </x:c>
      <x:c r="J659" s="3"/>
      <x:c r="K659" s="3"/>
      <x:c r="L659" s="3"/>
    </x:row>
    <x:row r="660" ht="22" customHeight="1">
      <x:c r="A660" s="3"/>
      <x:c r="B660" s="3" t="str">
        <x:v>13644</x:v>
      </x:c>
      <x:c r="C660" s="3" t="n">
        <x:v>4</x:v>
      </x:c>
      <x:c r="D660" s="51" t="n">
        <x:v>40870</x:v>
      </x:c>
      <x:c r="E660" s="3" t="str">
        <x:v>Recurrente</x:v>
      </x:c>
      <x:c r="F660" s="13" t="n">
        <x:v>2624.26</x:v>
      </x:c>
      <x:c r="G660" s="13" t="n">
        <x:v>26.74</x:v>
      </x:c>
      <x:c r="H660" s="13" t="n">
        <x:f>F660-G660</x:f>
        <x:v>2597.5200000000004</x:v>
      </x:c>
      <x:c r="I660" s="13" t="n">
        <x:f>IF(C660=0,"n.a.",F660/C660)</x:f>
        <x:v>656.065</x:v>
      </x:c>
      <x:c r="J660" s="3"/>
      <x:c r="K660" s="3"/>
      <x:c r="L660" s="3"/>
    </x:row>
    <x:row r="661" ht="22" customHeight="1">
      <x:c r="A661" s="3"/>
      <x:c r="B661" s="3" t="str">
        <x:v>16919</x:v>
      </x:c>
      <x:c r="C661" s="3" t="n">
        <x:v>11</x:v>
      </x:c>
      <x:c r="D661" s="51" t="n">
        <x:v>40730</x:v>
      </x:c>
      <x:c r="E661" s="3" t="str">
        <x:v>Recurrente</x:v>
      </x:c>
      <x:c r="F661" s="13" t="n">
        <x:v>2596.45</x:v>
      </x:c>
      <x:c r="G661" s="13" t="n">
        <x:v>0</x:v>
      </x:c>
      <x:c r="H661" s="13" t="n">
        <x:f>F661-G661</x:f>
        <x:v>2596.45</x:v>
      </x:c>
      <x:c r="I661" s="13" t="n">
        <x:f>IF(C661=0,"n.a.",F661/C661)</x:f>
        <x:v>236.04090909090908</x:v>
      </x:c>
      <x:c r="J661" s="3"/>
      <x:c r="K661" s="3"/>
      <x:c r="L661" s="3"/>
    </x:row>
    <x:row r="662" ht="22" customHeight="1">
      <x:c r="A662" s="3"/>
      <x:c r="B662" s="3" t="str">
        <x:v>18260</x:v>
      </x:c>
      <x:c r="C662" s="3" t="n">
        <x:v>6</x:v>
      </x:c>
      <x:c r="D662" s="51" t="n">
        <x:v>40714</x:v>
      </x:c>
      <x:c r="E662" s="3" t="str">
        <x:v>Recurrente</x:v>
      </x:c>
      <x:c r="F662" s="13" t="n">
        <x:v>2643.2</x:v>
      </x:c>
      <x:c r="G662" s="13" t="n">
        <x:v>48.2</x:v>
      </x:c>
      <x:c r="H662" s="13" t="n">
        <x:f>F662-G662</x:f>
        <x:v>2595</x:v>
      </x:c>
      <x:c r="I662" s="13" t="n">
        <x:f>IF(C662=0,"n.a.",F662/C662)</x:f>
        <x:v>440.5333333333333</x:v>
      </x:c>
      <x:c r="J662" s="3"/>
      <x:c r="K662" s="3"/>
      <x:c r="L662" s="3"/>
    </x:row>
    <x:row r="663" ht="22" customHeight="1">
      <x:c r="A663" s="3"/>
      <x:c r="B663" s="3" t="str">
        <x:v>15782</x:v>
      </x:c>
      <x:c r="C663" s="3" t="n">
        <x:v>3</x:v>
      </x:c>
      <x:c r="D663" s="51" t="n">
        <x:v>40877</x:v>
      </x:c>
      <x:c r="E663" s="3" t="str">
        <x:v>Recurrente</x:v>
      </x:c>
      <x:c r="F663" s="13" t="n">
        <x:v>2614.74</x:v>
      </x:c>
      <x:c r="G663" s="13" t="n">
        <x:v>20.8</x:v>
      </x:c>
      <x:c r="H663" s="13" t="n">
        <x:f>F663-G663</x:f>
        <x:v>2593.9399999999996</x:v>
      </x:c>
      <x:c r="I663" s="13" t="n">
        <x:f>IF(C663=0,"n.a.",F663/C663)</x:f>
        <x:v>871.5799999999999</x:v>
      </x:c>
      <x:c r="J663" s="3"/>
      <x:c r="K663" s="3"/>
      <x:c r="L663" s="3"/>
    </x:row>
    <x:row r="664" ht="22" customHeight="1">
      <x:c r="A664" s="3"/>
      <x:c r="B664" s="3" t="str">
        <x:v>13983</x:v>
      </x:c>
      <x:c r="C664" s="3" t="n">
        <x:v>12</x:v>
      </x:c>
      <x:c r="D664" s="51" t="n">
        <x:v>40857</x:v>
      </x:c>
      <x:c r="E664" s="3" t="str">
        <x:v>Recurrente</x:v>
      </x:c>
      <x:c r="F664" s="13" t="n">
        <x:v>2603.43</x:v>
      </x:c>
      <x:c r="G664" s="13" t="n">
        <x:v>12.97</x:v>
      </x:c>
      <x:c r="H664" s="13" t="n">
        <x:f>F664-G664</x:f>
        <x:v>2590.46</x:v>
      </x:c>
      <x:c r="I664" s="13" t="n">
        <x:f>IF(C664=0,"n.a.",F664/C664)</x:f>
        <x:v>216.9525</x:v>
      </x:c>
      <x:c r="J664" s="3"/>
      <x:c r="K664" s="3"/>
      <x:c r="L664" s="3"/>
    </x:row>
    <x:row r="665" ht="22" customHeight="1">
      <x:c r="A665" s="3"/>
      <x:c r="B665" s="3" t="str">
        <x:v>13895</x:v>
      </x:c>
      <x:c r="C665" s="3" t="n">
        <x:v>4</x:v>
      </x:c>
      <x:c r="D665" s="51" t="n">
        <x:v>40858</x:v>
      </x:c>
      <x:c r="E665" s="3" t="str">
        <x:v>Recurrente</x:v>
      </x:c>
      <x:c r="F665" s="13" t="n">
        <x:v>2593.07</x:v>
      </x:c>
      <x:c r="G665" s="13" t="n">
        <x:v>4.95</x:v>
      </x:c>
      <x:c r="H665" s="13" t="n">
        <x:f>F665-G665</x:f>
        <x:v>2588.1200000000003</x:v>
      </x:c>
      <x:c r="I665" s="13" t="n">
        <x:f>IF(C665=0,"n.a.",F665/C665)</x:f>
        <x:v>648.2675</x:v>
      </x:c>
      <x:c r="J665" s="3"/>
      <x:c r="K665" s="3"/>
      <x:c r="L665" s="3"/>
    </x:row>
    <x:row r="666" ht="22" customHeight="1">
      <x:c r="A666" s="3"/>
      <x:c r="B666" s="3" t="str">
        <x:v>12408</x:v>
      </x:c>
      <x:c r="C666" s="3" t="n">
        <x:v>5</x:v>
      </x:c>
      <x:c r="D666" s="51" t="n">
        <x:v>40854</x:v>
      </x:c>
      <x:c r="E666" s="3" t="str">
        <x:v>Recurrente</x:v>
      </x:c>
      <x:c r="F666" s="13" t="n">
        <x:v>2618.55</x:v>
      </x:c>
      <x:c r="G666" s="13" t="n">
        <x:v>30.98</x:v>
      </x:c>
      <x:c r="H666" s="13" t="n">
        <x:f>F666-G666</x:f>
        <x:v>2587.57</x:v>
      </x:c>
      <x:c r="I666" s="13" t="n">
        <x:f>IF(C666=0,"n.a.",F666/C666)</x:f>
        <x:v>523.71</x:v>
      </x:c>
      <x:c r="J666" s="3"/>
      <x:c r="K666" s="3"/>
      <x:c r="L666" s="3"/>
    </x:row>
    <x:row r="667" ht="22" customHeight="1">
      <x:c r="A667" s="3"/>
      <x:c r="B667" s="3" t="str">
        <x:v>13021</x:v>
      </x:c>
      <x:c r="C667" s="3" t="n">
        <x:v>9</x:v>
      </x:c>
      <x:c r="D667" s="51" t="n">
        <x:v>40882</x:v>
      </x:c>
      <x:c r="E667" s="3" t="str">
        <x:v>Recurrente</x:v>
      </x:c>
      <x:c r="F667" s="13" t="n">
        <x:v>2616.38</x:v>
      </x:c>
      <x:c r="G667" s="13" t="n">
        <x:v>31.98</x:v>
      </x:c>
      <x:c r="H667" s="13" t="n">
        <x:f>F667-G667</x:f>
        <x:v>2584.4</x:v>
      </x:c>
      <x:c r="I667" s="13" t="n">
        <x:f>IF(C667=0,"n.a.",F667/C667)</x:f>
        <x:v>290.7088888888889</x:v>
      </x:c>
      <x:c r="J667" s="3"/>
      <x:c r="K667" s="3"/>
      <x:c r="L667" s="3"/>
    </x:row>
    <x:row r="668" ht="22" customHeight="1">
      <x:c r="A668" s="3"/>
      <x:c r="B668" s="3" t="str">
        <x:v>13911</x:v>
      </x:c>
      <x:c r="C668" s="3" t="n">
        <x:v>9</x:v>
      </x:c>
      <x:c r="D668" s="51" t="n">
        <x:v>40829</x:v>
      </x:c>
      <x:c r="E668" s="3" t="str">
        <x:v>Recurrente</x:v>
      </x:c>
      <x:c r="F668" s="13" t="n">
        <x:v>2580.91</x:v>
      </x:c>
      <x:c r="G668" s="13" t="n">
        <x:v>0</x:v>
      </x:c>
      <x:c r="H668" s="13" t="n">
        <x:f>F668-G668</x:f>
        <x:v>2580.91</x:v>
      </x:c>
      <x:c r="I668" s="13" t="n">
        <x:f>IF(C668=0,"n.a.",F668/C668)</x:f>
        <x:v>286.7677777777778</x:v>
      </x:c>
      <x:c r="J668" s="3"/>
      <x:c r="K668" s="3"/>
      <x:c r="L668" s="3"/>
    </x:row>
    <x:row r="669" ht="22" customHeight="1">
      <x:c r="A669" s="3"/>
      <x:c r="B669" s="3" t="str">
        <x:v>12685</x:v>
      </x:c>
      <x:c r="C669" s="3" t="n">
        <x:v>6</x:v>
      </x:c>
      <x:c r="D669" s="51" t="n">
        <x:v>40858</x:v>
      </x:c>
      <x:c r="E669" s="3" t="str">
        <x:v>Recurrente</x:v>
      </x:c>
      <x:c r="F669" s="13" t="n">
        <x:v>2575.08</x:v>
      </x:c>
      <x:c r="G669" s="13" t="n">
        <x:v>0</x:v>
      </x:c>
      <x:c r="H669" s="13" t="n">
        <x:f>F669-G669</x:f>
        <x:v>2575.08</x:v>
      </x:c>
      <x:c r="I669" s="13" t="n">
        <x:f>IF(C669=0,"n.a.",F669/C669)</x:f>
        <x:v>429.18</x:v>
      </x:c>
      <x:c r="J669" s="3"/>
      <x:c r="K669" s="3"/>
      <x:c r="L669" s="3"/>
    </x:row>
    <x:row r="670" ht="22" customHeight="1">
      <x:c r="A670" s="3"/>
      <x:c r="B670" s="3" t="str">
        <x:v>15485</x:v>
      </x:c>
      <x:c r="C670" s="3" t="n">
        <x:v>3</x:v>
      </x:c>
      <x:c r="D670" s="51" t="n">
        <x:v>40856</x:v>
      </x:c>
      <x:c r="E670" s="3" t="str">
        <x:v>Recurrente</x:v>
      </x:c>
      <x:c r="F670" s="13" t="n">
        <x:v>2575</x:v>
      </x:c>
      <x:c r="G670" s="13" t="n">
        <x:v>0</x:v>
      </x:c>
      <x:c r="H670" s="13" t="n">
        <x:f>F670-G670</x:f>
        <x:v>2575</x:v>
      </x:c>
      <x:c r="I670" s="13" t="n">
        <x:f>IF(C670=0,"n.a.",F670/C670)</x:f>
        <x:v>858.3333333333334</x:v>
      </x:c>
      <x:c r="J670" s="3"/>
      <x:c r="K670" s="3"/>
      <x:c r="L670" s="3"/>
    </x:row>
    <x:row r="671" ht="22" customHeight="1">
      <x:c r="A671" s="3"/>
      <x:c r="B671" s="3" t="str">
        <x:v>17655</x:v>
      </x:c>
      <x:c r="C671" s="3" t="n">
        <x:v>7</x:v>
      </x:c>
      <x:c r="D671" s="51" t="n">
        <x:v>40876</x:v>
      </x:c>
      <x:c r="E671" s="3" t="str">
        <x:v>Recurrente</x:v>
      </x:c>
      <x:c r="F671" s="13" t="n">
        <x:v>2638.94</x:v>
      </x:c>
      <x:c r="G671" s="13" t="n">
        <x:v>67.2</x:v>
      </x:c>
      <x:c r="H671" s="13" t="n">
        <x:f>F671-G671</x:f>
        <x:v>2571.7400000000002</x:v>
      </x:c>
      <x:c r="I671" s="13" t="n">
        <x:f>IF(C671=0,"n.a.",F671/C671)</x:f>
        <x:v>376.99142857142857</x:v>
      </x:c>
      <x:c r="J671" s="3"/>
      <x:c r="K671" s="3"/>
      <x:c r="L671" s="3"/>
    </x:row>
    <x:row r="672" ht="22" customHeight="1">
      <x:c r="A672" s="3"/>
      <x:c r="B672" s="3" t="str">
        <x:v>15033</x:v>
      </x:c>
      <x:c r="C672" s="3" t="n">
        <x:v>10</x:v>
      </x:c>
      <x:c r="D672" s="51" t="n">
        <x:v>40882</x:v>
      </x:c>
      <x:c r="E672" s="3" t="str">
        <x:v>Recurrente</x:v>
      </x:c>
      <x:c r="F672" s="13" t="n">
        <x:v>2583.37</x:v>
      </x:c>
      <x:c r="G672" s="13" t="n">
        <x:v>15.65</x:v>
      </x:c>
      <x:c r="H672" s="13" t="n">
        <x:f>F672-G672</x:f>
        <x:v>2567.72</x:v>
      </x:c>
      <x:c r="I672" s="13" t="n">
        <x:f>IF(C672=0,"n.a.",F672/C672)</x:f>
        <x:v>258.337</x:v>
      </x:c>
      <x:c r="J672" s="3"/>
      <x:c r="K672" s="3"/>
      <x:c r="L672" s="3"/>
    </x:row>
    <x:row r="673" ht="22" customHeight="1">
      <x:c r="A673" s="3"/>
      <x:c r="B673" s="3" t="str">
        <x:v>16308</x:v>
      </x:c>
      <x:c r="C673" s="3" t="n">
        <x:v>4</x:v>
      </x:c>
      <x:c r="D673" s="51" t="n">
        <x:v>40849</x:v>
      </x:c>
      <x:c r="E673" s="3" t="str">
        <x:v>Recurrente</x:v>
      </x:c>
      <x:c r="F673" s="13" t="n">
        <x:v>2560</x:v>
      </x:c>
      <x:c r="G673" s="13" t="n">
        <x:v>0</x:v>
      </x:c>
      <x:c r="H673" s="13" t="n">
        <x:f>F673-G673</x:f>
        <x:v>2560</x:v>
      </x:c>
      <x:c r="I673" s="13" t="n">
        <x:f>IF(C673=0,"n.a.",F673/C673)</x:f>
        <x:v>640</x:v>
      </x:c>
      <x:c r="J673" s="3"/>
      <x:c r="K673" s="3"/>
      <x:c r="L673" s="3"/>
    </x:row>
    <x:row r="674" ht="22" customHeight="1">
      <x:c r="A674" s="3"/>
      <x:c r="B674" s="3" t="str">
        <x:v>14397</x:v>
      </x:c>
      <x:c r="C674" s="3" t="n">
        <x:v>19</x:v>
      </x:c>
      <x:c r="D674" s="51" t="n">
        <x:v>40884</x:v>
      </x:c>
      <x:c r="E674" s="3" t="str">
        <x:v>Recurrente</x:v>
      </x:c>
      <x:c r="F674" s="13" t="n">
        <x:v>2612.96</x:v>
      </x:c>
      <x:c r="G674" s="13" t="n">
        <x:v>56.28</x:v>
      </x:c>
      <x:c r="H674" s="13" t="n">
        <x:f>F674-G674</x:f>
        <x:v>2556.68</x:v>
      </x:c>
      <x:c r="I674" s="13" t="n">
        <x:f>IF(C674=0,"n.a.",F674/C674)</x:f>
        <x:v>137.52421052631578</x:v>
      </x:c>
      <x:c r="J674" s="3"/>
      <x:c r="K674" s="3"/>
      <x:c r="L674" s="3"/>
    </x:row>
    <x:row r="675" ht="22" customHeight="1">
      <x:c r="A675" s="3"/>
      <x:c r="B675" s="3" t="str">
        <x:v>12473</x:v>
      </x:c>
      <x:c r="C675" s="3" t="n">
        <x:v>3</x:v>
      </x:c>
      <x:c r="D675" s="51" t="n">
        <x:v>40833</x:v>
      </x:c>
      <x:c r="E675" s="3" t="str">
        <x:v>Recurrente</x:v>
      </x:c>
      <x:c r="F675" s="13" t="n">
        <x:v>2596.23</x:v>
      </x:c>
      <x:c r="G675" s="13" t="n">
        <x:v>40.46</x:v>
      </x:c>
      <x:c r="H675" s="13" t="n">
        <x:f>F675-G675</x:f>
        <x:v>2555.77</x:v>
      </x:c>
      <x:c r="I675" s="13" t="n">
        <x:f>IF(C675=0,"n.a.",F675/C675)</x:f>
        <x:v>865.41</x:v>
      </x:c>
      <x:c r="J675" s="3"/>
      <x:c r="K675" s="3"/>
      <x:c r="L675" s="3"/>
    </x:row>
    <x:row r="676" ht="22" customHeight="1">
      <x:c r="A676" s="3"/>
      <x:c r="B676" s="3" t="str">
        <x:v>12456</x:v>
      </x:c>
      <x:c r="C676" s="3" t="n">
        <x:v>3</x:v>
      </x:c>
      <x:c r="D676" s="51" t="n">
        <x:v>40842</x:v>
      </x:c>
      <x:c r="E676" s="3" t="str">
        <x:v>Recurrente</x:v>
      </x:c>
      <x:c r="F676" s="13" t="n">
        <x:v>2581.04</x:v>
      </x:c>
      <x:c r="G676" s="13" t="n">
        <x:v>27.15</x:v>
      </x:c>
      <x:c r="H676" s="13" t="n">
        <x:f>F676-G676</x:f>
        <x:v>2553.89</x:v>
      </x:c>
      <x:c r="I676" s="13" t="n">
        <x:f>IF(C676=0,"n.a.",F676/C676)</x:f>
        <x:v>860.3466666666667</x:v>
      </x:c>
      <x:c r="J676" s="3"/>
      <x:c r="K676" s="3"/>
      <x:c r="L676" s="3"/>
    </x:row>
    <x:row r="677" ht="22" customHeight="1">
      <x:c r="A677" s="3"/>
      <x:c r="B677" s="3" t="str">
        <x:v>15572</x:v>
      </x:c>
      <x:c r="C677" s="3" t="n">
        <x:v>7</x:v>
      </x:c>
      <x:c r="D677" s="51" t="n">
        <x:v>40882</x:v>
      </x:c>
      <x:c r="E677" s="3" t="str">
        <x:v>Recurrente</x:v>
      </x:c>
      <x:c r="F677" s="13" t="n">
        <x:v>2552.86</x:v>
      </x:c>
      <x:c r="G677" s="13" t="n">
        <x:v>0</x:v>
      </x:c>
      <x:c r="H677" s="13" t="n">
        <x:f>F677-G677</x:f>
        <x:v>2552.86</x:v>
      </x:c>
      <x:c r="I677" s="13" t="n">
        <x:f>IF(C677=0,"n.a.",F677/C677)</x:f>
        <x:v>364.69428571428574</x:v>
      </x:c>
      <x:c r="J677" s="3"/>
      <x:c r="K677" s="3"/>
      <x:c r="L677" s="3"/>
    </x:row>
    <x:row r="678" ht="22" customHeight="1">
      <x:c r="A678" s="3"/>
      <x:c r="B678" s="3" t="str">
        <x:v>13136</x:v>
      </x:c>
      <x:c r="C678" s="3" t="n">
        <x:v>5</x:v>
      </x:c>
      <x:c r="D678" s="51" t="n">
        <x:v>40830</x:v>
      </x:c>
      <x:c r="E678" s="3" t="str">
        <x:v>Recurrente</x:v>
      </x:c>
      <x:c r="F678" s="13" t="n">
        <x:v>2607.61</x:v>
      </x:c>
      <x:c r="G678" s="13" t="n">
        <x:v>62.23</x:v>
      </x:c>
      <x:c r="H678" s="13" t="n">
        <x:f>F678-G678</x:f>
        <x:v>2545.38</x:v>
      </x:c>
      <x:c r="I678" s="13" t="n">
        <x:f>IF(C678=0,"n.a.",F678/C678)</x:f>
        <x:v>521.522</x:v>
      </x:c>
      <x:c r="J678" s="3"/>
      <x:c r="K678" s="3"/>
      <x:c r="L678" s="3"/>
    </x:row>
    <x:row r="679" ht="22" customHeight="1">
      <x:c r="A679" s="3"/>
      <x:c r="B679" s="3" t="str">
        <x:v>13344</x:v>
      </x:c>
      <x:c r="C679" s="3" t="n">
        <x:v>3</x:v>
      </x:c>
      <x:c r="D679" s="51" t="n">
        <x:v>40819</x:v>
      </x:c>
      <x:c r="E679" s="3" t="str">
        <x:v>Recurrente</x:v>
      </x:c>
      <x:c r="F679" s="13" t="n">
        <x:v>2543.72</x:v>
      </x:c>
      <x:c r="G679" s="13" t="n">
        <x:v>0</x:v>
      </x:c>
      <x:c r="H679" s="13" t="n">
        <x:f>F679-G679</x:f>
        <x:v>2543.72</x:v>
      </x:c>
      <x:c r="I679" s="13" t="n">
        <x:f>IF(C679=0,"n.a.",F679/C679)</x:f>
        <x:v>847.9066666666666</x:v>
      </x:c>
      <x:c r="J679" s="3"/>
      <x:c r="K679" s="3"/>
      <x:c r="L679" s="3"/>
    </x:row>
    <x:row r="680" ht="22" customHeight="1">
      <x:c r="A680" s="3"/>
      <x:c r="B680" s="3" t="str">
        <x:v>14676</x:v>
      </x:c>
      <x:c r="C680" s="3" t="n">
        <x:v>6</x:v>
      </x:c>
      <x:c r="D680" s="51" t="n">
        <x:v>40855</x:v>
      </x:c>
      <x:c r="E680" s="3" t="str">
        <x:v>Recurrente</x:v>
      </x:c>
      <x:c r="F680" s="13" t="n">
        <x:v>2548.24</x:v>
      </x:c>
      <x:c r="G680" s="13" t="n">
        <x:v>5</x:v>
      </x:c>
      <x:c r="H680" s="13" t="n">
        <x:f>F680-G680</x:f>
        <x:v>2543.24</x:v>
      </x:c>
      <x:c r="I680" s="13" t="n">
        <x:f>IF(C680=0,"n.a.",F680/C680)</x:f>
        <x:v>424.70666666666665</x:v>
      </x:c>
      <x:c r="J680" s="3"/>
      <x:c r="K680" s="3"/>
      <x:c r="L680" s="3"/>
    </x:row>
    <x:row r="681" ht="22" customHeight="1">
      <x:c r="A681" s="3"/>
      <x:c r="B681" s="3" t="str">
        <x:v>13883</x:v>
      </x:c>
      <x:c r="C681" s="3" t="n">
        <x:v>5</x:v>
      </x:c>
      <x:c r="D681" s="51" t="n">
        <x:v>40876</x:v>
      </x:c>
      <x:c r="E681" s="3" t="str">
        <x:v>Recurrente</x:v>
      </x:c>
      <x:c r="F681" s="13" t="n">
        <x:v>2674.48</x:v>
      </x:c>
      <x:c r="G681" s="13" t="n">
        <x:v>132.23</x:v>
      </x:c>
      <x:c r="H681" s="13" t="n">
        <x:f>F681-G681</x:f>
        <x:v>2542.25</x:v>
      </x:c>
      <x:c r="I681" s="13" t="n">
        <x:f>IF(C681=0,"n.a.",F681/C681)</x:f>
        <x:v>534.896</x:v>
      </x:c>
      <x:c r="J681" s="3"/>
      <x:c r="K681" s="3"/>
      <x:c r="L681" s="3"/>
    </x:row>
    <x:row r="682" ht="22" customHeight="1">
      <x:c r="A682" s="3"/>
      <x:c r="B682" s="3" t="str">
        <x:v>14334</x:v>
      </x:c>
      <x:c r="C682" s="3" t="n">
        <x:v>8</x:v>
      </x:c>
      <x:c r="D682" s="51" t="n">
        <x:v>40870</x:v>
      </x:c>
      <x:c r="E682" s="3" t="str">
        <x:v>Recurrente</x:v>
      </x:c>
      <x:c r="F682" s="13" t="n">
        <x:v>2552.21</x:v>
      </x:c>
      <x:c r="G682" s="13" t="n">
        <x:v>12.75</x:v>
      </x:c>
      <x:c r="H682" s="13" t="n">
        <x:f>F682-G682</x:f>
        <x:v>2539.46</x:v>
      </x:c>
      <x:c r="I682" s="13" t="n">
        <x:f>IF(C682=0,"n.a.",F682/C682)</x:f>
        <x:v>319.02625</x:v>
      </x:c>
      <x:c r="J682" s="3"/>
      <x:c r="K682" s="3"/>
      <x:c r="L682" s="3"/>
    </x:row>
    <x:row r="683" ht="22" customHeight="1">
      <x:c r="A683" s="3"/>
      <x:c r="B683" s="3" t="str">
        <x:v>18075</x:v>
      </x:c>
      <x:c r="C683" s="3" t="n">
        <x:v>10</x:v>
      </x:c>
      <x:c r="D683" s="51" t="n">
        <x:v>40863</x:v>
      </x:c>
      <x:c r="E683" s="3" t="str">
        <x:v>Recurrente</x:v>
      </x:c>
      <x:c r="F683" s="13" t="n">
        <x:v>2611.75</x:v>
      </x:c>
      <x:c r="G683" s="13" t="n">
        <x:v>73.03</x:v>
      </x:c>
      <x:c r="H683" s="13" t="n">
        <x:f>F683-G683</x:f>
        <x:v>2538.72</x:v>
      </x:c>
      <x:c r="I683" s="13" t="n">
        <x:f>IF(C683=0,"n.a.",F683/C683)</x:f>
        <x:v>261.175</x:v>
      </x:c>
      <x:c r="J683" s="3"/>
      <x:c r="K683" s="3"/>
      <x:c r="L683" s="3"/>
    </x:row>
    <x:row r="684" ht="22" customHeight="1">
      <x:c r="A684" s="3"/>
      <x:c r="B684" s="3" t="str">
        <x:v>14243</x:v>
      </x:c>
      <x:c r="C684" s="3" t="n">
        <x:v>10</x:v>
      </x:c>
      <x:c r="D684" s="51" t="n">
        <x:v>40878</x:v>
      </x:c>
      <x:c r="E684" s="3" t="str">
        <x:v>Recurrente</x:v>
      </x:c>
      <x:c r="F684" s="13" t="n">
        <x:v>2588.77</x:v>
      </x:c>
      <x:c r="G684" s="13" t="n">
        <x:v>52.89</x:v>
      </x:c>
      <x:c r="H684" s="13" t="n">
        <x:f>F684-G684</x:f>
        <x:v>2535.88</x:v>
      </x:c>
      <x:c r="I684" s="13" t="n">
        <x:f>IF(C684=0,"n.a.",F684/C684)</x:f>
        <x:v>258.877</x:v>
      </x:c>
      <x:c r="J684" s="3"/>
      <x:c r="K684" s="3"/>
      <x:c r="L684" s="3"/>
    </x:row>
    <x:row r="685" ht="22" customHeight="1">
      <x:c r="A685" s="3"/>
      <x:c r="B685" s="3" t="str">
        <x:v>16912</x:v>
      </x:c>
      <x:c r="C685" s="3" t="n">
        <x:v>11</x:v>
      </x:c>
      <x:c r="D685" s="51" t="n">
        <x:v>40858</x:v>
      </x:c>
      <x:c r="E685" s="3" t="str">
        <x:v>Recurrente</x:v>
      </x:c>
      <x:c r="F685" s="13" t="n">
        <x:v>2575.38</x:v>
      </x:c>
      <x:c r="G685" s="13" t="n">
        <x:v>39.65</x:v>
      </x:c>
      <x:c r="H685" s="13" t="n">
        <x:f>F685-G685</x:f>
        <x:v>2535.73</x:v>
      </x:c>
      <x:c r="I685" s="13" t="n">
        <x:f>IF(C685=0,"n.a.",F685/C685)</x:f>
        <x:v>234.12545454545455</x:v>
      </x:c>
      <x:c r="J685" s="3"/>
      <x:c r="K685" s="3"/>
      <x:c r="L685" s="3"/>
    </x:row>
    <x:row r="686" ht="22" customHeight="1">
      <x:c r="A686" s="3"/>
      <x:c r="B686" s="3" t="str">
        <x:v>13471</x:v>
      </x:c>
      <x:c r="C686" s="3" t="n">
        <x:v>4</x:v>
      </x:c>
      <x:c r="D686" s="51" t="n">
        <x:v>40885</x:v>
      </x:c>
      <x:c r="E686" s="3" t="str">
        <x:v>Recurrente</x:v>
      </x:c>
      <x:c r="F686" s="13" t="n">
        <x:v>2531.58</x:v>
      </x:c>
      <x:c r="G686" s="13" t="n">
        <x:v>0</x:v>
      </x:c>
      <x:c r="H686" s="13" t="n">
        <x:f>F686-G686</x:f>
        <x:v>2531.58</x:v>
      </x:c>
      <x:c r="I686" s="13" t="n">
        <x:f>IF(C686=0,"n.a.",F686/C686)</x:f>
        <x:v>632.895</x:v>
      </x:c>
      <x:c r="J686" s="3"/>
      <x:c r="K686" s="3"/>
      <x:c r="L686" s="3"/>
    </x:row>
    <x:row r="687" ht="22" customHeight="1">
      <x:c r="A687" s="3"/>
      <x:c r="B687" s="3" t="str">
        <x:v>17317</x:v>
      </x:c>
      <x:c r="C687" s="3" t="n">
        <x:v>3</x:v>
      </x:c>
      <x:c r="D687" s="51" t="n">
        <x:v>40840</x:v>
      </x:c>
      <x:c r="E687" s="3" t="str">
        <x:v>Recurrente</x:v>
      </x:c>
      <x:c r="F687" s="13" t="n">
        <x:v>2600.34</x:v>
      </x:c>
      <x:c r="G687" s="13" t="n">
        <x:v>76.32</x:v>
      </x:c>
      <x:c r="H687" s="13" t="n">
        <x:f>F687-G687</x:f>
        <x:v>2524.02</x:v>
      </x:c>
      <x:c r="I687" s="13" t="n">
        <x:f>IF(C687=0,"n.a.",F687/C687)</x:f>
        <x:v>866.7800000000001</x:v>
      </x:c>
      <x:c r="J687" s="3"/>
      <x:c r="K687" s="3"/>
      <x:c r="L687" s="3"/>
    </x:row>
    <x:row r="688" ht="22" customHeight="1">
      <x:c r="A688" s="3"/>
      <x:c r="B688" s="3" t="str">
        <x:v>15245</x:v>
      </x:c>
      <x:c r="C688" s="3" t="n">
        <x:v>3</x:v>
      </x:c>
      <x:c r="D688" s="51" t="n">
        <x:v>40752</x:v>
      </x:c>
      <x:c r="E688" s="3" t="str">
        <x:v>Recurrente</x:v>
      </x:c>
      <x:c r="F688" s="13" t="n">
        <x:v>2515.84</x:v>
      </x:c>
      <x:c r="G688" s="13" t="n">
        <x:v>0</x:v>
      </x:c>
      <x:c r="H688" s="13" t="n">
        <x:f>F688-G688</x:f>
        <x:v>2515.84</x:v>
      </x:c>
      <x:c r="I688" s="13" t="n">
        <x:f>IF(C688=0,"n.a.",F688/C688)</x:f>
        <x:v>838.6133333333333</x:v>
      </x:c>
      <x:c r="J688" s="3"/>
      <x:c r="K688" s="3"/>
      <x:c r="L688" s="3"/>
    </x:row>
    <x:row r="689" ht="22" customHeight="1">
      <x:c r="A689" s="3"/>
      <x:c r="B689" s="3" t="str">
        <x:v>17314</x:v>
      </x:c>
      <x:c r="C689" s="3" t="n">
        <x:v>8</x:v>
      </x:c>
      <x:c r="D689" s="51" t="n">
        <x:v>40862</x:v>
      </x:c>
      <x:c r="E689" s="3" t="str">
        <x:v>Recurrente</x:v>
      </x:c>
      <x:c r="F689" s="13" t="n">
        <x:v>2527.92</x:v>
      </x:c>
      <x:c r="G689" s="13" t="n">
        <x:v>13.16</x:v>
      </x:c>
      <x:c r="H689" s="13" t="n">
        <x:f>F689-G689</x:f>
        <x:v>2514.76</x:v>
      </x:c>
      <x:c r="I689" s="13" t="n">
        <x:f>IF(C689=0,"n.a.",F689/C689)</x:f>
        <x:v>315.99</x:v>
      </x:c>
      <x:c r="J689" s="3"/>
      <x:c r="K689" s="3"/>
      <x:c r="L689" s="3"/>
    </x:row>
    <x:row r="690" ht="22" customHeight="1">
      <x:c r="A690" s="3"/>
      <x:c r="B690" s="3" t="str">
        <x:v>17700</x:v>
      </x:c>
      <x:c r="C690" s="3" t="n">
        <x:v>4</x:v>
      </x:c>
      <x:c r="D690" s="51" t="n">
        <x:v>40870</x:v>
      </x:c>
      <x:c r="E690" s="3" t="str">
        <x:v>Recurrente</x:v>
      </x:c>
      <x:c r="F690" s="13" t="n">
        <x:v>2534.64</x:v>
      </x:c>
      <x:c r="G690" s="13" t="n">
        <x:v>25.75</x:v>
      </x:c>
      <x:c r="H690" s="13" t="n">
        <x:f>F690-G690</x:f>
        <x:v>2508.89</x:v>
      </x:c>
      <x:c r="I690" s="13" t="n">
        <x:f>IF(C690=0,"n.a.",F690/C690)</x:f>
        <x:v>633.66</x:v>
      </x:c>
      <x:c r="J690" s="3"/>
      <x:c r="K690" s="3"/>
      <x:c r="L690" s="3"/>
    </x:row>
    <x:row r="691" ht="22" customHeight="1">
      <x:c r="A691" s="3"/>
      <x:c r="B691" s="3" t="str">
        <x:v>18245</x:v>
      </x:c>
      <x:c r="C691" s="3" t="n">
        <x:v>7</x:v>
      </x:c>
      <x:c r="D691" s="51" t="n">
        <x:v>40879</x:v>
      </x:c>
      <x:c r="E691" s="3" t="str">
        <x:v>Recurrente</x:v>
      </x:c>
      <x:c r="F691" s="13" t="n">
        <x:v>2567.06</x:v>
      </x:c>
      <x:c r="G691" s="13" t="n">
        <x:v>59.5</x:v>
      </x:c>
      <x:c r="H691" s="13" t="n">
        <x:f>F691-G691</x:f>
        <x:v>2507.56</x:v>
      </x:c>
      <x:c r="I691" s="13" t="n">
        <x:f>IF(C691=0,"n.a.",F691/C691)</x:f>
        <x:v>366.72285714285715</x:v>
      </x:c>
      <x:c r="J691" s="3"/>
      <x:c r="K691" s="3"/>
      <x:c r="L691" s="3"/>
    </x:row>
    <x:row r="692" ht="22" customHeight="1">
      <x:c r="A692" s="3"/>
      <x:c r="B692" s="3" t="str">
        <x:v>13695</x:v>
      </x:c>
      <x:c r="C692" s="3" t="n">
        <x:v>15</x:v>
      </x:c>
      <x:c r="D692" s="51" t="n">
        <x:v>40855</x:v>
      </x:c>
      <x:c r="E692" s="3" t="str">
        <x:v>Recurrente</x:v>
      </x:c>
      <x:c r="F692" s="13" t="n">
        <x:v>2504.13</x:v>
      </x:c>
      <x:c r="G692" s="13" t="n">
        <x:v>0</x:v>
      </x:c>
      <x:c r="H692" s="13" t="n">
        <x:f>F692-G692</x:f>
        <x:v>2504.13</x:v>
      </x:c>
      <x:c r="I692" s="13" t="n">
        <x:f>IF(C692=0,"n.a.",F692/C692)</x:f>
        <x:v>166.942</x:v>
      </x:c>
      <x:c r="J692" s="3"/>
      <x:c r="K692" s="3"/>
      <x:c r="L692" s="3"/>
    </x:row>
    <x:row r="693" ht="22" customHeight="1">
      <x:c r="A693" s="3"/>
      <x:c r="B693" s="3" t="str">
        <x:v>13975</x:v>
      </x:c>
      <x:c r="C693" s="3" t="n">
        <x:v>6</x:v>
      </x:c>
      <x:c r="D693" s="51" t="n">
        <x:v>40855</x:v>
      </x:c>
      <x:c r="E693" s="3" t="str">
        <x:v>Recurrente</x:v>
      </x:c>
      <x:c r="F693" s="13" t="n">
        <x:v>2526.28</x:v>
      </x:c>
      <x:c r="G693" s="13" t="n">
        <x:v>23.05</x:v>
      </x:c>
      <x:c r="H693" s="13" t="n">
        <x:f>F693-G693</x:f>
        <x:v>2503.23</x:v>
      </x:c>
      <x:c r="I693" s="13" t="n">
        <x:f>IF(C693=0,"n.a.",F693/C693)</x:f>
        <x:v>421.0466666666667</x:v>
      </x:c>
      <x:c r="J693" s="3"/>
      <x:c r="K693" s="3"/>
      <x:c r="L693" s="3"/>
    </x:row>
    <x:row r="694" ht="22" customHeight="1">
      <x:c r="A694" s="3"/>
      <x:c r="B694" s="3" t="str">
        <x:v>17449</x:v>
      </x:c>
      <x:c r="C694" s="3" t="n">
        <x:v>7</x:v>
      </x:c>
      <x:c r="D694" s="51" t="n">
        <x:v>40884</x:v>
      </x:c>
      <x:c r="E694" s="3" t="str">
        <x:v>Recurrente</x:v>
      </x:c>
      <x:c r="F694" s="13" t="n">
        <x:v>2517.86</x:v>
      </x:c>
      <x:c r="G694" s="13" t="n">
        <x:v>16</x:v>
      </x:c>
      <x:c r="H694" s="13" t="n">
        <x:f>F694-G694</x:f>
        <x:v>2501.86</x:v>
      </x:c>
      <x:c r="I694" s="13" t="n">
        <x:f>IF(C694=0,"n.a.",F694/C694)</x:f>
        <x:v>359.69428571428574</x:v>
      </x:c>
      <x:c r="J694" s="3"/>
      <x:c r="K694" s="3"/>
      <x:c r="L694" s="3"/>
    </x:row>
    <x:row r="695" ht="22" customHeight="1">
      <x:c r="A695" s="3"/>
      <x:c r="B695" s="3" t="str">
        <x:v>16477</x:v>
      </x:c>
      <x:c r="C695" s="3" t="n">
        <x:v>7</x:v>
      </x:c>
      <x:c r="D695" s="51" t="n">
        <x:v>40823</x:v>
      </x:c>
      <x:c r="E695" s="3" t="str">
        <x:v>Recurrente</x:v>
      </x:c>
      <x:c r="F695" s="13" t="n">
        <x:v>2494.46</x:v>
      </x:c>
      <x:c r="G695" s="13" t="n">
        <x:v>0</x:v>
      </x:c>
      <x:c r="H695" s="13" t="n">
        <x:f>F695-G695</x:f>
        <x:v>2494.46</x:v>
      </x:c>
      <x:c r="I695" s="13" t="n">
        <x:f>IF(C695=0,"n.a.",F695/C695)</x:f>
        <x:v>356.3514285714286</x:v>
      </x:c>
      <x:c r="J695" s="3"/>
      <x:c r="K695" s="3"/>
      <x:c r="L695" s="3"/>
    </x:row>
    <x:row r="696" ht="22" customHeight="1">
      <x:c r="A696" s="3"/>
      <x:c r="B696" s="3" t="str">
        <x:v>12356</x:v>
      </x:c>
      <x:c r="C696" s="3" t="n">
        <x:v>3</x:v>
      </x:c>
      <x:c r="D696" s="51" t="n">
        <x:v>40864</x:v>
      </x:c>
      <x:c r="E696" s="3" t="str">
        <x:v>Recurrente</x:v>
      </x:c>
      <x:c r="F696" s="13" t="n">
        <x:v>2487.43</x:v>
      </x:c>
      <x:c r="G696" s="13" t="n">
        <x:v>0</x:v>
      </x:c>
      <x:c r="H696" s="13" t="n">
        <x:f>F696-G696</x:f>
        <x:v>2487.43</x:v>
      </x:c>
      <x:c r="I696" s="13" t="n">
        <x:f>IF(C696=0,"n.a.",F696/C696)</x:f>
        <x:v>829.1433333333333</x:v>
      </x:c>
      <x:c r="J696" s="3"/>
      <x:c r="K696" s="3"/>
      <x:c r="L696" s="3"/>
    </x:row>
    <x:row r="697" ht="22" customHeight="1">
      <x:c r="A697" s="3"/>
      <x:c r="B697" s="3" t="str">
        <x:v>14546</x:v>
      </x:c>
      <x:c r="C697" s="3" t="n">
        <x:v>5</x:v>
      </x:c>
      <x:c r="D697" s="51" t="n">
        <x:v>40881</x:v>
      </x:c>
      <x:c r="E697" s="3" t="str">
        <x:v>Recurrente</x:v>
      </x:c>
      <x:c r="F697" s="13" t="n">
        <x:v>2578.09</x:v>
      </x:c>
      <x:c r="G697" s="13" t="n">
        <x:v>91.07</x:v>
      </x:c>
      <x:c r="H697" s="13" t="n">
        <x:f>F697-G697</x:f>
        <x:v>2487.02</x:v>
      </x:c>
      <x:c r="I697" s="13" t="n">
        <x:f>IF(C697=0,"n.a.",F697/C697)</x:f>
        <x:v>515.618</x:v>
      </x:c>
      <x:c r="J697" s="3"/>
      <x:c r="K697" s="3"/>
      <x:c r="L697" s="3"/>
    </x:row>
    <x:row r="698" ht="22" customHeight="1">
      <x:c r="A698" s="3"/>
      <x:c r="B698" s="3" t="str">
        <x:v>14701</x:v>
      </x:c>
      <x:c r="C698" s="3" t="n">
        <x:v>9</x:v>
      </x:c>
      <x:c r="D698" s="51" t="n">
        <x:v>40876</x:v>
      </x:c>
      <x:c r="E698" s="3" t="str">
        <x:v>Recurrente</x:v>
      </x:c>
      <x:c r="F698" s="13" t="n">
        <x:v>2549.37</x:v>
      </x:c>
      <x:c r="G698" s="13" t="n">
        <x:v>63.15</x:v>
      </x:c>
      <x:c r="H698" s="13" t="n">
        <x:f>F698-G698</x:f>
        <x:v>2486.22</x:v>
      </x:c>
      <x:c r="I698" s="13" t="n">
        <x:f>IF(C698=0,"n.a.",F698/C698)</x:f>
        <x:v>283.2633333333333</x:v>
      </x:c>
      <x:c r="J698" s="3"/>
      <x:c r="K698" s="3"/>
      <x:c r="L698" s="3"/>
    </x:row>
    <x:row r="699" ht="22" customHeight="1">
      <x:c r="A699" s="3"/>
      <x:c r="B699" s="3" t="str">
        <x:v>15271</x:v>
      </x:c>
      <x:c r="C699" s="3" t="n">
        <x:v>15</x:v>
      </x:c>
      <x:c r="D699" s="51" t="n">
        <x:v>40879</x:v>
      </x:c>
      <x:c r="E699" s="3" t="str">
        <x:v>Recurrente</x:v>
      </x:c>
      <x:c r="F699" s="13" t="n">
        <x:v>2507.07</x:v>
      </x:c>
      <x:c r="G699" s="13" t="n">
        <x:v>21.25</x:v>
      </x:c>
      <x:c r="H699" s="13" t="n">
        <x:f>F699-G699</x:f>
        <x:v>2485.82</x:v>
      </x:c>
      <x:c r="I699" s="13" t="n">
        <x:f>IF(C699=0,"n.a.",F699/C699)</x:f>
        <x:v>167.138</x:v>
      </x:c>
      <x:c r="J699" s="3"/>
      <x:c r="K699" s="3"/>
      <x:c r="L699" s="3"/>
    </x:row>
    <x:row r="700" ht="22" customHeight="1">
      <x:c r="A700" s="3"/>
      <x:c r="B700" s="3" t="str">
        <x:v>12913</x:v>
      </x:c>
      <x:c r="C700" s="3" t="n">
        <x:v>5</x:v>
      </x:c>
      <x:c r="D700" s="51" t="n">
        <x:v>40882</x:v>
      </x:c>
      <x:c r="E700" s="3" t="str">
        <x:v>Recurrente</x:v>
      </x:c>
      <x:c r="F700" s="13" t="n">
        <x:v>2483.63</x:v>
      </x:c>
      <x:c r="G700" s="13" t="n">
        <x:v>0</x:v>
      </x:c>
      <x:c r="H700" s="13" t="n">
        <x:f>F700-G700</x:f>
        <x:v>2483.63</x:v>
      </x:c>
      <x:c r="I700" s="13" t="n">
        <x:f>IF(C700=0,"n.a.",F700/C700)</x:f>
        <x:v>496.726</x:v>
      </x:c>
      <x:c r="J700" s="3"/>
      <x:c r="K700" s="3"/>
      <x:c r="L700" s="3"/>
    </x:row>
    <x:row r="701" ht="22" customHeight="1">
      <x:c r="A701" s="3"/>
      <x:c r="B701" s="3" t="str">
        <x:v>16710</x:v>
      </x:c>
      <x:c r="C701" s="3" t="n">
        <x:v>10</x:v>
      </x:c>
      <x:c r="D701" s="51" t="n">
        <x:v>40867</x:v>
      </x:c>
      <x:c r="E701" s="3" t="str">
        <x:v>Recurrente</x:v>
      </x:c>
      <x:c r="F701" s="13" t="n">
        <x:v>2483.04</x:v>
      </x:c>
      <x:c r="G701" s="13" t="n">
        <x:v>0</x:v>
      </x:c>
      <x:c r="H701" s="13" t="n">
        <x:f>F701-G701</x:f>
        <x:v>2483.04</x:v>
      </x:c>
      <x:c r="I701" s="13" t="n">
        <x:f>IF(C701=0,"n.a.",F701/C701)</x:f>
        <x:v>248.304</x:v>
      </x:c>
      <x:c r="J701" s="3"/>
      <x:c r="K701" s="3"/>
      <x:c r="L701" s="3"/>
    </x:row>
    <x:row r="702" ht="22" customHeight="1">
      <x:c r="A702" s="3"/>
      <x:c r="B702" s="3" t="str">
        <x:v>13507</x:v>
      </x:c>
      <x:c r="C702" s="3" t="n">
        <x:v>4</x:v>
      </x:c>
      <x:c r="D702" s="51" t="n">
        <x:v>40883</x:v>
      </x:c>
      <x:c r="E702" s="3" t="str">
        <x:v>Recurrente</x:v>
      </x:c>
      <x:c r="F702" s="13" t="n">
        <x:v>2479.16</x:v>
      </x:c>
      <x:c r="G702" s="13" t="n">
        <x:v>0</x:v>
      </x:c>
      <x:c r="H702" s="13" t="n">
        <x:f>F702-G702</x:f>
        <x:v>2479.16</x:v>
      </x:c>
      <x:c r="I702" s="13" t="n">
        <x:f>IF(C702=0,"n.a.",F702/C702)</x:f>
        <x:v>619.79</x:v>
      </x:c>
      <x:c r="J702" s="3"/>
      <x:c r="K702" s="3"/>
      <x:c r="L702" s="3"/>
    </x:row>
    <x:row r="703" ht="22" customHeight="1">
      <x:c r="A703" s="3"/>
      <x:c r="B703" s="3" t="str">
        <x:v>12438</x:v>
      </x:c>
      <x:c r="C703" s="3" t="n">
        <x:v>2</x:v>
      </x:c>
      <x:c r="D703" s="51" t="n">
        <x:v>40872</x:v>
      </x:c>
      <x:c r="E703" s="3" t="str">
        <x:v>Recurrente</x:v>
      </x:c>
      <x:c r="F703" s="13" t="n">
        <x:v>2466.85</x:v>
      </x:c>
      <x:c r="G703" s="13" t="n">
        <x:v>0</x:v>
      </x:c>
      <x:c r="H703" s="13" t="n">
        <x:f>F703-G703</x:f>
        <x:v>2466.85</x:v>
      </x:c>
      <x:c r="I703" s="13" t="n">
        <x:f>IF(C703=0,"n.a.",F703/C703)</x:f>
        <x:v>1233.425</x:v>
      </x:c>
      <x:c r="J703" s="3"/>
      <x:c r="K703" s="3"/>
      <x:c r="L703" s="3"/>
    </x:row>
    <x:row r="704" ht="22" customHeight="1">
      <x:c r="A704" s="3"/>
      <x:c r="B704" s="3" t="str">
        <x:v>17164</x:v>
      </x:c>
      <x:c r="C704" s="3" t="n">
        <x:v>7</x:v>
      </x:c>
      <x:c r="D704" s="51" t="n">
        <x:v>40854</x:v>
      </x:c>
      <x:c r="E704" s="3" t="str">
        <x:v>Recurrente</x:v>
      </x:c>
      <x:c r="F704" s="13" t="n">
        <x:v>2467.35</x:v>
      </x:c>
      <x:c r="G704" s="13" t="n">
        <x:v>0.95</x:v>
      </x:c>
      <x:c r="H704" s="13" t="n">
        <x:f>F704-G704</x:f>
        <x:v>2466.4</x:v>
      </x:c>
      <x:c r="I704" s="13" t="n">
        <x:f>IF(C704=0,"n.a.",F704/C704)</x:f>
        <x:v>352.4785714285714</x:v>
      </x:c>
      <x:c r="J704" s="3"/>
      <x:c r="K704" s="3"/>
      <x:c r="L704" s="3"/>
    </x:row>
    <x:row r="705" ht="22" customHeight="1">
      <x:c r="A705" s="3"/>
      <x:c r="B705" s="3" t="str">
        <x:v>17131</x:v>
      </x:c>
      <x:c r="C705" s="3" t="n">
        <x:v>5</x:v>
      </x:c>
      <x:c r="D705" s="51" t="n">
        <x:v>40881</x:v>
      </x:c>
      <x:c r="E705" s="3" t="str">
        <x:v>Recurrente</x:v>
      </x:c>
      <x:c r="F705" s="13" t="n">
        <x:v>2463.17</x:v>
      </x:c>
      <x:c r="G705" s="13" t="n">
        <x:v>0</x:v>
      </x:c>
      <x:c r="H705" s="13" t="n">
        <x:f>F705-G705</x:f>
        <x:v>2463.17</x:v>
      </x:c>
      <x:c r="I705" s="13" t="n">
        <x:f>IF(C705=0,"n.a.",F705/C705)</x:f>
        <x:v>492.634</x:v>
      </x:c>
      <x:c r="J705" s="3"/>
      <x:c r="K705" s="3"/>
      <x:c r="L705" s="3"/>
    </x:row>
    <x:row r="706" ht="22" customHeight="1">
      <x:c r="A706" s="3"/>
      <x:c r="B706" s="3" t="str">
        <x:v>13784</x:v>
      </x:c>
      <x:c r="C706" s="3" t="n">
        <x:v>11</x:v>
      </x:c>
      <x:c r="D706" s="51" t="n">
        <x:v>40877</x:v>
      </x:c>
      <x:c r="E706" s="3" t="str">
        <x:v>Recurrente</x:v>
      </x:c>
      <x:c r="F706" s="13" t="n">
        <x:v>2462.79</x:v>
      </x:c>
      <x:c r="G706" s="13" t="n">
        <x:v>0</x:v>
      </x:c>
      <x:c r="H706" s="13" t="n">
        <x:f>F706-G706</x:f>
        <x:v>2462.79</x:v>
      </x:c>
      <x:c r="I706" s="13" t="n">
        <x:f>IF(C706=0,"n.a.",F706/C706)</x:f>
        <x:v>223.89</x:v>
      </x:c>
      <x:c r="J706" s="3"/>
      <x:c r="K706" s="3"/>
      <x:c r="L706" s="3"/>
    </x:row>
    <x:row r="707" ht="22" customHeight="1">
      <x:c r="A707" s="3"/>
      <x:c r="B707" s="3" t="str">
        <x:v>15932</x:v>
      </x:c>
      <x:c r="C707" s="3" t="n">
        <x:v>8</x:v>
      </x:c>
      <x:c r="D707" s="51" t="n">
        <x:v>40882</x:v>
      </x:c>
      <x:c r="E707" s="3" t="str">
        <x:v>Recurrente</x:v>
      </x:c>
      <x:c r="F707" s="13" t="n">
        <x:v>2495.87</x:v>
      </x:c>
      <x:c r="G707" s="13" t="n">
        <x:v>34.02</x:v>
      </x:c>
      <x:c r="H707" s="13" t="n">
        <x:f>F707-G707</x:f>
        <x:v>2461.85</x:v>
      </x:c>
      <x:c r="I707" s="13" t="n">
        <x:f>IF(C707=0,"n.a.",F707/C707)</x:f>
        <x:v>311.98375</x:v>
      </x:c>
      <x:c r="J707" s="3"/>
      <x:c r="K707" s="3"/>
      <x:c r="L707" s="3"/>
    </x:row>
    <x:row r="708" ht="22" customHeight="1">
      <x:c r="A708" s="3"/>
      <x:c r="B708" s="3" t="str">
        <x:v>17682</x:v>
      </x:c>
      <x:c r="C708" s="3" t="n">
        <x:v>6</x:v>
      </x:c>
      <x:c r="D708" s="51" t="n">
        <x:v>40876</x:v>
      </x:c>
      <x:c r="E708" s="3" t="str">
        <x:v>Recurrente</x:v>
      </x:c>
      <x:c r="F708" s="13" t="n">
        <x:v>2474.33</x:v>
      </x:c>
      <x:c r="G708" s="13" t="n">
        <x:v>15</x:v>
      </x:c>
      <x:c r="H708" s="13" t="n">
        <x:f>F708-G708</x:f>
        <x:v>2459.33</x:v>
      </x:c>
      <x:c r="I708" s="13" t="n">
        <x:f>IF(C708=0,"n.a.",F708/C708)</x:f>
        <x:v>412.3883333333333</x:v>
      </x:c>
      <x:c r="J708" s="3"/>
      <x:c r="K708" s="3"/>
      <x:c r="L708" s="3"/>
    </x:row>
    <x:row r="709" ht="22" customHeight="1">
      <x:c r="A709" s="3"/>
      <x:c r="B709" s="3" t="str">
        <x:v>14315</x:v>
      </x:c>
      <x:c r="C709" s="3" t="n">
        <x:v>6</x:v>
      </x:c>
      <x:c r="D709" s="51" t="n">
        <x:v>40842</x:v>
      </x:c>
      <x:c r="E709" s="3" t="str">
        <x:v>Recurrente</x:v>
      </x:c>
      <x:c r="F709" s="13" t="n">
        <x:v>2481.13</x:v>
      </x:c>
      <x:c r="G709" s="13" t="n">
        <x:v>24.15</x:v>
      </x:c>
      <x:c r="H709" s="13" t="n">
        <x:f>F709-G709</x:f>
        <x:v>2456.98</x:v>
      </x:c>
      <x:c r="I709" s="13" t="n">
        <x:f>IF(C709=0,"n.a.",F709/C709)</x:f>
        <x:v>413.5216666666667</x:v>
      </x:c>
      <x:c r="J709" s="3"/>
      <x:c r="K709" s="3"/>
      <x:c r="L709" s="3"/>
    </x:row>
    <x:row r="710" ht="22" customHeight="1">
      <x:c r="A710" s="3"/>
      <x:c r="B710" s="3" t="str">
        <x:v>14842</x:v>
      </x:c>
      <x:c r="C710" s="3" t="n">
        <x:v>4</x:v>
      </x:c>
      <x:c r="D710" s="51" t="n">
        <x:v>40843</x:v>
      </x:c>
      <x:c r="E710" s="3" t="str">
        <x:v>Recurrente</x:v>
      </x:c>
      <x:c r="F710" s="13" t="n">
        <x:v>2824.69</x:v>
      </x:c>
      <x:c r="G710" s="13" t="n">
        <x:v>367.89</x:v>
      </x:c>
      <x:c r="H710" s="13" t="n">
        <x:f>F710-G710</x:f>
        <x:v>2456.8</x:v>
      </x:c>
      <x:c r="I710" s="13" t="n">
        <x:f>IF(C710=0,"n.a.",F710/C710)</x:f>
        <x:v>706.1725</x:v>
      </x:c>
      <x:c r="J710" s="3"/>
      <x:c r="K710" s="3"/>
      <x:c r="L710" s="3"/>
    </x:row>
    <x:row r="711" ht="22" customHeight="1">
      <x:c r="A711" s="3"/>
      <x:c r="B711" s="3" t="str">
        <x:v>14659</x:v>
      </x:c>
      <x:c r="C711" s="3" t="n">
        <x:v>9</x:v>
      </x:c>
      <x:c r="D711" s="51" t="n">
        <x:v>40878</x:v>
      </x:c>
      <x:c r="E711" s="3" t="str">
        <x:v>Recurrente</x:v>
      </x:c>
      <x:c r="F711" s="13" t="n">
        <x:v>2529.93</x:v>
      </x:c>
      <x:c r="G711" s="13" t="n">
        <x:v>73.4</x:v>
      </x:c>
      <x:c r="H711" s="13" t="n">
        <x:f>F711-G711</x:f>
        <x:v>2456.5299999999997</x:v>
      </x:c>
      <x:c r="I711" s="13" t="n">
        <x:f>IF(C711=0,"n.a.",F711/C711)</x:f>
        <x:v>281.1033333333333</x:v>
      </x:c>
      <x:c r="J711" s="3"/>
      <x:c r="K711" s="3"/>
      <x:c r="L711" s="3"/>
    </x:row>
    <x:row r="712" ht="22" customHeight="1">
      <x:c r="A712" s="3"/>
      <x:c r="B712" s="3" t="str">
        <x:v>15750</x:v>
      </x:c>
      <x:c r="C712" s="3" t="n">
        <x:v>8</x:v>
      </x:c>
      <x:c r="D712" s="51" t="n">
        <x:v>40884</x:v>
      </x:c>
      <x:c r="E712" s="3" t="str">
        <x:v>Recurrente</x:v>
      </x:c>
      <x:c r="F712" s="13" t="n">
        <x:v>2465.48</x:v>
      </x:c>
      <x:c r="G712" s="13" t="n">
        <x:v>14.25</x:v>
      </x:c>
      <x:c r="H712" s="13" t="n">
        <x:f>F712-G712</x:f>
        <x:v>2451.23</x:v>
      </x:c>
      <x:c r="I712" s="13" t="n">
        <x:f>IF(C712=0,"n.a.",F712/C712)</x:f>
        <x:v>308.185</x:v>
      </x:c>
      <x:c r="J712" s="3"/>
      <x:c r="K712" s="3"/>
      <x:c r="L712" s="3"/>
    </x:row>
    <x:row r="713" ht="22" customHeight="1">
      <x:c r="A713" s="3"/>
      <x:c r="B713" s="3" t="str">
        <x:v>13588</x:v>
      </x:c>
      <x:c r="C713" s="3" t="n">
        <x:v>9</x:v>
      </x:c>
      <x:c r="D713" s="51" t="n">
        <x:v>40871</x:v>
      </x:c>
      <x:c r="E713" s="3" t="str">
        <x:v>Recurrente</x:v>
      </x:c>
      <x:c r="F713" s="13" t="n">
        <x:v>2478.95</x:v>
      </x:c>
      <x:c r="G713" s="13" t="n">
        <x:v>29.42</x:v>
      </x:c>
      <x:c r="H713" s="13" t="n">
        <x:f>F713-G713</x:f>
        <x:v>2449.5299999999997</x:v>
      </x:c>
      <x:c r="I713" s="13" t="n">
        <x:f>IF(C713=0,"n.a.",F713/C713)</x:f>
        <x:v>275.43888888888887</x:v>
      </x:c>
      <x:c r="J713" s="3"/>
      <x:c r="K713" s="3"/>
      <x:c r="L713" s="3"/>
    </x:row>
    <x:row r="714" ht="22" customHeight="1">
      <x:c r="A714" s="3"/>
      <x:c r="B714" s="3" t="str">
        <x:v>14163</x:v>
      </x:c>
      <x:c r="C714" s="3" t="n">
        <x:v>4</x:v>
      </x:c>
      <x:c r="D714" s="51" t="n">
        <x:v>40799</x:v>
      </x:c>
      <x:c r="E714" s="3" t="str">
        <x:v>Recurrente</x:v>
      </x:c>
      <x:c r="F714" s="13" t="n">
        <x:v>2445.91</x:v>
      </x:c>
      <x:c r="G714" s="13" t="n">
        <x:v>0</x:v>
      </x:c>
      <x:c r="H714" s="13" t="n">
        <x:f>F714-G714</x:f>
        <x:v>2445.91</x:v>
      </x:c>
      <x:c r="I714" s="13" t="n">
        <x:f>IF(C714=0,"n.a.",F714/C714)</x:f>
        <x:v>611.4775</x:v>
      </x:c>
      <x:c r="J714" s="3"/>
      <x:c r="K714" s="3"/>
      <x:c r="L714" s="3"/>
    </x:row>
    <x:row r="715" ht="22" customHeight="1">
      <x:c r="A715" s="3"/>
      <x:c r="B715" s="3" t="str">
        <x:v>13949</x:v>
      </x:c>
      <x:c r="C715" s="3" t="n">
        <x:v>6</x:v>
      </x:c>
      <x:c r="D715" s="51" t="n">
        <x:v>40884</x:v>
      </x:c>
      <x:c r="E715" s="3" t="str">
        <x:v>Recurrente</x:v>
      </x:c>
      <x:c r="F715" s="13" t="n">
        <x:v>2427.32</x:v>
      </x:c>
      <x:c r="G715" s="13" t="n">
        <x:v>0</x:v>
      </x:c>
      <x:c r="H715" s="13" t="n">
        <x:f>F715-G715</x:f>
        <x:v>2427.32</x:v>
      </x:c>
      <x:c r="I715" s="13" t="n">
        <x:f>IF(C715=0,"n.a.",F715/C715)</x:f>
        <x:v>404.55333333333334</x:v>
      </x:c>
      <x:c r="J715" s="3"/>
      <x:c r="K715" s="3"/>
      <x:c r="L715" s="3"/>
    </x:row>
    <x:row r="716" ht="22" customHeight="1">
      <x:c r="A716" s="3"/>
      <x:c r="B716" s="3" t="str">
        <x:v>12380</x:v>
      </x:c>
      <x:c r="C716" s="3" t="n">
        <x:v>4</x:v>
      </x:c>
      <x:c r="D716" s="51" t="n">
        <x:v>40865</x:v>
      </x:c>
      <x:c r="E716" s="3" t="str">
        <x:v>Recurrente</x:v>
      </x:c>
      <x:c r="F716" s="13" t="n">
        <x:v>2427.81</x:v>
      </x:c>
      <x:c r="G716" s="13" t="n">
        <x:v>4.25</x:v>
      </x:c>
      <x:c r="H716" s="13" t="n">
        <x:f>F716-G716</x:f>
        <x:v>2423.56</x:v>
      </x:c>
      <x:c r="I716" s="13" t="n">
        <x:f>IF(C716=0,"n.a.",F716/C716)</x:f>
        <x:v>606.9525</x:v>
      </x:c>
      <x:c r="J716" s="3"/>
      <x:c r="K716" s="3"/>
      <x:c r="L716" s="3"/>
    </x:row>
    <x:row r="717" ht="22" customHeight="1">
      <x:c r="A717" s="3"/>
      <x:c r="B717" s="3" t="str">
        <x:v>14766</x:v>
      </x:c>
      <x:c r="C717" s="3" t="n">
        <x:v>6</x:v>
      </x:c>
      <x:c r="D717" s="51" t="n">
        <x:v>40878</x:v>
      </x:c>
      <x:c r="E717" s="3" t="str">
        <x:v>Recurrente</x:v>
      </x:c>
      <x:c r="F717" s="13" t="n">
        <x:v>2473.37</x:v>
      </x:c>
      <x:c r="G717" s="13" t="n">
        <x:v>50.3</x:v>
      </x:c>
      <x:c r="H717" s="13" t="n">
        <x:f>F717-G717</x:f>
        <x:v>2423.0699999999997</x:v>
      </x:c>
      <x:c r="I717" s="13" t="n">
        <x:f>IF(C717=0,"n.a.",F717/C717)</x:f>
        <x:v>412.2283333333333</x:v>
      </x:c>
      <x:c r="J717" s="3"/>
      <x:c r="K717" s="3"/>
      <x:c r="L717" s="3"/>
    </x:row>
    <x:row r="718" ht="22" customHeight="1">
      <x:c r="A718" s="3"/>
      <x:c r="B718" s="3" t="str">
        <x:v>15606</x:v>
      </x:c>
      <x:c r="C718" s="3" t="n">
        <x:v>9</x:v>
      </x:c>
      <x:c r="D718" s="51" t="n">
        <x:v>40825</x:v>
      </x:c>
      <x:c r="E718" s="3" t="str">
        <x:v>Recurrente</x:v>
      </x:c>
      <x:c r="F718" s="13" t="n">
        <x:v>2920.16</x:v>
      </x:c>
      <x:c r="G718" s="13" t="n">
        <x:v>497.52</x:v>
      </x:c>
      <x:c r="H718" s="13" t="n">
        <x:f>F718-G718</x:f>
        <x:v>2422.64</x:v>
      </x:c>
      <x:c r="I718" s="13" t="n">
        <x:f>IF(C718=0,"n.a.",F718/C718)</x:f>
        <x:v>324.4622222222222</x:v>
      </x:c>
      <x:c r="J718" s="3"/>
      <x:c r="K718" s="3"/>
      <x:c r="L718" s="3"/>
    </x:row>
    <x:row r="719" ht="22" customHeight="1">
      <x:c r="A719" s="3"/>
      <x:c r="B719" s="3" t="str">
        <x:v>13658</x:v>
      </x:c>
      <x:c r="C719" s="3" t="n">
        <x:v>5</x:v>
      </x:c>
      <x:c r="D719" s="51" t="n">
        <x:v>40877</x:v>
      </x:c>
      <x:c r="E719" s="3" t="str">
        <x:v>Recurrente</x:v>
      </x:c>
      <x:c r="F719" s="13" t="n">
        <x:v>2639.17</x:v>
      </x:c>
      <x:c r="G719" s="13" t="n">
        <x:v>217.7</x:v>
      </x:c>
      <x:c r="H719" s="13" t="n">
        <x:f>F719-G719</x:f>
        <x:v>2421.4700000000003</x:v>
      </x:c>
      <x:c r="I719" s="13" t="n">
        <x:f>IF(C719=0,"n.a.",F719/C719)</x:f>
        <x:v>527.8340000000001</x:v>
      </x:c>
      <x:c r="J719" s="3"/>
      <x:c r="K719" s="3"/>
      <x:c r="L719" s="3"/>
    </x:row>
    <x:row r="720" ht="22" customHeight="1">
      <x:c r="A720" s="3"/>
      <x:c r="B720" s="3" t="str">
        <x:v>15089</x:v>
      </x:c>
      <x:c r="C720" s="3" t="n">
        <x:v>6</x:v>
      </x:c>
      <x:c r="D720" s="51" t="n">
        <x:v>40876</x:v>
      </x:c>
      <x:c r="E720" s="3" t="str">
        <x:v>Recurrente</x:v>
      </x:c>
      <x:c r="F720" s="13" t="n">
        <x:v>2420.84</x:v>
      </x:c>
      <x:c r="G720" s="13" t="n">
        <x:v>0</x:v>
      </x:c>
      <x:c r="H720" s="13" t="n">
        <x:f>F720-G720</x:f>
        <x:v>2420.84</x:v>
      </x:c>
      <x:c r="I720" s="13" t="n">
        <x:f>IF(C720=0,"n.a.",F720/C720)</x:f>
        <x:v>403.47333333333336</x:v>
      </x:c>
      <x:c r="J720" s="3"/>
      <x:c r="K720" s="3"/>
      <x:c r="L720" s="3"/>
    </x:row>
    <x:row r="721" ht="22" customHeight="1">
      <x:c r="A721" s="3"/>
      <x:c r="B721" s="3" t="str">
        <x:v>16143</x:v>
      </x:c>
      <x:c r="C721" s="3" t="n">
        <x:v>6</x:v>
      </x:c>
      <x:c r="D721" s="51" t="n">
        <x:v>40883</x:v>
      </x:c>
      <x:c r="E721" s="3" t="str">
        <x:v>Recurrente</x:v>
      </x:c>
      <x:c r="F721" s="13" t="n">
        <x:v>2424.94</x:v>
      </x:c>
      <x:c r="G721" s="13" t="n">
        <x:v>5.1</x:v>
      </x:c>
      <x:c r="H721" s="13" t="n">
        <x:f>F721-G721</x:f>
        <x:v>2419.84</x:v>
      </x:c>
      <x:c r="I721" s="13" t="n">
        <x:f>IF(C721=0,"n.a.",F721/C721)</x:f>
        <x:v>404.1566666666667</x:v>
      </x:c>
      <x:c r="J721" s="3"/>
      <x:c r="K721" s="3"/>
      <x:c r="L721" s="3"/>
    </x:row>
    <x:row r="722" ht="22" customHeight="1">
      <x:c r="A722" s="3"/>
      <x:c r="B722" s="3" t="str">
        <x:v>15527</x:v>
      </x:c>
      <x:c r="C722" s="3" t="n">
        <x:v>8</x:v>
      </x:c>
      <x:c r="D722" s="51" t="n">
        <x:v>40868</x:v>
      </x:c>
      <x:c r="E722" s="3" t="str">
        <x:v>Recurrente</x:v>
      </x:c>
      <x:c r="F722" s="13" t="n">
        <x:v>2429.78</x:v>
      </x:c>
      <x:c r="G722" s="13" t="n">
        <x:v>16.85</x:v>
      </x:c>
      <x:c r="H722" s="13" t="n">
        <x:f>F722-G722</x:f>
        <x:v>2412.9300000000003</x:v>
      </x:c>
      <x:c r="I722" s="13" t="n">
        <x:f>IF(C722=0,"n.a.",F722/C722)</x:f>
        <x:v>303.7225</x:v>
      </x:c>
      <x:c r="J722" s="3"/>
      <x:c r="K722" s="3"/>
      <x:c r="L722" s="3"/>
    </x:row>
    <x:row r="723" ht="22" customHeight="1">
      <x:c r="A723" s="3"/>
      <x:c r="B723" s="3" t="str">
        <x:v>12726</x:v>
      </x:c>
      <x:c r="C723" s="3" t="n">
        <x:v>7</x:v>
      </x:c>
      <x:c r="D723" s="51" t="n">
        <x:v>40858</x:v>
      </x:c>
      <x:c r="E723" s="3" t="str">
        <x:v>Recurrente</x:v>
      </x:c>
      <x:c r="F723" s="13" t="n">
        <x:v>2411.1</x:v>
      </x:c>
      <x:c r="G723" s="13" t="n">
        <x:v>0</x:v>
      </x:c>
      <x:c r="H723" s="13" t="n">
        <x:f>F723-G723</x:f>
        <x:v>2411.1</x:v>
      </x:c>
      <x:c r="I723" s="13" t="n">
        <x:f>IF(C723=0,"n.a.",F723/C723)</x:f>
        <x:v>344.4428571428571</x:v>
      </x:c>
      <x:c r="J723" s="3"/>
      <x:c r="K723" s="3"/>
      <x:c r="L723" s="3"/>
    </x:row>
    <x:row r="724" ht="22" customHeight="1">
      <x:c r="A724" s="3"/>
      <x:c r="B724" s="3" t="str">
        <x:v>17589</x:v>
      </x:c>
      <x:c r="C724" s="3" t="n">
        <x:v>4</x:v>
      </x:c>
      <x:c r="D724" s="51" t="n">
        <x:v>40826</x:v>
      </x:c>
      <x:c r="E724" s="3" t="str">
        <x:v>Recurrente</x:v>
      </x:c>
      <x:c r="F724" s="13" t="n">
        <x:v>2402.92</x:v>
      </x:c>
      <x:c r="G724" s="13" t="n">
        <x:v>0</x:v>
      </x:c>
      <x:c r="H724" s="13" t="n">
        <x:f>F724-G724</x:f>
        <x:v>2402.92</x:v>
      </x:c>
      <x:c r="I724" s="13" t="n">
        <x:f>IF(C724=0,"n.a.",F724/C724)</x:f>
        <x:v>600.73</x:v>
      </x:c>
      <x:c r="J724" s="3"/>
      <x:c r="K724" s="3"/>
      <x:c r="L724" s="3"/>
    </x:row>
    <x:row r="725" ht="22" customHeight="1">
      <x:c r="A725" s="3"/>
      <x:c r="B725" s="3" t="str">
        <x:v>15980</x:v>
      </x:c>
      <x:c r="C725" s="3" t="n">
        <x:v>3</x:v>
      </x:c>
      <x:c r="D725" s="51" t="n">
        <x:v>40798</x:v>
      </x:c>
      <x:c r="E725" s="3" t="str">
        <x:v>Recurrente</x:v>
      </x:c>
      <x:c r="F725" s="13" t="n">
        <x:v>2398.86</x:v>
      </x:c>
      <x:c r="G725" s="13" t="n">
        <x:v>0</x:v>
      </x:c>
      <x:c r="H725" s="13" t="n">
        <x:f>F725-G725</x:f>
        <x:v>2398.86</x:v>
      </x:c>
      <x:c r="I725" s="13" t="n">
        <x:f>IF(C725=0,"n.a.",F725/C725)</x:f>
        <x:v>799.62</x:v>
      </x:c>
      <x:c r="J725" s="3"/>
      <x:c r="K725" s="3"/>
      <x:c r="L725" s="3"/>
    </x:row>
    <x:row r="726" ht="22" customHeight="1">
      <x:c r="A726" s="3"/>
      <x:c r="B726" s="3" t="str">
        <x:v>17444</x:v>
      </x:c>
      <x:c r="C726" s="3" t="n">
        <x:v>2</x:v>
      </x:c>
      <x:c r="D726" s="51" t="n">
        <x:v>40735</x:v>
      </x:c>
      <x:c r="E726" s="3" t="str">
        <x:v>Recurrente</x:v>
      </x:c>
      <x:c r="F726" s="13" t="n">
        <x:v>2389.1</x:v>
      </x:c>
      <x:c r="G726" s="13" t="n">
        <x:v>0</x:v>
      </x:c>
      <x:c r="H726" s="13" t="n">
        <x:f>F726-G726</x:f>
        <x:v>2389.1</x:v>
      </x:c>
      <x:c r="I726" s="13" t="n">
        <x:f>IF(C726=0,"n.a.",F726/C726)</x:f>
        <x:v>1194.55</x:v>
      </x:c>
      <x:c r="J726" s="3"/>
      <x:c r="K726" s="3"/>
      <x:c r="L726" s="3"/>
    </x:row>
    <x:row r="727" ht="22" customHeight="1">
      <x:c r="A727" s="3"/>
      <x:c r="B727" s="3" t="str">
        <x:v>13141</x:v>
      </x:c>
      <x:c r="C727" s="3" t="n">
        <x:v>5</x:v>
      </x:c>
      <x:c r="D727" s="51" t="n">
        <x:v>40802</x:v>
      </x:c>
      <x:c r="E727" s="3" t="str">
        <x:v>Recurrente</x:v>
      </x:c>
      <x:c r="F727" s="13" t="n">
        <x:v>2388.75</x:v>
      </x:c>
      <x:c r="G727" s="13" t="n">
        <x:v>2.95</x:v>
      </x:c>
      <x:c r="H727" s="13" t="n">
        <x:f>F727-G727</x:f>
        <x:v>2385.8</x:v>
      </x:c>
      <x:c r="I727" s="13" t="n">
        <x:f>IF(C727=0,"n.a.",F727/C727)</x:f>
        <x:v>477.75</x:v>
      </x:c>
      <x:c r="J727" s="3"/>
      <x:c r="K727" s="3"/>
      <x:c r="L727" s="3"/>
    </x:row>
    <x:row r="728" ht="22" customHeight="1">
      <x:c r="A728" s="3"/>
      <x:c r="B728" s="3" t="str">
        <x:v>17071</x:v>
      </x:c>
      <x:c r="C728" s="3" t="n">
        <x:v>9</x:v>
      </x:c>
      <x:c r="D728" s="51" t="n">
        <x:v>40858</x:v>
      </x:c>
      <x:c r="E728" s="3" t="str">
        <x:v>Recurrente</x:v>
      </x:c>
      <x:c r="F728" s="13" t="n">
        <x:v>2429.03</x:v>
      </x:c>
      <x:c r="G728" s="13" t="n">
        <x:v>43.55</x:v>
      </x:c>
      <x:c r="H728" s="13" t="n">
        <x:f>F728-G728</x:f>
        <x:v>2385.48</x:v>
      </x:c>
      <x:c r="I728" s="13" t="n">
        <x:f>IF(C728=0,"n.a.",F728/C728)</x:f>
        <x:v>269.89222222222224</x:v>
      </x:c>
      <x:c r="J728" s="3"/>
      <x:c r="K728" s="3"/>
      <x:c r="L728" s="3"/>
    </x:row>
    <x:row r="729" ht="22" customHeight="1">
      <x:c r="A729" s="3"/>
      <x:c r="B729" s="3" t="str">
        <x:v>14554</x:v>
      </x:c>
      <x:c r="C729" s="3" t="n">
        <x:v>4</x:v>
      </x:c>
      <x:c r="D729" s="51" t="n">
        <x:v>40876</x:v>
      </x:c>
      <x:c r="E729" s="3" t="str">
        <x:v>Recurrente</x:v>
      </x:c>
      <x:c r="F729" s="13" t="n">
        <x:v>2381.04</x:v>
      </x:c>
      <x:c r="G729" s="13" t="n">
        <x:v>0</x:v>
      </x:c>
      <x:c r="H729" s="13" t="n">
        <x:f>F729-G729</x:f>
        <x:v>2381.04</x:v>
      </x:c>
      <x:c r="I729" s="13" t="n">
        <x:f>IF(C729=0,"n.a.",F729/C729)</x:f>
        <x:v>595.26</x:v>
      </x:c>
      <x:c r="J729" s="3"/>
      <x:c r="K729" s="3"/>
      <x:c r="L729" s="3"/>
    </x:row>
    <x:row r="730" ht="22" customHeight="1">
      <x:c r="A730" s="3"/>
      <x:c r="B730" s="3" t="str">
        <x:v>17722</x:v>
      </x:c>
      <x:c r="C730" s="3" t="n">
        <x:v>4</x:v>
      </x:c>
      <x:c r="D730" s="51" t="n">
        <x:v>40790</x:v>
      </x:c>
      <x:c r="E730" s="3" t="str">
        <x:v>Recurrente</x:v>
      </x:c>
      <x:c r="F730" s="13" t="n">
        <x:v>2424.04</x:v>
      </x:c>
      <x:c r="G730" s="13" t="n">
        <x:v>43.4</x:v>
      </x:c>
      <x:c r="H730" s="13" t="n">
        <x:f>F730-G730</x:f>
        <x:v>2380.64</x:v>
      </x:c>
      <x:c r="I730" s="13" t="n">
        <x:f>IF(C730=0,"n.a.",F730/C730)</x:f>
        <x:v>606.01</x:v>
      </x:c>
      <x:c r="J730" s="3"/>
      <x:c r="K730" s="3"/>
      <x:c r="L730" s="3"/>
    </x:row>
    <x:row r="731" ht="22" customHeight="1">
      <x:c r="A731" s="3"/>
      <x:c r="B731" s="3" t="str">
        <x:v>17530</x:v>
      </x:c>
      <x:c r="C731" s="3" t="n">
        <x:v>10</x:v>
      </x:c>
      <x:c r="D731" s="51" t="n">
        <x:v>40885</x:v>
      </x:c>
      <x:c r="E731" s="3" t="str">
        <x:v>Recurrente</x:v>
      </x:c>
      <x:c r="F731" s="13" t="n">
        <x:v>2380.41</x:v>
      </x:c>
      <x:c r="G731" s="13" t="n">
        <x:v>0</x:v>
      </x:c>
      <x:c r="H731" s="13" t="n">
        <x:f>F731-G731</x:f>
        <x:v>2380.41</x:v>
      </x:c>
      <x:c r="I731" s="13" t="n">
        <x:f>IF(C731=0,"n.a.",F731/C731)</x:f>
        <x:v>238.041</x:v>
      </x:c>
      <x:c r="J731" s="3"/>
      <x:c r="K731" s="3"/>
      <x:c r="L731" s="3"/>
    </x:row>
    <x:row r="732" ht="22" customHeight="1">
      <x:c r="A732" s="3"/>
      <x:c r="B732" s="3" t="str">
        <x:v>18065</x:v>
      </x:c>
      <x:c r="C732" s="3" t="n">
        <x:v>14</x:v>
      </x:c>
      <x:c r="D732" s="51" t="n">
        <x:v>40881</x:v>
      </x:c>
      <x:c r="E732" s="3" t="str">
        <x:v>Recurrente</x:v>
      </x:c>
      <x:c r="F732" s="13" t="n">
        <x:v>2392.83</x:v>
      </x:c>
      <x:c r="G732" s="13" t="n">
        <x:v>12.75</x:v>
      </x:c>
      <x:c r="H732" s="13" t="n">
        <x:f>F732-G732</x:f>
        <x:v>2380.08</x:v>
      </x:c>
      <x:c r="I732" s="13" t="n">
        <x:f>IF(C732=0,"n.a.",F732/C732)</x:f>
        <x:v>170.91642857142855</x:v>
      </x:c>
      <x:c r="J732" s="3"/>
      <x:c r="K732" s="3"/>
      <x:c r="L732" s="3"/>
    </x:row>
    <x:row r="733" ht="22" customHeight="1">
      <x:c r="A733" s="3"/>
      <x:c r="B733" s="3" t="str">
        <x:v>14930</x:v>
      </x:c>
      <x:c r="C733" s="3" t="n">
        <x:v>3</x:v>
      </x:c>
      <x:c r="D733" s="51" t="n">
        <x:v>40778</x:v>
      </x:c>
      <x:c r="E733" s="3" t="str">
        <x:v>Recurrente</x:v>
      </x:c>
      <x:c r="F733" s="13" t="n">
        <x:v>2372.86</x:v>
      </x:c>
      <x:c r="G733" s="13" t="n">
        <x:v>0</x:v>
      </x:c>
      <x:c r="H733" s="13" t="n">
        <x:f>F733-G733</x:f>
        <x:v>2372.86</x:v>
      </x:c>
      <x:c r="I733" s="13" t="n">
        <x:f>IF(C733=0,"n.a.",F733/C733)</x:f>
        <x:v>790.9533333333334</x:v>
      </x:c>
      <x:c r="J733" s="3"/>
      <x:c r="K733" s="3"/>
      <x:c r="L733" s="3"/>
    </x:row>
    <x:row r="734" ht="22" customHeight="1">
      <x:c r="A734" s="3"/>
      <x:c r="B734" s="3" t="str">
        <x:v>13722</x:v>
      </x:c>
      <x:c r="C734" s="3" t="n">
        <x:v>3</x:v>
      </x:c>
      <x:c r="D734" s="51" t="n">
        <x:v>40755</x:v>
      </x:c>
      <x:c r="E734" s="3" t="str">
        <x:v>Recurrente</x:v>
      </x:c>
      <x:c r="F734" s="13" t="n">
        <x:v>2375.41</x:v>
      </x:c>
      <x:c r="G734" s="13" t="n">
        <x:v>6.25</x:v>
      </x:c>
      <x:c r="H734" s="13" t="n">
        <x:f>F734-G734</x:f>
        <x:v>2369.16</x:v>
      </x:c>
      <x:c r="I734" s="13" t="n">
        <x:f>IF(C734=0,"n.a.",F734/C734)</x:f>
        <x:v>791.8033333333333</x:v>
      </x:c>
      <x:c r="J734" s="3"/>
      <x:c r="K734" s="3"/>
      <x:c r="L734" s="3"/>
    </x:row>
    <x:row r="735" ht="22" customHeight="1">
      <x:c r="A735" s="3"/>
      <x:c r="B735" s="3" t="str">
        <x:v>14493</x:v>
      </x:c>
      <x:c r="C735" s="3" t="n">
        <x:v>5</x:v>
      </x:c>
      <x:c r="D735" s="51" t="n">
        <x:v>40879</x:v>
      </x:c>
      <x:c r="E735" s="3" t="str">
        <x:v>Recurrente</x:v>
      </x:c>
      <x:c r="F735" s="13" t="n">
        <x:v>2383.24</x:v>
      </x:c>
      <x:c r="G735" s="13" t="n">
        <x:v>20.4</x:v>
      </x:c>
      <x:c r="H735" s="13" t="n">
        <x:f>F735-G735</x:f>
        <x:v>2362.8399999999997</x:v>
      </x:c>
      <x:c r="I735" s="13" t="n">
        <x:f>IF(C735=0,"n.a.",F735/C735)</x:f>
        <x:v>476.64799999999997</x:v>
      </x:c>
      <x:c r="J735" s="3"/>
      <x:c r="K735" s="3"/>
      <x:c r="L735" s="3"/>
    </x:row>
    <x:row r="736" ht="22" customHeight="1">
      <x:c r="A736" s="3"/>
      <x:c r="B736" s="3" t="str">
        <x:v>12625</x:v>
      </x:c>
      <x:c r="C736" s="3" t="n">
        <x:v>2</x:v>
      </x:c>
      <x:c r="D736" s="51" t="n">
        <x:v>40675</x:v>
      </x:c>
      <x:c r="E736" s="3" t="str">
        <x:v>Recurrente</x:v>
      </x:c>
      <x:c r="F736" s="13" t="n">
        <x:v>2413.82</x:v>
      </x:c>
      <x:c r="G736" s="13" t="n">
        <x:v>51.5</x:v>
      </x:c>
      <x:c r="H736" s="13" t="n">
        <x:f>F736-G736</x:f>
        <x:v>2362.32</x:v>
      </x:c>
      <x:c r="I736" s="13" t="n">
        <x:f>IF(C736=0,"n.a.",F736/C736)</x:f>
        <x:v>1206.91</x:v>
      </x:c>
      <x:c r="J736" s="3"/>
      <x:c r="K736" s="3"/>
      <x:c r="L736" s="3"/>
    </x:row>
    <x:row r="737" ht="22" customHeight="1">
      <x:c r="A737" s="3"/>
      <x:c r="B737" s="3" t="str">
        <x:v>17634</x:v>
      </x:c>
      <x:c r="C737" s="3" t="n">
        <x:v>9</x:v>
      </x:c>
      <x:c r="D737" s="51" t="n">
        <x:v>40850</x:v>
      </x:c>
      <x:c r="E737" s="3" t="str">
        <x:v>Recurrente</x:v>
      </x:c>
      <x:c r="F737" s="13" t="n">
        <x:v>2361.97</x:v>
      </x:c>
      <x:c r="G737" s="13" t="n">
        <x:v>0</x:v>
      </x:c>
      <x:c r="H737" s="13" t="n">
        <x:f>F737-G737</x:f>
        <x:v>2361.97</x:v>
      </x:c>
      <x:c r="I737" s="13" t="n">
        <x:f>IF(C737=0,"n.a.",F737/C737)</x:f>
        <x:v>262.44111111111107</x:v>
      </x:c>
      <x:c r="J737" s="3"/>
      <x:c r="K737" s="3"/>
      <x:c r="L737" s="3"/>
    </x:row>
    <x:row r="738" ht="22" customHeight="1">
      <x:c r="A738" s="3"/>
      <x:c r="B738" s="3" t="str">
        <x:v>12578</x:v>
      </x:c>
      <x:c r="C738" s="3" t="n">
        <x:v>2</x:v>
      </x:c>
      <x:c r="D738" s="51" t="n">
        <x:v>40865</x:v>
      </x:c>
      <x:c r="E738" s="3" t="str">
        <x:v>Recurrente</x:v>
      </x:c>
      <x:c r="F738" s="13" t="n">
        <x:v>2402.51</x:v>
      </x:c>
      <x:c r="G738" s="13" t="n">
        <x:v>41.15</x:v>
      </x:c>
      <x:c r="H738" s="13" t="n">
        <x:f>F738-G738</x:f>
        <x:v>2361.36</x:v>
      </x:c>
      <x:c r="I738" s="13" t="n">
        <x:f>IF(C738=0,"n.a.",F738/C738)</x:f>
        <x:v>1201.255</x:v>
      </x:c>
      <x:c r="J738" s="3"/>
      <x:c r="K738" s="3"/>
      <x:c r="L738" s="3"/>
    </x:row>
    <x:row r="739" ht="22" customHeight="1">
      <x:c r="A739" s="3"/>
      <x:c r="B739" s="3" t="str">
        <x:v>15370</x:v>
      </x:c>
      <x:c r="C739" s="3" t="n">
        <x:v>7</x:v>
      </x:c>
      <x:c r="D739" s="51" t="n">
        <x:v>40846</x:v>
      </x:c>
      <x:c r="E739" s="3" t="str">
        <x:v>Recurrente</x:v>
      </x:c>
      <x:c r="F739" s="13" t="n">
        <x:v>2386.05</x:v>
      </x:c>
      <x:c r="G739" s="13" t="n">
        <x:v>25.5</x:v>
      </x:c>
      <x:c r="H739" s="13" t="n">
        <x:f>F739-G739</x:f>
        <x:v>2360.55</x:v>
      </x:c>
      <x:c r="I739" s="13" t="n">
        <x:f>IF(C739=0,"n.a.",F739/C739)</x:f>
        <x:v>340.86428571428576</x:v>
      </x:c>
      <x:c r="J739" s="3"/>
      <x:c r="K739" s="3"/>
      <x:c r="L739" s="3"/>
    </x:row>
    <x:row r="740" ht="22" customHeight="1">
      <x:c r="A740" s="3"/>
      <x:c r="B740" s="3" t="str">
        <x:v>14030</x:v>
      </x:c>
      <x:c r="C740" s="3" t="n">
        <x:v>8</x:v>
      </x:c>
      <x:c r="D740" s="51" t="n">
        <x:v>40868</x:v>
      </x:c>
      <x:c r="E740" s="3" t="str">
        <x:v>Recurrente</x:v>
      </x:c>
      <x:c r="F740" s="13" t="n">
        <x:v>2360.09</x:v>
      </x:c>
      <x:c r="G740" s="13" t="n">
        <x:v>0</x:v>
      </x:c>
      <x:c r="H740" s="13" t="n">
        <x:f>F740-G740</x:f>
        <x:v>2360.09</x:v>
      </x:c>
      <x:c r="I740" s="13" t="n">
        <x:f>IF(C740=0,"n.a.",F740/C740)</x:f>
        <x:v>295.01125</x:v>
      </x:c>
      <x:c r="J740" s="3"/>
      <x:c r="K740" s="3"/>
      <x:c r="L740" s="3"/>
    </x:row>
    <x:row r="741" ht="22" customHeight="1">
      <x:c r="A741" s="3"/>
      <x:c r="B741" s="3" t="str">
        <x:v>12721</x:v>
      </x:c>
      <x:c r="C741" s="3" t="n">
        <x:v>6</x:v>
      </x:c>
      <x:c r="D741" s="51" t="n">
        <x:v>40855</x:v>
      </x:c>
      <x:c r="E741" s="3" t="str">
        <x:v>Recurrente</x:v>
      </x:c>
      <x:c r="F741" s="13" t="n">
        <x:v>2386.13</x:v>
      </x:c>
      <x:c r="G741" s="13" t="n">
        <x:v>27.15</x:v>
      </x:c>
      <x:c r="H741" s="13" t="n">
        <x:f>F741-G741</x:f>
        <x:v>2358.98</x:v>
      </x:c>
      <x:c r="I741" s="13" t="n">
        <x:f>IF(C741=0,"n.a.",F741/C741)</x:f>
        <x:v>397.68833333333333</x:v>
      </x:c>
      <x:c r="J741" s="3"/>
      <x:c r="K741" s="3"/>
      <x:c r="L741" s="3"/>
    </x:row>
    <x:row r="742" ht="22" customHeight="1">
      <x:c r="A742" s="3"/>
      <x:c r="B742" s="3" t="str">
        <x:v>14440</x:v>
      </x:c>
      <x:c r="C742" s="3" t="n">
        <x:v>5</x:v>
      </x:c>
      <x:c r="D742" s="51" t="n">
        <x:v>40878</x:v>
      </x:c>
      <x:c r="E742" s="3" t="str">
        <x:v>Recurrente</x:v>
      </x:c>
      <x:c r="F742" s="13" t="n">
        <x:v>2357.68</x:v>
      </x:c>
      <x:c r="G742" s="13" t="n">
        <x:v>0</x:v>
      </x:c>
      <x:c r="H742" s="13" t="n">
        <x:f>F742-G742</x:f>
        <x:v>2357.68</x:v>
      </x:c>
      <x:c r="I742" s="13" t="n">
        <x:f>IF(C742=0,"n.a.",F742/C742)</x:f>
        <x:v>471.53599999999994</x:v>
      </x:c>
      <x:c r="J742" s="3"/>
      <x:c r="K742" s="3"/>
      <x:c r="L742" s="3"/>
    </x:row>
    <x:row r="743" ht="22" customHeight="1">
      <x:c r="A743" s="3"/>
      <x:c r="B743" s="3" t="str">
        <x:v>15140</x:v>
      </x:c>
      <x:c r="C743" s="3" t="n">
        <x:v>7</x:v>
      </x:c>
      <x:c r="D743" s="51" t="n">
        <x:v>40834</x:v>
      </x:c>
      <x:c r="E743" s="3" t="str">
        <x:v>Recurrente</x:v>
      </x:c>
      <x:c r="F743" s="13" t="n">
        <x:v>2354.25</x:v>
      </x:c>
      <x:c r="G743" s="13" t="n">
        <x:v>4.25</x:v>
      </x:c>
      <x:c r="H743" s="13" t="n">
        <x:f>F743-G743</x:f>
        <x:v>2350</x:v>
      </x:c>
      <x:c r="I743" s="13" t="n">
        <x:f>IF(C743=0,"n.a.",F743/C743)</x:f>
        <x:v>336.32142857142856</x:v>
      </x:c>
      <x:c r="J743" s="3"/>
      <x:c r="K743" s="3"/>
      <x:c r="L743" s="3"/>
    </x:row>
    <x:row r="744" ht="22" customHeight="1">
      <x:c r="A744" s="3"/>
      <x:c r="B744" s="3" t="str">
        <x:v>14502</x:v>
      </x:c>
      <x:c r="C744" s="3" t="n">
        <x:v>11</x:v>
      </x:c>
      <x:c r="D744" s="51" t="n">
        <x:v>40867</x:v>
      </x:c>
      <x:c r="E744" s="3" t="str">
        <x:v>Recurrente</x:v>
      </x:c>
      <x:c r="F744" s="13" t="n">
        <x:v>2467.63</x:v>
      </x:c>
      <x:c r="G744" s="13" t="n">
        <x:v>119.65</x:v>
      </x:c>
      <x:c r="H744" s="13" t="n">
        <x:f>F744-G744</x:f>
        <x:v>2347.98</x:v>
      </x:c>
      <x:c r="I744" s="13" t="n">
        <x:f>IF(C744=0,"n.a.",F744/C744)</x:f>
        <x:v>224.33</x:v>
      </x:c>
      <x:c r="J744" s="3"/>
      <x:c r="K744" s="3"/>
      <x:c r="L744" s="3"/>
    </x:row>
    <x:row r="745" ht="22" customHeight="1">
      <x:c r="A745" s="3"/>
      <x:c r="B745" s="3" t="str">
        <x:v>12708</x:v>
      </x:c>
      <x:c r="C745" s="3" t="n">
        <x:v>10</x:v>
      </x:c>
      <x:c r="D745" s="51" t="n">
        <x:v>40857</x:v>
      </x:c>
      <x:c r="E745" s="3" t="str">
        <x:v>Recurrente</x:v>
      </x:c>
      <x:c r="F745" s="13" t="n">
        <x:v>2442.91</x:v>
      </x:c>
      <x:c r="G745" s="13" t="n">
        <x:v>96.59</x:v>
      </x:c>
      <x:c r="H745" s="13" t="n">
        <x:f>F745-G745</x:f>
        <x:v>2346.3199999999997</x:v>
      </x:c>
      <x:c r="I745" s="13" t="n">
        <x:f>IF(C745=0,"n.a.",F745/C745)</x:f>
        <x:v>244.291</x:v>
      </x:c>
      <x:c r="J745" s="3"/>
      <x:c r="K745" s="3"/>
      <x:c r="L745" s="3"/>
    </x:row>
    <x:row r="746" ht="22" customHeight="1">
      <x:c r="A746" s="3"/>
      <x:c r="B746" s="3" t="str">
        <x:v>12455</x:v>
      </x:c>
      <x:c r="C746" s="3" t="n">
        <x:v>5</x:v>
      </x:c>
      <x:c r="D746" s="51" t="n">
        <x:v>40813</x:v>
      </x:c>
      <x:c r="E746" s="3" t="str">
        <x:v>Recurrente</x:v>
      </x:c>
      <x:c r="F746" s="13" t="n">
        <x:v>2339.86</x:v>
      </x:c>
      <x:c r="G746" s="13" t="n">
        <x:v>0</x:v>
      </x:c>
      <x:c r="H746" s="13" t="n">
        <x:f>F746-G746</x:f>
        <x:v>2339.86</x:v>
      </x:c>
      <x:c r="I746" s="13" t="n">
        <x:f>IF(C746=0,"n.a.",F746/C746)</x:f>
        <x:v>467.97200000000004</x:v>
      </x:c>
      <x:c r="J746" s="3"/>
      <x:c r="K746" s="3"/>
      <x:c r="L746" s="3"/>
    </x:row>
    <x:row r="747" ht="22" customHeight="1">
      <x:c r="A747" s="3"/>
      <x:c r="B747" s="3" t="str">
        <x:v>18259</x:v>
      </x:c>
      <x:c r="C747" s="3" t="n">
        <x:v>3</x:v>
      </x:c>
      <x:c r="D747" s="51" t="n">
        <x:v>40862</x:v>
      </x:c>
      <x:c r="E747" s="3" t="str">
        <x:v>Recurrente</x:v>
      </x:c>
      <x:c r="F747" s="13" t="n">
        <x:v>2338.6</x:v>
      </x:c>
      <x:c r="G747" s="13" t="n">
        <x:v>0</x:v>
      </x:c>
      <x:c r="H747" s="13" t="n">
        <x:f>F747-G747</x:f>
        <x:v>2338.6</x:v>
      </x:c>
      <x:c r="I747" s="13" t="n">
        <x:f>IF(C747=0,"n.a.",F747/C747)</x:f>
        <x:v>779.5333333333333</x:v>
      </x:c>
      <x:c r="J747" s="3"/>
      <x:c r="K747" s="3"/>
      <x:c r="L747" s="3"/>
    </x:row>
    <x:row r="748" ht="22" customHeight="1">
      <x:c r="A748" s="3"/>
      <x:c r="B748" s="3" t="str">
        <x:v>17434</x:v>
      </x:c>
      <x:c r="C748" s="3" t="n">
        <x:v>7</x:v>
      </x:c>
      <x:c r="D748" s="51" t="n">
        <x:v>40884</x:v>
      </x:c>
      <x:c r="E748" s="3" t="str">
        <x:v>Recurrente</x:v>
      </x:c>
      <x:c r="F748" s="13" t="n">
        <x:v>2373.82</x:v>
      </x:c>
      <x:c r="G748" s="13" t="n">
        <x:v>40.4</x:v>
      </x:c>
      <x:c r="H748" s="13" t="n">
        <x:f>F748-G748</x:f>
        <x:v>2333.42</x:v>
      </x:c>
      <x:c r="I748" s="13" t="n">
        <x:f>IF(C748=0,"n.a.",F748/C748)</x:f>
        <x:v>339.1171428571429</x:v>
      </x:c>
      <x:c r="J748" s="3"/>
      <x:c r="K748" s="3"/>
      <x:c r="L748" s="3"/>
    </x:row>
    <x:row r="749" ht="22" customHeight="1">
      <x:c r="A749" s="3"/>
      <x:c r="B749" s="3" t="str">
        <x:v>14239</x:v>
      </x:c>
      <x:c r="C749" s="3" t="n">
        <x:v>11</x:v>
      </x:c>
      <x:c r="D749" s="51" t="n">
        <x:v>40843</x:v>
      </x:c>
      <x:c r="E749" s="3" t="str">
        <x:v>Recurrente</x:v>
      </x:c>
      <x:c r="F749" s="13" t="n">
        <x:v>2380.85</x:v>
      </x:c>
      <x:c r="G749" s="13" t="n">
        <x:v>57.35</x:v>
      </x:c>
      <x:c r="H749" s="13" t="n">
        <x:f>F749-G749</x:f>
        <x:v>2323.5</x:v>
      </x:c>
      <x:c r="I749" s="13" t="n">
        <x:f>IF(C749=0,"n.a.",F749/C749)</x:f>
        <x:v>216.4409090909091</x:v>
      </x:c>
      <x:c r="J749" s="3"/>
      <x:c r="K749" s="3"/>
      <x:c r="L749" s="3"/>
    </x:row>
    <x:row r="750" ht="22" customHeight="1">
      <x:c r="A750" s="3"/>
      <x:c r="B750" s="3" t="str">
        <x:v>17744</x:v>
      </x:c>
      <x:c r="C750" s="3" t="n">
        <x:v>6</x:v>
      </x:c>
      <x:c r="D750" s="51" t="n">
        <x:v>40883</x:v>
      </x:c>
      <x:c r="E750" s="3" t="str">
        <x:v>Recurrente</x:v>
      </x:c>
      <x:c r="F750" s="13" t="n">
        <x:v>2322.4</x:v>
      </x:c>
      <x:c r="G750" s="13" t="n">
        <x:v>0</x:v>
      </x:c>
      <x:c r="H750" s="13" t="n">
        <x:f>F750-G750</x:f>
        <x:v>2322.4</x:v>
      </x:c>
      <x:c r="I750" s="13" t="n">
        <x:f>IF(C750=0,"n.a.",F750/C750)</x:f>
        <x:v>387.06666666666666</x:v>
      </x:c>
      <x:c r="J750" s="3"/>
      <x:c r="K750" s="3"/>
      <x:c r="L750" s="3"/>
    </x:row>
    <x:row r="751" ht="22" customHeight="1">
      <x:c r="A751" s="3"/>
      <x:c r="B751" s="3" t="str">
        <x:v>14309</x:v>
      </x:c>
      <x:c r="C751" s="3" t="n">
        <x:v>9</x:v>
      </x:c>
      <x:c r="D751" s="51" t="n">
        <x:v>40878</x:v>
      </x:c>
      <x:c r="E751" s="3" t="str">
        <x:v>Recurrente</x:v>
      </x:c>
      <x:c r="F751" s="13" t="n">
        <x:v>2352.53</x:v>
      </x:c>
      <x:c r="G751" s="13" t="n">
        <x:v>32.85</x:v>
      </x:c>
      <x:c r="H751" s="13" t="n">
        <x:f>F751-G751</x:f>
        <x:v>2319.6800000000003</x:v>
      </x:c>
      <x:c r="I751" s="13" t="n">
        <x:f>IF(C751=0,"n.a.",F751/C751)</x:f>
        <x:v>261.39222222222224</x:v>
      </x:c>
      <x:c r="J751" s="3"/>
      <x:c r="K751" s="3"/>
      <x:c r="L751" s="3"/>
    </x:row>
    <x:row r="752" ht="22" customHeight="1">
      <x:c r="A752" s="3"/>
      <x:c r="B752" s="3" t="str">
        <x:v>15755</x:v>
      </x:c>
      <x:c r="C752" s="3" t="n">
        <x:v>6</x:v>
      </x:c>
      <x:c r="D752" s="51" t="n">
        <x:v>40876</x:v>
      </x:c>
      <x:c r="E752" s="3" t="str">
        <x:v>Recurrente</x:v>
      </x:c>
      <x:c r="F752" s="13" t="n">
        <x:v>2364.25</x:v>
      </x:c>
      <x:c r="G752" s="13" t="n">
        <x:v>45.37</x:v>
      </x:c>
      <x:c r="H752" s="13" t="n">
        <x:f>F752-G752</x:f>
        <x:v>2318.88</x:v>
      </x:c>
      <x:c r="I752" s="13" t="n">
        <x:f>IF(C752=0,"n.a.",F752/C752)</x:f>
        <x:v>394.0416666666667</x:v>
      </x:c>
      <x:c r="J752" s="3"/>
      <x:c r="K752" s="3"/>
      <x:c r="L752" s="3"/>
    </x:row>
    <x:row r="753" ht="22" customHeight="1">
      <x:c r="A753" s="3"/>
      <x:c r="B753" s="3" t="str">
        <x:v>13394</x:v>
      </x:c>
      <x:c r="C753" s="3" t="n">
        <x:v>8</x:v>
      </x:c>
      <x:c r="D753" s="51" t="n">
        <x:v>40885</x:v>
      </x:c>
      <x:c r="E753" s="3" t="str">
        <x:v>Recurrente</x:v>
      </x:c>
      <x:c r="F753" s="13" t="n">
        <x:v>2520.02</x:v>
      </x:c>
      <x:c r="G753" s="13" t="n">
        <x:v>201.72</x:v>
      </x:c>
      <x:c r="H753" s="13" t="n">
        <x:f>F753-G753</x:f>
        <x:v>2318.3</x:v>
      </x:c>
      <x:c r="I753" s="13" t="n">
        <x:f>IF(C753=0,"n.a.",F753/C753)</x:f>
        <x:v>315.0025</x:v>
      </x:c>
      <x:c r="J753" s="3"/>
      <x:c r="K753" s="3"/>
      <x:c r="L753" s="3"/>
    </x:row>
    <x:row r="754" ht="22" customHeight="1">
      <x:c r="A754" s="3"/>
      <x:c r="B754" s="3" t="str">
        <x:v>13994</x:v>
      </x:c>
      <x:c r="C754" s="3" t="n">
        <x:v>6</x:v>
      </x:c>
      <x:c r="D754" s="51" t="n">
        <x:v>40883</x:v>
      </x:c>
      <x:c r="E754" s="3" t="str">
        <x:v>Recurrente</x:v>
      </x:c>
      <x:c r="F754" s="13" t="n">
        <x:v>2313.14</x:v>
      </x:c>
      <x:c r="G754" s="13" t="n">
        <x:v>0</x:v>
      </x:c>
      <x:c r="H754" s="13" t="n">
        <x:f>F754-G754</x:f>
        <x:v>2313.14</x:v>
      </x:c>
      <x:c r="I754" s="13" t="n">
        <x:f>IF(C754=0,"n.a.",F754/C754)</x:f>
        <x:v>385.5233333333333</x:v>
      </x:c>
      <x:c r="J754" s="3"/>
      <x:c r="K754" s="3"/>
      <x:c r="L754" s="3"/>
    </x:row>
    <x:row r="755" ht="22" customHeight="1">
      <x:c r="A755" s="3"/>
      <x:c r="B755" s="3" t="str">
        <x:v>17838</x:v>
      </x:c>
      <x:c r="C755" s="3" t="n">
        <x:v>5</x:v>
      </x:c>
      <x:c r="D755" s="51" t="n">
        <x:v>40860</x:v>
      </x:c>
      <x:c r="E755" s="3" t="str">
        <x:v>Recurrente</x:v>
      </x:c>
      <x:c r="F755" s="13" t="n">
        <x:v>2779.3</x:v>
      </x:c>
      <x:c r="G755" s="13" t="n">
        <x:v>466.6</x:v>
      </x:c>
      <x:c r="H755" s="13" t="n">
        <x:f>F755-G755</x:f>
        <x:v>2312.7000000000003</x:v>
      </x:c>
      <x:c r="I755" s="13" t="n">
        <x:f>IF(C755=0,"n.a.",F755/C755)</x:f>
        <x:v>555.86</x:v>
      </x:c>
      <x:c r="J755" s="3"/>
      <x:c r="K755" s="3"/>
      <x:c r="L755" s="3"/>
    </x:row>
    <x:row r="756" ht="22" customHeight="1">
      <x:c r="A756" s="3"/>
      <x:c r="B756" s="3" t="str">
        <x:v>12600</x:v>
      </x:c>
      <x:c r="C756" s="3" t="n">
        <x:v>10</x:v>
      </x:c>
      <x:c r="D756" s="51" t="n">
        <x:v>40858</x:v>
      </x:c>
      <x:c r="E756" s="3" t="str">
        <x:v>Recurrente</x:v>
      </x:c>
      <x:c r="F756" s="13" t="n">
        <x:v>2311.04</x:v>
      </x:c>
      <x:c r="G756" s="13" t="n">
        <x:v>0</x:v>
      </x:c>
      <x:c r="H756" s="13" t="n">
        <x:f>F756-G756</x:f>
        <x:v>2311.04</x:v>
      </x:c>
      <x:c r="I756" s="13" t="n">
        <x:f>IF(C756=0,"n.a.",F756/C756)</x:f>
        <x:v>231.10399999999998</x:v>
      </x:c>
      <x:c r="J756" s="3"/>
      <x:c r="K756" s="3"/>
      <x:c r="L756" s="3"/>
    </x:row>
    <x:row r="757" ht="22" customHeight="1">
      <x:c r="A757" s="3"/>
      <x:c r="B757" s="3" t="str">
        <x:v>14290</x:v>
      </x:c>
      <x:c r="C757" s="3" t="n">
        <x:v>5</x:v>
      </x:c>
      <x:c r="D757" s="51" t="n">
        <x:v>40875</x:v>
      </x:c>
      <x:c r="E757" s="3" t="str">
        <x:v>Recurrente</x:v>
      </x:c>
      <x:c r="F757" s="13" t="n">
        <x:v>2314.65</x:v>
      </x:c>
      <x:c r="G757" s="13" t="n">
        <x:v>7.2</x:v>
      </x:c>
      <x:c r="H757" s="13" t="n">
        <x:f>F757-G757</x:f>
        <x:v>2307.4500000000003</x:v>
      </x:c>
      <x:c r="I757" s="13" t="n">
        <x:f>IF(C757=0,"n.a.",F757/C757)</x:f>
        <x:v>462.93</x:v>
      </x:c>
      <x:c r="J757" s="3"/>
      <x:c r="K757" s="3"/>
      <x:c r="L757" s="3"/>
    </x:row>
    <x:row r="758" ht="22" customHeight="1">
      <x:c r="A758" s="3"/>
      <x:c r="B758" s="3" t="str">
        <x:v>15288</x:v>
      </x:c>
      <x:c r="C758" s="3" t="n">
        <x:v>5</x:v>
      </x:c>
      <x:c r="D758" s="51" t="n">
        <x:v>40843</x:v>
      </x:c>
      <x:c r="E758" s="3" t="str">
        <x:v>Recurrente</x:v>
      </x:c>
      <x:c r="F758" s="13" t="n">
        <x:v>2306.52</x:v>
      </x:c>
      <x:c r="G758" s="13" t="n">
        <x:v>0</x:v>
      </x:c>
      <x:c r="H758" s="13" t="n">
        <x:f>F758-G758</x:f>
        <x:v>2306.52</x:v>
      </x:c>
      <x:c r="I758" s="13" t="n">
        <x:f>IF(C758=0,"n.a.",F758/C758)</x:f>
        <x:v>461.304</x:v>
      </x:c>
      <x:c r="J758" s="3"/>
      <x:c r="K758" s="3"/>
      <x:c r="L758" s="3"/>
    </x:row>
    <x:row r="759" ht="22" customHeight="1">
      <x:c r="A759" s="3"/>
      <x:c r="B759" s="3" t="str">
        <x:v>15785</x:v>
      </x:c>
      <x:c r="C759" s="3" t="n">
        <x:v>5</x:v>
      </x:c>
      <x:c r="D759" s="51" t="n">
        <x:v>40854</x:v>
      </x:c>
      <x:c r="E759" s="3" t="str">
        <x:v>Recurrente</x:v>
      </x:c>
      <x:c r="F759" s="13" t="n">
        <x:v>2328.97</x:v>
      </x:c>
      <x:c r="G759" s="13" t="n">
        <x:v>25.22</x:v>
      </x:c>
      <x:c r="H759" s="13" t="n">
        <x:f>F759-G759</x:f>
        <x:v>2303.75</x:v>
      </x:c>
      <x:c r="I759" s="13" t="n">
        <x:f>IF(C759=0,"n.a.",F759/C759)</x:f>
        <x:v>465.794</x:v>
      </x:c>
      <x:c r="J759" s="3"/>
      <x:c r="K759" s="3"/>
      <x:c r="L759" s="3"/>
    </x:row>
    <x:row r="760" ht="22" customHeight="1">
      <x:c r="A760" s="3"/>
      <x:c r="B760" s="3" t="str">
        <x:v>12360</x:v>
      </x:c>
      <x:c r="C760" s="3" t="n">
        <x:v>3</x:v>
      </x:c>
      <x:c r="D760" s="51" t="n">
        <x:v>40834</x:v>
      </x:c>
      <x:c r="E760" s="3" t="str">
        <x:v>Recurrente</x:v>
      </x:c>
      <x:c r="F760" s="13" t="n">
        <x:v>2302.06</x:v>
      </x:c>
      <x:c r="G760" s="13" t="n">
        <x:v>0</x:v>
      </x:c>
      <x:c r="H760" s="13" t="n">
        <x:f>F760-G760</x:f>
        <x:v>2302.06</x:v>
      </x:c>
      <x:c r="I760" s="13" t="n">
        <x:f>IF(C760=0,"n.a.",F760/C760)</x:f>
        <x:v>767.3533333333334</x:v>
      </x:c>
      <x:c r="J760" s="3"/>
      <x:c r="K760" s="3"/>
      <x:c r="L760" s="3"/>
    </x:row>
    <x:row r="761" ht="22" customHeight="1">
      <x:c r="A761" s="3"/>
      <x:c r="B761" s="3" t="str">
        <x:v>14808</x:v>
      </x:c>
      <x:c r="C761" s="3" t="n">
        <x:v>8</x:v>
      </x:c>
      <x:c r="D761" s="51" t="n">
        <x:v>40847</x:v>
      </x:c>
      <x:c r="E761" s="3" t="str">
        <x:v>Recurrente</x:v>
      </x:c>
      <x:c r="F761" s="13" t="n">
        <x:v>2741.17</x:v>
      </x:c>
      <x:c r="G761" s="13" t="n">
        <x:v>440.8</x:v>
      </x:c>
      <x:c r="H761" s="13" t="n">
        <x:f>F761-G761</x:f>
        <x:v>2300.37</x:v>
      </x:c>
      <x:c r="I761" s="13" t="n">
        <x:f>IF(C761=0,"n.a.",F761/C761)</x:f>
        <x:v>342.64625</x:v>
      </x:c>
      <x:c r="J761" s="3"/>
      <x:c r="K761" s="3"/>
      <x:c r="L761" s="3"/>
    </x:row>
    <x:row r="762" ht="22" customHeight="1">
      <x:c r="A762" s="3"/>
      <x:c r="B762" s="3" t="str">
        <x:v>17211</x:v>
      </x:c>
      <x:c r="C762" s="3" t="n">
        <x:v>8</x:v>
      </x:c>
      <x:c r="D762" s="51" t="n">
        <x:v>40860</x:v>
      </x:c>
      <x:c r="E762" s="3" t="str">
        <x:v>Recurrente</x:v>
      </x:c>
      <x:c r="F762" s="13" t="n">
        <x:v>2317.22</x:v>
      </x:c>
      <x:c r="G762" s="13" t="n">
        <x:v>17.55</x:v>
      </x:c>
      <x:c r="H762" s="13" t="n">
        <x:f>F762-G762</x:f>
        <x:v>2299.6699999999996</x:v>
      </x:c>
      <x:c r="I762" s="13" t="n">
        <x:f>IF(C762=0,"n.a.",F762/C762)</x:f>
        <x:v>289.6525</x:v>
      </x:c>
      <x:c r="J762" s="3"/>
      <x:c r="K762" s="3"/>
      <x:c r="L762" s="3"/>
    </x:row>
    <x:row r="763" ht="22" customHeight="1">
      <x:c r="A763" s="3"/>
      <x:c r="B763" s="3" t="str">
        <x:v>15105</x:v>
      </x:c>
      <x:c r="C763" s="3" t="n">
        <x:v>7</x:v>
      </x:c>
      <x:c r="D763" s="51" t="n">
        <x:v>40868</x:v>
      </x:c>
      <x:c r="E763" s="3" t="str">
        <x:v>Recurrente</x:v>
      </x:c>
      <x:c r="F763" s="13" t="n">
        <x:v>2298.93</x:v>
      </x:c>
      <x:c r="G763" s="13" t="n">
        <x:v>0</x:v>
      </x:c>
      <x:c r="H763" s="13" t="n">
        <x:f>F763-G763</x:f>
        <x:v>2298.93</x:v>
      </x:c>
      <x:c r="I763" s="13" t="n">
        <x:f>IF(C763=0,"n.a.",F763/C763)</x:f>
        <x:v>328.4185714285714</x:v>
      </x:c>
      <x:c r="J763" s="3"/>
      <x:c r="K763" s="3"/>
      <x:c r="L763" s="3"/>
    </x:row>
    <x:row r="764" ht="22" customHeight="1">
      <x:c r="A764" s="3"/>
      <x:c r="B764" s="3" t="str">
        <x:v>15270</x:v>
      </x:c>
      <x:c r="C764" s="3" t="n">
        <x:v>7</x:v>
      </x:c>
      <x:c r="D764" s="51" t="n">
        <x:v>40871</x:v>
      </x:c>
      <x:c r="E764" s="3" t="str">
        <x:v>Recurrente</x:v>
      </x:c>
      <x:c r="F764" s="13" t="n">
        <x:v>2379.49</x:v>
      </x:c>
      <x:c r="G764" s="13" t="n">
        <x:v>81.29</x:v>
      </x:c>
      <x:c r="H764" s="13" t="n">
        <x:f>F764-G764</x:f>
        <x:v>2298.2</x:v>
      </x:c>
      <x:c r="I764" s="13" t="n">
        <x:f>IF(C764=0,"n.a.",F764/C764)</x:f>
        <x:v>339.9271428571428</x:v>
      </x:c>
      <x:c r="J764" s="3"/>
      <x:c r="K764" s="3"/>
      <x:c r="L764" s="3"/>
    </x:row>
    <x:row r="765" ht="22" customHeight="1">
      <x:c r="A765" s="3"/>
      <x:c r="B765" s="3" t="str">
        <x:v>13908</x:v>
      </x:c>
      <x:c r="C765" s="3" t="n">
        <x:v>4</x:v>
      </x:c>
      <x:c r="D765" s="51" t="n">
        <x:v>40807</x:v>
      </x:c>
      <x:c r="E765" s="3" t="str">
        <x:v>Recurrente</x:v>
      </x:c>
      <x:c r="F765" s="13" t="n">
        <x:v>2319.55</x:v>
      </x:c>
      <x:c r="G765" s="13" t="n">
        <x:v>22.5</x:v>
      </x:c>
      <x:c r="H765" s="13" t="n">
        <x:f>F765-G765</x:f>
        <x:v>2297.05</x:v>
      </x:c>
      <x:c r="I765" s="13" t="n">
        <x:f>IF(C765=0,"n.a.",F765/C765)</x:f>
        <x:v>579.8875</x:v>
      </x:c>
      <x:c r="J765" s="3"/>
      <x:c r="K765" s="3"/>
      <x:c r="L765" s="3"/>
    </x:row>
    <x:row r="766" ht="22" customHeight="1">
      <x:c r="A766" s="3"/>
      <x:c r="B766" s="3" t="str">
        <x:v>17954</x:v>
      </x:c>
      <x:c r="C766" s="3" t="n">
        <x:v>12</x:v>
      </x:c>
      <x:c r="D766" s="51" t="n">
        <x:v>40881</x:v>
      </x:c>
      <x:c r="E766" s="3" t="str">
        <x:v>Recurrente</x:v>
      </x:c>
      <x:c r="F766" s="13" t="n">
        <x:v>2332.72</x:v>
      </x:c>
      <x:c r="G766" s="13" t="n">
        <x:v>37.35</x:v>
      </x:c>
      <x:c r="H766" s="13" t="n">
        <x:f>F766-G766</x:f>
        <x:v>2295.37</x:v>
      </x:c>
      <x:c r="I766" s="13" t="n">
        <x:f>IF(C766=0,"n.a.",F766/C766)</x:f>
        <x:v>194.39333333333332</x:v>
      </x:c>
      <x:c r="J766" s="3"/>
      <x:c r="K766" s="3"/>
      <x:c r="L766" s="3"/>
    </x:row>
    <x:row r="767" ht="22" customHeight="1">
      <x:c r="A767" s="3"/>
      <x:c r="B767" s="3" t="str">
        <x:v>13704</x:v>
      </x:c>
      <x:c r="C767" s="3" t="n">
        <x:v>9</x:v>
      </x:c>
      <x:c r="D767" s="51" t="n">
        <x:v>40881</x:v>
      </x:c>
      <x:c r="E767" s="3" t="str">
        <x:v>Recurrente</x:v>
      </x:c>
      <x:c r="F767" s="13" t="n">
        <x:v>2308.06</x:v>
      </x:c>
      <x:c r="G767" s="13" t="n">
        <x:v>12.75</x:v>
      </x:c>
      <x:c r="H767" s="13" t="n">
        <x:f>F767-G767</x:f>
        <x:v>2295.31</x:v>
      </x:c>
      <x:c r="I767" s="13" t="n">
        <x:f>IF(C767=0,"n.a.",F767/C767)</x:f>
        <x:v>256.4511111111111</x:v>
      </x:c>
      <x:c r="J767" s="3"/>
      <x:c r="K767" s="3"/>
      <x:c r="L767" s="3"/>
    </x:row>
    <x:row r="768" ht="22" customHeight="1">
      <x:c r="A768" s="3"/>
      <x:c r="B768" s="3" t="str">
        <x:v>12520</x:v>
      </x:c>
      <x:c r="C768" s="3" t="n">
        <x:v>5</x:v>
      </x:c>
      <x:c r="D768" s="51" t="n">
        <x:v>40807</x:v>
      </x:c>
      <x:c r="E768" s="3" t="str">
        <x:v>Recurrente</x:v>
      </x:c>
      <x:c r="F768" s="13" t="n">
        <x:v>2346.26</x:v>
      </x:c>
      <x:c r="G768" s="13" t="n">
        <x:v>51.75</x:v>
      </x:c>
      <x:c r="H768" s="13" t="n">
        <x:f>F768-G768</x:f>
        <x:v>2294.51</x:v>
      </x:c>
      <x:c r="I768" s="13" t="n">
        <x:f>IF(C768=0,"n.a.",F768/C768)</x:f>
        <x:v>469.25200000000007</x:v>
      </x:c>
      <x:c r="J768" s="3"/>
      <x:c r="K768" s="3"/>
      <x:c r="L768" s="3"/>
    </x:row>
    <x:row r="769" ht="22" customHeight="1">
      <x:c r="A769" s="3"/>
      <x:c r="B769" s="3" t="str">
        <x:v>15704</x:v>
      </x:c>
      <x:c r="C769" s="3" t="n">
        <x:v>4</x:v>
      </x:c>
      <x:c r="D769" s="51" t="n">
        <x:v>40746</x:v>
      </x:c>
      <x:c r="E769" s="3" t="str">
        <x:v>Recurrente</x:v>
      </x:c>
      <x:c r="F769" s="13" t="n">
        <x:v>2293.62</x:v>
      </x:c>
      <x:c r="G769" s="13" t="n">
        <x:v>0</x:v>
      </x:c>
      <x:c r="H769" s="13" t="n">
        <x:f>F769-G769</x:f>
        <x:v>2293.62</x:v>
      </x:c>
      <x:c r="I769" s="13" t="n">
        <x:f>IF(C769=0,"n.a.",F769/C769)</x:f>
        <x:v>573.405</x:v>
      </x:c>
      <x:c r="J769" s="3"/>
      <x:c r="K769" s="3"/>
      <x:c r="L769" s="3"/>
    </x:row>
    <x:row r="770" ht="22" customHeight="1">
      <x:c r="A770" s="3"/>
      <x:c r="B770" s="3" t="str">
        <x:v>17313</x:v>
      </x:c>
      <x:c r="C770" s="3" t="n">
        <x:v>1</x:v>
      </x:c>
      <x:c r="D770" s="51" t="n">
        <x:v>40855</x:v>
      </x:c>
      <x:c r="E770" s="3" t="str">
        <x:v>Una compra</x:v>
      </x:c>
      <x:c r="F770" s="13" t="n">
        <x:v>2328.84</x:v>
      </x:c>
      <x:c r="G770" s="13" t="n">
        <x:v>40.71</x:v>
      </x:c>
      <x:c r="H770" s="13" t="n">
        <x:f>F770-G770</x:f>
        <x:v>2288.13</x:v>
      </x:c>
      <x:c r="I770" s="13" t="n">
        <x:f>IF(C770=0,"n.a.",F770/C770)</x:f>
        <x:v>2328.84</x:v>
      </x:c>
      <x:c r="J770" s="3"/>
      <x:c r="K770" s="3"/>
      <x:c r="L770" s="3"/>
    </x:row>
    <x:row r="771" ht="22" customHeight="1">
      <x:c r="A771" s="3"/>
      <x:c r="B771" s="3" t="str">
        <x:v>12517</x:v>
      </x:c>
      <x:c r="C771" s="3" t="n">
        <x:v>4</x:v>
      </x:c>
      <x:c r="D771" s="51" t="n">
        <x:v>40858</x:v>
      </x:c>
      <x:c r="E771" s="3" t="str">
        <x:v>Recurrente</x:v>
      </x:c>
      <x:c r="F771" s="13" t="n">
        <x:v>2322.84</x:v>
      </x:c>
      <x:c r="G771" s="13" t="n">
        <x:v>37.95</x:v>
      </x:c>
      <x:c r="H771" s="13" t="n">
        <x:f>F771-G771</x:f>
        <x:v>2284.8900000000003</x:v>
      </x:c>
      <x:c r="I771" s="13" t="n">
        <x:f>IF(C771=0,"n.a.",F771/C771)</x:f>
        <x:v>580.71</x:v>
      </x:c>
      <x:c r="J771" s="3"/>
      <x:c r="K771" s="3"/>
      <x:c r="L771" s="3"/>
    </x:row>
    <x:row r="772" ht="22" customHeight="1">
      <x:c r="A772" s="3"/>
      <x:c r="B772" s="3" t="str">
        <x:v>17188</x:v>
      </x:c>
      <x:c r="C772" s="3" t="n">
        <x:v>7</x:v>
      </x:c>
      <x:c r="D772" s="51" t="n">
        <x:v>40875</x:v>
      </x:c>
      <x:c r="E772" s="3" t="str">
        <x:v>Recurrente</x:v>
      </x:c>
      <x:c r="F772" s="13" t="n">
        <x:v>2474.23</x:v>
      </x:c>
      <x:c r="G772" s="13" t="n">
        <x:v>198.65</x:v>
      </x:c>
      <x:c r="H772" s="13" t="n">
        <x:f>F772-G772</x:f>
        <x:v>2275.58</x:v>
      </x:c>
      <x:c r="I772" s="13" t="n">
        <x:f>IF(C772=0,"n.a.",F772/C772)</x:f>
        <x:v>353.4614285714286</x:v>
      </x:c>
      <x:c r="J772" s="3"/>
      <x:c r="K772" s="3"/>
      <x:c r="L772" s="3"/>
    </x:row>
    <x:row r="773" ht="22" customHeight="1">
      <x:c r="A773" s="3"/>
      <x:c r="B773" s="3" t="str">
        <x:v>18257</x:v>
      </x:c>
      <x:c r="C773" s="3" t="n">
        <x:v>8</x:v>
      </x:c>
      <x:c r="D773" s="51" t="n">
        <x:v>40847</x:v>
      </x:c>
      <x:c r="E773" s="3" t="str">
        <x:v>Recurrente</x:v>
      </x:c>
      <x:c r="F773" s="13" t="n">
        <x:v>2337.63</x:v>
      </x:c>
      <x:c r="G773" s="13" t="n">
        <x:v>63.6</x:v>
      </x:c>
      <x:c r="H773" s="13" t="n">
        <x:f>F773-G773</x:f>
        <x:v>2274.03</x:v>
      </x:c>
      <x:c r="I773" s="13" t="n">
        <x:f>IF(C773=0,"n.a.",F773/C773)</x:f>
        <x:v>292.20375</x:v>
      </x:c>
      <x:c r="J773" s="3"/>
      <x:c r="K773" s="3"/>
      <x:c r="L773" s="3"/>
    </x:row>
    <x:row r="774" ht="22" customHeight="1">
      <x:c r="A774" s="3"/>
      <x:c r="B774" s="3" t="str">
        <x:v>17768</x:v>
      </x:c>
      <x:c r="C774" s="3" t="n">
        <x:v>3</x:v>
      </x:c>
      <x:c r="D774" s="51" t="n">
        <x:v>40878</x:v>
      </x:c>
      <x:c r="E774" s="3" t="str">
        <x:v>Recurrente</x:v>
      </x:c>
      <x:c r="F774" s="13" t="n">
        <x:v>2273.18</x:v>
      </x:c>
      <x:c r="G774" s="13" t="n">
        <x:v>0</x:v>
      </x:c>
      <x:c r="H774" s="13" t="n">
        <x:f>F774-G774</x:f>
        <x:v>2273.18</x:v>
      </x:c>
      <x:c r="I774" s="13" t="n">
        <x:f>IF(C774=0,"n.a.",F774/C774)</x:f>
        <x:v>757.7266666666666</x:v>
      </x:c>
      <x:c r="J774" s="3"/>
      <x:c r="K774" s="3"/>
      <x:c r="L774" s="3"/>
    </x:row>
    <x:row r="775" ht="22" customHeight="1">
      <x:c r="A775" s="3"/>
      <x:c r="B775" s="3" t="str">
        <x:v>14466</x:v>
      </x:c>
      <x:c r="C775" s="3" t="n">
        <x:v>7</x:v>
      </x:c>
      <x:c r="D775" s="51" t="n">
        <x:v>40857</x:v>
      </x:c>
      <x:c r="E775" s="3" t="str">
        <x:v>Recurrente</x:v>
      </x:c>
      <x:c r="F775" s="13" t="n">
        <x:v>2272.4</x:v>
      </x:c>
      <x:c r="G775" s="13" t="n">
        <x:v>0</x:v>
      </x:c>
      <x:c r="H775" s="13" t="n">
        <x:f>F775-G775</x:f>
        <x:v>2272.4</x:v>
      </x:c>
      <x:c r="I775" s="13" t="n">
        <x:f>IF(C775=0,"n.a.",F775/C775)</x:f>
        <x:v>324.62857142857143</x:v>
      </x:c>
      <x:c r="J775" s="3"/>
      <x:c r="K775" s="3"/>
      <x:c r="L775" s="3"/>
    </x:row>
    <x:row r="776" ht="22" customHeight="1">
      <x:c r="A776" s="3"/>
      <x:c r="B776" s="3" t="str">
        <x:v>16735</x:v>
      </x:c>
      <x:c r="C776" s="3" t="n">
        <x:v>5</x:v>
      </x:c>
      <x:c r="D776" s="51" t="n">
        <x:v>40808</x:v>
      </x:c>
      <x:c r="E776" s="3" t="str">
        <x:v>Recurrente</x:v>
      </x:c>
      <x:c r="F776" s="13" t="n">
        <x:v>2300.56</x:v>
      </x:c>
      <x:c r="G776" s="13" t="n">
        <x:v>31.35</x:v>
      </x:c>
      <x:c r="H776" s="13" t="n">
        <x:f>F776-G776</x:f>
        <x:v>2269.21</x:v>
      </x:c>
      <x:c r="I776" s="13" t="n">
        <x:f>IF(C776=0,"n.a.",F776/C776)</x:f>
        <x:v>460.11199999999997</x:v>
      </x:c>
      <x:c r="J776" s="3"/>
      <x:c r="K776" s="3"/>
      <x:c r="L776" s="3"/>
    </x:row>
    <x:row r="777" ht="22" customHeight="1">
      <x:c r="A777" s="3"/>
      <x:c r="B777" s="3" t="str">
        <x:v>16550</x:v>
      </x:c>
      <x:c r="C777" s="3" t="n">
        <x:v>5</x:v>
      </x:c>
      <x:c r="D777" s="51" t="n">
        <x:v>40778</x:v>
      </x:c>
      <x:c r="E777" s="3" t="str">
        <x:v>Recurrente</x:v>
      </x:c>
      <x:c r="F777" s="13" t="n">
        <x:v>2298.97</x:v>
      </x:c>
      <x:c r="G777" s="13" t="n">
        <x:v>32.72</x:v>
      </x:c>
      <x:c r="H777" s="13" t="n">
        <x:f>F777-G777</x:f>
        <x:v>2266.25</x:v>
      </x:c>
      <x:c r="I777" s="13" t="n">
        <x:f>IF(C777=0,"n.a.",F777/C777)</x:f>
        <x:v>459.794</x:v>
      </x:c>
      <x:c r="J777" s="3"/>
      <x:c r="K777" s="3"/>
      <x:c r="L777" s="3"/>
    </x:row>
    <x:row r="778" ht="22" customHeight="1">
      <x:c r="A778" s="3"/>
      <x:c r="B778" s="3" t="str">
        <x:v>13700</x:v>
      </x:c>
      <x:c r="C778" s="3" t="n">
        <x:v>10</x:v>
      </x:c>
      <x:c r="D778" s="51" t="n">
        <x:v>40860</x:v>
      </x:c>
      <x:c r="E778" s="3" t="str">
        <x:v>Recurrente</x:v>
      </x:c>
      <x:c r="F778" s="13" t="n">
        <x:v>2265.12</x:v>
      </x:c>
      <x:c r="G778" s="13" t="n">
        <x:v>0</x:v>
      </x:c>
      <x:c r="H778" s="13" t="n">
        <x:f>F778-G778</x:f>
        <x:v>2265.12</x:v>
      </x:c>
      <x:c r="I778" s="13" t="n">
        <x:f>IF(C778=0,"n.a.",F778/C778)</x:f>
        <x:v>226.512</x:v>
      </x:c>
      <x:c r="J778" s="3"/>
      <x:c r="K778" s="3"/>
      <x:c r="L778" s="3"/>
    </x:row>
    <x:row r="779" ht="22" customHeight="1">
      <x:c r="A779" s="3"/>
      <x:c r="B779" s="3" t="str">
        <x:v>13527</x:v>
      </x:c>
      <x:c r="C779" s="3" t="n">
        <x:v>7</x:v>
      </x:c>
      <x:c r="D779" s="51" t="n">
        <x:v>40853</x:v>
      </x:c>
      <x:c r="E779" s="3" t="str">
        <x:v>Recurrente</x:v>
      </x:c>
      <x:c r="F779" s="13" t="n">
        <x:v>2287.51</x:v>
      </x:c>
      <x:c r="G779" s="13" t="n">
        <x:v>23.75</x:v>
      </x:c>
      <x:c r="H779" s="13" t="n">
        <x:f>F779-G779</x:f>
        <x:v>2263.76</x:v>
      </x:c>
      <x:c r="I779" s="13" t="n">
        <x:f>IF(C779=0,"n.a.",F779/C779)</x:f>
        <x:v>326.7871428571429</x:v>
      </x:c>
      <x:c r="J779" s="3"/>
      <x:c r="K779" s="3"/>
      <x:c r="L779" s="3"/>
    </x:row>
    <x:row r="780" ht="22" customHeight="1">
      <x:c r="A780" s="3"/>
      <x:c r="B780" s="3" t="str">
        <x:v>16209</x:v>
      </x:c>
      <x:c r="C780" s="3" t="n">
        <x:v>5</x:v>
      </x:c>
      <x:c r="D780" s="51" t="n">
        <x:v>40798</x:v>
      </x:c>
      <x:c r="E780" s="3" t="str">
        <x:v>Recurrente</x:v>
      </x:c>
      <x:c r="F780" s="13" t="n">
        <x:v>2262.62</x:v>
      </x:c>
      <x:c r="G780" s="13" t="n">
        <x:v>0</x:v>
      </x:c>
      <x:c r="H780" s="13" t="n">
        <x:f>F780-G780</x:f>
        <x:v>2262.62</x:v>
      </x:c>
      <x:c r="I780" s="13" t="n">
        <x:f>IF(C780=0,"n.a.",F780/C780)</x:f>
        <x:v>452.524</x:v>
      </x:c>
      <x:c r="J780" s="3"/>
      <x:c r="K780" s="3"/>
      <x:c r="L780" s="3"/>
    </x:row>
    <x:row r="781" ht="22" customHeight="1">
      <x:c r="A781" s="3"/>
      <x:c r="B781" s="3" t="str">
        <x:v>14432</x:v>
      </x:c>
      <x:c r="C781" s="3" t="n">
        <x:v>6</x:v>
      </x:c>
      <x:c r="D781" s="51" t="n">
        <x:v>40877</x:v>
      </x:c>
      <x:c r="E781" s="3" t="str">
        <x:v>Recurrente</x:v>
      </x:c>
      <x:c r="F781" s="13" t="n">
        <x:v>2255.51</x:v>
      </x:c>
      <x:c r="G781" s="13" t="n">
        <x:v>0</x:v>
      </x:c>
      <x:c r="H781" s="13" t="n">
        <x:f>F781-G781</x:f>
        <x:v>2255.51</x:v>
      </x:c>
      <x:c r="I781" s="13" t="n">
        <x:f>IF(C781=0,"n.a.",F781/C781)</x:f>
        <x:v>375.91833333333335</x:v>
      </x:c>
      <x:c r="J781" s="3"/>
      <x:c r="K781" s="3"/>
      <x:c r="L781" s="3"/>
    </x:row>
    <x:row r="782" ht="22" customHeight="1">
      <x:c r="A782" s="3"/>
      <x:c r="B782" s="3" t="str">
        <x:v>15235</x:v>
      </x:c>
      <x:c r="C782" s="3" t="n">
        <x:v>12</x:v>
      </x:c>
      <x:c r="D782" s="51" t="n">
        <x:v>40669</x:v>
      </x:c>
      <x:c r="E782" s="3" t="str">
        <x:v>Recurrente</x:v>
      </x:c>
      <x:c r="F782" s="13" t="n">
        <x:v>2247.51</x:v>
      </x:c>
      <x:c r="G782" s="13" t="n">
        <x:v>0</x:v>
      </x:c>
      <x:c r="H782" s="13" t="n">
        <x:f>F782-G782</x:f>
        <x:v>2247.51</x:v>
      </x:c>
      <x:c r="I782" s="13" t="n">
        <x:f>IF(C782=0,"n.a.",F782/C782)</x:f>
        <x:v>187.29250000000002</x:v>
      </x:c>
      <x:c r="J782" s="3"/>
      <x:c r="K782" s="3"/>
      <x:c r="L782" s="3"/>
    </x:row>
    <x:row r="783" ht="22" customHeight="1">
      <x:c r="A783" s="3"/>
      <x:c r="B783" s="3" t="str">
        <x:v>16782</x:v>
      </x:c>
      <x:c r="C783" s="3" t="n">
        <x:v>13</x:v>
      </x:c>
      <x:c r="D783" s="51" t="n">
        <x:v>40876</x:v>
      </x:c>
      <x:c r="E783" s="3" t="str">
        <x:v>Recurrente</x:v>
      </x:c>
      <x:c r="F783" s="13" t="n">
        <x:v>2279.9</x:v>
      </x:c>
      <x:c r="G783" s="13" t="n">
        <x:v>37.65</x:v>
      </x:c>
      <x:c r="H783" s="13" t="n">
        <x:f>F783-G783</x:f>
        <x:v>2242.25</x:v>
      </x:c>
      <x:c r="I783" s="13" t="n">
        <x:f>IF(C783=0,"n.a.",F783/C783)</x:f>
        <x:v>175.37692307692308</x:v>
      </x:c>
      <x:c r="J783" s="3"/>
      <x:c r="K783" s="3"/>
      <x:c r="L783" s="3"/>
    </x:row>
    <x:row r="784" ht="22" customHeight="1">
      <x:c r="A784" s="3"/>
      <x:c r="B784" s="3" t="str">
        <x:v>15665</x:v>
      </x:c>
      <x:c r="C784" s="3" t="n">
        <x:v>2</x:v>
      </x:c>
      <x:c r="D784" s="51" t="n">
        <x:v>40718</x:v>
      </x:c>
      <x:c r="E784" s="3" t="str">
        <x:v>Recurrente</x:v>
      </x:c>
      <x:c r="F784" s="13" t="n">
        <x:v>2242.01</x:v>
      </x:c>
      <x:c r="G784" s="13" t="n">
        <x:v>0</x:v>
      </x:c>
      <x:c r="H784" s="13" t="n">
        <x:f>F784-G784</x:f>
        <x:v>2242.01</x:v>
      </x:c>
      <x:c r="I784" s="13" t="n">
        <x:f>IF(C784=0,"n.a.",F784/C784)</x:f>
        <x:v>1121.005</x:v>
      </x:c>
      <x:c r="J784" s="3"/>
      <x:c r="K784" s="3"/>
      <x:c r="L784" s="3"/>
    </x:row>
    <x:row r="785" ht="22" customHeight="1">
      <x:c r="A785" s="3"/>
      <x:c r="B785" s="3" t="str">
        <x:v>15281</x:v>
      </x:c>
      <x:c r="C785" s="3" t="n">
        <x:v>9</x:v>
      </x:c>
      <x:c r="D785" s="51" t="n">
        <x:v>40828</x:v>
      </x:c>
      <x:c r="E785" s="3" t="str">
        <x:v>Recurrente</x:v>
      </x:c>
      <x:c r="F785" s="13" t="n">
        <x:v>2332.15</x:v>
      </x:c>
      <x:c r="G785" s="13" t="n">
        <x:v>92.2</x:v>
      </x:c>
      <x:c r="H785" s="13" t="n">
        <x:f>F785-G785</x:f>
        <x:v>2239.9500000000003</x:v>
      </x:c>
      <x:c r="I785" s="13" t="n">
        <x:f>IF(C785=0,"n.a.",F785/C785)</x:f>
        <x:v>259.1277777777778</x:v>
      </x:c>
      <x:c r="J785" s="3"/>
      <x:c r="K785" s="3"/>
      <x:c r="L785" s="3"/>
    </x:row>
    <x:row r="786" ht="22" customHeight="1">
      <x:c r="A786" s="3"/>
      <x:c r="B786" s="3" t="str">
        <x:v>17940</x:v>
      </x:c>
      <x:c r="C786" s="3" t="n">
        <x:v>9</x:v>
      </x:c>
      <x:c r="D786" s="51" t="n">
        <x:v>40837</x:v>
      </x:c>
      <x:c r="E786" s="3" t="str">
        <x:v>Recurrente</x:v>
      </x:c>
      <x:c r="F786" s="13" t="n">
        <x:v>2238.58</x:v>
      </x:c>
      <x:c r="G786" s="13" t="n">
        <x:v>0</x:v>
      </x:c>
      <x:c r="H786" s="13" t="n">
        <x:f>F786-G786</x:f>
        <x:v>2238.58</x:v>
      </x:c>
      <x:c r="I786" s="13" t="n">
        <x:f>IF(C786=0,"n.a.",F786/C786)</x:f>
        <x:v>248.7311111111111</x:v>
      </x:c>
      <x:c r="J786" s="3"/>
      <x:c r="K786" s="3"/>
      <x:c r="L786" s="3"/>
    </x:row>
    <x:row r="787" ht="22" customHeight="1">
      <x:c r="A787" s="3"/>
      <x:c r="B787" s="3" t="str">
        <x:v>16293</x:v>
      </x:c>
      <x:c r="C787" s="3" t="n">
        <x:v>10</x:v>
      </x:c>
      <x:c r="D787" s="51" t="n">
        <x:v>40865</x:v>
      </x:c>
      <x:c r="E787" s="3" t="str">
        <x:v>Recurrente</x:v>
      </x:c>
      <x:c r="F787" s="13" t="n">
        <x:v>2248.99</x:v>
      </x:c>
      <x:c r="G787" s="13" t="n">
        <x:v>12.25</x:v>
      </x:c>
      <x:c r="H787" s="13" t="n">
        <x:f>F787-G787</x:f>
        <x:v>2236.74</x:v>
      </x:c>
      <x:c r="I787" s="13" t="n">
        <x:f>IF(C787=0,"n.a.",F787/C787)</x:f>
        <x:v>224.89899999999997</x:v>
      </x:c>
      <x:c r="J787" s="3"/>
      <x:c r="K787" s="3"/>
      <x:c r="L787" s="3"/>
    </x:row>
    <x:row r="788" ht="22" customHeight="1">
      <x:c r="A788" s="3"/>
      <x:c r="B788" s="3" t="str">
        <x:v>14700</x:v>
      </x:c>
      <x:c r="C788" s="3" t="n">
        <x:v>3</x:v>
      </x:c>
      <x:c r="D788" s="51" t="n">
        <x:v>40854</x:v>
      </x:c>
      <x:c r="E788" s="3" t="str">
        <x:v>Recurrente</x:v>
      </x:c>
      <x:c r="F788" s="13" t="n">
        <x:v>2235.3</x:v>
      </x:c>
      <x:c r="G788" s="13" t="n">
        <x:v>0</x:v>
      </x:c>
      <x:c r="H788" s="13" t="n">
        <x:f>F788-G788</x:f>
        <x:v>2235.3</x:v>
      </x:c>
      <x:c r="I788" s="13" t="n">
        <x:f>IF(C788=0,"n.a.",F788/C788)</x:f>
        <x:v>745.1</x:v>
      </x:c>
      <x:c r="J788" s="3"/>
      <x:c r="K788" s="3"/>
      <x:c r="L788" s="3"/>
    </x:row>
    <x:row r="789" ht="22" customHeight="1">
      <x:c r="A789" s="3"/>
      <x:c r="B789" s="3" t="str">
        <x:v>16771</x:v>
      </x:c>
      <x:c r="C789" s="3" t="n">
        <x:v>5</x:v>
      </x:c>
      <x:c r="D789" s="51" t="n">
        <x:v>40853</x:v>
      </x:c>
      <x:c r="E789" s="3" t="str">
        <x:v>Recurrente</x:v>
      </x:c>
      <x:c r="F789" s="13" t="n">
        <x:v>2234.81</x:v>
      </x:c>
      <x:c r="G789" s="13" t="n">
        <x:v>0</x:v>
      </x:c>
      <x:c r="H789" s="13" t="n">
        <x:f>F789-G789</x:f>
        <x:v>2234.81</x:v>
      </x:c>
      <x:c r="I789" s="13" t="n">
        <x:f>IF(C789=0,"n.a.",F789/C789)</x:f>
        <x:v>446.962</x:v>
      </x:c>
      <x:c r="J789" s="3"/>
      <x:c r="K789" s="3"/>
      <x:c r="L789" s="3"/>
    </x:row>
    <x:row r="790" ht="22" customHeight="1">
      <x:c r="A790" s="3"/>
      <x:c r="B790" s="3" t="str">
        <x:v>18242</x:v>
      </x:c>
      <x:c r="C790" s="3" t="n">
        <x:v>4</x:v>
      </x:c>
      <x:c r="D790" s="51" t="n">
        <x:v>40814</x:v>
      </x:c>
      <x:c r="E790" s="3" t="str">
        <x:v>Recurrente</x:v>
      </x:c>
      <x:c r="F790" s="13" t="n">
        <x:v>2232.49</x:v>
      </x:c>
      <x:c r="G790" s="13" t="n">
        <x:v>0</x:v>
      </x:c>
      <x:c r="H790" s="13" t="n">
        <x:f>F790-G790</x:f>
        <x:v>2232.49</x:v>
      </x:c>
      <x:c r="I790" s="13" t="n">
        <x:f>IF(C790=0,"n.a.",F790/C790)</x:f>
        <x:v>558.1225</x:v>
      </x:c>
      <x:c r="J790" s="3"/>
      <x:c r="K790" s="3"/>
      <x:c r="L790" s="3"/>
    </x:row>
    <x:row r="791" ht="22" customHeight="1">
      <x:c r="A791" s="3"/>
      <x:c r="B791" s="3" t="str">
        <x:v>14825</x:v>
      </x:c>
      <x:c r="C791" s="3" t="n">
        <x:v>12</x:v>
      </x:c>
      <x:c r="D791" s="51" t="n">
        <x:v>40883</x:v>
      </x:c>
      <x:c r="E791" s="3" t="str">
        <x:v>Recurrente</x:v>
      </x:c>
      <x:c r="F791" s="13" t="n">
        <x:v>2226.91</x:v>
      </x:c>
      <x:c r="G791" s="13" t="n">
        <x:v>0</x:v>
      </x:c>
      <x:c r="H791" s="13" t="n">
        <x:f>F791-G791</x:f>
        <x:v>2226.91</x:v>
      </x:c>
      <x:c r="I791" s="13" t="n">
        <x:f>IF(C791=0,"n.a.",F791/C791)</x:f>
        <x:v>185.57583333333332</x:v>
      </x:c>
      <x:c r="J791" s="3"/>
      <x:c r="K791" s="3"/>
      <x:c r="L791" s="3"/>
    </x:row>
    <x:row r="792" ht="22" customHeight="1">
      <x:c r="A792" s="3"/>
      <x:c r="B792" s="3" t="str">
        <x:v>12755</x:v>
      </x:c>
      <x:c r="C792" s="3" t="n">
        <x:v>2</x:v>
      </x:c>
      <x:c r="D792" s="51" t="n">
        <x:v>40606</x:v>
      </x:c>
      <x:c r="E792" s="3" t="str">
        <x:v>Recurrente</x:v>
      </x:c>
      <x:c r="F792" s="13" t="n">
        <x:v>3811.95</x:v>
      </x:c>
      <x:c r="G792" s="13" t="n">
        <x:v>1591.2</x:v>
      </x:c>
      <x:c r="H792" s="13" t="n">
        <x:f>F792-G792</x:f>
        <x:v>2220.75</x:v>
      </x:c>
      <x:c r="I792" s="13" t="n">
        <x:f>IF(C792=0,"n.a.",F792/C792)</x:f>
        <x:v>1905.975</x:v>
      </x:c>
      <x:c r="J792" s="3"/>
      <x:c r="K792" s="3"/>
      <x:c r="L792" s="3"/>
    </x:row>
    <x:row r="793" ht="22" customHeight="1">
      <x:c r="A793" s="3"/>
      <x:c r="B793" s="3" t="str">
        <x:v>17591</x:v>
      </x:c>
      <x:c r="C793" s="3" t="n">
        <x:v>7</x:v>
      </x:c>
      <x:c r="D793" s="51" t="n">
        <x:v>40813</x:v>
      </x:c>
      <x:c r="E793" s="3" t="str">
        <x:v>Recurrente</x:v>
      </x:c>
      <x:c r="F793" s="13" t="n">
        <x:v>2225.97</x:v>
      </x:c>
      <x:c r="G793" s="13" t="n">
        <x:v>10.95</x:v>
      </x:c>
      <x:c r="H793" s="13" t="n">
        <x:f>F793-G793</x:f>
        <x:v>2215.02</x:v>
      </x:c>
      <x:c r="I793" s="13" t="n">
        <x:f>IF(C793=0,"n.a.",F793/C793)</x:f>
        <x:v>317.99571428571426</x:v>
      </x:c>
      <x:c r="J793" s="3"/>
      <x:c r="K793" s="3"/>
      <x:c r="L793" s="3"/>
    </x:row>
    <x:row r="794" ht="22" customHeight="1">
      <x:c r="A794" s="3"/>
      <x:c r="B794" s="3" t="str">
        <x:v>12397</x:v>
      </x:c>
      <x:c r="C794" s="3" t="n">
        <x:v>2</x:v>
      </x:c>
      <x:c r="D794" s="51" t="n">
        <x:v>40851</x:v>
      </x:c>
      <x:c r="E794" s="3" t="str">
        <x:v>Recurrente</x:v>
      </x:c>
      <x:c r="F794" s="13" t="n">
        <x:v>2214.9</x:v>
      </x:c>
      <x:c r="G794" s="13" t="n">
        <x:v>0</x:v>
      </x:c>
      <x:c r="H794" s="13" t="n">
        <x:f>F794-G794</x:f>
        <x:v>2214.9</x:v>
      </x:c>
      <x:c r="I794" s="13" t="n">
        <x:f>IF(C794=0,"n.a.",F794/C794)</x:f>
        <x:v>1107.45</x:v>
      </x:c>
      <x:c r="J794" s="3"/>
      <x:c r="K794" s="3"/>
      <x:c r="L794" s="3"/>
    </x:row>
    <x:row r="795" ht="22" customHeight="1">
      <x:c r="A795" s="3"/>
      <x:c r="B795" s="3" t="str">
        <x:v>15373</x:v>
      </x:c>
      <x:c r="C795" s="3" t="n">
        <x:v>12</x:v>
      </x:c>
      <x:c r="D795" s="51" t="n">
        <x:v>40878</x:v>
      </x:c>
      <x:c r="E795" s="3" t="str">
        <x:v>Recurrente</x:v>
      </x:c>
      <x:c r="F795" s="13" t="n">
        <x:v>2415.91</x:v>
      </x:c>
      <x:c r="G795" s="13" t="n">
        <x:v>202.8</x:v>
      </x:c>
      <x:c r="H795" s="13" t="n">
        <x:f>F795-G795</x:f>
        <x:v>2213.1099999999997</x:v>
      </x:c>
      <x:c r="I795" s="13" t="n">
        <x:f>IF(C795=0,"n.a.",F795/C795)</x:f>
        <x:v>201.32583333333332</x:v>
      </x:c>
      <x:c r="J795" s="3"/>
      <x:c r="K795" s="3"/>
      <x:c r="L795" s="3"/>
    </x:row>
    <x:row r="796" ht="22" customHeight="1">
      <x:c r="A796" s="3"/>
      <x:c r="B796" s="3" t="str">
        <x:v>17442</x:v>
      </x:c>
      <x:c r="C796" s="3" t="n">
        <x:v>6</x:v>
      </x:c>
      <x:c r="D796" s="51" t="n">
        <x:v>40850</x:v>
      </x:c>
      <x:c r="E796" s="3" t="str">
        <x:v>Recurrente</x:v>
      </x:c>
      <x:c r="F796" s="13" t="n">
        <x:v>2248.56</x:v>
      </x:c>
      <x:c r="G796" s="13" t="n">
        <x:v>38.3</x:v>
      </x:c>
      <x:c r="H796" s="13" t="n">
        <x:f>F796-G796</x:f>
        <x:v>2210.2599999999998</x:v>
      </x:c>
      <x:c r="I796" s="13" t="n">
        <x:f>IF(C796=0,"n.a.",F796/C796)</x:f>
        <x:v>374.76</x:v>
      </x:c>
      <x:c r="J796" s="3"/>
      <x:c r="K796" s="3"/>
      <x:c r="L796" s="3"/>
    </x:row>
    <x:row r="797" ht="22" customHeight="1">
      <x:c r="A797" s="3"/>
      <x:c r="B797" s="3" t="str">
        <x:v>12653</x:v>
      </x:c>
      <x:c r="C797" s="3" t="n">
        <x:v>2</x:v>
      </x:c>
      <x:c r="D797" s="51" t="n">
        <x:v>40738</x:v>
      </x:c>
      <x:c r="E797" s="3" t="str">
        <x:v>Recurrente</x:v>
      </x:c>
      <x:c r="F797" s="13" t="n">
        <x:v>2209.85</x:v>
      </x:c>
      <x:c r="G797" s="13" t="n">
        <x:v>0</x:v>
      </x:c>
      <x:c r="H797" s="13" t="n">
        <x:f>F797-G797</x:f>
        <x:v>2209.85</x:v>
      </x:c>
      <x:c r="I797" s="13" t="n">
        <x:f>IF(C797=0,"n.a.",F797/C797)</x:f>
        <x:v>1104.925</x:v>
      </x:c>
      <x:c r="J797" s="3"/>
      <x:c r="K797" s="3"/>
      <x:c r="L797" s="3"/>
    </x:row>
    <x:row r="798" ht="22" customHeight="1">
      <x:c r="A798" s="3"/>
      <x:c r="B798" s="3" t="str">
        <x:v>14211</x:v>
      </x:c>
      <x:c r="C798" s="3" t="n">
        <x:v>9</x:v>
      </x:c>
      <x:c r="D798" s="51" t="n">
        <x:v>40833</x:v>
      </x:c>
      <x:c r="E798" s="3" t="str">
        <x:v>Recurrente</x:v>
      </x:c>
      <x:c r="F798" s="13" t="n">
        <x:v>2241.1</x:v>
      </x:c>
      <x:c r="G798" s="13" t="n">
        <x:v>32.8</x:v>
      </x:c>
      <x:c r="H798" s="13" t="n">
        <x:f>F798-G798</x:f>
        <x:v>2208.2999999999997</x:v>
      </x:c>
      <x:c r="I798" s="13" t="n">
        <x:f>IF(C798=0,"n.a.",F798/C798)</x:f>
        <x:v>249.0111111111111</x:v>
      </x:c>
      <x:c r="J798" s="3"/>
      <x:c r="K798" s="3"/>
      <x:c r="L798" s="3"/>
    </x:row>
    <x:row r="799" ht="22" customHeight="1">
      <x:c r="A799" s="3"/>
      <x:c r="B799" s="3" t="str">
        <x:v>13115</x:v>
      </x:c>
      <x:c r="C799" s="3" t="n">
        <x:v>4</x:v>
      </x:c>
      <x:c r="D799" s="51" t="n">
        <x:v>40875</x:v>
      </x:c>
      <x:c r="E799" s="3" t="str">
        <x:v>Recurrente</x:v>
      </x:c>
      <x:c r="F799" s="13" t="n">
        <x:v>2294.78</x:v>
      </x:c>
      <x:c r="G799" s="13" t="n">
        <x:v>89.15</x:v>
      </x:c>
      <x:c r="H799" s="13" t="n">
        <x:f>F799-G799</x:f>
        <x:v>2205.63</x:v>
      </x:c>
      <x:c r="I799" s="13" t="n">
        <x:f>IF(C799=0,"n.a.",F799/C799)</x:f>
        <x:v>573.695</x:v>
      </x:c>
      <x:c r="J799" s="3"/>
      <x:c r="K799" s="3"/>
      <x:c r="L799" s="3"/>
    </x:row>
    <x:row r="800" ht="22" customHeight="1">
      <x:c r="A800" s="3"/>
      <x:c r="B800" s="3" t="str">
        <x:v>13831</x:v>
      </x:c>
      <x:c r="C800" s="3" t="n">
        <x:v>6</x:v>
      </x:c>
      <x:c r="D800" s="51" t="n">
        <x:v>40870</x:v>
      </x:c>
      <x:c r="E800" s="3" t="str">
        <x:v>Recurrente</x:v>
      </x:c>
      <x:c r="F800" s="13" t="n">
        <x:v>2202.99</x:v>
      </x:c>
      <x:c r="G800" s="13" t="n">
        <x:v>0</x:v>
      </x:c>
      <x:c r="H800" s="13" t="n">
        <x:f>F800-G800</x:f>
        <x:v>2202.99</x:v>
      </x:c>
      <x:c r="I800" s="13" t="n">
        <x:f>IF(C800=0,"n.a.",F800/C800)</x:f>
        <x:v>367.16499999999996</x:v>
      </x:c>
      <x:c r="J800" s="3"/>
      <x:c r="K800" s="3"/>
      <x:c r="L800" s="3"/>
    </x:row>
    <x:row r="801" ht="22" customHeight="1">
      <x:c r="A801" s="3"/>
      <x:c r="B801" s="3" t="str">
        <x:v>13680</x:v>
      </x:c>
      <x:c r="C801" s="3" t="n">
        <x:v>4</x:v>
      </x:c>
      <x:c r="D801" s="51" t="n">
        <x:v>40885</x:v>
      </x:c>
      <x:c r="E801" s="3" t="str">
        <x:v>Recurrente</x:v>
      </x:c>
      <x:c r="F801" s="13" t="n">
        <x:v>3722.42</x:v>
      </x:c>
      <x:c r="G801" s="13" t="n">
        <x:v>1520.11</x:v>
      </x:c>
      <x:c r="H801" s="13" t="n">
        <x:f>F801-G801</x:f>
        <x:v>2202.3100000000004</x:v>
      </x:c>
      <x:c r="I801" s="13" t="n">
        <x:f>IF(C801=0,"n.a.",F801/C801)</x:f>
        <x:v>930.605</x:v>
      </x:c>
      <x:c r="J801" s="3"/>
      <x:c r="K801" s="3"/>
      <x:c r="L801" s="3"/>
    </x:row>
    <x:row r="802" ht="22" customHeight="1">
      <x:c r="A802" s="3"/>
      <x:c r="B802" s="3" t="str">
        <x:v>14226</x:v>
      </x:c>
      <x:c r="C802" s="3" t="n">
        <x:v>5</x:v>
      </x:c>
      <x:c r="D802" s="51" t="n">
        <x:v>40858</x:v>
      </x:c>
      <x:c r="E802" s="3" t="str">
        <x:v>Recurrente</x:v>
      </x:c>
      <x:c r="F802" s="13" t="n">
        <x:v>2232.19</x:v>
      </x:c>
      <x:c r="G802" s="13" t="n">
        <x:v>30.55</x:v>
      </x:c>
      <x:c r="H802" s="13" t="n">
        <x:f>F802-G802</x:f>
        <x:v>2201.64</x:v>
      </x:c>
      <x:c r="I802" s="13" t="n">
        <x:f>IF(C802=0,"n.a.",F802/C802)</x:f>
        <x:v>446.438</x:v>
      </x:c>
      <x:c r="J802" s="3"/>
      <x:c r="K802" s="3"/>
      <x:c r="L802" s="3"/>
    </x:row>
    <x:row r="803" ht="22" customHeight="1">
      <x:c r="A803" s="3"/>
      <x:c r="B803" s="3" t="str">
        <x:v>17696</x:v>
      </x:c>
      <x:c r="C803" s="3" t="n">
        <x:v>8</x:v>
      </x:c>
      <x:c r="D803" s="51" t="n">
        <x:v>40848</x:v>
      </x:c>
      <x:c r="E803" s="3" t="str">
        <x:v>Recurrente</x:v>
      </x:c>
      <x:c r="F803" s="13" t="n">
        <x:v>2285.71</x:v>
      </x:c>
      <x:c r="G803" s="13" t="n">
        <x:v>84.66</x:v>
      </x:c>
      <x:c r="H803" s="13" t="n">
        <x:f>F803-G803</x:f>
        <x:v>2201.05</x:v>
      </x:c>
      <x:c r="I803" s="13" t="n">
        <x:f>IF(C803=0,"n.a.",F803/C803)</x:f>
        <x:v>285.71375</x:v>
      </x:c>
      <x:c r="J803" s="3"/>
      <x:c r="K803" s="3"/>
      <x:c r="L803" s="3"/>
    </x:row>
    <x:row r="804" ht="22" customHeight="1">
      <x:c r="A804" s="3"/>
      <x:c r="B804" s="3" t="str">
        <x:v>15123</x:v>
      </x:c>
      <x:c r="C804" s="3" t="n">
        <x:v>2</x:v>
      </x:c>
      <x:c r="D804" s="51" t="n">
        <x:v>40879</x:v>
      </x:c>
      <x:c r="E804" s="3" t="str">
        <x:v>Recurrente</x:v>
      </x:c>
      <x:c r="F804" s="13" t="n">
        <x:v>2199.31</x:v>
      </x:c>
      <x:c r="G804" s="13" t="n">
        <x:v>0</x:v>
      </x:c>
      <x:c r="H804" s="13" t="n">
        <x:f>F804-G804</x:f>
        <x:v>2199.31</x:v>
      </x:c>
      <x:c r="I804" s="13" t="n">
        <x:f>IF(C804=0,"n.a.",F804/C804)</x:f>
        <x:v>1099.655</x:v>
      </x:c>
      <x:c r="J804" s="3"/>
      <x:c r="K804" s="3"/>
      <x:c r="L804" s="3"/>
    </x:row>
    <x:row r="805" ht="22" customHeight="1">
      <x:c r="A805" s="3"/>
      <x:c r="B805" s="3" t="str">
        <x:v>14776</x:v>
      </x:c>
      <x:c r="C805" s="3" t="n">
        <x:v>11</x:v>
      </x:c>
      <x:c r="D805" s="51" t="n">
        <x:v>40835</x:v>
      </x:c>
      <x:c r="E805" s="3" t="str">
        <x:v>Recurrente</x:v>
      </x:c>
      <x:c r="F805" s="13" t="n">
        <x:v>2538.3</x:v>
      </x:c>
      <x:c r="G805" s="13" t="n">
        <x:v>342.72</x:v>
      </x:c>
      <x:c r="H805" s="13" t="n">
        <x:f>F805-G805</x:f>
        <x:v>2195.58</x:v>
      </x:c>
      <x:c r="I805" s="13" t="n">
        <x:f>IF(C805=0,"n.a.",F805/C805)</x:f>
        <x:v>230.75454545454548</x:v>
      </x:c>
      <x:c r="J805" s="3"/>
      <x:c r="K805" s="3"/>
      <x:c r="L805" s="3"/>
    </x:row>
    <x:row r="806" ht="22" customHeight="1">
      <x:c r="A806" s="3"/>
      <x:c r="B806" s="3" t="str">
        <x:v>15797</x:v>
      </x:c>
      <x:c r="C806" s="3" t="n">
        <x:v>3</x:v>
      </x:c>
      <x:c r="D806" s="51" t="n">
        <x:v>40773</x:v>
      </x:c>
      <x:c r="E806" s="3" t="str">
        <x:v>Recurrente</x:v>
      </x:c>
      <x:c r="F806" s="13" t="n">
        <x:v>2192.4</x:v>
      </x:c>
      <x:c r="G806" s="13" t="n">
        <x:v>0</x:v>
      </x:c>
      <x:c r="H806" s="13" t="n">
        <x:f>F806-G806</x:f>
        <x:v>2192.4</x:v>
      </x:c>
      <x:c r="I806" s="13" t="n">
        <x:f>IF(C806=0,"n.a.",F806/C806)</x:f>
        <x:v>730.8000000000001</x:v>
      </x:c>
      <x:c r="J806" s="3"/>
      <x:c r="K806" s="3"/>
      <x:c r="L806" s="3"/>
    </x:row>
    <x:row r="807" ht="22" customHeight="1">
      <x:c r="A807" s="3"/>
      <x:c r="B807" s="3" t="str">
        <x:v>16743</x:v>
      </x:c>
      <x:c r="C807" s="3" t="n">
        <x:v>7</x:v>
      </x:c>
      <x:c r="D807" s="51" t="n">
        <x:v>40857</x:v>
      </x:c>
      <x:c r="E807" s="3" t="str">
        <x:v>Recurrente</x:v>
      </x:c>
      <x:c r="F807" s="13" t="n">
        <x:v>2238.09</x:v>
      </x:c>
      <x:c r="G807" s="13" t="n">
        <x:v>46.25</x:v>
      </x:c>
      <x:c r="H807" s="13" t="n">
        <x:f>F807-G807</x:f>
        <x:v>2191.84</x:v>
      </x:c>
      <x:c r="I807" s="13" t="n">
        <x:f>IF(C807=0,"n.a.",F807/C807)</x:f>
        <x:v>319.7271428571429</x:v>
      </x:c>
      <x:c r="J807" s="3"/>
      <x:c r="K807" s="3"/>
      <x:c r="L807" s="3"/>
    </x:row>
    <x:row r="808" ht="22" customHeight="1">
      <x:c r="A808" s="3"/>
      <x:c r="B808" s="3" t="str">
        <x:v>13365</x:v>
      </x:c>
      <x:c r="C808" s="3" t="n">
        <x:v>2</x:v>
      </x:c>
      <x:c r="D808" s="51" t="n">
        <x:v>40853</x:v>
      </x:c>
      <x:c r="E808" s="3" t="str">
        <x:v>Recurrente</x:v>
      </x:c>
      <x:c r="F808" s="13" t="n">
        <x:v>2225.37</x:v>
      </x:c>
      <x:c r="G808" s="13" t="n">
        <x:v>34.15</x:v>
      </x:c>
      <x:c r="H808" s="13" t="n">
        <x:f>F808-G808</x:f>
        <x:v>2191.22</x:v>
      </x:c>
      <x:c r="I808" s="13" t="n">
        <x:f>IF(C808=0,"n.a.",F808/C808)</x:f>
        <x:v>1112.685</x:v>
      </x:c>
      <x:c r="J808" s="3"/>
      <x:c r="K808" s="3"/>
      <x:c r="L808" s="3"/>
    </x:row>
    <x:row r="809" ht="22" customHeight="1">
      <x:c r="A809" s="3"/>
      <x:c r="B809" s="3" t="str">
        <x:v>13862</x:v>
      </x:c>
      <x:c r="C809" s="3" t="n">
        <x:v>8</x:v>
      </x:c>
      <x:c r="D809" s="51" t="n">
        <x:v>40868</x:v>
      </x:c>
      <x:c r="E809" s="3" t="str">
        <x:v>Recurrente</x:v>
      </x:c>
      <x:c r="F809" s="13" t="n">
        <x:v>2209.36</x:v>
      </x:c>
      <x:c r="G809" s="13" t="n">
        <x:v>22.05</x:v>
      </x:c>
      <x:c r="H809" s="13" t="n">
        <x:f>F809-G809</x:f>
        <x:v>2187.31</x:v>
      </x:c>
      <x:c r="I809" s="13" t="n">
        <x:f>IF(C809=0,"n.a.",F809/C809)</x:f>
        <x:v>276.17</x:v>
      </x:c>
      <x:c r="J809" s="3"/>
      <x:c r="K809" s="3"/>
      <x:c r="L809" s="3"/>
    </x:row>
    <x:row r="810" ht="22" customHeight="1">
      <x:c r="A810" s="3"/>
      <x:c r="B810" s="3" t="str">
        <x:v>15179</x:v>
      </x:c>
      <x:c r="C810" s="3" t="n">
        <x:v>5</x:v>
      </x:c>
      <x:c r="D810" s="51" t="n">
        <x:v>40868</x:v>
      </x:c>
      <x:c r="E810" s="3" t="str">
        <x:v>Recurrente</x:v>
      </x:c>
      <x:c r="F810" s="13" t="n">
        <x:v>2206.95</x:v>
      </x:c>
      <x:c r="G810" s="13" t="n">
        <x:v>20.75</x:v>
      </x:c>
      <x:c r="H810" s="13" t="n">
        <x:f>F810-G810</x:f>
        <x:v>2186.2</x:v>
      </x:c>
      <x:c r="I810" s="13" t="n">
        <x:f>IF(C810=0,"n.a.",F810/C810)</x:f>
        <x:v>441.39</x:v>
      </x:c>
      <x:c r="J810" s="3"/>
      <x:c r="K810" s="3"/>
      <x:c r="L810" s="3"/>
    </x:row>
    <x:row r="811" ht="22" customHeight="1">
      <x:c r="A811" s="3"/>
      <x:c r="B811" s="3" t="str">
        <x:v>15394</x:v>
      </x:c>
      <x:c r="C811" s="3" t="n">
        <x:v>4</x:v>
      </x:c>
      <x:c r="D811" s="51" t="n">
        <x:v>40877</x:v>
      </x:c>
      <x:c r="E811" s="3" t="str">
        <x:v>Recurrente</x:v>
      </x:c>
      <x:c r="F811" s="13" t="n">
        <x:v>2183.54</x:v>
      </x:c>
      <x:c r="G811" s="13" t="n">
        <x:v>0</x:v>
      </x:c>
      <x:c r="H811" s="13" t="n">
        <x:f>F811-G811</x:f>
        <x:v>2183.54</x:v>
      </x:c>
      <x:c r="I811" s="13" t="n">
        <x:f>IF(C811=0,"n.a.",F811/C811)</x:f>
        <x:v>545.885</x:v>
      </x:c>
      <x:c r="J811" s="3"/>
      <x:c r="K811" s="3"/>
      <x:c r="L811" s="3"/>
    </x:row>
    <x:row r="812" ht="22" customHeight="1">
      <x:c r="A812" s="3"/>
      <x:c r="B812" s="3" t="str">
        <x:v>16628</x:v>
      </x:c>
      <x:c r="C812" s="3" t="n">
        <x:v>5</x:v>
      </x:c>
      <x:c r="D812" s="51" t="n">
        <x:v>40857</x:v>
      </x:c>
      <x:c r="E812" s="3" t="str">
        <x:v>Recurrente</x:v>
      </x:c>
      <x:c r="F812" s="13" t="n">
        <x:v>2188.05</x:v>
      </x:c>
      <x:c r="G812" s="13" t="n">
        <x:v>5.01</x:v>
      </x:c>
      <x:c r="H812" s="13" t="n">
        <x:f>F812-G812</x:f>
        <x:v>2183.04</x:v>
      </x:c>
      <x:c r="I812" s="13" t="n">
        <x:f>IF(C812=0,"n.a.",F812/C812)</x:f>
        <x:v>437.61</x:v>
      </x:c>
      <x:c r="J812" s="3"/>
      <x:c r="K812" s="3"/>
      <x:c r="L812" s="3"/>
    </x:row>
    <x:row r="813" ht="22" customHeight="1">
      <x:c r="A813" s="3"/>
      <x:c r="B813" s="3" t="str">
        <x:v>15722</x:v>
      </x:c>
      <x:c r="C813" s="3" t="n">
        <x:v>5</x:v>
      </x:c>
      <x:c r="D813" s="51" t="n">
        <x:v>40851</x:v>
      </x:c>
      <x:c r="E813" s="3" t="str">
        <x:v>Recurrente</x:v>
      </x:c>
      <x:c r="F813" s="13" t="n">
        <x:v>2222.56</x:v>
      </x:c>
      <x:c r="G813" s="13" t="n">
        <x:v>41.35</x:v>
      </x:c>
      <x:c r="H813" s="13" t="n">
        <x:f>F813-G813</x:f>
        <x:v>2181.21</x:v>
      </x:c>
      <x:c r="I813" s="13" t="n">
        <x:f>IF(C813=0,"n.a.",F813/C813)</x:f>
        <x:v>444.512</x:v>
      </x:c>
      <x:c r="J813" s="3"/>
      <x:c r="K813" s="3"/>
      <x:c r="L813" s="3"/>
    </x:row>
    <x:row r="814" ht="22" customHeight="1">
      <x:c r="A814" s="3"/>
      <x:c r="B814" s="3" t="str">
        <x:v>14560</x:v>
      </x:c>
      <x:c r="C814" s="3" t="n">
        <x:v>22</x:v>
      </x:c>
      <x:c r="D814" s="51" t="n">
        <x:v>40879</x:v>
      </x:c>
      <x:c r="E814" s="3" t="str">
        <x:v>Recurrente</x:v>
      </x:c>
      <x:c r="F814" s="13" t="n">
        <x:v>2237.77</x:v>
      </x:c>
      <x:c r="G814" s="13" t="n">
        <x:v>63.59</x:v>
      </x:c>
      <x:c r="H814" s="13" t="n">
        <x:f>F814-G814</x:f>
        <x:v>2174.18</x:v>
      </x:c>
      <x:c r="I814" s="13" t="n">
        <x:f>IF(C814=0,"n.a.",F814/C814)</x:f>
        <x:v>101.71681818181818</x:v>
      </x:c>
      <x:c r="J814" s="3"/>
      <x:c r="K814" s="3"/>
      <x:c r="L814" s="3"/>
    </x:row>
    <x:row r="815" ht="22" customHeight="1">
      <x:c r="A815" s="3"/>
      <x:c r="B815" s="3" t="str">
        <x:v>16076</x:v>
      </x:c>
      <x:c r="C815" s="3" t="n">
        <x:v>10</x:v>
      </x:c>
      <x:c r="D815" s="51" t="n">
        <x:v>40883</x:v>
      </x:c>
      <x:c r="E815" s="3" t="str">
        <x:v>Recurrente</x:v>
      </x:c>
      <x:c r="F815" s="13" t="n">
        <x:v>2234.73</x:v>
      </x:c>
      <x:c r="G815" s="13" t="n">
        <x:v>61.2</x:v>
      </x:c>
      <x:c r="H815" s="13" t="n">
        <x:f>F815-G815</x:f>
        <x:v>2173.53</x:v>
      </x:c>
      <x:c r="I815" s="13" t="n">
        <x:f>IF(C815=0,"n.a.",F815/C815)</x:f>
        <x:v>223.473</x:v>
      </x:c>
      <x:c r="J815" s="3"/>
      <x:c r="K815" s="3"/>
      <x:c r="L815" s="3"/>
    </x:row>
    <x:row r="816" ht="22" customHeight="1">
      <x:c r="A816" s="3"/>
      <x:c r="B816" s="3" t="str">
        <x:v>15811</x:v>
      </x:c>
      <x:c r="C816" s="3" t="n">
        <x:v>6</x:v>
      </x:c>
      <x:c r="D816" s="51" t="n">
        <x:v>40864</x:v>
      </x:c>
      <x:c r="E816" s="3" t="str">
        <x:v>Recurrente</x:v>
      </x:c>
      <x:c r="F816" s="13" t="n">
        <x:v>2218.62</x:v>
      </x:c>
      <x:c r="G816" s="13" t="n">
        <x:v>47.3</x:v>
      </x:c>
      <x:c r="H816" s="13" t="n">
        <x:f>F816-G816</x:f>
        <x:v>2171.3199999999997</x:v>
      </x:c>
      <x:c r="I816" s="13" t="n">
        <x:f>IF(C816=0,"n.a.",F816/C816)</x:f>
        <x:v>369.77</x:v>
      </x:c>
      <x:c r="J816" s="3"/>
      <x:c r="K816" s="3"/>
      <x:c r="L816" s="3"/>
    </x:row>
    <x:row r="817" ht="22" customHeight="1">
      <x:c r="A817" s="3"/>
      <x:c r="B817" s="3" t="str">
        <x:v>14341</x:v>
      </x:c>
      <x:c r="C817" s="3" t="n">
        <x:v>8</x:v>
      </x:c>
      <x:c r="D817" s="51" t="n">
        <x:v>40841</x:v>
      </x:c>
      <x:c r="E817" s="3" t="str">
        <x:v>Recurrente</x:v>
      </x:c>
      <x:c r="F817" s="13" t="n">
        <x:v>2182.28</x:v>
      </x:c>
      <x:c r="G817" s="13" t="n">
        <x:v>15.9</x:v>
      </x:c>
      <x:c r="H817" s="13" t="n">
        <x:f>F817-G817</x:f>
        <x:v>2166.38</x:v>
      </x:c>
      <x:c r="I817" s="13" t="n">
        <x:f>IF(C817=0,"n.a.",F817/C817)</x:f>
        <x:v>272.785</x:v>
      </x:c>
      <x:c r="J817" s="3"/>
      <x:c r="K817" s="3"/>
      <x:c r="L817" s="3"/>
    </x:row>
    <x:row r="818" ht="22" customHeight="1">
      <x:c r="A818" s="3"/>
      <x:c r="B818" s="3" t="str">
        <x:v>12856</x:v>
      </x:c>
      <x:c r="C818" s="3" t="n">
        <x:v>6</x:v>
      </x:c>
      <x:c r="D818" s="51" t="n">
        <x:v>40879</x:v>
      </x:c>
      <x:c r="E818" s="3" t="str">
        <x:v>Recurrente</x:v>
      </x:c>
      <x:c r="F818" s="13" t="n">
        <x:v>2179.93</x:v>
      </x:c>
      <x:c r="G818" s="13" t="n">
        <x:v>17.25</x:v>
      </x:c>
      <x:c r="H818" s="13" t="n">
        <x:f>F818-G818</x:f>
        <x:v>2162.68</x:v>
      </x:c>
      <x:c r="I818" s="13" t="n">
        <x:f>IF(C818=0,"n.a.",F818/C818)</x:f>
        <x:v>363.32166666666666</x:v>
      </x:c>
      <x:c r="J818" s="3"/>
      <x:c r="K818" s="3"/>
      <x:c r="L818" s="3"/>
    </x:row>
    <x:row r="819" ht="22" customHeight="1">
      <x:c r="A819" s="3"/>
      <x:c r="B819" s="3" t="str">
        <x:v>16456</x:v>
      </x:c>
      <x:c r="C819" s="3" t="n">
        <x:v>5</x:v>
      </x:c>
      <x:c r="D819" s="51" t="n">
        <x:v>40787</x:v>
      </x:c>
      <x:c r="E819" s="3" t="str">
        <x:v>Recurrente</x:v>
      </x:c>
      <x:c r="F819" s="13" t="n">
        <x:v>2158.37</x:v>
      </x:c>
      <x:c r="G819" s="13" t="n">
        <x:v>0</x:v>
      </x:c>
      <x:c r="H819" s="13" t="n">
        <x:f>F819-G819</x:f>
        <x:v>2158.37</x:v>
      </x:c>
      <x:c r="I819" s="13" t="n">
        <x:f>IF(C819=0,"n.a.",F819/C819)</x:f>
        <x:v>431.674</x:v>
      </x:c>
      <x:c r="J819" s="3"/>
      <x:c r="K819" s="3"/>
      <x:c r="L819" s="3"/>
    </x:row>
    <x:row r="820" ht="22" customHeight="1">
      <x:c r="A820" s="3"/>
      <x:c r="B820" s="3" t="str">
        <x:v>12935</x:v>
      </x:c>
      <x:c r="C820" s="3" t="n">
        <x:v>7</x:v>
      </x:c>
      <x:c r="D820" s="51" t="n">
        <x:v>40884</x:v>
      </x:c>
      <x:c r="E820" s="3" t="str">
        <x:v>Recurrente</x:v>
      </x:c>
      <x:c r="F820" s="13" t="n">
        <x:v>2160.7</x:v>
      </x:c>
      <x:c r="G820" s="13" t="n">
        <x:v>4.25</x:v>
      </x:c>
      <x:c r="H820" s="13" t="n">
        <x:f>F820-G820</x:f>
        <x:v>2156.45</x:v>
      </x:c>
      <x:c r="I820" s="13" t="n">
        <x:f>IF(C820=0,"n.a.",F820/C820)</x:f>
        <x:v>308.6714285714285</x:v>
      </x:c>
      <x:c r="J820" s="3"/>
      <x:c r="K820" s="3"/>
      <x:c r="L820" s="3"/>
    </x:row>
    <x:row r="821" ht="22" customHeight="1">
      <x:c r="A821" s="3"/>
      <x:c r="B821" s="3" t="str">
        <x:v>13755</x:v>
      </x:c>
      <x:c r="C821" s="3" t="n">
        <x:v>9</x:v>
      </x:c>
      <x:c r="D821" s="51" t="n">
        <x:v>40883</x:v>
      </x:c>
      <x:c r="E821" s="3" t="str">
        <x:v>Recurrente</x:v>
      </x:c>
      <x:c r="F821" s="13" t="n">
        <x:v>2161.35</x:v>
      </x:c>
      <x:c r="G821" s="13" t="n">
        <x:v>6.67</x:v>
      </x:c>
      <x:c r="H821" s="13" t="n">
        <x:f>F821-G821</x:f>
        <x:v>2154.68</x:v>
      </x:c>
      <x:c r="I821" s="13" t="n">
        <x:f>IF(C821=0,"n.a.",F821/C821)</x:f>
        <x:v>240.14999999999998</x:v>
      </x:c>
      <x:c r="J821" s="3"/>
      <x:c r="K821" s="3"/>
      <x:c r="L821" s="3"/>
    </x:row>
    <x:row r="822" ht="22" customHeight="1">
      <x:c r="A822" s="3"/>
      <x:c r="B822" s="3" t="str">
        <x:v>16966</x:v>
      </x:c>
      <x:c r="C822" s="3" t="n">
        <x:v>7</x:v>
      </x:c>
      <x:c r="D822" s="51" t="n">
        <x:v>40878</x:v>
      </x:c>
      <x:c r="E822" s="3" t="str">
        <x:v>Recurrente</x:v>
      </x:c>
      <x:c r="F822" s="13" t="n">
        <x:v>2154.97</x:v>
      </x:c>
      <x:c r="G822" s="13" t="n">
        <x:v>6</x:v>
      </x:c>
      <x:c r="H822" s="13" t="n">
        <x:f>F822-G822</x:f>
        <x:v>2148.97</x:v>
      </x:c>
      <x:c r="I822" s="13" t="n">
        <x:f>IF(C822=0,"n.a.",F822/C822)</x:f>
        <x:v>307.8528571428571</x:v>
      </x:c>
      <x:c r="J822" s="3"/>
      <x:c r="K822" s="3"/>
      <x:c r="L822" s="3"/>
    </x:row>
    <x:row r="823" ht="22" customHeight="1">
      <x:c r="A823" s="3"/>
      <x:c r="B823" s="3" t="str">
        <x:v>13224</x:v>
      </x:c>
      <x:c r="C823" s="3" t="n">
        <x:v>2</x:v>
      </x:c>
      <x:c r="D823" s="51" t="n">
        <x:v>40826</x:v>
      </x:c>
      <x:c r="E823" s="3" t="str">
        <x:v>Recurrente</x:v>
      </x:c>
      <x:c r="F823" s="13" t="n">
        <x:v>2152.95</x:v>
      </x:c>
      <x:c r="G823" s="13" t="n">
        <x:v>5.1</x:v>
      </x:c>
      <x:c r="H823" s="13" t="n">
        <x:f>F823-G823</x:f>
        <x:v>2147.85</x:v>
      </x:c>
      <x:c r="I823" s="13" t="n">
        <x:f>IF(C823=0,"n.a.",F823/C823)</x:f>
        <x:v>1076.475</x:v>
      </x:c>
      <x:c r="J823" s="3"/>
      <x:c r="K823" s="3"/>
      <x:c r="L823" s="3"/>
    </x:row>
    <x:row r="824" ht="22" customHeight="1">
      <x:c r="A824" s="3"/>
      <x:c r="B824" s="3" t="str">
        <x:v>17272</x:v>
      </x:c>
      <x:c r="C824" s="3" t="n">
        <x:v>4</x:v>
      </x:c>
      <x:c r="D824" s="51" t="n">
        <x:v>40844</x:v>
      </x:c>
      <x:c r="E824" s="3" t="str">
        <x:v>Recurrente</x:v>
      </x:c>
      <x:c r="F824" s="13" t="n">
        <x:v>2148.63</x:v>
      </x:c>
      <x:c r="G824" s="13" t="n">
        <x:v>4.1</x:v>
      </x:c>
      <x:c r="H824" s="13" t="n">
        <x:f>F824-G824</x:f>
        <x:v>2144.53</x:v>
      </x:c>
      <x:c r="I824" s="13" t="n">
        <x:f>IF(C824=0,"n.a.",F824/C824)</x:f>
        <x:v>537.1575</x:v>
      </x:c>
      <x:c r="J824" s="3"/>
      <x:c r="K824" s="3"/>
      <x:c r="L824" s="3"/>
    </x:row>
    <x:row r="825" ht="22" customHeight="1">
      <x:c r="A825" s="3"/>
      <x:c r="B825" s="3" t="str">
        <x:v>16057</x:v>
      </x:c>
      <x:c r="C825" s="3" t="n">
        <x:v>7</x:v>
      </x:c>
      <x:c r="D825" s="51" t="n">
        <x:v>40870</x:v>
      </x:c>
      <x:c r="E825" s="3" t="str">
        <x:v>Recurrente</x:v>
      </x:c>
      <x:c r="F825" s="13" t="n">
        <x:v>2263.12</x:v>
      </x:c>
      <x:c r="G825" s="13" t="n">
        <x:v>122.9</x:v>
      </x:c>
      <x:c r="H825" s="13" t="n">
        <x:f>F825-G825</x:f>
        <x:v>2140.22</x:v>
      </x:c>
      <x:c r="I825" s="13" t="n">
        <x:f>IF(C825=0,"n.a.",F825/C825)</x:f>
        <x:v>323.30285714285714</x:v>
      </x:c>
      <x:c r="J825" s="3"/>
      <x:c r="K825" s="3"/>
      <x:c r="L825" s="3"/>
    </x:row>
    <x:row r="826" ht="22" customHeight="1">
      <x:c r="A826" s="3"/>
      <x:c r="B826" s="3" t="str">
        <x:v>13317</x:v>
      </x:c>
      <x:c r="C826" s="3" t="n">
        <x:v>6</x:v>
      </x:c>
      <x:c r="D826" s="51" t="n">
        <x:v>40820</x:v>
      </x:c>
      <x:c r="E826" s="3" t="str">
        <x:v>Recurrente</x:v>
      </x:c>
      <x:c r="F826" s="13" t="n">
        <x:v>2273.68</x:v>
      </x:c>
      <x:c r="G826" s="13" t="n">
        <x:v>133.61</x:v>
      </x:c>
      <x:c r="H826" s="13" t="n">
        <x:f>F826-G826</x:f>
        <x:v>2140.0699999999997</x:v>
      </x:c>
      <x:c r="I826" s="13" t="n">
        <x:f>IF(C826=0,"n.a.",F826/C826)</x:f>
        <x:v>378.94666666666666</x:v>
      </x:c>
      <x:c r="J826" s="3"/>
      <x:c r="K826" s="3"/>
      <x:c r="L826" s="3"/>
    </x:row>
    <x:row r="827" ht="22" customHeight="1">
      <x:c r="A827" s="3"/>
      <x:c r="B827" s="3" t="str">
        <x:v>14828</x:v>
      </x:c>
      <x:c r="C827" s="3" t="n">
        <x:v>3</x:v>
      </x:c>
      <x:c r="D827" s="51" t="n">
        <x:v>40690</x:v>
      </x:c>
      <x:c r="E827" s="3" t="str">
        <x:v>Recurrente</x:v>
      </x:c>
      <x:c r="F827" s="13" t="n">
        <x:v>2139.76</x:v>
      </x:c>
      <x:c r="G827" s="13" t="n">
        <x:v>0</x:v>
      </x:c>
      <x:c r="H827" s="13" t="n">
        <x:f>F827-G827</x:f>
        <x:v>2139.76</x:v>
      </x:c>
      <x:c r="I827" s="13" t="n">
        <x:f>IF(C827=0,"n.a.",F827/C827)</x:f>
        <x:v>713.2533333333334</x:v>
      </x:c>
      <x:c r="J827" s="3"/>
      <x:c r="K827" s="3"/>
      <x:c r="L827" s="3"/>
    </x:row>
    <x:row r="828" ht="22" customHeight="1">
      <x:c r="A828" s="3"/>
      <x:c r="B828" s="3" t="str">
        <x:v>16379</x:v>
      </x:c>
      <x:c r="C828" s="3" t="n">
        <x:v>4</x:v>
      </x:c>
      <x:c r="D828" s="51" t="n">
        <x:v>40882</x:v>
      </x:c>
      <x:c r="E828" s="3" t="str">
        <x:v>Recurrente</x:v>
      </x:c>
      <x:c r="F828" s="13" t="n">
        <x:v>2157.4</x:v>
      </x:c>
      <x:c r="G828" s="13" t="n">
        <x:v>25.5</x:v>
      </x:c>
      <x:c r="H828" s="13" t="n">
        <x:f>F828-G828</x:f>
        <x:v>2131.9</x:v>
      </x:c>
      <x:c r="I828" s="13" t="n">
        <x:f>IF(C828=0,"n.a.",F828/C828)</x:f>
        <x:v>539.35</x:v>
      </x:c>
      <x:c r="J828" s="3"/>
      <x:c r="K828" s="3"/>
      <x:c r="L828" s="3"/>
    </x:row>
    <x:row r="829" ht="22" customHeight="1">
      <x:c r="A829" s="3"/>
      <x:c r="B829" s="3" t="str">
        <x:v>17400</x:v>
      </x:c>
      <x:c r="C829" s="3" t="n">
        <x:v>5</x:v>
      </x:c>
      <x:c r="D829" s="51" t="n">
        <x:v>40760</x:v>
      </x:c>
      <x:c r="E829" s="3" t="str">
        <x:v>Recurrente</x:v>
      </x:c>
      <x:c r="F829" s="13" t="n">
        <x:v>2129.96</x:v>
      </x:c>
      <x:c r="G829" s="13" t="n">
        <x:v>0</x:v>
      </x:c>
      <x:c r="H829" s="13" t="n">
        <x:f>F829-G829</x:f>
        <x:v>2129.96</x:v>
      </x:c>
      <x:c r="I829" s="13" t="n">
        <x:f>IF(C829=0,"n.a.",F829/C829)</x:f>
        <x:v>425.992</x:v>
      </x:c>
      <x:c r="J829" s="3"/>
      <x:c r="K829" s="3"/>
      <x:c r="L829" s="3"/>
    </x:row>
    <x:row r="830" ht="22" customHeight="1">
      <x:c r="A830" s="3"/>
      <x:c r="B830" s="3" t="str">
        <x:v>12909</x:v>
      </x:c>
      <x:c r="C830" s="3" t="n">
        <x:v>5</x:v>
      </x:c>
      <x:c r="D830" s="51" t="n">
        <x:v>40847</x:v>
      </x:c>
      <x:c r="E830" s="3" t="str">
        <x:v>Recurrente</x:v>
      </x:c>
      <x:c r="F830" s="13" t="n">
        <x:v>2178.67</x:v>
      </x:c>
      <x:c r="G830" s="13" t="n">
        <x:v>49.84</x:v>
      </x:c>
      <x:c r="H830" s="13" t="n">
        <x:f>F830-G830</x:f>
        <x:v>2128.83</x:v>
      </x:c>
      <x:c r="I830" s="13" t="n">
        <x:f>IF(C830=0,"n.a.",F830/C830)</x:f>
        <x:v>435.73400000000004</x:v>
      </x:c>
      <x:c r="J830" s="3"/>
      <x:c r="K830" s="3"/>
      <x:c r="L830" s="3"/>
    </x:row>
    <x:row r="831" ht="22" customHeight="1">
      <x:c r="A831" s="3"/>
      <x:c r="B831" s="3" t="str">
        <x:v>14360</x:v>
      </x:c>
      <x:c r="C831" s="3" t="n">
        <x:v>4</x:v>
      </x:c>
      <x:c r="D831" s="51" t="n">
        <x:v>40855</x:v>
      </x:c>
      <x:c r="E831" s="3" t="str">
        <x:v>Recurrente</x:v>
      </x:c>
      <x:c r="F831" s="13" t="n">
        <x:v>2128.23</x:v>
      </x:c>
      <x:c r="G831" s="13" t="n">
        <x:v>0</x:v>
      </x:c>
      <x:c r="H831" s="13" t="n">
        <x:f>F831-G831</x:f>
        <x:v>2128.23</x:v>
      </x:c>
      <x:c r="I831" s="13" t="n">
        <x:f>IF(C831=0,"n.a.",F831/C831)</x:f>
        <x:v>532.0575</x:v>
      </x:c>
      <x:c r="J831" s="3"/>
      <x:c r="K831" s="3"/>
      <x:c r="L831" s="3"/>
    </x:row>
    <x:row r="832" ht="22" customHeight="1">
      <x:c r="A832" s="3"/>
      <x:c r="B832" s="3" t="str">
        <x:v>16407</x:v>
      </x:c>
      <x:c r="C832" s="3" t="n">
        <x:v>10</x:v>
      </x:c>
      <x:c r="D832" s="51" t="n">
        <x:v>40874</x:v>
      </x:c>
      <x:c r="E832" s="3" t="str">
        <x:v>Recurrente</x:v>
      </x:c>
      <x:c r="F832" s="13" t="n">
        <x:v>2126.93</x:v>
      </x:c>
      <x:c r="G832" s="13" t="n">
        <x:v>0</x:v>
      </x:c>
      <x:c r="H832" s="13" t="n">
        <x:f>F832-G832</x:f>
        <x:v>2126.93</x:v>
      </x:c>
      <x:c r="I832" s="13" t="n">
        <x:f>IF(C832=0,"n.a.",F832/C832)</x:f>
        <x:v>212.69299999999998</x:v>
      </x:c>
      <x:c r="J832" s="3"/>
      <x:c r="K832" s="3"/>
      <x:c r="L832" s="3"/>
    </x:row>
    <x:row r="833" ht="22" customHeight="1">
      <x:c r="A833" s="3"/>
      <x:c r="B833" s="3" t="str">
        <x:v>15058</x:v>
      </x:c>
      <x:c r="C833" s="3" t="n">
        <x:v>11</x:v>
      </x:c>
      <x:c r="D833" s="51" t="n">
        <x:v>40861</x:v>
      </x:c>
      <x:c r="E833" s="3" t="str">
        <x:v>Recurrente</x:v>
      </x:c>
      <x:c r="F833" s="13" t="n">
        <x:v>2124.99</x:v>
      </x:c>
      <x:c r="G833" s="13" t="n">
        <x:v>0</x:v>
      </x:c>
      <x:c r="H833" s="13" t="n">
        <x:f>F833-G833</x:f>
        <x:v>2124.99</x:v>
      </x:c>
      <x:c r="I833" s="13" t="n">
        <x:f>IF(C833=0,"n.a.",F833/C833)</x:f>
        <x:v>193.18090909090907</x:v>
      </x:c>
      <x:c r="J833" s="3"/>
      <x:c r="K833" s="3"/>
      <x:c r="L833" s="3"/>
    </x:row>
    <x:row r="834" ht="22" customHeight="1">
      <x:c r="A834" s="3"/>
      <x:c r="B834" s="3" t="str">
        <x:v>18061</x:v>
      </x:c>
      <x:c r="C834" s="3" t="n">
        <x:v>10</x:v>
      </x:c>
      <x:c r="D834" s="51" t="n">
        <x:v>40865</x:v>
      </x:c>
      <x:c r="E834" s="3" t="str">
        <x:v>Recurrente</x:v>
      </x:c>
      <x:c r="F834" s="13" t="n">
        <x:v>2119.41</x:v>
      </x:c>
      <x:c r="G834" s="13" t="n">
        <x:v>0</x:v>
      </x:c>
      <x:c r="H834" s="13" t="n">
        <x:f>F834-G834</x:f>
        <x:v>2119.41</x:v>
      </x:c>
      <x:c r="I834" s="13" t="n">
        <x:f>IF(C834=0,"n.a.",F834/C834)</x:f>
        <x:v>211.94099999999997</x:v>
      </x:c>
      <x:c r="J834" s="3"/>
      <x:c r="K834" s="3"/>
      <x:c r="L834" s="3"/>
    </x:row>
    <x:row r="835" ht="22" customHeight="1">
      <x:c r="A835" s="3"/>
      <x:c r="B835" s="3" t="str">
        <x:v>13632</x:v>
      </x:c>
      <x:c r="C835" s="3" t="n">
        <x:v>5</x:v>
      </x:c>
      <x:c r="D835" s="51" t="n">
        <x:v>40862</x:v>
      </x:c>
      <x:c r="E835" s="3" t="str">
        <x:v>Recurrente</x:v>
      </x:c>
      <x:c r="F835" s="13" t="n">
        <x:v>2121.27</x:v>
      </x:c>
      <x:c r="G835" s="13" t="n">
        <x:v>4.25</x:v>
      </x:c>
      <x:c r="H835" s="13" t="n">
        <x:f>F835-G835</x:f>
        <x:v>2117.02</x:v>
      </x:c>
      <x:c r="I835" s="13" t="n">
        <x:f>IF(C835=0,"n.a.",F835/C835)</x:f>
        <x:v>424.254</x:v>
      </x:c>
      <x:c r="J835" s="3"/>
      <x:c r="K835" s="3"/>
      <x:c r="L835" s="3"/>
    </x:row>
    <x:row r="836" ht="22" customHeight="1">
      <x:c r="A836" s="3"/>
      <x:c r="B836" s="3" t="str">
        <x:v>18008</x:v>
      </x:c>
      <x:c r="C836" s="3" t="n">
        <x:v>9</x:v>
      </x:c>
      <x:c r="D836" s="51" t="n">
        <x:v>40816</x:v>
      </x:c>
      <x:c r="E836" s="3" t="str">
        <x:v>Recurrente</x:v>
      </x:c>
      <x:c r="F836" s="13" t="n">
        <x:v>2116.19</x:v>
      </x:c>
      <x:c r="G836" s="13" t="n">
        <x:v>0</x:v>
      </x:c>
      <x:c r="H836" s="13" t="n">
        <x:f>F836-G836</x:f>
        <x:v>2116.19</x:v>
      </x:c>
      <x:c r="I836" s="13" t="n">
        <x:f>IF(C836=0,"n.a.",F836/C836)</x:f>
        <x:v>235.13222222222223</x:v>
      </x:c>
      <x:c r="J836" s="3"/>
      <x:c r="K836" s="3"/>
      <x:c r="L836" s="3"/>
    </x:row>
    <x:row r="837" ht="22" customHeight="1">
      <x:c r="A837" s="3"/>
      <x:c r="B837" s="3" t="str">
        <x:v>14691</x:v>
      </x:c>
      <x:c r="C837" s="3" t="n">
        <x:v>5</x:v>
      </x:c>
      <x:c r="D837" s="51" t="n">
        <x:v>40856</x:v>
      </x:c>
      <x:c r="E837" s="3" t="str">
        <x:v>Recurrente</x:v>
      </x:c>
      <x:c r="F837" s="13" t="n">
        <x:v>2114.33</x:v>
      </x:c>
      <x:c r="G837" s="13" t="n">
        <x:v>0</x:v>
      </x:c>
      <x:c r="H837" s="13" t="n">
        <x:f>F837-G837</x:f>
        <x:v>2114.33</x:v>
      </x:c>
      <x:c r="I837" s="13" t="n">
        <x:f>IF(C837=0,"n.a.",F837/C837)</x:f>
        <x:v>422.866</x:v>
      </x:c>
      <x:c r="J837" s="3"/>
      <x:c r="K837" s="3"/>
      <x:c r="L837" s="3"/>
    </x:row>
    <x:row r="838" ht="22" customHeight="1">
      <x:c r="A838" s="3"/>
      <x:c r="B838" s="3" t="str">
        <x:v>13517</x:v>
      </x:c>
      <x:c r="C838" s="3" t="n">
        <x:v>3</x:v>
      </x:c>
      <x:c r="D838" s="51" t="n">
        <x:v>40827</x:v>
      </x:c>
      <x:c r="E838" s="3" t="str">
        <x:v>Recurrente</x:v>
      </x:c>
      <x:c r="F838" s="13" t="n">
        <x:v>2128.42</x:v>
      </x:c>
      <x:c r="G838" s="13" t="n">
        <x:v>19.35</x:v>
      </x:c>
      <x:c r="H838" s="13" t="n">
        <x:f>F838-G838</x:f>
        <x:v>2109.07</x:v>
      </x:c>
      <x:c r="I838" s="13" t="n">
        <x:f>IF(C838=0,"n.a.",F838/C838)</x:f>
        <x:v>709.4733333333334</x:v>
      </x:c>
      <x:c r="J838" s="3"/>
      <x:c r="K838" s="3"/>
      <x:c r="L838" s="3"/>
    </x:row>
    <x:row r="839" ht="22" customHeight="1">
      <x:c r="A839" s="3"/>
      <x:c r="B839" s="3" t="str">
        <x:v>13265</x:v>
      </x:c>
      <x:c r="C839" s="3" t="n">
        <x:v>5</x:v>
      </x:c>
      <x:c r="D839" s="51" t="n">
        <x:v>40833</x:v>
      </x:c>
      <x:c r="E839" s="3" t="str">
        <x:v>Recurrente</x:v>
      </x:c>
      <x:c r="F839" s="13" t="n">
        <x:v>2107.66</x:v>
      </x:c>
      <x:c r="G839" s="13" t="n">
        <x:v>0</x:v>
      </x:c>
      <x:c r="H839" s="13" t="n">
        <x:f>F839-G839</x:f>
        <x:v>2107.66</x:v>
      </x:c>
      <x:c r="I839" s="13" t="n">
        <x:f>IF(C839=0,"n.a.",F839/C839)</x:f>
        <x:v>421.532</x:v>
      </x:c>
      <x:c r="J839" s="3"/>
      <x:c r="K839" s="3"/>
      <x:c r="L839" s="3"/>
    </x:row>
    <x:row r="840" ht="22" customHeight="1">
      <x:c r="A840" s="3"/>
      <x:c r="B840" s="3" t="str">
        <x:v>18173</x:v>
      </x:c>
      <x:c r="C840" s="3" t="n">
        <x:v>4</x:v>
      </x:c>
      <x:c r="D840" s="51" t="n">
        <x:v>40800</x:v>
      </x:c>
      <x:c r="E840" s="3" t="str">
        <x:v>Recurrente</x:v>
      </x:c>
      <x:c r="F840" s="13" t="n">
        <x:v>2106.84</x:v>
      </x:c>
      <x:c r="G840" s="13" t="n">
        <x:v>0</x:v>
      </x:c>
      <x:c r="H840" s="13" t="n">
        <x:f>F840-G840</x:f>
        <x:v>2106.84</x:v>
      </x:c>
      <x:c r="I840" s="13" t="n">
        <x:f>IF(C840=0,"n.a.",F840/C840)</x:f>
        <x:v>526.71</x:v>
      </x:c>
      <x:c r="J840" s="3"/>
      <x:c r="K840" s="3"/>
      <x:c r="L840" s="3"/>
    </x:row>
    <x:row r="841" ht="22" customHeight="1">
      <x:c r="A841" s="3"/>
      <x:c r="B841" s="3" t="str">
        <x:v>14461</x:v>
      </x:c>
      <x:c r="C841" s="3" t="n">
        <x:v>3</x:v>
      </x:c>
      <x:c r="D841" s="51" t="n">
        <x:v>40738</x:v>
      </x:c>
      <x:c r="E841" s="3" t="str">
        <x:v>Recurrente</x:v>
      </x:c>
      <x:c r="F841" s="13" t="n">
        <x:v>2102.67</x:v>
      </x:c>
      <x:c r="G841" s="13" t="n">
        <x:v>0</x:v>
      </x:c>
      <x:c r="H841" s="13" t="n">
        <x:f>F841-G841</x:f>
        <x:v>2102.67</x:v>
      </x:c>
      <x:c r="I841" s="13" t="n">
        <x:f>IF(C841=0,"n.a.",F841/C841)</x:f>
        <x:v>700.89</x:v>
      </x:c>
      <x:c r="J841" s="3"/>
      <x:c r="K841" s="3"/>
      <x:c r="L841" s="3"/>
    </x:row>
    <x:row r="842" ht="22" customHeight="1">
      <x:c r="A842" s="3"/>
      <x:c r="B842" s="3" t="str">
        <x:v>14515</x:v>
      </x:c>
      <x:c r="C842" s="3" t="n">
        <x:v>6</x:v>
      </x:c>
      <x:c r="D842" s="51" t="n">
        <x:v>40869</x:v>
      </x:c>
      <x:c r="E842" s="3" t="str">
        <x:v>Recurrente</x:v>
      </x:c>
      <x:c r="F842" s="13" t="n">
        <x:v>2102.09</x:v>
      </x:c>
      <x:c r="G842" s="13" t="n">
        <x:v>0</x:v>
      </x:c>
      <x:c r="H842" s="13" t="n">
        <x:f>F842-G842</x:f>
        <x:v>2102.09</x:v>
      </x:c>
      <x:c r="I842" s="13" t="n">
        <x:f>IF(C842=0,"n.a.",F842/C842)</x:f>
        <x:v>350.34833333333336</x:v>
      </x:c>
      <x:c r="J842" s="3"/>
      <x:c r="K842" s="3"/>
      <x:c r="L842" s="3"/>
    </x:row>
    <x:row r="843" ht="22" customHeight="1">
      <x:c r="A843" s="3"/>
      <x:c r="B843" s="3" t="str">
        <x:v>15815</x:v>
      </x:c>
      <x:c r="C843" s="3" t="n">
        <x:v>5</x:v>
      </x:c>
      <x:c r="D843" s="51" t="n">
        <x:v>40823</x:v>
      </x:c>
      <x:c r="E843" s="3" t="str">
        <x:v>Recurrente</x:v>
      </x:c>
      <x:c r="F843" s="13" t="n">
        <x:v>2100.6</x:v>
      </x:c>
      <x:c r="G843" s="13" t="n">
        <x:v>0</x:v>
      </x:c>
      <x:c r="H843" s="13" t="n">
        <x:f>F843-G843</x:f>
        <x:v>2100.6</x:v>
      </x:c>
      <x:c r="I843" s="13" t="n">
        <x:f>IF(C843=0,"n.a.",F843/C843)</x:f>
        <x:v>420.12</x:v>
      </x:c>
      <x:c r="J843" s="3"/>
      <x:c r="K843" s="3"/>
      <x:c r="L843" s="3"/>
    </x:row>
    <x:row r="844" ht="22" customHeight="1">
      <x:c r="A844" s="3"/>
      <x:c r="B844" s="3" t="str">
        <x:v>14407</x:v>
      </x:c>
      <x:c r="C844" s="3" t="n">
        <x:v>5</x:v>
      </x:c>
      <x:c r="D844" s="51" t="n">
        <x:v>40779</x:v>
      </x:c>
      <x:c r="E844" s="3" t="str">
        <x:v>Recurrente</x:v>
      </x:c>
      <x:c r="F844" s="13" t="n">
        <x:v>2142.73</x:v>
      </x:c>
      <x:c r="G844" s="13" t="n">
        <x:v>46.65</x:v>
      </x:c>
      <x:c r="H844" s="13" t="n">
        <x:f>F844-G844</x:f>
        <x:v>2096.08</x:v>
      </x:c>
      <x:c r="I844" s="13" t="n">
        <x:f>IF(C844=0,"n.a.",F844/C844)</x:f>
        <x:v>428.546</x:v>
      </x:c>
      <x:c r="J844" s="3"/>
      <x:c r="K844" s="3"/>
      <x:c r="L844" s="3"/>
    </x:row>
    <x:row r="845" ht="22" customHeight="1">
      <x:c r="A845" s="3"/>
      <x:c r="B845" s="3" t="str">
        <x:v>17191</x:v>
      </x:c>
      <x:c r="C845" s="3" t="n">
        <x:v>7</x:v>
      </x:c>
      <x:c r="D845" s="51" t="n">
        <x:v>40858</x:v>
      </x:c>
      <x:c r="E845" s="3" t="str">
        <x:v>Recurrente</x:v>
      </x:c>
      <x:c r="F845" s="13" t="n">
        <x:v>2095.13</x:v>
      </x:c>
      <x:c r="G845" s="13" t="n">
        <x:v>0</x:v>
      </x:c>
      <x:c r="H845" s="13" t="n">
        <x:f>F845-G845</x:f>
        <x:v>2095.13</x:v>
      </x:c>
      <x:c r="I845" s="13" t="n">
        <x:f>IF(C845=0,"n.a.",F845/C845)</x:f>
        <x:v>299.30428571428575</x:v>
      </x:c>
      <x:c r="J845" s="3"/>
      <x:c r="K845" s="3"/>
      <x:c r="L845" s="3"/>
    </x:row>
    <x:row r="846" ht="22" customHeight="1">
      <x:c r="A846" s="3"/>
      <x:c r="B846" s="3" t="str">
        <x:v>12615</x:v>
      </x:c>
      <x:c r="C846" s="3" t="n">
        <x:v>4</x:v>
      </x:c>
      <x:c r="D846" s="51" t="n">
        <x:v>40884</x:v>
      </x:c>
      <x:c r="E846" s="3" t="str">
        <x:v>Recurrente</x:v>
      </x:c>
      <x:c r="F846" s="13" t="n">
        <x:v>2093.19</x:v>
      </x:c>
      <x:c r="G846" s="13" t="n">
        <x:v>0</x:v>
      </x:c>
      <x:c r="H846" s="13" t="n">
        <x:f>F846-G846</x:f>
        <x:v>2093.19</x:v>
      </x:c>
      <x:c r="I846" s="13" t="n">
        <x:f>IF(C846=0,"n.a.",F846/C846)</x:f>
        <x:v>523.2975</x:v>
      </x:c>
      <x:c r="J846" s="3"/>
      <x:c r="K846" s="3"/>
      <x:c r="L846" s="3"/>
    </x:row>
    <x:row r="847" ht="22" customHeight="1">
      <x:c r="A847" s="3"/>
      <x:c r="B847" s="3" t="str">
        <x:v>13571</x:v>
      </x:c>
      <x:c r="C847" s="3" t="n">
        <x:v>12</x:v>
      </x:c>
      <x:c r="D847" s="51" t="n">
        <x:v>40874</x:v>
      </x:c>
      <x:c r="E847" s="3" t="str">
        <x:v>Recurrente</x:v>
      </x:c>
      <x:c r="F847" s="13" t="n">
        <x:v>2092.32</x:v>
      </x:c>
      <x:c r="G847" s="13" t="n">
        <x:v>0</x:v>
      </x:c>
      <x:c r="H847" s="13" t="n">
        <x:f>F847-G847</x:f>
        <x:v>2092.32</x:v>
      </x:c>
      <x:c r="I847" s="13" t="n">
        <x:f>IF(C847=0,"n.a.",F847/C847)</x:f>
        <x:v>174.36</x:v>
      </x:c>
      <x:c r="J847" s="3"/>
      <x:c r="K847" s="3"/>
      <x:c r="L847" s="3"/>
    </x:row>
    <x:row r="848" ht="22" customHeight="1">
      <x:c r="A848" s="3"/>
      <x:c r="B848" s="3" t="str">
        <x:v>13297</x:v>
      </x:c>
      <x:c r="C848" s="3" t="n">
        <x:v>4</x:v>
      </x:c>
      <x:c r="D848" s="51" t="n">
        <x:v>40879</x:v>
      </x:c>
      <x:c r="E848" s="3" t="str">
        <x:v>Recurrente</x:v>
      </x:c>
      <x:c r="F848" s="13" t="n">
        <x:v>2089.85</x:v>
      </x:c>
      <x:c r="G848" s="13" t="n">
        <x:v>0</x:v>
      </x:c>
      <x:c r="H848" s="13" t="n">
        <x:f>F848-G848</x:f>
        <x:v>2089.85</x:v>
      </x:c>
      <x:c r="I848" s="13" t="n">
        <x:f>IF(C848=0,"n.a.",F848/C848)</x:f>
        <x:v>522.4625</x:v>
      </x:c>
      <x:c r="J848" s="3"/>
      <x:c r="K848" s="3"/>
      <x:c r="L848" s="3"/>
    </x:row>
    <x:row r="849" ht="22" customHeight="1">
      <x:c r="A849" s="3"/>
      <x:c r="B849" s="3" t="str">
        <x:v>18283</x:v>
      </x:c>
      <x:c r="C849" s="3" t="n">
        <x:v>16</x:v>
      </x:c>
      <x:c r="D849" s="51" t="n">
        <x:v>40883</x:v>
      </x:c>
      <x:c r="E849" s="3" t="str">
        <x:v>Recurrente</x:v>
      </x:c>
      <x:c r="F849" s="13" t="n">
        <x:v>2088.93</x:v>
      </x:c>
      <x:c r="G849" s="13" t="n">
        <x:v>0</x:v>
      </x:c>
      <x:c r="H849" s="13" t="n">
        <x:f>F849-G849</x:f>
        <x:v>2088.93</x:v>
      </x:c>
      <x:c r="I849" s="13" t="n">
        <x:f>IF(C849=0,"n.a.",F849/C849)</x:f>
        <x:v>130.558125</x:v>
      </x:c>
      <x:c r="J849" s="3"/>
      <x:c r="K849" s="3"/>
      <x:c r="L849" s="3"/>
    </x:row>
    <x:row r="850" ht="22" customHeight="1">
      <x:c r="A850" s="3"/>
      <x:c r="B850" s="3" t="str">
        <x:v>14810</x:v>
      </x:c>
      <x:c r="C850" s="3" t="n">
        <x:v>11</x:v>
      </x:c>
      <x:c r="D850" s="51" t="n">
        <x:v>40846</x:v>
      </x:c>
      <x:c r="E850" s="3" t="str">
        <x:v>Recurrente</x:v>
      </x:c>
      <x:c r="F850" s="13" t="n">
        <x:v>2087.88</x:v>
      </x:c>
      <x:c r="G850" s="13" t="n">
        <x:v>0</x:v>
      </x:c>
      <x:c r="H850" s="13" t="n">
        <x:f>F850-G850</x:f>
        <x:v>2087.88</x:v>
      </x:c>
      <x:c r="I850" s="13" t="n">
        <x:f>IF(C850=0,"n.a.",F850/C850)</x:f>
        <x:v>189.80727272727273</x:v>
      </x:c>
      <x:c r="J850" s="3"/>
      <x:c r="K850" s="3"/>
      <x:c r="L850" s="3"/>
    </x:row>
    <x:row r="851" ht="22" customHeight="1">
      <x:c r="A851" s="3"/>
      <x:c r="B851" s="3" t="str">
        <x:v>18044</x:v>
      </x:c>
      <x:c r="C851" s="3" t="n">
        <x:v>10</x:v>
      </x:c>
      <x:c r="D851" s="51" t="n">
        <x:v>40882</x:v>
      </x:c>
      <x:c r="E851" s="3" t="str">
        <x:v>Recurrente</x:v>
      </x:c>
      <x:c r="F851" s="13" t="n">
        <x:v>2088.6</x:v>
      </x:c>
      <x:c r="G851" s="13" t="n">
        <x:v>2.95</x:v>
      </x:c>
      <x:c r="H851" s="13" t="n">
        <x:f>F851-G851</x:f>
        <x:v>2085.65</x:v>
      </x:c>
      <x:c r="I851" s="13" t="n">
        <x:f>IF(C851=0,"n.a.",F851/C851)</x:f>
        <x:v>208.85999999999999</x:v>
      </x:c>
      <x:c r="J851" s="3"/>
      <x:c r="K851" s="3"/>
      <x:c r="L851" s="3"/>
    </x:row>
    <x:row r="852" ht="22" customHeight="1">
      <x:c r="A852" s="3"/>
      <x:c r="B852" s="3" t="str">
        <x:v>16954</x:v>
      </x:c>
      <x:c r="C852" s="3" t="n">
        <x:v>9</x:v>
      </x:c>
      <x:c r="D852" s="51" t="n">
        <x:v>40886</x:v>
      </x:c>
      <x:c r="E852" s="3" t="str">
        <x:v>Recurrente</x:v>
      </x:c>
      <x:c r="F852" s="13" t="n">
        <x:v>2085.08</x:v>
      </x:c>
      <x:c r="G852" s="13" t="n">
        <x:v>0</x:v>
      </x:c>
      <x:c r="H852" s="13" t="n">
        <x:f>F852-G852</x:f>
        <x:v>2085.08</x:v>
      </x:c>
      <x:c r="I852" s="13" t="n">
        <x:f>IF(C852=0,"n.a.",F852/C852)</x:f>
        <x:v>231.67555555555555</x:v>
      </x:c>
      <x:c r="J852" s="3"/>
      <x:c r="K852" s="3"/>
      <x:c r="L852" s="3"/>
    </x:row>
    <x:row r="853" ht="22" customHeight="1">
      <x:c r="A853" s="3"/>
      <x:c r="B853" s="3" t="str">
        <x:v>14306</x:v>
      </x:c>
      <x:c r="C853" s="3" t="n">
        <x:v>2</x:v>
      </x:c>
      <x:c r="D853" s="51" t="n">
        <x:v>40835</x:v>
      </x:c>
      <x:c r="E853" s="3" t="str">
        <x:v>Recurrente</x:v>
      </x:c>
      <x:c r="F853" s="13" t="n">
        <x:v>2093.32</x:v>
      </x:c>
      <x:c r="G853" s="13" t="n">
        <x:v>9.9</x:v>
      </x:c>
      <x:c r="H853" s="13" t="n">
        <x:f>F853-G853</x:f>
        <x:v>2083.42</x:v>
      </x:c>
      <x:c r="I853" s="13" t="n">
        <x:f>IF(C853=0,"n.a.",F853/C853)</x:f>
        <x:v>1046.66</x:v>
      </x:c>
      <x:c r="J853" s="3"/>
      <x:c r="K853" s="3"/>
      <x:c r="L853" s="3"/>
    </x:row>
    <x:row r="854" ht="22" customHeight="1">
      <x:c r="A854" s="3"/>
      <x:c r="B854" s="3" t="str">
        <x:v>18093</x:v>
      </x:c>
      <x:c r="C854" s="3" t="n">
        <x:v>4</x:v>
      </x:c>
      <x:c r="D854" s="51" t="n">
        <x:v>40793</x:v>
      </x:c>
      <x:c r="E854" s="3" t="str">
        <x:v>Recurrente</x:v>
      </x:c>
      <x:c r="F854" s="13" t="n">
        <x:v>2106.52</x:v>
      </x:c>
      <x:c r="G854" s="13" t="n">
        <x:v>23.1</x:v>
      </x:c>
      <x:c r="H854" s="13" t="n">
        <x:f>F854-G854</x:f>
        <x:v>2083.42</x:v>
      </x:c>
      <x:c r="I854" s="13" t="n">
        <x:f>IF(C854=0,"n.a.",F854/C854)</x:f>
        <x:v>526.63</x:v>
      </x:c>
      <x:c r="J854" s="3"/>
      <x:c r="K854" s="3"/>
      <x:c r="L854" s="3"/>
    </x:row>
    <x:row r="855" ht="22" customHeight="1">
      <x:c r="A855" s="3"/>
      <x:c r="B855" s="3" t="str">
        <x:v>15834</x:v>
      </x:c>
      <x:c r="C855" s="3" t="n">
        <x:v>4</x:v>
      </x:c>
      <x:c r="D855" s="51" t="n">
        <x:v>40816</x:v>
      </x:c>
      <x:c r="E855" s="3" t="str">
        <x:v>Recurrente</x:v>
      </x:c>
      <x:c r="F855" s="13" t="n">
        <x:v>2231.25</x:v>
      </x:c>
      <x:c r="G855" s="13" t="n">
        <x:v>148.85</x:v>
      </x:c>
      <x:c r="H855" s="13" t="n">
        <x:f>F855-G855</x:f>
        <x:v>2082.4</x:v>
      </x:c>
      <x:c r="I855" s="13" t="n">
        <x:f>IF(C855=0,"n.a.",F855/C855)</x:f>
        <x:v>557.8125</x:v>
      </x:c>
      <x:c r="J855" s="3"/>
      <x:c r="K855" s="3"/>
      <x:c r="L855" s="3"/>
    </x:row>
    <x:row r="856" ht="22" customHeight="1">
      <x:c r="A856" s="3"/>
      <x:c r="B856" s="3" t="str">
        <x:v>12684</x:v>
      </x:c>
      <x:c r="C856" s="3" t="n">
        <x:v>6</x:v>
      </x:c>
      <x:c r="D856" s="51" t="n">
        <x:v>40879</x:v>
      </x:c>
      <x:c r="E856" s="3" t="str">
        <x:v>Recurrente</x:v>
      </x:c>
      <x:c r="F856" s="13" t="n">
        <x:v>2073.63</x:v>
      </x:c>
      <x:c r="G856" s="13" t="n">
        <x:v>0</x:v>
      </x:c>
      <x:c r="H856" s="13" t="n">
        <x:f>F856-G856</x:f>
        <x:v>2073.63</x:v>
      </x:c>
      <x:c r="I856" s="13" t="n">
        <x:f>IF(C856=0,"n.a.",F856/C856)</x:f>
        <x:v>345.605</x:v>
      </x:c>
      <x:c r="J856" s="3"/>
      <x:c r="K856" s="3"/>
      <x:c r="L856" s="3"/>
    </x:row>
    <x:row r="857" ht="22" customHeight="1">
      <x:c r="A857" s="3"/>
      <x:c r="B857" s="3" t="str">
        <x:v>14696</x:v>
      </x:c>
      <x:c r="C857" s="3" t="n">
        <x:v>7</x:v>
      </x:c>
      <x:c r="D857" s="51" t="n">
        <x:v>40882</x:v>
      </x:c>
      <x:c r="E857" s="3" t="str">
        <x:v>Recurrente</x:v>
      </x:c>
      <x:c r="F857" s="13" t="n">
        <x:v>2078.95</x:v>
      </x:c>
      <x:c r="G857" s="13" t="n">
        <x:v>7.98</x:v>
      </x:c>
      <x:c r="H857" s="13" t="n">
        <x:f>F857-G857</x:f>
        <x:v>2070.97</x:v>
      </x:c>
      <x:c r="I857" s="13" t="n">
        <x:f>IF(C857=0,"n.a.",F857/C857)</x:f>
        <x:v>296.99285714285713</x:v>
      </x:c>
      <x:c r="J857" s="3"/>
      <x:c r="K857" s="3"/>
      <x:c r="L857" s="3"/>
    </x:row>
    <x:row r="858" ht="22" customHeight="1">
      <x:c r="A858" s="3"/>
      <x:c r="B858" s="3" t="str">
        <x:v>14482</x:v>
      </x:c>
      <x:c r="C858" s="3" t="n">
        <x:v>6</x:v>
      </x:c>
      <x:c r="D858" s="51" t="n">
        <x:v>40868</x:v>
      </x:c>
      <x:c r="E858" s="3" t="str">
        <x:v>Recurrente</x:v>
      </x:c>
      <x:c r="F858" s="13" t="n">
        <x:v>2068.15</x:v>
      </x:c>
      <x:c r="G858" s="13" t="n">
        <x:v>0</x:v>
      </x:c>
      <x:c r="H858" s="13" t="n">
        <x:f>F858-G858</x:f>
        <x:v>2068.15</x:v>
      </x:c>
      <x:c r="I858" s="13" t="n">
        <x:f>IF(C858=0,"n.a.",F858/C858)</x:f>
        <x:v>344.69166666666666</x:v>
      </x:c>
      <x:c r="J858" s="3"/>
      <x:c r="K858" s="3"/>
      <x:c r="L858" s="3"/>
    </x:row>
    <x:row r="859" ht="22" customHeight="1">
      <x:c r="A859" s="3"/>
      <x:c r="B859" s="3" t="str">
        <x:v>14209</x:v>
      </x:c>
      <x:c r="C859" s="3" t="n">
        <x:v>6</x:v>
      </x:c>
      <x:c r="D859" s="51" t="n">
        <x:v>40876</x:v>
      </x:c>
      <x:c r="E859" s="3" t="str">
        <x:v>Recurrente</x:v>
      </x:c>
      <x:c r="F859" s="13" t="n">
        <x:v>2073.43</x:v>
      </x:c>
      <x:c r="G859" s="13" t="n">
        <x:v>6.3</x:v>
      </x:c>
      <x:c r="H859" s="13" t="n">
        <x:f>F859-G859</x:f>
        <x:v>2067.1299999999997</x:v>
      </x:c>
      <x:c r="I859" s="13" t="n">
        <x:f>IF(C859=0,"n.a.",F859/C859)</x:f>
        <x:v>345.57166666666666</x:v>
      </x:c>
      <x:c r="J859" s="3"/>
      <x:c r="K859" s="3"/>
      <x:c r="L859" s="3"/>
    </x:row>
    <x:row r="860" ht="22" customHeight="1">
      <x:c r="A860" s="3"/>
      <x:c r="B860" s="3" t="str">
        <x:v>18231</x:v>
      </x:c>
      <x:c r="C860" s="3" t="n">
        <x:v>5</x:v>
      </x:c>
      <x:c r="D860" s="51" t="n">
        <x:v>40694</x:v>
      </x:c>
      <x:c r="E860" s="3" t="str">
        <x:v>Recurrente</x:v>
      </x:c>
      <x:c r="F860" s="13" t="n">
        <x:v>2083.27</x:v>
      </x:c>
      <x:c r="G860" s="13" t="n">
        <x:v>17.1</x:v>
      </x:c>
      <x:c r="H860" s="13" t="n">
        <x:f>F860-G860</x:f>
        <x:v>2066.17</x:v>
      </x:c>
      <x:c r="I860" s="13" t="n">
        <x:f>IF(C860=0,"n.a.",F860/C860)</x:f>
        <x:v>416.654</x:v>
      </x:c>
      <x:c r="J860" s="3"/>
      <x:c r="K860" s="3"/>
      <x:c r="L860" s="3"/>
    </x:row>
    <x:row r="861" ht="22" customHeight="1">
      <x:c r="A861" s="3"/>
      <x:c r="B861" s="3" t="str">
        <x:v>12928</x:v>
      </x:c>
      <x:c r="C861" s="3" t="n">
        <x:v>5</x:v>
      </x:c>
      <x:c r="D861" s="51" t="n">
        <x:v>40851</x:v>
      </x:c>
      <x:c r="E861" s="3" t="str">
        <x:v>Recurrente</x:v>
      </x:c>
      <x:c r="F861" s="13" t="n">
        <x:v>2062.7</x:v>
      </x:c>
      <x:c r="G861" s="13" t="n">
        <x:v>0</x:v>
      </x:c>
      <x:c r="H861" s="13" t="n">
        <x:f>F861-G861</x:f>
        <x:v>2062.7</x:v>
      </x:c>
      <x:c r="I861" s="13" t="n">
        <x:f>IF(C861=0,"n.a.",F861/C861)</x:f>
        <x:v>412.53999999999996</x:v>
      </x:c>
      <x:c r="J861" s="3"/>
      <x:c r="K861" s="3"/>
      <x:c r="L861" s="3"/>
    </x:row>
    <x:row r="862" ht="22" customHeight="1">
      <x:c r="A862" s="3"/>
      <x:c r="B862" s="3" t="str">
        <x:v>16281</x:v>
      </x:c>
      <x:c r="C862" s="3" t="n">
        <x:v>1</x:v>
      </x:c>
      <x:c r="D862" s="51" t="n">
        <x:v>40814</x:v>
      </x:c>
      <x:c r="E862" s="3" t="str">
        <x:v>Una compra</x:v>
      </x:c>
      <x:c r="F862" s="13" t="n">
        <x:v>2062.06</x:v>
      </x:c>
      <x:c r="G862" s="13" t="n">
        <x:v>0</x:v>
      </x:c>
      <x:c r="H862" s="13" t="n">
        <x:f>F862-G862</x:f>
        <x:v>2062.06</x:v>
      </x:c>
      <x:c r="I862" s="13" t="n">
        <x:f>IF(C862=0,"n.a.",F862/C862)</x:f>
        <x:v>2062.06</x:v>
      </x:c>
      <x:c r="J862" s="3"/>
      <x:c r="K862" s="3"/>
      <x:c r="L862" s="3"/>
    </x:row>
    <x:row r="863" ht="22" customHeight="1">
      <x:c r="A863" s="3"/>
      <x:c r="B863" s="3" t="str">
        <x:v>17861</x:v>
      </x:c>
      <x:c r="C863" s="3" t="n">
        <x:v>8</x:v>
      </x:c>
      <x:c r="D863" s="51" t="n">
        <x:v>40883</x:v>
      </x:c>
      <x:c r="E863" s="3" t="str">
        <x:v>Recurrente</x:v>
      </x:c>
      <x:c r="F863" s="13" t="n">
        <x:v>2100.8</x:v>
      </x:c>
      <x:c r="G863" s="13" t="n">
        <x:v>41.6</x:v>
      </x:c>
      <x:c r="H863" s="13" t="n">
        <x:f>F863-G863</x:f>
        <x:v>2059.2000000000003</x:v>
      </x:c>
      <x:c r="I863" s="13" t="n">
        <x:f>IF(C863=0,"n.a.",F863/C863)</x:f>
        <x:v>262.6</x:v>
      </x:c>
      <x:c r="J863" s="3"/>
      <x:c r="K863" s="3"/>
      <x:c r="L863" s="3"/>
    </x:row>
    <x:row r="864" ht="22" customHeight="1">
      <x:c r="A864" s="3"/>
      <x:c r="B864" s="3" t="str">
        <x:v>18241</x:v>
      </x:c>
      <x:c r="C864" s="3" t="n">
        <x:v>17</x:v>
      </x:c>
      <x:c r="D864" s="51" t="n">
        <x:v>40877</x:v>
      </x:c>
      <x:c r="E864" s="3" t="str">
        <x:v>Recurrente</x:v>
      </x:c>
      <x:c r="F864" s="13" t="n">
        <x:v>2073.09</x:v>
      </x:c>
      <x:c r="G864" s="13" t="n">
        <x:v>15</x:v>
      </x:c>
      <x:c r="H864" s="13" t="n">
        <x:f>F864-G864</x:f>
        <x:v>2058.09</x:v>
      </x:c>
      <x:c r="I864" s="13" t="n">
        <x:f>IF(C864=0,"n.a.",F864/C864)</x:f>
        <x:v>121.9464705882353</x:v>
      </x:c>
      <x:c r="J864" s="3"/>
      <x:c r="K864" s="3"/>
      <x:c r="L864" s="3"/>
    </x:row>
    <x:row r="865" ht="22" customHeight="1">
      <x:c r="A865" s="3"/>
      <x:c r="B865" s="3" t="str">
        <x:v>13126</x:v>
      </x:c>
      <x:c r="C865" s="3" t="n">
        <x:v>8</x:v>
      </x:c>
      <x:c r="D865" s="51" t="n">
        <x:v>40882</x:v>
      </x:c>
      <x:c r="E865" s="3" t="str">
        <x:v>Recurrente</x:v>
      </x:c>
      <x:c r="F865" s="13" t="n">
        <x:v>2099.64</x:v>
      </x:c>
      <x:c r="G865" s="13" t="n">
        <x:v>43.35</x:v>
      </x:c>
      <x:c r="H865" s="13" t="n">
        <x:f>F865-G865</x:f>
        <x:v>2056.29</x:v>
      </x:c>
      <x:c r="I865" s="13" t="n">
        <x:f>IF(C865=0,"n.a.",F865/C865)</x:f>
        <x:v>262.455</x:v>
      </x:c>
      <x:c r="J865" s="3"/>
      <x:c r="K865" s="3"/>
      <x:c r="L865" s="3"/>
    </x:row>
    <x:row r="866" ht="22" customHeight="1">
      <x:c r="A866" s="3"/>
      <x:c r="B866" s="3" t="str">
        <x:v>17667</x:v>
      </x:c>
      <x:c r="C866" s="3" t="n">
        <x:v>5</x:v>
      </x:c>
      <x:c r="D866" s="51" t="n">
        <x:v>40820</x:v>
      </x:c>
      <x:c r="E866" s="3" t="str">
        <x:v>Recurrente</x:v>
      </x:c>
      <x:c r="F866" s="13" t="n">
        <x:v>2055.51</x:v>
      </x:c>
      <x:c r="G866" s="13" t="n">
        <x:v>0</x:v>
      </x:c>
      <x:c r="H866" s="13" t="n">
        <x:f>F866-G866</x:f>
        <x:v>2055.51</x:v>
      </x:c>
      <x:c r="I866" s="13" t="n">
        <x:f>IF(C866=0,"n.a.",F866/C866)</x:f>
        <x:v>411.10200000000003</x:v>
      </x:c>
      <x:c r="J866" s="3"/>
      <x:c r="K866" s="3"/>
      <x:c r="L866" s="3"/>
    </x:row>
    <x:row r="867" ht="22" customHeight="1">
      <x:c r="A867" s="3"/>
      <x:c r="B867" s="3" t="str">
        <x:v>12948</x:v>
      </x:c>
      <x:c r="C867" s="3" t="n">
        <x:v>7</x:v>
      </x:c>
      <x:c r="D867" s="51" t="n">
        <x:v>40870</x:v>
      </x:c>
      <x:c r="E867" s="3" t="str">
        <x:v>Recurrente</x:v>
      </x:c>
      <x:c r="F867" s="13" t="n">
        <x:v>2064.95</x:v>
      </x:c>
      <x:c r="G867" s="13" t="n">
        <x:v>11.25</x:v>
      </x:c>
      <x:c r="H867" s="13" t="n">
        <x:f>F867-G867</x:f>
        <x:v>2053.7</x:v>
      </x:c>
      <x:c r="I867" s="13" t="n">
        <x:f>IF(C867=0,"n.a.",F867/C867)</x:f>
        <x:v>294.99285714285713</x:v>
      </x:c>
      <x:c r="J867" s="3"/>
      <x:c r="K867" s="3"/>
      <x:c r="L867" s="3"/>
    </x:row>
    <x:row r="868" ht="22" customHeight="1">
      <x:c r="A868" s="3"/>
      <x:c r="B868" s="3" t="str">
        <x:v>12876</x:v>
      </x:c>
      <x:c r="C868" s="3" t="n">
        <x:v>2</x:v>
      </x:c>
      <x:c r="D868" s="51" t="n">
        <x:v>40829</x:v>
      </x:c>
      <x:c r="E868" s="3" t="str">
        <x:v>Recurrente</x:v>
      </x:c>
      <x:c r="F868" s="13" t="n">
        <x:v>2053.02</x:v>
      </x:c>
      <x:c r="G868" s="13" t="n">
        <x:v>0</x:v>
      </x:c>
      <x:c r="H868" s="13" t="n">
        <x:f>F868-G868</x:f>
        <x:v>2053.02</x:v>
      </x:c>
      <x:c r="I868" s="13" t="n">
        <x:f>IF(C868=0,"n.a.",F868/C868)</x:f>
        <x:v>1026.51</x:v>
      </x:c>
      <x:c r="J868" s="3"/>
      <x:c r="K868" s="3"/>
      <x:c r="L868" s="3"/>
    </x:row>
    <x:row r="869" ht="22" customHeight="1">
      <x:c r="A869" s="3"/>
      <x:c r="B869" s="3" t="str">
        <x:v>17086</x:v>
      </x:c>
      <x:c r="C869" s="3" t="n">
        <x:v>6</x:v>
      </x:c>
      <x:c r="D869" s="51" t="n">
        <x:v>40879</x:v>
      </x:c>
      <x:c r="E869" s="3" t="str">
        <x:v>Recurrente</x:v>
      </x:c>
      <x:c r="F869" s="13" t="n">
        <x:v>2050.08</x:v>
      </x:c>
      <x:c r="G869" s="13" t="n">
        <x:v>0</x:v>
      </x:c>
      <x:c r="H869" s="13" t="n">
        <x:f>F869-G869</x:f>
        <x:v>2050.08</x:v>
      </x:c>
      <x:c r="I869" s="13" t="n">
        <x:f>IF(C869=0,"n.a.",F869/C869)</x:f>
        <x:v>341.68</x:v>
      </x:c>
      <x:c r="J869" s="3"/>
      <x:c r="K869" s="3"/>
      <x:c r="L869" s="3"/>
    </x:row>
    <x:row r="870" ht="22" customHeight="1">
      <x:c r="A870" s="3"/>
      <x:c r="B870" s="3" t="str">
        <x:v>17625</x:v>
      </x:c>
      <x:c r="C870" s="3" t="n">
        <x:v>4</x:v>
      </x:c>
      <x:c r="D870" s="51" t="n">
        <x:v>40868</x:v>
      </x:c>
      <x:c r="E870" s="3" t="str">
        <x:v>Recurrente</x:v>
      </x:c>
      <x:c r="F870" s="13" t="n">
        <x:v>2047</x:v>
      </x:c>
      <x:c r="G870" s="13" t="n">
        <x:v>0</x:v>
      </x:c>
      <x:c r="H870" s="13" t="n">
        <x:f>F870-G870</x:f>
        <x:v>2047</x:v>
      </x:c>
      <x:c r="I870" s="13" t="n">
        <x:f>IF(C870=0,"n.a.",F870/C870)</x:f>
        <x:v>511.75</x:v>
      </x:c>
      <x:c r="J870" s="3"/>
      <x:c r="K870" s="3"/>
      <x:c r="L870" s="3"/>
    </x:row>
    <x:row r="871" ht="22" customHeight="1">
      <x:c r="A871" s="3"/>
      <x:c r="B871" s="3" t="str">
        <x:v>17597</x:v>
      </x:c>
      <x:c r="C871" s="3" t="n">
        <x:v>1</x:v>
      </x:c>
      <x:c r="D871" s="51" t="n">
        <x:v>40673</x:v>
      </x:c>
      <x:c r="E871" s="3" t="str">
        <x:v>Una compra</x:v>
      </x:c>
      <x:c r="F871" s="13" t="n">
        <x:v>2044.37</x:v>
      </x:c>
      <x:c r="G871" s="13" t="n">
        <x:v>0</x:v>
      </x:c>
      <x:c r="H871" s="13" t="n">
        <x:f>F871-G871</x:f>
        <x:v>2044.37</x:v>
      </x:c>
      <x:c r="I871" s="13" t="n">
        <x:f>IF(C871=0,"n.a.",F871/C871)</x:f>
        <x:v>2044.37</x:v>
      </x:c>
      <x:c r="J871" s="3"/>
      <x:c r="K871" s="3"/>
      <x:c r="L871" s="3"/>
    </x:row>
    <x:row r="872" ht="22" customHeight="1">
      <x:c r="A872" s="3"/>
      <x:c r="B872" s="3" t="str">
        <x:v>14232</x:v>
      </x:c>
      <x:c r="C872" s="3" t="n">
        <x:v>5</x:v>
      </x:c>
      <x:c r="D872" s="51" t="n">
        <x:v>40844</x:v>
      </x:c>
      <x:c r="E872" s="3" t="str">
        <x:v>Recurrente</x:v>
      </x:c>
      <x:c r="F872" s="13" t="n">
        <x:v>2048.07</x:v>
      </x:c>
      <x:c r="G872" s="13" t="n">
        <x:v>4.14</x:v>
      </x:c>
      <x:c r="H872" s="13" t="n">
        <x:f>F872-G872</x:f>
        <x:v>2043.93</x:v>
      </x:c>
      <x:c r="I872" s="13" t="n">
        <x:f>IF(C872=0,"n.a.",F872/C872)</x:f>
        <x:v>409.61400000000003</x:v>
      </x:c>
      <x:c r="J872" s="3"/>
      <x:c r="K872" s="3"/>
      <x:c r="L872" s="3"/>
    </x:row>
    <x:row r="873" ht="22" customHeight="1">
      <x:c r="A873" s="3"/>
      <x:c r="B873" s="3" t="str">
        <x:v>13450</x:v>
      </x:c>
      <x:c r="C873" s="3" t="n">
        <x:v>6</x:v>
      </x:c>
      <x:c r="D873" s="51" t="n">
        <x:v>40860</x:v>
      </x:c>
      <x:c r="E873" s="3" t="str">
        <x:v>Recurrente</x:v>
      </x:c>
      <x:c r="F873" s="13" t="n">
        <x:v>2043.72</x:v>
      </x:c>
      <x:c r="G873" s="13" t="n">
        <x:v>0</x:v>
      </x:c>
      <x:c r="H873" s="13" t="n">
        <x:f>F873-G873</x:f>
        <x:v>2043.72</x:v>
      </x:c>
      <x:c r="I873" s="13" t="n">
        <x:f>IF(C873=0,"n.a.",F873/C873)</x:f>
        <x:v>340.62</x:v>
      </x:c>
      <x:c r="J873" s="3"/>
      <x:c r="K873" s="3"/>
      <x:c r="L873" s="3"/>
    </x:row>
    <x:row r="874" ht="22" customHeight="1">
      <x:c r="A874" s="3"/>
      <x:c r="B874" s="3" t="str">
        <x:v>14001</x:v>
      </x:c>
      <x:c r="C874" s="3" t="n">
        <x:v>3</x:v>
      </x:c>
      <x:c r="D874" s="51" t="n">
        <x:v>40841</x:v>
      </x:c>
      <x:c r="E874" s="3" t="str">
        <x:v>Recurrente</x:v>
      </x:c>
      <x:c r="F874" s="13" t="n">
        <x:v>2043.08</x:v>
      </x:c>
      <x:c r="G874" s="13" t="n">
        <x:v>0</x:v>
      </x:c>
      <x:c r="H874" s="13" t="n">
        <x:f>F874-G874</x:f>
        <x:v>2043.08</x:v>
      </x:c>
      <x:c r="I874" s="13" t="n">
        <x:f>IF(C874=0,"n.a.",F874/C874)</x:f>
        <x:v>681.0266666666666</x:v>
      </x:c>
      <x:c r="J874" s="3"/>
      <x:c r="K874" s="3"/>
      <x:c r="L874" s="3"/>
    </x:row>
    <x:row r="875" ht="22" customHeight="1">
      <x:c r="A875" s="3"/>
      <x:c r="B875" s="3" t="str">
        <x:v>14640</x:v>
      </x:c>
      <x:c r="C875" s="3" t="n">
        <x:v>6</x:v>
      </x:c>
      <x:c r="D875" s="51" t="n">
        <x:v>40862</x:v>
      </x:c>
      <x:c r="E875" s="3" t="str">
        <x:v>Recurrente</x:v>
      </x:c>
      <x:c r="F875" s="13" t="n">
        <x:v>2125.08</x:v>
      </x:c>
      <x:c r="G875" s="13" t="n">
        <x:v>82.93</x:v>
      </x:c>
      <x:c r="H875" s="13" t="n">
        <x:f>F875-G875</x:f>
        <x:v>2042.1499999999999</x:v>
      </x:c>
      <x:c r="I875" s="13" t="n">
        <x:f>IF(C875=0,"n.a.",F875/C875)</x:f>
        <x:v>354.18</x:v>
      </x:c>
      <x:c r="J875" s="3"/>
      <x:c r="K875" s="3"/>
      <x:c r="L875" s="3"/>
    </x:row>
    <x:row r="876" ht="22" customHeight="1">
      <x:c r="A876" s="3"/>
      <x:c r="B876" s="3" t="str">
        <x:v>17090</x:v>
      </x:c>
      <x:c r="C876" s="3" t="n">
        <x:v>7</x:v>
      </x:c>
      <x:c r="D876" s="51" t="n">
        <x:v>40882</x:v>
      </x:c>
      <x:c r="E876" s="3" t="str">
        <x:v>Recurrente</x:v>
      </x:c>
      <x:c r="F876" s="13" t="n">
        <x:v>2043.95</x:v>
      </x:c>
      <x:c r="G876" s="13" t="n">
        <x:v>2.1</x:v>
      </x:c>
      <x:c r="H876" s="13" t="n">
        <x:f>F876-G876</x:f>
        <x:v>2041.8500000000001</x:v>
      </x:c>
      <x:c r="I876" s="13" t="n">
        <x:f>IF(C876=0,"n.a.",F876/C876)</x:f>
        <x:v>291.99285714285713</x:v>
      </x:c>
      <x:c r="J876" s="3"/>
      <x:c r="K876" s="3"/>
      <x:c r="L876" s="3"/>
    </x:row>
    <x:row r="877" ht="22" customHeight="1">
      <x:c r="A877" s="3"/>
      <x:c r="B877" s="3" t="str">
        <x:v>16409</x:v>
      </x:c>
      <x:c r="C877" s="3" t="n">
        <x:v>5</x:v>
      </x:c>
      <x:c r="D877" s="51" t="n">
        <x:v>40850</x:v>
      </x:c>
      <x:c r="E877" s="3" t="str">
        <x:v>Recurrente</x:v>
      </x:c>
      <x:c r="F877" s="13" t="n">
        <x:v>2028.88</x:v>
      </x:c>
      <x:c r="G877" s="13" t="n">
        <x:v>0</x:v>
      </x:c>
      <x:c r="H877" s="13" t="n">
        <x:f>F877-G877</x:f>
        <x:v>2028.88</x:v>
      </x:c>
      <x:c r="I877" s="13" t="n">
        <x:f>IF(C877=0,"n.a.",F877/C877)</x:f>
        <x:v>405.776</x:v>
      </x:c>
      <x:c r="J877" s="3"/>
      <x:c r="K877" s="3"/>
      <x:c r="L877" s="3"/>
    </x:row>
    <x:row r="878" ht="22" customHeight="1">
      <x:c r="A878" s="3"/>
      <x:c r="B878" s="3" t="str">
        <x:v>16358</x:v>
      </x:c>
      <x:c r="C878" s="3" t="n">
        <x:v>4</x:v>
      </x:c>
      <x:c r="D878" s="51" t="n">
        <x:v>40885</x:v>
      </x:c>
      <x:c r="E878" s="3" t="str">
        <x:v>Recurrente</x:v>
      </x:c>
      <x:c r="F878" s="13" t="n">
        <x:v>2027.5</x:v>
      </x:c>
      <x:c r="G878" s="13" t="n">
        <x:v>2.55</x:v>
      </x:c>
      <x:c r="H878" s="13" t="n">
        <x:f>F878-G878</x:f>
        <x:v>2024.95</x:v>
      </x:c>
      <x:c r="I878" s="13" t="n">
        <x:f>IF(C878=0,"n.a.",F878/C878)</x:f>
        <x:v>506.875</x:v>
      </x:c>
      <x:c r="J878" s="3"/>
      <x:c r="K878" s="3"/>
      <x:c r="L878" s="3"/>
    </x:row>
    <x:row r="879" ht="22" customHeight="1">
      <x:c r="A879" s="3"/>
      <x:c r="B879" s="3" t="str">
        <x:v>14544</x:v>
      </x:c>
      <x:c r="C879" s="3" t="n">
        <x:v>2</x:v>
      </x:c>
      <x:c r="D879" s="51" t="n">
        <x:v>40862</x:v>
      </x:c>
      <x:c r="E879" s="3" t="str">
        <x:v>Recurrente</x:v>
      </x:c>
      <x:c r="F879" s="13" t="n">
        <x:v>2024.45</x:v>
      </x:c>
      <x:c r="G879" s="13" t="n">
        <x:v>0</x:v>
      </x:c>
      <x:c r="H879" s="13" t="n">
        <x:f>F879-G879</x:f>
        <x:v>2024.45</x:v>
      </x:c>
      <x:c r="I879" s="13" t="n">
        <x:f>IF(C879=0,"n.a.",F879/C879)</x:f>
        <x:v>1012.225</x:v>
      </x:c>
      <x:c r="J879" s="3"/>
      <x:c r="K879" s="3"/>
      <x:c r="L879" s="3"/>
    </x:row>
    <x:row r="880" ht="22" customHeight="1">
      <x:c r="A880" s="3"/>
      <x:c r="B880" s="3" t="str">
        <x:v>16875</x:v>
      </x:c>
      <x:c r="C880" s="3" t="n">
        <x:v>5</x:v>
      </x:c>
      <x:c r="D880" s="51" t="n">
        <x:v>40819</x:v>
      </x:c>
      <x:c r="E880" s="3" t="str">
        <x:v>Recurrente</x:v>
      </x:c>
      <x:c r="F880" s="13" t="n">
        <x:v>2095.53</x:v>
      </x:c>
      <x:c r="G880" s="13" t="n">
        <x:v>72.06</x:v>
      </x:c>
      <x:c r="H880" s="13" t="n">
        <x:f>F880-G880</x:f>
        <x:v>2023.4700000000003</x:v>
      </x:c>
      <x:c r="I880" s="13" t="n">
        <x:f>IF(C880=0,"n.a.",F880/C880)</x:f>
        <x:v>419.10600000000005</x:v>
      </x:c>
      <x:c r="J880" s="3"/>
      <x:c r="K880" s="3"/>
      <x:c r="L880" s="3"/>
    </x:row>
    <x:row r="881" ht="22" customHeight="1">
      <x:c r="A881" s="3"/>
      <x:c r="B881" s="3" t="str">
        <x:v>18069</x:v>
      </x:c>
      <x:c r="C881" s="3" t="n">
        <x:v>5</x:v>
      </x:c>
      <x:c r="D881" s="51" t="n">
        <x:v>40860</x:v>
      </x:c>
      <x:c r="E881" s="3" t="str">
        <x:v>Recurrente</x:v>
      </x:c>
      <x:c r="F881" s="13" t="n">
        <x:v>2036.67</x:v>
      </x:c>
      <x:c r="G881" s="13" t="n">
        <x:v>14.85</x:v>
      </x:c>
      <x:c r="H881" s="13" t="n">
        <x:f>F881-G881</x:f>
        <x:v>2021.8200000000002</x:v>
      </x:c>
      <x:c r="I881" s="13" t="n">
        <x:f>IF(C881=0,"n.a.",F881/C881)</x:f>
        <x:v>407.334</x:v>
      </x:c>
      <x:c r="J881" s="3"/>
      <x:c r="K881" s="3"/>
      <x:c r="L881" s="3"/>
    </x:row>
    <x:row r="882" ht="22" customHeight="1">
      <x:c r="A882" s="3"/>
      <x:c r="B882" s="3" t="str">
        <x:v>15341</x:v>
      </x:c>
      <x:c r="C882" s="3" t="n">
        <x:v>1</x:v>
      </x:c>
      <x:c r="D882" s="51" t="n">
        <x:v>40806</x:v>
      </x:c>
      <x:c r="E882" s="3" t="str">
        <x:v>Una compra</x:v>
      </x:c>
      <x:c r="F882" s="13" t="n">
        <x:v>2020.52</x:v>
      </x:c>
      <x:c r="G882" s="13" t="n">
        <x:v>0</x:v>
      </x:c>
      <x:c r="H882" s="13" t="n">
        <x:f>F882-G882</x:f>
        <x:v>2020.52</x:v>
      </x:c>
      <x:c r="I882" s="13" t="n">
        <x:f>IF(C882=0,"n.a.",F882/C882)</x:f>
        <x:v>2020.52</x:v>
      </x:c>
      <x:c r="J882" s="3"/>
      <x:c r="K882" s="3"/>
      <x:c r="L882" s="3"/>
    </x:row>
    <x:row r="883" ht="22" customHeight="1">
      <x:c r="A883" s="3"/>
      <x:c r="B883" s="3" t="str">
        <x:v>18219</x:v>
      </x:c>
      <x:c r="C883" s="3" t="n">
        <x:v>10</x:v>
      </x:c>
      <x:c r="D883" s="51" t="n">
        <x:v>40884</x:v>
      </x:c>
      <x:c r="E883" s="3" t="str">
        <x:v>Recurrente</x:v>
      </x:c>
      <x:c r="F883" s="13" t="n">
        <x:v>2069.77</x:v>
      </x:c>
      <x:c r="G883" s="13" t="n">
        <x:v>50</x:v>
      </x:c>
      <x:c r="H883" s="13" t="n">
        <x:f>F883-G883</x:f>
        <x:v>2019.77</x:v>
      </x:c>
      <x:c r="I883" s="13" t="n">
        <x:f>IF(C883=0,"n.a.",F883/C883)</x:f>
        <x:v>206.977</x:v>
      </x:c>
      <x:c r="J883" s="3"/>
      <x:c r="K883" s="3"/>
      <x:c r="L883" s="3"/>
    </x:row>
    <x:row r="884" ht="22" customHeight="1">
      <x:c r="A884" s="3"/>
      <x:c r="B884" s="3" t="str">
        <x:v>14188</x:v>
      </x:c>
      <x:c r="C884" s="3" t="n">
        <x:v>6</x:v>
      </x:c>
      <x:c r="D884" s="51" t="n">
        <x:v>40856</x:v>
      </x:c>
      <x:c r="E884" s="3" t="str">
        <x:v>Recurrente</x:v>
      </x:c>
      <x:c r="F884" s="13" t="n">
        <x:v>2054.36</x:v>
      </x:c>
      <x:c r="G884" s="13" t="n">
        <x:v>35.45</x:v>
      </x:c>
      <x:c r="H884" s="13" t="n">
        <x:f>F884-G884</x:f>
        <x:v>2018.91</x:v>
      </x:c>
      <x:c r="I884" s="13" t="n">
        <x:f>IF(C884=0,"n.a.",F884/C884)</x:f>
        <x:v>342.3933333333334</x:v>
      </x:c>
      <x:c r="J884" s="3"/>
      <x:c r="K884" s="3"/>
      <x:c r="L884" s="3"/>
    </x:row>
    <x:row r="885" ht="22" customHeight="1">
      <x:c r="A885" s="3"/>
      <x:c r="B885" s="3" t="str">
        <x:v>14506</x:v>
      </x:c>
      <x:c r="C885" s="3" t="n">
        <x:v>5</x:v>
      </x:c>
      <x:c r="D885" s="51" t="n">
        <x:v>40869</x:v>
      </x:c>
      <x:c r="E885" s="3" t="str">
        <x:v>Recurrente</x:v>
      </x:c>
      <x:c r="F885" s="13" t="n">
        <x:v>2012.17</x:v>
      </x:c>
      <x:c r="G885" s="13" t="n">
        <x:v>0</x:v>
      </x:c>
      <x:c r="H885" s="13" t="n">
        <x:f>F885-G885</x:f>
        <x:v>2012.17</x:v>
      </x:c>
      <x:c r="I885" s="13" t="n">
        <x:f>IF(C885=0,"n.a.",F885/C885)</x:f>
        <x:v>402.434</x:v>
      </x:c>
      <x:c r="J885" s="3"/>
      <x:c r="K885" s="3"/>
      <x:c r="L885" s="3"/>
    </x:row>
    <x:row r="886" ht="22" customHeight="1">
      <x:c r="A886" s="3"/>
      <x:c r="B886" s="3" t="str">
        <x:v>15531</x:v>
      </x:c>
      <x:c r="C886" s="3" t="n">
        <x:v>2</x:v>
      </x:c>
      <x:c r="D886" s="51" t="n">
        <x:v>40878</x:v>
      </x:c>
      <x:c r="E886" s="3" t="str">
        <x:v>Recurrente</x:v>
      </x:c>
      <x:c r="F886" s="13" t="n">
        <x:v>2007.44</x:v>
      </x:c>
      <x:c r="G886" s="13" t="n">
        <x:v>0</x:v>
      </x:c>
      <x:c r="H886" s="13" t="n">
        <x:f>F886-G886</x:f>
        <x:v>2007.44</x:v>
      </x:c>
      <x:c r="I886" s="13" t="n">
        <x:f>IF(C886=0,"n.a.",F886/C886)</x:f>
        <x:v>1003.72</x:v>
      </x:c>
      <x:c r="J886" s="3"/>
      <x:c r="K886" s="3"/>
      <x:c r="L886" s="3"/>
    </x:row>
    <x:row r="887" ht="22" customHeight="1">
      <x:c r="A887" s="3"/>
      <x:c r="B887" s="3" t="str">
        <x:v>15372</x:v>
      </x:c>
      <x:c r="C887" s="3" t="n">
        <x:v>1</x:v>
      </x:c>
      <x:c r="D887" s="51" t="n">
        <x:v>40749</x:v>
      </x:c>
      <x:c r="E887" s="3" t="str">
        <x:v>Una compra</x:v>
      </x:c>
      <x:c r="F887" s="13" t="n">
        <x:v>2007.4</x:v>
      </x:c>
      <x:c r="G887" s="13" t="n">
        <x:v>0</x:v>
      </x:c>
      <x:c r="H887" s="13" t="n">
        <x:f>F887-G887</x:f>
        <x:v>2007.4</x:v>
      </x:c>
      <x:c r="I887" s="13" t="n">
        <x:f>IF(C887=0,"n.a.",F887/C887)</x:f>
        <x:v>2007.4</x:v>
      </x:c>
      <x:c r="J887" s="3"/>
      <x:c r="K887" s="3"/>
      <x:c r="L887" s="3"/>
    </x:row>
    <x:row r="888" ht="22" customHeight="1">
      <x:c r="A888" s="3"/>
      <x:c r="B888" s="3" t="str">
        <x:v>16098</x:v>
      </x:c>
      <x:c r="C888" s="3" t="n">
        <x:v>7</x:v>
      </x:c>
      <x:c r="D888" s="51" t="n">
        <x:v>40799</x:v>
      </x:c>
      <x:c r="E888" s="3" t="str">
        <x:v>Recurrente</x:v>
      </x:c>
      <x:c r="F888" s="13" t="n">
        <x:v>2005.63</x:v>
      </x:c>
      <x:c r="G888" s="13" t="n">
        <x:v>0</x:v>
      </x:c>
      <x:c r="H888" s="13" t="n">
        <x:f>F888-G888</x:f>
        <x:v>2005.63</x:v>
      </x:c>
      <x:c r="I888" s="13" t="n">
        <x:f>IF(C888=0,"n.a.",F888/C888)</x:f>
        <x:v>286.5185714285714</x:v>
      </x:c>
      <x:c r="J888" s="3"/>
      <x:c r="K888" s="3"/>
      <x:c r="L888" s="3"/>
    </x:row>
    <x:row r="889" ht="22" customHeight="1">
      <x:c r="A889" s="3"/>
      <x:c r="B889" s="3" t="str">
        <x:v>14730</x:v>
      </x:c>
      <x:c r="C889" s="3" t="n">
        <x:v>8</x:v>
      </x:c>
      <x:c r="D889" s="51" t="n">
        <x:v>40885</x:v>
      </x:c>
      <x:c r="E889" s="3" t="str">
        <x:v>Recurrente</x:v>
      </x:c>
      <x:c r="F889" s="13" t="n">
        <x:v>2005.06</x:v>
      </x:c>
      <x:c r="G889" s="13" t="n">
        <x:v>0</x:v>
      </x:c>
      <x:c r="H889" s="13" t="n">
        <x:f>F889-G889</x:f>
        <x:v>2005.06</x:v>
      </x:c>
      <x:c r="I889" s="13" t="n">
        <x:f>IF(C889=0,"n.a.",F889/C889)</x:f>
        <x:v>250.6325</x:v>
      </x:c>
      <x:c r="J889" s="3"/>
      <x:c r="K889" s="3"/>
      <x:c r="L889" s="3"/>
    </x:row>
    <x:row r="890" ht="22" customHeight="1">
      <x:c r="A890" s="3"/>
      <x:c r="B890" s="3" t="str">
        <x:v>17082</x:v>
      </x:c>
      <x:c r="C890" s="3" t="n">
        <x:v>2</x:v>
      </x:c>
      <x:c r="D890" s="51" t="n">
        <x:v>40853</x:v>
      </x:c>
      <x:c r="E890" s="3" t="str">
        <x:v>Recurrente</x:v>
      </x:c>
      <x:c r="F890" s="13" t="n">
        <x:v>2003.85</x:v>
      </x:c>
      <x:c r="G890" s="13" t="n">
        <x:v>0</x:v>
      </x:c>
      <x:c r="H890" s="13" t="n">
        <x:f>F890-G890</x:f>
        <x:v>2003.85</x:v>
      </x:c>
      <x:c r="I890" s="13" t="n">
        <x:f>IF(C890=0,"n.a.",F890/C890)</x:f>
        <x:v>1001.925</x:v>
      </x:c>
      <x:c r="J890" s="3"/>
      <x:c r="K890" s="3"/>
      <x:c r="L890" s="3"/>
    </x:row>
    <x:row r="891" ht="22" customHeight="1">
      <x:c r="A891" s="3"/>
      <x:c r="B891" s="3" t="str">
        <x:v>16754</x:v>
      </x:c>
      <x:c r="C891" s="3" t="n">
        <x:v>1</x:v>
      </x:c>
      <x:c r="D891" s="51" t="n">
        <x:v>40514</x:v>
      </x:c>
      <x:c r="E891" s="3" t="str">
        <x:v>Una compra</x:v>
      </x:c>
      <x:c r="F891" s="13" t="n">
        <x:v>2002.4</x:v>
      </x:c>
      <x:c r="G891" s="13" t="n">
        <x:v>0</x:v>
      </x:c>
      <x:c r="H891" s="13" t="n">
        <x:f>F891-G891</x:f>
        <x:v>2002.4</x:v>
      </x:c>
      <x:c r="I891" s="13" t="n">
        <x:f>IF(C891=0,"n.a.",F891/C891)</x:f>
        <x:v>2002.4</x:v>
      </x:c>
      <x:c r="J891" s="3"/>
      <x:c r="K891" s="3"/>
      <x:c r="L891" s="3"/>
    </x:row>
    <x:row r="892" ht="22" customHeight="1">
      <x:c r="A892" s="3"/>
      <x:c r="B892" s="3" t="str">
        <x:v>13305</x:v>
      </x:c>
      <x:c r="C892" s="3" t="n">
        <x:v>10</x:v>
      </x:c>
      <x:c r="D892" s="51" t="n">
        <x:v>40882</x:v>
      </x:c>
      <x:c r="E892" s="3" t="str">
        <x:v>Recurrente</x:v>
      </x:c>
      <x:c r="F892" s="13" t="n">
        <x:v>2000.86</x:v>
      </x:c>
      <x:c r="G892" s="13" t="n">
        <x:v>0</x:v>
      </x:c>
      <x:c r="H892" s="13" t="n">
        <x:f>F892-G892</x:f>
        <x:v>2000.86</x:v>
      </x:c>
      <x:c r="I892" s="13" t="n">
        <x:f>IF(C892=0,"n.a.",F892/C892)</x:f>
        <x:v>200.08599999999998</x:v>
      </x:c>
      <x:c r="J892" s="3"/>
      <x:c r="K892" s="3"/>
      <x:c r="L892" s="3"/>
    </x:row>
    <x:row r="893" ht="22" customHeight="1">
      <x:c r="A893" s="3"/>
      <x:c r="B893" s="3" t="str">
        <x:v>17612</x:v>
      </x:c>
      <x:c r="C893" s="3" t="n">
        <x:v>6</x:v>
      </x:c>
      <x:c r="D893" s="51" t="n">
        <x:v>40833</x:v>
      </x:c>
      <x:c r="E893" s="3" t="str">
        <x:v>Recurrente</x:v>
      </x:c>
      <x:c r="F893" s="13" t="n">
        <x:v>2048.45</x:v>
      </x:c>
      <x:c r="G893" s="13" t="n">
        <x:v>48.13</x:v>
      </x:c>
      <x:c r="H893" s="13" t="n">
        <x:f>F893-G893</x:f>
        <x:v>2000.3199999999997</x:v>
      </x:c>
      <x:c r="I893" s="13" t="n">
        <x:f>IF(C893=0,"n.a.",F893/C893)</x:f>
        <x:v>341.4083333333333</x:v>
      </x:c>
      <x:c r="J893" s="3"/>
      <x:c r="K893" s="3"/>
      <x:c r="L893" s="3"/>
    </x:row>
    <x:row r="894" ht="22" customHeight="1">
      <x:c r="A894" s="3"/>
      <x:c r="B894" s="3" t="str">
        <x:v>18188</x:v>
      </x:c>
      <x:c r="C894" s="3" t="n">
        <x:v>3</x:v>
      </x:c>
      <x:c r="D894" s="51" t="n">
        <x:v>40871</x:v>
      </x:c>
      <x:c r="E894" s="3" t="str">
        <x:v>Recurrente</x:v>
      </x:c>
      <x:c r="F894" s="13" t="n">
        <x:v>2001.04</x:v>
      </x:c>
      <x:c r="G894" s="13" t="n">
        <x:v>2.55</x:v>
      </x:c>
      <x:c r="H894" s="13" t="n">
        <x:f>F894-G894</x:f>
        <x:v>1998.49</x:v>
      </x:c>
      <x:c r="I894" s="13" t="n">
        <x:f>IF(C894=0,"n.a.",F894/C894)</x:f>
        <x:v>667.0133333333333</x:v>
      </x:c>
      <x:c r="J894" s="3"/>
      <x:c r="K894" s="3"/>
      <x:c r="L894" s="3"/>
    </x:row>
    <x:row r="895" ht="22" customHeight="1">
      <x:c r="A895" s="3"/>
      <x:c r="B895" s="3" t="str">
        <x:v>16698</x:v>
      </x:c>
      <x:c r="C895" s="3" t="n">
        <x:v>2</x:v>
      </x:c>
      <x:c r="D895" s="51" t="n">
        <x:v>40660</x:v>
      </x:c>
      <x:c r="E895" s="3" t="str">
        <x:v>Recurrente</x:v>
      </x:c>
      <x:c r="F895" s="13" t="n">
        <x:v>1998</x:v>
      </x:c>
      <x:c r="G895" s="13" t="n">
        <x:v>0</x:v>
      </x:c>
      <x:c r="H895" s="13" t="n">
        <x:f>F895-G895</x:f>
        <x:v>1998</x:v>
      </x:c>
      <x:c r="I895" s="13" t="n">
        <x:f>IF(C895=0,"n.a.",F895/C895)</x:f>
        <x:v>999</x:v>
      </x:c>
      <x:c r="J895" s="3"/>
      <x:c r="K895" s="3"/>
      <x:c r="L895" s="3"/>
    </x:row>
    <x:row r="896" ht="22" customHeight="1">
      <x:c r="A896" s="3"/>
      <x:c r="B896" s="3" t="str">
        <x:v>13630</x:v>
      </x:c>
      <x:c r="C896" s="3" t="n">
        <x:v>7</x:v>
      </x:c>
      <x:c r="D896" s="51" t="n">
        <x:v>40881</x:v>
      </x:c>
      <x:c r="E896" s="3" t="str">
        <x:v>Recurrente</x:v>
      </x:c>
      <x:c r="F896" s="13" t="n">
        <x:v>2031.78</x:v>
      </x:c>
      <x:c r="G896" s="13" t="n">
        <x:v>36.1</x:v>
      </x:c>
      <x:c r="H896" s="13" t="n">
        <x:f>F896-G896</x:f>
        <x:v>1995.68</x:v>
      </x:c>
      <x:c r="I896" s="13" t="n">
        <x:f>IF(C896=0,"n.a.",F896/C896)</x:f>
        <x:v>290.2542857142857</x:v>
      </x:c>
      <x:c r="J896" s="3"/>
      <x:c r="K896" s="3"/>
      <x:c r="L896" s="3"/>
    </x:row>
    <x:row r="897" ht="22" customHeight="1">
      <x:c r="A897" s="3"/>
      <x:c r="B897" s="3" t="str">
        <x:v>17827</x:v>
      </x:c>
      <x:c r="C897" s="3" t="n">
        <x:v>5</x:v>
      </x:c>
      <x:c r="D897" s="51" t="n">
        <x:v>40881</x:v>
      </x:c>
      <x:c r="E897" s="3" t="str">
        <x:v>Recurrente</x:v>
      </x:c>
      <x:c r="F897" s="13" t="n">
        <x:v>1995.46</x:v>
      </x:c>
      <x:c r="G897" s="13" t="n">
        <x:v>0</x:v>
      </x:c>
      <x:c r="H897" s="13" t="n">
        <x:f>F897-G897</x:f>
        <x:v>1995.46</x:v>
      </x:c>
      <x:c r="I897" s="13" t="n">
        <x:f>IF(C897=0,"n.a.",F897/C897)</x:f>
        <x:v>399.092</x:v>
      </x:c>
      <x:c r="J897" s="3"/>
      <x:c r="K897" s="3"/>
      <x:c r="L897" s="3"/>
    </x:row>
    <x:row r="898" ht="22" customHeight="1">
      <x:c r="A898" s="3"/>
      <x:c r="B898" s="3" t="str">
        <x:v>17679</x:v>
      </x:c>
      <x:c r="C898" s="3" t="n">
        <x:v>2</x:v>
      </x:c>
      <x:c r="D898" s="51" t="n">
        <x:v>40834</x:v>
      </x:c>
      <x:c r="E898" s="3" t="str">
        <x:v>Recurrente</x:v>
      </x:c>
      <x:c r="F898" s="13" t="n">
        <x:v>1992.11</x:v>
      </x:c>
      <x:c r="G898" s="13" t="n">
        <x:v>0</x:v>
      </x:c>
      <x:c r="H898" s="13" t="n">
        <x:f>F898-G898</x:f>
        <x:v>1992.11</x:v>
      </x:c>
      <x:c r="I898" s="13" t="n">
        <x:f>IF(C898=0,"n.a.",F898/C898)</x:f>
        <x:v>996.055</x:v>
      </x:c>
      <x:c r="J898" s="3"/>
      <x:c r="K898" s="3"/>
      <x:c r="L898" s="3"/>
    </x:row>
    <x:row r="899" ht="22" customHeight="1">
      <x:c r="A899" s="3"/>
      <x:c r="B899" s="3" t="str">
        <x:v>17088</x:v>
      </x:c>
      <x:c r="C899" s="3" t="n">
        <x:v>4</x:v>
      </x:c>
      <x:c r="D899" s="51" t="n">
        <x:v>40858</x:v>
      </x:c>
      <x:c r="E899" s="3" t="str">
        <x:v>Recurrente</x:v>
      </x:c>
      <x:c r="F899" s="13" t="n">
        <x:v>1991.01</x:v>
      </x:c>
      <x:c r="G899" s="13" t="n">
        <x:v>0</x:v>
      </x:c>
      <x:c r="H899" s="13" t="n">
        <x:f>F899-G899</x:f>
        <x:v>1991.01</x:v>
      </x:c>
      <x:c r="I899" s="13" t="n">
        <x:f>IF(C899=0,"n.a.",F899/C899)</x:f>
        <x:v>497.7525</x:v>
      </x:c>
      <x:c r="J899" s="3"/>
      <x:c r="K899" s="3"/>
      <x:c r="L899" s="3"/>
    </x:row>
    <x:row r="900" ht="22" customHeight="1">
      <x:c r="A900" s="3"/>
      <x:c r="B900" s="3" t="str">
        <x:v>13593</x:v>
      </x:c>
      <x:c r="C900" s="3" t="n">
        <x:v>5</x:v>
      </x:c>
      <x:c r="D900" s="51" t="n">
        <x:v>40778</x:v>
      </x:c>
      <x:c r="E900" s="3" t="str">
        <x:v>Recurrente</x:v>
      </x:c>
      <x:c r="F900" s="13" t="n">
        <x:v>2037.08</x:v>
      </x:c>
      <x:c r="G900" s="13" t="n">
        <x:v>46.8</x:v>
      </x:c>
      <x:c r="H900" s="13" t="n">
        <x:f>F900-G900</x:f>
        <x:v>1990.28</x:v>
      </x:c>
      <x:c r="I900" s="13" t="n">
        <x:f>IF(C900=0,"n.a.",F900/C900)</x:f>
        <x:v>407.416</x:v>
      </x:c>
      <x:c r="J900" s="3"/>
      <x:c r="K900" s="3"/>
      <x:c r="L900" s="3"/>
    </x:row>
    <x:row r="901" ht="22" customHeight="1">
      <x:c r="A901" s="3"/>
      <x:c r="B901" s="3" t="str">
        <x:v>13495</x:v>
      </x:c>
      <x:c r="C901" s="3" t="n">
        <x:v>5</x:v>
      </x:c>
      <x:c r="D901" s="51" t="n">
        <x:v>40879</x:v>
      </x:c>
      <x:c r="E901" s="3" t="str">
        <x:v>Recurrente</x:v>
      </x:c>
      <x:c r="F901" s="13" t="n">
        <x:v>2044.87</x:v>
      </x:c>
      <x:c r="G901" s="13" t="n">
        <x:v>54.75</x:v>
      </x:c>
      <x:c r="H901" s="13" t="n">
        <x:f>F901-G901</x:f>
        <x:v>1990.12</x:v>
      </x:c>
      <x:c r="I901" s="13" t="n">
        <x:f>IF(C901=0,"n.a.",F901/C901)</x:f>
        <x:v>408.974</x:v>
      </x:c>
      <x:c r="J901" s="3"/>
      <x:c r="K901" s="3"/>
      <x:c r="L901" s="3"/>
    </x:row>
    <x:row r="902" ht="22" customHeight="1">
      <x:c r="A902" s="3"/>
      <x:c r="B902" s="3" t="str">
        <x:v>18204</x:v>
      </x:c>
      <x:c r="C902" s="3" t="n">
        <x:v>3</x:v>
      </x:c>
      <x:c r="D902" s="51" t="n">
        <x:v>40815</x:v>
      </x:c>
      <x:c r="E902" s="3" t="str">
        <x:v>Recurrente</x:v>
      </x:c>
      <x:c r="F902" s="13" t="n">
        <x:v>1993.7</x:v>
      </x:c>
      <x:c r="G902" s="13" t="n">
        <x:v>14.4</x:v>
      </x:c>
      <x:c r="H902" s="13" t="n">
        <x:f>F902-G902</x:f>
        <x:v>1979.3</x:v>
      </x:c>
      <x:c r="I902" s="13" t="n">
        <x:f>IF(C902=0,"n.a.",F902/C902)</x:f>
        <x:v>664.5666666666667</x:v>
      </x:c>
      <x:c r="J902" s="3"/>
      <x:c r="K902" s="3"/>
      <x:c r="L902" s="3"/>
    </x:row>
    <x:row r="903" ht="22" customHeight="1">
      <x:c r="A903" s="3"/>
      <x:c r="B903" s="3" t="str">
        <x:v>13590</x:v>
      </x:c>
      <x:c r="C903" s="3" t="n">
        <x:v>6</x:v>
      </x:c>
      <x:c r="D903" s="51" t="n">
        <x:v>40875</x:v>
      </x:c>
      <x:c r="E903" s="3" t="str">
        <x:v>Recurrente</x:v>
      </x:c>
      <x:c r="F903" s="13" t="n">
        <x:v>1981.92</x:v>
      </x:c>
      <x:c r="G903" s="13" t="n">
        <x:v>5.8</x:v>
      </x:c>
      <x:c r="H903" s="13" t="n">
        <x:f>F903-G903</x:f>
        <x:v>1976.1200000000001</x:v>
      </x:c>
      <x:c r="I903" s="13" t="n">
        <x:f>IF(C903=0,"n.a.",F903/C903)</x:f>
        <x:v>330.32</x:v>
      </x:c>
      <x:c r="J903" s="3"/>
      <x:c r="K903" s="3"/>
      <x:c r="L903" s="3"/>
    </x:row>
    <x:row r="904" ht="22" customHeight="1">
      <x:c r="A904" s="3"/>
      <x:c r="B904" s="3" t="str">
        <x:v>15493</x:v>
      </x:c>
      <x:c r="C904" s="3" t="n">
        <x:v>5</x:v>
      </x:c>
      <x:c r="D904" s="51" t="n">
        <x:v>40854</x:v>
      </x:c>
      <x:c r="E904" s="3" t="str">
        <x:v>Recurrente</x:v>
      </x:c>
      <x:c r="F904" s="13" t="n">
        <x:v>2001.8</x:v>
      </x:c>
      <x:c r="G904" s="13" t="n">
        <x:v>34.55</x:v>
      </x:c>
      <x:c r="H904" s="13" t="n">
        <x:f>F904-G904</x:f>
        <x:v>1967.25</x:v>
      </x:c>
      <x:c r="I904" s="13" t="n">
        <x:f>IF(C904=0,"n.a.",F904/C904)</x:f>
        <x:v>400.36</x:v>
      </x:c>
      <x:c r="J904" s="3"/>
      <x:c r="K904" s="3"/>
      <x:c r="L904" s="3"/>
    </x:row>
    <x:row r="905" ht="22" customHeight="1">
      <x:c r="A905" s="3"/>
      <x:c r="B905" s="3" t="str">
        <x:v>14462</x:v>
      </x:c>
      <x:c r="C905" s="3" t="n">
        <x:v>11</x:v>
      </x:c>
      <x:c r="D905" s="51" t="n">
        <x:v>40820</x:v>
      </x:c>
      <x:c r="E905" s="3" t="str">
        <x:v>Recurrente</x:v>
      </x:c>
      <x:c r="F905" s="13" t="n">
        <x:v>1999.02</x:v>
      </x:c>
      <x:c r="G905" s="13" t="n">
        <x:v>33.12</x:v>
      </x:c>
      <x:c r="H905" s="13" t="n">
        <x:f>F905-G905</x:f>
        <x:v>1965.9</x:v>
      </x:c>
      <x:c r="I905" s="13" t="n">
        <x:f>IF(C905=0,"n.a.",F905/C905)</x:f>
        <x:v>181.7290909090909</x:v>
      </x:c>
      <x:c r="J905" s="3"/>
      <x:c r="K905" s="3"/>
      <x:c r="L905" s="3"/>
    </x:row>
    <x:row r="906" ht="22" customHeight="1">
      <x:c r="A906" s="3"/>
      <x:c r="B906" s="3" t="str">
        <x:v>17790</x:v>
      </x:c>
      <x:c r="C906" s="3" t="n">
        <x:v>14</x:v>
      </x:c>
      <x:c r="D906" s="51" t="n">
        <x:v>40860</x:v>
      </x:c>
      <x:c r="E906" s="3" t="str">
        <x:v>Recurrente</x:v>
      </x:c>
      <x:c r="F906" s="13" t="n">
        <x:v>1965.55</x:v>
      </x:c>
      <x:c r="G906" s="13" t="n">
        <x:v>0</x:v>
      </x:c>
      <x:c r="H906" s="13" t="n">
        <x:f>F906-G906</x:f>
        <x:v>1965.55</x:v>
      </x:c>
      <x:c r="I906" s="13" t="n">
        <x:f>IF(C906=0,"n.a.",F906/C906)</x:f>
        <x:v>140.39642857142857</x:v>
      </x:c>
      <x:c r="J906" s="3"/>
      <x:c r="K906" s="3"/>
      <x:c r="L906" s="3"/>
    </x:row>
    <x:row r="907" ht="22" customHeight="1">
      <x:c r="A907" s="3"/>
      <x:c r="B907" s="3" t="str">
        <x:v>17218</x:v>
      </x:c>
      <x:c r="C907" s="3" t="n">
        <x:v>10</x:v>
      </x:c>
      <x:c r="D907" s="51" t="n">
        <x:v>40882</x:v>
      </x:c>
      <x:c r="E907" s="3" t="str">
        <x:v>Recurrente</x:v>
      </x:c>
      <x:c r="F907" s="13" t="n">
        <x:v>1960.72</x:v>
      </x:c>
      <x:c r="G907" s="13" t="n">
        <x:v>0</x:v>
      </x:c>
      <x:c r="H907" s="13" t="n">
        <x:f>F907-G907</x:f>
        <x:v>1960.72</x:v>
      </x:c>
      <x:c r="I907" s="13" t="n">
        <x:f>IF(C907=0,"n.a.",F907/C907)</x:f>
        <x:v>196.072</x:v>
      </x:c>
      <x:c r="J907" s="3"/>
      <x:c r="K907" s="3"/>
      <x:c r="L907" s="3"/>
    </x:row>
    <x:row r="908" ht="22" customHeight="1">
      <x:c r="A908" s="3"/>
      <x:c r="B908" s="3" t="str">
        <x:v>16341</x:v>
      </x:c>
      <x:c r="C908" s="3" t="n">
        <x:v>4</x:v>
      </x:c>
      <x:c r="D908" s="51" t="n">
        <x:v>40862</x:v>
      </x:c>
      <x:c r="E908" s="3" t="str">
        <x:v>Recurrente</x:v>
      </x:c>
      <x:c r="F908" s="13" t="n">
        <x:v>1971.87</x:v>
      </x:c>
      <x:c r="G908" s="13" t="n">
        <x:v>12.49</x:v>
      </x:c>
      <x:c r="H908" s="13" t="n">
        <x:f>F908-G908</x:f>
        <x:v>1959.3799999999999</x:v>
      </x:c>
      <x:c r="I908" s="13" t="n">
        <x:f>IF(C908=0,"n.a.",F908/C908)</x:f>
        <x:v>492.9675</x:v>
      </x:c>
      <x:c r="J908" s="3"/>
      <x:c r="K908" s="3"/>
      <x:c r="L908" s="3"/>
    </x:row>
    <x:row r="909" ht="22" customHeight="1">
      <x:c r="A909" s="3"/>
      <x:c r="B909" s="3" t="str">
        <x:v>14498</x:v>
      </x:c>
      <x:c r="C909" s="3" t="n">
        <x:v>5</x:v>
      </x:c>
      <x:c r="D909" s="51" t="n">
        <x:v>40844</x:v>
      </x:c>
      <x:c r="E909" s="3" t="str">
        <x:v>Recurrente</x:v>
      </x:c>
      <x:c r="F909" s="13" t="n">
        <x:v>1957.32</x:v>
      </x:c>
      <x:c r="G909" s="13" t="n">
        <x:v>0</x:v>
      </x:c>
      <x:c r="H909" s="13" t="n">
        <x:f>F909-G909</x:f>
        <x:v>1957.32</x:v>
      </x:c>
      <x:c r="I909" s="13" t="n">
        <x:f>IF(C909=0,"n.a.",F909/C909)</x:f>
        <x:v>391.464</x:v>
      </x:c>
      <x:c r="J909" s="3"/>
      <x:c r="K909" s="3"/>
      <x:c r="L909" s="3"/>
    </x:row>
    <x:row r="910" ht="22" customHeight="1">
      <x:c r="A910" s="3"/>
      <x:c r="B910" s="3" t="str">
        <x:v>17554</x:v>
      </x:c>
      <x:c r="C910" s="3" t="n">
        <x:v>5</x:v>
      </x:c>
      <x:c r="D910" s="51" t="n">
        <x:v>40885</x:v>
      </x:c>
      <x:c r="E910" s="3" t="str">
        <x:v>Recurrente</x:v>
      </x:c>
      <x:c r="F910" s="13" t="n">
        <x:v>1952.45</x:v>
      </x:c>
      <x:c r="G910" s="13" t="n">
        <x:v>0</x:v>
      </x:c>
      <x:c r="H910" s="13" t="n">
        <x:f>F910-G910</x:f>
        <x:v>1952.45</x:v>
      </x:c>
      <x:c r="I910" s="13" t="n">
        <x:f>IF(C910=0,"n.a.",F910/C910)</x:f>
        <x:v>390.49</x:v>
      </x:c>
      <x:c r="J910" s="3"/>
      <x:c r="K910" s="3"/>
      <x:c r="L910" s="3"/>
    </x:row>
    <x:row r="911" ht="22" customHeight="1">
      <x:c r="A911" s="3"/>
      <x:c r="B911" s="3" t="str">
        <x:v>12501</x:v>
      </x:c>
      <x:c r="C911" s="3" t="n">
        <x:v>1</x:v>
      </x:c>
      <x:c r="D911" s="51" t="n">
        <x:v>40550</x:v>
      </x:c>
      <x:c r="E911" s="3" t="str">
        <x:v>Una compra</x:v>
      </x:c>
      <x:c r="F911" s="13" t="n">
        <x:v>2025.39</x:v>
      </x:c>
      <x:c r="G911" s="13" t="n">
        <x:v>79.71</x:v>
      </x:c>
      <x:c r="H911" s="13" t="n">
        <x:f>F911-G911</x:f>
        <x:v>1945.68</x:v>
      </x:c>
      <x:c r="I911" s="13" t="n">
        <x:f>IF(C911=0,"n.a.",F911/C911)</x:f>
        <x:v>2025.39</x:v>
      </x:c>
      <x:c r="J911" s="3"/>
      <x:c r="K911" s="3"/>
      <x:c r="L911" s="3"/>
    </x:row>
    <x:row r="912" ht="22" customHeight="1">
      <x:c r="A912" s="3"/>
      <x:c r="B912" s="3" t="str">
        <x:v>17337</x:v>
      </x:c>
      <x:c r="C912" s="3" t="n">
        <x:v>4</x:v>
      </x:c>
      <x:c r="D912" s="51" t="n">
        <x:v>40735</x:v>
      </x:c>
      <x:c r="E912" s="3" t="str">
        <x:v>Recurrente</x:v>
      </x:c>
      <x:c r="F912" s="13" t="n">
        <x:v>2026.42</x:v>
      </x:c>
      <x:c r="G912" s="13" t="n">
        <x:v>83.55</x:v>
      </x:c>
      <x:c r="H912" s="13" t="n">
        <x:f>F912-G912</x:f>
        <x:v>1942.8700000000001</x:v>
      </x:c>
      <x:c r="I912" s="13" t="n">
        <x:f>IF(C912=0,"n.a.",F912/C912)</x:f>
        <x:v>506.605</x:v>
      </x:c>
      <x:c r="J912" s="3"/>
      <x:c r="K912" s="3"/>
      <x:c r="L912" s="3"/>
    </x:row>
    <x:row r="913" ht="22" customHeight="1">
      <x:c r="A913" s="3"/>
      <x:c r="B913" s="3" t="str">
        <x:v>14653</x:v>
      </x:c>
      <x:c r="C913" s="3" t="n">
        <x:v>7</x:v>
      </x:c>
      <x:c r="D913" s="51" t="n">
        <x:v>40885</x:v>
      </x:c>
      <x:c r="E913" s="3" t="str">
        <x:v>Recurrente</x:v>
      </x:c>
      <x:c r="F913" s="13" t="n">
        <x:v>1937.6</x:v>
      </x:c>
      <x:c r="G913" s="13" t="n">
        <x:v>0</x:v>
      </x:c>
      <x:c r="H913" s="13" t="n">
        <x:f>F913-G913</x:f>
        <x:v>1937.6</x:v>
      </x:c>
      <x:c r="I913" s="13" t="n">
        <x:f>IF(C913=0,"n.a.",F913/C913)</x:f>
        <x:v>276.8</x:v>
      </x:c>
      <x:c r="J913" s="3"/>
      <x:c r="K913" s="3"/>
      <x:c r="L913" s="3"/>
    </x:row>
    <x:row r="914" ht="22" customHeight="1">
      <x:c r="A914" s="3"/>
      <x:c r="B914" s="3" t="str">
        <x:v>14418</x:v>
      </x:c>
      <x:c r="C914" s="3" t="n">
        <x:v>3</x:v>
      </x:c>
      <x:c r="D914" s="51" t="n">
        <x:v>40883</x:v>
      </x:c>
      <x:c r="E914" s="3" t="str">
        <x:v>Recurrente</x:v>
      </x:c>
      <x:c r="F914" s="13" t="n">
        <x:v>1937.25</x:v>
      </x:c>
      <x:c r="G914" s="13" t="n">
        <x:v>0</x:v>
      </x:c>
      <x:c r="H914" s="13" t="n">
        <x:f>F914-G914</x:f>
        <x:v>1937.25</x:v>
      </x:c>
      <x:c r="I914" s="13" t="n">
        <x:f>IF(C914=0,"n.a.",F914/C914)</x:f>
        <x:v>645.75</x:v>
      </x:c>
      <x:c r="J914" s="3"/>
      <x:c r="K914" s="3"/>
      <x:c r="L914" s="3"/>
    </x:row>
    <x:row r="915" ht="22" customHeight="1">
      <x:c r="A915" s="3"/>
      <x:c r="B915" s="3" t="str">
        <x:v>14472</x:v>
      </x:c>
      <x:c r="C915" s="3" t="n">
        <x:v>8</x:v>
      </x:c>
      <x:c r="D915" s="51" t="n">
        <x:v>40783</x:v>
      </x:c>
      <x:c r="E915" s="3" t="str">
        <x:v>Recurrente</x:v>
      </x:c>
      <x:c r="F915" s="13" t="n">
        <x:v>1936.84</x:v>
      </x:c>
      <x:c r="G915" s="13" t="n">
        <x:v>0</x:v>
      </x:c>
      <x:c r="H915" s="13" t="n">
        <x:f>F915-G915</x:f>
        <x:v>1936.84</x:v>
      </x:c>
      <x:c r="I915" s="13" t="n">
        <x:f>IF(C915=0,"n.a.",F915/C915)</x:f>
        <x:v>242.105</x:v>
      </x:c>
      <x:c r="J915" s="3"/>
      <x:c r="K915" s="3"/>
      <x:c r="L915" s="3"/>
    </x:row>
    <x:row r="916" ht="22" customHeight="1">
      <x:c r="A916" s="3"/>
      <x:c r="B916" s="3" t="str">
        <x:v>17490</x:v>
      </x:c>
      <x:c r="C916" s="3" t="n">
        <x:v>7</x:v>
      </x:c>
      <x:c r="D916" s="51" t="n">
        <x:v>40886</x:v>
      </x:c>
      <x:c r="E916" s="3" t="str">
        <x:v>Recurrente</x:v>
      </x:c>
      <x:c r="F916" s="13" t="n">
        <x:v>2092.32</x:v>
      </x:c>
      <x:c r="G916" s="13" t="n">
        <x:v>155.49</x:v>
      </x:c>
      <x:c r="H916" s="13" t="n">
        <x:f>F916-G916</x:f>
        <x:v>1936.8300000000002</x:v>
      </x:c>
      <x:c r="I916" s="13" t="n">
        <x:f>IF(C916=0,"n.a.",F916/C916)</x:f>
        <x:v>298.90285714285716</x:v>
      </x:c>
      <x:c r="J916" s="3"/>
      <x:c r="K916" s="3"/>
      <x:c r="L916" s="3"/>
    </x:row>
    <x:row r="917" ht="22" customHeight="1">
      <x:c r="A917" s="3"/>
      <x:c r="B917" s="3" t="str">
        <x:v>14978</x:v>
      </x:c>
      <x:c r="C917" s="3" t="n">
        <x:v>5</x:v>
      </x:c>
      <x:c r="D917" s="51" t="n">
        <x:v>40814</x:v>
      </x:c>
      <x:c r="E917" s="3" t="str">
        <x:v>Recurrente</x:v>
      </x:c>
      <x:c r="F917" s="13" t="n">
        <x:v>1931.42</x:v>
      </x:c>
      <x:c r="G917" s="13" t="n">
        <x:v>0</x:v>
      </x:c>
      <x:c r="H917" s="13" t="n">
        <x:f>F917-G917</x:f>
        <x:v>1931.42</x:v>
      </x:c>
      <x:c r="I917" s="13" t="n">
        <x:f>IF(C917=0,"n.a.",F917/C917)</x:f>
        <x:v>386.284</x:v>
      </x:c>
      <x:c r="J917" s="3"/>
      <x:c r="K917" s="3"/>
      <x:c r="L917" s="3"/>
    </x:row>
    <x:row r="918" ht="22" customHeight="1">
      <x:c r="A918" s="3"/>
      <x:c r="B918" s="3" t="str">
        <x:v>14655</x:v>
      </x:c>
      <x:c r="C918" s="3" t="n">
        <x:v>4</x:v>
      </x:c>
      <x:c r="D918" s="51" t="n">
        <x:v>40878</x:v>
      </x:c>
      <x:c r="E918" s="3" t="str">
        <x:v>Recurrente</x:v>
      </x:c>
      <x:c r="F918" s="13" t="n">
        <x:v>1932.23</x:v>
      </x:c>
      <x:c r="G918" s="13" t="n">
        <x:v>2.08</x:v>
      </x:c>
      <x:c r="H918" s="13" t="n">
        <x:f>F918-G918</x:f>
        <x:v>1930.15</x:v>
      </x:c>
      <x:c r="I918" s="13" t="n">
        <x:f>IF(C918=0,"n.a.",F918/C918)</x:f>
        <x:v>483.0575</x:v>
      </x:c>
      <x:c r="J918" s="3"/>
      <x:c r="K918" s="3"/>
      <x:c r="L918" s="3"/>
    </x:row>
    <x:row r="919" ht="22" customHeight="1">
      <x:c r="A919" s="3"/>
      <x:c r="B919" s="3" t="str">
        <x:v>17406</x:v>
      </x:c>
      <x:c r="C919" s="3" t="n">
        <x:v>3</x:v>
      </x:c>
      <x:c r="D919" s="51" t="n">
        <x:v>40553</x:v>
      </x:c>
      <x:c r="E919" s="3" t="str">
        <x:v>Recurrente</x:v>
      </x:c>
      <x:c r="F919" s="13" t="n">
        <x:v>2200.42</x:v>
      </x:c>
      <x:c r="G919" s="13" t="n">
        <x:v>271.7</x:v>
      </x:c>
      <x:c r="H919" s="13" t="n">
        <x:f>F919-G919</x:f>
        <x:v>1928.72</x:v>
      </x:c>
      <x:c r="I919" s="13" t="n">
        <x:f>IF(C919=0,"n.a.",F919/C919)</x:f>
        <x:v>733.4733333333334</x:v>
      </x:c>
      <x:c r="J919" s="3"/>
      <x:c r="K919" s="3"/>
      <x:c r="L919" s="3"/>
    </x:row>
    <x:row r="920" ht="22" customHeight="1">
      <x:c r="A920" s="3"/>
      <x:c r="B920" s="3" t="str">
        <x:v>14217</x:v>
      </x:c>
      <x:c r="C920" s="3" t="n">
        <x:v>17</x:v>
      </x:c>
      <x:c r="D920" s="51" t="n">
        <x:v>40885</x:v>
      </x:c>
      <x:c r="E920" s="3" t="str">
        <x:v>Recurrente</x:v>
      </x:c>
      <x:c r="F920" s="13" t="n">
        <x:v>2004.98</x:v>
      </x:c>
      <x:c r="G920" s="13" t="n">
        <x:v>79.62</x:v>
      </x:c>
      <x:c r="H920" s="13" t="n">
        <x:f>F920-G920</x:f>
        <x:v>1925.3600000000001</x:v>
      </x:c>
      <x:c r="I920" s="13" t="n">
        <x:f>IF(C920=0,"n.a.",F920/C920)</x:f>
        <x:v>117.94</x:v>
      </x:c>
      <x:c r="J920" s="3"/>
      <x:c r="K920" s="3"/>
      <x:c r="L920" s="3"/>
    </x:row>
    <x:row r="921" ht="22" customHeight="1">
      <x:c r="A921" s="3"/>
      <x:c r="B921" s="3" t="str">
        <x:v>13246</x:v>
      </x:c>
      <x:c r="C921" s="3" t="n">
        <x:v>6</x:v>
      </x:c>
      <x:c r="D921" s="51" t="n">
        <x:v>40868</x:v>
      </x:c>
      <x:c r="E921" s="3" t="str">
        <x:v>Recurrente</x:v>
      </x:c>
      <x:c r="F921" s="13" t="n">
        <x:v>1987.3</x:v>
      </x:c>
      <x:c r="G921" s="13" t="n">
        <x:v>65.2</x:v>
      </x:c>
      <x:c r="H921" s="13" t="n">
        <x:f>F921-G921</x:f>
        <x:v>1922.1</x:v>
      </x:c>
      <x:c r="I921" s="13" t="n">
        <x:f>IF(C921=0,"n.a.",F921/C921)</x:f>
        <x:v>331.21666666666664</x:v>
      </x:c>
      <x:c r="J921" s="3"/>
      <x:c r="K921" s="3"/>
      <x:c r="L921" s="3"/>
    </x:row>
    <x:row r="922" ht="22" customHeight="1">
      <x:c r="A922" s="3"/>
      <x:c r="B922" s="3" t="str">
        <x:v>16983</x:v>
      </x:c>
      <x:c r="C922" s="3" t="n">
        <x:v>7</x:v>
      </x:c>
      <x:c r="D922" s="51" t="n">
        <x:v>40874</x:v>
      </x:c>
      <x:c r="E922" s="3" t="str">
        <x:v>Recurrente</x:v>
      </x:c>
      <x:c r="F922" s="13" t="n">
        <x:v>1931.25</x:v>
      </x:c>
      <x:c r="G922" s="13" t="n">
        <x:v>11.05</x:v>
      </x:c>
      <x:c r="H922" s="13" t="n">
        <x:f>F922-G922</x:f>
        <x:v>1920.2</x:v>
      </x:c>
      <x:c r="I922" s="13" t="n">
        <x:f>IF(C922=0,"n.a.",F922/C922)</x:f>
        <x:v>275.89285714285717</x:v>
      </x:c>
      <x:c r="J922" s="3"/>
      <x:c r="K922" s="3"/>
      <x:c r="L922" s="3"/>
    </x:row>
    <x:row r="923" ht="22" customHeight="1">
      <x:c r="A923" s="3"/>
      <x:c r="B923" s="3" t="str">
        <x:v>15518</x:v>
      </x:c>
      <x:c r="C923" s="3" t="n">
        <x:v>8</x:v>
      </x:c>
      <x:c r="D923" s="51" t="n">
        <x:v>40822</x:v>
      </x:c>
      <x:c r="E923" s="3" t="str">
        <x:v>Recurrente</x:v>
      </x:c>
      <x:c r="F923" s="13" t="n">
        <x:v>1942.45</x:v>
      </x:c>
      <x:c r="G923" s="13" t="n">
        <x:v>23.8</x:v>
      </x:c>
      <x:c r="H923" s="13" t="n">
        <x:f>F923-G923</x:f>
        <x:v>1918.65</x:v>
      </x:c>
      <x:c r="I923" s="13" t="n">
        <x:f>IF(C923=0,"n.a.",F923/C923)</x:f>
        <x:v>242.80625</x:v>
      </x:c>
      <x:c r="J923" s="3"/>
      <x:c r="K923" s="3"/>
      <x:c r="L923" s="3"/>
    </x:row>
    <x:row r="924" ht="22" customHeight="1">
      <x:c r="A924" s="3"/>
      <x:c r="B924" s="3" t="str">
        <x:v>14285</x:v>
      </x:c>
      <x:c r="C924" s="3" t="n">
        <x:v>4</x:v>
      </x:c>
      <x:c r="D924" s="51" t="n">
        <x:v>40865</x:v>
      </x:c>
      <x:c r="E924" s="3" t="str">
        <x:v>Recurrente</x:v>
      </x:c>
      <x:c r="F924" s="13" t="n">
        <x:v>1910.01</x:v>
      </x:c>
      <x:c r="G924" s="13" t="n">
        <x:v>0</x:v>
      </x:c>
      <x:c r="H924" s="13" t="n">
        <x:f>F924-G924</x:f>
        <x:v>1910.01</x:v>
      </x:c>
      <x:c r="I924" s="13" t="n">
        <x:f>IF(C924=0,"n.a.",F924/C924)</x:f>
        <x:v>477.5025</x:v>
      </x:c>
      <x:c r="J924" s="3"/>
      <x:c r="K924" s="3"/>
      <x:c r="L924" s="3"/>
    </x:row>
    <x:row r="925" ht="22" customHeight="1">
      <x:c r="A925" s="3"/>
      <x:c r="B925" s="3" t="str">
        <x:v>14409</x:v>
      </x:c>
      <x:c r="C925" s="3" t="n">
        <x:v>6</x:v>
      </x:c>
      <x:c r="D925" s="51" t="n">
        <x:v>40815</x:v>
      </x:c>
      <x:c r="E925" s="3" t="str">
        <x:v>Recurrente</x:v>
      </x:c>
      <x:c r="F925" s="13" t="n">
        <x:v>2059.45</x:v>
      </x:c>
      <x:c r="G925" s="13" t="n">
        <x:v>151.2</x:v>
      </x:c>
      <x:c r="H925" s="13" t="n">
        <x:f>F925-G925</x:f>
        <x:v>1908.2499999999998</x:v>
      </x:c>
      <x:c r="I925" s="13" t="n">
        <x:f>IF(C925=0,"n.a.",F925/C925)</x:f>
        <x:v>343.2416666666666</x:v>
      </x:c>
      <x:c r="J925" s="3"/>
      <x:c r="K925" s="3"/>
      <x:c r="L925" s="3"/>
    </x:row>
    <x:row r="926" ht="22" customHeight="1">
      <x:c r="A926" s="3"/>
      <x:c r="B926" s="3" t="str">
        <x:v>16426</x:v>
      </x:c>
      <x:c r="C926" s="3" t="n">
        <x:v>10</x:v>
      </x:c>
      <x:c r="D926" s="51" t="n">
        <x:v>40884</x:v>
      </x:c>
      <x:c r="E926" s="3" t="str">
        <x:v>Recurrente</x:v>
      </x:c>
      <x:c r="F926" s="13" t="n">
        <x:v>1908.25</x:v>
      </x:c>
      <x:c r="G926" s="13" t="n">
        <x:v>0</x:v>
      </x:c>
      <x:c r="H926" s="13" t="n">
        <x:f>F926-G926</x:f>
        <x:v>1908.25</x:v>
      </x:c>
      <x:c r="I926" s="13" t="n">
        <x:f>IF(C926=0,"n.a.",F926/C926)</x:f>
        <x:v>190.825</x:v>
      </x:c>
      <x:c r="J926" s="3"/>
      <x:c r="K926" s="3"/>
      <x:c r="L926" s="3"/>
    </x:row>
    <x:row r="927" ht="22" customHeight="1">
      <x:c r="A927" s="3"/>
      <x:c r="B927" s="3" t="str">
        <x:v>12633</x:v>
      </x:c>
      <x:c r="C927" s="3" t="n">
        <x:v>4</x:v>
      </x:c>
      <x:c r="D927" s="51" t="n">
        <x:v>40828</x:v>
      </x:c>
      <x:c r="E927" s="3" t="str">
        <x:v>Recurrente</x:v>
      </x:c>
      <x:c r="F927" s="13" t="n">
        <x:v>1929.98</x:v>
      </x:c>
      <x:c r="G927" s="13" t="n">
        <x:v>23.35</x:v>
      </x:c>
      <x:c r="H927" s="13" t="n">
        <x:f>F927-G927</x:f>
        <x:v>1906.63</x:v>
      </x:c>
      <x:c r="I927" s="13" t="n">
        <x:f>IF(C927=0,"n.a.",F927/C927)</x:f>
        <x:v>482.495</x:v>
      </x:c>
      <x:c r="J927" s="3"/>
      <x:c r="K927" s="3"/>
      <x:c r="L927" s="3"/>
    </x:row>
    <x:row r="928" ht="22" customHeight="1">
      <x:c r="A928" s="3"/>
      <x:c r="B928" s="3" t="str">
        <x:v>17228</x:v>
      </x:c>
      <x:c r="C928" s="3" t="n">
        <x:v>8</x:v>
      </x:c>
      <x:c r="D928" s="51" t="n">
        <x:v>40871</x:v>
      </x:c>
      <x:c r="E928" s="3" t="str">
        <x:v>Recurrente</x:v>
      </x:c>
      <x:c r="F928" s="13" t="n">
        <x:v>1906.09</x:v>
      </x:c>
      <x:c r="G928" s="13" t="n">
        <x:v>0</x:v>
      </x:c>
      <x:c r="H928" s="13" t="n">
        <x:f>F928-G928</x:f>
        <x:v>1906.09</x:v>
      </x:c>
      <x:c r="I928" s="13" t="n">
        <x:f>IF(C928=0,"n.a.",F928/C928)</x:f>
        <x:v>238.26125</x:v>
      </x:c>
      <x:c r="J928" s="3"/>
      <x:c r="K928" s="3"/>
      <x:c r="L928" s="3"/>
    </x:row>
    <x:row r="929" ht="22" customHeight="1">
      <x:c r="A929" s="3"/>
      <x:c r="B929" s="3" t="str">
        <x:v>16150</x:v>
      </x:c>
      <x:c r="C929" s="3" t="n">
        <x:v>5</x:v>
      </x:c>
      <x:c r="D929" s="51" t="n">
        <x:v>40844</x:v>
      </x:c>
      <x:c r="E929" s="3" t="str">
        <x:v>Recurrente</x:v>
      </x:c>
      <x:c r="F929" s="13" t="n">
        <x:v>2053.02</x:v>
      </x:c>
      <x:c r="G929" s="13" t="n">
        <x:v>146.95</x:v>
      </x:c>
      <x:c r="H929" s="13" t="n">
        <x:f>F929-G929</x:f>
        <x:v>1906.07</x:v>
      </x:c>
      <x:c r="I929" s="13" t="n">
        <x:f>IF(C929=0,"n.a.",F929/C929)</x:f>
        <x:v>410.604</x:v>
      </x:c>
      <x:c r="J929" s="3"/>
      <x:c r="K929" s="3"/>
      <x:c r="L929" s="3"/>
    </x:row>
    <x:row r="930" ht="22" customHeight="1">
      <x:c r="A930" s="3"/>
      <x:c r="B930" s="3" t="str">
        <x:v>15819</x:v>
      </x:c>
      <x:c r="C930" s="3" t="n">
        <x:v>4</x:v>
      </x:c>
      <x:c r="D930" s="51" t="n">
        <x:v>40837</x:v>
      </x:c>
      <x:c r="E930" s="3" t="str">
        <x:v>Recurrente</x:v>
      </x:c>
      <x:c r="F930" s="13" t="n">
        <x:v>1905.45</x:v>
      </x:c>
      <x:c r="G930" s="13" t="n">
        <x:v>0</x:v>
      </x:c>
      <x:c r="H930" s="13" t="n">
        <x:f>F930-G930</x:f>
        <x:v>1905.45</x:v>
      </x:c>
      <x:c r="I930" s="13" t="n">
        <x:f>IF(C930=0,"n.a.",F930/C930)</x:f>
        <x:v>476.3625</x:v>
      </x:c>
      <x:c r="J930" s="3"/>
      <x:c r="K930" s="3"/>
      <x:c r="L930" s="3"/>
    </x:row>
    <x:row r="931" ht="22" customHeight="1">
      <x:c r="A931" s="3"/>
      <x:c r="B931" s="3" t="str">
        <x:v>14250</x:v>
      </x:c>
      <x:c r="C931" s="3" t="n">
        <x:v>3</x:v>
      </x:c>
      <x:c r="D931" s="51" t="n">
        <x:v>40879</x:v>
      </x:c>
      <x:c r="E931" s="3" t="str">
        <x:v>Recurrente</x:v>
      </x:c>
      <x:c r="F931" s="13" t="n">
        <x:v>1904.05</x:v>
      </x:c>
      <x:c r="G931" s="13" t="n">
        <x:v>0</x:v>
      </x:c>
      <x:c r="H931" s="13" t="n">
        <x:f>F931-G931</x:f>
        <x:v>1904.05</x:v>
      </x:c>
      <x:c r="I931" s="13" t="n">
        <x:f>IF(C931=0,"n.a.",F931/C931)</x:f>
        <x:v>634.6833333333333</x:v>
      </x:c>
      <x:c r="J931" s="3"/>
      <x:c r="K931" s="3"/>
      <x:c r="L931" s="3"/>
    </x:row>
    <x:row r="932" ht="22" customHeight="1">
      <x:c r="A932" s="3"/>
      <x:c r="B932" s="3" t="str">
        <x:v>16938</x:v>
      </x:c>
      <x:c r="C932" s="3" t="n">
        <x:v>4</x:v>
      </x:c>
      <x:c r="D932" s="51" t="n">
        <x:v>40878</x:v>
      </x:c>
      <x:c r="E932" s="3" t="str">
        <x:v>Recurrente</x:v>
      </x:c>
      <x:c r="F932" s="13" t="n">
        <x:v>2736.38</x:v>
      </x:c>
      <x:c r="G932" s="13" t="n">
        <x:v>833.25</x:v>
      </x:c>
      <x:c r="H932" s="13" t="n">
        <x:f>F932-G932</x:f>
        <x:v>1903.13</x:v>
      </x:c>
      <x:c r="I932" s="13" t="n">
        <x:f>IF(C932=0,"n.a.",F932/C932)</x:f>
        <x:v>684.095</x:v>
      </x:c>
      <x:c r="J932" s="3"/>
      <x:c r="K932" s="3"/>
      <x:c r="L932" s="3"/>
    </x:row>
    <x:row r="933" ht="22" customHeight="1">
      <x:c r="A933" s="3"/>
      <x:c r="B933" s="3" t="str">
        <x:v>14210</x:v>
      </x:c>
      <x:c r="C933" s="3" t="n">
        <x:v>6</x:v>
      </x:c>
      <x:c r="D933" s="51" t="n">
        <x:v>40781</x:v>
      </x:c>
      <x:c r="E933" s="3" t="str">
        <x:v>Recurrente</x:v>
      </x:c>
      <x:c r="F933" s="13" t="n">
        <x:v>1905.84</x:v>
      </x:c>
      <x:c r="G933" s="13" t="n">
        <x:v>4.95</x:v>
      </x:c>
      <x:c r="H933" s="13" t="n">
        <x:f>F933-G933</x:f>
        <x:v>1900.8899999999999</x:v>
      </x:c>
      <x:c r="I933" s="13" t="n">
        <x:f>IF(C933=0,"n.a.",F933/C933)</x:f>
        <x:v>317.64</x:v>
      </x:c>
      <x:c r="J933" s="3"/>
      <x:c r="K933" s="3"/>
      <x:c r="L933" s="3"/>
    </x:row>
    <x:row r="934" ht="22" customHeight="1">
      <x:c r="A934" s="3"/>
      <x:c r="B934" s="3" t="str">
        <x:v>16942</x:v>
      </x:c>
      <x:c r="C934" s="3" t="n">
        <x:v>9</x:v>
      </x:c>
      <x:c r="D934" s="51" t="n">
        <x:v>40874</x:v>
      </x:c>
      <x:c r="E934" s="3" t="str">
        <x:v>Recurrente</x:v>
      </x:c>
      <x:c r="F934" s="13" t="n">
        <x:v>1920.59</x:v>
      </x:c>
      <x:c r="G934" s="13" t="n">
        <x:v>26.48</x:v>
      </x:c>
      <x:c r="H934" s="13" t="n">
        <x:f>F934-G934</x:f>
        <x:v>1894.11</x:v>
      </x:c>
      <x:c r="I934" s="13" t="n">
        <x:f>IF(C934=0,"n.a.",F934/C934)</x:f>
        <x:v>213.39888888888888</x:v>
      </x:c>
      <x:c r="J934" s="3"/>
      <x:c r="K934" s="3"/>
      <x:c r="L934" s="3"/>
    </x:row>
    <x:row r="935" ht="22" customHeight="1">
      <x:c r="A935" s="3"/>
      <x:c r="B935" s="3" t="str">
        <x:v>17870</x:v>
      </x:c>
      <x:c r="C935" s="3" t="n">
        <x:v>12</x:v>
      </x:c>
      <x:c r="D935" s="51" t="n">
        <x:v>40884</x:v>
      </x:c>
      <x:c r="E935" s="3" t="str">
        <x:v>Recurrente</x:v>
      </x:c>
      <x:c r="F935" s="13" t="n">
        <x:v>1894.35</x:v>
      </x:c>
      <x:c r="G935" s="13" t="n">
        <x:v>4.95</x:v>
      </x:c>
      <x:c r="H935" s="13" t="n">
        <x:f>F935-G935</x:f>
        <x:v>1889.3999999999999</x:v>
      </x:c>
      <x:c r="I935" s="13" t="n">
        <x:f>IF(C935=0,"n.a.",F935/C935)</x:f>
        <x:v>157.86249999999998</x:v>
      </x:c>
      <x:c r="J935" s="3"/>
      <x:c r="K935" s="3"/>
      <x:c r="L935" s="3"/>
    </x:row>
    <x:row r="936" ht="22" customHeight="1">
      <x:c r="A936" s="3"/>
      <x:c r="B936" s="3" t="str">
        <x:v>14934</x:v>
      </x:c>
      <x:c r="C936" s="3" t="n">
        <x:v>2</x:v>
      </x:c>
      <x:c r="D936" s="51" t="n">
        <x:v>40805</x:v>
      </x:c>
      <x:c r="E936" s="3" t="str">
        <x:v>Recurrente</x:v>
      </x:c>
      <x:c r="F936" s="13" t="n">
        <x:v>1890.94</x:v>
      </x:c>
      <x:c r="G936" s="13" t="n">
        <x:v>2.1</x:v>
      </x:c>
      <x:c r="H936" s="13" t="n">
        <x:f>F936-G936</x:f>
        <x:v>1888.8400000000001</x:v>
      </x:c>
      <x:c r="I936" s="13" t="n">
        <x:f>IF(C936=0,"n.a.",F936/C936)</x:f>
        <x:v>945.47</x:v>
      </x:c>
      <x:c r="J936" s="3"/>
      <x:c r="K936" s="3"/>
      <x:c r="L936" s="3"/>
    </x:row>
    <x:row r="937" ht="22" customHeight="1">
      <x:c r="A937" s="3"/>
      <x:c r="B937" s="3" t="str">
        <x:v>15641</x:v>
      </x:c>
      <x:c r="C937" s="3" t="n">
        <x:v>4</x:v>
      </x:c>
      <x:c r="D937" s="51" t="n">
        <x:v>40781</x:v>
      </x:c>
      <x:c r="E937" s="3" t="str">
        <x:v>Recurrente</x:v>
      </x:c>
      <x:c r="F937" s="13" t="n">
        <x:v>1887.2</x:v>
      </x:c>
      <x:c r="G937" s="13" t="n">
        <x:v>0</x:v>
      </x:c>
      <x:c r="H937" s="13" t="n">
        <x:f>F937-G937</x:f>
        <x:v>1887.2</x:v>
      </x:c>
      <x:c r="I937" s="13" t="n">
        <x:f>IF(C937=0,"n.a.",F937/C937)</x:f>
        <x:v>471.8</x:v>
      </x:c>
      <x:c r="J937" s="3"/>
      <x:c r="K937" s="3"/>
      <x:c r="L937" s="3"/>
    </x:row>
    <x:row r="938" ht="22" customHeight="1">
      <x:c r="A938" s="3"/>
      <x:c r="B938" s="3" t="str">
        <x:v>12560</x:v>
      </x:c>
      <x:c r="C938" s="3" t="n">
        <x:v>2</x:v>
      </x:c>
      <x:c r="D938" s="51" t="n">
        <x:v>40881</x:v>
      </x:c>
      <x:c r="E938" s="3" t="str">
        <x:v>Recurrente</x:v>
      </x:c>
      <x:c r="F938" s="13" t="n">
        <x:v>1918.01</x:v>
      </x:c>
      <x:c r="G938" s="13" t="n">
        <x:v>32.62</x:v>
      </x:c>
      <x:c r="H938" s="13" t="n">
        <x:f>F938-G938</x:f>
        <x:v>1885.39</x:v>
      </x:c>
      <x:c r="I938" s="13" t="n">
        <x:f>IF(C938=0,"n.a.",F938/C938)</x:f>
        <x:v>959.005</x:v>
      </x:c>
      <x:c r="J938" s="3"/>
      <x:c r="K938" s="3"/>
      <x:c r="L938" s="3"/>
    </x:row>
    <x:row r="939" ht="22" customHeight="1">
      <x:c r="A939" s="3"/>
      <x:c r="B939" s="3" t="str">
        <x:v>12853</x:v>
      </x:c>
      <x:c r="C939" s="3" t="n">
        <x:v>6</x:v>
      </x:c>
      <x:c r="D939" s="51" t="n">
        <x:v>40752</x:v>
      </x:c>
      <x:c r="E939" s="3" t="str">
        <x:v>Recurrente</x:v>
      </x:c>
      <x:c r="F939" s="13" t="n">
        <x:v>1957.1</x:v>
      </x:c>
      <x:c r="G939" s="13" t="n">
        <x:v>75.4</x:v>
      </x:c>
      <x:c r="H939" s="13" t="n">
        <x:f>F939-G939</x:f>
        <x:v>1881.6999999999998</x:v>
      </x:c>
      <x:c r="I939" s="13" t="n">
        <x:f>IF(C939=0,"n.a.",F939/C939)</x:f>
        <x:v>326.18333333333334</x:v>
      </x:c>
      <x:c r="J939" s="3"/>
      <x:c r="K939" s="3"/>
      <x:c r="L939" s="3"/>
    </x:row>
    <x:row r="940" ht="22" customHeight="1">
      <x:c r="A940" s="3"/>
      <x:c r="B940" s="3" t="str">
        <x:v>17463</x:v>
      </x:c>
      <x:c r="C940" s="3" t="n">
        <x:v>5</x:v>
      </x:c>
      <x:c r="D940" s="51" t="n">
        <x:v>40870</x:v>
      </x:c>
      <x:c r="E940" s="3" t="str">
        <x:v>Recurrente</x:v>
      </x:c>
      <x:c r="F940" s="13" t="n">
        <x:v>1896.41</x:v>
      </x:c>
      <x:c r="G940" s="13" t="n">
        <x:v>15.05</x:v>
      </x:c>
      <x:c r="H940" s="13" t="n">
        <x:f>F940-G940</x:f>
        <x:v>1881.3600000000001</x:v>
      </x:c>
      <x:c r="I940" s="13" t="n">
        <x:f>IF(C940=0,"n.a.",F940/C940)</x:f>
        <x:v>379.28200000000004</x:v>
      </x:c>
      <x:c r="J940" s="3"/>
      <x:c r="K940" s="3"/>
      <x:c r="L940" s="3"/>
    </x:row>
    <x:row r="941" ht="22" customHeight="1">
      <x:c r="A941" s="3"/>
      <x:c r="B941" s="3" t="str">
        <x:v>12782</x:v>
      </x:c>
      <x:c r="C941" s="3" t="n">
        <x:v>5</x:v>
      </x:c>
      <x:c r="D941" s="51" t="n">
        <x:v>40882</x:v>
      </x:c>
      <x:c r="E941" s="3" t="str">
        <x:v>Recurrente</x:v>
      </x:c>
      <x:c r="F941" s="13" t="n">
        <x:v>1938.92</x:v>
      </x:c>
      <x:c r="G941" s="13" t="n">
        <x:v>57.6</x:v>
      </x:c>
      <x:c r="H941" s="13" t="n">
        <x:f>F941-G941</x:f>
        <x:v>1881.3200000000002</x:v>
      </x:c>
      <x:c r="I941" s="13" t="n">
        <x:f>IF(C941=0,"n.a.",F941/C941)</x:f>
        <x:v>387.784</x:v>
      </x:c>
      <x:c r="J941" s="3"/>
      <x:c r="K941" s="3"/>
      <x:c r="L941" s="3"/>
    </x:row>
    <x:row r="942" ht="22" customHeight="1">
      <x:c r="A942" s="3"/>
      <x:c r="B942" s="3" t="str">
        <x:v>16170</x:v>
      </x:c>
      <x:c r="C942" s="3" t="n">
        <x:v>6</x:v>
      </x:c>
      <x:c r="D942" s="51" t="n">
        <x:v>40836</x:v>
      </x:c>
      <x:c r="E942" s="3" t="str">
        <x:v>Recurrente</x:v>
      </x:c>
      <x:c r="F942" s="13" t="n">
        <x:v>1885.05</x:v>
      </x:c>
      <x:c r="G942" s="13" t="n">
        <x:v>4.63</x:v>
      </x:c>
      <x:c r="H942" s="13" t="n">
        <x:f>F942-G942</x:f>
        <x:v>1880.4199999999998</x:v>
      </x:c>
      <x:c r="I942" s="13" t="n">
        <x:f>IF(C942=0,"n.a.",F942/C942)</x:f>
        <x:v>314.175</x:v>
      </x:c>
      <x:c r="J942" s="3"/>
      <x:c r="K942" s="3"/>
      <x:c r="L942" s="3"/>
    </x:row>
    <x:row r="943" ht="22" customHeight="1">
      <x:c r="A943" s="3"/>
      <x:c r="B943" s="3" t="str">
        <x:v>16128</x:v>
      </x:c>
      <x:c r="C943" s="3" t="n">
        <x:v>5</x:v>
      </x:c>
      <x:c r="D943" s="51" t="n">
        <x:v>40869</x:v>
      </x:c>
      <x:c r="E943" s="3" t="str">
        <x:v>Recurrente</x:v>
      </x:c>
      <x:c r="F943" s="13" t="n">
        <x:v>1880.22</x:v>
      </x:c>
      <x:c r="G943" s="13" t="n">
        <x:v>0</x:v>
      </x:c>
      <x:c r="H943" s="13" t="n">
        <x:f>F943-G943</x:f>
        <x:v>1880.22</x:v>
      </x:c>
      <x:c r="I943" s="13" t="n">
        <x:f>IF(C943=0,"n.a.",F943/C943)</x:f>
        <x:v>376.044</x:v>
      </x:c>
      <x:c r="J943" s="3"/>
      <x:c r="K943" s="3"/>
      <x:c r="L943" s="3"/>
    </x:row>
    <x:row r="944" ht="22" customHeight="1">
      <x:c r="A944" s="3"/>
      <x:c r="B944" s="3" t="str">
        <x:v>15157</x:v>
      </x:c>
      <x:c r="C944" s="3" t="n">
        <x:v>3</x:v>
      </x:c>
      <x:c r="D944" s="51" t="n">
        <x:v>40883</x:v>
      </x:c>
      <x:c r="E944" s="3" t="str">
        <x:v>Recurrente</x:v>
      </x:c>
      <x:c r="F944" s="13" t="n">
        <x:v>1936.07</x:v>
      </x:c>
      <x:c r="G944" s="13" t="n">
        <x:v>56.23</x:v>
      </x:c>
      <x:c r="H944" s="13" t="n">
        <x:f>F944-G944</x:f>
        <x:v>1879.84</x:v>
      </x:c>
      <x:c r="I944" s="13" t="n">
        <x:f>IF(C944=0,"n.a.",F944/C944)</x:f>
        <x:v>645.3566666666667</x:v>
      </x:c>
      <x:c r="J944" s="3"/>
      <x:c r="K944" s="3"/>
      <x:c r="L944" s="3"/>
    </x:row>
    <x:row r="945" ht="22" customHeight="1">
      <x:c r="A945" s="3"/>
      <x:c r="B945" s="3" t="str">
        <x:v>17293</x:v>
      </x:c>
      <x:c r="C945" s="3" t="n">
        <x:v>9</x:v>
      </x:c>
      <x:c r="D945" s="51" t="n">
        <x:v>40878</x:v>
      </x:c>
      <x:c r="E945" s="3" t="str">
        <x:v>Recurrente</x:v>
      </x:c>
      <x:c r="F945" s="13" t="n">
        <x:v>1875.11</x:v>
      </x:c>
      <x:c r="G945" s="13" t="n">
        <x:v>0</x:v>
      </x:c>
      <x:c r="H945" s="13" t="n">
        <x:f>F945-G945</x:f>
        <x:v>1875.11</x:v>
      </x:c>
      <x:c r="I945" s="13" t="n">
        <x:f>IF(C945=0,"n.a.",F945/C945)</x:f>
        <x:v>208.34555555555553</x:v>
      </x:c>
      <x:c r="J945" s="3"/>
      <x:c r="K945" s="3"/>
      <x:c r="L945" s="3"/>
    </x:row>
    <x:row r="946" ht="22" customHeight="1">
      <x:c r="A946" s="3"/>
      <x:c r="B946" s="3" t="str">
        <x:v>16986</x:v>
      </x:c>
      <x:c r="C946" s="3" t="n">
        <x:v>2</x:v>
      </x:c>
      <x:c r="D946" s="51" t="n">
        <x:v>40857</x:v>
      </x:c>
      <x:c r="E946" s="3" t="str">
        <x:v>Recurrente</x:v>
      </x:c>
      <x:c r="F946" s="13" t="n">
        <x:v>1873.2</x:v>
      </x:c>
      <x:c r="G946" s="13" t="n">
        <x:v>0</x:v>
      </x:c>
      <x:c r="H946" s="13" t="n">
        <x:f>F946-G946</x:f>
        <x:v>1873.2</x:v>
      </x:c>
      <x:c r="I946" s="13" t="n">
        <x:f>IF(C946=0,"n.a.",F946/C946)</x:f>
        <x:v>936.6</x:v>
      </x:c>
      <x:c r="J946" s="3"/>
      <x:c r="K946" s="3"/>
      <x:c r="L946" s="3"/>
    </x:row>
    <x:row r="947" ht="22" customHeight="1">
      <x:c r="A947" s="3"/>
      <x:c r="B947" s="3" t="str">
        <x:v>12483</x:v>
      </x:c>
      <x:c r="C947" s="3" t="n">
        <x:v>8</x:v>
      </x:c>
      <x:c r="D947" s="51" t="n">
        <x:v>40869</x:v>
      </x:c>
      <x:c r="E947" s="3" t="str">
        <x:v>Recurrente</x:v>
      </x:c>
      <x:c r="F947" s="13" t="n">
        <x:v>1910.98</x:v>
      </x:c>
      <x:c r="G947" s="13" t="n">
        <x:v>37.85</x:v>
      </x:c>
      <x:c r="H947" s="13" t="n">
        <x:f>F947-G947</x:f>
        <x:v>1873.13</x:v>
      </x:c>
      <x:c r="I947" s="13" t="n">
        <x:f>IF(C947=0,"n.a.",F947/C947)</x:f>
        <x:v>238.8725</x:v>
      </x:c>
      <x:c r="J947" s="3"/>
      <x:c r="K947" s="3"/>
      <x:c r="L947" s="3"/>
    </x:row>
    <x:row r="948" ht="22" customHeight="1">
      <x:c r="A948" s="3"/>
      <x:c r="B948" s="3" t="str">
        <x:v>15021</x:v>
      </x:c>
      <x:c r="C948" s="3" t="n">
        <x:v>9</x:v>
      </x:c>
      <x:c r="D948" s="51" t="n">
        <x:v>40878</x:v>
      </x:c>
      <x:c r="E948" s="3" t="str">
        <x:v>Recurrente</x:v>
      </x:c>
      <x:c r="F948" s="13" t="n">
        <x:v>1914.82</x:v>
      </x:c>
      <x:c r="G948" s="13" t="n">
        <x:v>42.54</x:v>
      </x:c>
      <x:c r="H948" s="13" t="n">
        <x:f>F948-G948</x:f>
        <x:v>1872.28</x:v>
      </x:c>
      <x:c r="I948" s="13" t="n">
        <x:f>IF(C948=0,"n.a.",F948/C948)</x:f>
        <x:v>212.75777777777776</x:v>
      </x:c>
      <x:c r="J948" s="3"/>
      <x:c r="K948" s="3"/>
      <x:c r="L948" s="3"/>
    </x:row>
    <x:row r="949" ht="22" customHeight="1">
      <x:c r="A949" s="3"/>
      <x:c r="B949" s="3" t="str">
        <x:v>15367</x:v>
      </x:c>
      <x:c r="C949" s="3" t="n">
        <x:v>4</x:v>
      </x:c>
      <x:c r="D949" s="51" t="n">
        <x:v>40829</x:v>
      </x:c>
      <x:c r="E949" s="3" t="str">
        <x:v>Recurrente</x:v>
      </x:c>
      <x:c r="F949" s="13" t="n">
        <x:v>1877.59</x:v>
      </x:c>
      <x:c r="G949" s="13" t="n">
        <x:v>9.9</x:v>
      </x:c>
      <x:c r="H949" s="13" t="n">
        <x:f>F949-G949</x:f>
        <x:v>1867.6899999999998</x:v>
      </x:c>
      <x:c r="I949" s="13" t="n">
        <x:f>IF(C949=0,"n.a.",F949/C949)</x:f>
        <x:v>469.3975</x:v>
      </x:c>
      <x:c r="J949" s="3"/>
      <x:c r="K949" s="3"/>
      <x:c r="L949" s="3"/>
    </x:row>
    <x:row r="950" ht="22" customHeight="1">
      <x:c r="A950" s="3"/>
      <x:c r="B950" s="3" t="str">
        <x:v>14524</x:v>
      </x:c>
      <x:c r="C950" s="3" t="n">
        <x:v>9</x:v>
      </x:c>
      <x:c r="D950" s="51" t="n">
        <x:v>40855</x:v>
      </x:c>
      <x:c r="E950" s="3" t="str">
        <x:v>Recurrente</x:v>
      </x:c>
      <x:c r="F950" s="13" t="n">
        <x:v>1867.68</x:v>
      </x:c>
      <x:c r="G950" s="13" t="n">
        <x:v>0</x:v>
      </x:c>
      <x:c r="H950" s="13" t="n">
        <x:f>F950-G950</x:f>
        <x:v>1867.68</x:v>
      </x:c>
      <x:c r="I950" s="13" t="n">
        <x:f>IF(C950=0,"n.a.",F950/C950)</x:f>
        <x:v>207.52</x:v>
      </x:c>
      <x:c r="J950" s="3"/>
      <x:c r="K950" s="3"/>
      <x:c r="L950" s="3"/>
    </x:row>
    <x:row r="951" ht="22" customHeight="1">
      <x:c r="A951" s="3"/>
      <x:c r="B951" s="3" t="str">
        <x:v>17787</x:v>
      </x:c>
      <x:c r="C951" s="3" t="n">
        <x:v>4</x:v>
      </x:c>
      <x:c r="D951" s="51" t="n">
        <x:v>40734</x:v>
      </x:c>
      <x:c r="E951" s="3" t="str">
        <x:v>Recurrente</x:v>
      </x:c>
      <x:c r="F951" s="13" t="n">
        <x:v>1865.19</x:v>
      </x:c>
      <x:c r="G951" s="13" t="n">
        <x:v>0</x:v>
      </x:c>
      <x:c r="H951" s="13" t="n">
        <x:f>F951-G951</x:f>
        <x:v>1865.19</x:v>
      </x:c>
      <x:c r="I951" s="13" t="n">
        <x:f>IF(C951=0,"n.a.",F951/C951)</x:f>
        <x:v>466.2975</x:v>
      </x:c>
      <x:c r="J951" s="3"/>
      <x:c r="K951" s="3"/>
      <x:c r="L951" s="3"/>
    </x:row>
    <x:row r="952" ht="22" customHeight="1">
      <x:c r="A952" s="3"/>
      <x:c r="B952" s="3" t="str">
        <x:v>17738</x:v>
      </x:c>
      <x:c r="C952" s="3" t="n">
        <x:v>4</x:v>
      </x:c>
      <x:c r="D952" s="51" t="n">
        <x:v>40867</x:v>
      </x:c>
      <x:c r="E952" s="3" t="str">
        <x:v>Recurrente</x:v>
      </x:c>
      <x:c r="F952" s="13" t="n">
        <x:v>1879.05</x:v>
      </x:c>
      <x:c r="G952" s="13" t="n">
        <x:v>15.7</x:v>
      </x:c>
      <x:c r="H952" s="13" t="n">
        <x:f>F952-G952</x:f>
        <x:v>1863.35</x:v>
      </x:c>
      <x:c r="I952" s="13" t="n">
        <x:f>IF(C952=0,"n.a.",F952/C952)</x:f>
        <x:v>469.7625</x:v>
      </x:c>
      <x:c r="J952" s="3"/>
      <x:c r="K952" s="3"/>
      <x:c r="L952" s="3"/>
    </x:row>
    <x:row r="953" ht="22" customHeight="1">
      <x:c r="A953" s="3"/>
      <x:c r="B953" s="3" t="str">
        <x:v>15351</x:v>
      </x:c>
      <x:c r="C953" s="3" t="n">
        <x:v>7</x:v>
      </x:c>
      <x:c r="D953" s="51" t="n">
        <x:v>40874</x:v>
      </x:c>
      <x:c r="E953" s="3" t="str">
        <x:v>Recurrente</x:v>
      </x:c>
      <x:c r="F953" s="13" t="n">
        <x:v>1960.11</x:v>
      </x:c>
      <x:c r="G953" s="13" t="n">
        <x:v>97.97</x:v>
      </x:c>
      <x:c r="H953" s="13" t="n">
        <x:f>F953-G953</x:f>
        <x:v>1862.1399999999999</x:v>
      </x:c>
      <x:c r="I953" s="13" t="n">
        <x:f>IF(C953=0,"n.a.",F953/C953)</x:f>
        <x:v>280.0157142857143</x:v>
      </x:c>
      <x:c r="J953" s="3"/>
      <x:c r="K953" s="3"/>
      <x:c r="L953" s="3"/>
    </x:row>
    <x:row r="954" ht="22" customHeight="1">
      <x:c r="A954" s="3"/>
      <x:c r="B954" s="3" t="str">
        <x:v>14887</x:v>
      </x:c>
      <x:c r="C954" s="3" t="n">
        <x:v>1</x:v>
      </x:c>
      <x:c r="D954" s="51" t="n">
        <x:v>40807</x:v>
      </x:c>
      <x:c r="E954" s="3" t="str">
        <x:v>Una compra</x:v>
      </x:c>
      <x:c r="F954" s="13" t="n">
        <x:v>1862</x:v>
      </x:c>
      <x:c r="G954" s="13" t="n">
        <x:v>0</x:v>
      </x:c>
      <x:c r="H954" s="13" t="n">
        <x:f>F954-G954</x:f>
        <x:v>1862</x:v>
      </x:c>
      <x:c r="I954" s="13" t="n">
        <x:f>IF(C954=0,"n.a.",F954/C954)</x:f>
        <x:v>1862</x:v>
      </x:c>
      <x:c r="J954" s="3"/>
      <x:c r="K954" s="3"/>
      <x:c r="L954" s="3"/>
    </x:row>
    <x:row r="955" ht="22" customHeight="1">
      <x:c r="A955" s="3"/>
      <x:c r="B955" s="3" t="str">
        <x:v>13982</x:v>
      </x:c>
      <x:c r="C955" s="3" t="n">
        <x:v>4</x:v>
      </x:c>
      <x:c r="D955" s="51" t="n">
        <x:v>40847</x:v>
      </x:c>
      <x:c r="E955" s="3" t="str">
        <x:v>Recurrente</x:v>
      </x:c>
      <x:c r="F955" s="13" t="n">
        <x:v>1871.81</x:v>
      </x:c>
      <x:c r="G955" s="13" t="n">
        <x:v>10.7</x:v>
      </x:c>
      <x:c r="H955" s="13" t="n">
        <x:f>F955-G955</x:f>
        <x:v>1861.11</x:v>
      </x:c>
      <x:c r="I955" s="13" t="n">
        <x:f>IF(C955=0,"n.a.",F955/C955)</x:f>
        <x:v>467.9525</x:v>
      </x:c>
      <x:c r="J955" s="3"/>
      <x:c r="K955" s="3"/>
      <x:c r="L955" s="3"/>
    </x:row>
    <x:row r="956" ht="22" customHeight="1">
      <x:c r="A956" s="3"/>
      <x:c r="B956" s="3" t="str">
        <x:v>13890</x:v>
      </x:c>
      <x:c r="C956" s="3" t="n">
        <x:v>10</x:v>
      </x:c>
      <x:c r="D956" s="51" t="n">
        <x:v>40885</x:v>
      </x:c>
      <x:c r="E956" s="3" t="str">
        <x:v>Recurrente</x:v>
      </x:c>
      <x:c r="F956" s="13" t="n">
        <x:v>1883.81</x:v>
      </x:c>
      <x:c r="G956" s="13" t="n">
        <x:v>22.95</x:v>
      </x:c>
      <x:c r="H956" s="13" t="n">
        <x:f>F956-G956</x:f>
        <x:v>1860.86</x:v>
      </x:c>
      <x:c r="I956" s="13" t="n">
        <x:f>IF(C956=0,"n.a.",F956/C956)</x:f>
        <x:v>188.381</x:v>
      </x:c>
      <x:c r="J956" s="3"/>
      <x:c r="K956" s="3"/>
      <x:c r="L956" s="3"/>
    </x:row>
    <x:row r="957" ht="22" customHeight="1">
      <x:c r="A957" s="3"/>
      <x:c r="B957" s="3" t="str">
        <x:v>12963</x:v>
      </x:c>
      <x:c r="C957" s="3" t="n">
        <x:v>8</x:v>
      </x:c>
      <x:c r="D957" s="51" t="n">
        <x:v>40878</x:v>
      </x:c>
      <x:c r="E957" s="3" t="str">
        <x:v>Recurrente</x:v>
      </x:c>
      <x:c r="F957" s="13" t="n">
        <x:v>1856.63</x:v>
      </x:c>
      <x:c r="G957" s="13" t="n">
        <x:v>0</x:v>
      </x:c>
      <x:c r="H957" s="13" t="n">
        <x:f>F957-G957</x:f>
        <x:v>1856.63</x:v>
      </x:c>
      <x:c r="I957" s="13" t="n">
        <x:f>IF(C957=0,"n.a.",F957/C957)</x:f>
        <x:v>232.07875</x:v>
      </x:c>
      <x:c r="J957" s="3"/>
      <x:c r="K957" s="3"/>
      <x:c r="L957" s="3"/>
    </x:row>
    <x:row r="958" ht="22" customHeight="1">
      <x:c r="A958" s="3"/>
      <x:c r="B958" s="3" t="str">
        <x:v>17422</x:v>
      </x:c>
      <x:c r="C958" s="3" t="n">
        <x:v>6</x:v>
      </x:c>
      <x:c r="D958" s="51" t="n">
        <x:v>40870</x:v>
      </x:c>
      <x:c r="E958" s="3" t="str">
        <x:v>Recurrente</x:v>
      </x:c>
      <x:c r="F958" s="13" t="n">
        <x:v>1979.37</x:v>
      </x:c>
      <x:c r="G958" s="13" t="n">
        <x:v>126.24</x:v>
      </x:c>
      <x:c r="H958" s="13" t="n">
        <x:f>F958-G958</x:f>
        <x:v>1853.1299999999999</x:v>
      </x:c>
      <x:c r="I958" s="13" t="n">
        <x:f>IF(C958=0,"n.a.",F958/C958)</x:f>
        <x:v>329.895</x:v>
      </x:c>
      <x:c r="J958" s="3"/>
      <x:c r="K958" s="3"/>
      <x:c r="L958" s="3"/>
    </x:row>
    <x:row r="959" ht="22" customHeight="1">
      <x:c r="A959" s="3"/>
      <x:c r="B959" s="3" t="str">
        <x:v>18180</x:v>
      </x:c>
      <x:c r="C959" s="3" t="n">
        <x:v>6</x:v>
      </x:c>
      <x:c r="D959" s="51" t="n">
        <x:v>40882</x:v>
      </x:c>
      <x:c r="E959" s="3" t="str">
        <x:v>Recurrente</x:v>
      </x:c>
      <x:c r="F959" s="13" t="n">
        <x:v>1843.75</x:v>
      </x:c>
      <x:c r="G959" s="13" t="n">
        <x:v>0</x:v>
      </x:c>
      <x:c r="H959" s="13" t="n">
        <x:f>F959-G959</x:f>
        <x:v>1843.75</x:v>
      </x:c>
      <x:c r="I959" s="13" t="n">
        <x:f>IF(C959=0,"n.a.",F959/C959)</x:f>
        <x:v>307.2916666666667</x:v>
      </x:c>
      <x:c r="J959" s="3"/>
      <x:c r="K959" s="3"/>
      <x:c r="L959" s="3"/>
    </x:row>
    <x:row r="960" ht="22" customHeight="1">
      <x:c r="A960" s="3"/>
      <x:c r="B960" s="3" t="str">
        <x:v>17469</x:v>
      </x:c>
      <x:c r="C960" s="3" t="n">
        <x:v>5</x:v>
      </x:c>
      <x:c r="D960" s="51" t="n">
        <x:v>40870</x:v>
      </x:c>
      <x:c r="E960" s="3" t="str">
        <x:v>Recurrente</x:v>
      </x:c>
      <x:c r="F960" s="13" t="n">
        <x:v>1870.97</x:v>
      </x:c>
      <x:c r="G960" s="13" t="n">
        <x:v>27.91</x:v>
      </x:c>
      <x:c r="H960" s="13" t="n">
        <x:f>F960-G960</x:f>
        <x:v>1843.06</x:v>
      </x:c>
      <x:c r="I960" s="13" t="n">
        <x:f>IF(C960=0,"n.a.",F960/C960)</x:f>
        <x:v>374.194</x:v>
      </x:c>
      <x:c r="J960" s="3"/>
      <x:c r="K960" s="3"/>
      <x:c r="L960" s="3"/>
    </x:row>
    <x:row r="961" ht="22" customHeight="1">
      <x:c r="A961" s="3"/>
      <x:c r="B961" s="3" t="str">
        <x:v>12950</x:v>
      </x:c>
      <x:c r="C961" s="3" t="n">
        <x:v>3</x:v>
      </x:c>
      <x:c r="D961" s="51" t="n">
        <x:v>40884</x:v>
      </x:c>
      <x:c r="E961" s="3" t="str">
        <x:v>Recurrente</x:v>
      </x:c>
      <x:c r="F961" s="13" t="n">
        <x:v>1843</x:v>
      </x:c>
      <x:c r="G961" s="13" t="n">
        <x:v>0</x:v>
      </x:c>
      <x:c r="H961" s="13" t="n">
        <x:f>F961-G961</x:f>
        <x:v>1843</x:v>
      </x:c>
      <x:c r="I961" s="13" t="n">
        <x:f>IF(C961=0,"n.a.",F961/C961)</x:f>
        <x:v>614.3333333333334</x:v>
      </x:c>
      <x:c r="J961" s="3"/>
      <x:c r="K961" s="3"/>
      <x:c r="L961" s="3"/>
    </x:row>
    <x:row r="962" ht="22" customHeight="1">
      <x:c r="A962" s="3"/>
      <x:c r="B962" s="3" t="str">
        <x:v>15814</x:v>
      </x:c>
      <x:c r="C962" s="3" t="n">
        <x:v>4</x:v>
      </x:c>
      <x:c r="D962" s="51" t="n">
        <x:v>40870</x:v>
      </x:c>
      <x:c r="E962" s="3" t="str">
        <x:v>Recurrente</x:v>
      </x:c>
      <x:c r="F962" s="13" t="n">
        <x:v>1945.33</x:v>
      </x:c>
      <x:c r="G962" s="13" t="n">
        <x:v>102.6</x:v>
      </x:c>
      <x:c r="H962" s="13" t="n">
        <x:f>F962-G962</x:f>
        <x:v>1842.73</x:v>
      </x:c>
      <x:c r="I962" s="13" t="n">
        <x:f>IF(C962=0,"n.a.",F962/C962)</x:f>
        <x:v>486.3325</x:v>
      </x:c>
      <x:c r="J962" s="3"/>
      <x:c r="K962" s="3"/>
      <x:c r="L962" s="3"/>
    </x:row>
    <x:row r="963" ht="22" customHeight="1">
      <x:c r="A963" s="3"/>
      <x:c r="B963" s="3" t="str">
        <x:v>17015</x:v>
      </x:c>
      <x:c r="C963" s="3" t="n">
        <x:v>3</x:v>
      </x:c>
      <x:c r="D963" s="51" t="n">
        <x:v>40858</x:v>
      </x:c>
      <x:c r="E963" s="3" t="str">
        <x:v>Recurrente</x:v>
      </x:c>
      <x:c r="F963" s="13" t="n">
        <x:v>1842.56</x:v>
      </x:c>
      <x:c r="G963" s="13" t="n">
        <x:v>0</x:v>
      </x:c>
      <x:c r="H963" s="13" t="n">
        <x:f>F963-G963</x:f>
        <x:v>1842.56</x:v>
      </x:c>
      <x:c r="I963" s="13" t="n">
        <x:f>IF(C963=0,"n.a.",F963/C963)</x:f>
        <x:v>614.1866666666666</x:v>
      </x:c>
      <x:c r="J963" s="3"/>
      <x:c r="K963" s="3"/>
      <x:c r="L963" s="3"/>
    </x:row>
    <x:row r="964" ht="22" customHeight="1">
      <x:c r="A964" s="3"/>
      <x:c r="B964" s="3" t="str">
        <x:v>16102</x:v>
      </x:c>
      <x:c r="C964" s="3" t="n">
        <x:v>3</x:v>
      </x:c>
      <x:c r="D964" s="51" t="n">
        <x:v>40844</x:v>
      </x:c>
      <x:c r="E964" s="3" t="str">
        <x:v>Recurrente</x:v>
      </x:c>
      <x:c r="F964" s="13" t="n">
        <x:v>1842.14</x:v>
      </x:c>
      <x:c r="G964" s="13" t="n">
        <x:v>0</x:v>
      </x:c>
      <x:c r="H964" s="13" t="n">
        <x:f>F964-G964</x:f>
        <x:v>1842.14</x:v>
      </x:c>
      <x:c r="I964" s="13" t="n">
        <x:f>IF(C964=0,"n.a.",F964/C964)</x:f>
        <x:v>614.0466666666667</x:v>
      </x:c>
      <x:c r="J964" s="3"/>
      <x:c r="K964" s="3"/>
      <x:c r="L964" s="3"/>
    </x:row>
    <x:row r="965" ht="22" customHeight="1">
      <x:c r="A965" s="3"/>
      <x:c r="B965" s="3" t="str">
        <x:v>16455</x:v>
      </x:c>
      <x:c r="C965" s="3" t="n">
        <x:v>7</x:v>
      </x:c>
      <x:c r="D965" s="51" t="n">
        <x:v>40823</x:v>
      </x:c>
      <x:c r="E965" s="3" t="str">
        <x:v>Recurrente</x:v>
      </x:c>
      <x:c r="F965" s="13" t="n">
        <x:v>1841.18</x:v>
      </x:c>
      <x:c r="G965" s="13" t="n">
        <x:v>0</x:v>
      </x:c>
      <x:c r="H965" s="13" t="n">
        <x:f>F965-G965</x:f>
        <x:v>1841.18</x:v>
      </x:c>
      <x:c r="I965" s="13" t="n">
        <x:f>IF(C965=0,"n.a.",F965/C965)</x:f>
        <x:v>263.0257142857143</x:v>
      </x:c>
      <x:c r="J965" s="3"/>
      <x:c r="K965" s="3"/>
      <x:c r="L965" s="3"/>
    </x:row>
    <x:row r="966" ht="22" customHeight="1">
      <x:c r="A966" s="3"/>
      <x:c r="B966" s="3" t="str">
        <x:v>12518</x:v>
      </x:c>
      <x:c r="C966" s="3" t="n">
        <x:v>5</x:v>
      </x:c>
      <x:c r="D966" s="51" t="n">
        <x:v>40886</x:v>
      </x:c>
      <x:c r="E966" s="3" t="str">
        <x:v>Recurrente</x:v>
      </x:c>
      <x:c r="F966" s="13" t="n">
        <x:v>1840.89</x:v>
      </x:c>
      <x:c r="G966" s="13" t="n">
        <x:v>0</x:v>
      </x:c>
      <x:c r="H966" s="13" t="n">
        <x:f>F966-G966</x:f>
        <x:v>1840.89</x:v>
      </x:c>
      <x:c r="I966" s="13" t="n">
        <x:f>IF(C966=0,"n.a.",F966/C966)</x:f>
        <x:v>368.178</x:v>
      </x:c>
      <x:c r="J966" s="3"/>
      <x:c r="K966" s="3"/>
      <x:c r="L966" s="3"/>
    </x:row>
    <x:row r="967" ht="22" customHeight="1">
      <x:c r="A967" s="3"/>
      <x:c r="B967" s="3" t="str">
        <x:v>14216</x:v>
      </x:c>
      <x:c r="C967" s="3" t="n">
        <x:v>4</x:v>
      </x:c>
      <x:c r="D967" s="51" t="n">
        <x:v>40883</x:v>
      </x:c>
      <x:c r="E967" s="3" t="str">
        <x:v>Recurrente</x:v>
      </x:c>
      <x:c r="F967" s="13" t="n">
        <x:v>1839.3</x:v>
      </x:c>
      <x:c r="G967" s="13" t="n">
        <x:v>0</x:v>
      </x:c>
      <x:c r="H967" s="13" t="n">
        <x:f>F967-G967</x:f>
        <x:v>1839.3</x:v>
      </x:c>
      <x:c r="I967" s="13" t="n">
        <x:f>IF(C967=0,"n.a.",F967/C967)</x:f>
        <x:v>459.825</x:v>
      </x:c>
      <x:c r="J967" s="3"/>
      <x:c r="K967" s="3"/>
      <x:c r="L967" s="3"/>
    </x:row>
    <x:row r="968" ht="22" customHeight="1">
      <x:c r="A968" s="3"/>
      <x:c r="B968" s="3" t="str">
        <x:v>17519</x:v>
      </x:c>
      <x:c r="C968" s="3" t="n">
        <x:v>6</x:v>
      </x:c>
      <x:c r="D968" s="51" t="n">
        <x:v>40869</x:v>
      </x:c>
      <x:c r="E968" s="3" t="str">
        <x:v>Recurrente</x:v>
      </x:c>
      <x:c r="F968" s="13" t="n">
        <x:v>1844.02</x:v>
      </x:c>
      <x:c r="G968" s="13" t="n">
        <x:v>4.95</x:v>
      </x:c>
      <x:c r="H968" s="13" t="n">
        <x:f>F968-G968</x:f>
        <x:v>1839.07</x:v>
      </x:c>
      <x:c r="I968" s="13" t="n">
        <x:f>IF(C968=0,"n.a.",F968/C968)</x:f>
        <x:v>307.33666666666664</x:v>
      </x:c>
      <x:c r="J968" s="3"/>
      <x:c r="K968" s="3"/>
      <x:c r="L968" s="3"/>
    </x:row>
    <x:row r="969" ht="22" customHeight="1">
      <x:c r="A969" s="3"/>
      <x:c r="B969" s="3" t="str">
        <x:v>13421</x:v>
      </x:c>
      <x:c r="C969" s="3" t="n">
        <x:v>2</x:v>
      </x:c>
      <x:c r="D969" s="51" t="n">
        <x:v>40846</x:v>
      </x:c>
      <x:c r="E969" s="3" t="str">
        <x:v>Recurrente</x:v>
      </x:c>
      <x:c r="F969" s="13" t="n">
        <x:v>1840.58</x:v>
      </x:c>
      <x:c r="G969" s="13" t="n">
        <x:v>2.1</x:v>
      </x:c>
      <x:c r="H969" s="13" t="n">
        <x:f>F969-G969</x:f>
        <x:v>1838.48</x:v>
      </x:c>
      <x:c r="I969" s="13" t="n">
        <x:f>IF(C969=0,"n.a.",F969/C969)</x:f>
        <x:v>920.29</x:v>
      </x:c>
      <x:c r="J969" s="3"/>
      <x:c r="K969" s="3"/>
      <x:c r="L969" s="3"/>
    </x:row>
    <x:row r="970" ht="22" customHeight="1">
      <x:c r="A970" s="3"/>
      <x:c r="B970" s="3" t="str">
        <x:v>14459</x:v>
      </x:c>
      <x:c r="C970" s="3" t="n">
        <x:v>1</x:v>
      </x:c>
      <x:c r="D970" s="51" t="n">
        <x:v>40731</x:v>
      </x:c>
      <x:c r="E970" s="3" t="str">
        <x:v>Una compra</x:v>
      </x:c>
      <x:c r="F970" s="13" t="n">
        <x:v>1837.92</x:v>
      </x:c>
      <x:c r="G970" s="13" t="n">
        <x:v>0</x:v>
      </x:c>
      <x:c r="H970" s="13" t="n">
        <x:f>F970-G970</x:f>
        <x:v>1837.92</x:v>
      </x:c>
      <x:c r="I970" s="13" t="n">
        <x:f>IF(C970=0,"n.a.",F970/C970)</x:f>
        <x:v>1837.92</x:v>
      </x:c>
      <x:c r="J970" s="3"/>
      <x:c r="K970" s="3"/>
      <x:c r="L970" s="3"/>
    </x:row>
    <x:row r="971" ht="22" customHeight="1">
      <x:c r="A971" s="3"/>
      <x:c r="B971" s="3" t="str">
        <x:v>18287</x:v>
      </x:c>
      <x:c r="C971" s="3" t="n">
        <x:v>3</x:v>
      </x:c>
      <x:c r="D971" s="51" t="n">
        <x:v>40844</x:v>
      </x:c>
      <x:c r="E971" s="3" t="str">
        <x:v>Recurrente</x:v>
      </x:c>
      <x:c r="F971" s="13" t="n">
        <x:v>1837.28</x:v>
      </x:c>
      <x:c r="G971" s="13" t="n">
        <x:v>0</x:v>
      </x:c>
      <x:c r="H971" s="13" t="n">
        <x:f>F971-G971</x:f>
        <x:v>1837.28</x:v>
      </x:c>
      <x:c r="I971" s="13" t="n">
        <x:f>IF(C971=0,"n.a.",F971/C971)</x:f>
        <x:v>612.4266666666666</x:v>
      </x:c>
      <x:c r="J971" s="3"/>
      <x:c r="K971" s="3"/>
      <x:c r="L971" s="3"/>
    </x:row>
    <x:row r="972" ht="22" customHeight="1">
      <x:c r="A972" s="3"/>
      <x:c r="B972" s="3" t="str">
        <x:v>16152</x:v>
      </x:c>
      <x:c r="C972" s="3" t="n">
        <x:v>1</x:v>
      </x:c>
      <x:c r="D972" s="51" t="n">
        <x:v>40618</x:v>
      </x:c>
      <x:c r="E972" s="3" t="str">
        <x:v>Una compra</x:v>
      </x:c>
      <x:c r="F972" s="13" t="n">
        <x:v>1829.04</x:v>
      </x:c>
      <x:c r="G972" s="13" t="n">
        <x:v>0</x:v>
      </x:c>
      <x:c r="H972" s="13" t="n">
        <x:f>F972-G972</x:f>
        <x:v>1829.04</x:v>
      </x:c>
      <x:c r="I972" s="13" t="n">
        <x:f>IF(C972=0,"n.a.",F972/C972)</x:f>
        <x:v>1829.04</x:v>
      </x:c>
      <x:c r="J972" s="3"/>
      <x:c r="K972" s="3"/>
      <x:c r="L972" s="3"/>
    </x:row>
    <x:row r="973" ht="22" customHeight="1">
      <x:c r="A973" s="3"/>
      <x:c r="B973" s="3" t="str">
        <x:v>15203</x:v>
      </x:c>
      <x:c r="C973" s="3" t="n">
        <x:v>6</x:v>
      </x:c>
      <x:c r="D973" s="51" t="n">
        <x:v>40861</x:v>
      </x:c>
      <x:c r="E973" s="3" t="str">
        <x:v>Recurrente</x:v>
      </x:c>
      <x:c r="F973" s="13" t="n">
        <x:v>1827.8</x:v>
      </x:c>
      <x:c r="G973" s="13" t="n">
        <x:v>0</x:v>
      </x:c>
      <x:c r="H973" s="13" t="n">
        <x:f>F973-G973</x:f>
        <x:v>1827.8</x:v>
      </x:c>
      <x:c r="I973" s="13" t="n">
        <x:f>IF(C973=0,"n.a.",F973/C973)</x:f>
        <x:v>304.6333333333333</x:v>
      </x:c>
      <x:c r="J973" s="3"/>
      <x:c r="K973" s="3"/>
      <x:c r="L973" s="3"/>
    </x:row>
    <x:row r="974" ht="22" customHeight="1">
      <x:c r="A974" s="3"/>
      <x:c r="B974" s="3" t="str">
        <x:v>18122</x:v>
      </x:c>
      <x:c r="C974" s="3" t="n">
        <x:v>6</x:v>
      </x:c>
      <x:c r="D974" s="51" t="n">
        <x:v>40878</x:v>
      </x:c>
      <x:c r="E974" s="3" t="str">
        <x:v>Recurrente</x:v>
      </x:c>
      <x:c r="F974" s="13" t="n">
        <x:v>1824.99</x:v>
      </x:c>
      <x:c r="G974" s="13" t="n">
        <x:v>0</x:v>
      </x:c>
      <x:c r="H974" s="13" t="n">
        <x:f>F974-G974</x:f>
        <x:v>1824.99</x:v>
      </x:c>
      <x:c r="I974" s="13" t="n">
        <x:f>IF(C974=0,"n.a.",F974/C974)</x:f>
        <x:v>304.165</x:v>
      </x:c>
      <x:c r="J974" s="3"/>
      <x:c r="K974" s="3"/>
      <x:c r="L974" s="3"/>
    </x:row>
    <x:row r="975" ht="22" customHeight="1">
      <x:c r="A975" s="3"/>
      <x:c r="B975" s="3" t="str">
        <x:v>16153</x:v>
      </x:c>
      <x:c r="C975" s="3" t="n">
        <x:v>5</x:v>
      </x:c>
      <x:c r="D975" s="51" t="n">
        <x:v>40837</x:v>
      </x:c>
      <x:c r="E975" s="3" t="str">
        <x:v>Recurrente</x:v>
      </x:c>
      <x:c r="F975" s="13" t="n">
        <x:v>1824.23</x:v>
      </x:c>
      <x:c r="G975" s="13" t="n">
        <x:v>0</x:v>
      </x:c>
      <x:c r="H975" s="13" t="n">
        <x:f>F975-G975</x:f>
        <x:v>1824.23</x:v>
      </x:c>
      <x:c r="I975" s="13" t="n">
        <x:f>IF(C975=0,"n.a.",F975/C975)</x:f>
        <x:v>364.846</x:v>
      </x:c>
      <x:c r="J975" s="3"/>
      <x:c r="K975" s="3"/>
      <x:c r="L975" s="3"/>
    </x:row>
    <x:row r="976" ht="22" customHeight="1">
      <x:c r="A976" s="3"/>
      <x:c r="B976" s="3" t="str">
        <x:v>16169</x:v>
      </x:c>
      <x:c r="C976" s="3" t="n">
        <x:v>4</x:v>
      </x:c>
      <x:c r="D976" s="51" t="n">
        <x:v>40878</x:v>
      </x:c>
      <x:c r="E976" s="3" t="str">
        <x:v>Recurrente</x:v>
      </x:c>
      <x:c r="F976" s="13" t="n">
        <x:v>1822.97</x:v>
      </x:c>
      <x:c r="G976" s="13" t="n">
        <x:v>0</x:v>
      </x:c>
      <x:c r="H976" s="13" t="n">
        <x:f>F976-G976</x:f>
        <x:v>1822.97</x:v>
      </x:c>
      <x:c r="I976" s="13" t="n">
        <x:f>IF(C976=0,"n.a.",F976/C976)</x:f>
        <x:v>455.7425</x:v>
      </x:c>
      <x:c r="J976" s="3"/>
      <x:c r="K976" s="3"/>
      <x:c r="L976" s="3"/>
    </x:row>
    <x:row r="977" ht="22" customHeight="1">
      <x:c r="A977" s="3"/>
      <x:c r="B977" s="3" t="str">
        <x:v>16201</x:v>
      </x:c>
      <x:c r="C977" s="3" t="n">
        <x:v>4</x:v>
      </x:c>
      <x:c r="D977" s="51" t="n">
        <x:v>40883</x:v>
      </x:c>
      <x:c r="E977" s="3" t="str">
        <x:v>Recurrente</x:v>
      </x:c>
      <x:c r="F977" s="13" t="n">
        <x:v>1863.47</x:v>
      </x:c>
      <x:c r="G977" s="13" t="n">
        <x:v>41.95</x:v>
      </x:c>
      <x:c r="H977" s="13" t="n">
        <x:f>F977-G977</x:f>
        <x:v>1821.52</x:v>
      </x:c>
      <x:c r="I977" s="13" t="n">
        <x:f>IF(C977=0,"n.a.",F977/C977)</x:f>
        <x:v>465.8675</x:v>
      </x:c>
      <x:c r="J977" s="3"/>
      <x:c r="K977" s="3"/>
      <x:c r="L977" s="3"/>
    </x:row>
    <x:row r="978" ht="22" customHeight="1">
      <x:c r="A978" s="3"/>
      <x:c r="B978" s="3" t="str">
        <x:v>14533</x:v>
      </x:c>
      <x:c r="C978" s="3" t="n">
        <x:v>7</x:v>
      </x:c>
      <x:c r="D978" s="51" t="n">
        <x:v>40862</x:v>
      </x:c>
      <x:c r="E978" s="3" t="str">
        <x:v>Recurrente</x:v>
      </x:c>
      <x:c r="F978" s="13" t="n">
        <x:v>1949.72</x:v>
      </x:c>
      <x:c r="G978" s="13" t="n">
        <x:v>137.1</x:v>
      </x:c>
      <x:c r="H978" s="13" t="n">
        <x:f>F978-G978</x:f>
        <x:v>1812.6200000000001</x:v>
      </x:c>
      <x:c r="I978" s="13" t="n">
        <x:f>IF(C978=0,"n.a.",F978/C978)</x:f>
        <x:v>278.5314285714286</x:v>
      </x:c>
      <x:c r="J978" s="3"/>
      <x:c r="K978" s="3"/>
      <x:c r="L978" s="3"/>
    </x:row>
    <x:row r="979" ht="22" customHeight="1">
      <x:c r="A979" s="3"/>
      <x:c r="B979" s="3" t="str">
        <x:v>16474</x:v>
      </x:c>
      <x:c r="C979" s="3" t="n">
        <x:v>7</x:v>
      </x:c>
      <x:c r="D979" s="51" t="n">
        <x:v>40879</x:v>
      </x:c>
      <x:c r="E979" s="3" t="str">
        <x:v>Recurrente</x:v>
      </x:c>
      <x:c r="F979" s="13" t="n">
        <x:v>1871.34</x:v>
      </x:c>
      <x:c r="G979" s="13" t="n">
        <x:v>60.03</x:v>
      </x:c>
      <x:c r="H979" s="13" t="n">
        <x:f>F979-G979</x:f>
        <x:v>1811.31</x:v>
      </x:c>
      <x:c r="I979" s="13" t="n">
        <x:f>IF(C979=0,"n.a.",F979/C979)</x:f>
        <x:v>267.3342857142857</x:v>
      </x:c>
      <x:c r="J979" s="3"/>
      <x:c r="K979" s="3"/>
      <x:c r="L979" s="3"/>
    </x:row>
    <x:row r="980" ht="22" customHeight="1">
      <x:c r="A980" s="3"/>
      <x:c r="B980" s="3" t="str">
        <x:v>12584</x:v>
      </x:c>
      <x:c r="C980" s="3" t="n">
        <x:v>9</x:v>
      </x:c>
      <x:c r="D980" s="51" t="n">
        <x:v>40883</x:v>
      </x:c>
      <x:c r="E980" s="3" t="str">
        <x:v>Recurrente</x:v>
      </x:c>
      <x:c r="F980" s="13" t="n">
        <x:v>2254.15</x:v>
      </x:c>
      <x:c r="G980" s="13" t="n">
        <x:v>444.2</x:v>
      </x:c>
      <x:c r="H980" s="13" t="n">
        <x:f>F980-G980</x:f>
        <x:v>1809.95</x:v>
      </x:c>
      <x:c r="I980" s="13" t="n">
        <x:f>IF(C980=0,"n.a.",F980/C980)</x:f>
        <x:v>250.4611111111111</x:v>
      </x:c>
      <x:c r="J980" s="3"/>
      <x:c r="K980" s="3"/>
      <x:c r="L980" s="3"/>
    </x:row>
    <x:row r="981" ht="22" customHeight="1">
      <x:c r="A981" s="3"/>
      <x:c r="B981" s="3" t="str">
        <x:v>13725</x:v>
      </x:c>
      <x:c r="C981" s="3" t="n">
        <x:v>8</x:v>
      </x:c>
      <x:c r="D981" s="51" t="n">
        <x:v>40837</x:v>
      </x:c>
      <x:c r="E981" s="3" t="str">
        <x:v>Recurrente</x:v>
      </x:c>
      <x:c r="F981" s="13" t="n">
        <x:v>1980.56</x:v>
      </x:c>
      <x:c r="G981" s="13" t="n">
        <x:v>170.75</x:v>
      </x:c>
      <x:c r="H981" s="13" t="n">
        <x:f>F981-G981</x:f>
        <x:v>1809.81</x:v>
      </x:c>
      <x:c r="I981" s="13" t="n">
        <x:f>IF(C981=0,"n.a.",F981/C981)</x:f>
        <x:v>247.57</x:v>
      </x:c>
      <x:c r="J981" s="3"/>
      <x:c r="K981" s="3"/>
      <x:c r="L981" s="3"/>
    </x:row>
    <x:row r="982" ht="22" customHeight="1">
      <x:c r="A982" s="3"/>
      <x:c r="B982" s="3" t="str">
        <x:v>13650</x:v>
      </x:c>
      <x:c r="C982" s="3" t="n">
        <x:v>6</x:v>
      </x:c>
      <x:c r="D982" s="51" t="n">
        <x:v>40870</x:v>
      </x:c>
      <x:c r="E982" s="3" t="str">
        <x:v>Recurrente</x:v>
      </x:c>
      <x:c r="F982" s="13" t="n">
        <x:v>1836.34</x:v>
      </x:c>
      <x:c r="G982" s="13" t="n">
        <x:v>27</x:v>
      </x:c>
      <x:c r="H982" s="13" t="n">
        <x:f>F982-G982</x:f>
        <x:v>1809.34</x:v>
      </x:c>
      <x:c r="I982" s="13" t="n">
        <x:f>IF(C982=0,"n.a.",F982/C982)</x:f>
        <x:v>306.0566666666667</x:v>
      </x:c>
      <x:c r="J982" s="3"/>
      <x:c r="K982" s="3"/>
      <x:c r="L982" s="3"/>
    </x:row>
    <x:row r="983" ht="22" customHeight="1">
      <x:c r="A983" s="3"/>
      <x:c r="B983" s="3" t="str">
        <x:v>16979</x:v>
      </x:c>
      <x:c r="C983" s="3" t="n">
        <x:v>6</x:v>
      </x:c>
      <x:c r="D983" s="51" t="n">
        <x:v>40883</x:v>
      </x:c>
      <x:c r="E983" s="3" t="str">
        <x:v>Recurrente</x:v>
      </x:c>
      <x:c r="F983" s="13" t="n">
        <x:v>1852</x:v>
      </x:c>
      <x:c r="G983" s="13" t="n">
        <x:v>42.95</x:v>
      </x:c>
      <x:c r="H983" s="13" t="n">
        <x:f>F983-G983</x:f>
        <x:v>1809.05</x:v>
      </x:c>
      <x:c r="I983" s="13" t="n">
        <x:f>IF(C983=0,"n.a.",F983/C983)</x:f>
        <x:v>308.6666666666667</x:v>
      </x:c>
      <x:c r="J983" s="3"/>
      <x:c r="K983" s="3"/>
      <x:c r="L983" s="3"/>
    </x:row>
    <x:row r="984" ht="22" customHeight="1">
      <x:c r="A984" s="3"/>
      <x:c r="B984" s="3" t="str">
        <x:v>13048</x:v>
      </x:c>
      <x:c r="C984" s="3" t="n">
        <x:v>4</x:v>
      </x:c>
      <x:c r="D984" s="51" t="n">
        <x:v>40872</x:v>
      </x:c>
      <x:c r="E984" s="3" t="str">
        <x:v>Recurrente</x:v>
      </x:c>
      <x:c r="F984" s="13" t="n">
        <x:v>1835.91</x:v>
      </x:c>
      <x:c r="G984" s="13" t="n">
        <x:v>30</x:v>
      </x:c>
      <x:c r="H984" s="13" t="n">
        <x:f>F984-G984</x:f>
        <x:v>1805.91</x:v>
      </x:c>
      <x:c r="I984" s="13" t="n">
        <x:f>IF(C984=0,"n.a.",F984/C984)</x:f>
        <x:v>458.9775</x:v>
      </x:c>
      <x:c r="J984" s="3"/>
      <x:c r="K984" s="3"/>
      <x:c r="L984" s="3"/>
    </x:row>
    <x:row r="985" ht="22" customHeight="1">
      <x:c r="A985" s="3"/>
      <x:c r="B985" s="3" t="str">
        <x:v>14305</x:v>
      </x:c>
      <x:c r="C985" s="3" t="n">
        <x:v>3</x:v>
      </x:c>
      <x:c r="D985" s="51" t="n">
        <x:v>40815</x:v>
      </x:c>
      <x:c r="E985" s="3" t="str">
        <x:v>Recurrente</x:v>
      </x:c>
      <x:c r="F985" s="13" t="n">
        <x:v>1858.96</x:v>
      </x:c>
      <x:c r="G985" s="13" t="n">
        <x:v>55.2</x:v>
      </x:c>
      <x:c r="H985" s="13" t="n">
        <x:f>F985-G985</x:f>
        <x:v>1803.76</x:v>
      </x:c>
      <x:c r="I985" s="13" t="n">
        <x:f>IF(C985=0,"n.a.",F985/C985)</x:f>
        <x:v>619.6533333333333</x:v>
      </x:c>
      <x:c r="J985" s="3"/>
      <x:c r="K985" s="3"/>
      <x:c r="L985" s="3"/>
    </x:row>
    <x:row r="986" ht="22" customHeight="1">
      <x:c r="A986" s="3"/>
      <x:c r="B986" s="3" t="str">
        <x:v>15812</x:v>
      </x:c>
      <x:c r="C986" s="3" t="n">
        <x:v>5</x:v>
      </x:c>
      <x:c r="D986" s="51" t="n">
        <x:v>40779</x:v>
      </x:c>
      <x:c r="E986" s="3" t="str">
        <x:v>Recurrente</x:v>
      </x:c>
      <x:c r="F986" s="13" t="n">
        <x:v>1801.14</x:v>
      </x:c>
      <x:c r="G986" s="13" t="n">
        <x:v>0</x:v>
      </x:c>
      <x:c r="H986" s="13" t="n">
        <x:f>F986-G986</x:f>
        <x:v>1801.14</x:v>
      </x:c>
      <x:c r="I986" s="13" t="n">
        <x:f>IF(C986=0,"n.a.",F986/C986)</x:f>
        <x:v>360.228</x:v>
      </x:c>
      <x:c r="J986" s="3"/>
      <x:c r="K986" s="3"/>
      <x:c r="L986" s="3"/>
    </x:row>
    <x:row r="987" ht="22" customHeight="1">
      <x:c r="A987" s="3"/>
      <x:c r="B987" s="3" t="str">
        <x:v>16249</x:v>
      </x:c>
      <x:c r="C987" s="3" t="n">
        <x:v>5</x:v>
      </x:c>
      <x:c r="D987" s="51" t="n">
        <x:v>40834</x:v>
      </x:c>
      <x:c r="E987" s="3" t="str">
        <x:v>Recurrente</x:v>
      </x:c>
      <x:c r="F987" s="13" t="n">
        <x:v>1800.07</x:v>
      </x:c>
      <x:c r="G987" s="13" t="n">
        <x:v>0</x:v>
      </x:c>
      <x:c r="H987" s="13" t="n">
        <x:f>F987-G987</x:f>
        <x:v>1800.07</x:v>
      </x:c>
      <x:c r="I987" s="13" t="n">
        <x:f>IF(C987=0,"n.a.",F987/C987)</x:f>
        <x:v>360.014</x:v>
      </x:c>
      <x:c r="J987" s="3"/>
      <x:c r="K987" s="3"/>
      <x:c r="L987" s="3"/>
    </x:row>
    <x:row r="988" ht="22" customHeight="1">
      <x:c r="A988" s="3"/>
      <x:c r="B988" s="3" t="str">
        <x:v>13562</x:v>
      </x:c>
      <x:c r="C988" s="3" t="n">
        <x:v>3</x:v>
      </x:c>
      <x:c r="D988" s="51" t="n">
        <x:v>40805</x:v>
      </x:c>
      <x:c r="E988" s="3" t="str">
        <x:v>Recurrente</x:v>
      </x:c>
      <x:c r="F988" s="13" t="n">
        <x:v>1799.33</x:v>
      </x:c>
      <x:c r="G988" s="13" t="n">
        <x:v>0</x:v>
      </x:c>
      <x:c r="H988" s="13" t="n">
        <x:f>F988-G988</x:f>
        <x:v>1799.33</x:v>
      </x:c>
      <x:c r="I988" s="13" t="n">
        <x:f>IF(C988=0,"n.a.",F988/C988)</x:f>
        <x:v>599.7766666666666</x:v>
      </x:c>
      <x:c r="J988" s="3"/>
      <x:c r="K988" s="3"/>
      <x:c r="L988" s="3"/>
    </x:row>
    <x:row r="989" ht="22" customHeight="1">
      <x:c r="A989" s="3"/>
      <x:c r="B989" s="3" t="str">
        <x:v>13196</x:v>
      </x:c>
      <x:c r="C989" s="3" t="n">
        <x:v>4</x:v>
      </x:c>
      <x:c r="D989" s="51" t="n">
        <x:v>40875</x:v>
      </x:c>
      <x:c r="E989" s="3" t="str">
        <x:v>Recurrente</x:v>
      </x:c>
      <x:c r="F989" s="13" t="n">
        <x:v>1797.78</x:v>
      </x:c>
      <x:c r="G989" s="13" t="n">
        <x:v>0</x:v>
      </x:c>
      <x:c r="H989" s="13" t="n">
        <x:f>F989-G989</x:f>
        <x:v>1797.78</x:v>
      </x:c>
      <x:c r="I989" s="13" t="n">
        <x:f>IF(C989=0,"n.a.",F989/C989)</x:f>
        <x:v>449.445</x:v>
      </x:c>
      <x:c r="J989" s="3"/>
      <x:c r="K989" s="3"/>
      <x:c r="L989" s="3"/>
    </x:row>
    <x:row r="990" ht="22" customHeight="1">
      <x:c r="A990" s="3"/>
      <x:c r="B990" s="3" t="str">
        <x:v>18235</x:v>
      </x:c>
      <x:c r="C990" s="3" t="n">
        <x:v>3</x:v>
      </x:c>
      <x:c r="D990" s="51" t="n">
        <x:v>40815</x:v>
      </x:c>
      <x:c r="E990" s="3" t="str">
        <x:v>Recurrente</x:v>
      </x:c>
      <x:c r="F990" s="13" t="n">
        <x:v>1796.48</x:v>
      </x:c>
      <x:c r="G990" s="13" t="n">
        <x:v>0</x:v>
      </x:c>
      <x:c r="H990" s="13" t="n">
        <x:f>F990-G990</x:f>
        <x:v>1796.48</x:v>
      </x:c>
      <x:c r="I990" s="13" t="n">
        <x:f>IF(C990=0,"n.a.",F990/C990)</x:f>
        <x:v>598.8266666666667</x:v>
      </x:c>
      <x:c r="J990" s="3"/>
      <x:c r="K990" s="3"/>
      <x:c r="L990" s="3"/>
    </x:row>
    <x:row r="991" ht="22" customHeight="1">
      <x:c r="A991" s="3"/>
      <x:c r="B991" s="3" t="str">
        <x:v>12674</x:v>
      </x:c>
      <x:c r="C991" s="3" t="n">
        <x:v>4</x:v>
      </x:c>
      <x:c r="D991" s="51" t="n">
        <x:v>40848</x:v>
      </x:c>
      <x:c r="E991" s="3" t="str">
        <x:v>Recurrente</x:v>
      </x:c>
      <x:c r="F991" s="13" t="n">
        <x:v>1844.6</x:v>
      </x:c>
      <x:c r="G991" s="13" t="n">
        <x:v>51.29</x:v>
      </x:c>
      <x:c r="H991" s="13" t="n">
        <x:f>F991-G991</x:f>
        <x:v>1793.31</x:v>
      </x:c>
      <x:c r="I991" s="13" t="n">
        <x:f>IF(C991=0,"n.a.",F991/C991)</x:f>
        <x:v>461.15</x:v>
      </x:c>
      <x:c r="J991" s="3"/>
      <x:c r="K991" s="3"/>
      <x:c r="L991" s="3"/>
    </x:row>
    <x:row r="992" ht="22" customHeight="1">
      <x:c r="A992" s="3"/>
      <x:c r="B992" s="3" t="str">
        <x:v>18179</x:v>
      </x:c>
      <x:c r="C992" s="3" t="n">
        <x:v>6</x:v>
      </x:c>
      <x:c r="D992" s="51" t="n">
        <x:v>40877</x:v>
      </x:c>
      <x:c r="E992" s="3" t="str">
        <x:v>Recurrente</x:v>
      </x:c>
      <x:c r="F992" s="13" t="n">
        <x:v>1793.17</x:v>
      </x:c>
      <x:c r="G992" s="13" t="n">
        <x:v>0</x:v>
      </x:c>
      <x:c r="H992" s="13" t="n">
        <x:f>F992-G992</x:f>
        <x:v>1793.17</x:v>
      </x:c>
      <x:c r="I992" s="13" t="n">
        <x:f>IF(C992=0,"n.a.",F992/C992)</x:f>
        <x:v>298.8616666666667</x:v>
      </x:c>
      <x:c r="J992" s="3"/>
      <x:c r="K992" s="3"/>
      <x:c r="L992" s="3"/>
    </x:row>
    <x:row r="993" ht="22" customHeight="1">
      <x:c r="A993" s="3"/>
      <x:c r="B993" s="3" t="str">
        <x:v>17648</x:v>
      </x:c>
      <x:c r="C993" s="3" t="n">
        <x:v>4</x:v>
      </x:c>
      <x:c r="D993" s="51" t="n">
        <x:v>40826</x:v>
      </x:c>
      <x:c r="E993" s="3" t="str">
        <x:v>Recurrente</x:v>
      </x:c>
      <x:c r="F993" s="13" t="n">
        <x:v>1797.5</x:v>
      </x:c>
      <x:c r="G993" s="13" t="n">
        <x:v>7.95</x:v>
      </x:c>
      <x:c r="H993" s="13" t="n">
        <x:f>F993-G993</x:f>
        <x:v>1789.55</x:v>
      </x:c>
      <x:c r="I993" s="13" t="n">
        <x:f>IF(C993=0,"n.a.",F993/C993)</x:f>
        <x:v>449.375</x:v>
      </x:c>
      <x:c r="J993" s="3"/>
      <x:c r="K993" s="3"/>
      <x:c r="L993" s="3"/>
    </x:row>
    <x:row r="994" ht="22" customHeight="1">
      <x:c r="A994" s="3"/>
      <x:c r="B994" s="3" t="str">
        <x:v>17663</x:v>
      </x:c>
      <x:c r="C994" s="3" t="n">
        <x:v>7</x:v>
      </x:c>
      <x:c r="D994" s="51" t="n">
        <x:v>40861</x:v>
      </x:c>
      <x:c r="E994" s="3" t="str">
        <x:v>Recurrente</x:v>
      </x:c>
      <x:c r="F994" s="13" t="n">
        <x:v>1802.91</x:v>
      </x:c>
      <x:c r="G994" s="13" t="n">
        <x:v>14.64</x:v>
      </x:c>
      <x:c r="H994" s="13" t="n">
        <x:f>F994-G994</x:f>
        <x:v>1788.27</x:v>
      </x:c>
      <x:c r="I994" s="13" t="n">
        <x:f>IF(C994=0,"n.a.",F994/C994)</x:f>
        <x:v>257.55857142857144</x:v>
      </x:c>
      <x:c r="J994" s="3"/>
      <x:c r="K994" s="3"/>
      <x:c r="L994" s="3"/>
    </x:row>
    <x:row r="995" ht="22" customHeight="1">
      <x:c r="A995" s="3"/>
      <x:c r="B995" s="3" t="str">
        <x:v>13875</x:v>
      </x:c>
      <x:c r="C995" s="3" t="n">
        <x:v>5</x:v>
      </x:c>
      <x:c r="D995" s="51" t="n">
        <x:v>40833</x:v>
      </x:c>
      <x:c r="E995" s="3" t="str">
        <x:v>Recurrente</x:v>
      </x:c>
      <x:c r="F995" s="13" t="n">
        <x:v>1786.79</x:v>
      </x:c>
      <x:c r="G995" s="13" t="n">
        <x:v>0</x:v>
      </x:c>
      <x:c r="H995" s="13" t="n">
        <x:f>F995-G995</x:f>
        <x:v>1786.79</x:v>
      </x:c>
      <x:c r="I995" s="13" t="n">
        <x:f>IF(C995=0,"n.a.",F995/C995)</x:f>
        <x:v>357.358</x:v>
      </x:c>
      <x:c r="J995" s="3"/>
      <x:c r="K995" s="3"/>
      <x:c r="L995" s="3"/>
    </x:row>
    <x:row r="996" ht="22" customHeight="1">
      <x:c r="A996" s="3"/>
      <x:c r="B996" s="3" t="str">
        <x:v>13510</x:v>
      </x:c>
      <x:c r="C996" s="3" t="n">
        <x:v>4</x:v>
      </x:c>
      <x:c r="D996" s="51" t="n">
        <x:v>40885</x:v>
      </x:c>
      <x:c r="E996" s="3" t="str">
        <x:v>Recurrente</x:v>
      </x:c>
      <x:c r="F996" s="13" t="n">
        <x:v>1791.56</x:v>
      </x:c>
      <x:c r="G996" s="13" t="n">
        <x:v>6.4</x:v>
      </x:c>
      <x:c r="H996" s="13" t="n">
        <x:f>F996-G996</x:f>
        <x:v>1785.1599999999999</x:v>
      </x:c>
      <x:c r="I996" s="13" t="n">
        <x:f>IF(C996=0,"n.a.",F996/C996)</x:f>
        <x:v>447.89</x:v>
      </x:c>
      <x:c r="J996" s="3"/>
      <x:c r="K996" s="3"/>
      <x:c r="L996" s="3"/>
    </x:row>
    <x:row r="997" ht="22" customHeight="1">
      <x:c r="A997" s="3"/>
      <x:c r="B997" s="3" t="str">
        <x:v>14608</x:v>
      </x:c>
      <x:c r="C997" s="3" t="n">
        <x:v>4</x:v>
      </x:c>
      <x:c r="D997" s="51" t="n">
        <x:v>40882</x:v>
      </x:c>
      <x:c r="E997" s="3" t="str">
        <x:v>Recurrente</x:v>
      </x:c>
      <x:c r="F997" s="13" t="n">
        <x:v>1785.15</x:v>
      </x:c>
      <x:c r="G997" s="13" t="n">
        <x:v>0</x:v>
      </x:c>
      <x:c r="H997" s="13" t="n">
        <x:f>F997-G997</x:f>
        <x:v>1785.15</x:v>
      </x:c>
      <x:c r="I997" s="13" t="n">
        <x:f>IF(C997=0,"n.a.",F997/C997)</x:f>
        <x:v>446.2875</x:v>
      </x:c>
      <x:c r="J997" s="3"/>
      <x:c r="K997" s="3"/>
      <x:c r="L997" s="3"/>
    </x:row>
    <x:row r="998" ht="22" customHeight="1">
      <x:c r="A998" s="3"/>
      <x:c r="B998" s="3" t="str">
        <x:v>14935</x:v>
      </x:c>
      <x:c r="C998" s="3" t="n">
        <x:v>1</x:v>
      </x:c>
      <x:c r="D998" s="51" t="n">
        <x:v>40589</x:v>
      </x:c>
      <x:c r="E998" s="3" t="str">
        <x:v>Una compra</x:v>
      </x:c>
      <x:c r="F998" s="13" t="n">
        <x:v>1784.71</x:v>
      </x:c>
      <x:c r="G998" s="13" t="n">
        <x:v>0</x:v>
      </x:c>
      <x:c r="H998" s="13" t="n">
        <x:f>F998-G998</x:f>
        <x:v>1784.71</x:v>
      </x:c>
      <x:c r="I998" s="13" t="n">
        <x:f>IF(C998=0,"n.a.",F998/C998)</x:f>
        <x:v>1784.71</x:v>
      </x:c>
      <x:c r="J998" s="3"/>
      <x:c r="K998" s="3"/>
      <x:c r="L998" s="3"/>
    </x:row>
    <x:row r="999" ht="22" customHeight="1">
      <x:c r="A999" s="3"/>
      <x:c r="B999" s="3" t="str">
        <x:v>17629</x:v>
      </x:c>
      <x:c r="C999" s="3" t="n">
        <x:v>8</x:v>
      </x:c>
      <x:c r="D999" s="51" t="n">
        <x:v>40881</x:v>
      </x:c>
      <x:c r="E999" s="3" t="str">
        <x:v>Recurrente</x:v>
      </x:c>
      <x:c r="F999" s="13" t="n">
        <x:v>1814.12</x:v>
      </x:c>
      <x:c r="G999" s="13" t="n">
        <x:v>30</x:v>
      </x:c>
      <x:c r="H999" s="13" t="n">
        <x:f>F999-G999</x:f>
        <x:v>1784.12</x:v>
      </x:c>
      <x:c r="I999" s="13" t="n">
        <x:f>IF(C999=0,"n.a.",F999/C999)</x:f>
        <x:v>226.765</x:v>
      </x:c>
      <x:c r="J999" s="3"/>
      <x:c r="K999" s="3"/>
      <x:c r="L999" s="3"/>
    </x:row>
    <x:row r="1000" ht="22" customHeight="1">
      <x:c r="A1000" s="3"/>
      <x:c r="B1000" s="3" t="str">
        <x:v>17750</x:v>
      </x:c>
      <x:c r="C1000" s="3" t="n">
        <x:v>9</x:v>
      </x:c>
      <x:c r="D1000" s="51" t="n">
        <x:v>40881</x:v>
      </x:c>
      <x:c r="E1000" s="3" t="str">
        <x:v>Recurrente</x:v>
      </x:c>
      <x:c r="F1000" s="13" t="n">
        <x:v>1781.28</x:v>
      </x:c>
      <x:c r="G1000" s="13" t="n">
        <x:v>0</x:v>
      </x:c>
      <x:c r="H1000" s="13" t="n">
        <x:f>F1000-G1000</x:f>
        <x:v>1781.28</x:v>
      </x:c>
      <x:c r="I1000" s="13" t="n">
        <x:f>IF(C1000=0,"n.a.",F1000/C1000)</x:f>
        <x:v>197.92</x:v>
      </x:c>
      <x:c r="J1000" s="3"/>
      <x:c r="K1000" s="3"/>
      <x:c r="L1000" s="3"/>
    </x:row>
    <x:row r="1001" ht="22" customHeight="1">
      <x:c r="A1001" s="3"/>
      <x:c r="B1001" s="3" t="str">
        <x:v>17705</x:v>
      </x:c>
      <x:c r="C1001" s="3" t="n">
        <x:v>9</x:v>
      </x:c>
      <x:c r="D1001" s="51" t="n">
        <x:v>40883</x:v>
      </x:c>
      <x:c r="E1001" s="3" t="str">
        <x:v>Recurrente</x:v>
      </x:c>
      <x:c r="F1001" s="13" t="n">
        <x:v>1823.52</x:v>
      </x:c>
      <x:c r="G1001" s="13" t="n">
        <x:v>42.4</x:v>
      </x:c>
      <x:c r="H1001" s="13" t="n">
        <x:f>F1001-G1001</x:f>
        <x:v>1781.12</x:v>
      </x:c>
      <x:c r="I1001" s="13" t="n">
        <x:f>IF(C1001=0,"n.a.",F1001/C1001)</x:f>
        <x:v>202.61333333333334</x:v>
      </x:c>
      <x:c r="J1001" s="3"/>
      <x:c r="K1001" s="3"/>
      <x:c r="L1001" s="3"/>
    </x:row>
    <x:row r="1002" ht="22" customHeight="1">
      <x:c r="A1002" s="3"/>
      <x:c r="B1002" s="3" t="str">
        <x:v>15260</x:v>
      </x:c>
      <x:c r="C1002" s="3" t="n">
        <x:v>7</x:v>
      </x:c>
      <x:c r="D1002" s="51" t="n">
        <x:v>40786</x:v>
      </x:c>
      <x:c r="E1002" s="3" t="str">
        <x:v>Recurrente</x:v>
      </x:c>
      <x:c r="F1002" s="13" t="n">
        <x:v>1810.77</x:v>
      </x:c>
      <x:c r="G1002" s="13" t="n">
        <x:v>30</x:v>
      </x:c>
      <x:c r="H1002" s="13" t="n">
        <x:f>F1002-G1002</x:f>
        <x:v>1780.77</x:v>
      </x:c>
      <x:c r="I1002" s="13" t="n">
        <x:f>IF(C1002=0,"n.a.",F1002/C1002)</x:f>
        <x:v>258.68142857142857</x:v>
      </x:c>
      <x:c r="J1002" s="3"/>
      <x:c r="K1002" s="3"/>
      <x:c r="L1002" s="3"/>
    </x:row>
    <x:row r="1003" ht="22" customHeight="1">
      <x:c r="A1003" s="3"/>
      <x:c r="B1003" s="3" t="str">
        <x:v>16380</x:v>
      </x:c>
      <x:c r="C1003" s="3" t="n">
        <x:v>1</x:v>
      </x:c>
      <x:c r="D1003" s="51" t="n">
        <x:v>40825</x:v>
      </x:c>
      <x:c r="E1003" s="3" t="str">
        <x:v>Una compra</x:v>
      </x:c>
      <x:c r="F1003" s="13" t="n">
        <x:v>1780.59</x:v>
      </x:c>
      <x:c r="G1003" s="13" t="n">
        <x:v>0</x:v>
      </x:c>
      <x:c r="H1003" s="13" t="n">
        <x:f>F1003-G1003</x:f>
        <x:v>1780.59</x:v>
      </x:c>
      <x:c r="I1003" s="13" t="n">
        <x:f>IF(C1003=0,"n.a.",F1003/C1003)</x:f>
        <x:v>1780.59</x:v>
      </x:c>
      <x:c r="J1003" s="3"/>
      <x:c r="K1003" s="3"/>
      <x:c r="L1003" s="3"/>
    </x:row>
    <x:row r="1004" ht="22" customHeight="1">
      <x:c r="A1004" s="3"/>
      <x:c r="B1004" s="3" t="str">
        <x:v>14215</x:v>
      </x:c>
      <x:c r="C1004" s="3" t="n">
        <x:v>6</x:v>
      </x:c>
      <x:c r="D1004" s="51" t="n">
        <x:v>40875</x:v>
      </x:c>
      <x:c r="E1004" s="3" t="str">
        <x:v>Recurrente</x:v>
      </x:c>
      <x:c r="F1004" s="13" t="n">
        <x:v>1789.72</x:v>
      </x:c>
      <x:c r="G1004" s="13" t="n">
        <x:v>11.8</x:v>
      </x:c>
      <x:c r="H1004" s="13" t="n">
        <x:f>F1004-G1004</x:f>
        <x:v>1777.92</x:v>
      </x:c>
      <x:c r="I1004" s="13" t="n">
        <x:f>IF(C1004=0,"n.a.",F1004/C1004)</x:f>
        <x:v>298.2866666666667</x:v>
      </x:c>
      <x:c r="J1004" s="3"/>
      <x:c r="K1004" s="3"/>
      <x:c r="L1004" s="3"/>
    </x:row>
    <x:row r="1005" ht="22" customHeight="1">
      <x:c r="A1005" s="3"/>
      <x:c r="B1005" s="3" t="str">
        <x:v>17092</x:v>
      </x:c>
      <x:c r="C1005" s="3" t="n">
        <x:v>4</x:v>
      </x:c>
      <x:c r="D1005" s="51" t="n">
        <x:v>40836</x:v>
      </x:c>
      <x:c r="E1005" s="3" t="str">
        <x:v>Recurrente</x:v>
      </x:c>
      <x:c r="F1005" s="13" t="n">
        <x:v>1777.78</x:v>
      </x:c>
      <x:c r="G1005" s="13" t="n">
        <x:v>0</x:v>
      </x:c>
      <x:c r="H1005" s="13" t="n">
        <x:f>F1005-G1005</x:f>
        <x:v>1777.78</x:v>
      </x:c>
      <x:c r="I1005" s="13" t="n">
        <x:f>IF(C1005=0,"n.a.",F1005/C1005)</x:f>
        <x:v>444.445</x:v>
      </x:c>
      <x:c r="J1005" s="3"/>
      <x:c r="K1005" s="3"/>
      <x:c r="L1005" s="3"/>
    </x:row>
    <x:row r="1006" ht="22" customHeight="1">
      <x:c r="A1006" s="3"/>
      <x:c r="B1006" s="3" t="str">
        <x:v>13481</x:v>
      </x:c>
      <x:c r="C1006" s="3" t="n">
        <x:v>5</x:v>
      </x:c>
      <x:c r="D1006" s="51" t="n">
        <x:v>40841</x:v>
      </x:c>
      <x:c r="E1006" s="3" t="str">
        <x:v>Recurrente</x:v>
      </x:c>
      <x:c r="F1006" s="13" t="n">
        <x:v>1804.56</x:v>
      </x:c>
      <x:c r="G1006" s="13" t="n">
        <x:v>27.75</x:v>
      </x:c>
      <x:c r="H1006" s="13" t="n">
        <x:f>F1006-G1006</x:f>
        <x:v>1776.81</x:v>
      </x:c>
      <x:c r="I1006" s="13" t="n">
        <x:f>IF(C1006=0,"n.a.",F1006/C1006)</x:f>
        <x:v>360.912</x:v>
      </x:c>
      <x:c r="J1006" s="3"/>
      <x:c r="K1006" s="3"/>
      <x:c r="L1006" s="3"/>
    </x:row>
    <x:row r="1007" ht="22" customHeight="1">
      <x:c r="A1007" s="3"/>
      <x:c r="B1007" s="3" t="str">
        <x:v>16841</x:v>
      </x:c>
      <x:c r="C1007" s="3" t="n">
        <x:v>6</x:v>
      </x:c>
      <x:c r="D1007" s="51" t="n">
        <x:v>40850</x:v>
      </x:c>
      <x:c r="E1007" s="3" t="str">
        <x:v>Recurrente</x:v>
      </x:c>
      <x:c r="F1007" s="13" t="n">
        <x:v>1869.82</x:v>
      </x:c>
      <x:c r="G1007" s="13" t="n">
        <x:v>95.2</x:v>
      </x:c>
      <x:c r="H1007" s="13" t="n">
        <x:f>F1007-G1007</x:f>
        <x:v>1774.62</x:v>
      </x:c>
      <x:c r="I1007" s="13" t="n">
        <x:f>IF(C1007=0,"n.a.",F1007/C1007)</x:f>
        <x:v>311.63666666666666</x:v>
      </x:c>
      <x:c r="J1007" s="3"/>
      <x:c r="K1007" s="3"/>
      <x:c r="L1007" s="3"/>
    </x:row>
    <x:row r="1008" ht="22" customHeight="1">
      <x:c r="A1008" s="3"/>
      <x:c r="B1008" s="3" t="str">
        <x:v>16719</x:v>
      </x:c>
      <x:c r="C1008" s="3" t="n">
        <x:v>7</x:v>
      </x:c>
      <x:c r="D1008" s="51" t="n">
        <x:v>40872</x:v>
      </x:c>
      <x:c r="E1008" s="3" t="str">
        <x:v>Recurrente</x:v>
      </x:c>
      <x:c r="F1008" s="13" t="n">
        <x:v>1790.42</x:v>
      </x:c>
      <x:c r="G1008" s="13" t="n">
        <x:v>16.5</x:v>
      </x:c>
      <x:c r="H1008" s="13" t="n">
        <x:f>F1008-G1008</x:f>
        <x:v>1773.92</x:v>
      </x:c>
      <x:c r="I1008" s="13" t="n">
        <x:f>IF(C1008=0,"n.a.",F1008/C1008)</x:f>
        <x:v>255.77428571428572</x:v>
      </x:c>
      <x:c r="J1008" s="3"/>
      <x:c r="K1008" s="3"/>
      <x:c r="L1008" s="3"/>
    </x:row>
    <x:row r="1009" ht="22" customHeight="1">
      <x:c r="A1009" s="3"/>
      <x:c r="B1009" s="3" t="str">
        <x:v>14387</x:v>
      </x:c>
      <x:c r="C1009" s="3" t="n">
        <x:v>3</x:v>
      </x:c>
      <x:c r="D1009" s="51" t="n">
        <x:v>40854</x:v>
      </x:c>
      <x:c r="E1009" s="3" t="str">
        <x:v>Recurrente</x:v>
      </x:c>
      <x:c r="F1009" s="13" t="n">
        <x:v>1770.56</x:v>
      </x:c>
      <x:c r="G1009" s="13" t="n">
        <x:v>0</x:v>
      </x:c>
      <x:c r="H1009" s="13" t="n">
        <x:f>F1009-G1009</x:f>
        <x:v>1770.56</x:v>
      </x:c>
      <x:c r="I1009" s="13" t="n">
        <x:f>IF(C1009=0,"n.a.",F1009/C1009)</x:f>
        <x:v>590.1866666666666</x:v>
      </x:c>
      <x:c r="J1009" s="3"/>
      <x:c r="K1009" s="3"/>
      <x:c r="L1009" s="3"/>
    </x:row>
    <x:row r="1010" ht="22" customHeight="1">
      <x:c r="A1010" s="3"/>
      <x:c r="B1010" s="3" t="str">
        <x:v>16681</x:v>
      </x:c>
      <x:c r="C1010" s="3" t="n">
        <x:v>6</x:v>
      </x:c>
      <x:c r="D1010" s="51" t="n">
        <x:v>40814</x:v>
      </x:c>
      <x:c r="E1010" s="3" t="str">
        <x:v>Recurrente</x:v>
      </x:c>
      <x:c r="F1010" s="13" t="n">
        <x:v>1770.34</x:v>
      </x:c>
      <x:c r="G1010" s="13" t="n">
        <x:v>0</x:v>
      </x:c>
      <x:c r="H1010" s="13" t="n">
        <x:f>F1010-G1010</x:f>
        <x:v>1770.34</x:v>
      </x:c>
      <x:c r="I1010" s="13" t="n">
        <x:f>IF(C1010=0,"n.a.",F1010/C1010)</x:f>
        <x:v>295.0566666666667</x:v>
      </x:c>
      <x:c r="J1010" s="3"/>
      <x:c r="K1010" s="3"/>
      <x:c r="L1010" s="3"/>
    </x:row>
    <x:row r="1011" ht="22" customHeight="1">
      <x:c r="A1011" s="3"/>
      <x:c r="B1011" s="3" t="str">
        <x:v>15864</x:v>
      </x:c>
      <x:c r="C1011" s="3" t="n">
        <x:v>6</x:v>
      </x:c>
      <x:c r="D1011" s="51" t="n">
        <x:v>40864</x:v>
      </x:c>
      <x:c r="E1011" s="3" t="str">
        <x:v>Recurrente</x:v>
      </x:c>
      <x:c r="F1011" s="13" t="n">
        <x:v>1936.32</x:v>
      </x:c>
      <x:c r="G1011" s="13" t="n">
        <x:v>166.54</x:v>
      </x:c>
      <x:c r="H1011" s="13" t="n">
        <x:f>F1011-G1011</x:f>
        <x:v>1769.78</x:v>
      </x:c>
      <x:c r="I1011" s="13" t="n">
        <x:f>IF(C1011=0,"n.a.",F1011/C1011)</x:f>
        <x:v>322.71999999999997</x:v>
      </x:c>
      <x:c r="J1011" s="3"/>
      <x:c r="K1011" s="3"/>
      <x:c r="L1011" s="3"/>
    </x:row>
    <x:row r="1012" ht="22" customHeight="1">
      <x:c r="A1012" s="3"/>
      <x:c r="B1012" s="3" t="str">
        <x:v>15594</x:v>
      </x:c>
      <x:c r="C1012" s="3" t="n">
        <x:v>5</x:v>
      </x:c>
      <x:c r="D1012" s="51" t="n">
        <x:v>40871</x:v>
      </x:c>
      <x:c r="E1012" s="3" t="str">
        <x:v>Recurrente</x:v>
      </x:c>
      <x:c r="F1012" s="13" t="n">
        <x:v>1771.78</x:v>
      </x:c>
      <x:c r="G1012" s="13" t="n">
        <x:v>4.25</x:v>
      </x:c>
      <x:c r="H1012" s="13" t="n">
        <x:f>F1012-G1012</x:f>
        <x:v>1767.53</x:v>
      </x:c>
      <x:c r="I1012" s="13" t="n">
        <x:f>IF(C1012=0,"n.a.",F1012/C1012)</x:f>
        <x:v>354.356</x:v>
      </x:c>
      <x:c r="J1012" s="3"/>
      <x:c r="K1012" s="3"/>
      <x:c r="L1012" s="3"/>
    </x:row>
    <x:row r="1013" ht="22" customHeight="1">
      <x:c r="A1013" s="3"/>
      <x:c r="B1013" s="3" t="str">
        <x:v>12585</x:v>
      </x:c>
      <x:c r="C1013" s="3" t="n">
        <x:v>2</x:v>
      </x:c>
      <x:c r="D1013" s="51" t="n">
        <x:v>40652</x:v>
      </x:c>
      <x:c r="E1013" s="3" t="str">
        <x:v>Recurrente</x:v>
      </x:c>
      <x:c r="F1013" s="13" t="n">
        <x:v>1824.1</x:v>
      </x:c>
      <x:c r="G1013" s="13" t="n">
        <x:v>57.29</x:v>
      </x:c>
      <x:c r="H1013" s="13" t="n">
        <x:f>F1013-G1013</x:f>
        <x:v>1766.81</x:v>
      </x:c>
      <x:c r="I1013" s="13" t="n">
        <x:f>IF(C1013=0,"n.a.",F1013/C1013)</x:f>
        <x:v>912.05</x:v>
      </x:c>
      <x:c r="J1013" s="3"/>
      <x:c r="K1013" s="3"/>
      <x:c r="L1013" s="3"/>
    </x:row>
    <x:row r="1014" ht="22" customHeight="1">
      <x:c r="A1014" s="3"/>
      <x:c r="B1014" s="3" t="str">
        <x:v>14621</x:v>
      </x:c>
      <x:c r="C1014" s="3" t="n">
        <x:v>5</x:v>
      </x:c>
      <x:c r="D1014" s="51" t="n">
        <x:v>40885</x:v>
      </x:c>
      <x:c r="E1014" s="3" t="str">
        <x:v>Recurrente</x:v>
      </x:c>
      <x:c r="F1014" s="13" t="n">
        <x:v>1788.36</x:v>
      </x:c>
      <x:c r="G1014" s="13" t="n">
        <x:v>22.6</x:v>
      </x:c>
      <x:c r="H1014" s="13" t="n">
        <x:f>F1014-G1014</x:f>
        <x:v>1765.76</x:v>
      </x:c>
      <x:c r="I1014" s="13" t="n">
        <x:f>IF(C1014=0,"n.a.",F1014/C1014)</x:f>
        <x:v>357.67199999999997</x:v>
      </x:c>
      <x:c r="J1014" s="3"/>
      <x:c r="K1014" s="3"/>
      <x:c r="L1014" s="3"/>
    </x:row>
    <x:row r="1015" ht="22" customHeight="1">
      <x:c r="A1015" s="3"/>
      <x:c r="B1015" s="3" t="str">
        <x:v>16751</x:v>
      </x:c>
      <x:c r="C1015" s="3" t="n">
        <x:v>1</x:v>
      </x:c>
      <x:c r="D1015" s="51" t="n">
        <x:v>40856</x:v>
      </x:c>
      <x:c r="E1015" s="3" t="str">
        <x:v>Una compra</x:v>
      </x:c>
      <x:c r="F1015" s="13" t="n">
        <x:v>1764.72</x:v>
      </x:c>
      <x:c r="G1015" s="13" t="n">
        <x:v>0</x:v>
      </x:c>
      <x:c r="H1015" s="13" t="n">
        <x:f>F1015-G1015</x:f>
        <x:v>1764.72</x:v>
      </x:c>
      <x:c r="I1015" s="13" t="n">
        <x:f>IF(C1015=0,"n.a.",F1015/C1015)</x:f>
        <x:v>1764.72</x:v>
      </x:c>
      <x:c r="J1015" s="3"/>
      <x:c r="K1015" s="3"/>
      <x:c r="L1015" s="3"/>
    </x:row>
    <x:row r="1016" ht="22" customHeight="1">
      <x:c r="A1016" s="3"/>
      <x:c r="B1016" s="3" t="str">
        <x:v>12424</x:v>
      </x:c>
      <x:c r="C1016" s="3" t="n">
        <x:v>2</x:v>
      </x:c>
      <x:c r="D1016" s="51" t="n">
        <x:v>40724</x:v>
      </x:c>
      <x:c r="E1016" s="3" t="str">
        <x:v>Recurrente</x:v>
      </x:c>
      <x:c r="F1016" s="13" t="n">
        <x:v>1760.96</x:v>
      </x:c>
      <x:c r="G1016" s="13" t="n">
        <x:v>0</x:v>
      </x:c>
      <x:c r="H1016" s="13" t="n">
        <x:f>F1016-G1016</x:f>
        <x:v>1760.96</x:v>
      </x:c>
      <x:c r="I1016" s="13" t="n">
        <x:f>IF(C1016=0,"n.a.",F1016/C1016)</x:f>
        <x:v>880.48</x:v>
      </x:c>
      <x:c r="J1016" s="3"/>
      <x:c r="K1016" s="3"/>
      <x:c r="L1016" s="3"/>
    </x:row>
    <x:row r="1017" ht="22" customHeight="1">
      <x:c r="A1017" s="3"/>
      <x:c r="B1017" s="3" t="str">
        <x:v>12823</x:v>
      </x:c>
      <x:c r="C1017" s="3" t="n">
        <x:v>5</x:v>
      </x:c>
      <x:c r="D1017" s="51" t="n">
        <x:v>40812</x:v>
      </x:c>
      <x:c r="E1017" s="3" t="str">
        <x:v>Recurrente</x:v>
      </x:c>
      <x:c r="F1017" s="13" t="n">
        <x:v>1759.5</x:v>
      </x:c>
      <x:c r="G1017" s="13" t="n">
        <x:v>0</x:v>
      </x:c>
      <x:c r="H1017" s="13" t="n">
        <x:f>F1017-G1017</x:f>
        <x:v>1759.5</x:v>
      </x:c>
      <x:c r="I1017" s="13" t="n">
        <x:f>IF(C1017=0,"n.a.",F1017/C1017)</x:f>
        <x:v>351.9</x:v>
      </x:c>
      <x:c r="J1017" s="3"/>
      <x:c r="K1017" s="3"/>
      <x:c r="L1017" s="3"/>
    </x:row>
    <x:row r="1018" ht="22" customHeight="1">
      <x:c r="A1018" s="3"/>
      <x:c r="B1018" s="3" t="str">
        <x:v>15220</x:v>
      </x:c>
      <x:c r="C1018" s="3" t="n">
        <x:v>6</x:v>
      </x:c>
      <x:c r="D1018" s="51" t="n">
        <x:v>40835</x:v>
      </x:c>
      <x:c r="E1018" s="3" t="str">
        <x:v>Recurrente</x:v>
      </x:c>
      <x:c r="F1018" s="13" t="n">
        <x:v>1778.96</x:v>
      </x:c>
      <x:c r="G1018" s="13" t="n">
        <x:v>20.04</x:v>
      </x:c>
      <x:c r="H1018" s="13" t="n">
        <x:f>F1018-G1018</x:f>
        <x:v>1758.92</x:v>
      </x:c>
      <x:c r="I1018" s="13" t="n">
        <x:f>IF(C1018=0,"n.a.",F1018/C1018)</x:f>
        <x:v>296.49333333333334</x:v>
      </x:c>
      <x:c r="J1018" s="3"/>
      <x:c r="K1018" s="3"/>
      <x:c r="L1018" s="3"/>
    </x:row>
    <x:row r="1019" ht="22" customHeight="1">
      <x:c r="A1019" s="3"/>
      <x:c r="B1019" s="3" t="str">
        <x:v>13808</x:v>
      </x:c>
      <x:c r="C1019" s="3" t="n">
        <x:v>5</x:v>
      </x:c>
      <x:c r="D1019" s="51" t="n">
        <x:v>40881</x:v>
      </x:c>
      <x:c r="E1019" s="3" t="str">
        <x:v>Recurrente</x:v>
      </x:c>
      <x:c r="F1019" s="13" t="n">
        <x:v>1747.66</x:v>
      </x:c>
      <x:c r="G1019" s="13" t="n">
        <x:v>0</x:v>
      </x:c>
      <x:c r="H1019" s="13" t="n">
        <x:f>F1019-G1019</x:f>
        <x:v>1747.66</x:v>
      </x:c>
      <x:c r="I1019" s="13" t="n">
        <x:f>IF(C1019=0,"n.a.",F1019/C1019)</x:f>
        <x:v>349.53200000000004</x:v>
      </x:c>
      <x:c r="J1019" s="3"/>
      <x:c r="K1019" s="3"/>
      <x:c r="L1019" s="3"/>
    </x:row>
    <x:row r="1020" ht="22" customHeight="1">
      <x:c r="A1020" s="3"/>
      <x:c r="B1020" s="3" t="str">
        <x:v>15067</x:v>
      </x:c>
      <x:c r="C1020" s="3" t="n">
        <x:v>3</x:v>
      </x:c>
      <x:c r="D1020" s="51" t="n">
        <x:v>40808</x:v>
      </x:c>
      <x:c r="E1020" s="3" t="str">
        <x:v>Recurrente</x:v>
      </x:c>
      <x:c r="F1020" s="13" t="n">
        <x:v>1744.76</x:v>
      </x:c>
      <x:c r="G1020" s="13" t="n">
        <x:v>0</x:v>
      </x:c>
      <x:c r="H1020" s="13" t="n">
        <x:f>F1020-G1020</x:f>
        <x:v>1744.76</x:v>
      </x:c>
      <x:c r="I1020" s="13" t="n">
        <x:f>IF(C1020=0,"n.a.",F1020/C1020)</x:f>
        <x:v>581.5866666666667</x:v>
      </x:c>
      <x:c r="J1020" s="3"/>
      <x:c r="K1020" s="3"/>
      <x:c r="L1020" s="3"/>
    </x:row>
    <x:row r="1021" ht="22" customHeight="1">
      <x:c r="A1021" s="3"/>
      <x:c r="B1021" s="3" t="str">
        <x:v>15674</x:v>
      </x:c>
      <x:c r="C1021" s="3" t="n">
        <x:v>4</x:v>
      </x:c>
      <x:c r="D1021" s="51" t="n">
        <x:v>40813</x:v>
      </x:c>
      <x:c r="E1021" s="3" t="str">
        <x:v>Recurrente</x:v>
      </x:c>
      <x:c r="F1021" s="13" t="n">
        <x:v>2111.89</x:v>
      </x:c>
      <x:c r="G1021" s="13" t="n">
        <x:v>367.87</x:v>
      </x:c>
      <x:c r="H1021" s="13" t="n">
        <x:f>F1021-G1021</x:f>
        <x:v>1744.02</x:v>
      </x:c>
      <x:c r="I1021" s="13" t="n">
        <x:f>IF(C1021=0,"n.a.",F1021/C1021)</x:f>
        <x:v>527.9725</x:v>
      </x:c>
      <x:c r="J1021" s="3"/>
      <x:c r="K1021" s="3"/>
      <x:c r="L1021" s="3"/>
    </x:row>
    <x:row r="1022" ht="22" customHeight="1">
      <x:c r="A1022" s="3"/>
      <x:c r="B1022" s="3" t="str">
        <x:v>12704</x:v>
      </x:c>
      <x:c r="C1022" s="3" t="n">
        <x:v>8</x:v>
      </x:c>
      <x:c r="D1022" s="51" t="n">
        <x:v>40879</x:v>
      </x:c>
      <x:c r="E1022" s="3" t="str">
        <x:v>Recurrente</x:v>
      </x:c>
      <x:c r="F1022" s="13" t="n">
        <x:v>1740.84</x:v>
      </x:c>
      <x:c r="G1022" s="13" t="n">
        <x:v>0</x:v>
      </x:c>
      <x:c r="H1022" s="13" t="n">
        <x:f>F1022-G1022</x:f>
        <x:v>1740.84</x:v>
      </x:c>
      <x:c r="I1022" s="13" t="n">
        <x:f>IF(C1022=0,"n.a.",F1022/C1022)</x:f>
        <x:v>217.605</x:v>
      </x:c>
      <x:c r="J1022" s="3"/>
      <x:c r="K1022" s="3"/>
      <x:c r="L1022" s="3"/>
    </x:row>
    <x:row r="1023" ht="22" customHeight="1">
      <x:c r="A1023" s="3"/>
      <x:c r="B1023" s="3" t="str">
        <x:v>13134</x:v>
      </x:c>
      <x:c r="C1023" s="3" t="n">
        <x:v>4</x:v>
      </x:c>
      <x:c r="D1023" s="51" t="n">
        <x:v>40801</x:v>
      </x:c>
      <x:c r="E1023" s="3" t="str">
        <x:v>Recurrente</x:v>
      </x:c>
      <x:c r="F1023" s="13" t="n">
        <x:v>1793.58</x:v>
      </x:c>
      <x:c r="G1023" s="13" t="n">
        <x:v>52.95</x:v>
      </x:c>
      <x:c r="H1023" s="13" t="n">
        <x:f>F1023-G1023</x:f>
        <x:v>1740.6299999999999</x:v>
      </x:c>
      <x:c r="I1023" s="13" t="n">
        <x:f>IF(C1023=0,"n.a.",F1023/C1023)</x:f>
        <x:v>448.395</x:v>
      </x:c>
      <x:c r="J1023" s="3"/>
      <x:c r="K1023" s="3"/>
      <x:c r="L1023" s="3"/>
    </x:row>
    <x:row r="1024" ht="22" customHeight="1">
      <x:c r="A1024" s="3"/>
      <x:c r="B1024" s="3" t="str">
        <x:v>14595</x:v>
      </x:c>
      <x:c r="C1024" s="3" t="n">
        <x:v>6</x:v>
      </x:c>
      <x:c r="D1024" s="51" t="n">
        <x:v>40867</x:v>
      </x:c>
      <x:c r="E1024" s="3" t="str">
        <x:v>Recurrente</x:v>
      </x:c>
      <x:c r="F1024" s="13" t="n">
        <x:v>1740.6</x:v>
      </x:c>
      <x:c r="G1024" s="13" t="n">
        <x:v>0</x:v>
      </x:c>
      <x:c r="H1024" s="13" t="n">
        <x:f>F1024-G1024</x:f>
        <x:v>1740.6</x:v>
      </x:c>
      <x:c r="I1024" s="13" t="n">
        <x:f>IF(C1024=0,"n.a.",F1024/C1024)</x:f>
        <x:v>290.09999999999997</x:v>
      </x:c>
      <x:c r="J1024" s="3"/>
      <x:c r="K1024" s="3"/>
      <x:c r="L1024" s="3"/>
    </x:row>
    <x:row r="1025" ht="22" customHeight="1">
      <x:c r="A1025" s="3"/>
      <x:c r="B1025" s="3" t="str">
        <x:v>17930</x:v>
      </x:c>
      <x:c r="C1025" s="3" t="n">
        <x:v>5</x:v>
      </x:c>
      <x:c r="D1025" s="51" t="n">
        <x:v>40851</x:v>
      </x:c>
      <x:c r="E1025" s="3" t="str">
        <x:v>Recurrente</x:v>
      </x:c>
      <x:c r="F1025" s="13" t="n">
        <x:v>1740.48</x:v>
      </x:c>
      <x:c r="G1025" s="13" t="n">
        <x:v>0</x:v>
      </x:c>
      <x:c r="H1025" s="13" t="n">
        <x:f>F1025-G1025</x:f>
        <x:v>1740.48</x:v>
      </x:c>
      <x:c r="I1025" s="13" t="n">
        <x:f>IF(C1025=0,"n.a.",F1025/C1025)</x:f>
        <x:v>348.096</x:v>
      </x:c>
      <x:c r="J1025" s="3"/>
      <x:c r="K1025" s="3"/>
      <x:c r="L1025" s="3"/>
    </x:row>
    <x:row r="1026" ht="22" customHeight="1">
      <x:c r="A1026" s="3"/>
      <x:c r="B1026" s="3" t="str">
        <x:v>17353</x:v>
      </x:c>
      <x:c r="C1026" s="3" t="n">
        <x:v>2</x:v>
      </x:c>
      <x:c r="D1026" s="51" t="n">
        <x:v>40757</x:v>
      </x:c>
      <x:c r="E1026" s="3" t="str">
        <x:v>Recurrente</x:v>
      </x:c>
      <x:c r="F1026" s="13" t="n">
        <x:v>1740</x:v>
      </x:c>
      <x:c r="G1026" s="13" t="n">
        <x:v>0</x:v>
      </x:c>
      <x:c r="H1026" s="13" t="n">
        <x:f>F1026-G1026</x:f>
        <x:v>1740</x:v>
      </x:c>
      <x:c r="I1026" s="13" t="n">
        <x:f>IF(C1026=0,"n.a.",F1026/C1026)</x:f>
        <x:v>870</x:v>
      </x:c>
      <x:c r="J1026" s="3"/>
      <x:c r="K1026" s="3"/>
      <x:c r="L1026" s="3"/>
    </x:row>
    <x:row r="1027" ht="22" customHeight="1">
      <x:c r="A1027" s="3"/>
      <x:c r="B1027" s="3" t="str">
        <x:v>17754</x:v>
      </x:c>
      <x:c r="C1027" s="3" t="n">
        <x:v>5</x:v>
      </x:c>
      <x:c r="D1027" s="51" t="n">
        <x:v>40886</x:v>
      </x:c>
      <x:c r="E1027" s="3" t="str">
        <x:v>Recurrente</x:v>
      </x:c>
      <x:c r="F1027" s="13" t="n">
        <x:v>1772.26</x:v>
      </x:c>
      <x:c r="G1027" s="13" t="n">
        <x:v>32.34</x:v>
      </x:c>
      <x:c r="H1027" s="13" t="n">
        <x:f>F1027-G1027</x:f>
        <x:v>1739.92</x:v>
      </x:c>
      <x:c r="I1027" s="13" t="n">
        <x:f>IF(C1027=0,"n.a.",F1027/C1027)</x:f>
        <x:v>354.452</x:v>
      </x:c>
      <x:c r="J1027" s="3"/>
      <x:c r="K1027" s="3"/>
      <x:c r="L1027" s="3"/>
    </x:row>
    <x:row r="1028" ht="22" customHeight="1">
      <x:c r="A1028" s="3"/>
      <x:c r="B1028" s="3" t="str">
        <x:v>15241</x:v>
      </x:c>
      <x:c r="C1028" s="3" t="n">
        <x:v>8</x:v>
      </x:c>
      <x:c r="D1028" s="51" t="n">
        <x:v>40820</x:v>
      </x:c>
      <x:c r="E1028" s="3" t="str">
        <x:v>Recurrente</x:v>
      </x:c>
      <x:c r="F1028" s="13" t="n">
        <x:v>1756.44</x:v>
      </x:c>
      <x:c r="G1028" s="13" t="n">
        <x:v>17.85</x:v>
      </x:c>
      <x:c r="H1028" s="13" t="n">
        <x:f>F1028-G1028</x:f>
        <x:v>1738.5900000000001</x:v>
      </x:c>
      <x:c r="I1028" s="13" t="n">
        <x:f>IF(C1028=0,"n.a.",F1028/C1028)</x:f>
        <x:v>219.555</x:v>
      </x:c>
      <x:c r="J1028" s="3"/>
      <x:c r="K1028" s="3"/>
      <x:c r="L1028" s="3"/>
    </x:row>
    <x:row r="1029" ht="22" customHeight="1">
      <x:c r="A1029" s="3"/>
      <x:c r="B1029" s="3" t="str">
        <x:v>13456</x:v>
      </x:c>
      <x:c r="C1029" s="3" t="n">
        <x:v>6</x:v>
      </x:c>
      <x:c r="D1029" s="51" t="n">
        <x:v>40869</x:v>
      </x:c>
      <x:c r="E1029" s="3" t="str">
        <x:v>Recurrente</x:v>
      </x:c>
      <x:c r="F1029" s="13" t="n">
        <x:v>1766.72</x:v>
      </x:c>
      <x:c r="G1029" s="13" t="n">
        <x:v>28.9</x:v>
      </x:c>
      <x:c r="H1029" s="13" t="n">
        <x:f>F1029-G1029</x:f>
        <x:v>1737.82</x:v>
      </x:c>
      <x:c r="I1029" s="13" t="n">
        <x:f>IF(C1029=0,"n.a.",F1029/C1029)</x:f>
        <x:v>294.4533333333333</x:v>
      </x:c>
      <x:c r="J1029" s="3"/>
      <x:c r="K1029" s="3"/>
      <x:c r="L1029" s="3"/>
    </x:row>
    <x:row r="1030" ht="22" customHeight="1">
      <x:c r="A1030" s="3"/>
      <x:c r="B1030" s="3" t="str">
        <x:v>17457</x:v>
      </x:c>
      <x:c r="C1030" s="3" t="n">
        <x:v>5</x:v>
      </x:c>
      <x:c r="D1030" s="51" t="n">
        <x:v>40760</x:v>
      </x:c>
      <x:c r="E1030" s="3" t="str">
        <x:v>Recurrente</x:v>
      </x:c>
      <x:c r="F1030" s="13" t="n">
        <x:v>1737.7</x:v>
      </x:c>
      <x:c r="G1030" s="13" t="n">
        <x:v>0</x:v>
      </x:c>
      <x:c r="H1030" s="13" t="n">
        <x:f>F1030-G1030</x:f>
        <x:v>1737.7</x:v>
      </x:c>
      <x:c r="I1030" s="13" t="n">
        <x:f>IF(C1030=0,"n.a.",F1030/C1030)</x:f>
        <x:v>347.54</x:v>
      </x:c>
      <x:c r="J1030" s="3"/>
      <x:c r="K1030" s="3"/>
      <x:c r="L1030" s="3"/>
    </x:row>
    <x:row r="1031" ht="22" customHeight="1">
      <x:c r="A1031" s="3"/>
      <x:c r="B1031" s="3" t="str">
        <x:v>14673</x:v>
      </x:c>
      <x:c r="C1031" s="3" t="n">
        <x:v>5</x:v>
      </x:c>
      <x:c r="D1031" s="51" t="n">
        <x:v>40883</x:v>
      </x:c>
      <x:c r="E1031" s="3" t="str">
        <x:v>Recurrente</x:v>
      </x:c>
      <x:c r="F1031" s="13" t="n">
        <x:v>1736.4</x:v>
      </x:c>
      <x:c r="G1031" s="13" t="n">
        <x:v>0</x:v>
      </x:c>
      <x:c r="H1031" s="13" t="n">
        <x:f>F1031-G1031</x:f>
        <x:v>1736.4</x:v>
      </x:c>
      <x:c r="I1031" s="13" t="n">
        <x:f>IF(C1031=0,"n.a.",F1031/C1031)</x:f>
        <x:v>347.28000000000003</x:v>
      </x:c>
      <x:c r="J1031" s="3"/>
      <x:c r="K1031" s="3"/>
      <x:c r="L1031" s="3"/>
    </x:row>
    <x:row r="1032" ht="22" customHeight="1">
      <x:c r="A1032" s="3"/>
      <x:c r="B1032" s="3" t="str">
        <x:v>17043</x:v>
      </x:c>
      <x:c r="C1032" s="3" t="n">
        <x:v>4</x:v>
      </x:c>
      <x:c r="D1032" s="51" t="n">
        <x:v>40854</x:v>
      </x:c>
      <x:c r="E1032" s="3" t="str">
        <x:v>Recurrente</x:v>
      </x:c>
      <x:c r="F1032" s="13" t="n">
        <x:v>1735.18</x:v>
      </x:c>
      <x:c r="G1032" s="13" t="n">
        <x:v>0</x:v>
      </x:c>
      <x:c r="H1032" s="13" t="n">
        <x:f>F1032-G1032</x:f>
        <x:v>1735.18</x:v>
      </x:c>
      <x:c r="I1032" s="13" t="n">
        <x:f>IF(C1032=0,"n.a.",F1032/C1032)</x:f>
        <x:v>433.795</x:v>
      </x:c>
      <x:c r="J1032" s="3"/>
      <x:c r="K1032" s="3"/>
      <x:c r="L1032" s="3"/>
    </x:row>
    <x:row r="1033" ht="22" customHeight="1">
      <x:c r="A1033" s="3"/>
      <x:c r="B1033" s="3" t="str">
        <x:v>15050</x:v>
      </x:c>
      <x:c r="C1033" s="3" t="n">
        <x:v>3</x:v>
      </x:c>
      <x:c r="D1033" s="51" t="n">
        <x:v>40861</x:v>
      </x:c>
      <x:c r="E1033" s="3" t="str">
        <x:v>Recurrente</x:v>
      </x:c>
      <x:c r="F1033" s="13" t="n">
        <x:v>1782.09</x:v>
      </x:c>
      <x:c r="G1033" s="13" t="n">
        <x:v>54.92</x:v>
      </x:c>
      <x:c r="H1033" s="13" t="n">
        <x:f>F1033-G1033</x:f>
        <x:v>1727.1699999999998</x:v>
      </x:c>
      <x:c r="I1033" s="13" t="n">
        <x:f>IF(C1033=0,"n.a.",F1033/C1033)</x:f>
        <x:v>594.03</x:v>
      </x:c>
      <x:c r="J1033" s="3"/>
      <x:c r="K1033" s="3"/>
      <x:c r="L1033" s="3"/>
    </x:row>
    <x:row r="1034" ht="22" customHeight="1">
      <x:c r="A1034" s="3"/>
      <x:c r="B1034" s="3" t="str">
        <x:v>13157</x:v>
      </x:c>
      <x:c r="C1034" s="3" t="n">
        <x:v>4</x:v>
      </x:c>
      <x:c r="D1034" s="51" t="n">
        <x:v>40837</x:v>
      </x:c>
      <x:c r="E1034" s="3" t="str">
        <x:v>Recurrente</x:v>
      </x:c>
      <x:c r="F1034" s="13" t="n">
        <x:v>1741.22</x:v>
      </x:c>
      <x:c r="G1034" s="13" t="n">
        <x:v>19.65</x:v>
      </x:c>
      <x:c r="H1034" s="13" t="n">
        <x:f>F1034-G1034</x:f>
        <x:v>1721.57</x:v>
      </x:c>
      <x:c r="I1034" s="13" t="n">
        <x:f>IF(C1034=0,"n.a.",F1034/C1034)</x:f>
        <x:v>435.305</x:v>
      </x:c>
      <x:c r="J1034" s="3"/>
      <x:c r="K1034" s="3"/>
      <x:c r="L1034" s="3"/>
    </x:row>
    <x:row r="1035" ht="22" customHeight="1">
      <x:c r="A1035" s="3"/>
      <x:c r="B1035" s="3" t="str">
        <x:v>17702</x:v>
      </x:c>
      <x:c r="C1035" s="3" t="n">
        <x:v>4</x:v>
      </x:c>
      <x:c r="D1035" s="51" t="n">
        <x:v>40856</x:v>
      </x:c>
      <x:c r="E1035" s="3" t="str">
        <x:v>Recurrente</x:v>
      </x:c>
      <x:c r="F1035" s="13" t="n">
        <x:v>1824.37</x:v>
      </x:c>
      <x:c r="G1035" s="13" t="n">
        <x:v>104.65</x:v>
      </x:c>
      <x:c r="H1035" s="13" t="n">
        <x:f>F1035-G1035</x:f>
        <x:v>1719.7199999999998</x:v>
      </x:c>
      <x:c r="I1035" s="13" t="n">
        <x:f>IF(C1035=0,"n.a.",F1035/C1035)</x:f>
        <x:v>456.0925</x:v>
      </x:c>
      <x:c r="J1035" s="3"/>
      <x:c r="K1035" s="3"/>
      <x:c r="L1035" s="3"/>
    </x:row>
    <x:row r="1036" ht="22" customHeight="1">
      <x:c r="A1036" s="3"/>
      <x:c r="B1036" s="3" t="str">
        <x:v>15267</x:v>
      </x:c>
      <x:c r="C1036" s="3" t="n">
        <x:v>5</x:v>
      </x:c>
      <x:c r="D1036" s="51" t="n">
        <x:v>40864</x:v>
      </x:c>
      <x:c r="E1036" s="3" t="str">
        <x:v>Recurrente</x:v>
      </x:c>
      <x:c r="F1036" s="13" t="n">
        <x:v>1717.36</x:v>
      </x:c>
      <x:c r="G1036" s="13" t="n">
        <x:v>0</x:v>
      </x:c>
      <x:c r="H1036" s="13" t="n">
        <x:f>F1036-G1036</x:f>
        <x:v>1717.36</x:v>
      </x:c>
      <x:c r="I1036" s="13" t="n">
        <x:f>IF(C1036=0,"n.a.",F1036/C1036)</x:f>
        <x:v>343.472</x:v>
      </x:c>
      <x:c r="J1036" s="3"/>
      <x:c r="K1036" s="3"/>
      <x:c r="L1036" s="3"/>
    </x:row>
    <x:row r="1037" ht="22" customHeight="1">
      <x:c r="A1037" s="3"/>
      <x:c r="B1037" s="3" t="str">
        <x:v>17813</x:v>
      </x:c>
      <x:c r="C1037" s="3" t="n">
        <x:v>5</x:v>
      </x:c>
      <x:c r="D1037" s="51" t="n">
        <x:v>40872</x:v>
      </x:c>
      <x:c r="E1037" s="3" t="str">
        <x:v>Recurrente</x:v>
      </x:c>
      <x:c r="F1037" s="13" t="n">
        <x:v>1770.88</x:v>
      </x:c>
      <x:c r="G1037" s="13" t="n">
        <x:v>56.28</x:v>
      </x:c>
      <x:c r="H1037" s="13" t="n">
        <x:f>F1037-G1037</x:f>
        <x:v>1714.6000000000001</x:v>
      </x:c>
      <x:c r="I1037" s="13" t="n">
        <x:f>IF(C1037=0,"n.a.",F1037/C1037)</x:f>
        <x:v>354.17600000000004</x:v>
      </x:c>
      <x:c r="J1037" s="3"/>
      <x:c r="K1037" s="3"/>
      <x:c r="L1037" s="3"/>
    </x:row>
    <x:row r="1038" ht="22" customHeight="1">
      <x:c r="A1038" s="3"/>
      <x:c r="B1038" s="3" t="str">
        <x:v>13094</x:v>
      </x:c>
      <x:c r="C1038" s="3" t="n">
        <x:v>12</x:v>
      </x:c>
      <x:c r="D1038" s="51" t="n">
        <x:v>40865</x:v>
      </x:c>
      <x:c r="E1038" s="3" t="str">
        <x:v>Recurrente</x:v>
      </x:c>
      <x:c r="F1038" s="13" t="n">
        <x:v>1927.32</x:v>
      </x:c>
      <x:c r="G1038" s="13" t="n">
        <x:v>218.46</x:v>
      </x:c>
      <x:c r="H1038" s="13" t="n">
        <x:f>F1038-G1038</x:f>
        <x:v>1708.86</x:v>
      </x:c>
      <x:c r="I1038" s="13" t="n">
        <x:f>IF(C1038=0,"n.a.",F1038/C1038)</x:f>
        <x:v>160.60999999999999</x:v>
      </x:c>
      <x:c r="J1038" s="3"/>
      <x:c r="K1038" s="3"/>
      <x:c r="L1038" s="3"/>
    </x:row>
    <x:row r="1039" ht="22" customHeight="1">
      <x:c r="A1039" s="3"/>
      <x:c r="B1039" s="3" t="str">
        <x:v>15947</x:v>
      </x:c>
      <x:c r="C1039" s="3" t="n">
        <x:v>1</x:v>
      </x:c>
      <x:c r="D1039" s="51" t="n">
        <x:v>40804</x:v>
      </x:c>
      <x:c r="E1039" s="3" t="str">
        <x:v>Una compra</x:v>
      </x:c>
      <x:c r="F1039" s="13" t="n">
        <x:v>1708.24</x:v>
      </x:c>
      <x:c r="G1039" s="13" t="n">
        <x:v>0</x:v>
      </x:c>
      <x:c r="H1039" s="13" t="n">
        <x:f>F1039-G1039</x:f>
        <x:v>1708.24</x:v>
      </x:c>
      <x:c r="I1039" s="13" t="n">
        <x:f>IF(C1039=0,"n.a.",F1039/C1039)</x:f>
        <x:v>1708.24</x:v>
      </x:c>
      <x:c r="J1039" s="3"/>
      <x:c r="K1039" s="3"/>
      <x:c r="L1039" s="3"/>
    </x:row>
    <x:row r="1040" ht="22" customHeight="1">
      <x:c r="A1040" s="3"/>
      <x:c r="B1040" s="3" t="str">
        <x:v>17162</x:v>
      </x:c>
      <x:c r="C1040" s="3" t="n">
        <x:v>10</x:v>
      </x:c>
      <x:c r="D1040" s="51" t="n">
        <x:v>40858</x:v>
      </x:c>
      <x:c r="E1040" s="3" t="str">
        <x:v>Recurrente</x:v>
      </x:c>
      <x:c r="F1040" s="13" t="n">
        <x:v>1715.46</x:v>
      </x:c>
      <x:c r="G1040" s="13" t="n">
        <x:v>8.25</x:v>
      </x:c>
      <x:c r="H1040" s="13" t="n">
        <x:f>F1040-G1040</x:f>
        <x:v>1707.21</x:v>
      </x:c>
      <x:c r="I1040" s="13" t="n">
        <x:f>IF(C1040=0,"n.a.",F1040/C1040)</x:f>
        <x:v>171.546</x:v>
      </x:c>
      <x:c r="J1040" s="3"/>
      <x:c r="K1040" s="3"/>
      <x:c r="L1040" s="3"/>
    </x:row>
    <x:row r="1041" ht="22" customHeight="1">
      <x:c r="A1041" s="3"/>
      <x:c r="B1041" s="3" t="str">
        <x:v>16902</x:v>
      </x:c>
      <x:c r="C1041" s="3" t="n">
        <x:v>1</x:v>
      </x:c>
      <x:c r="D1041" s="51" t="n">
        <x:v>40770</x:v>
      </x:c>
      <x:c r="E1041" s="3" t="str">
        <x:v>Una compra</x:v>
      </x:c>
      <x:c r="F1041" s="13" t="n">
        <x:v>1706.88</x:v>
      </x:c>
      <x:c r="G1041" s="13" t="n">
        <x:v>0</x:v>
      </x:c>
      <x:c r="H1041" s="13" t="n">
        <x:f>F1041-G1041</x:f>
        <x:v>1706.88</x:v>
      </x:c>
      <x:c r="I1041" s="13" t="n">
        <x:f>IF(C1041=0,"n.a.",F1041/C1041)</x:f>
        <x:v>1706.88</x:v>
      </x:c>
      <x:c r="J1041" s="3"/>
      <x:c r="K1041" s="3"/>
      <x:c r="L1041" s="3"/>
    </x:row>
    <x:row r="1042" ht="22" customHeight="1">
      <x:c r="A1042" s="3"/>
      <x:c r="B1042" s="3" t="str">
        <x:v>12610</x:v>
      </x:c>
      <x:c r="C1042" s="3" t="n">
        <x:v>4</x:v>
      </x:c>
      <x:c r="D1042" s="51" t="n">
        <x:v>40864</x:v>
      </x:c>
      <x:c r="E1042" s="3" t="str">
        <x:v>Recurrente</x:v>
      </x:c>
      <x:c r="F1042" s="13" t="n">
        <x:v>1747.54</x:v>
      </x:c>
      <x:c r="G1042" s="13" t="n">
        <x:v>41.55</x:v>
      </x:c>
      <x:c r="H1042" s="13" t="n">
        <x:f>F1042-G1042</x:f>
        <x:v>1705.99</x:v>
      </x:c>
      <x:c r="I1042" s="13" t="n">
        <x:f>IF(C1042=0,"n.a.",F1042/C1042)</x:f>
        <x:v>436.885</x:v>
      </x:c>
      <x:c r="J1042" s="3"/>
      <x:c r="K1042" s="3"/>
      <x:c r="L1042" s="3"/>
    </x:row>
    <x:row r="1043" ht="22" customHeight="1">
      <x:c r="A1043" s="3"/>
      <x:c r="B1043" s="3" t="str">
        <x:v>15950</x:v>
      </x:c>
      <x:c r="C1043" s="3" t="n">
        <x:v>4</x:v>
      </x:c>
      <x:c r="D1043" s="51" t="n">
        <x:v>40855</x:v>
      </x:c>
      <x:c r="E1043" s="3" t="str">
        <x:v>Recurrente</x:v>
      </x:c>
      <x:c r="F1043" s="13" t="n">
        <x:v>1765.51</x:v>
      </x:c>
      <x:c r="G1043" s="13" t="n">
        <x:v>60.25</x:v>
      </x:c>
      <x:c r="H1043" s="13" t="n">
        <x:f>F1043-G1043</x:f>
        <x:v>1705.26</x:v>
      </x:c>
      <x:c r="I1043" s="13" t="n">
        <x:f>IF(C1043=0,"n.a.",F1043/C1043)</x:f>
        <x:v>441.3775</x:v>
      </x:c>
      <x:c r="J1043" s="3"/>
      <x:c r="K1043" s="3"/>
      <x:c r="L1043" s="3"/>
    </x:row>
    <x:row r="1044" ht="22" customHeight="1">
      <x:c r="A1044" s="3"/>
      <x:c r="B1044" s="3" t="str">
        <x:v>17282</x:v>
      </x:c>
      <x:c r="C1044" s="3" t="n">
        <x:v>3</x:v>
      </x:c>
      <x:c r="D1044" s="51" t="n">
        <x:v>40756</x:v>
      </x:c>
      <x:c r="E1044" s="3" t="str">
        <x:v>Recurrente</x:v>
      </x:c>
      <x:c r="F1044" s="13" t="n">
        <x:v>1703.41</x:v>
      </x:c>
      <x:c r="G1044" s="13" t="n">
        <x:v>0</x:v>
      </x:c>
      <x:c r="H1044" s="13" t="n">
        <x:f>F1044-G1044</x:f>
        <x:v>1703.41</x:v>
      </x:c>
      <x:c r="I1044" s="13" t="n">
        <x:f>IF(C1044=0,"n.a.",F1044/C1044)</x:f>
        <x:v>567.8033333333334</x:v>
      </x:c>
      <x:c r="J1044" s="3"/>
      <x:c r="K1044" s="3"/>
      <x:c r="L1044" s="3"/>
    </x:row>
    <x:row r="1045" ht="22" customHeight="1">
      <x:c r="A1045" s="3"/>
      <x:c r="B1045" s="3" t="str">
        <x:v>12762</x:v>
      </x:c>
      <x:c r="C1045" s="3" t="n">
        <x:v>2</x:v>
      </x:c>
      <x:c r="D1045" s="51" t="n">
        <x:v>40879</x:v>
      </x:c>
      <x:c r="E1045" s="3" t="str">
        <x:v>Recurrente</x:v>
      </x:c>
      <x:c r="F1045" s="13" t="n">
        <x:v>1702.52</x:v>
      </x:c>
      <x:c r="G1045" s="13" t="n">
        <x:v>0</x:v>
      </x:c>
      <x:c r="H1045" s="13" t="n">
        <x:f>F1045-G1045</x:f>
        <x:v>1702.52</x:v>
      </x:c>
      <x:c r="I1045" s="13" t="n">
        <x:f>IF(C1045=0,"n.a.",F1045/C1045)</x:f>
        <x:v>851.26</x:v>
      </x:c>
      <x:c r="J1045" s="3"/>
      <x:c r="K1045" s="3"/>
      <x:c r="L1045" s="3"/>
    </x:row>
    <x:row r="1046" ht="22" customHeight="1">
      <x:c r="A1046" s="3"/>
      <x:c r="B1046" s="3" t="str">
        <x:v>16007</x:v>
      </x:c>
      <x:c r="C1046" s="3" t="n">
        <x:v>4</x:v>
      </x:c>
      <x:c r="D1046" s="51" t="n">
        <x:v>40839</x:v>
      </x:c>
      <x:c r="E1046" s="3" t="str">
        <x:v>Recurrente</x:v>
      </x:c>
      <x:c r="F1046" s="13" t="n">
        <x:v>1701.94</x:v>
      </x:c>
      <x:c r="G1046" s="13" t="n">
        <x:v>0</x:v>
      </x:c>
      <x:c r="H1046" s="13" t="n">
        <x:f>F1046-G1046</x:f>
        <x:v>1701.94</x:v>
      </x:c>
      <x:c r="I1046" s="13" t="n">
        <x:f>IF(C1046=0,"n.a.",F1046/C1046)</x:f>
        <x:v>425.485</x:v>
      </x:c>
      <x:c r="J1046" s="3"/>
      <x:c r="K1046" s="3"/>
      <x:c r="L1046" s="3"/>
    </x:row>
    <x:row r="1047" ht="22" customHeight="1">
      <x:c r="A1047" s="3"/>
      <x:c r="B1047" s="3" t="str">
        <x:v>13824</x:v>
      </x:c>
      <x:c r="C1047" s="3" t="n">
        <x:v>5</x:v>
      </x:c>
      <x:c r="D1047" s="51" t="n">
        <x:v>40854</x:v>
      </x:c>
      <x:c r="E1047" s="3" t="str">
        <x:v>Recurrente</x:v>
      </x:c>
      <x:c r="F1047" s="13" t="n">
        <x:v>1698.94</x:v>
      </x:c>
      <x:c r="G1047" s="13" t="n">
        <x:v>0</x:v>
      </x:c>
      <x:c r="H1047" s="13" t="n">
        <x:f>F1047-G1047</x:f>
        <x:v>1698.94</x:v>
      </x:c>
      <x:c r="I1047" s="13" t="n">
        <x:f>IF(C1047=0,"n.a.",F1047/C1047)</x:f>
        <x:v>339.788</x:v>
      </x:c>
      <x:c r="J1047" s="3"/>
      <x:c r="K1047" s="3"/>
      <x:c r="L1047" s="3"/>
    </x:row>
    <x:row r="1048" ht="22" customHeight="1">
      <x:c r="A1048" s="3"/>
      <x:c r="B1048" s="3" t="str">
        <x:v>14834</x:v>
      </x:c>
      <x:c r="C1048" s="3" t="n">
        <x:v>6</x:v>
      </x:c>
      <x:c r="D1048" s="51" t="n">
        <x:v>40869</x:v>
      </x:c>
      <x:c r="E1048" s="3" t="str">
        <x:v>Recurrente</x:v>
      </x:c>
      <x:c r="F1048" s="13" t="n">
        <x:v>1720.3</x:v>
      </x:c>
      <x:c r="G1048" s="13" t="n">
        <x:v>21.95</x:v>
      </x:c>
      <x:c r="H1048" s="13" t="n">
        <x:f>F1048-G1048</x:f>
        <x:v>1698.35</x:v>
      </x:c>
      <x:c r="I1048" s="13" t="n">
        <x:f>IF(C1048=0,"n.a.",F1048/C1048)</x:f>
        <x:v>286.71666666666664</x:v>
      </x:c>
      <x:c r="J1048" s="3"/>
      <x:c r="K1048" s="3"/>
      <x:c r="L1048" s="3"/>
    </x:row>
    <x:row r="1049" ht="22" customHeight="1">
      <x:c r="A1049" s="3"/>
      <x:c r="B1049" s="3" t="str">
        <x:v>16775</x:v>
      </x:c>
      <x:c r="C1049" s="3" t="n">
        <x:v>11</x:v>
      </x:c>
      <x:c r="D1049" s="51" t="n">
        <x:v>40876</x:v>
      </x:c>
      <x:c r="E1049" s="3" t="str">
        <x:v>Recurrente</x:v>
      </x:c>
      <x:c r="F1049" s="13" t="n">
        <x:v>1695.66</x:v>
      </x:c>
      <x:c r="G1049" s="13" t="n">
        <x:v>0</x:v>
      </x:c>
      <x:c r="H1049" s="13" t="n">
        <x:f>F1049-G1049</x:f>
        <x:v>1695.66</x:v>
      </x:c>
      <x:c r="I1049" s="13" t="n">
        <x:f>IF(C1049=0,"n.a.",F1049/C1049)</x:f>
        <x:v>154.1509090909091</x:v>
      </x:c>
      <x:c r="J1049" s="3"/>
      <x:c r="K1049" s="3"/>
      <x:c r="L1049" s="3"/>
    </x:row>
    <x:row r="1050" ht="22" customHeight="1">
      <x:c r="A1050" s="3"/>
      <x:c r="B1050" s="3" t="str">
        <x:v>12764</x:v>
      </x:c>
      <x:c r="C1050" s="3" t="n">
        <x:v>1</x:v>
      </x:c>
      <x:c r="D1050" s="51" t="n">
        <x:v>40570</x:v>
      </x:c>
      <x:c r="E1050" s="3" t="str">
        <x:v>Una compra</x:v>
      </x:c>
      <x:c r="F1050" s="13" t="n">
        <x:v>1693.88</x:v>
      </x:c>
      <x:c r="G1050" s="13" t="n">
        <x:v>0</x:v>
      </x:c>
      <x:c r="H1050" s="13" t="n">
        <x:f>F1050-G1050</x:f>
        <x:v>1693.88</x:v>
      </x:c>
      <x:c r="I1050" s="13" t="n">
        <x:f>IF(C1050=0,"n.a.",F1050/C1050)</x:f>
        <x:v>1693.88</x:v>
      </x:c>
      <x:c r="J1050" s="3"/>
      <x:c r="K1050" s="3"/>
      <x:c r="L1050" s="3"/>
    </x:row>
    <x:row r="1051" ht="22" customHeight="1">
      <x:c r="A1051" s="3"/>
      <x:c r="B1051" s="3" t="str">
        <x:v>16791</x:v>
      </x:c>
      <x:c r="C1051" s="3" t="n">
        <x:v>7</x:v>
      </x:c>
      <x:c r="D1051" s="51" t="n">
        <x:v>40857</x:v>
      </x:c>
      <x:c r="E1051" s="3" t="str">
        <x:v>Recurrente</x:v>
      </x:c>
      <x:c r="F1051" s="13" t="n">
        <x:v>1709.03</x:v>
      </x:c>
      <x:c r="G1051" s="13" t="n">
        <x:v>15.5</x:v>
      </x:c>
      <x:c r="H1051" s="13" t="n">
        <x:f>F1051-G1051</x:f>
        <x:v>1693.53</x:v>
      </x:c>
      <x:c r="I1051" s="13" t="n">
        <x:f>IF(C1051=0,"n.a.",F1051/C1051)</x:f>
        <x:v>244.14714285714285</x:v>
      </x:c>
      <x:c r="J1051" s="3"/>
      <x:c r="K1051" s="3"/>
      <x:c r="L1051" s="3"/>
    </x:row>
    <x:row r="1052" ht="22" customHeight="1">
      <x:c r="A1052" s="3"/>
      <x:c r="B1052" s="3" t="str">
        <x:v>16813</x:v>
      </x:c>
      <x:c r="C1052" s="3" t="n">
        <x:v>10</x:v>
      </x:c>
      <x:c r="D1052" s="51" t="n">
        <x:v>40878</x:v>
      </x:c>
      <x:c r="E1052" s="3" t="str">
        <x:v>Recurrente</x:v>
      </x:c>
      <x:c r="F1052" s="13" t="n">
        <x:v>1692.98</x:v>
      </x:c>
      <x:c r="G1052" s="13" t="n">
        <x:v>0</x:v>
      </x:c>
      <x:c r="H1052" s="13" t="n">
        <x:f>F1052-G1052</x:f>
        <x:v>1692.98</x:v>
      </x:c>
      <x:c r="I1052" s="13" t="n">
        <x:f>IF(C1052=0,"n.a.",F1052/C1052)</x:f>
        <x:v>169.298</x:v>
      </x:c>
      <x:c r="J1052" s="3"/>
      <x:c r="K1052" s="3"/>
      <x:c r="L1052" s="3"/>
    </x:row>
    <x:row r="1053" ht="22" customHeight="1">
      <x:c r="A1053" s="3"/>
      <x:c r="B1053" s="3" t="str">
        <x:v>16671</x:v>
      </x:c>
      <x:c r="C1053" s="3" t="n">
        <x:v>3</x:v>
      </x:c>
      <x:c r="D1053" s="51" t="n">
        <x:v>40858</x:v>
      </x:c>
      <x:c r="E1053" s="3" t="str">
        <x:v>Recurrente</x:v>
      </x:c>
      <x:c r="F1053" s="13" t="n">
        <x:v>1692.27</x:v>
      </x:c>
      <x:c r="G1053" s="13" t="n">
        <x:v>0</x:v>
      </x:c>
      <x:c r="H1053" s="13" t="n">
        <x:f>F1053-G1053</x:f>
        <x:v>1692.27</x:v>
      </x:c>
      <x:c r="I1053" s="13" t="n">
        <x:f>IF(C1053=0,"n.a.",F1053/C1053)</x:f>
        <x:v>564.09</x:v>
      </x:c>
      <x:c r="J1053" s="3"/>
      <x:c r="K1053" s="3"/>
      <x:c r="L1053" s="3"/>
    </x:row>
    <x:row r="1054" ht="22" customHeight="1">
      <x:c r="A1054" s="3"/>
      <x:c r="B1054" s="3" t="str">
        <x:v>13763</x:v>
      </x:c>
      <x:c r="C1054" s="3" t="n">
        <x:v>1</x:v>
      </x:c>
      <x:c r="D1054" s="51" t="n">
        <x:v>40823</x:v>
      </x:c>
      <x:c r="E1054" s="3" t="str">
        <x:v>Una compra</x:v>
      </x:c>
      <x:c r="F1054" s="13" t="n">
        <x:v>1714.96</x:v>
      </x:c>
      <x:c r="G1054" s="13" t="n">
        <x:v>25.5</x:v>
      </x:c>
      <x:c r="H1054" s="13" t="n">
        <x:f>F1054-G1054</x:f>
        <x:v>1689.46</x:v>
      </x:c>
      <x:c r="I1054" s="13" t="n">
        <x:f>IF(C1054=0,"n.a.",F1054/C1054)</x:f>
        <x:v>1714.96</x:v>
      </x:c>
      <x:c r="J1054" s="3"/>
      <x:c r="K1054" s="3"/>
      <x:c r="L1054" s="3"/>
    </x:row>
    <x:row r="1055" ht="22" customHeight="1">
      <x:c r="A1055" s="3"/>
      <x:c r="B1055" s="3" t="str">
        <x:v>15240</x:v>
      </x:c>
      <x:c r="C1055" s="3" t="n">
        <x:v>5</x:v>
      </x:c>
      <x:c r="D1055" s="51" t="n">
        <x:v>40842</x:v>
      </x:c>
      <x:c r="E1055" s="3" t="str">
        <x:v>Recurrente</x:v>
      </x:c>
      <x:c r="F1055" s="13" t="n">
        <x:v>1706.57</x:v>
      </x:c>
      <x:c r="G1055" s="13" t="n">
        <x:v>21</x:v>
      </x:c>
      <x:c r="H1055" s="13" t="n">
        <x:f>F1055-G1055</x:f>
        <x:v>1685.57</x:v>
      </x:c>
      <x:c r="I1055" s="13" t="n">
        <x:f>IF(C1055=0,"n.a.",F1055/C1055)</x:f>
        <x:v>341.31399999999996</x:v>
      </x:c>
      <x:c r="J1055" s="3"/>
      <x:c r="K1055" s="3"/>
      <x:c r="L1055" s="3"/>
    </x:row>
    <x:row r="1056" ht="22" customHeight="1">
      <x:c r="A1056" s="3"/>
      <x:c r="B1056" s="3" t="str">
        <x:v>15380</x:v>
      </x:c>
      <x:c r="C1056" s="3" t="n">
        <x:v>5</x:v>
      </x:c>
      <x:c r="D1056" s="51" t="n">
        <x:v>40878</x:v>
      </x:c>
      <x:c r="E1056" s="3" t="str">
        <x:v>Recurrente</x:v>
      </x:c>
      <x:c r="F1056" s="13" t="n">
        <x:v>1690.26</x:v>
      </x:c>
      <x:c r="G1056" s="13" t="n">
        <x:v>7.9</x:v>
      </x:c>
      <x:c r="H1056" s="13" t="n">
        <x:f>F1056-G1056</x:f>
        <x:v>1682.36</x:v>
      </x:c>
      <x:c r="I1056" s="13" t="n">
        <x:f>IF(C1056=0,"n.a.",F1056/C1056)</x:f>
        <x:v>338.052</x:v>
      </x:c>
      <x:c r="J1056" s="3"/>
      <x:c r="K1056" s="3"/>
      <x:c r="L1056" s="3"/>
    </x:row>
    <x:row r="1057" ht="22" customHeight="1">
      <x:c r="A1057" s="3"/>
      <x:c r="B1057" s="3" t="str">
        <x:v>13924</x:v>
      </x:c>
      <x:c r="C1057" s="3" t="n">
        <x:v>6</x:v>
      </x:c>
      <x:c r="D1057" s="51" t="n">
        <x:v>40885</x:v>
      </x:c>
      <x:c r="E1057" s="3" t="str">
        <x:v>Recurrente</x:v>
      </x:c>
      <x:c r="F1057" s="13" t="n">
        <x:v>1838.85</x:v>
      </x:c>
      <x:c r="G1057" s="13" t="n">
        <x:v>156.77</x:v>
      </x:c>
      <x:c r="H1057" s="13" t="n">
        <x:f>F1057-G1057</x:f>
        <x:v>1682.08</x:v>
      </x:c>
      <x:c r="I1057" s="13" t="n">
        <x:f>IF(C1057=0,"n.a.",F1057/C1057)</x:f>
        <x:v>306.47499999999997</x:v>
      </x:c>
      <x:c r="J1057" s="3"/>
      <x:c r="K1057" s="3"/>
      <x:c r="L1057" s="3"/>
    </x:row>
    <x:row r="1058" ht="22" customHeight="1">
      <x:c r="A1058" s="3"/>
      <x:c r="B1058" s="3" t="str">
        <x:v>12843</x:v>
      </x:c>
      <x:c r="C1058" s="3" t="n">
        <x:v>8</x:v>
      </x:c>
      <x:c r="D1058" s="51" t="n">
        <x:v>40821</x:v>
      </x:c>
      <x:c r="E1058" s="3" t="str">
        <x:v>Recurrente</x:v>
      </x:c>
      <x:c r="F1058" s="13" t="n">
        <x:v>1702.26</x:v>
      </x:c>
      <x:c r="G1058" s="13" t="n">
        <x:v>21.5</x:v>
      </x:c>
      <x:c r="H1058" s="13" t="n">
        <x:f>F1058-G1058</x:f>
        <x:v>1680.76</x:v>
      </x:c>
      <x:c r="I1058" s="13" t="n">
        <x:f>IF(C1058=0,"n.a.",F1058/C1058)</x:f>
        <x:v>212.7825</x:v>
      </x:c>
      <x:c r="J1058" s="3"/>
      <x:c r="K1058" s="3"/>
      <x:c r="L1058" s="3"/>
    </x:row>
    <x:row r="1059" ht="22" customHeight="1">
      <x:c r="A1059" s="3"/>
      <x:c r="B1059" s="3" t="str">
        <x:v>17147</x:v>
      </x:c>
      <x:c r="C1059" s="3" t="n">
        <x:v>4</x:v>
      </x:c>
      <x:c r="D1059" s="51" t="n">
        <x:v>40864</x:v>
      </x:c>
      <x:c r="E1059" s="3" t="str">
        <x:v>Recurrente</x:v>
      </x:c>
      <x:c r="F1059" s="13" t="n">
        <x:v>1714.59</x:v>
      </x:c>
      <x:c r="G1059" s="13" t="n">
        <x:v>34.95</x:v>
      </x:c>
      <x:c r="H1059" s="13" t="n">
        <x:f>F1059-G1059</x:f>
        <x:v>1679.6399999999999</x:v>
      </x:c>
      <x:c r="I1059" s="13" t="n">
        <x:f>IF(C1059=0,"n.a.",F1059/C1059)</x:f>
        <x:v>428.6475</x:v>
      </x:c>
      <x:c r="J1059" s="3"/>
      <x:c r="K1059" s="3"/>
      <x:c r="L1059" s="3"/>
    </x:row>
    <x:row r="1060" ht="22" customHeight="1">
      <x:c r="A1060" s="3"/>
      <x:c r="B1060" s="3" t="str">
        <x:v>14245</x:v>
      </x:c>
      <x:c r="C1060" s="3" t="n">
        <x:v>2</x:v>
      </x:c>
      <x:c r="D1060" s="51" t="n">
        <x:v>40667</x:v>
      </x:c>
      <x:c r="E1060" s="3" t="str">
        <x:v>Recurrente</x:v>
      </x:c>
      <x:c r="F1060" s="13" t="n">
        <x:v>1693.45</x:v>
      </x:c>
      <x:c r="G1060" s="13" t="n">
        <x:v>15.97</x:v>
      </x:c>
      <x:c r="H1060" s="13" t="n">
        <x:f>F1060-G1060</x:f>
        <x:v>1677.48</x:v>
      </x:c>
      <x:c r="I1060" s="13" t="n">
        <x:f>IF(C1060=0,"n.a.",F1060/C1060)</x:f>
        <x:v>846.725</x:v>
      </x:c>
      <x:c r="J1060" s="3"/>
      <x:c r="K1060" s="3"/>
      <x:c r="L1060" s="3"/>
    </x:row>
    <x:row r="1061" ht="22" customHeight="1">
      <x:c r="A1061" s="3"/>
      <x:c r="B1061" s="3" t="str">
        <x:v>16638</x:v>
      </x:c>
      <x:c r="C1061" s="3" t="n">
        <x:v>10</x:v>
      </x:c>
      <x:c r="D1061" s="51" t="n">
        <x:v>40864</x:v>
      </x:c>
      <x:c r="E1061" s="3" t="str">
        <x:v>Recurrente</x:v>
      </x:c>
      <x:c r="F1061" s="13" t="n">
        <x:v>1680.72</x:v>
      </x:c>
      <x:c r="G1061" s="13" t="n">
        <x:v>4.25</x:v>
      </x:c>
      <x:c r="H1061" s="13" t="n">
        <x:f>F1061-G1061</x:f>
        <x:v>1676.47</x:v>
      </x:c>
      <x:c r="I1061" s="13" t="n">
        <x:f>IF(C1061=0,"n.a.",F1061/C1061)</x:f>
        <x:v>168.072</x:v>
      </x:c>
      <x:c r="J1061" s="3"/>
      <x:c r="K1061" s="3"/>
      <x:c r="L1061" s="3"/>
    </x:row>
    <x:row r="1062" ht="22" customHeight="1">
      <x:c r="A1062" s="3"/>
      <x:c r="B1062" s="3" t="str">
        <x:v>13149</x:v>
      </x:c>
      <x:c r="C1062" s="3" t="n">
        <x:v>4</x:v>
      </x:c>
      <x:c r="D1062" s="51" t="n">
        <x:v>40872</x:v>
      </x:c>
      <x:c r="E1062" s="3" t="str">
        <x:v>Recurrente</x:v>
      </x:c>
      <x:c r="F1062" s="13" t="n">
        <x:v>1676.06</x:v>
      </x:c>
      <x:c r="G1062" s="13" t="n">
        <x:v>0</x:v>
      </x:c>
      <x:c r="H1062" s="13" t="n">
        <x:f>F1062-G1062</x:f>
        <x:v>1676.06</x:v>
      </x:c>
      <x:c r="I1062" s="13" t="n">
        <x:f>IF(C1062=0,"n.a.",F1062/C1062)</x:f>
        <x:v>419.015</x:v>
      </x:c>
      <x:c r="J1062" s="3"/>
      <x:c r="K1062" s="3"/>
      <x:c r="L1062" s="3"/>
    </x:row>
    <x:row r="1063" ht="22" customHeight="1">
      <x:c r="A1063" s="3"/>
      <x:c r="B1063" s="3" t="str">
        <x:v>17656</x:v>
      </x:c>
      <x:c r="C1063" s="3" t="n">
        <x:v>5</x:v>
      </x:c>
      <x:c r="D1063" s="51" t="n">
        <x:v>40813</x:v>
      </x:c>
      <x:c r="E1063" s="3" t="str">
        <x:v>Recurrente</x:v>
      </x:c>
      <x:c r="F1063" s="13" t="n">
        <x:v>1674.69</x:v>
      </x:c>
      <x:c r="G1063" s="13" t="n">
        <x:v>0</x:v>
      </x:c>
      <x:c r="H1063" s="13" t="n">
        <x:f>F1063-G1063</x:f>
        <x:v>1674.69</x:v>
      </x:c>
      <x:c r="I1063" s="13" t="n">
        <x:f>IF(C1063=0,"n.a.",F1063/C1063)</x:f>
        <x:v>334.938</x:v>
      </x:c>
      <x:c r="J1063" s="3"/>
      <x:c r="K1063" s="3"/>
      <x:c r="L1063" s="3"/>
    </x:row>
    <x:row r="1064" ht="22" customHeight="1">
      <x:c r="A1064" s="3"/>
      <x:c r="B1064" s="3" t="str">
        <x:v>17193</x:v>
      </x:c>
      <x:c r="C1064" s="3" t="n">
        <x:v>7</x:v>
      </x:c>
      <x:c r="D1064" s="51" t="n">
        <x:v>40851</x:v>
      </x:c>
      <x:c r="E1064" s="3" t="str">
        <x:v>Recurrente</x:v>
      </x:c>
      <x:c r="F1064" s="13" t="n">
        <x:v>1699.3</x:v>
      </x:c>
      <x:c r="G1064" s="13" t="n">
        <x:v>24.84</x:v>
      </x:c>
      <x:c r="H1064" s="13" t="n">
        <x:f>F1064-G1064</x:f>
        <x:v>1674.46</x:v>
      </x:c>
      <x:c r="I1064" s="13" t="n">
        <x:f>IF(C1064=0,"n.a.",F1064/C1064)</x:f>
        <x:v>242.75714285714284</x:v>
      </x:c>
      <x:c r="J1064" s="3"/>
      <x:c r="K1064" s="3"/>
      <x:c r="L1064" s="3"/>
    </x:row>
    <x:row r="1065" ht="22" customHeight="1">
      <x:c r="A1065" s="3"/>
      <x:c r="B1065" s="3" t="str">
        <x:v>13647</x:v>
      </x:c>
      <x:c r="C1065" s="3" t="n">
        <x:v>4</x:v>
      </x:c>
      <x:c r="D1065" s="51" t="n">
        <x:v>40877</x:v>
      </x:c>
      <x:c r="E1065" s="3" t="str">
        <x:v>Recurrente</x:v>
      </x:c>
      <x:c r="F1065" s="13" t="n">
        <x:v>1678.12</x:v>
      </x:c>
      <x:c r="G1065" s="13" t="n">
        <x:v>7.9</x:v>
      </x:c>
      <x:c r="H1065" s="13" t="n">
        <x:f>F1065-G1065</x:f>
        <x:v>1670.2199999999998</x:v>
      </x:c>
      <x:c r="I1065" s="13" t="n">
        <x:f>IF(C1065=0,"n.a.",F1065/C1065)</x:f>
        <x:v>419.53</x:v>
      </x:c>
      <x:c r="J1065" s="3"/>
      <x:c r="K1065" s="3"/>
      <x:c r="L1065" s="3"/>
    </x:row>
    <x:row r="1066" ht="22" customHeight="1">
      <x:c r="A1066" s="3"/>
      <x:c r="B1066" s="3" t="str">
        <x:v>16115</x:v>
      </x:c>
      <x:c r="C1066" s="3" t="n">
        <x:v>8</x:v>
      </x:c>
      <x:c r="D1066" s="51" t="n">
        <x:v>40877</x:v>
      </x:c>
      <x:c r="E1066" s="3" t="str">
        <x:v>Recurrente</x:v>
      </x:c>
      <x:c r="F1066" s="13" t="n">
        <x:v>1667.97</x:v>
      </x:c>
      <x:c r="G1066" s="13" t="n">
        <x:v>0</x:v>
      </x:c>
      <x:c r="H1066" s="13" t="n">
        <x:f>F1066-G1066</x:f>
        <x:v>1667.97</x:v>
      </x:c>
      <x:c r="I1066" s="13" t="n">
        <x:f>IF(C1066=0,"n.a.",F1066/C1066)</x:f>
        <x:v>208.49625</x:v>
      </x:c>
      <x:c r="J1066" s="3"/>
      <x:c r="K1066" s="3"/>
      <x:c r="L1066" s="3"/>
    </x:row>
    <x:row r="1067" ht="22" customHeight="1">
      <x:c r="A1067" s="3"/>
      <x:c r="B1067" s="3" t="str">
        <x:v>12912</x:v>
      </x:c>
      <x:c r="C1067" s="3" t="n">
        <x:v>5</x:v>
      </x:c>
      <x:c r="D1067" s="51" t="n">
        <x:v>40884</x:v>
      </x:c>
      <x:c r="E1067" s="3" t="str">
        <x:v>Recurrente</x:v>
      </x:c>
      <x:c r="F1067" s="13" t="n">
        <x:v>1662.3</x:v>
      </x:c>
      <x:c r="G1067" s="13" t="n">
        <x:v>0</x:v>
      </x:c>
      <x:c r="H1067" s="13" t="n">
        <x:f>F1067-G1067</x:f>
        <x:v>1662.3</x:v>
      </x:c>
      <x:c r="I1067" s="13" t="n">
        <x:f>IF(C1067=0,"n.a.",F1067/C1067)</x:f>
        <x:v>332.46</x:v>
      </x:c>
      <x:c r="J1067" s="3"/>
      <x:c r="K1067" s="3"/>
      <x:c r="L1067" s="3"/>
    </x:row>
    <x:row r="1068" ht="22" customHeight="1">
      <x:c r="A1068" s="3"/>
      <x:c r="B1068" s="3" t="str">
        <x:v>15214</x:v>
      </x:c>
      <x:c r="C1068" s="3" t="n">
        <x:v>8</x:v>
      </x:c>
      <x:c r="D1068" s="51" t="n">
        <x:v>40885</x:v>
      </x:c>
      <x:c r="E1068" s="3" t="str">
        <x:v>Recurrente</x:v>
      </x:c>
      <x:c r="F1068" s="13" t="n">
        <x:v>1661.44</x:v>
      </x:c>
      <x:c r="G1068" s="13" t="n">
        <x:v>0</x:v>
      </x:c>
      <x:c r="H1068" s="13" t="n">
        <x:f>F1068-G1068</x:f>
        <x:v>1661.44</x:v>
      </x:c>
      <x:c r="I1068" s="13" t="n">
        <x:f>IF(C1068=0,"n.a.",F1068/C1068)</x:f>
        <x:v>207.68</x:v>
      </x:c>
      <x:c r="J1068" s="3"/>
      <x:c r="K1068" s="3"/>
      <x:c r="L1068" s="3"/>
    </x:row>
    <x:row r="1069" ht="22" customHeight="1">
      <x:c r="A1069" s="3"/>
      <x:c r="B1069" s="3" t="str">
        <x:v>15024</x:v>
      </x:c>
      <x:c r="C1069" s="3" t="n">
        <x:v>10</x:v>
      </x:c>
      <x:c r="D1069" s="51" t="n">
        <x:v>40877</x:v>
      </x:c>
      <x:c r="E1069" s="3" t="str">
        <x:v>Recurrente</x:v>
      </x:c>
      <x:c r="F1069" s="13" t="n">
        <x:v>1661.33</x:v>
      </x:c>
      <x:c r="G1069" s="13" t="n">
        <x:v>0</x:v>
      </x:c>
      <x:c r="H1069" s="13" t="n">
        <x:f>F1069-G1069</x:f>
        <x:v>1661.33</x:v>
      </x:c>
      <x:c r="I1069" s="13" t="n">
        <x:f>IF(C1069=0,"n.a.",F1069/C1069)</x:f>
        <x:v>166.13299999999998</x:v>
      </x:c>
      <x:c r="J1069" s="3"/>
      <x:c r="K1069" s="3"/>
      <x:c r="L1069" s="3"/>
    </x:row>
    <x:row r="1070" ht="22" customHeight="1">
      <x:c r="A1070" s="3"/>
      <x:c r="B1070" s="3" t="str">
        <x:v>15332</x:v>
      </x:c>
      <x:c r="C1070" s="3" t="n">
        <x:v>4</x:v>
      </x:c>
      <x:c r="D1070" s="51" t="n">
        <x:v>40520</x:v>
      </x:c>
      <x:c r="E1070" s="3" t="str">
        <x:v>Recurrente</x:v>
      </x:c>
      <x:c r="F1070" s="13" t="n">
        <x:v>1661.06</x:v>
      </x:c>
      <x:c r="G1070" s="13" t="n">
        <x:v>0</x:v>
      </x:c>
      <x:c r="H1070" s="13" t="n">
        <x:f>F1070-G1070</x:f>
        <x:v>1661.06</x:v>
      </x:c>
      <x:c r="I1070" s="13" t="n">
        <x:f>IF(C1070=0,"n.a.",F1070/C1070)</x:f>
        <x:v>415.265</x:v>
      </x:c>
      <x:c r="J1070" s="3"/>
      <x:c r="K1070" s="3"/>
      <x:c r="L1070" s="3"/>
    </x:row>
    <x:row r="1071" ht="22" customHeight="1">
      <x:c r="A1071" s="3"/>
      <x:c r="B1071" s="3" t="str">
        <x:v>14045</x:v>
      </x:c>
      <x:c r="C1071" s="3" t="n">
        <x:v>4</x:v>
      </x:c>
      <x:c r="D1071" s="51" t="n">
        <x:v>40777</x:v>
      </x:c>
      <x:c r="E1071" s="3" t="str">
        <x:v>Recurrente</x:v>
      </x:c>
      <x:c r="F1071" s="13" t="n">
        <x:v>1659.75</x:v>
      </x:c>
      <x:c r="G1071" s="13" t="n">
        <x:v>0</x:v>
      </x:c>
      <x:c r="H1071" s="13" t="n">
        <x:f>F1071-G1071</x:f>
        <x:v>1659.75</x:v>
      </x:c>
      <x:c r="I1071" s="13" t="n">
        <x:f>IF(C1071=0,"n.a.",F1071/C1071)</x:f>
        <x:v>414.9375</x:v>
      </x:c>
      <x:c r="J1071" s="3"/>
      <x:c r="K1071" s="3"/>
      <x:c r="L1071" s="3"/>
    </x:row>
    <x:row r="1072" ht="22" customHeight="1">
      <x:c r="A1072" s="3"/>
      <x:c r="B1072" s="3" t="str">
        <x:v>13577</x:v>
      </x:c>
      <x:c r="C1072" s="3" t="n">
        <x:v>4</x:v>
      </x:c>
      <x:c r="D1072" s="51" t="n">
        <x:v>40861</x:v>
      </x:c>
      <x:c r="E1072" s="3" t="str">
        <x:v>Recurrente</x:v>
      </x:c>
      <x:c r="F1072" s="13" t="n">
        <x:v>1687.6</x:v>
      </x:c>
      <x:c r="G1072" s="13" t="n">
        <x:v>29.3</x:v>
      </x:c>
      <x:c r="H1072" s="13" t="n">
        <x:f>F1072-G1072</x:f>
        <x:v>1658.3</x:v>
      </x:c>
      <x:c r="I1072" s="13" t="n">
        <x:f>IF(C1072=0,"n.a.",F1072/C1072)</x:f>
        <x:v>421.9</x:v>
      </x:c>
      <x:c r="J1072" s="3"/>
      <x:c r="K1072" s="3"/>
      <x:c r="L1072" s="3"/>
    </x:row>
    <x:row r="1073" ht="22" customHeight="1">
      <x:c r="A1073" s="3"/>
      <x:c r="B1073" s="3" t="str">
        <x:v>12523</x:v>
      </x:c>
      <x:c r="C1073" s="3" t="n">
        <x:v>11</x:v>
      </x:c>
      <x:c r="D1073" s="51" t="n">
        <x:v>40867</x:v>
      </x:c>
      <x:c r="E1073" s="3" t="str">
        <x:v>Recurrente</x:v>
      </x:c>
      <x:c r="F1073" s="13" t="n">
        <x:v>1699.77</x:v>
      </x:c>
      <x:c r="G1073" s="13" t="n">
        <x:v>44.2</x:v>
      </x:c>
      <x:c r="H1073" s="13" t="n">
        <x:f>F1073-G1073</x:f>
        <x:v>1655.57</x:v>
      </x:c>
      <x:c r="I1073" s="13" t="n">
        <x:f>IF(C1073=0,"n.a.",F1073/C1073)</x:f>
        <x:v>154.52454545454546</x:v>
      </x:c>
      <x:c r="J1073" s="3"/>
      <x:c r="K1073" s="3"/>
      <x:c r="L1073" s="3"/>
    </x:row>
    <x:row r="1074" ht="22" customHeight="1">
      <x:c r="A1074" s="3"/>
      <x:c r="B1074" s="3" t="str">
        <x:v>15549</x:v>
      </x:c>
      <x:c r="C1074" s="3" t="n">
        <x:v>3</x:v>
      </x:c>
      <x:c r="D1074" s="51" t="n">
        <x:v>40809</x:v>
      </x:c>
      <x:c r="E1074" s="3" t="str">
        <x:v>Recurrente</x:v>
      </x:c>
      <x:c r="F1074" s="13" t="n">
        <x:v>1689.51</x:v>
      </x:c>
      <x:c r="G1074" s="13" t="n">
        <x:v>37.5</x:v>
      </x:c>
      <x:c r="H1074" s="13" t="n">
        <x:f>F1074-G1074</x:f>
        <x:v>1652.01</x:v>
      </x:c>
      <x:c r="I1074" s="13" t="n">
        <x:f>IF(C1074=0,"n.a.",F1074/C1074)</x:f>
        <x:v>563.17</x:v>
      </x:c>
      <x:c r="J1074" s="3"/>
      <x:c r="K1074" s="3"/>
      <x:c r="L1074" s="3"/>
    </x:row>
    <x:row r="1075" ht="22" customHeight="1">
      <x:c r="A1075" s="3"/>
      <x:c r="B1075" s="3" t="str">
        <x:v>16711</x:v>
      </x:c>
      <x:c r="C1075" s="3" t="n">
        <x:v>5</x:v>
      </x:c>
      <x:c r="D1075" s="51" t="n">
        <x:v>40883</x:v>
      </x:c>
      <x:c r="E1075" s="3" t="str">
        <x:v>Recurrente</x:v>
      </x:c>
      <x:c r="F1075" s="13" t="n">
        <x:v>1651.03</x:v>
      </x:c>
      <x:c r="G1075" s="13" t="n">
        <x:v>0</x:v>
      </x:c>
      <x:c r="H1075" s="13" t="n">
        <x:f>F1075-G1075</x:f>
        <x:v>1651.03</x:v>
      </x:c>
      <x:c r="I1075" s="13" t="n">
        <x:f>IF(C1075=0,"n.a.",F1075/C1075)</x:f>
        <x:v>330.206</x:v>
      </x:c>
      <x:c r="J1075" s="3"/>
      <x:c r="K1075" s="3"/>
      <x:c r="L1075" s="3"/>
    </x:row>
    <x:row r="1076" ht="22" customHeight="1">
      <x:c r="A1076" s="3"/>
      <x:c r="B1076" s="3" t="str">
        <x:v>15826</x:v>
      </x:c>
      <x:c r="C1076" s="3" t="n">
        <x:v>3</x:v>
      </x:c>
      <x:c r="D1076" s="51" t="n">
        <x:v>40830</x:v>
      </x:c>
      <x:c r="E1076" s="3" t="str">
        <x:v>Recurrente</x:v>
      </x:c>
      <x:c r="F1076" s="13" t="n">
        <x:v>1654.31</x:v>
      </x:c>
      <x:c r="G1076" s="13" t="n">
        <x:v>4.95</x:v>
      </x:c>
      <x:c r="H1076" s="13" t="n">
        <x:f>F1076-G1076</x:f>
        <x:v>1649.36</x:v>
      </x:c>
      <x:c r="I1076" s="13" t="n">
        <x:f>IF(C1076=0,"n.a.",F1076/C1076)</x:f>
        <x:v>551.4366666666666</x:v>
      </x:c>
      <x:c r="J1076" s="3"/>
      <x:c r="K1076" s="3"/>
      <x:c r="L1076" s="3"/>
    </x:row>
    <x:row r="1077" ht="22" customHeight="1">
      <x:c r="A1077" s="3"/>
      <x:c r="B1077" s="3" t="str">
        <x:v>17451</x:v>
      </x:c>
      <x:c r="C1077" s="3" t="n">
        <x:v>7</x:v>
      </x:c>
      <x:c r="D1077" s="51" t="n">
        <x:v>40885</x:v>
      </x:c>
      <x:c r="E1077" s="3" t="str">
        <x:v>Recurrente</x:v>
      </x:c>
      <x:c r="F1077" s="13" t="n">
        <x:v>1721.4</x:v>
      </x:c>
      <x:c r="G1077" s="13" t="n">
        <x:v>72.45</x:v>
      </x:c>
      <x:c r="H1077" s="13" t="n">
        <x:f>F1077-G1077</x:f>
        <x:v>1648.95</x:v>
      </x:c>
      <x:c r="I1077" s="13" t="n">
        <x:f>IF(C1077=0,"n.a.",F1077/C1077)</x:f>
        <x:v>245.91428571428574</x:v>
      </x:c>
      <x:c r="J1077" s="3"/>
      <x:c r="K1077" s="3"/>
      <x:c r="L1077" s="3"/>
    </x:row>
    <x:row r="1078" ht="22" customHeight="1">
      <x:c r="A1078" s="3"/>
      <x:c r="B1078" s="3" t="str">
        <x:v>15827</x:v>
      </x:c>
      <x:c r="C1078" s="3" t="n">
        <x:v>14</x:v>
      </x:c>
      <x:c r="D1078" s="51" t="n">
        <x:v>40813</x:v>
      </x:c>
      <x:c r="E1078" s="3" t="str">
        <x:v>Recurrente</x:v>
      </x:c>
      <x:c r="F1078" s="13" t="n">
        <x:v>1836.09</x:v>
      </x:c>
      <x:c r="G1078" s="13" t="n">
        <x:v>187.55</x:v>
      </x:c>
      <x:c r="H1078" s="13" t="n">
        <x:f>F1078-G1078</x:f>
        <x:v>1648.54</x:v>
      </x:c>
      <x:c r="I1078" s="13" t="n">
        <x:f>IF(C1078=0,"n.a.",F1078/C1078)</x:f>
        <x:v>131.1492857142857</x:v>
      </x:c>
      <x:c r="J1078" s="3"/>
      <x:c r="K1078" s="3"/>
      <x:c r="L1078" s="3"/>
    </x:row>
    <x:row r="1079" ht="22" customHeight="1">
      <x:c r="A1079" s="3"/>
      <x:c r="B1079" s="3" t="str">
        <x:v>13184</x:v>
      </x:c>
      <x:c r="C1079" s="3" t="n">
        <x:v>10</x:v>
      </x:c>
      <x:c r="D1079" s="51" t="n">
        <x:v>40872</x:v>
      </x:c>
      <x:c r="E1079" s="3" t="str">
        <x:v>Recurrente</x:v>
      </x:c>
      <x:c r="F1079" s="13" t="n">
        <x:v>1700.29</x:v>
      </x:c>
      <x:c r="G1079" s="13" t="n">
        <x:v>52.5</x:v>
      </x:c>
      <x:c r="H1079" s="13" t="n">
        <x:f>F1079-G1079</x:f>
        <x:v>1647.79</x:v>
      </x:c>
      <x:c r="I1079" s="13" t="n">
        <x:f>IF(C1079=0,"n.a.",F1079/C1079)</x:f>
        <x:v>170.029</x:v>
      </x:c>
      <x:c r="J1079" s="3"/>
      <x:c r="K1079" s="3"/>
      <x:c r="L1079" s="3"/>
    </x:row>
    <x:row r="1080" ht="22" customHeight="1">
      <x:c r="A1080" s="3"/>
      <x:c r="B1080" s="3" t="str">
        <x:v>13750</x:v>
      </x:c>
      <x:c r="C1080" s="3" t="n">
        <x:v>5</x:v>
      </x:c>
      <x:c r="D1080" s="51" t="n">
        <x:v>40833</x:v>
      </x:c>
      <x:c r="E1080" s="3" t="str">
        <x:v>Recurrente</x:v>
      </x:c>
      <x:c r="F1080" s="13" t="n">
        <x:v>1647.26</x:v>
      </x:c>
      <x:c r="G1080" s="13" t="n">
        <x:v>0</x:v>
      </x:c>
      <x:c r="H1080" s="13" t="n">
        <x:f>F1080-G1080</x:f>
        <x:v>1647.26</x:v>
      </x:c>
      <x:c r="I1080" s="13" t="n">
        <x:f>IF(C1080=0,"n.a.",F1080/C1080)</x:f>
        <x:v>329.452</x:v>
      </x:c>
      <x:c r="J1080" s="3"/>
      <x:c r="K1080" s="3"/>
      <x:c r="L1080" s="3"/>
    </x:row>
    <x:row r="1081" ht="22" customHeight="1">
      <x:c r="A1081" s="3"/>
      <x:c r="B1081" s="3" t="str">
        <x:v>13162</x:v>
      </x:c>
      <x:c r="C1081" s="3" t="n">
        <x:v>4</x:v>
      </x:c>
      <x:c r="D1081" s="51" t="n">
        <x:v>40764</x:v>
      </x:c>
      <x:c r="E1081" s="3" t="str">
        <x:v>Recurrente</x:v>
      </x:c>
      <x:c r="F1081" s="13" t="n">
        <x:v>1688.29</x:v>
      </x:c>
      <x:c r="G1081" s="13" t="n">
        <x:v>43.3</x:v>
      </x:c>
      <x:c r="H1081" s="13" t="n">
        <x:f>F1081-G1081</x:f>
        <x:v>1644.99</x:v>
      </x:c>
      <x:c r="I1081" s="13" t="n">
        <x:f>IF(C1081=0,"n.a.",F1081/C1081)</x:f>
        <x:v>422.0725</x:v>
      </x:c>
      <x:c r="J1081" s="3"/>
      <x:c r="K1081" s="3"/>
      <x:c r="L1081" s="3"/>
    </x:row>
    <x:row r="1082" ht="22" customHeight="1">
      <x:c r="A1082" s="3"/>
      <x:c r="B1082" s="3" t="str">
        <x:v>15002</x:v>
      </x:c>
      <x:c r="C1082" s="3" t="n">
        <x:v>4</x:v>
      </x:c>
      <x:c r="D1082" s="51" t="n">
        <x:v>40771</x:v>
      </x:c>
      <x:c r="E1082" s="3" t="str">
        <x:v>Recurrente</x:v>
      </x:c>
      <x:c r="F1082" s="13" t="n">
        <x:v>1641.76</x:v>
      </x:c>
      <x:c r="G1082" s="13" t="n">
        <x:v>0</x:v>
      </x:c>
      <x:c r="H1082" s="13" t="n">
        <x:f>F1082-G1082</x:f>
        <x:v>1641.76</x:v>
      </x:c>
      <x:c r="I1082" s="13" t="n">
        <x:f>IF(C1082=0,"n.a.",F1082/C1082)</x:f>
        <x:v>410.44</x:v>
      </x:c>
      <x:c r="J1082" s="3"/>
      <x:c r="K1082" s="3"/>
      <x:c r="L1082" s="3"/>
    </x:row>
    <x:row r="1083" ht="22" customHeight="1">
      <x:c r="A1083" s="3"/>
      <x:c r="B1083" s="3" t="str">
        <x:v>17284</x:v>
      </x:c>
      <x:c r="C1083" s="3" t="n">
        <x:v>6</x:v>
      </x:c>
      <x:c r="D1083" s="51" t="n">
        <x:v>40826</x:v>
      </x:c>
      <x:c r="E1083" s="3" t="str">
        <x:v>Recurrente</x:v>
      </x:c>
      <x:c r="F1083" s="13" t="n">
        <x:v>1652.58</x:v>
      </x:c>
      <x:c r="G1083" s="13" t="n">
        <x:v>10.9</x:v>
      </x:c>
      <x:c r="H1083" s="13" t="n">
        <x:f>F1083-G1083</x:f>
        <x:v>1641.6799999999998</x:v>
      </x:c>
      <x:c r="I1083" s="13" t="n">
        <x:f>IF(C1083=0,"n.a.",F1083/C1083)</x:f>
        <x:v>275.43</x:v>
      </x:c>
      <x:c r="J1083" s="3"/>
      <x:c r="K1083" s="3"/>
      <x:c r="L1083" s="3"/>
    </x:row>
    <x:row r="1084" ht="22" customHeight="1">
      <x:c r="A1084" s="3"/>
      <x:c r="B1084" s="3" t="str">
        <x:v>14837</x:v>
      </x:c>
      <x:c r="C1084" s="3" t="n">
        <x:v>4</x:v>
      </x:c>
      <x:c r="D1084" s="51" t="n">
        <x:v>40797</x:v>
      </x:c>
      <x:c r="E1084" s="3" t="str">
        <x:v>Recurrente</x:v>
      </x:c>
      <x:c r="F1084" s="13" t="n">
        <x:v>1649.5</x:v>
      </x:c>
      <x:c r="G1084" s="13" t="n">
        <x:v>8.3</x:v>
      </x:c>
      <x:c r="H1084" s="13" t="n">
        <x:f>F1084-G1084</x:f>
        <x:v>1641.2</x:v>
      </x:c>
      <x:c r="I1084" s="13" t="n">
        <x:f>IF(C1084=0,"n.a.",F1084/C1084)</x:f>
        <x:v>412.375</x:v>
      </x:c>
      <x:c r="J1084" s="3"/>
      <x:c r="K1084" s="3"/>
      <x:c r="L1084" s="3"/>
    </x:row>
    <x:row r="1085" ht="22" customHeight="1">
      <x:c r="A1085" s="3"/>
      <x:c r="B1085" s="3" t="str">
        <x:v>17873</x:v>
      </x:c>
      <x:c r="C1085" s="3" t="n">
        <x:v>5</x:v>
      </x:c>
      <x:c r="D1085" s="51" t="n">
        <x:v>40806</x:v>
      </x:c>
      <x:c r="E1085" s="3" t="str">
        <x:v>Recurrente</x:v>
      </x:c>
      <x:c r="F1085" s="13" t="n">
        <x:v>1729.78</x:v>
      </x:c>
      <x:c r="G1085" s="13" t="n">
        <x:v>94.8</x:v>
      </x:c>
      <x:c r="H1085" s="13" t="n">
        <x:f>F1085-G1085</x:f>
        <x:v>1634.98</x:v>
      </x:c>
      <x:c r="I1085" s="13" t="n">
        <x:f>IF(C1085=0,"n.a.",F1085/C1085)</x:f>
        <x:v>345.956</x:v>
      </x:c>
      <x:c r="J1085" s="3"/>
      <x:c r="K1085" s="3"/>
      <x:c r="L1085" s="3"/>
    </x:row>
    <x:row r="1086" ht="22" customHeight="1">
      <x:c r="A1086" s="3"/>
      <x:c r="B1086" s="3" t="str">
        <x:v>15953</x:v>
      </x:c>
      <x:c r="C1086" s="3" t="n">
        <x:v>8</x:v>
      </x:c>
      <x:c r="D1086" s="51" t="n">
        <x:v>40871</x:v>
      </x:c>
      <x:c r="E1086" s="3" t="str">
        <x:v>Recurrente</x:v>
      </x:c>
      <x:c r="F1086" s="13" t="n">
        <x:v>1659.38</x:v>
      </x:c>
      <x:c r="G1086" s="13" t="n">
        <x:v>24.85</x:v>
      </x:c>
      <x:c r="H1086" s="13" t="n">
        <x:f>F1086-G1086</x:f>
        <x:v>1634.5300000000002</x:v>
      </x:c>
      <x:c r="I1086" s="13" t="n">
        <x:f>IF(C1086=0,"n.a.",F1086/C1086)</x:f>
        <x:v>207.4225</x:v>
      </x:c>
      <x:c r="J1086" s="3"/>
      <x:c r="K1086" s="3"/>
      <x:c r="L1086" s="3"/>
    </x:row>
    <x:row r="1087" ht="22" customHeight="1">
      <x:c r="A1087" s="3"/>
      <x:c r="B1087" s="3" t="str">
        <x:v>12528</x:v>
      </x:c>
      <x:c r="C1087" s="3" t="n">
        <x:v>6</x:v>
      </x:c>
      <x:c r="D1087" s="51" t="n">
        <x:v>40877</x:v>
      </x:c>
      <x:c r="E1087" s="3" t="str">
        <x:v>Recurrente</x:v>
      </x:c>
      <x:c r="F1087" s="13" t="n">
        <x:v>1645.48</x:v>
      </x:c>
      <x:c r="G1087" s="13" t="n">
        <x:v>11.2</x:v>
      </x:c>
      <x:c r="H1087" s="13" t="n">
        <x:f>F1087-G1087</x:f>
        <x:v>1634.28</x:v>
      </x:c>
      <x:c r="I1087" s="13" t="n">
        <x:f>IF(C1087=0,"n.a.",F1087/C1087)</x:f>
        <x:v>274.24666666666667</x:v>
      </x:c>
      <x:c r="J1087" s="3"/>
      <x:c r="K1087" s="3"/>
      <x:c r="L1087" s="3"/>
    </x:row>
    <x:row r="1088" ht="22" customHeight="1">
      <x:c r="A1088" s="3"/>
      <x:c r="B1088" s="3" t="str">
        <x:v>14164</x:v>
      </x:c>
      <x:c r="C1088" s="3" t="n">
        <x:v>2</x:v>
      </x:c>
      <x:c r="D1088" s="51" t="n">
        <x:v>40816</x:v>
      </x:c>
      <x:c r="E1088" s="3" t="str">
        <x:v>Recurrente</x:v>
      </x:c>
      <x:c r="F1088" s="13" t="n">
        <x:v>1631.77</x:v>
      </x:c>
      <x:c r="G1088" s="13" t="n">
        <x:v>0</x:v>
      </x:c>
      <x:c r="H1088" s="13" t="n">
        <x:f>F1088-G1088</x:f>
        <x:v>1631.77</x:v>
      </x:c>
      <x:c r="I1088" s="13" t="n">
        <x:f>IF(C1088=0,"n.a.",F1088/C1088)</x:f>
        <x:v>815.885</x:v>
      </x:c>
      <x:c r="J1088" s="3"/>
      <x:c r="K1088" s="3"/>
      <x:c r="L1088" s="3"/>
    </x:row>
    <x:row r="1089" ht="22" customHeight="1">
      <x:c r="A1089" s="3"/>
      <x:c r="B1089" s="3" t="str">
        <x:v>16398</x:v>
      </x:c>
      <x:c r="C1089" s="3" t="n">
        <x:v>2</x:v>
      </x:c>
      <x:c r="D1089" s="51" t="n">
        <x:v>40732</x:v>
      </x:c>
      <x:c r="E1089" s="3" t="str">
        <x:v>Recurrente</x:v>
      </x:c>
      <x:c r="F1089" s="13" t="n">
        <x:v>1705.8</x:v>
      </x:c>
      <x:c r="G1089" s="13" t="n">
        <x:v>74.65</x:v>
      </x:c>
      <x:c r="H1089" s="13" t="n">
        <x:f>F1089-G1089</x:f>
        <x:v>1631.1499999999999</x:v>
      </x:c>
      <x:c r="I1089" s="13" t="n">
        <x:f>IF(C1089=0,"n.a.",F1089/C1089)</x:f>
        <x:v>852.9</x:v>
      </x:c>
      <x:c r="J1089" s="3"/>
      <x:c r="K1089" s="3"/>
      <x:c r="L1089" s="3"/>
    </x:row>
    <x:row r="1090" ht="22" customHeight="1">
      <x:c r="A1090" s="3"/>
      <x:c r="B1090" s="3" t="str">
        <x:v>16515</x:v>
      </x:c>
      <x:c r="C1090" s="3" t="n">
        <x:v>5</x:v>
      </x:c>
      <x:c r="D1090" s="51" t="n">
        <x:v>40834</x:v>
      </x:c>
      <x:c r="E1090" s="3" t="str">
        <x:v>Recurrente</x:v>
      </x:c>
      <x:c r="F1090" s="13" t="n">
        <x:v>1627.13</x:v>
      </x:c>
      <x:c r="G1090" s="13" t="n">
        <x:v>0</x:v>
      </x:c>
      <x:c r="H1090" s="13" t="n">
        <x:f>F1090-G1090</x:f>
        <x:v>1627.13</x:v>
      </x:c>
      <x:c r="I1090" s="13" t="n">
        <x:f>IF(C1090=0,"n.a.",F1090/C1090)</x:f>
        <x:v>325.42600000000004</x:v>
      </x:c>
      <x:c r="J1090" s="3"/>
      <x:c r="K1090" s="3"/>
      <x:c r="L1090" s="3"/>
    </x:row>
    <x:row r="1091" ht="22" customHeight="1">
      <x:c r="A1091" s="3"/>
      <x:c r="B1091" s="3" t="str">
        <x:v>14759</x:v>
      </x:c>
      <x:c r="C1091" s="3" t="n">
        <x:v>3</x:v>
      </x:c>
      <x:c r="D1091" s="51" t="n">
        <x:v>40882</x:v>
      </x:c>
      <x:c r="E1091" s="3" t="str">
        <x:v>Recurrente</x:v>
      </x:c>
      <x:c r="F1091" s="13" t="n">
        <x:v>1625.97</x:v>
      </x:c>
      <x:c r="G1091" s="13" t="n">
        <x:v>0</x:v>
      </x:c>
      <x:c r="H1091" s="13" t="n">
        <x:f>F1091-G1091</x:f>
        <x:v>1625.97</x:v>
      </x:c>
      <x:c r="I1091" s="13" t="n">
        <x:f>IF(C1091=0,"n.a.",F1091/C1091)</x:f>
        <x:v>541.99</x:v>
      </x:c>
      <x:c r="J1091" s="3"/>
      <x:c r="K1091" s="3"/>
      <x:c r="L1091" s="3"/>
    </x:row>
    <x:row r="1092" ht="22" customHeight="1">
      <x:c r="A1092" s="3"/>
      <x:c r="B1092" s="3" t="str">
        <x:v>16987</x:v>
      </x:c>
      <x:c r="C1092" s="3" t="n">
        <x:v>7</x:v>
      </x:c>
      <x:c r="D1092" s="51" t="n">
        <x:v>40883</x:v>
      </x:c>
      <x:c r="E1092" s="3" t="str">
        <x:v>Recurrente</x:v>
      </x:c>
      <x:c r="F1092" s="13" t="n">
        <x:v>1625.05</x:v>
      </x:c>
      <x:c r="G1092" s="13" t="n">
        <x:v>0</x:v>
      </x:c>
      <x:c r="H1092" s="13" t="n">
        <x:f>F1092-G1092</x:f>
        <x:v>1625.05</x:v>
      </x:c>
      <x:c r="I1092" s="13" t="n">
        <x:f>IF(C1092=0,"n.a.",F1092/C1092)</x:f>
        <x:v>232.15</x:v>
      </x:c>
      <x:c r="J1092" s="3"/>
      <x:c r="K1092" s="3"/>
      <x:c r="L1092" s="3"/>
    </x:row>
    <x:row r="1093" ht="22" customHeight="1">
      <x:c r="A1093" s="3"/>
      <x:c r="B1093" s="3" t="str">
        <x:v>13425</x:v>
      </x:c>
      <x:c r="C1093" s="3" t="n">
        <x:v>3</x:v>
      </x:c>
      <x:c r="D1093" s="51" t="n">
        <x:v>40778</x:v>
      </x:c>
      <x:c r="E1093" s="3" t="str">
        <x:v>Recurrente</x:v>
      </x:c>
      <x:c r="F1093" s="13" t="n">
        <x:v>1624.21</x:v>
      </x:c>
      <x:c r="G1093" s="13" t="n">
        <x:v>0</x:v>
      </x:c>
      <x:c r="H1093" s="13" t="n">
        <x:f>F1093-G1093</x:f>
        <x:v>1624.21</x:v>
      </x:c>
      <x:c r="I1093" s="13" t="n">
        <x:f>IF(C1093=0,"n.a.",F1093/C1093)</x:f>
        <x:v>541.4033333333333</x:v>
      </x:c>
      <x:c r="J1093" s="3"/>
      <x:c r="K1093" s="3"/>
      <x:c r="L1093" s="3"/>
    </x:row>
    <x:row r="1094" ht="22" customHeight="1">
      <x:c r="A1094" s="3"/>
      <x:c r="B1094" s="3" t="str">
        <x:v>12423</x:v>
      </x:c>
      <x:c r="C1094" s="3" t="n">
        <x:v>8</x:v>
      </x:c>
      <x:c r="D1094" s="51" t="n">
        <x:v>40886</x:v>
      </x:c>
      <x:c r="E1094" s="3" t="str">
        <x:v>Recurrente</x:v>
      </x:c>
      <x:c r="F1094" s="13" t="n">
        <x:v>1634.31</x:v>
      </x:c>
      <x:c r="G1094" s="13" t="n">
        <x:v>10.2</x:v>
      </x:c>
      <x:c r="H1094" s="13" t="n">
        <x:f>F1094-G1094</x:f>
        <x:v>1624.11</x:v>
      </x:c>
      <x:c r="I1094" s="13" t="n">
        <x:f>IF(C1094=0,"n.a.",F1094/C1094)</x:f>
        <x:v>204.28875</x:v>
      </x:c>
      <x:c r="J1094" s="3"/>
      <x:c r="K1094" s="3"/>
      <x:c r="L1094" s="3"/>
    </x:row>
    <x:row r="1095" ht="22" customHeight="1">
      <x:c r="A1095" s="3"/>
      <x:c r="B1095" s="3" t="str">
        <x:v>15172</x:v>
      </x:c>
      <x:c r="C1095" s="3" t="n">
        <x:v>5</x:v>
      </x:c>
      <x:c r="D1095" s="51" t="n">
        <x:v>40878</x:v>
      </x:c>
      <x:c r="E1095" s="3" t="str">
        <x:v>Recurrente</x:v>
      </x:c>
      <x:c r="F1095" s="13" t="n">
        <x:v>1624.05</x:v>
      </x:c>
      <x:c r="G1095" s="13" t="n">
        <x:v>0</x:v>
      </x:c>
      <x:c r="H1095" s="13" t="n">
        <x:f>F1095-G1095</x:f>
        <x:v>1624.05</x:v>
      </x:c>
      <x:c r="I1095" s="13" t="n">
        <x:f>IF(C1095=0,"n.a.",F1095/C1095)</x:f>
        <x:v>324.81</x:v>
      </x:c>
      <x:c r="J1095" s="3"/>
      <x:c r="K1095" s="3"/>
      <x:c r="L1095" s="3"/>
    </x:row>
    <x:row r="1096" ht="22" customHeight="1">
      <x:c r="A1096" s="3"/>
      <x:c r="B1096" s="3" t="str">
        <x:v>13627</x:v>
      </x:c>
      <x:c r="C1096" s="3" t="n">
        <x:v>5</x:v>
      </x:c>
      <x:c r="D1096" s="51" t="n">
        <x:v>40827</x:v>
      </x:c>
      <x:c r="E1096" s="3" t="str">
        <x:v>Recurrente</x:v>
      </x:c>
      <x:c r="F1096" s="13" t="n">
        <x:v>1638.47</x:v>
      </x:c>
      <x:c r="G1096" s="13" t="n">
        <x:v>14.45</x:v>
      </x:c>
      <x:c r="H1096" s="13" t="n">
        <x:f>F1096-G1096</x:f>
        <x:v>1624.02</x:v>
      </x:c>
      <x:c r="I1096" s="13" t="n">
        <x:f>IF(C1096=0,"n.a.",F1096/C1096)</x:f>
        <x:v>327.694</x:v>
      </x:c>
      <x:c r="J1096" s="3"/>
      <x:c r="K1096" s="3"/>
      <x:c r="L1096" s="3"/>
    </x:row>
    <x:row r="1097" ht="22" customHeight="1">
      <x:c r="A1097" s="3"/>
      <x:c r="B1097" s="3" t="str">
        <x:v>17673</x:v>
      </x:c>
      <x:c r="C1097" s="3" t="n">
        <x:v>6</x:v>
      </x:c>
      <x:c r="D1097" s="51" t="n">
        <x:v>40885</x:v>
      </x:c>
      <x:c r="E1097" s="3" t="str">
        <x:v>Recurrente</x:v>
      </x:c>
      <x:c r="F1097" s="13" t="n">
        <x:v>1629.12</x:v>
      </x:c>
      <x:c r="G1097" s="13" t="n">
        <x:v>6.9</x:v>
      </x:c>
      <x:c r="H1097" s="13" t="n">
        <x:f>F1097-G1097</x:f>
        <x:v>1622.2199999999998</x:v>
      </x:c>
      <x:c r="I1097" s="13" t="n">
        <x:f>IF(C1097=0,"n.a.",F1097/C1097)</x:f>
        <x:v>271.52</x:v>
      </x:c>
      <x:c r="J1097" s="3"/>
      <x:c r="K1097" s="3"/>
      <x:c r="L1097" s="3"/>
    </x:row>
    <x:row r="1098" ht="22" customHeight="1">
      <x:c r="A1098" s="3"/>
      <x:c r="B1098" s="3" t="str">
        <x:v>17101</x:v>
      </x:c>
      <x:c r="C1098" s="3" t="n">
        <x:v>4</x:v>
      </x:c>
      <x:c r="D1098" s="51" t="n">
        <x:v>40876</x:v>
      </x:c>
      <x:c r="E1098" s="3" t="str">
        <x:v>Recurrente</x:v>
      </x:c>
      <x:c r="F1098" s="13" t="n">
        <x:v>1621.73</x:v>
      </x:c>
      <x:c r="G1098" s="13" t="n">
        <x:v>0</x:v>
      </x:c>
      <x:c r="H1098" s="13" t="n">
        <x:f>F1098-G1098</x:f>
        <x:v>1621.73</x:v>
      </x:c>
      <x:c r="I1098" s="13" t="n">
        <x:f>IF(C1098=0,"n.a.",F1098/C1098)</x:f>
        <x:v>405.4325</x:v>
      </x:c>
      <x:c r="J1098" s="3"/>
      <x:c r="K1098" s="3"/>
      <x:c r="L1098" s="3"/>
    </x:row>
    <x:row r="1099" ht="22" customHeight="1">
      <x:c r="A1099" s="3"/>
      <x:c r="B1099" s="3" t="str">
        <x:v>14937</x:v>
      </x:c>
      <x:c r="C1099" s="3" t="n">
        <x:v>3</x:v>
      </x:c>
      <x:c r="D1099" s="51" t="n">
        <x:v>40830</x:v>
      </x:c>
      <x:c r="E1099" s="3" t="str">
        <x:v>Recurrente</x:v>
      </x:c>
      <x:c r="F1099" s="13" t="n">
        <x:v>1621.88</x:v>
      </x:c>
      <x:c r="G1099" s="13" t="n">
        <x:v>4.25</x:v>
      </x:c>
      <x:c r="H1099" s="13" t="n">
        <x:f>F1099-G1099</x:f>
        <x:v>1617.63</x:v>
      </x:c>
      <x:c r="I1099" s="13" t="n">
        <x:f>IF(C1099=0,"n.a.",F1099/C1099)</x:f>
        <x:v>540.6266666666667</x:v>
      </x:c>
      <x:c r="J1099" s="3"/>
      <x:c r="K1099" s="3"/>
      <x:c r="L1099" s="3"/>
    </x:row>
    <x:row r="1100" ht="22" customHeight="1">
      <x:c r="A1100" s="3"/>
      <x:c r="B1100" s="3" t="str">
        <x:v>12383</x:v>
      </x:c>
      <x:c r="C1100" s="3" t="n">
        <x:v>5</x:v>
      </x:c>
      <x:c r="D1100" s="51" t="n">
        <x:v>40702</x:v>
      </x:c>
      <x:c r="E1100" s="3" t="str">
        <x:v>Recurrente</x:v>
      </x:c>
      <x:c r="F1100" s="13" t="n">
        <x:v>1628.56</x:v>
      </x:c>
      <x:c r="G1100" s="13" t="n">
        <x:v>11.25</x:v>
      </x:c>
      <x:c r="H1100" s="13" t="n">
        <x:f>F1100-G1100</x:f>
        <x:v>1617.31</x:v>
      </x:c>
      <x:c r="I1100" s="13" t="n">
        <x:f>IF(C1100=0,"n.a.",F1100/C1100)</x:f>
        <x:v>325.712</x:v>
      </x:c>
      <x:c r="J1100" s="3"/>
      <x:c r="K1100" s="3"/>
      <x:c r="L1100" s="3"/>
    </x:row>
    <x:row r="1101" ht="22" customHeight="1">
      <x:c r="A1101" s="3"/>
      <x:c r="B1101" s="3" t="str">
        <x:v>14336</x:v>
      </x:c>
      <x:c r="C1101" s="3" t="n">
        <x:v>4</x:v>
      </x:c>
      <x:c r="D1101" s="51" t="n">
        <x:v>40870</x:v>
      </x:c>
      <x:c r="E1101" s="3" t="str">
        <x:v>Recurrente</x:v>
      </x:c>
      <x:c r="F1101" s="13" t="n">
        <x:v>1614.91</x:v>
      </x:c>
      <x:c r="G1101" s="13" t="n">
        <x:v>0</x:v>
      </x:c>
      <x:c r="H1101" s="13" t="n">
        <x:f>F1101-G1101</x:f>
        <x:v>1614.91</x:v>
      </x:c>
      <x:c r="I1101" s="13" t="n">
        <x:f>IF(C1101=0,"n.a.",F1101/C1101)</x:f>
        <x:v>403.7275</x:v>
      </x:c>
      <x:c r="J1101" s="3"/>
      <x:c r="K1101" s="3"/>
      <x:c r="L1101" s="3"/>
    </x:row>
    <x:row r="1102" ht="22" customHeight="1">
      <x:c r="A1102" s="3"/>
      <x:c r="B1102" s="3" t="str">
        <x:v>18161</x:v>
      </x:c>
      <x:c r="C1102" s="3" t="n">
        <x:v>5</x:v>
      </x:c>
      <x:c r="D1102" s="51" t="n">
        <x:v>40871</x:v>
      </x:c>
      <x:c r="E1102" s="3" t="str">
        <x:v>Recurrente</x:v>
      </x:c>
      <x:c r="F1102" s="13" t="n">
        <x:v>1618.69</x:v>
      </x:c>
      <x:c r="G1102" s="13" t="n">
        <x:v>5.9</x:v>
      </x:c>
      <x:c r="H1102" s="13" t="n">
        <x:f>F1102-G1102</x:f>
        <x:v>1612.79</x:v>
      </x:c>
      <x:c r="I1102" s="13" t="n">
        <x:f>IF(C1102=0,"n.a.",F1102/C1102)</x:f>
        <x:v>323.738</x:v>
      </x:c>
      <x:c r="J1102" s="3"/>
      <x:c r="K1102" s="3"/>
      <x:c r="L1102" s="3"/>
    </x:row>
    <x:row r="1103" ht="22" customHeight="1">
      <x:c r="A1103" s="3"/>
      <x:c r="B1103" s="3" t="str">
        <x:v>15122</x:v>
      </x:c>
      <x:c r="C1103" s="3" t="n">
        <x:v>3</x:v>
      </x:c>
      <x:c r="D1103" s="51" t="n">
        <x:v>40772</x:v>
      </x:c>
      <x:c r="E1103" s="3" t="str">
        <x:v>Recurrente</x:v>
      </x:c>
      <x:c r="F1103" s="13" t="n">
        <x:v>1633.78</x:v>
      </x:c>
      <x:c r="G1103" s="13" t="n">
        <x:v>21.65</x:v>
      </x:c>
      <x:c r="H1103" s="13" t="n">
        <x:f>F1103-G1103</x:f>
        <x:v>1612.1299999999999</x:v>
      </x:c>
      <x:c r="I1103" s="13" t="n">
        <x:f>IF(C1103=0,"n.a.",F1103/C1103)</x:f>
        <x:v>544.5933333333334</x:v>
      </x:c>
      <x:c r="J1103" s="3"/>
      <x:c r="K1103" s="3"/>
      <x:c r="L1103" s="3"/>
    </x:row>
    <x:row r="1104" ht="22" customHeight="1">
      <x:c r="A1104" s="3"/>
      <x:c r="B1104" s="3" t="str">
        <x:v>14312</x:v>
      </x:c>
      <x:c r="C1104" s="3" t="n">
        <x:v>6</x:v>
      </x:c>
      <x:c r="D1104" s="51" t="n">
        <x:v>40840</x:v>
      </x:c>
      <x:c r="E1104" s="3" t="str">
        <x:v>Recurrente</x:v>
      </x:c>
      <x:c r="F1104" s="13" t="n">
        <x:v>1611.59</x:v>
      </x:c>
      <x:c r="G1104" s="13" t="n">
        <x:v>0</x:v>
      </x:c>
      <x:c r="H1104" s="13" t="n">
        <x:f>F1104-G1104</x:f>
        <x:v>1611.59</x:v>
      </x:c>
      <x:c r="I1104" s="13" t="n">
        <x:f>IF(C1104=0,"n.a.",F1104/C1104)</x:f>
        <x:v>268.5983333333333</x:v>
      </x:c>
      <x:c r="J1104" s="3"/>
      <x:c r="K1104" s="3"/>
      <x:c r="L1104" s="3"/>
    </x:row>
    <x:row r="1105" ht="22" customHeight="1">
      <x:c r="A1105" s="3"/>
      <x:c r="B1105" s="3" t="str">
        <x:v>12645</x:v>
      </x:c>
      <x:c r="C1105" s="3" t="n">
        <x:v>4</x:v>
      </x:c>
      <x:c r="D1105" s="51" t="n">
        <x:v>40853</x:v>
      </x:c>
      <x:c r="E1105" s="3" t="str">
        <x:v>Recurrente</x:v>
      </x:c>
      <x:c r="F1105" s="13" t="n">
        <x:v>1631.18</x:v>
      </x:c>
      <x:c r="G1105" s="13" t="n">
        <x:v>19.8</x:v>
      </x:c>
      <x:c r="H1105" s="13" t="n">
        <x:f>F1105-G1105</x:f>
        <x:v>1611.38</x:v>
      </x:c>
      <x:c r="I1105" s="13" t="n">
        <x:f>IF(C1105=0,"n.a.",F1105/C1105)</x:f>
        <x:v>407.795</x:v>
      </x:c>
      <x:c r="J1105" s="3"/>
      <x:c r="K1105" s="3"/>
      <x:c r="L1105" s="3"/>
    </x:row>
    <x:row r="1106" ht="22" customHeight="1">
      <x:c r="A1106" s="3"/>
      <x:c r="B1106" s="3" t="str">
        <x:v>13614</x:v>
      </x:c>
      <x:c r="C1106" s="3" t="n">
        <x:v>4</x:v>
      </x:c>
      <x:c r="D1106" s="51" t="n">
        <x:v>40862</x:v>
      </x:c>
      <x:c r="E1106" s="3" t="str">
        <x:v>Recurrente</x:v>
      </x:c>
      <x:c r="F1106" s="13" t="n">
        <x:v>1610.46</x:v>
      </x:c>
      <x:c r="G1106" s="13" t="n">
        <x:v>0</x:v>
      </x:c>
      <x:c r="H1106" s="13" t="n">
        <x:f>F1106-G1106</x:f>
        <x:v>1610.46</x:v>
      </x:c>
      <x:c r="I1106" s="13" t="n">
        <x:f>IF(C1106=0,"n.a.",F1106/C1106)</x:f>
        <x:v>402.615</x:v>
      </x:c>
      <x:c r="J1106" s="3"/>
      <x:c r="K1106" s="3"/>
      <x:c r="L1106" s="3"/>
    </x:row>
    <x:row r="1107" ht="22" customHeight="1">
      <x:c r="A1107" s="3"/>
      <x:c r="B1107" s="3" t="str">
        <x:v>14918</x:v>
      </x:c>
      <x:c r="C1107" s="3" t="n">
        <x:v>2</x:v>
      </x:c>
      <x:c r="D1107" s="51" t="n">
        <x:v>40771</x:v>
      </x:c>
      <x:c r="E1107" s="3" t="str">
        <x:v>Recurrente</x:v>
      </x:c>
      <x:c r="F1107" s="13" t="n">
        <x:v>1610.15</x:v>
      </x:c>
      <x:c r="G1107" s="13" t="n">
        <x:v>0</x:v>
      </x:c>
      <x:c r="H1107" s="13" t="n">
        <x:f>F1107-G1107</x:f>
        <x:v>1610.15</x:v>
      </x:c>
      <x:c r="I1107" s="13" t="n">
        <x:f>IF(C1107=0,"n.a.",F1107/C1107)</x:f>
        <x:v>805.075</x:v>
      </x:c>
      <x:c r="J1107" s="3"/>
      <x:c r="K1107" s="3"/>
      <x:c r="L1107" s="3"/>
    </x:row>
    <x:row r="1108" ht="22" customHeight="1">
      <x:c r="A1108" s="3"/>
      <x:c r="B1108" s="3" t="str">
        <x:v>12868</x:v>
      </x:c>
      <x:c r="C1108" s="3" t="n">
        <x:v>6</x:v>
      </x:c>
      <x:c r="D1108" s="51" t="n">
        <x:v>40701</x:v>
      </x:c>
      <x:c r="E1108" s="3" t="str">
        <x:v>Recurrente</x:v>
      </x:c>
      <x:c r="F1108" s="13" t="n">
        <x:v>1607.06</x:v>
      </x:c>
      <x:c r="G1108" s="13" t="n">
        <x:v>0</x:v>
      </x:c>
      <x:c r="H1108" s="13" t="n">
        <x:f>F1108-G1108</x:f>
        <x:v>1607.06</x:v>
      </x:c>
      <x:c r="I1108" s="13" t="n">
        <x:f>IF(C1108=0,"n.a.",F1108/C1108)</x:f>
        <x:v>267.8433333333333</x:v>
      </x:c>
      <x:c r="J1108" s="3"/>
      <x:c r="K1108" s="3"/>
      <x:c r="L1108" s="3"/>
    </x:row>
    <x:row r="1109" ht="22" customHeight="1">
      <x:c r="A1109" s="3"/>
      <x:c r="B1109" s="3" t="str">
        <x:v>15791</x:v>
      </x:c>
      <x:c r="C1109" s="3" t="n">
        <x:v>2</x:v>
      </x:c>
      <x:c r="D1109" s="51" t="n">
        <x:v>40843</x:v>
      </x:c>
      <x:c r="E1109" s="3" t="str">
        <x:v>Recurrente</x:v>
      </x:c>
      <x:c r="F1109" s="13" t="n">
        <x:v>1612.69</x:v>
      </x:c>
      <x:c r="G1109" s="13" t="n">
        <x:v>8.25</x:v>
      </x:c>
      <x:c r="H1109" s="13" t="n">
        <x:f>F1109-G1109</x:f>
        <x:v>1604.44</x:v>
      </x:c>
      <x:c r="I1109" s="13" t="n">
        <x:f>IF(C1109=0,"n.a.",F1109/C1109)</x:f>
        <x:v>806.345</x:v>
      </x:c>
      <x:c r="J1109" s="3"/>
      <x:c r="K1109" s="3"/>
      <x:c r="L1109" s="3"/>
    </x:row>
    <x:row r="1110" ht="22" customHeight="1">
      <x:c r="A1110" s="3"/>
      <x:c r="B1110" s="3" t="str">
        <x:v>14573</x:v>
      </x:c>
      <x:c r="C1110" s="3" t="n">
        <x:v>9</x:v>
      </x:c>
      <x:c r="D1110" s="51" t="n">
        <x:v>40707</x:v>
      </x:c>
      <x:c r="E1110" s="3" t="str">
        <x:v>Recurrente</x:v>
      </x:c>
      <x:c r="F1110" s="13" t="n">
        <x:v>1653.42</x:v>
      </x:c>
      <x:c r="G1110" s="13" t="n">
        <x:v>49.7</x:v>
      </x:c>
      <x:c r="H1110" s="13" t="n">
        <x:f>F1110-G1110</x:f>
        <x:v>1603.72</x:v>
      </x:c>
      <x:c r="I1110" s="13" t="n">
        <x:f>IF(C1110=0,"n.a.",F1110/C1110)</x:f>
        <x:v>183.71333333333334</x:v>
      </x:c>
      <x:c r="J1110" s="3"/>
      <x:c r="K1110" s="3"/>
      <x:c r="L1110" s="3"/>
    </x:row>
    <x:row r="1111" ht="22" customHeight="1">
      <x:c r="A1111" s="3"/>
      <x:c r="B1111" s="3" t="str">
        <x:v>16466</x:v>
      </x:c>
      <x:c r="C1111" s="3" t="n">
        <x:v>7</x:v>
      </x:c>
      <x:c r="D1111" s="51" t="n">
        <x:v>40853</x:v>
      </x:c>
      <x:c r="E1111" s="3" t="str">
        <x:v>Recurrente</x:v>
      </x:c>
      <x:c r="F1111" s="13" t="n">
        <x:v>1603.46</x:v>
      </x:c>
      <x:c r="G1111" s="13" t="n">
        <x:v>0</x:v>
      </x:c>
      <x:c r="H1111" s="13" t="n">
        <x:f>F1111-G1111</x:f>
        <x:v>1603.46</x:v>
      </x:c>
      <x:c r="I1111" s="13" t="n">
        <x:f>IF(C1111=0,"n.a.",F1111/C1111)</x:f>
        <x:v>229.06571428571428</x:v>
      </x:c>
      <x:c r="J1111" s="3"/>
      <x:c r="K1111" s="3"/>
      <x:c r="L1111" s="3"/>
    </x:row>
    <x:row r="1112" ht="22" customHeight="1">
      <x:c r="A1112" s="3"/>
      <x:c r="B1112" s="3" t="str">
        <x:v>16992</x:v>
      </x:c>
      <x:c r="C1112" s="3" t="n">
        <x:v>5</x:v>
      </x:c>
      <x:c r="D1112" s="51" t="n">
        <x:v>40876</x:v>
      </x:c>
      <x:c r="E1112" s="3" t="str">
        <x:v>Recurrente</x:v>
      </x:c>
      <x:c r="F1112" s="13" t="n">
        <x:v>1614.31</x:v>
      </x:c>
      <x:c r="G1112" s="13" t="n">
        <x:v>12.45</x:v>
      </x:c>
      <x:c r="H1112" s="13" t="n">
        <x:f>F1112-G1112</x:f>
        <x:v>1601.86</x:v>
      </x:c>
      <x:c r="I1112" s="13" t="n">
        <x:f>IF(C1112=0,"n.a.",F1112/C1112)</x:f>
        <x:v>322.86199999999997</x:v>
      </x:c>
      <x:c r="J1112" s="3"/>
      <x:c r="K1112" s="3"/>
      <x:c r="L1112" s="3"/>
    </x:row>
    <x:row r="1113" ht="22" customHeight="1">
      <x:c r="A1113" s="3"/>
      <x:c r="B1113" s="3" t="str">
        <x:v>14178</x:v>
      </x:c>
      <x:c r="C1113" s="3" t="n">
        <x:v>7</x:v>
      </x:c>
      <x:c r="D1113" s="51" t="n">
        <x:v>40878</x:v>
      </x:c>
      <x:c r="E1113" s="3" t="str">
        <x:v>Recurrente</x:v>
      </x:c>
      <x:c r="F1113" s="13" t="n">
        <x:v>1600.93</x:v>
      </x:c>
      <x:c r="G1113" s="13" t="n">
        <x:v>0</x:v>
      </x:c>
      <x:c r="H1113" s="13" t="n">
        <x:f>F1113-G1113</x:f>
        <x:v>1600.93</x:v>
      </x:c>
      <x:c r="I1113" s="13" t="n">
        <x:f>IF(C1113=0,"n.a.",F1113/C1113)</x:f>
        <x:v>228.70428571428573</x:v>
      </x:c>
      <x:c r="J1113" s="3"/>
      <x:c r="K1113" s="3"/>
      <x:c r="L1113" s="3"/>
    </x:row>
    <x:row r="1114" ht="22" customHeight="1">
      <x:c r="A1114" s="3"/>
      <x:c r="B1114" s="3" t="str">
        <x:v>14587</x:v>
      </x:c>
      <x:c r="C1114" s="3" t="n">
        <x:v>9</x:v>
      </x:c>
      <x:c r="D1114" s="51" t="n">
        <x:v>40868</x:v>
      </x:c>
      <x:c r="E1114" s="3" t="str">
        <x:v>Recurrente</x:v>
      </x:c>
      <x:c r="F1114" s="13" t="n">
        <x:v>1601.14</x:v>
      </x:c>
      <x:c r="G1114" s="13" t="n">
        <x:v>2.9</x:v>
      </x:c>
      <x:c r="H1114" s="13" t="n">
        <x:f>F1114-G1114</x:f>
        <x:v>1598.24</x:v>
      </x:c>
      <x:c r="I1114" s="13" t="n">
        <x:f>IF(C1114=0,"n.a.",F1114/C1114)</x:f>
        <x:v>177.90444444444447</x:v>
      </x:c>
      <x:c r="J1114" s="3"/>
      <x:c r="K1114" s="3"/>
      <x:c r="L1114" s="3"/>
    </x:row>
    <x:row r="1115" ht="22" customHeight="1">
      <x:c r="A1115" s="3"/>
      <x:c r="B1115" s="3" t="str">
        <x:v>12457</x:v>
      </x:c>
      <x:c r="C1115" s="3" t="n">
        <x:v>6</x:v>
      </x:c>
      <x:c r="D1115" s="51" t="n">
        <x:v>40820</x:v>
      </x:c>
      <x:c r="E1115" s="3" t="str">
        <x:v>Recurrente</x:v>
      </x:c>
      <x:c r="F1115" s="13" t="n">
        <x:v>2043.23</x:v>
      </x:c>
      <x:c r="G1115" s="13" t="n">
        <x:v>445.45</x:v>
      </x:c>
      <x:c r="H1115" s="13" t="n">
        <x:f>F1115-G1115</x:f>
        <x:v>1597.78</x:v>
      </x:c>
      <x:c r="I1115" s="13" t="n">
        <x:f>IF(C1115=0,"n.a.",F1115/C1115)</x:f>
        <x:v>340.53833333333336</x:v>
      </x:c>
      <x:c r="J1115" s="3"/>
      <x:c r="K1115" s="3"/>
      <x:c r="L1115" s="3"/>
    </x:row>
    <x:row r="1116" ht="22" customHeight="1">
      <x:c r="A1116" s="3"/>
      <x:c r="B1116" s="3" t="str">
        <x:v>14719</x:v>
      </x:c>
      <x:c r="C1116" s="3" t="n">
        <x:v>5</x:v>
      </x:c>
      <x:c r="D1116" s="51" t="n">
        <x:v>40885</x:v>
      </x:c>
      <x:c r="E1116" s="3" t="str">
        <x:v>Recurrente</x:v>
      </x:c>
      <x:c r="F1116" s="13" t="n">
        <x:v>1602.13</x:v>
      </x:c>
      <x:c r="G1116" s="13" t="n">
        <x:v>9.95</x:v>
      </x:c>
      <x:c r="H1116" s="13" t="n">
        <x:f>F1116-G1116</x:f>
        <x:v>1592.18</x:v>
      </x:c>
      <x:c r="I1116" s="13" t="n">
        <x:f>IF(C1116=0,"n.a.",F1116/C1116)</x:f>
        <x:v>320.42600000000004</x:v>
      </x:c>
      <x:c r="J1116" s="3"/>
      <x:c r="K1116" s="3"/>
      <x:c r="L1116" s="3"/>
    </x:row>
    <x:row r="1117" ht="22" customHeight="1">
      <x:c r="A1117" s="3"/>
      <x:c r="B1117" s="3" t="str">
        <x:v>14970</x:v>
      </x:c>
      <x:c r="C1117" s="3" t="n">
        <x:v>4</x:v>
      </x:c>
      <x:c r="D1117" s="51" t="n">
        <x:v>40818</x:v>
      </x:c>
      <x:c r="E1117" s="3" t="str">
        <x:v>Recurrente</x:v>
      </x:c>
      <x:c r="F1117" s="13" t="n">
        <x:v>1592.06</x:v>
      </x:c>
      <x:c r="G1117" s="13" t="n">
        <x:v>0</x:v>
      </x:c>
      <x:c r="H1117" s="13" t="n">
        <x:f>F1117-G1117</x:f>
        <x:v>1592.06</x:v>
      </x:c>
      <x:c r="I1117" s="13" t="n">
        <x:f>IF(C1117=0,"n.a.",F1117/C1117)</x:f>
        <x:v>398.015</x:v>
      </x:c>
      <x:c r="J1117" s="3"/>
      <x:c r="K1117" s="3"/>
      <x:c r="L1117" s="3"/>
    </x:row>
    <x:row r="1118" ht="22" customHeight="1">
      <x:c r="A1118" s="3"/>
      <x:c r="B1118" s="3" t="str">
        <x:v>13850</x:v>
      </x:c>
      <x:c r="C1118" s="3" t="n">
        <x:v>1</x:v>
      </x:c>
      <x:c r="D1118" s="51" t="n">
        <x:v>40757</x:v>
      </x:c>
      <x:c r="E1118" s="3" t="str">
        <x:v>Una compra</x:v>
      </x:c>
      <x:c r="F1118" s="13" t="n">
        <x:v>1595.48</x:v>
      </x:c>
      <x:c r="G1118" s="13" t="n">
        <x:v>8.67</x:v>
      </x:c>
      <x:c r="H1118" s="13" t="n">
        <x:f>F1118-G1118</x:f>
        <x:v>1586.81</x:v>
      </x:c>
      <x:c r="I1118" s="13" t="n">
        <x:f>IF(C1118=0,"n.a.",F1118/C1118)</x:f>
        <x:v>1595.48</x:v>
      </x:c>
      <x:c r="J1118" s="3"/>
      <x:c r="K1118" s="3"/>
      <x:c r="L1118" s="3"/>
    </x:row>
    <x:row r="1119" ht="22" customHeight="1">
      <x:c r="A1119" s="3"/>
      <x:c r="B1119" s="3" t="str">
        <x:v>16332</x:v>
      </x:c>
      <x:c r="C1119" s="3" t="n">
        <x:v>7</x:v>
      </x:c>
      <x:c r="D1119" s="51" t="n">
        <x:v>40858</x:v>
      </x:c>
      <x:c r="E1119" s="3" t="str">
        <x:v>Recurrente</x:v>
      </x:c>
      <x:c r="F1119" s="13" t="n">
        <x:v>1593.2</x:v>
      </x:c>
      <x:c r="G1119" s="13" t="n">
        <x:v>10</x:v>
      </x:c>
      <x:c r="H1119" s="13" t="n">
        <x:f>F1119-G1119</x:f>
        <x:v>1583.2</x:v>
      </x:c>
      <x:c r="I1119" s="13" t="n">
        <x:f>IF(C1119=0,"n.a.",F1119/C1119)</x:f>
        <x:v>227.6</x:v>
      </x:c>
      <x:c r="J1119" s="3"/>
      <x:c r="K1119" s="3"/>
      <x:c r="L1119" s="3"/>
    </x:row>
    <x:row r="1120" ht="22" customHeight="1">
      <x:c r="A1120" s="3"/>
      <x:c r="B1120" s="3" t="str">
        <x:v>12393</x:v>
      </x:c>
      <x:c r="C1120" s="3" t="n">
        <x:v>4</x:v>
      </x:c>
      <x:c r="D1120" s="51" t="n">
        <x:v>40814</x:v>
      </x:c>
      <x:c r="E1120" s="3" t="str">
        <x:v>Recurrente</x:v>
      </x:c>
      <x:c r="F1120" s="13" t="n">
        <x:v>1582.6</x:v>
      </x:c>
      <x:c r="G1120" s="13" t="n">
        <x:v>0</x:v>
      </x:c>
      <x:c r="H1120" s="13" t="n">
        <x:f>F1120-G1120</x:f>
        <x:v>1582.6</x:v>
      </x:c>
      <x:c r="I1120" s="13" t="n">
        <x:f>IF(C1120=0,"n.a.",F1120/C1120)</x:f>
        <x:v>395.65</x:v>
      </x:c>
      <x:c r="J1120" s="3"/>
      <x:c r="K1120" s="3"/>
      <x:c r="L1120" s="3"/>
    </x:row>
    <x:row r="1121" ht="22" customHeight="1">
      <x:c r="A1121" s="3"/>
      <x:c r="B1121" s="3" t="str">
        <x:v>16889</x:v>
      </x:c>
      <x:c r="C1121" s="3" t="n">
        <x:v>3</x:v>
      </x:c>
      <x:c r="D1121" s="51" t="n">
        <x:v>40692</x:v>
      </x:c>
      <x:c r="E1121" s="3" t="str">
        <x:v>Recurrente</x:v>
      </x:c>
      <x:c r="F1121" s="13" t="n">
        <x:v>1578.67</x:v>
      </x:c>
      <x:c r="G1121" s="13" t="n">
        <x:v>0</x:v>
      </x:c>
      <x:c r="H1121" s="13" t="n">
        <x:f>F1121-G1121</x:f>
        <x:v>1578.67</x:v>
      </x:c>
      <x:c r="I1121" s="13" t="n">
        <x:f>IF(C1121=0,"n.a.",F1121/C1121)</x:f>
        <x:v>526.2233333333334</x:v>
      </x:c>
      <x:c r="J1121" s="3"/>
      <x:c r="K1121" s="3"/>
      <x:c r="L1121" s="3"/>
    </x:row>
    <x:row r="1122" ht="22" customHeight="1">
      <x:c r="A1122" s="3"/>
      <x:c r="B1122" s="3" t="str">
        <x:v>13634</x:v>
      </x:c>
      <x:c r="C1122" s="3" t="n">
        <x:v>5</x:v>
      </x:c>
      <x:c r="D1122" s="51" t="n">
        <x:v>40853</x:v>
      </x:c>
      <x:c r="E1122" s="3" t="str">
        <x:v>Recurrente</x:v>
      </x:c>
      <x:c r="F1122" s="13" t="n">
        <x:v>1575.16</x:v>
      </x:c>
      <x:c r="G1122" s="13" t="n">
        <x:v>0</x:v>
      </x:c>
      <x:c r="H1122" s="13" t="n">
        <x:f>F1122-G1122</x:f>
        <x:v>1575.16</x:v>
      </x:c>
      <x:c r="I1122" s="13" t="n">
        <x:f>IF(C1122=0,"n.a.",F1122/C1122)</x:f>
        <x:v>315.03200000000004</x:v>
      </x:c>
      <x:c r="J1122" s="3"/>
      <x:c r="K1122" s="3"/>
      <x:c r="L1122" s="3"/>
    </x:row>
    <x:row r="1123" ht="22" customHeight="1">
      <x:c r="A1123" s="3"/>
      <x:c r="B1123" s="3" t="str">
        <x:v>18178</x:v>
      </x:c>
      <x:c r="C1123" s="3" t="n">
        <x:v>4</x:v>
      </x:c>
      <x:c r="D1123" s="51" t="n">
        <x:v>40758</x:v>
      </x:c>
      <x:c r="E1123" s="3" t="str">
        <x:v>Recurrente</x:v>
      </x:c>
      <x:c r="F1123" s="13" t="n">
        <x:v>1590.81</x:v>
      </x:c>
      <x:c r="G1123" s="13" t="n">
        <x:v>17.4</x:v>
      </x:c>
      <x:c r="H1123" s="13" t="n">
        <x:f>F1123-G1123</x:f>
        <x:v>1573.4099999999999</x:v>
      </x:c>
      <x:c r="I1123" s="13" t="n">
        <x:f>IF(C1123=0,"n.a.",F1123/C1123)</x:f>
        <x:v>397.7025</x:v>
      </x:c>
      <x:c r="J1123" s="3"/>
      <x:c r="K1123" s="3"/>
      <x:c r="L1123" s="3"/>
    </x:row>
    <x:row r="1124" ht="22" customHeight="1">
      <x:c r="A1124" s="3"/>
      <x:c r="B1124" s="3" t="str">
        <x:v>15111</x:v>
      </x:c>
      <x:c r="C1124" s="3" t="n">
        <x:v>3</x:v>
      </x:c>
      <x:c r="D1124" s="51" t="n">
        <x:v>40857</x:v>
      </x:c>
      <x:c r="E1124" s="3" t="str">
        <x:v>Recurrente</x:v>
      </x:c>
      <x:c r="F1124" s="13" t="n">
        <x:v>1567.48</x:v>
      </x:c>
      <x:c r="G1124" s="13" t="n">
        <x:v>0</x:v>
      </x:c>
      <x:c r="H1124" s="13" t="n">
        <x:f>F1124-G1124</x:f>
        <x:v>1567.48</x:v>
      </x:c>
      <x:c r="I1124" s="13" t="n">
        <x:f>IF(C1124=0,"n.a.",F1124/C1124)</x:f>
        <x:v>522.4933333333333</x:v>
      </x:c>
      <x:c r="J1124" s="3"/>
      <x:c r="K1124" s="3"/>
      <x:c r="L1124" s="3"/>
    </x:row>
    <x:row r="1125" ht="22" customHeight="1">
      <x:c r="A1125" s="3"/>
      <x:c r="B1125" s="3" t="str">
        <x:v>16496</x:v>
      </x:c>
      <x:c r="C1125" s="3" t="n">
        <x:v>3</x:v>
      </x:c>
      <x:c r="D1125" s="51" t="n">
        <x:v>40878</x:v>
      </x:c>
      <x:c r="E1125" s="3" t="str">
        <x:v>Recurrente</x:v>
      </x:c>
      <x:c r="F1125" s="13" t="n">
        <x:v>1599.52</x:v>
      </x:c>
      <x:c r="G1125" s="13" t="n">
        <x:v>37.3</x:v>
      </x:c>
      <x:c r="H1125" s="13" t="n">
        <x:f>F1125-G1125</x:f>
        <x:v>1562.22</x:v>
      </x:c>
      <x:c r="I1125" s="13" t="n">
        <x:f>IF(C1125=0,"n.a.",F1125/C1125)</x:f>
        <x:v>533.1733333333333</x:v>
      </x:c>
      <x:c r="J1125" s="3"/>
      <x:c r="K1125" s="3"/>
      <x:c r="L1125" s="3"/>
    </x:row>
    <x:row r="1126" ht="22" customHeight="1">
      <x:c r="A1126" s="3"/>
      <x:c r="B1126" s="3" t="str">
        <x:v>13814</x:v>
      </x:c>
      <x:c r="C1126" s="3" t="n">
        <x:v>2</x:v>
      </x:c>
      <x:c r="D1126" s="51" t="n">
        <x:v>40794</x:v>
      </x:c>
      <x:c r="E1126" s="3" t="str">
        <x:v>Recurrente</x:v>
      </x:c>
      <x:c r="F1126" s="13" t="n">
        <x:v>1579.12</x:v>
      </x:c>
      <x:c r="G1126" s="13" t="n">
        <x:v>17</x:v>
      </x:c>
      <x:c r="H1126" s="13" t="n">
        <x:f>F1126-G1126</x:f>
        <x:v>1562.12</x:v>
      </x:c>
      <x:c r="I1126" s="13" t="n">
        <x:f>IF(C1126=0,"n.a.",F1126/C1126)</x:f>
        <x:v>789.56</x:v>
      </x:c>
      <x:c r="J1126" s="3"/>
      <x:c r="K1126" s="3"/>
      <x:c r="L1126" s="3"/>
    </x:row>
    <x:row r="1127" ht="22" customHeight="1">
      <x:c r="A1127" s="3"/>
      <x:c r="B1127" s="3" t="str">
        <x:v>18239</x:v>
      </x:c>
      <x:c r="C1127" s="3" t="n">
        <x:v>5</x:v>
      </x:c>
      <x:c r="D1127" s="51" t="n">
        <x:v>40668</x:v>
      </x:c>
      <x:c r="E1127" s="3" t="str">
        <x:v>Recurrente</x:v>
      </x:c>
      <x:c r="F1127" s="13" t="n">
        <x:v>1561.61</x:v>
      </x:c>
      <x:c r="G1127" s="13" t="n">
        <x:v>0</x:v>
      </x:c>
      <x:c r="H1127" s="13" t="n">
        <x:f>F1127-G1127</x:f>
        <x:v>1561.61</x:v>
      </x:c>
      <x:c r="I1127" s="13" t="n">
        <x:f>IF(C1127=0,"n.a.",F1127/C1127)</x:f>
        <x:v>312.322</x:v>
      </x:c>
      <x:c r="J1127" s="3"/>
      <x:c r="K1127" s="3"/>
      <x:c r="L1127" s="3"/>
    </x:row>
    <x:row r="1128" ht="22" customHeight="1">
      <x:c r="A1128" s="3"/>
      <x:c r="B1128" s="3" t="str">
        <x:v>16676</x:v>
      </x:c>
      <x:c r="C1128" s="3" t="n">
        <x:v>4</x:v>
      </x:c>
      <x:c r="D1128" s="51" t="n">
        <x:v>40853</x:v>
      </x:c>
      <x:c r="E1128" s="3" t="str">
        <x:v>Recurrente</x:v>
      </x:c>
      <x:c r="F1128" s="13" t="n">
        <x:v>1592.12</x:v>
      </x:c>
      <x:c r="G1128" s="13" t="n">
        <x:v>33.4</x:v>
      </x:c>
      <x:c r="H1128" s="13" t="n">
        <x:f>F1128-G1128</x:f>
        <x:v>1558.7199999999998</x:v>
      </x:c>
      <x:c r="I1128" s="13" t="n">
        <x:f>IF(C1128=0,"n.a.",F1128/C1128)</x:f>
        <x:v>398.03</x:v>
      </x:c>
      <x:c r="J1128" s="3"/>
      <x:c r="K1128" s="3"/>
      <x:c r="L1128" s="3"/>
    </x:row>
    <x:row r="1129" ht="22" customHeight="1">
      <x:c r="A1129" s="3"/>
      <x:c r="B1129" s="3" t="str">
        <x:v>13313</x:v>
      </x:c>
      <x:c r="C1129" s="3" t="n">
        <x:v>5</x:v>
      </x:c>
      <x:c r="D1129" s="51" t="n">
        <x:v>40864</x:v>
      </x:c>
      <x:c r="E1129" s="3" t="str">
        <x:v>Recurrente</x:v>
      </x:c>
      <x:c r="F1129" s="13" t="n">
        <x:v>1555.32</x:v>
      </x:c>
      <x:c r="G1129" s="13" t="n">
        <x:v>0</x:v>
      </x:c>
      <x:c r="H1129" s="13" t="n">
        <x:f>F1129-G1129</x:f>
        <x:v>1555.32</x:v>
      </x:c>
      <x:c r="I1129" s="13" t="n">
        <x:f>IF(C1129=0,"n.a.",F1129/C1129)</x:f>
        <x:v>311.06399999999996</x:v>
      </x:c>
      <x:c r="J1129" s="3"/>
      <x:c r="K1129" s="3"/>
      <x:c r="L1129" s="3"/>
    </x:row>
    <x:row r="1130" ht="22" customHeight="1">
      <x:c r="A1130" s="3"/>
      <x:c r="B1130" s="3" t="str">
        <x:v>17085</x:v>
      </x:c>
      <x:c r="C1130" s="3" t="n">
        <x:v>5</x:v>
      </x:c>
      <x:c r="D1130" s="51" t="n">
        <x:v>40763</x:v>
      </x:c>
      <x:c r="E1130" s="3" t="str">
        <x:v>Recurrente</x:v>
      </x:c>
      <x:c r="F1130" s="13" t="n">
        <x:v>1566.65</x:v>
      </x:c>
      <x:c r="G1130" s="13" t="n">
        <x:v>11.6</x:v>
      </x:c>
      <x:c r="H1130" s="13" t="n">
        <x:f>F1130-G1130</x:f>
        <x:v>1555.0500000000002</x:v>
      </x:c>
      <x:c r="I1130" s="13" t="n">
        <x:f>IF(C1130=0,"n.a.",F1130/C1130)</x:f>
        <x:v>313.33000000000004</x:v>
      </x:c>
      <x:c r="J1130" s="3"/>
      <x:c r="K1130" s="3"/>
      <x:c r="L1130" s="3"/>
    </x:row>
    <x:row r="1131" ht="22" customHeight="1">
      <x:c r="A1131" s="3"/>
      <x:c r="B1131" s="3" t="str">
        <x:v>17837</x:v>
      </x:c>
      <x:c r="C1131" s="3" t="n">
        <x:v>8</x:v>
      </x:c>
      <x:c r="D1131" s="51" t="n">
        <x:v>40844</x:v>
      </x:c>
      <x:c r="E1131" s="3" t="str">
        <x:v>Recurrente</x:v>
      </x:c>
      <x:c r="F1131" s="13" t="n">
        <x:v>1587.48</x:v>
      </x:c>
      <x:c r="G1131" s="13" t="n">
        <x:v>32.85</x:v>
      </x:c>
      <x:c r="H1131" s="13" t="n">
        <x:f>F1131-G1131</x:f>
        <x:v>1554.63</x:v>
      </x:c>
      <x:c r="I1131" s="13" t="n">
        <x:f>IF(C1131=0,"n.a.",F1131/C1131)</x:f>
        <x:v>198.435</x:v>
      </x:c>
      <x:c r="J1131" s="3"/>
      <x:c r="K1131" s="3"/>
      <x:c r="L1131" s="3"/>
    </x:row>
    <x:row r="1132" ht="22" customHeight="1">
      <x:c r="A1132" s="3"/>
      <x:c r="B1132" s="3" t="str">
        <x:v>14038</x:v>
      </x:c>
      <x:c r="C1132" s="3" t="n">
        <x:v>3</x:v>
      </x:c>
      <x:c r="D1132" s="51" t="n">
        <x:v>40808</x:v>
      </x:c>
      <x:c r="E1132" s="3" t="str">
        <x:v>Recurrente</x:v>
      </x:c>
      <x:c r="F1132" s="13" t="n">
        <x:v>1560.38</x:v>
      </x:c>
      <x:c r="G1132" s="13" t="n">
        <x:v>5.9</x:v>
      </x:c>
      <x:c r="H1132" s="13" t="n">
        <x:f>F1132-G1132</x:f>
        <x:v>1554.48</x:v>
      </x:c>
      <x:c r="I1132" s="13" t="n">
        <x:f>IF(C1132=0,"n.a.",F1132/C1132)</x:f>
        <x:v>520.1266666666667</x:v>
      </x:c>
      <x:c r="J1132" s="3"/>
      <x:c r="K1132" s="3"/>
      <x:c r="L1132" s="3"/>
    </x:row>
    <x:row r="1133" ht="22" customHeight="1">
      <x:c r="A1133" s="3"/>
      <x:c r="B1133" s="3" t="str">
        <x:v>15660</x:v>
      </x:c>
      <x:c r="C1133" s="3" t="n">
        <x:v>9</x:v>
      </x:c>
      <x:c r="D1133" s="51" t="n">
        <x:v>40861</x:v>
      </x:c>
      <x:c r="E1133" s="3" t="str">
        <x:v>Recurrente</x:v>
      </x:c>
      <x:c r="F1133" s="13" t="n">
        <x:v>1600.86</x:v>
      </x:c>
      <x:c r="G1133" s="13" t="n">
        <x:v>48.85</x:v>
      </x:c>
      <x:c r="H1133" s="13" t="n">
        <x:f>F1133-G1133</x:f>
        <x:v>1552.01</x:v>
      </x:c>
      <x:c r="I1133" s="13" t="n">
        <x:f>IF(C1133=0,"n.a.",F1133/C1133)</x:f>
        <x:v>177.87333333333333</x:v>
      </x:c>
      <x:c r="J1133" s="3"/>
      <x:c r="K1133" s="3"/>
      <x:c r="L1133" s="3"/>
    </x:row>
    <x:row r="1134" ht="22" customHeight="1">
      <x:c r="A1134" s="3"/>
      <x:c r="B1134" s="3" t="str">
        <x:v>16369</x:v>
      </x:c>
      <x:c r="C1134" s="3" t="n">
        <x:v>3</x:v>
      </x:c>
      <x:c r="D1134" s="51" t="n">
        <x:v>40868</x:v>
      </x:c>
      <x:c r="E1134" s="3" t="str">
        <x:v>Recurrente</x:v>
      </x:c>
      <x:c r="F1134" s="13" t="n">
        <x:v>1551.58</x:v>
      </x:c>
      <x:c r="G1134" s="13" t="n">
        <x:v>0</x:v>
      </x:c>
      <x:c r="H1134" s="13" t="n">
        <x:f>F1134-G1134</x:f>
        <x:v>1551.58</x:v>
      </x:c>
      <x:c r="I1134" s="13" t="n">
        <x:f>IF(C1134=0,"n.a.",F1134/C1134)</x:f>
        <x:v>517.1933333333333</x:v>
      </x:c>
      <x:c r="J1134" s="3"/>
      <x:c r="K1134" s="3"/>
      <x:c r="L1134" s="3"/>
    </x:row>
    <x:row r="1135" ht="22" customHeight="1">
      <x:c r="A1135" s="3"/>
      <x:c r="B1135" s="3" t="str">
        <x:v>13659</x:v>
      </x:c>
      <x:c r="C1135" s="3" t="n">
        <x:v>2</x:v>
      </x:c>
      <x:c r="D1135" s="51" t="n">
        <x:v>40681</x:v>
      </x:c>
      <x:c r="E1135" s="3" t="str">
        <x:v>Recurrente</x:v>
      </x:c>
      <x:c r="F1135" s="13" t="n">
        <x:v>1573.2</x:v>
      </x:c>
      <x:c r="G1135" s="13" t="n">
        <x:v>22.35</x:v>
      </x:c>
      <x:c r="H1135" s="13" t="n">
        <x:f>F1135-G1135</x:f>
        <x:v>1550.8500000000001</x:v>
      </x:c>
      <x:c r="I1135" s="13" t="n">
        <x:f>IF(C1135=0,"n.a.",F1135/C1135)</x:f>
        <x:v>786.6</x:v>
      </x:c>
      <x:c r="J1135" s="3"/>
      <x:c r="K1135" s="3"/>
      <x:c r="L1135" s="3"/>
    </x:row>
    <x:row r="1136" ht="22" customHeight="1">
      <x:c r="A1136" s="3"/>
      <x:c r="B1136" s="3" t="str">
        <x:v>15117</x:v>
      </x:c>
      <x:c r="C1136" s="3" t="n">
        <x:v>5</x:v>
      </x:c>
      <x:c r="D1136" s="51" t="n">
        <x:v>40872</x:v>
      </x:c>
      <x:c r="E1136" s="3" t="str">
        <x:v>Recurrente</x:v>
      </x:c>
      <x:c r="F1136" s="13" t="n">
        <x:v>1551.78</x:v>
      </x:c>
      <x:c r="G1136" s="13" t="n">
        <x:v>1.65</x:v>
      </x:c>
      <x:c r="H1136" s="13" t="n">
        <x:f>F1136-G1136</x:f>
        <x:v>1550.1299999999999</x:v>
      </x:c>
      <x:c r="I1136" s="13" t="n">
        <x:f>IF(C1136=0,"n.a.",F1136/C1136)</x:f>
        <x:v>310.356</x:v>
      </x:c>
      <x:c r="J1136" s="3"/>
      <x:c r="K1136" s="3"/>
      <x:c r="L1136" s="3"/>
    </x:row>
    <x:row r="1137" ht="22" customHeight="1">
      <x:c r="A1137" s="3"/>
      <x:c r="B1137" s="3" t="str">
        <x:v>15365</x:v>
      </x:c>
      <x:c r="C1137" s="3" t="n">
        <x:v>7</x:v>
      </x:c>
      <x:c r="D1137" s="51" t="n">
        <x:v>40861</x:v>
      </x:c>
      <x:c r="E1137" s="3" t="str">
        <x:v>Recurrente</x:v>
      </x:c>
      <x:c r="F1137" s="13" t="n">
        <x:v>2314.32</x:v>
      </x:c>
      <x:c r="G1137" s="13" t="n">
        <x:v>765.15</x:v>
      </x:c>
      <x:c r="H1137" s="13" t="n">
        <x:f>F1137-G1137</x:f>
        <x:v>1549.17</x:v>
      </x:c>
      <x:c r="I1137" s="13" t="n">
        <x:f>IF(C1137=0,"n.a.",F1137/C1137)</x:f>
        <x:v>330.6171428571429</x:v>
      </x:c>
      <x:c r="J1137" s="3"/>
      <x:c r="K1137" s="3"/>
      <x:c r="L1137" s="3"/>
    </x:row>
    <x:row r="1138" ht="22" customHeight="1">
      <x:c r="A1138" s="3"/>
      <x:c r="B1138" s="3" t="str">
        <x:v>12377</x:v>
      </x:c>
      <x:c r="C1138" s="3" t="n">
        <x:v>2</x:v>
      </x:c>
      <x:c r="D1138" s="51" t="n">
        <x:v>40571</x:v>
      </x:c>
      <x:c r="E1138" s="3" t="str">
        <x:v>Recurrente</x:v>
      </x:c>
      <x:c r="F1138" s="13" t="n">
        <x:v>1548.12</x:v>
      </x:c>
      <x:c r="G1138" s="13" t="n">
        <x:v>0</x:v>
      </x:c>
      <x:c r="H1138" s="13" t="n">
        <x:f>F1138-G1138</x:f>
        <x:v>1548.12</x:v>
      </x:c>
      <x:c r="I1138" s="13" t="n">
        <x:f>IF(C1138=0,"n.a.",F1138/C1138)</x:f>
        <x:v>774.06</x:v>
      </x:c>
      <x:c r="J1138" s="3"/>
      <x:c r="K1138" s="3"/>
      <x:c r="L1138" s="3"/>
    </x:row>
    <x:row r="1139" ht="22" customHeight="1">
      <x:c r="A1139" s="3"/>
      <x:c r="B1139" s="3" t="str">
        <x:v>12865</x:v>
      </x:c>
      <x:c r="C1139" s="3" t="n">
        <x:v>2</x:v>
      </x:c>
      <x:c r="D1139" s="51" t="n">
        <x:v>40860</x:v>
      </x:c>
      <x:c r="E1139" s="3" t="str">
        <x:v>Recurrente</x:v>
      </x:c>
      <x:c r="F1139" s="13" t="n">
        <x:v>1568.23</x:v>
      </x:c>
      <x:c r="G1139" s="13" t="n">
        <x:v>20.16</x:v>
      </x:c>
      <x:c r="H1139" s="13" t="n">
        <x:f>F1139-G1139</x:f>
        <x:v>1548.07</x:v>
      </x:c>
      <x:c r="I1139" s="13" t="n">
        <x:f>IF(C1139=0,"n.a.",F1139/C1139)</x:f>
        <x:v>784.115</x:v>
      </x:c>
      <x:c r="J1139" s="3"/>
      <x:c r="K1139" s="3"/>
      <x:c r="L1139" s="3"/>
    </x:row>
    <x:row r="1140" ht="22" customHeight="1">
      <x:c r="A1140" s="3"/>
      <x:c r="B1140" s="3" t="str">
        <x:v>15611</x:v>
      </x:c>
      <x:c r="C1140" s="3" t="n">
        <x:v>11</x:v>
      </x:c>
      <x:c r="D1140" s="51" t="n">
        <x:v>40877</x:v>
      </x:c>
      <x:c r="E1140" s="3" t="str">
        <x:v>Recurrente</x:v>
      </x:c>
      <x:c r="F1140" s="13" t="n">
        <x:v>1570.45</x:v>
      </x:c>
      <x:c r="G1140" s="13" t="n">
        <x:v>23.06</x:v>
      </x:c>
      <x:c r="H1140" s="13" t="n">
        <x:f>F1140-G1140</x:f>
        <x:v>1547.39</x:v>
      </x:c>
      <x:c r="I1140" s="13" t="n">
        <x:f>IF(C1140=0,"n.a.",F1140/C1140)</x:f>
        <x:v>142.76818181818183</x:v>
      </x:c>
      <x:c r="J1140" s="3"/>
      <x:c r="K1140" s="3"/>
      <x:c r="L1140" s="3"/>
    </x:row>
    <x:row r="1141" ht="22" customHeight="1">
      <x:c r="A1141" s="3"/>
      <x:c r="B1141" s="3" t="str">
        <x:v>14441</x:v>
      </x:c>
      <x:c r="C1141" s="3" t="n">
        <x:v>4</x:v>
      </x:c>
      <x:c r="D1141" s="51" t="n">
        <x:v>40886</x:v>
      </x:c>
      <x:c r="E1141" s="3" t="str">
        <x:v>Recurrente</x:v>
      </x:c>
      <x:c r="F1141" s="13" t="n">
        <x:v>1712.89</x:v>
      </x:c>
      <x:c r="G1141" s="13" t="n">
        <x:v>167.75</x:v>
      </x:c>
      <x:c r="H1141" s="13" t="n">
        <x:f>F1141-G1141</x:f>
        <x:v>1545.14</x:v>
      </x:c>
      <x:c r="I1141" s="13" t="n">
        <x:f>IF(C1141=0,"n.a.",F1141/C1141)</x:f>
        <x:v>428.2225</x:v>
      </x:c>
      <x:c r="J1141" s="3"/>
      <x:c r="K1141" s="3"/>
      <x:c r="L1141" s="3"/>
    </x:row>
    <x:row r="1142" ht="22" customHeight="1">
      <x:c r="A1142" s="3"/>
      <x:c r="B1142" s="3" t="str">
        <x:v>14442</x:v>
      </x:c>
      <x:c r="C1142" s="3" t="n">
        <x:v>2</x:v>
      </x:c>
      <x:c r="D1142" s="51" t="n">
        <x:v>40682</x:v>
      </x:c>
      <x:c r="E1142" s="3" t="str">
        <x:v>Recurrente</x:v>
      </x:c>
      <x:c r="F1142" s="13" t="n">
        <x:v>1589.82</x:v>
      </x:c>
      <x:c r="G1142" s="13" t="n">
        <x:v>45.2</x:v>
      </x:c>
      <x:c r="H1142" s="13" t="n">
        <x:f>F1142-G1142</x:f>
        <x:v>1544.62</x:v>
      </x:c>
      <x:c r="I1142" s="13" t="n">
        <x:f>IF(C1142=0,"n.a.",F1142/C1142)</x:f>
        <x:v>794.91</x:v>
      </x:c>
      <x:c r="J1142" s="3"/>
      <x:c r="K1142" s="3"/>
      <x:c r="L1142" s="3"/>
    </x:row>
    <x:row r="1143" ht="22" customHeight="1">
      <x:c r="A1143" s="3"/>
      <x:c r="B1143" s="3" t="str">
        <x:v>15701</x:v>
      </x:c>
      <x:c r="C1143" s="3" t="n">
        <x:v>4</x:v>
      </x:c>
      <x:c r="D1143" s="51" t="n">
        <x:v>40884</x:v>
      </x:c>
      <x:c r="E1143" s="3" t="str">
        <x:v>Recurrente</x:v>
      </x:c>
      <x:c r="F1143" s="13" t="n">
        <x:v>1542.14</x:v>
      </x:c>
      <x:c r="G1143" s="13" t="n">
        <x:v>0</x:v>
      </x:c>
      <x:c r="H1143" s="13" t="n">
        <x:f>F1143-G1143</x:f>
        <x:v>1542.14</x:v>
      </x:c>
      <x:c r="I1143" s="13" t="n">
        <x:f>IF(C1143=0,"n.a.",F1143/C1143)</x:f>
        <x:v>385.535</x:v>
      </x:c>
      <x:c r="J1143" s="3"/>
      <x:c r="K1143" s="3"/>
      <x:c r="L1143" s="3"/>
    </x:row>
    <x:row r="1144" ht="22" customHeight="1">
      <x:c r="A1144" s="3"/>
      <x:c r="B1144" s="3" t="str">
        <x:v>16365</x:v>
      </x:c>
      <x:c r="C1144" s="3" t="n">
        <x:v>9</x:v>
      </x:c>
      <x:c r="D1144" s="51" t="n">
        <x:v>40869</x:v>
      </x:c>
      <x:c r="E1144" s="3" t="str">
        <x:v>Recurrente</x:v>
      </x:c>
      <x:c r="F1144" s="13" t="n">
        <x:v>1540.42</x:v>
      </x:c>
      <x:c r="G1144" s="13" t="n">
        <x:v>0</x:v>
      </x:c>
      <x:c r="H1144" s="13" t="n">
        <x:f>F1144-G1144</x:f>
        <x:v>1540.42</x:v>
      </x:c>
      <x:c r="I1144" s="13" t="n">
        <x:f>IF(C1144=0,"n.a.",F1144/C1144)</x:f>
        <x:v>171.1577777777778</x:v>
      </x:c>
      <x:c r="J1144" s="3"/>
      <x:c r="K1144" s="3"/>
      <x:c r="L1144" s="3"/>
    </x:row>
    <x:row r="1145" ht="22" customHeight="1">
      <x:c r="A1145" s="3"/>
      <x:c r="B1145" s="3" t="str">
        <x:v>13186</x:v>
      </x:c>
      <x:c r="C1145" s="3" t="n">
        <x:v>3</x:v>
      </x:c>
      <x:c r="D1145" s="51" t="n">
        <x:v>40847</x:v>
      </x:c>
      <x:c r="E1145" s="3" t="str">
        <x:v>Recurrente</x:v>
      </x:c>
      <x:c r="F1145" s="13" t="n">
        <x:v>1575.89</x:v>
      </x:c>
      <x:c r="G1145" s="13" t="n">
        <x:v>36.2</x:v>
      </x:c>
      <x:c r="H1145" s="13" t="n">
        <x:f>F1145-G1145</x:f>
        <x:v>1539.69</x:v>
      </x:c>
      <x:c r="I1145" s="13" t="n">
        <x:f>IF(C1145=0,"n.a.",F1145/C1145)</x:f>
        <x:v>525.2966666666667</x:v>
      </x:c>
      <x:c r="J1145" s="3"/>
      <x:c r="K1145" s="3"/>
      <x:c r="L1145" s="3"/>
    </x:row>
    <x:row r="1146" ht="22" customHeight="1">
      <x:c r="A1146" s="3"/>
      <x:c r="B1146" s="3" t="str">
        <x:v>13397</x:v>
      </x:c>
      <x:c r="C1146" s="3" t="n">
        <x:v>5</x:v>
      </x:c>
      <x:c r="D1146" s="51" t="n">
        <x:v>40814</x:v>
      </x:c>
      <x:c r="E1146" s="3" t="str">
        <x:v>Recurrente</x:v>
      </x:c>
      <x:c r="F1146" s="13" t="n">
        <x:v>1544.13</x:v>
      </x:c>
      <x:c r="G1146" s="13" t="n">
        <x:v>4.95</x:v>
      </x:c>
      <x:c r="H1146" s="13" t="n">
        <x:f>F1146-G1146</x:f>
        <x:v>1539.18</x:v>
      </x:c>
      <x:c r="I1146" s="13" t="n">
        <x:f>IF(C1146=0,"n.a.",F1146/C1146)</x:f>
        <x:v>308.826</x:v>
      </x:c>
      <x:c r="J1146" s="3"/>
      <x:c r="K1146" s="3"/>
      <x:c r="L1146" s="3"/>
    </x:row>
    <x:row r="1147" ht="22" customHeight="1">
      <x:c r="A1147" s="3"/>
      <x:c r="B1147" s="3" t="str">
        <x:v>13849</x:v>
      </x:c>
      <x:c r="C1147" s="3" t="n">
        <x:v>2</x:v>
      </x:c>
      <x:c r="D1147" s="51" t="n">
        <x:v>40835</x:v>
      </x:c>
      <x:c r="E1147" s="3" t="str">
        <x:v>Recurrente</x:v>
      </x:c>
      <x:c r="F1147" s="13" t="n">
        <x:v>1537.95</x:v>
      </x:c>
      <x:c r="G1147" s="13" t="n">
        <x:v>0</x:v>
      </x:c>
      <x:c r="H1147" s="13" t="n">
        <x:f>F1147-G1147</x:f>
        <x:v>1537.95</x:v>
      </x:c>
      <x:c r="I1147" s="13" t="n">
        <x:f>IF(C1147=0,"n.a.",F1147/C1147)</x:f>
        <x:v>768.975</x:v>
      </x:c>
      <x:c r="J1147" s="3"/>
      <x:c r="K1147" s="3"/>
      <x:c r="L1147" s="3"/>
    </x:row>
    <x:row r="1148" ht="22" customHeight="1">
      <x:c r="A1148" s="3"/>
      <x:c r="B1148" s="3" t="str">
        <x:v>12877</x:v>
      </x:c>
      <x:c r="C1148" s="3" t="n">
        <x:v>12</x:v>
      </x:c>
      <x:c r="D1148" s="51" t="n">
        <x:v>40883</x:v>
      </x:c>
      <x:c r="E1148" s="3" t="str">
        <x:v>Recurrente</x:v>
      </x:c>
      <x:c r="F1148" s="13" t="n">
        <x:v>1535.77</x:v>
      </x:c>
      <x:c r="G1148" s="13" t="n">
        <x:v>0</x:v>
      </x:c>
      <x:c r="H1148" s="13" t="n">
        <x:f>F1148-G1148</x:f>
        <x:v>1535.77</x:v>
      </x:c>
      <x:c r="I1148" s="13" t="n">
        <x:f>IF(C1148=0,"n.a.",F1148/C1148)</x:f>
        <x:v>127.98083333333334</x:v>
      </x:c>
      <x:c r="J1148" s="3"/>
      <x:c r="K1148" s="3"/>
      <x:c r="L1148" s="3"/>
    </x:row>
    <x:row r="1149" ht="22" customHeight="1">
      <x:c r="A1149" s="3"/>
      <x:c r="B1149" s="3" t="str">
        <x:v>17159</x:v>
      </x:c>
      <x:c r="C1149" s="3" t="n">
        <x:v>3</x:v>
      </x:c>
      <x:c r="D1149" s="51" t="n">
        <x:v>40865</x:v>
      </x:c>
      <x:c r="E1149" s="3" t="str">
        <x:v>Recurrente</x:v>
      </x:c>
      <x:c r="F1149" s="13" t="n">
        <x:v>1538.88</x:v>
      </x:c>
      <x:c r="G1149" s="13" t="n">
        <x:v>4.15</x:v>
      </x:c>
      <x:c r="H1149" s="13" t="n">
        <x:f>F1149-G1149</x:f>
        <x:v>1534.73</x:v>
      </x:c>
      <x:c r="I1149" s="13" t="n">
        <x:f>IF(C1149=0,"n.a.",F1149/C1149)</x:f>
        <x:v>512.96</x:v>
      </x:c>
      <x:c r="J1149" s="3"/>
      <x:c r="K1149" s="3"/>
      <x:c r="L1149" s="3"/>
    </x:row>
    <x:row r="1150" ht="22" customHeight="1">
      <x:c r="A1150" s="3"/>
      <x:c r="B1150" s="3" t="str">
        <x:v>14321</x:v>
      </x:c>
      <x:c r="C1150" s="3" t="n">
        <x:v>5</x:v>
      </x:c>
      <x:c r="D1150" s="51" t="n">
        <x:v>40876</x:v>
      </x:c>
      <x:c r="E1150" s="3" t="str">
        <x:v>Recurrente</x:v>
      </x:c>
      <x:c r="F1150" s="13" t="n">
        <x:v>1530.75</x:v>
      </x:c>
      <x:c r="G1150" s="13" t="n">
        <x:v>0</x:v>
      </x:c>
      <x:c r="H1150" s="13" t="n">
        <x:f>F1150-G1150</x:f>
        <x:v>1530.75</x:v>
      </x:c>
      <x:c r="I1150" s="13" t="n">
        <x:f>IF(C1150=0,"n.a.",F1150/C1150)</x:f>
        <x:v>306.15</x:v>
      </x:c>
      <x:c r="J1150" s="3"/>
      <x:c r="K1150" s="3"/>
      <x:c r="L1150" s="3"/>
    </x:row>
    <x:row r="1151" ht="22" customHeight="1">
      <x:c r="A1151" s="3"/>
      <x:c r="B1151" s="3" t="str">
        <x:v>16283</x:v>
      </x:c>
      <x:c r="C1151" s="3" t="n">
        <x:v>5</x:v>
      </x:c>
      <x:c r="D1151" s="51" t="n">
        <x:v>40881</x:v>
      </x:c>
      <x:c r="E1151" s="3" t="str">
        <x:v>Recurrente</x:v>
      </x:c>
      <x:c r="F1151" s="13" t="n">
        <x:v>1569.11</x:v>
      </x:c>
      <x:c r="G1151" s="13" t="n">
        <x:v>39.3</x:v>
      </x:c>
      <x:c r="H1151" s="13" t="n">
        <x:f>F1151-G1151</x:f>
        <x:v>1529.81</x:v>
      </x:c>
      <x:c r="I1151" s="13" t="n">
        <x:f>IF(C1151=0,"n.a.",F1151/C1151)</x:f>
        <x:v>313.822</x:v>
      </x:c>
      <x:c r="J1151" s="3"/>
      <x:c r="K1151" s="3"/>
      <x:c r="L1151" s="3"/>
    </x:row>
    <x:row r="1152" ht="22" customHeight="1">
      <x:c r="A1152" s="3"/>
      <x:c r="B1152" s="3" t="str">
        <x:v>17997</x:v>
      </x:c>
      <x:c r="C1152" s="3" t="n">
        <x:v>8</x:v>
      </x:c>
      <x:c r="D1152" s="51" t="n">
        <x:v>40812</x:v>
      </x:c>
      <x:c r="E1152" s="3" t="str">
        <x:v>Recurrente</x:v>
      </x:c>
      <x:c r="F1152" s="13" t="n">
        <x:v>1970.67</x:v>
      </x:c>
      <x:c r="G1152" s="13" t="n">
        <x:v>441.99</x:v>
      </x:c>
      <x:c r="H1152" s="13" t="n">
        <x:f>F1152-G1152</x:f>
        <x:v>1528.68</x:v>
      </x:c>
      <x:c r="I1152" s="13" t="n">
        <x:f>IF(C1152=0,"n.a.",F1152/C1152)</x:f>
        <x:v>246.33375</x:v>
      </x:c>
      <x:c r="J1152" s="3"/>
      <x:c r="K1152" s="3"/>
      <x:c r="L1152" s="3"/>
    </x:row>
    <x:row r="1153" ht="22" customHeight="1">
      <x:c r="A1153" s="3"/>
      <x:c r="B1153" s="3" t="str">
        <x:v>12371</x:v>
      </x:c>
      <x:c r="C1153" s="3" t="n">
        <x:v>1</x:v>
      </x:c>
      <x:c r="D1153" s="51" t="n">
        <x:v>40827</x:v>
      </x:c>
      <x:c r="E1153" s="3" t="str">
        <x:v>Una compra</x:v>
      </x:c>
      <x:c r="F1153" s="13" t="n">
        <x:v>1527.96</x:v>
      </x:c>
      <x:c r="G1153" s="13" t="n">
        <x:v>0</x:v>
      </x:c>
      <x:c r="H1153" s="13" t="n">
        <x:f>F1153-G1153</x:f>
        <x:v>1527.96</x:v>
      </x:c>
      <x:c r="I1153" s="13" t="n">
        <x:f>IF(C1153=0,"n.a.",F1153/C1153)</x:f>
        <x:v>1527.96</x:v>
      </x:c>
      <x:c r="J1153" s="3"/>
      <x:c r="K1153" s="3"/>
      <x:c r="L1153" s="3"/>
    </x:row>
    <x:row r="1154" ht="22" customHeight="1">
      <x:c r="A1154" s="3"/>
      <x:c r="B1154" s="3" t="str">
        <x:v>14567</x:v>
      </x:c>
      <x:c r="C1154" s="3" t="n">
        <x:v>2</x:v>
      </x:c>
      <x:c r="D1154" s="51" t="n">
        <x:v>40830</x:v>
      </x:c>
      <x:c r="E1154" s="3" t="str">
        <x:v>Recurrente</x:v>
      </x:c>
      <x:c r="F1154" s="13" t="n">
        <x:v>1530.36</x:v>
      </x:c>
      <x:c r="G1154" s="13" t="n">
        <x:v>5.9</x:v>
      </x:c>
      <x:c r="H1154" s="13" t="n">
        <x:f>F1154-G1154</x:f>
        <x:v>1524.4599999999998</x:v>
      </x:c>
      <x:c r="I1154" s="13" t="n">
        <x:f>IF(C1154=0,"n.a.",F1154/C1154)</x:f>
        <x:v>765.18</x:v>
      </x:c>
      <x:c r="J1154" s="3"/>
      <x:c r="K1154" s="3"/>
      <x:c r="L1154" s="3"/>
    </x:row>
    <x:row r="1155" ht="22" customHeight="1">
      <x:c r="A1155" s="3"/>
      <x:c r="B1155" s="3" t="str">
        <x:v>15620</x:v>
      </x:c>
      <x:c r="C1155" s="3" t="n">
        <x:v>3</x:v>
      </x:c>
      <x:c r="D1155" s="51" t="n">
        <x:v>40830</x:v>
      </x:c>
      <x:c r="E1155" s="3" t="str">
        <x:v>Recurrente</x:v>
      </x:c>
      <x:c r="F1155" s="13" t="n">
        <x:v>1553.18</x:v>
      </x:c>
      <x:c r="G1155" s="13" t="n">
        <x:v>28.78</x:v>
      </x:c>
      <x:c r="H1155" s="13" t="n">
        <x:f>F1155-G1155</x:f>
        <x:v>1524.4</x:v>
      </x:c>
      <x:c r="I1155" s="13" t="n">
        <x:f>IF(C1155=0,"n.a.",F1155/C1155)</x:f>
        <x:v>517.7266666666667</x:v>
      </x:c>
      <x:c r="J1155" s="3"/>
      <x:c r="K1155" s="3"/>
      <x:c r="L1155" s="3"/>
    </x:row>
    <x:row r="1156" ht="22" customHeight="1">
      <x:c r="A1156" s="3"/>
      <x:c r="B1156" s="3" t="str">
        <x:v>13107</x:v>
      </x:c>
      <x:c r="C1156" s="3" t="n">
        <x:v>4</x:v>
      </x:c>
      <x:c r="D1156" s="51" t="n">
        <x:v>40842</x:v>
      </x:c>
      <x:c r="E1156" s="3" t="str">
        <x:v>Recurrente</x:v>
      </x:c>
      <x:c r="F1156" s="13" t="n">
        <x:v>1531.62</x:v>
      </x:c>
      <x:c r="G1156" s="13" t="n">
        <x:v>7.55</x:v>
      </x:c>
      <x:c r="H1156" s="13" t="n">
        <x:f>F1156-G1156</x:f>
        <x:v>1524.07</x:v>
      </x:c>
      <x:c r="I1156" s="13" t="n">
        <x:f>IF(C1156=0,"n.a.",F1156/C1156)</x:f>
        <x:v>382.905</x:v>
      </x:c>
      <x:c r="J1156" s="3"/>
      <x:c r="K1156" s="3"/>
      <x:c r="L1156" s="3"/>
    </x:row>
    <x:row r="1157" ht="22" customHeight="1">
      <x:c r="A1157" s="3"/>
      <x:c r="B1157" s="3" t="str">
        <x:v>16244</x:v>
      </x:c>
      <x:c r="C1157" s="3" t="n">
        <x:v>2</x:v>
      </x:c>
      <x:c r="D1157" s="51" t="n">
        <x:v>40675</x:v>
      </x:c>
      <x:c r="E1157" s="3" t="str">
        <x:v>Recurrente</x:v>
      </x:c>
      <x:c r="F1157" s="13" t="n">
        <x:v>1522.75</x:v>
      </x:c>
      <x:c r="G1157" s="13" t="n">
        <x:v>0</x:v>
      </x:c>
      <x:c r="H1157" s="13" t="n">
        <x:f>F1157-G1157</x:f>
        <x:v>1522.75</x:v>
      </x:c>
      <x:c r="I1157" s="13" t="n">
        <x:f>IF(C1157=0,"n.a.",F1157/C1157)</x:f>
        <x:v>761.375</x:v>
      </x:c>
      <x:c r="J1157" s="3"/>
      <x:c r="K1157" s="3"/>
      <x:c r="L1157" s="3"/>
    </x:row>
    <x:row r="1158" ht="22" customHeight="1">
      <x:c r="A1158" s="3"/>
      <x:c r="B1158" s="3" t="str">
        <x:v>16434</x:v>
      </x:c>
      <x:c r="C1158" s="3" t="n">
        <x:v>7</x:v>
      </x:c>
      <x:c r="D1158" s="51" t="n">
        <x:v>40857</x:v>
      </x:c>
      <x:c r="E1158" s="3" t="str">
        <x:v>Recurrente</x:v>
      </x:c>
      <x:c r="F1158" s="13" t="n">
        <x:v>1522.25</x:v>
      </x:c>
      <x:c r="G1158" s="13" t="n">
        <x:v>0</x:v>
      </x:c>
      <x:c r="H1158" s="13" t="n">
        <x:f>F1158-G1158</x:f>
        <x:v>1522.25</x:v>
      </x:c>
      <x:c r="I1158" s="13" t="n">
        <x:f>IF(C1158=0,"n.a.",F1158/C1158)</x:f>
        <x:v>217.46428571428572</x:v>
      </x:c>
      <x:c r="J1158" s="3"/>
      <x:c r="K1158" s="3"/>
      <x:c r="L1158" s="3"/>
    </x:row>
    <x:row r="1159" ht="22" customHeight="1">
      <x:c r="A1159" s="3"/>
      <x:c r="B1159" s="3" t="str">
        <x:v>16066</x:v>
      </x:c>
      <x:c r="C1159" s="3" t="n">
        <x:v>5</x:v>
      </x:c>
      <x:c r="D1159" s="51" t="n">
        <x:v>40870</x:v>
      </x:c>
      <x:c r="E1159" s="3" t="str">
        <x:v>Recurrente</x:v>
      </x:c>
      <x:c r="F1159" s="13" t="n">
        <x:v>1521.87</x:v>
      </x:c>
      <x:c r="G1159" s="13" t="n">
        <x:v>0</x:v>
      </x:c>
      <x:c r="H1159" s="13" t="n">
        <x:f>F1159-G1159</x:f>
        <x:v>1521.87</x:v>
      </x:c>
      <x:c r="I1159" s="13" t="n">
        <x:f>IF(C1159=0,"n.a.",F1159/C1159)</x:f>
        <x:v>304.37399999999997</x:v>
      </x:c>
      <x:c r="J1159" s="3"/>
      <x:c r="K1159" s="3"/>
      <x:c r="L1159" s="3"/>
    </x:row>
    <x:row r="1160" ht="22" customHeight="1">
      <x:c r="A1160" s="3"/>
      <x:c r="B1160" s="3" t="str">
        <x:v>15906</x:v>
      </x:c>
      <x:c r="C1160" s="3" t="n">
        <x:v>7</x:v>
      </x:c>
      <x:c r="D1160" s="51" t="n">
        <x:v>40867</x:v>
      </x:c>
      <x:c r="E1160" s="3" t="str">
        <x:v>Recurrente</x:v>
      </x:c>
      <x:c r="F1160" s="13" t="n">
        <x:v>1567.69</x:v>
      </x:c>
      <x:c r="G1160" s="13" t="n">
        <x:v>45.9</x:v>
      </x:c>
      <x:c r="H1160" s="13" t="n">
        <x:f>F1160-G1160</x:f>
        <x:v>1521.79</x:v>
      </x:c>
      <x:c r="I1160" s="13" t="n">
        <x:f>IF(C1160=0,"n.a.",F1160/C1160)</x:f>
        <x:v>223.9557142857143</x:v>
      </x:c>
      <x:c r="J1160" s="3"/>
      <x:c r="K1160" s="3"/>
      <x:c r="L1160" s="3"/>
    </x:row>
    <x:row r="1161" ht="22" customHeight="1">
      <x:c r="A1161" s="3"/>
      <x:c r="B1161" s="3" t="str">
        <x:v>16790</x:v>
      </x:c>
      <x:c r="C1161" s="3" t="n">
        <x:v>6</x:v>
      </x:c>
      <x:c r="D1161" s="51" t="n">
        <x:v>40883</x:v>
      </x:c>
      <x:c r="E1161" s="3" t="str">
        <x:v>Recurrente</x:v>
      </x:c>
      <x:c r="F1161" s="13" t="n">
        <x:v>1545.62</x:v>
      </x:c>
      <x:c r="G1161" s="13" t="n">
        <x:v>25.5</x:v>
      </x:c>
      <x:c r="H1161" s="13" t="n">
        <x:f>F1161-G1161</x:f>
        <x:v>1520.12</x:v>
      </x:c>
      <x:c r="I1161" s="13" t="n">
        <x:f>IF(C1161=0,"n.a.",F1161/C1161)</x:f>
        <x:v>257.6033333333333</x:v>
      </x:c>
      <x:c r="J1161" s="3"/>
      <x:c r="K1161" s="3"/>
      <x:c r="L1161" s="3"/>
    </x:row>
    <x:row r="1162" ht="22" customHeight="1">
      <x:c r="A1162" s="3"/>
      <x:c r="B1162" s="3" t="str">
        <x:v>16880</x:v>
      </x:c>
      <x:c r="C1162" s="3" t="n">
        <x:v>7</x:v>
      </x:c>
      <x:c r="D1162" s="51" t="n">
        <x:v>40856</x:v>
      </x:c>
      <x:c r="E1162" s="3" t="str">
        <x:v>Recurrente</x:v>
      </x:c>
      <x:c r="F1162" s="13" t="n">
        <x:v>1519.08</x:v>
      </x:c>
      <x:c r="G1162" s="13" t="n">
        <x:v>0</x:v>
      </x:c>
      <x:c r="H1162" s="13" t="n">
        <x:f>F1162-G1162</x:f>
        <x:v>1519.08</x:v>
      </x:c>
      <x:c r="I1162" s="13" t="n">
        <x:f>IF(C1162=0,"n.a.",F1162/C1162)</x:f>
        <x:v>217.01142857142855</x:v>
      </x:c>
      <x:c r="J1162" s="3"/>
      <x:c r="K1162" s="3"/>
      <x:c r="L1162" s="3"/>
    </x:row>
    <x:row r="1163" ht="22" customHeight="1">
      <x:c r="A1163" s="3"/>
      <x:c r="B1163" s="3" t="str">
        <x:v>13764</x:v>
      </x:c>
      <x:c r="C1163" s="3" t="n">
        <x:v>3</x:v>
      </x:c>
      <x:c r="D1163" s="51" t="n">
        <x:v>40816</x:v>
      </x:c>
      <x:c r="E1163" s="3" t="str">
        <x:v>Recurrente</x:v>
      </x:c>
      <x:c r="F1163" s="13" t="n">
        <x:v>1518.76</x:v>
      </x:c>
      <x:c r="G1163" s="13" t="n">
        <x:v>0</x:v>
      </x:c>
      <x:c r="H1163" s="13" t="n">
        <x:f>F1163-G1163</x:f>
        <x:v>1518.76</x:v>
      </x:c>
      <x:c r="I1163" s="13" t="n">
        <x:f>IF(C1163=0,"n.a.",F1163/C1163)</x:f>
        <x:v>506.25333333333333</x:v>
      </x:c>
      <x:c r="J1163" s="3"/>
      <x:c r="K1163" s="3"/>
      <x:c r="L1163" s="3"/>
    </x:row>
    <x:row r="1164" ht="22" customHeight="1">
      <x:c r="A1164" s="3"/>
      <x:c r="B1164" s="3" t="str">
        <x:v>13213</x:v>
      </x:c>
      <x:c r="C1164" s="3" t="n">
        <x:v>5</x:v>
      </x:c>
      <x:c r="D1164" s="51" t="n">
        <x:v>40830</x:v>
      </x:c>
      <x:c r="E1164" s="3" t="str">
        <x:v>Recurrente</x:v>
      </x:c>
      <x:c r="F1164" s="13" t="n">
        <x:v>1520.58</x:v>
      </x:c>
      <x:c r="G1164" s="13" t="n">
        <x:v>2.15</x:v>
      </x:c>
      <x:c r="H1164" s="13" t="n">
        <x:f>F1164-G1164</x:f>
        <x:v>1518.4299999999998</x:v>
      </x:c>
      <x:c r="I1164" s="13" t="n">
        <x:f>IF(C1164=0,"n.a.",F1164/C1164)</x:f>
        <x:v>304.116</x:v>
      </x:c>
      <x:c r="J1164" s="3"/>
      <x:c r="K1164" s="3"/>
      <x:c r="L1164" s="3"/>
    </x:row>
    <x:row r="1165" ht="22" customHeight="1">
      <x:c r="A1165" s="3"/>
      <x:c r="B1165" s="3" t="str">
        <x:v>16748</x:v>
      </x:c>
      <x:c r="C1165" s="3" t="n">
        <x:v>5</x:v>
      </x:c>
      <x:c r="D1165" s="51" t="n">
        <x:v>40869</x:v>
      </x:c>
      <x:c r="E1165" s="3" t="str">
        <x:v>Recurrente</x:v>
      </x:c>
      <x:c r="F1165" s="13" t="n">
        <x:v>1515.9</x:v>
      </x:c>
      <x:c r="G1165" s="13" t="n">
        <x:v>0</x:v>
      </x:c>
      <x:c r="H1165" s="13" t="n">
        <x:f>F1165-G1165</x:f>
        <x:v>1515.9</x:v>
      </x:c>
      <x:c r="I1165" s="13" t="n">
        <x:f>IF(C1165=0,"n.a.",F1165/C1165)</x:f>
        <x:v>303.18</x:v>
      </x:c>
      <x:c r="J1165" s="3"/>
      <x:c r="K1165" s="3"/>
      <x:c r="L1165" s="3"/>
    </x:row>
    <x:row r="1166" ht="22" customHeight="1">
      <x:c r="A1166" s="3"/>
      <x:c r="B1166" s="3" t="str">
        <x:v>15392</x:v>
      </x:c>
      <x:c r="C1166" s="3" t="n">
        <x:v>4</x:v>
      </x:c>
      <x:c r="D1166" s="51" t="n">
        <x:v>40882</x:v>
      </x:c>
      <x:c r="E1166" s="3" t="str">
        <x:v>Recurrente</x:v>
      </x:c>
      <x:c r="F1166" s="13" t="n">
        <x:v>1535.53</x:v>
      </x:c>
      <x:c r="G1166" s="13" t="n">
        <x:v>19.8</x:v>
      </x:c>
      <x:c r="H1166" s="13" t="n">
        <x:f>F1166-G1166</x:f>
        <x:v>1515.73</x:v>
      </x:c>
      <x:c r="I1166" s="13" t="n">
        <x:f>IF(C1166=0,"n.a.",F1166/C1166)</x:f>
        <x:v>383.8825</x:v>
      </x:c>
      <x:c r="J1166" s="3"/>
      <x:c r="K1166" s="3"/>
      <x:c r="L1166" s="3"/>
    </x:row>
    <x:row r="1167" ht="22" customHeight="1">
      <x:c r="A1167" s="3"/>
      <x:c r="B1167" s="3" t="str">
        <x:v>14704</x:v>
      </x:c>
      <x:c r="C1167" s="3" t="n">
        <x:v>7</x:v>
      </x:c>
      <x:c r="D1167" s="51" t="n">
        <x:v>40867</x:v>
      </x:c>
      <x:c r="E1167" s="3" t="str">
        <x:v>Recurrente</x:v>
      </x:c>
      <x:c r="F1167" s="13" t="n">
        <x:v>1514.57</x:v>
      </x:c>
      <x:c r="G1167" s="13" t="n">
        <x:v>0</x:v>
      </x:c>
      <x:c r="H1167" s="13" t="n">
        <x:f>F1167-G1167</x:f>
        <x:v>1514.57</x:v>
      </x:c>
      <x:c r="I1167" s="13" t="n">
        <x:f>IF(C1167=0,"n.a.",F1167/C1167)</x:f>
        <x:v>216.36714285714285</x:v>
      </x:c>
      <x:c r="J1167" s="3"/>
      <x:c r="K1167" s="3"/>
      <x:c r="L1167" s="3"/>
    </x:row>
    <x:row r="1168" ht="22" customHeight="1">
      <x:c r="A1168" s="3"/>
      <x:c r="B1168" s="3" t="str">
        <x:v>16053</x:v>
      </x:c>
      <x:c r="C1168" s="3" t="n">
        <x:v>2</x:v>
      </x:c>
      <x:c r="D1168" s="51" t="n">
        <x:v>40854</x:v>
      </x:c>
      <x:c r="E1168" s="3" t="str">
        <x:v>Recurrente</x:v>
      </x:c>
      <x:c r="F1168" s="13" t="n">
        <x:v>1511.95</x:v>
      </x:c>
      <x:c r="G1168" s="13" t="n">
        <x:v>0</x:v>
      </x:c>
      <x:c r="H1168" s="13" t="n">
        <x:f>F1168-G1168</x:f>
        <x:v>1511.95</x:v>
      </x:c>
      <x:c r="I1168" s="13" t="n">
        <x:f>IF(C1168=0,"n.a.",F1168/C1168)</x:f>
        <x:v>755.975</x:v>
      </x:c>
      <x:c r="J1168" s="3"/>
      <x:c r="K1168" s="3"/>
      <x:c r="L1168" s="3"/>
    </x:row>
    <x:row r="1169" ht="22" customHeight="1">
      <x:c r="A1169" s="3"/>
      <x:c r="B1169" s="3" t="str">
        <x:v>16910</x:v>
      </x:c>
      <x:c r="C1169" s="3" t="n">
        <x:v>8</x:v>
      </x:c>
      <x:c r="D1169" s="51" t="n">
        <x:v>40882</x:v>
      </x:c>
      <x:c r="E1169" s="3" t="str">
        <x:v>Recurrente</x:v>
      </x:c>
      <x:c r="F1169" s="13" t="n">
        <x:v>1510.06</x:v>
      </x:c>
      <x:c r="G1169" s="13" t="n">
        <x:v>0</x:v>
      </x:c>
      <x:c r="H1169" s="13" t="n">
        <x:f>F1169-G1169</x:f>
        <x:v>1510.06</x:v>
      </x:c>
      <x:c r="I1169" s="13" t="n">
        <x:f>IF(C1169=0,"n.a.",F1169/C1169)</x:f>
        <x:v>188.7575</x:v>
      </x:c>
      <x:c r="J1169" s="3"/>
      <x:c r="K1169" s="3"/>
      <x:c r="L1169" s="3"/>
    </x:row>
    <x:row r="1170" ht="22" customHeight="1">
      <x:c r="A1170" s="3"/>
      <x:c r="B1170" s="3" t="str">
        <x:v>12635</x:v>
      </x:c>
      <x:c r="C1170" s="3" t="n">
        <x:v>2</x:v>
      </x:c>
      <x:c r="D1170" s="51" t="n">
        <x:v>40797</x:v>
      </x:c>
      <x:c r="E1170" s="3" t="str">
        <x:v>Recurrente</x:v>
      </x:c>
      <x:c r="F1170" s="13" t="n">
        <x:v>1509.18</x:v>
      </x:c>
      <x:c r="G1170" s="13" t="n">
        <x:v>0</x:v>
      </x:c>
      <x:c r="H1170" s="13" t="n">
        <x:f>F1170-G1170</x:f>
        <x:v>1509.18</x:v>
      </x:c>
      <x:c r="I1170" s="13" t="n">
        <x:f>IF(C1170=0,"n.a.",F1170/C1170)</x:f>
        <x:v>754.59</x:v>
      </x:c>
      <x:c r="J1170" s="3"/>
      <x:c r="K1170" s="3"/>
      <x:c r="L1170" s="3"/>
    </x:row>
    <x:row r="1171" ht="22" customHeight="1">
      <x:c r="A1171" s="3"/>
      <x:c r="B1171" s="3" t="str">
        <x:v>15532</x:v>
      </x:c>
      <x:c r="C1171" s="3" t="n">
        <x:v>4</x:v>
      </x:c>
      <x:c r="D1171" s="51" t="n">
        <x:v>40861</x:v>
      </x:c>
      <x:c r="E1171" s="3" t="str">
        <x:v>Recurrente</x:v>
      </x:c>
      <x:c r="F1171" s="13" t="n">
        <x:v>1571.03</x:v>
      </x:c>
      <x:c r="G1171" s="13" t="n">
        <x:v>63.85</x:v>
      </x:c>
      <x:c r="H1171" s="13" t="n">
        <x:f>F1171-G1171</x:f>
        <x:v>1507.18</x:v>
      </x:c>
      <x:c r="I1171" s="13" t="n">
        <x:f>IF(C1171=0,"n.a.",F1171/C1171)</x:f>
        <x:v>392.7575</x:v>
      </x:c>
      <x:c r="J1171" s="3"/>
      <x:c r="K1171" s="3"/>
      <x:c r="L1171" s="3"/>
    </x:row>
    <x:row r="1172" ht="22" customHeight="1">
      <x:c r="A1172" s="3"/>
      <x:c r="B1172" s="3" t="str">
        <x:v>12407</x:v>
      </x:c>
      <x:c r="C1172" s="3" t="n">
        <x:v>5</x:v>
      </x:c>
      <x:c r="D1172" s="51" t="n">
        <x:v>40837</x:v>
      </x:c>
      <x:c r="E1172" s="3" t="str">
        <x:v>Recurrente</x:v>
      </x:c>
      <x:c r="F1172" s="13" t="n">
        <x:v>1507.12</x:v>
      </x:c>
      <x:c r="G1172" s="13" t="n">
        <x:v>0</x:v>
      </x:c>
      <x:c r="H1172" s="13" t="n">
        <x:f>F1172-G1172</x:f>
        <x:v>1507.12</x:v>
      </x:c>
      <x:c r="I1172" s="13" t="n">
        <x:f>IF(C1172=0,"n.a.",F1172/C1172)</x:f>
        <x:v>301.424</x:v>
      </x:c>
      <x:c r="J1172" s="3"/>
      <x:c r="K1172" s="3"/>
      <x:c r="L1172" s="3"/>
    </x:row>
    <x:row r="1173" ht="22" customHeight="1">
      <x:c r="A1173" s="3"/>
      <x:c r="B1173" s="3" t="str">
        <x:v>15265</x:v>
      </x:c>
      <x:c r="C1173" s="3" t="n">
        <x:v>2</x:v>
      </x:c>
      <x:c r="D1173" s="51" t="n">
        <x:v>40735</x:v>
      </x:c>
      <x:c r="E1173" s="3" t="str">
        <x:v>Recurrente</x:v>
      </x:c>
      <x:c r="F1173" s="13" t="n">
        <x:v>1506.12</x:v>
      </x:c>
      <x:c r="G1173" s="13" t="n">
        <x:v>0</x:v>
      </x:c>
      <x:c r="H1173" s="13" t="n">
        <x:f>F1173-G1173</x:f>
        <x:v>1506.12</x:v>
      </x:c>
      <x:c r="I1173" s="13" t="n">
        <x:f>IF(C1173=0,"n.a.",F1173/C1173)</x:f>
        <x:v>753.06</x:v>
      </x:c>
      <x:c r="J1173" s="3"/>
      <x:c r="K1173" s="3"/>
      <x:c r="L1173" s="3"/>
    </x:row>
    <x:row r="1174" ht="22" customHeight="1">
      <x:c r="A1174" s="3"/>
      <x:c r="B1174" s="3" t="str">
        <x:v>15625</x:v>
      </x:c>
      <x:c r="C1174" s="3" t="n">
        <x:v>4</x:v>
      </x:c>
      <x:c r="D1174" s="51" t="n">
        <x:v>40783</x:v>
      </x:c>
      <x:c r="E1174" s="3" t="str">
        <x:v>Recurrente</x:v>
      </x:c>
      <x:c r="F1174" s="13" t="n">
        <x:v>1534.26</x:v>
      </x:c>
      <x:c r="G1174" s="13" t="n">
        <x:v>29.7</x:v>
      </x:c>
      <x:c r="H1174" s="13" t="n">
        <x:f>F1174-G1174</x:f>
        <x:v>1504.56</x:v>
      </x:c>
      <x:c r="I1174" s="13" t="n">
        <x:f>IF(C1174=0,"n.a.",F1174/C1174)</x:f>
        <x:v>383.565</x:v>
      </x:c>
      <x:c r="J1174" s="3"/>
      <x:c r="K1174" s="3"/>
      <x:c r="L1174" s="3"/>
    </x:row>
    <x:row r="1175" ht="22" customHeight="1">
      <x:c r="A1175" s="3"/>
      <x:c r="B1175" s="3" t="str">
        <x:v>12937</x:v>
      </x:c>
      <x:c r="C1175" s="3" t="n">
        <x:v>4</x:v>
      </x:c>
      <x:c r="D1175" s="51" t="n">
        <x:v>40871</x:v>
      </x:c>
      <x:c r="E1175" s="3" t="str">
        <x:v>Recurrente</x:v>
      </x:c>
      <x:c r="F1175" s="13" t="n">
        <x:v>1504.27</x:v>
      </x:c>
      <x:c r="G1175" s="13" t="n">
        <x:v>0</x:v>
      </x:c>
      <x:c r="H1175" s="13" t="n">
        <x:f>F1175-G1175</x:f>
        <x:v>1504.27</x:v>
      </x:c>
      <x:c r="I1175" s="13" t="n">
        <x:f>IF(C1175=0,"n.a.",F1175/C1175)</x:f>
        <x:v>376.0675</x:v>
      </x:c>
      <x:c r="J1175" s="3"/>
      <x:c r="K1175" s="3"/>
      <x:c r="L1175" s="3"/>
    </x:row>
    <x:row r="1176" ht="22" customHeight="1">
      <x:c r="A1176" s="3"/>
      <x:c r="B1176" s="3" t="str">
        <x:v>17152</x:v>
      </x:c>
      <x:c r="C1176" s="3" t="n">
        <x:v>3</x:v>
      </x:c>
      <x:c r="D1176" s="51" t="n">
        <x:v>40692</x:v>
      </x:c>
      <x:c r="E1176" s="3" t="str">
        <x:v>Recurrente</x:v>
      </x:c>
      <x:c r="F1176" s="13" t="n">
        <x:v>1689.5</x:v>
      </x:c>
      <x:c r="G1176" s="13" t="n">
        <x:v>186</x:v>
      </x:c>
      <x:c r="H1176" s="13" t="n">
        <x:f>F1176-G1176</x:f>
        <x:v>1503.5</x:v>
      </x:c>
      <x:c r="I1176" s="13" t="n">
        <x:f>IF(C1176=0,"n.a.",F1176/C1176)</x:f>
        <x:v>563.1666666666666</x:v>
      </x:c>
      <x:c r="J1176" s="3"/>
      <x:c r="K1176" s="3"/>
      <x:c r="L1176" s="3"/>
    </x:row>
    <x:row r="1177" ht="22" customHeight="1">
      <x:c r="A1177" s="3"/>
      <x:c r="B1177" s="3" t="str">
        <x:v>15530</x:v>
      </x:c>
      <x:c r="C1177" s="3" t="n">
        <x:v>4</x:v>
      </x:c>
      <x:c r="D1177" s="51" t="n">
        <x:v>40865</x:v>
      </x:c>
      <x:c r="E1177" s="3" t="str">
        <x:v>Recurrente</x:v>
      </x:c>
      <x:c r="F1177" s="13" t="n">
        <x:v>1502.35</x:v>
      </x:c>
      <x:c r="G1177" s="13" t="n">
        <x:v>0</x:v>
      </x:c>
      <x:c r="H1177" s="13" t="n">
        <x:f>F1177-G1177</x:f>
        <x:v>1502.35</x:v>
      </x:c>
      <x:c r="I1177" s="13" t="n">
        <x:f>IF(C1177=0,"n.a.",F1177/C1177)</x:f>
        <x:v>375.5875</x:v>
      </x:c>
      <x:c r="J1177" s="3"/>
      <x:c r="K1177" s="3"/>
      <x:c r="L1177" s="3"/>
    </x:row>
    <x:row r="1178" ht="22" customHeight="1">
      <x:c r="A1178" s="3"/>
      <x:c r="B1178" s="3" t="str">
        <x:v>16762</x:v>
      </x:c>
      <x:c r="C1178" s="3" t="n">
        <x:v>3</x:v>
      </x:c>
      <x:c r="D1178" s="51" t="n">
        <x:v>40867</x:v>
      </x:c>
      <x:c r="E1178" s="3" t="str">
        <x:v>Recurrente</x:v>
      </x:c>
      <x:c r="F1178" s="13" t="n">
        <x:v>1501.38</x:v>
      </x:c>
      <x:c r="G1178" s="13" t="n">
        <x:v>0</x:v>
      </x:c>
      <x:c r="H1178" s="13" t="n">
        <x:f>F1178-G1178</x:f>
        <x:v>1501.38</x:v>
      </x:c>
      <x:c r="I1178" s="13" t="n">
        <x:f>IF(C1178=0,"n.a.",F1178/C1178)</x:f>
        <x:v>500.46000000000004</x:v>
      </x:c>
      <x:c r="J1178" s="3"/>
      <x:c r="K1178" s="3"/>
      <x:c r="L1178" s="3"/>
    </x:row>
    <x:row r="1179" ht="22" customHeight="1">
      <x:c r="A1179" s="3"/>
      <x:c r="B1179" s="3" t="str">
        <x:v>17571</x:v>
      </x:c>
      <x:c r="C1179" s="3" t="n">
        <x:v>4</x:v>
      </x:c>
      <x:c r="D1179" s="51" t="n">
        <x:v>40836</x:v>
      </x:c>
      <x:c r="E1179" s="3" t="str">
        <x:v>Recurrente</x:v>
      </x:c>
      <x:c r="F1179" s="13" t="n">
        <x:v>1497.26</x:v>
      </x:c>
      <x:c r="G1179" s="13" t="n">
        <x:v>0</x:v>
      </x:c>
      <x:c r="H1179" s="13" t="n">
        <x:f>F1179-G1179</x:f>
        <x:v>1497.26</x:v>
      </x:c>
      <x:c r="I1179" s="13" t="n">
        <x:f>IF(C1179=0,"n.a.",F1179/C1179)</x:f>
        <x:v>374.315</x:v>
      </x:c>
      <x:c r="J1179" s="3"/>
      <x:c r="K1179" s="3"/>
      <x:c r="L1179" s="3"/>
    </x:row>
    <x:row r="1180" ht="22" customHeight="1">
      <x:c r="A1180" s="3"/>
      <x:c r="B1180" s="3" t="str">
        <x:v>16279</x:v>
      </x:c>
      <x:c r="C1180" s="3" t="n">
        <x:v>3</x:v>
      </x:c>
      <x:c r="D1180" s="51" t="n">
        <x:v>40865</x:v>
      </x:c>
      <x:c r="E1180" s="3" t="str">
        <x:v>Recurrente</x:v>
      </x:c>
      <x:c r="F1180" s="13" t="n">
        <x:v>1509.58</x:v>
      </x:c>
      <x:c r="G1180" s="13" t="n">
        <x:v>12.9</x:v>
      </x:c>
      <x:c r="H1180" s="13" t="n">
        <x:f>F1180-G1180</x:f>
        <x:v>1496.6799999999998</x:v>
      </x:c>
      <x:c r="I1180" s="13" t="n">
        <x:f>IF(C1180=0,"n.a.",F1180/C1180)</x:f>
        <x:v>503.1933333333333</x:v>
      </x:c>
      <x:c r="J1180" s="3"/>
      <x:c r="K1180" s="3"/>
      <x:c r="L1180" s="3"/>
    </x:row>
    <x:row r="1181" ht="22" customHeight="1">
      <x:c r="A1181" s="3"/>
      <x:c r="B1181" s="3" t="str">
        <x:v>13320</x:v>
      </x:c>
      <x:c r="C1181" s="3" t="n">
        <x:v>4</x:v>
      </x:c>
      <x:c r="D1181" s="51" t="n">
        <x:v>40808</x:v>
      </x:c>
      <x:c r="E1181" s="3" t="str">
        <x:v>Recurrente</x:v>
      </x:c>
      <x:c r="F1181" s="13" t="n">
        <x:v>1548.7</x:v>
      </x:c>
      <x:c r="G1181" s="13" t="n">
        <x:v>57</x:v>
      </x:c>
      <x:c r="H1181" s="13" t="n">
        <x:f>F1181-G1181</x:f>
        <x:v>1491.7</x:v>
      </x:c>
      <x:c r="I1181" s="13" t="n">
        <x:f>IF(C1181=0,"n.a.",F1181/C1181)</x:f>
        <x:v>387.175</x:v>
      </x:c>
      <x:c r="J1181" s="3"/>
      <x:c r="K1181" s="3"/>
      <x:c r="L1181" s="3"/>
    </x:row>
    <x:row r="1182" ht="22" customHeight="1">
      <x:c r="A1182" s="3"/>
      <x:c r="B1182" s="3" t="str">
        <x:v>15916</x:v>
      </x:c>
      <x:c r="C1182" s="3" t="n">
        <x:v>8</x:v>
      </x:c>
      <x:c r="D1182" s="51" t="n">
        <x:v>40870</x:v>
      </x:c>
      <x:c r="E1182" s="3" t="str">
        <x:v>Recurrente</x:v>
      </x:c>
      <x:c r="F1182" s="13" t="n">
        <x:v>1528.09</x:v>
      </x:c>
      <x:c r="G1182" s="13" t="n">
        <x:v>36.85</x:v>
      </x:c>
      <x:c r="H1182" s="13" t="n">
        <x:f>F1182-G1182</x:f>
        <x:v>1491.24</x:v>
      </x:c>
      <x:c r="I1182" s="13" t="n">
        <x:f>IF(C1182=0,"n.a.",F1182/C1182)</x:f>
        <x:v>191.01125</x:v>
      </x:c>
      <x:c r="J1182" s="3"/>
      <x:c r="K1182" s="3"/>
      <x:c r="L1182" s="3"/>
    </x:row>
    <x:row r="1183" ht="22" customHeight="1">
      <x:c r="A1183" s="3"/>
      <x:c r="B1183" s="3" t="str">
        <x:v>15057</x:v>
      </x:c>
      <x:c r="C1183" s="3" t="n">
        <x:v>2</x:v>
      </x:c>
      <x:c r="D1183" s="51" t="n">
        <x:v>40611</x:v>
      </x:c>
      <x:c r="E1183" s="3" t="str">
        <x:v>Recurrente</x:v>
      </x:c>
      <x:c r="F1183" s="13" t="n">
        <x:v>1489.5</x:v>
      </x:c>
      <x:c r="G1183" s="13" t="n">
        <x:v>0</x:v>
      </x:c>
      <x:c r="H1183" s="13" t="n">
        <x:f>F1183-G1183</x:f>
        <x:v>1489.5</x:v>
      </x:c>
      <x:c r="I1183" s="13" t="n">
        <x:f>IF(C1183=0,"n.a.",F1183/C1183)</x:f>
        <x:v>744.75</x:v>
      </x:c>
      <x:c r="J1183" s="3"/>
      <x:c r="K1183" s="3"/>
      <x:c r="L1183" s="3"/>
    </x:row>
    <x:row r="1184" ht="22" customHeight="1">
      <x:c r="A1184" s="3"/>
      <x:c r="B1184" s="3" t="str">
        <x:v>14963</x:v>
      </x:c>
      <x:c r="C1184" s="3" t="n">
        <x:v>5</x:v>
      </x:c>
      <x:c r="D1184" s="51" t="n">
        <x:v>40877</x:v>
      </x:c>
      <x:c r="E1184" s="3" t="str">
        <x:v>Recurrente</x:v>
      </x:c>
      <x:c r="F1184" s="13" t="n">
        <x:v>1487.8</x:v>
      </x:c>
      <x:c r="G1184" s="13" t="n">
        <x:v>0</x:v>
      </x:c>
      <x:c r="H1184" s="13" t="n">
        <x:f>F1184-G1184</x:f>
        <x:v>1487.8</x:v>
      </x:c>
      <x:c r="I1184" s="13" t="n">
        <x:f>IF(C1184=0,"n.a.",F1184/C1184)</x:f>
        <x:v>297.56</x:v>
      </x:c>
      <x:c r="J1184" s="3"/>
      <x:c r="K1184" s="3"/>
      <x:c r="L1184" s="3"/>
    </x:row>
    <x:row r="1185" ht="22" customHeight="1">
      <x:c r="A1185" s="3"/>
      <x:c r="B1185" s="3" t="str">
        <x:v>17002</x:v>
      </x:c>
      <x:c r="C1185" s="3" t="n">
        <x:v>3</x:v>
      </x:c>
      <x:c r="D1185" s="51" t="n">
        <x:v>40801</x:v>
      </x:c>
      <x:c r="E1185" s="3" t="str">
        <x:v>Recurrente</x:v>
      </x:c>
      <x:c r="F1185" s="13" t="n">
        <x:v>1493.73</x:v>
      </x:c>
      <x:c r="G1185" s="13" t="n">
        <x:v>5.95</x:v>
      </x:c>
      <x:c r="H1185" s="13" t="n">
        <x:f>F1185-G1185</x:f>
        <x:v>1487.78</x:v>
      </x:c>
      <x:c r="I1185" s="13" t="n">
        <x:f>IF(C1185=0,"n.a.",F1185/C1185)</x:f>
        <x:v>497.91</x:v>
      </x:c>
      <x:c r="J1185" s="3"/>
      <x:c r="K1185" s="3"/>
      <x:c r="L1185" s="3"/>
    </x:row>
    <x:row r="1186" ht="22" customHeight="1">
      <x:c r="A1186" s="3"/>
      <x:c r="B1186" s="3" t="str">
        <x:v>17553</x:v>
      </x:c>
      <x:c r="C1186" s="3" t="n">
        <x:v>1</x:v>
      </x:c>
      <x:c r="D1186" s="51" t="n">
        <x:v>40757</x:v>
      </x:c>
      <x:c r="E1186" s="3" t="str">
        <x:v>Una compra</x:v>
      </x:c>
      <x:c r="F1186" s="13" t="n">
        <x:v>1487.6</x:v>
      </x:c>
      <x:c r="G1186" s="13" t="n">
        <x:v>0</x:v>
      </x:c>
      <x:c r="H1186" s="13" t="n">
        <x:f>F1186-G1186</x:f>
        <x:v>1487.6</x:v>
      </x:c>
      <x:c r="I1186" s="13" t="n">
        <x:f>IF(C1186=0,"n.a.",F1186/C1186)</x:f>
        <x:v>1487.6</x:v>
      </x:c>
      <x:c r="J1186" s="3"/>
      <x:c r="K1186" s="3"/>
      <x:c r="L1186" s="3"/>
    </x:row>
    <x:row r="1187" ht="22" customHeight="1">
      <x:c r="A1187" s="3"/>
      <x:c r="B1187" s="3" t="str">
        <x:v>16395</x:v>
      </x:c>
      <x:c r="C1187" s="3" t="n">
        <x:v>5</x:v>
      </x:c>
      <x:c r="D1187" s="51" t="n">
        <x:v>40826</x:v>
      </x:c>
      <x:c r="E1187" s="3" t="str">
        <x:v>Recurrente</x:v>
      </x:c>
      <x:c r="F1187" s="13" t="n">
        <x:v>1486.9</x:v>
      </x:c>
      <x:c r="G1187" s="13" t="n">
        <x:v>0</x:v>
      </x:c>
      <x:c r="H1187" s="13" t="n">
        <x:f>F1187-G1187</x:f>
        <x:v>1486.9</x:v>
      </x:c>
      <x:c r="I1187" s="13" t="n">
        <x:f>IF(C1187=0,"n.a.",F1187/C1187)</x:f>
        <x:v>297.38</x:v>
      </x:c>
      <x:c r="J1187" s="3"/>
      <x:c r="K1187" s="3"/>
      <x:c r="L1187" s="3"/>
    </x:row>
    <x:row r="1188" ht="22" customHeight="1">
      <x:c r="A1188" s="3"/>
      <x:c r="B1188" s="3" t="str">
        <x:v>14878</x:v>
      </x:c>
      <x:c r="C1188" s="3" t="n">
        <x:v>9</x:v>
      </x:c>
      <x:c r="D1188" s="51" t="n">
        <x:v>40874</x:v>
      </x:c>
      <x:c r="E1188" s="3" t="str">
        <x:v>Recurrente</x:v>
      </x:c>
      <x:c r="F1188" s="13" t="n">
        <x:v>1485.54</x:v>
      </x:c>
      <x:c r="G1188" s="13" t="n">
        <x:v>0</x:v>
      </x:c>
      <x:c r="H1188" s="13" t="n">
        <x:f>F1188-G1188</x:f>
        <x:v>1485.54</x:v>
      </x:c>
      <x:c r="I1188" s="13" t="n">
        <x:f>IF(C1188=0,"n.a.",F1188/C1188)</x:f>
        <x:v>165.06</x:v>
      </x:c>
      <x:c r="J1188" s="3"/>
      <x:c r="K1188" s="3"/>
      <x:c r="L1188" s="3"/>
    </x:row>
    <x:row r="1189" ht="22" customHeight="1">
      <x:c r="A1189" s="3"/>
      <x:c r="B1189" s="3" t="str">
        <x:v>14414</x:v>
      </x:c>
      <x:c r="C1189" s="3" t="n">
        <x:v>7</x:v>
      </x:c>
      <x:c r="D1189" s="51" t="n">
        <x:v>40795</x:v>
      </x:c>
      <x:c r="E1189" s="3" t="str">
        <x:v>Recurrente</x:v>
      </x:c>
      <x:c r="F1189" s="13" t="n">
        <x:v>1496.98</x:v>
      </x:c>
      <x:c r="G1189" s="13" t="n">
        <x:v>11.85</x:v>
      </x:c>
      <x:c r="H1189" s="13" t="n">
        <x:f>F1189-G1189</x:f>
        <x:v>1485.13</x:v>
      </x:c>
      <x:c r="I1189" s="13" t="n">
        <x:f>IF(C1189=0,"n.a.",F1189/C1189)</x:f>
        <x:v>213.8542857142857</x:v>
      </x:c>
      <x:c r="J1189" s="3"/>
      <x:c r="K1189" s="3"/>
      <x:c r="L1189" s="3"/>
    </x:row>
    <x:row r="1190" ht="22" customHeight="1">
      <x:c r="A1190" s="3"/>
      <x:c r="B1190" s="3" t="str">
        <x:v>16755</x:v>
      </x:c>
      <x:c r="C1190" s="3" t="n">
        <x:v>3</x:v>
      </x:c>
      <x:c r="D1190" s="51" t="n">
        <x:v>40772</x:v>
      </x:c>
      <x:c r="E1190" s="3" t="str">
        <x:v>Recurrente</x:v>
      </x:c>
      <x:c r="F1190" s="13" t="n">
        <x:v>1496.83</x:v>
      </x:c>
      <x:c r="G1190" s="13" t="n">
        <x:v>12.2</x:v>
      </x:c>
      <x:c r="H1190" s="13" t="n">
        <x:f>F1190-G1190</x:f>
        <x:v>1484.6299999999999</x:v>
      </x:c>
      <x:c r="I1190" s="13" t="n">
        <x:f>IF(C1190=0,"n.a.",F1190/C1190)</x:f>
        <x:v>498.9433333333333</x:v>
      </x:c>
      <x:c r="J1190" s="3"/>
      <x:c r="K1190" s="3"/>
      <x:c r="L1190" s="3"/>
    </x:row>
    <x:row r="1191" ht="22" customHeight="1">
      <x:c r="A1191" s="3"/>
      <x:c r="B1191" s="3" t="str">
        <x:v>14758</x:v>
      </x:c>
      <x:c r="C1191" s="3" t="n">
        <x:v>4</x:v>
      </x:c>
      <x:c r="D1191" s="51" t="n">
        <x:v>40742</x:v>
      </x:c>
      <x:c r="E1191" s="3" t="str">
        <x:v>Recurrente</x:v>
      </x:c>
      <x:c r="F1191" s="13" t="n">
        <x:v>1484.06</x:v>
      </x:c>
      <x:c r="G1191" s="13" t="n">
        <x:v>0</x:v>
      </x:c>
      <x:c r="H1191" s="13" t="n">
        <x:f>F1191-G1191</x:f>
        <x:v>1484.06</x:v>
      </x:c>
      <x:c r="I1191" s="13" t="n">
        <x:f>IF(C1191=0,"n.a.",F1191/C1191)</x:f>
        <x:v>371.015</x:v>
      </x:c>
      <x:c r="J1191" s="3"/>
      <x:c r="K1191" s="3"/>
      <x:c r="L1191" s="3"/>
    </x:row>
    <x:row r="1192" ht="22" customHeight="1">
      <x:c r="A1192" s="3"/>
      <x:c r="B1192" s="3" t="str">
        <x:v>18016</x:v>
      </x:c>
      <x:c r="C1192" s="3" t="n">
        <x:v>5</x:v>
      </x:c>
      <x:c r="D1192" s="51" t="n">
        <x:v>40854</x:v>
      </x:c>
      <x:c r="E1192" s="3" t="str">
        <x:v>Recurrente</x:v>
      </x:c>
      <x:c r="F1192" s="13" t="n">
        <x:v>1483.56</x:v>
      </x:c>
      <x:c r="G1192" s="13" t="n">
        <x:v>0</x:v>
      </x:c>
      <x:c r="H1192" s="13" t="n">
        <x:f>F1192-G1192</x:f>
        <x:v>1483.56</x:v>
      </x:c>
      <x:c r="I1192" s="13" t="n">
        <x:f>IF(C1192=0,"n.a.",F1192/C1192)</x:f>
        <x:v>296.712</x:v>
      </x:c>
      <x:c r="J1192" s="3"/>
      <x:c r="K1192" s="3"/>
      <x:c r="L1192" s="3"/>
    </x:row>
    <x:row r="1193" ht="22" customHeight="1">
      <x:c r="A1193" s="3"/>
      <x:c r="B1193" s="3" t="str">
        <x:v>16016</x:v>
      </x:c>
      <x:c r="C1193" s="3" t="n">
        <x:v>8</x:v>
      </x:c>
      <x:c r="D1193" s="51" t="n">
        <x:v>40883</x:v>
      </x:c>
      <x:c r="E1193" s="3" t="str">
        <x:v>Recurrente</x:v>
      </x:c>
      <x:c r="F1193" s="13" t="n">
        <x:v>1508.76</x:v>
      </x:c>
      <x:c r="G1193" s="13" t="n">
        <x:v>25.45</x:v>
      </x:c>
      <x:c r="H1193" s="13" t="n">
        <x:f>F1193-G1193</x:f>
        <x:v>1483.31</x:v>
      </x:c>
      <x:c r="I1193" s="13" t="n">
        <x:f>IF(C1193=0,"n.a.",F1193/C1193)</x:f>
        <x:v>188.595</x:v>
      </x:c>
      <x:c r="J1193" s="3"/>
      <x:c r="K1193" s="3"/>
      <x:c r="L1193" s="3"/>
    </x:row>
    <x:row r="1194" ht="22" customHeight="1">
      <x:c r="A1194" s="3"/>
      <x:c r="B1194" s="3" t="str">
        <x:v>15427</x:v>
      </x:c>
      <x:c r="C1194" s="3" t="n">
        <x:v>3</x:v>
      </x:c>
      <x:c r="D1194" s="51" t="n">
        <x:v>40853</x:v>
      </x:c>
      <x:c r="E1194" s="3" t="str">
        <x:v>Recurrente</x:v>
      </x:c>
      <x:c r="F1194" s="13" t="n">
        <x:v>1483.14</x:v>
      </x:c>
      <x:c r="G1194" s="13" t="n">
        <x:v>0</x:v>
      </x:c>
      <x:c r="H1194" s="13" t="n">
        <x:f>F1194-G1194</x:f>
        <x:v>1483.14</x:v>
      </x:c>
      <x:c r="I1194" s="13" t="n">
        <x:f>IF(C1194=0,"n.a.",F1194/C1194)</x:f>
        <x:v>494.38000000000005</x:v>
      </x:c>
      <x:c r="J1194" s="3"/>
      <x:c r="K1194" s="3"/>
      <x:c r="L1194" s="3"/>
    </x:row>
    <x:row r="1195" ht="22" customHeight="1">
      <x:c r="A1195" s="3"/>
      <x:c r="B1195" s="3" t="str">
        <x:v>17590</x:v>
      </x:c>
      <x:c r="C1195" s="3" t="n">
        <x:v>3</x:v>
      </x:c>
      <x:c r="D1195" s="51" t="n">
        <x:v>40884</x:v>
      </x:c>
      <x:c r="E1195" s="3" t="str">
        <x:v>Recurrente</x:v>
      </x:c>
      <x:c r="F1195" s="13" t="n">
        <x:v>1477.97</x:v>
      </x:c>
      <x:c r="G1195" s="13" t="n">
        <x:v>0</x:v>
      </x:c>
      <x:c r="H1195" s="13" t="n">
        <x:f>F1195-G1195</x:f>
        <x:v>1477.97</x:v>
      </x:c>
      <x:c r="I1195" s="13" t="n">
        <x:f>IF(C1195=0,"n.a.",F1195/C1195)</x:f>
        <x:v>492.6566666666667</x:v>
      </x:c>
      <x:c r="J1195" s="3"/>
      <x:c r="K1195" s="3"/>
      <x:c r="L1195" s="3"/>
    </x:row>
    <x:row r="1196" ht="22" customHeight="1">
      <x:c r="A1196" s="3"/>
      <x:c r="B1196" s="3" t="str">
        <x:v>15983</x:v>
      </x:c>
      <x:c r="C1196" s="3" t="n">
        <x:v>4</x:v>
      </x:c>
      <x:c r="D1196" s="51" t="n">
        <x:v>40864</x:v>
      </x:c>
      <x:c r="E1196" s="3" t="str">
        <x:v>Recurrente</x:v>
      </x:c>
      <x:c r="F1196" s="13" t="n">
        <x:v>1475.02</x:v>
      </x:c>
      <x:c r="G1196" s="13" t="n">
        <x:v>0</x:v>
      </x:c>
      <x:c r="H1196" s="13" t="n">
        <x:f>F1196-G1196</x:f>
        <x:v>1475.02</x:v>
      </x:c>
      <x:c r="I1196" s="13" t="n">
        <x:f>IF(C1196=0,"n.a.",F1196/C1196)</x:f>
        <x:v>368.755</x:v>
      </x:c>
      <x:c r="J1196" s="3"/>
      <x:c r="K1196" s="3"/>
      <x:c r="L1196" s="3"/>
    </x:row>
    <x:row r="1197" ht="22" customHeight="1">
      <x:c r="A1197" s="3"/>
      <x:c r="B1197" s="3" t="str">
        <x:v>14246</x:v>
      </x:c>
      <x:c r="C1197" s="3" t="n">
        <x:v>3</x:v>
      </x:c>
      <x:c r="D1197" s="51" t="n">
        <x:v>40776</x:v>
      </x:c>
      <x:c r="E1197" s="3" t="str">
        <x:v>Recurrente</x:v>
      </x:c>
      <x:c r="F1197" s="13" t="n">
        <x:v>1474.06</x:v>
      </x:c>
      <x:c r="G1197" s="13" t="n">
        <x:v>0</x:v>
      </x:c>
      <x:c r="H1197" s="13" t="n">
        <x:f>F1197-G1197</x:f>
        <x:v>1474.06</x:v>
      </x:c>
      <x:c r="I1197" s="13" t="n">
        <x:f>IF(C1197=0,"n.a.",F1197/C1197)</x:f>
        <x:v>491.3533333333333</x:v>
      </x:c>
      <x:c r="J1197" s="3"/>
      <x:c r="K1197" s="3"/>
      <x:c r="L1197" s="3"/>
    </x:row>
    <x:row r="1198" ht="22" customHeight="1">
      <x:c r="A1198" s="3"/>
      <x:c r="B1198" s="3" t="str">
        <x:v>13692</x:v>
      </x:c>
      <x:c r="C1198" s="3" t="n">
        <x:v>3</x:v>
      </x:c>
      <x:c r="D1198" s="51" t="n">
        <x:v>40862</x:v>
      </x:c>
      <x:c r="E1198" s="3" t="str">
        <x:v>Recurrente</x:v>
      </x:c>
      <x:c r="F1198" s="13" t="n">
        <x:v>1488.32</x:v>
      </x:c>
      <x:c r="G1198" s="13" t="n">
        <x:v>14.95</x:v>
      </x:c>
      <x:c r="H1198" s="13" t="n">
        <x:f>F1198-G1198</x:f>
        <x:v>1473.37</x:v>
      </x:c>
      <x:c r="I1198" s="13" t="n">
        <x:f>IF(C1198=0,"n.a.",F1198/C1198)</x:f>
        <x:v>496.1066666666666</x:v>
      </x:c>
      <x:c r="J1198" s="3"/>
      <x:c r="K1198" s="3"/>
      <x:c r="L1198" s="3"/>
    </x:row>
    <x:row r="1199" ht="22" customHeight="1">
      <x:c r="A1199" s="3"/>
      <x:c r="B1199" s="3" t="str">
        <x:v>12826</x:v>
      </x:c>
      <x:c r="C1199" s="3" t="n">
        <x:v>7</x:v>
      </x:c>
      <x:c r="D1199" s="51" t="n">
        <x:v>40884</x:v>
      </x:c>
      <x:c r="E1199" s="3" t="str">
        <x:v>Recurrente</x:v>
      </x:c>
      <x:c r="F1199" s="13" t="n">
        <x:v>1474.72</x:v>
      </x:c>
      <x:c r="G1199" s="13" t="n">
        <x:v>6.6</x:v>
      </x:c>
      <x:c r="H1199" s="13" t="n">
        <x:f>F1199-G1199</x:f>
        <x:v>1468.1200000000001</x:v>
      </x:c>
      <x:c r="I1199" s="13" t="n">
        <x:f>IF(C1199=0,"n.a.",F1199/C1199)</x:f>
        <x:v>210.67428571428573</x:v>
      </x:c>
      <x:c r="J1199" s="3"/>
      <x:c r="K1199" s="3"/>
      <x:c r="L1199" s="3"/>
    </x:row>
    <x:row r="1200" ht="22" customHeight="1">
      <x:c r="A1200" s="3"/>
      <x:c r="B1200" s="3" t="str">
        <x:v>16348</x:v>
      </x:c>
      <x:c r="C1200" s="3" t="n">
        <x:v>7</x:v>
      </x:c>
      <x:c r="D1200" s="51" t="n">
        <x:v>40854</x:v>
      </x:c>
      <x:c r="E1200" s="3" t="str">
        <x:v>Recurrente</x:v>
      </x:c>
      <x:c r="F1200" s="13" t="n">
        <x:v>1467.11</x:v>
      </x:c>
      <x:c r="G1200" s="13" t="n">
        <x:v>0</x:v>
      </x:c>
      <x:c r="H1200" s="13" t="n">
        <x:f>F1200-G1200</x:f>
        <x:v>1467.11</x:v>
      </x:c>
      <x:c r="I1200" s="13" t="n">
        <x:f>IF(C1200=0,"n.a.",F1200/C1200)</x:f>
        <x:v>209.58714285714285</x:v>
      </x:c>
      <x:c r="J1200" s="3"/>
      <x:c r="K1200" s="3"/>
      <x:c r="L1200" s="3"/>
    </x:row>
    <x:row r="1201" ht="22" customHeight="1">
      <x:c r="A1201" s="3"/>
      <x:c r="B1201" s="3" t="str">
        <x:v>15473</x:v>
      </x:c>
      <x:c r="C1201" s="3" t="n">
        <x:v>7</x:v>
      </x:c>
      <x:c r="D1201" s="51" t="n">
        <x:v>40872</x:v>
      </x:c>
      <x:c r="E1201" s="3" t="str">
        <x:v>Recurrente</x:v>
      </x:c>
      <x:c r="F1201" s="13" t="n">
        <x:v>1771.2</x:v>
      </x:c>
      <x:c r="G1201" s="13" t="n">
        <x:v>306</x:v>
      </x:c>
      <x:c r="H1201" s="13" t="n">
        <x:f>F1201-G1201</x:f>
        <x:v>1465.2</x:v>
      </x:c>
      <x:c r="I1201" s="13" t="n">
        <x:f>IF(C1201=0,"n.a.",F1201/C1201)</x:f>
        <x:v>253.02857142857144</x:v>
      </x:c>
      <x:c r="J1201" s="3"/>
      <x:c r="K1201" s="3"/>
      <x:c r="L1201" s="3"/>
    </x:row>
    <x:row r="1202" ht="22" customHeight="1">
      <x:c r="A1202" s="3"/>
      <x:c r="B1202" s="3" t="str">
        <x:v>12882</x:v>
      </x:c>
      <x:c r="C1202" s="3" t="n">
        <x:v>2</x:v>
      </x:c>
      <x:c r="D1202" s="51" t="n">
        <x:v>40877</x:v>
      </x:c>
      <x:c r="E1202" s="3" t="str">
        <x:v>Recurrente</x:v>
      </x:c>
      <x:c r="F1202" s="13" t="n">
        <x:v>1463.04</x:v>
      </x:c>
      <x:c r="G1202" s="13" t="n">
        <x:v>0</x:v>
      </x:c>
      <x:c r="H1202" s="13" t="n">
        <x:f>F1202-G1202</x:f>
        <x:v>1463.04</x:v>
      </x:c>
      <x:c r="I1202" s="13" t="n">
        <x:f>IF(C1202=0,"n.a.",F1202/C1202)</x:f>
        <x:v>731.52</x:v>
      </x:c>
      <x:c r="J1202" s="3"/>
      <x:c r="K1202" s="3"/>
      <x:c r="L1202" s="3"/>
    </x:row>
    <x:row r="1203" ht="22" customHeight="1">
      <x:c r="A1203" s="3"/>
      <x:c r="B1203" s="3" t="str">
        <x:v>14541</x:v>
      </x:c>
      <x:c r="C1203" s="3" t="n">
        <x:v>8</x:v>
      </x:c>
      <x:c r="D1203" s="51" t="n">
        <x:v>40828</x:v>
      </x:c>
      <x:c r="E1203" s="3" t="str">
        <x:v>Recurrente</x:v>
      </x:c>
      <x:c r="F1203" s="13" t="n">
        <x:v>1461.65</x:v>
      </x:c>
      <x:c r="G1203" s="13" t="n">
        <x:v>0</x:v>
      </x:c>
      <x:c r="H1203" s="13" t="n">
        <x:f>F1203-G1203</x:f>
        <x:v>1461.65</x:v>
      </x:c>
      <x:c r="I1203" s="13" t="n">
        <x:f>IF(C1203=0,"n.a.",F1203/C1203)</x:f>
        <x:v>182.70625</x:v>
      </x:c>
      <x:c r="J1203" s="3"/>
      <x:c r="K1203" s="3"/>
      <x:c r="L1203" s="3"/>
    </x:row>
    <x:row r="1204" ht="22" customHeight="1">
      <x:c r="A1204" s="3"/>
      <x:c r="B1204" s="3" t="str">
        <x:v>12530</x:v>
      </x:c>
      <x:c r="C1204" s="3" t="n">
        <x:v>4</x:v>
      </x:c>
      <x:c r="D1204" s="51" t="n">
        <x:v>40827</x:v>
      </x:c>
      <x:c r="E1204" s="3" t="str">
        <x:v>Recurrente</x:v>
      </x:c>
      <x:c r="F1204" s="13" t="n">
        <x:v>1500.28</x:v>
      </x:c>
      <x:c r="G1204" s="13" t="n">
        <x:v>38.65</x:v>
      </x:c>
      <x:c r="H1204" s="13" t="n">
        <x:f>F1204-G1204</x:f>
        <x:v>1461.6299999999999</x:v>
      </x:c>
      <x:c r="I1204" s="13" t="n">
        <x:f>IF(C1204=0,"n.a.",F1204/C1204)</x:f>
        <x:v>375.07</x:v>
      </x:c>
      <x:c r="J1204" s="3"/>
      <x:c r="K1204" s="3"/>
      <x:c r="L1204" s="3"/>
    </x:row>
    <x:row r="1205" ht="22" customHeight="1">
      <x:c r="A1205" s="3"/>
      <x:c r="B1205" s="3" t="str">
        <x:v>16359</x:v>
      </x:c>
      <x:c r="C1205" s="3" t="n">
        <x:v>9</x:v>
      </x:c>
      <x:c r="D1205" s="51" t="n">
        <x:v>40879</x:v>
      </x:c>
      <x:c r="E1205" s="3" t="str">
        <x:v>Recurrente</x:v>
      </x:c>
      <x:c r="F1205" s="13" t="n">
        <x:v>1750.92</x:v>
      </x:c>
      <x:c r="G1205" s="13" t="n">
        <x:v>290.55</x:v>
      </x:c>
      <x:c r="H1205" s="13" t="n">
        <x:f>F1205-G1205</x:f>
        <x:v>1460.3700000000001</x:v>
      </x:c>
      <x:c r="I1205" s="13" t="n">
        <x:f>IF(C1205=0,"n.a.",F1205/C1205)</x:f>
        <x:v>194.54666666666668</x:v>
      </x:c>
      <x:c r="J1205" s="3"/>
      <x:c r="K1205" s="3"/>
      <x:c r="L1205" s="3"/>
    </x:row>
    <x:row r="1206" ht="22" customHeight="1">
      <x:c r="A1206" s="3"/>
      <x:c r="B1206" s="3" t="str">
        <x:v>16059</x:v>
      </x:c>
      <x:c r="C1206" s="3" t="n">
        <x:v>6</x:v>
      </x:c>
      <x:c r="D1206" s="51" t="n">
        <x:v>40821</x:v>
      </x:c>
      <x:c r="E1206" s="3" t="str">
        <x:v>Recurrente</x:v>
      </x:c>
      <x:c r="F1206" s="13" t="n">
        <x:v>1459.86</x:v>
      </x:c>
      <x:c r="G1206" s="13" t="n">
        <x:v>0</x:v>
      </x:c>
      <x:c r="H1206" s="13" t="n">
        <x:f>F1206-G1206</x:f>
        <x:v>1459.86</x:v>
      </x:c>
      <x:c r="I1206" s="13" t="n">
        <x:f>IF(C1206=0,"n.a.",F1206/C1206)</x:f>
        <x:v>243.30999999999997</x:v>
      </x:c>
      <x:c r="J1206" s="3"/>
      <x:c r="K1206" s="3"/>
      <x:c r="L1206" s="3"/>
    </x:row>
    <x:row r="1207" ht="22" customHeight="1">
      <x:c r="A1207" s="3"/>
      <x:c r="B1207" s="3" t="str">
        <x:v>14875</x:v>
      </x:c>
      <x:c r="C1207" s="3" t="n">
        <x:v>2</x:v>
      </x:c>
      <x:c r="D1207" s="51" t="n">
        <x:v>40779</x:v>
      </x:c>
      <x:c r="E1207" s="3" t="str">
        <x:v>Recurrente</x:v>
      </x:c>
      <x:c r="F1207" s="13" t="n">
        <x:v>1465.32</x:v>
      </x:c>
      <x:c r="G1207" s="13" t="n">
        <x:v>7.65</x:v>
      </x:c>
      <x:c r="H1207" s="13" t="n">
        <x:f>F1207-G1207</x:f>
        <x:v>1457.6699999999998</x:v>
      </x:c>
      <x:c r="I1207" s="13" t="n">
        <x:f>IF(C1207=0,"n.a.",F1207/C1207)</x:f>
        <x:v>732.66</x:v>
      </x:c>
      <x:c r="J1207" s="3"/>
      <x:c r="K1207" s="3"/>
      <x:c r="L1207" s="3"/>
    </x:row>
    <x:row r="1208" ht="22" customHeight="1">
      <x:c r="A1208" s="3"/>
      <x:c r="B1208" s="3" t="str">
        <x:v>12349</x:v>
      </x:c>
      <x:c r="C1208" s="3" t="n">
        <x:v>1</x:v>
      </x:c>
      <x:c r="D1208" s="51" t="n">
        <x:v>40868</x:v>
      </x:c>
      <x:c r="E1208" s="3" t="str">
        <x:v>Una compra</x:v>
      </x:c>
      <x:c r="F1208" s="13" t="n">
        <x:v>1457.55</x:v>
      </x:c>
      <x:c r="G1208" s="13" t="n">
        <x:v>0</x:v>
      </x:c>
      <x:c r="H1208" s="13" t="n">
        <x:f>F1208-G1208</x:f>
        <x:v>1457.55</x:v>
      </x:c>
      <x:c r="I1208" s="13" t="n">
        <x:f>IF(C1208=0,"n.a.",F1208/C1208)</x:f>
        <x:v>1457.55</x:v>
      </x:c>
      <x:c r="J1208" s="3"/>
      <x:c r="K1208" s="3"/>
      <x:c r="L1208" s="3"/>
    </x:row>
    <x:row r="1209" ht="22" customHeight="1">
      <x:c r="A1209" s="3"/>
      <x:c r="B1209" s="3" t="str">
        <x:v>13309</x:v>
      </x:c>
      <x:c r="C1209" s="3" t="n">
        <x:v>5</x:v>
      </x:c>
      <x:c r="D1209" s="51" t="n">
        <x:v>40879</x:v>
      </x:c>
      <x:c r="E1209" s="3" t="str">
        <x:v>Recurrente</x:v>
      </x:c>
      <x:c r="F1209" s="13" t="n">
        <x:v>1456.79</x:v>
      </x:c>
      <x:c r="G1209" s="13" t="n">
        <x:v>0</x:v>
      </x:c>
      <x:c r="H1209" s="13" t="n">
        <x:f>F1209-G1209</x:f>
        <x:v>1456.79</x:v>
      </x:c>
      <x:c r="I1209" s="13" t="n">
        <x:f>IF(C1209=0,"n.a.",F1209/C1209)</x:f>
        <x:v>291.358</x:v>
      </x:c>
      <x:c r="J1209" s="3"/>
      <x:c r="K1209" s="3"/>
      <x:c r="L1209" s="3"/>
    </x:row>
    <x:row r="1210" ht="22" customHeight="1">
      <x:c r="A1210" s="3"/>
      <x:c r="B1210" s="3" t="str">
        <x:v>13110</x:v>
      </x:c>
      <x:c r="C1210" s="3" t="n">
        <x:v>7</x:v>
      </x:c>
      <x:c r="D1210" s="51" t="n">
        <x:v>40855</x:v>
      </x:c>
      <x:c r="E1210" s="3" t="str">
        <x:v>Recurrente</x:v>
      </x:c>
      <x:c r="F1210" s="13" t="n">
        <x:v>1488.67</x:v>
      </x:c>
      <x:c r="G1210" s="13" t="n">
        <x:v>35.8</x:v>
      </x:c>
      <x:c r="H1210" s="13" t="n">
        <x:f>F1210-G1210</x:f>
        <x:v>1452.8700000000001</x:v>
      </x:c>
      <x:c r="I1210" s="13" t="n">
        <x:f>IF(C1210=0,"n.a.",F1210/C1210)</x:f>
        <x:v>212.66714285714286</x:v>
      </x:c>
      <x:c r="J1210" s="3"/>
      <x:c r="K1210" s="3"/>
      <x:c r="L1210" s="3"/>
    </x:row>
    <x:row r="1211" ht="22" customHeight="1">
      <x:c r="A1211" s="3"/>
      <x:c r="B1211" s="3" t="str">
        <x:v>15987</x:v>
      </x:c>
      <x:c r="C1211" s="3" t="n">
        <x:v>7</x:v>
      </x:c>
      <x:c r="D1211" s="51" t="n">
        <x:v>40874</x:v>
      </x:c>
      <x:c r="E1211" s="3" t="str">
        <x:v>Recurrente</x:v>
      </x:c>
      <x:c r="F1211" s="13" t="n">
        <x:v>1451.28</x:v>
      </x:c>
      <x:c r="G1211" s="13" t="n">
        <x:v>0</x:v>
      </x:c>
      <x:c r="H1211" s="13" t="n">
        <x:f>F1211-G1211</x:f>
        <x:v>1451.28</x:v>
      </x:c>
      <x:c r="I1211" s="13" t="n">
        <x:f>IF(C1211=0,"n.a.",F1211/C1211)</x:f>
        <x:v>207.32571428571427</x:v>
      </x:c>
      <x:c r="J1211" s="3"/>
      <x:c r="K1211" s="3"/>
      <x:c r="L1211" s="3"/>
    </x:row>
    <x:row r="1212" ht="22" customHeight="1">
      <x:c r="A1212" s="3"/>
      <x:c r="B1212" s="3" t="str">
        <x:v>14229</x:v>
      </x:c>
      <x:c r="C1212" s="3" t="n">
        <x:v>3</x:v>
      </x:c>
      <x:c r="D1212" s="51" t="n">
        <x:v>40835</x:v>
      </x:c>
      <x:c r="E1212" s="3" t="str">
        <x:v>Recurrente</x:v>
      </x:c>
      <x:c r="F1212" s="13" t="n">
        <x:v>1547.2</x:v>
      </x:c>
      <x:c r="G1212" s="13" t="n">
        <x:v>96.6</x:v>
      </x:c>
      <x:c r="H1212" s="13" t="n">
        <x:f>F1212-G1212</x:f>
        <x:v>1450.6000000000001</x:v>
      </x:c>
      <x:c r="I1212" s="13" t="n">
        <x:f>IF(C1212=0,"n.a.",F1212/C1212)</x:f>
        <x:v>515.7333333333333</x:v>
      </x:c>
      <x:c r="J1212" s="3"/>
      <x:c r="K1212" s="3"/>
      <x:c r="L1212" s="3"/>
    </x:row>
    <x:row r="1213" ht="22" customHeight="1">
      <x:c r="A1213" s="3"/>
      <x:c r="B1213" s="3" t="str">
        <x:v>14233</x:v>
      </x:c>
      <x:c r="C1213" s="3" t="n">
        <x:v>4</x:v>
      </x:c>
      <x:c r="D1213" s="51" t="n">
        <x:v>40837</x:v>
      </x:c>
      <x:c r="E1213" s="3" t="str">
        <x:v>Recurrente</x:v>
      </x:c>
      <x:c r="F1213" s="13" t="n">
        <x:v>1462.72</x:v>
      </x:c>
      <x:c r="G1213" s="13" t="n">
        <x:v>15.21</x:v>
      </x:c>
      <x:c r="H1213" s="13" t="n">
        <x:f>F1213-G1213</x:f>
        <x:v>1447.51</x:v>
      </x:c>
      <x:c r="I1213" s="13" t="n">
        <x:f>IF(C1213=0,"n.a.",F1213/C1213)</x:f>
        <x:v>365.68</x:v>
      </x:c>
      <x:c r="J1213" s="3"/>
      <x:c r="K1213" s="3"/>
      <x:c r="L1213" s="3"/>
    </x:row>
    <x:row r="1214" ht="22" customHeight="1">
      <x:c r="A1214" s="3"/>
      <x:c r="B1214" s="3" t="str">
        <x:v>14591</x:v>
      </x:c>
      <x:c r="C1214" s="3" t="n">
        <x:v>4</x:v>
      </x:c>
      <x:c r="D1214" s="51" t="n">
        <x:v>40871</x:v>
      </x:c>
      <x:c r="E1214" s="3" t="str">
        <x:v>Recurrente</x:v>
      </x:c>
      <x:c r="F1214" s="13" t="n">
        <x:v>1447.14</x:v>
      </x:c>
      <x:c r="G1214" s="13" t="n">
        <x:v>0</x:v>
      </x:c>
      <x:c r="H1214" s="13" t="n">
        <x:f>F1214-G1214</x:f>
        <x:v>1447.14</x:v>
      </x:c>
      <x:c r="I1214" s="13" t="n">
        <x:f>IF(C1214=0,"n.a.",F1214/C1214)</x:f>
        <x:v>361.785</x:v>
      </x:c>
      <x:c r="J1214" s="3"/>
      <x:c r="K1214" s="3"/>
      <x:c r="L1214" s="3"/>
    </x:row>
    <x:row r="1215" ht="22" customHeight="1">
      <x:c r="A1215" s="3"/>
      <x:c r="B1215" s="3" t="str">
        <x:v>16817</x:v>
      </x:c>
      <x:c r="C1215" s="3" t="n">
        <x:v>9</x:v>
      </x:c>
      <x:c r="D1215" s="51" t="n">
        <x:v>40884</x:v>
      </x:c>
      <x:c r="E1215" s="3" t="str">
        <x:v>Recurrente</x:v>
      </x:c>
      <x:c r="F1215" s="13" t="n">
        <x:v>1604.75</x:v>
      </x:c>
      <x:c r="G1215" s="13" t="n">
        <x:v>157.8</x:v>
      </x:c>
      <x:c r="H1215" s="13" t="n">
        <x:f>F1215-G1215</x:f>
        <x:v>1446.95</x:v>
      </x:c>
      <x:c r="I1215" s="13" t="n">
        <x:f>IF(C1215=0,"n.a.",F1215/C1215)</x:f>
        <x:v>178.30555555555554</x:v>
      </x:c>
      <x:c r="J1215" s="3"/>
      <x:c r="K1215" s="3"/>
      <x:c r="L1215" s="3"/>
    </x:row>
    <x:row r="1216" ht="22" customHeight="1">
      <x:c r="A1216" s="3"/>
      <x:c r="B1216" s="3" t="str">
        <x:v>13461</x:v>
      </x:c>
      <x:c r="C1216" s="3" t="n">
        <x:v>3</x:v>
      </x:c>
      <x:c r="D1216" s="51" t="n">
        <x:v>40848</x:v>
      </x:c>
      <x:c r="E1216" s="3" t="str">
        <x:v>Recurrente</x:v>
      </x:c>
      <x:c r="F1216" s="13" t="n">
        <x:v>1445</x:v>
      </x:c>
      <x:c r="G1216" s="13" t="n">
        <x:v>0</x:v>
      </x:c>
      <x:c r="H1216" s="13" t="n">
        <x:f>F1216-G1216</x:f>
        <x:v>1445</x:v>
      </x:c>
      <x:c r="I1216" s="13" t="n">
        <x:f>IF(C1216=0,"n.a.",F1216/C1216)</x:f>
        <x:v>481.6666666666667</x:v>
      </x:c>
      <x:c r="J1216" s="3"/>
      <x:c r="K1216" s="3"/>
      <x:c r="L1216" s="3"/>
    </x:row>
    <x:row r="1217" ht="22" customHeight="1">
      <x:c r="A1217" s="3"/>
      <x:c r="B1217" s="3" t="str">
        <x:v>17073</x:v>
      </x:c>
      <x:c r="C1217" s="3" t="n">
        <x:v>4</x:v>
      </x:c>
      <x:c r="D1217" s="51" t="n">
        <x:v>40869</x:v>
      </x:c>
      <x:c r="E1217" s="3" t="str">
        <x:v>Recurrente</x:v>
      </x:c>
      <x:c r="F1217" s="13" t="n">
        <x:v>1444.84</x:v>
      </x:c>
      <x:c r="G1217" s="13" t="n">
        <x:v>0</x:v>
      </x:c>
      <x:c r="H1217" s="13" t="n">
        <x:f>F1217-G1217</x:f>
        <x:v>1444.84</x:v>
      </x:c>
      <x:c r="I1217" s="13" t="n">
        <x:f>IF(C1217=0,"n.a.",F1217/C1217)</x:f>
        <x:v>361.21</x:v>
      </x:c>
      <x:c r="J1217" s="3"/>
      <x:c r="K1217" s="3"/>
      <x:c r="L1217" s="3"/>
    </x:row>
    <x:row r="1218" ht="22" customHeight="1">
      <x:c r="A1218" s="3"/>
      <x:c r="B1218" s="3" t="str">
        <x:v>13477</x:v>
      </x:c>
      <x:c r="C1218" s="3" t="n">
        <x:v>6</x:v>
      </x:c>
      <x:c r="D1218" s="51" t="n">
        <x:v>40849</x:v>
      </x:c>
      <x:c r="E1218" s="3" t="str">
        <x:v>Recurrente</x:v>
      </x:c>
      <x:c r="F1218" s="13" t="n">
        <x:v>1454.58</x:v>
      </x:c>
      <x:c r="G1218" s="13" t="n">
        <x:v>13.05</x:v>
      </x:c>
      <x:c r="H1218" s="13" t="n">
        <x:f>F1218-G1218</x:f>
        <x:v>1441.53</x:v>
      </x:c>
      <x:c r="I1218" s="13" t="n">
        <x:f>IF(C1218=0,"n.a.",F1218/C1218)</x:f>
        <x:v>242.42999999999998</x:v>
      </x:c>
      <x:c r="J1218" s="3"/>
      <x:c r="K1218" s="3"/>
      <x:c r="L1218" s="3"/>
    </x:row>
    <x:row r="1219" ht="22" customHeight="1">
      <x:c r="A1219" s="3"/>
      <x:c r="B1219" s="3" t="str">
        <x:v>15478</x:v>
      </x:c>
      <x:c r="C1219" s="3" t="n">
        <x:v>2</x:v>
      </x:c>
      <x:c r="D1219" s="51" t="n">
        <x:v>40846</x:v>
      </x:c>
      <x:c r="E1219" s="3" t="str">
        <x:v>Recurrente</x:v>
      </x:c>
      <x:c r="F1219" s="13" t="n">
        <x:v>1441.42</x:v>
      </x:c>
      <x:c r="G1219" s="13" t="n">
        <x:v>0</x:v>
      </x:c>
      <x:c r="H1219" s="13" t="n">
        <x:f>F1219-G1219</x:f>
        <x:v>1441.42</x:v>
      </x:c>
      <x:c r="I1219" s="13" t="n">
        <x:f>IF(C1219=0,"n.a.",F1219/C1219)</x:f>
        <x:v>720.71</x:v>
      </x:c>
      <x:c r="J1219" s="3"/>
      <x:c r="K1219" s="3"/>
      <x:c r="L1219" s="3"/>
    </x:row>
    <x:row r="1220" ht="22" customHeight="1">
      <x:c r="A1220" s="3"/>
      <x:c r="B1220" s="3" t="str">
        <x:v>15858</x:v>
      </x:c>
      <x:c r="C1220" s="3" t="n">
        <x:v>5</x:v>
      </x:c>
      <x:c r="D1220" s="51" t="n">
        <x:v>40871</x:v>
      </x:c>
      <x:c r="E1220" s="3" t="str">
        <x:v>Recurrente</x:v>
      </x:c>
      <x:c r="F1220" s="13" t="n">
        <x:v>1438.85</x:v>
      </x:c>
      <x:c r="G1220" s="13" t="n">
        <x:v>0</x:v>
      </x:c>
      <x:c r="H1220" s="13" t="n">
        <x:f>F1220-G1220</x:f>
        <x:v>1438.85</x:v>
      </x:c>
      <x:c r="I1220" s="13" t="n">
        <x:f>IF(C1220=0,"n.a.",F1220/C1220)</x:f>
        <x:v>287.77</x:v>
      </x:c>
      <x:c r="J1220" s="3"/>
      <x:c r="K1220" s="3"/>
      <x:c r="L1220" s="3"/>
    </x:row>
    <x:row r="1221" ht="22" customHeight="1">
      <x:c r="A1221" s="3"/>
      <x:c r="B1221" s="3" t="str">
        <x:v>12348</x:v>
      </x:c>
      <x:c r="C1221" s="3" t="n">
        <x:v>4</x:v>
      </x:c>
      <x:c r="D1221" s="51" t="n">
        <x:v>40811</x:v>
      </x:c>
      <x:c r="E1221" s="3" t="str">
        <x:v>Recurrente</x:v>
      </x:c>
      <x:c r="F1221" s="13" t="n">
        <x:v>1437.24</x:v>
      </x:c>
      <x:c r="G1221" s="13" t="n">
        <x:v>0</x:v>
      </x:c>
      <x:c r="H1221" s="13" t="n">
        <x:f>F1221-G1221</x:f>
        <x:v>1437.24</x:v>
      </x:c>
      <x:c r="I1221" s="13" t="n">
        <x:f>IF(C1221=0,"n.a.",F1221/C1221)</x:f>
        <x:v>359.31</x:v>
      </x:c>
      <x:c r="J1221" s="3"/>
      <x:c r="K1221" s="3"/>
      <x:c r="L1221" s="3"/>
    </x:row>
    <x:row r="1222" ht="22" customHeight="1">
      <x:c r="A1222" s="3"/>
      <x:c r="B1222" s="3" t="str">
        <x:v>12398</x:v>
      </x:c>
      <x:c r="C1222" s="3" t="n">
        <x:v>1</x:v>
      </x:c>
      <x:c r="D1222" s="51" t="n">
        <x:v>40841</x:v>
      </x:c>
      <x:c r="E1222" s="3" t="str">
        <x:v>Una compra</x:v>
      </x:c>
      <x:c r="F1222" s="13" t="n">
        <x:v>1435.66</x:v>
      </x:c>
      <x:c r="G1222" s="13" t="n">
        <x:v>0</x:v>
      </x:c>
      <x:c r="H1222" s="13" t="n">
        <x:f>F1222-G1222</x:f>
        <x:v>1435.66</x:v>
      </x:c>
      <x:c r="I1222" s="13" t="n">
        <x:f>IF(C1222=0,"n.a.",F1222/C1222)</x:f>
        <x:v>1435.66</x:v>
      </x:c>
      <x:c r="J1222" s="3"/>
      <x:c r="K1222" s="3"/>
      <x:c r="L1222" s="3"/>
    </x:row>
    <x:row r="1223" ht="22" customHeight="1">
      <x:c r="A1223" s="3"/>
      <x:c r="B1223" s="3" t="str">
        <x:v>14404</x:v>
      </x:c>
      <x:c r="C1223" s="3" t="n">
        <x:v>6</x:v>
      </x:c>
      <x:c r="D1223" s="51" t="n">
        <x:v>40853</x:v>
      </x:c>
      <x:c r="E1223" s="3" t="str">
        <x:v>Recurrente</x:v>
      </x:c>
      <x:c r="F1223" s="13" t="n">
        <x:v>1474.32</x:v>
      </x:c>
      <x:c r="G1223" s="13" t="n">
        <x:v>39.6</x:v>
      </x:c>
      <x:c r="H1223" s="13" t="n">
        <x:f>F1223-G1223</x:f>
        <x:v>1434.72</x:v>
      </x:c>
      <x:c r="I1223" s="13" t="n">
        <x:f>IF(C1223=0,"n.a.",F1223/C1223)</x:f>
        <x:v>245.72</x:v>
      </x:c>
      <x:c r="J1223" s="3"/>
      <x:c r="K1223" s="3"/>
      <x:c r="L1223" s="3"/>
    </x:row>
    <x:row r="1224" ht="22" customHeight="1">
      <x:c r="A1224" s="3"/>
      <x:c r="B1224" s="3" t="str">
        <x:v>12381</x:v>
      </x:c>
      <x:c r="C1224" s="3" t="n">
        <x:v>3</x:v>
      </x:c>
      <x:c r="D1224" s="51" t="n">
        <x:v>40882</x:v>
      </x:c>
      <x:c r="E1224" s="3" t="str">
        <x:v>Recurrente</x:v>
      </x:c>
      <x:c r="F1224" s="13" t="n">
        <x:v>1474.81</x:v>
      </x:c>
      <x:c r="G1224" s="13" t="n">
        <x:v>41.35</x:v>
      </x:c>
      <x:c r="H1224" s="13" t="n">
        <x:f>F1224-G1224</x:f>
        <x:v>1433.46</x:v>
      </x:c>
      <x:c r="I1224" s="13" t="n">
        <x:f>IF(C1224=0,"n.a.",F1224/C1224)</x:f>
        <x:v>491.6033333333333</x:v>
      </x:c>
      <x:c r="J1224" s="3"/>
      <x:c r="K1224" s="3"/>
      <x:c r="L1224" s="3"/>
    </x:row>
    <x:row r="1225" ht="22" customHeight="1">
      <x:c r="A1225" s="3"/>
      <x:c r="B1225" s="3" t="str">
        <x:v>13717</x:v>
      </x:c>
      <x:c r="C1225" s="3" t="n">
        <x:v>6</x:v>
      </x:c>
      <x:c r="D1225" s="51" t="n">
        <x:v>40854</x:v>
      </x:c>
      <x:c r="E1225" s="3" t="str">
        <x:v>Recurrente</x:v>
      </x:c>
      <x:c r="F1225" s="13" t="n">
        <x:v>1445.01</x:v>
      </x:c>
      <x:c r="G1225" s="13" t="n">
        <x:v>12.75</x:v>
      </x:c>
      <x:c r="H1225" s="13" t="n">
        <x:f>F1225-G1225</x:f>
        <x:v>1432.26</x:v>
      </x:c>
      <x:c r="I1225" s="13" t="n">
        <x:f>IF(C1225=0,"n.a.",F1225/C1225)</x:f>
        <x:v>240.835</x:v>
      </x:c>
      <x:c r="J1225" s="3"/>
      <x:c r="K1225" s="3"/>
      <x:c r="L1225" s="3"/>
    </x:row>
    <x:row r="1226" ht="22" customHeight="1">
      <x:c r="A1226" s="3"/>
      <x:c r="B1226" s="3" t="str">
        <x:v>14566</x:v>
      </x:c>
      <x:c r="C1226" s="3" t="n">
        <x:v>1</x:v>
      </x:c>
      <x:c r="D1226" s="51" t="n">
        <x:v>40776</x:v>
      </x:c>
      <x:c r="E1226" s="3" t="str">
        <x:v>Una compra</x:v>
      </x:c>
      <x:c r="F1226" s="13" t="n">
        <x:v>1432</x:v>
      </x:c>
      <x:c r="G1226" s="13" t="n">
        <x:v>0</x:v>
      </x:c>
      <x:c r="H1226" s="13" t="n">
        <x:f>F1226-G1226</x:f>
        <x:v>1432</x:v>
      </x:c>
      <x:c r="I1226" s="13" t="n">
        <x:f>IF(C1226=0,"n.a.",F1226/C1226)</x:f>
        <x:v>1432</x:v>
      </x:c>
      <x:c r="J1226" s="3"/>
      <x:c r="K1226" s="3"/>
      <x:c r="L1226" s="3"/>
    </x:row>
    <x:row r="1227" ht="22" customHeight="1">
      <x:c r="A1227" s="3"/>
      <x:c r="B1227" s="3" t="str">
        <x:v>13475</x:v>
      </x:c>
      <x:c r="C1227" s="3" t="n">
        <x:v>4</x:v>
      </x:c>
      <x:c r="D1227" s="51" t="n">
        <x:v>40695</x:v>
      </x:c>
      <x:c r="E1227" s="3" t="str">
        <x:v>Recurrente</x:v>
      </x:c>
      <x:c r="F1227" s="13" t="n">
        <x:v>1431.78</x:v>
      </x:c>
      <x:c r="G1227" s="13" t="n">
        <x:v>0</x:v>
      </x:c>
      <x:c r="H1227" s="13" t="n">
        <x:f>F1227-G1227</x:f>
        <x:v>1431.78</x:v>
      </x:c>
      <x:c r="I1227" s="13" t="n">
        <x:f>IF(C1227=0,"n.a.",F1227/C1227)</x:f>
        <x:v>357.945</x:v>
      </x:c>
      <x:c r="J1227" s="3"/>
      <x:c r="K1227" s="3"/>
      <x:c r="L1227" s="3"/>
    </x:row>
    <x:row r="1228" ht="22" customHeight="1">
      <x:c r="A1228" s="3"/>
      <x:c r="B1228" s="3" t="str">
        <x:v>17175</x:v>
      </x:c>
      <x:c r="C1228" s="3" t="n">
        <x:v>4</x:v>
      </x:c>
      <x:c r="D1228" s="51" t="n">
        <x:v>40842</x:v>
      </x:c>
      <x:c r="E1228" s="3" t="str">
        <x:v>Recurrente</x:v>
      </x:c>
      <x:c r="F1228" s="13" t="n">
        <x:v>1443.69</x:v>
      </x:c>
      <x:c r="G1228" s="13" t="n">
        <x:v>12.75</x:v>
      </x:c>
      <x:c r="H1228" s="13" t="n">
        <x:f>F1228-G1228</x:f>
        <x:v>1430.94</x:v>
      </x:c>
      <x:c r="I1228" s="13" t="n">
        <x:f>IF(C1228=0,"n.a.",F1228/C1228)</x:f>
        <x:v>360.9225</x:v>
      </x:c>
      <x:c r="J1228" s="3"/>
      <x:c r="K1228" s="3"/>
      <x:c r="L1228" s="3"/>
    </x:row>
    <x:row r="1229" ht="22" customHeight="1">
      <x:c r="A1229" s="3"/>
      <x:c r="B1229" s="3" t="str">
        <x:v>15426</x:v>
      </x:c>
      <x:c r="C1229" s="3" t="n">
        <x:v>5</x:v>
      </x:c>
      <x:c r="D1229" s="51" t="n">
        <x:v>40867</x:v>
      </x:c>
      <x:c r="E1229" s="3" t="str">
        <x:v>Recurrente</x:v>
      </x:c>
      <x:c r="F1229" s="13" t="n">
        <x:v>1447.39</x:v>
      </x:c>
      <x:c r="G1229" s="13" t="n">
        <x:v>17.49</x:v>
      </x:c>
      <x:c r="H1229" s="13" t="n">
        <x:f>F1229-G1229</x:f>
        <x:v>1429.9</x:v>
      </x:c>
      <x:c r="I1229" s="13" t="n">
        <x:f>IF(C1229=0,"n.a.",F1229/C1229)</x:f>
        <x:v>289.478</x:v>
      </x:c>
      <x:c r="J1229" s="3"/>
      <x:c r="K1229" s="3"/>
      <x:c r="L1229" s="3"/>
    </x:row>
    <x:row r="1230" ht="22" customHeight="1">
      <x:c r="A1230" s="3"/>
      <x:c r="B1230" s="3" t="str">
        <x:v>16103</x:v>
      </x:c>
      <x:c r="C1230" s="3" t="n">
        <x:v>6</x:v>
      </x:c>
      <x:c r="D1230" s="51" t="n">
        <x:v>40879</x:v>
      </x:c>
      <x:c r="E1230" s="3" t="str">
        <x:v>Recurrente</x:v>
      </x:c>
      <x:c r="F1230" s="13" t="n">
        <x:v>1429.64</x:v>
      </x:c>
      <x:c r="G1230" s="13" t="n">
        <x:v>0</x:v>
      </x:c>
      <x:c r="H1230" s="13" t="n">
        <x:f>F1230-G1230</x:f>
        <x:v>1429.64</x:v>
      </x:c>
      <x:c r="I1230" s="13" t="n">
        <x:f>IF(C1230=0,"n.a.",F1230/C1230)</x:f>
        <x:v>238.27333333333334</x:v>
      </x:c>
      <x:c r="J1230" s="3"/>
      <x:c r="K1230" s="3"/>
      <x:c r="L1230" s="3"/>
    </x:row>
    <x:row r="1231" ht="22" customHeight="1">
      <x:c r="A1231" s="3"/>
      <x:c r="B1231" s="3" t="str">
        <x:v>14035</x:v>
      </x:c>
      <x:c r="C1231" s="3" t="n">
        <x:v>5</x:v>
      </x:c>
      <x:c r="D1231" s="51" t="n">
        <x:v>40858</x:v>
      </x:c>
      <x:c r="E1231" s="3" t="str">
        <x:v>Recurrente</x:v>
      </x:c>
      <x:c r="F1231" s="13" t="n">
        <x:v>1428.02</x:v>
      </x:c>
      <x:c r="G1231" s="13" t="n">
        <x:v>0</x:v>
      </x:c>
      <x:c r="H1231" s="13" t="n">
        <x:f>F1231-G1231</x:f>
        <x:v>1428.02</x:v>
      </x:c>
      <x:c r="I1231" s="13" t="n">
        <x:f>IF(C1231=0,"n.a.",F1231/C1231)</x:f>
        <x:v>285.604</x:v>
      </x:c>
      <x:c r="J1231" s="3"/>
      <x:c r="K1231" s="3"/>
      <x:c r="L1231" s="3"/>
    </x:row>
    <x:row r="1232" ht="22" customHeight="1">
      <x:c r="A1232" s="3"/>
      <x:c r="B1232" s="3" t="str">
        <x:v>12669</x:v>
      </x:c>
      <x:c r="C1232" s="3" t="n">
        <x:v>2</x:v>
      </x:c>
      <x:c r="D1232" s="51" t="n">
        <x:v>40736</x:v>
      </x:c>
      <x:c r="E1232" s="3" t="str">
        <x:v>Recurrente</x:v>
      </x:c>
      <x:c r="F1232" s="13" t="n">
        <x:v>1427.73</x:v>
      </x:c>
      <x:c r="G1232" s="13" t="n">
        <x:v>0</x:v>
      </x:c>
      <x:c r="H1232" s="13" t="n">
        <x:f>F1232-G1232</x:f>
        <x:v>1427.73</x:v>
      </x:c>
      <x:c r="I1232" s="13" t="n">
        <x:f>IF(C1232=0,"n.a.",F1232/C1232)</x:f>
        <x:v>713.865</x:v>
      </x:c>
      <x:c r="J1232" s="3"/>
      <x:c r="K1232" s="3"/>
      <x:c r="L1232" s="3"/>
    </x:row>
    <x:row r="1233" ht="22" customHeight="1">
      <x:c r="A1233" s="3"/>
      <x:c r="B1233" s="3" t="str">
        <x:v>16996</x:v>
      </x:c>
      <x:c r="C1233" s="3" t="n">
        <x:v>6</x:v>
      </x:c>
      <x:c r="D1233" s="51" t="n">
        <x:v>40856</x:v>
      </x:c>
      <x:c r="E1233" s="3" t="str">
        <x:v>Recurrente</x:v>
      </x:c>
      <x:c r="F1233" s="13" t="n">
        <x:v>1456.96</x:v>
      </x:c>
      <x:c r="G1233" s="13" t="n">
        <x:v>29.5</x:v>
      </x:c>
      <x:c r="H1233" s="13" t="n">
        <x:f>F1233-G1233</x:f>
        <x:v>1427.46</x:v>
      </x:c>
      <x:c r="I1233" s="13" t="n">
        <x:f>IF(C1233=0,"n.a.",F1233/C1233)</x:f>
        <x:v>242.82666666666668</x:v>
      </x:c>
      <x:c r="J1233" s="3"/>
      <x:c r="K1233" s="3"/>
      <x:c r="L1233" s="3"/>
    </x:row>
    <x:row r="1234" ht="22" customHeight="1">
      <x:c r="A1234" s="3"/>
      <x:c r="B1234" s="3" t="str">
        <x:v>14403</x:v>
      </x:c>
      <x:c r="C1234" s="3" t="n">
        <x:v>4</x:v>
      </x:c>
      <x:c r="D1234" s="51" t="n">
        <x:v>40756</x:v>
      </x:c>
      <x:c r="E1234" s="3" t="str">
        <x:v>Recurrente</x:v>
      </x:c>
      <x:c r="F1234" s="13" t="n">
        <x:v>1475.81</x:v>
      </x:c>
      <x:c r="G1234" s="13" t="n">
        <x:v>49.5</x:v>
      </x:c>
      <x:c r="H1234" s="13" t="n">
        <x:f>F1234-G1234</x:f>
        <x:v>1426.31</x:v>
      </x:c>
      <x:c r="I1234" s="13" t="n">
        <x:f>IF(C1234=0,"n.a.",F1234/C1234)</x:f>
        <x:v>368.9525</x:v>
      </x:c>
      <x:c r="J1234" s="3"/>
      <x:c r="K1234" s="3"/>
      <x:c r="L1234" s="3"/>
    </x:row>
    <x:row r="1235" ht="22" customHeight="1">
      <x:c r="A1235" s="3"/>
      <x:c r="B1235" s="3" t="str">
        <x:v>15128</x:v>
      </x:c>
      <x:c r="C1235" s="3" t="n">
        <x:v>4</x:v>
      </x:c>
      <x:c r="D1235" s="51" t="n">
        <x:v>40826</x:v>
      </x:c>
      <x:c r="E1235" s="3" t="str">
        <x:v>Recurrente</x:v>
      </x:c>
      <x:c r="F1235" s="13" t="n">
        <x:v>1471</x:v>
      </x:c>
      <x:c r="G1235" s="13" t="n">
        <x:v>47.75</x:v>
      </x:c>
      <x:c r="H1235" s="13" t="n">
        <x:f>F1235-G1235</x:f>
        <x:v>1423.25</x:v>
      </x:c>
      <x:c r="I1235" s="13" t="n">
        <x:f>IF(C1235=0,"n.a.",F1235/C1235)</x:f>
        <x:v>367.75</x:v>
      </x:c>
      <x:c r="J1235" s="3"/>
      <x:c r="K1235" s="3"/>
      <x:c r="L1235" s="3"/>
    </x:row>
    <x:row r="1236" ht="22" customHeight="1">
      <x:c r="A1236" s="3"/>
      <x:c r="B1236" s="3" t="str">
        <x:v>14740</x:v>
      </x:c>
      <x:c r="C1236" s="3" t="n">
        <x:v>3</x:v>
      </x:c>
      <x:c r="D1236" s="51" t="n">
        <x:v>40689</x:v>
      </x:c>
      <x:c r="E1236" s="3" t="str">
        <x:v>Recurrente</x:v>
      </x:c>
      <x:c r="F1236" s="13" t="n">
        <x:v>1448.21</x:v>
      </x:c>
      <x:c r="G1236" s="13" t="n">
        <x:v>25</x:v>
      </x:c>
      <x:c r="H1236" s="13" t="n">
        <x:f>F1236-G1236</x:f>
        <x:v>1423.21</x:v>
      </x:c>
      <x:c r="I1236" s="13" t="n">
        <x:f>IF(C1236=0,"n.a.",F1236/C1236)</x:f>
        <x:v>482.7366666666667</x:v>
      </x:c>
      <x:c r="J1236" s="3"/>
      <x:c r="K1236" s="3"/>
      <x:c r="L1236" s="3"/>
    </x:row>
    <x:row r="1237" ht="22" customHeight="1">
      <x:c r="A1237" s="3"/>
      <x:c r="B1237" s="3" t="str">
        <x:v>17063</x:v>
      </x:c>
      <x:c r="C1237" s="3" t="n">
        <x:v>7</x:v>
      </x:c>
      <x:c r="D1237" s="51" t="n">
        <x:v>40865</x:v>
      </x:c>
      <x:c r="E1237" s="3" t="str">
        <x:v>Recurrente</x:v>
      </x:c>
      <x:c r="F1237" s="13" t="n">
        <x:v>1461.14</x:v>
      </x:c>
      <x:c r="G1237" s="13" t="n">
        <x:v>39.55</x:v>
      </x:c>
      <x:c r="H1237" s="13" t="n">
        <x:f>F1237-G1237</x:f>
        <x:v>1421.5900000000001</x:v>
      </x:c>
      <x:c r="I1237" s="13" t="n">
        <x:f>IF(C1237=0,"n.a.",F1237/C1237)</x:f>
        <x:v>208.73428571428573</x:v>
      </x:c>
      <x:c r="J1237" s="3"/>
      <x:c r="K1237" s="3"/>
      <x:c r="L1237" s="3"/>
    </x:row>
    <x:row r="1238" ht="22" customHeight="1">
      <x:c r="A1238" s="3"/>
      <x:c r="B1238" s="3" t="str">
        <x:v>16503</x:v>
      </x:c>
      <x:c r="C1238" s="3" t="n">
        <x:v>4</x:v>
      </x:c>
      <x:c r="D1238" s="51" t="n">
        <x:v>40780</x:v>
      </x:c>
      <x:c r="E1238" s="3" t="str">
        <x:v>Recurrente</x:v>
      </x:c>
      <x:c r="F1238" s="13" t="n">
        <x:v>1431.93</x:v>
      </x:c>
      <x:c r="G1238" s="13" t="n">
        <x:v>10.5</x:v>
      </x:c>
      <x:c r="H1238" s="13" t="n">
        <x:f>F1238-G1238</x:f>
        <x:v>1421.43</x:v>
      </x:c>
      <x:c r="I1238" s="13" t="n">
        <x:f>IF(C1238=0,"n.a.",F1238/C1238)</x:f>
        <x:v>357.9825</x:v>
      </x:c>
      <x:c r="J1238" s="3"/>
      <x:c r="K1238" s="3"/>
      <x:c r="L1238" s="3"/>
    </x:row>
    <x:row r="1239" ht="22" customHeight="1">
      <x:c r="A1239" s="3"/>
      <x:c r="B1239" s="3" t="str">
        <x:v>17288</x:v>
      </x:c>
      <x:c r="C1239" s="3" t="n">
        <x:v>7</x:v>
      </x:c>
      <x:c r="D1239" s="51" t="n">
        <x:v>40877</x:v>
      </x:c>
      <x:c r="E1239" s="3" t="str">
        <x:v>Recurrente</x:v>
      </x:c>
      <x:c r="F1239" s="13" t="n">
        <x:v>1419.73</x:v>
      </x:c>
      <x:c r="G1239" s="13" t="n">
        <x:v>0</x:v>
      </x:c>
      <x:c r="H1239" s="13" t="n">
        <x:f>F1239-G1239</x:f>
        <x:v>1419.73</x:v>
      </x:c>
      <x:c r="I1239" s="13" t="n">
        <x:f>IF(C1239=0,"n.a.",F1239/C1239)</x:f>
        <x:v>202.81857142857143</x:v>
      </x:c>
      <x:c r="J1239" s="3"/>
      <x:c r="K1239" s="3"/>
      <x:c r="L1239" s="3"/>
    </x:row>
    <x:row r="1240" ht="22" customHeight="1">
      <x:c r="A1240" s="3"/>
      <x:c r="B1240" s="3" t="str">
        <x:v>15444</x:v>
      </x:c>
      <x:c r="C1240" s="3" t="n">
        <x:v>2</x:v>
      </x:c>
      <x:c r="D1240" s="51" t="n">
        <x:v>40877</x:v>
      </x:c>
      <x:c r="E1240" s="3" t="str">
        <x:v>Recurrente</x:v>
      </x:c>
      <x:c r="F1240" s="13" t="n">
        <x:v>1418.26</x:v>
      </x:c>
      <x:c r="G1240" s="13" t="n">
        <x:v>0</x:v>
      </x:c>
      <x:c r="H1240" s="13" t="n">
        <x:f>F1240-G1240</x:f>
        <x:v>1418.26</x:v>
      </x:c>
      <x:c r="I1240" s="13" t="n">
        <x:f>IF(C1240=0,"n.a.",F1240/C1240)</x:f>
        <x:v>709.13</x:v>
      </x:c>
      <x:c r="J1240" s="3"/>
      <x:c r="K1240" s="3"/>
      <x:c r="L1240" s="3"/>
    </x:row>
    <x:row r="1241" ht="22" customHeight="1">
      <x:c r="A1241" s="3"/>
      <x:c r="B1241" s="3" t="str">
        <x:v>14649</x:v>
      </x:c>
      <x:c r="C1241" s="3" t="n">
        <x:v>4</x:v>
      </x:c>
      <x:c r="D1241" s="51" t="n">
        <x:v>40882</x:v>
      </x:c>
      <x:c r="E1241" s="3" t="str">
        <x:v>Recurrente</x:v>
      </x:c>
      <x:c r="F1241" s="13" t="n">
        <x:v>1417.29</x:v>
      </x:c>
      <x:c r="G1241" s="13" t="n">
        <x:v>0</x:v>
      </x:c>
      <x:c r="H1241" s="13" t="n">
        <x:f>F1241-G1241</x:f>
        <x:v>1417.29</x:v>
      </x:c>
      <x:c r="I1241" s="13" t="n">
        <x:f>IF(C1241=0,"n.a.",F1241/C1241)</x:f>
        <x:v>354.3225</x:v>
      </x:c>
      <x:c r="J1241" s="3"/>
      <x:c r="K1241" s="3"/>
      <x:c r="L1241" s="3"/>
    </x:row>
    <x:row r="1242" ht="22" customHeight="1">
      <x:c r="A1242" s="3"/>
      <x:c r="B1242" s="3" t="str">
        <x:v>16012</x:v>
      </x:c>
      <x:c r="C1242" s="3" t="n">
        <x:v>3</x:v>
      </x:c>
      <x:c r="D1242" s="51" t="n">
        <x:v>40851</x:v>
      </x:c>
      <x:c r="E1242" s="3" t="str">
        <x:v>Recurrente</x:v>
      </x:c>
      <x:c r="F1242" s="13" t="n">
        <x:v>1415.29</x:v>
      </x:c>
      <x:c r="G1242" s="13" t="n">
        <x:v>0</x:v>
      </x:c>
      <x:c r="H1242" s="13" t="n">
        <x:f>F1242-G1242</x:f>
        <x:v>1415.29</x:v>
      </x:c>
      <x:c r="I1242" s="13" t="n">
        <x:f>IF(C1242=0,"n.a.",F1242/C1242)</x:f>
        <x:v>471.7633333333333</x:v>
      </x:c>
      <x:c r="J1242" s="3"/>
      <x:c r="K1242" s="3"/>
      <x:c r="L1242" s="3"/>
    </x:row>
    <x:row r="1243" ht="22" customHeight="1">
      <x:c r="A1243" s="3"/>
      <x:c r="B1243" s="3" t="str">
        <x:v>14901</x:v>
      </x:c>
      <x:c r="C1243" s="3" t="n">
        <x:v>9</x:v>
      </x:c>
      <x:c r="D1243" s="51" t="n">
        <x:v>40875</x:v>
      </x:c>
      <x:c r="E1243" s="3" t="str">
        <x:v>Recurrente</x:v>
      </x:c>
      <x:c r="F1243" s="13" t="n">
        <x:v>1421.29</x:v>
      </x:c>
      <x:c r="G1243" s="13" t="n">
        <x:v>6.3</x:v>
      </x:c>
      <x:c r="H1243" s="13" t="n">
        <x:f>F1243-G1243</x:f>
        <x:v>1414.99</x:v>
      </x:c>
      <x:c r="I1243" s="13" t="n">
        <x:f>IF(C1243=0,"n.a.",F1243/C1243)</x:f>
        <x:v>157.92111111111112</x:v>
      </x:c>
      <x:c r="J1243" s="3"/>
      <x:c r="K1243" s="3"/>
      <x:c r="L1243" s="3"/>
    </x:row>
    <x:row r="1244" ht="22" customHeight="1">
      <x:c r="A1244" s="3"/>
      <x:c r="B1244" s="3" t="str">
        <x:v>18116</x:v>
      </x:c>
      <x:c r="C1244" s="3" t="n">
        <x:v>8</x:v>
      </x:c>
      <x:c r="D1244" s="51" t="n">
        <x:v>40819</x:v>
      </x:c>
      <x:c r="E1244" s="3" t="str">
        <x:v>Recurrente</x:v>
      </x:c>
      <x:c r="F1244" s="13" t="n">
        <x:v>1414.43</x:v>
      </x:c>
      <x:c r="G1244" s="13" t="n">
        <x:v>0</x:v>
      </x:c>
      <x:c r="H1244" s="13" t="n">
        <x:f>F1244-G1244</x:f>
        <x:v>1414.43</x:v>
      </x:c>
      <x:c r="I1244" s="13" t="n">
        <x:f>IF(C1244=0,"n.a.",F1244/C1244)</x:f>
        <x:v>176.80375</x:v>
      </x:c>
      <x:c r="J1244" s="3"/>
      <x:c r="K1244" s="3"/>
      <x:c r="L1244" s="3"/>
    </x:row>
    <x:row r="1245" ht="22" customHeight="1">
      <x:c r="A1245" s="3"/>
      <x:c r="B1245" s="3" t="str">
        <x:v>17004</x:v>
      </x:c>
      <x:c r="C1245" s="3" t="n">
        <x:v>2</x:v>
      </x:c>
      <x:c r="D1245" s="51" t="n">
        <x:v>40840</x:v>
      </x:c>
      <x:c r="E1245" s="3" t="str">
        <x:v>Recurrente</x:v>
      </x:c>
      <x:c r="F1245" s="13" t="n">
        <x:v>1412.94</x:v>
      </x:c>
      <x:c r="G1245" s="13" t="n">
        <x:v>0</x:v>
      </x:c>
      <x:c r="H1245" s="13" t="n">
        <x:f>F1245-G1245</x:f>
        <x:v>1412.94</x:v>
      </x:c>
      <x:c r="I1245" s="13" t="n">
        <x:f>IF(C1245=0,"n.a.",F1245/C1245)</x:f>
        <x:v>706.47</x:v>
      </x:c>
      <x:c r="J1245" s="3"/>
      <x:c r="K1245" s="3"/>
      <x:c r="L1245" s="3"/>
    </x:row>
    <x:row r="1246" ht="22" customHeight="1">
      <x:c r="A1246" s="3"/>
      <x:c r="B1246" s="3" t="str">
        <x:v>15237</x:v>
      </x:c>
      <x:c r="C1246" s="3" t="n">
        <x:v>4</x:v>
      </x:c>
      <x:c r="D1246" s="51" t="n">
        <x:v>40885</x:v>
      </x:c>
      <x:c r="E1246" s="3" t="str">
        <x:v>Recurrente</x:v>
      </x:c>
      <x:c r="F1246" s="13" t="n">
        <x:v>1412.32</x:v>
      </x:c>
      <x:c r="G1246" s="13" t="n">
        <x:v>0</x:v>
      </x:c>
      <x:c r="H1246" s="13" t="n">
        <x:f>F1246-G1246</x:f>
        <x:v>1412.32</x:v>
      </x:c>
      <x:c r="I1246" s="13" t="n">
        <x:f>IF(C1246=0,"n.a.",F1246/C1246)</x:f>
        <x:v>353.08</x:v>
      </x:c>
      <x:c r="J1246" s="3"/>
      <x:c r="K1246" s="3"/>
      <x:c r="L1246" s="3"/>
    </x:row>
    <x:row r="1247" ht="22" customHeight="1">
      <x:c r="A1247" s="3"/>
      <x:c r="B1247" s="3" t="str">
        <x:v>16394</x:v>
      </x:c>
      <x:c r="C1247" s="3" t="n">
        <x:v>5</x:v>
      </x:c>
      <x:c r="D1247" s="51" t="n">
        <x:v>40830</x:v>
      </x:c>
      <x:c r="E1247" s="3" t="str">
        <x:v>Recurrente</x:v>
      </x:c>
      <x:c r="F1247" s="13" t="n">
        <x:v>1555.34</x:v>
      </x:c>
      <x:c r="G1247" s="13" t="n">
        <x:v>143.28</x:v>
      </x:c>
      <x:c r="H1247" s="13" t="n">
        <x:f>F1247-G1247</x:f>
        <x:v>1412.06</x:v>
      </x:c>
      <x:c r="I1247" s="13" t="n">
        <x:f>IF(C1247=0,"n.a.",F1247/C1247)</x:f>
        <x:v>311.068</x:v>
      </x:c>
      <x:c r="J1247" s="3"/>
      <x:c r="K1247" s="3"/>
      <x:c r="L1247" s="3"/>
    </x:row>
    <x:row r="1248" ht="22" customHeight="1">
      <x:c r="A1248" s="3"/>
      <x:c r="B1248" s="3" t="str">
        <x:v>12759</x:v>
      </x:c>
      <x:c r="C1248" s="3" t="n">
        <x:v>3</x:v>
      </x:c>
      <x:c r="D1248" s="51" t="n">
        <x:v>40834</x:v>
      </x:c>
      <x:c r="E1248" s="3" t="str">
        <x:v>Recurrente</x:v>
      </x:c>
      <x:c r="F1248" s="13" t="n">
        <x:v>1411.44</x:v>
      </x:c>
      <x:c r="G1248" s="13" t="n">
        <x:v>0</x:v>
      </x:c>
      <x:c r="H1248" s="13" t="n">
        <x:f>F1248-G1248</x:f>
        <x:v>1411.44</x:v>
      </x:c>
      <x:c r="I1248" s="13" t="n">
        <x:f>IF(C1248=0,"n.a.",F1248/C1248)</x:f>
        <x:v>470.48</x:v>
      </x:c>
      <x:c r="J1248" s="3"/>
      <x:c r="K1248" s="3"/>
      <x:c r="L1248" s="3"/>
    </x:row>
    <x:row r="1249" ht="22" customHeight="1">
      <x:c r="A1249" s="3"/>
      <x:c r="B1249" s="3" t="str">
        <x:v>16271</x:v>
      </x:c>
      <x:c r="C1249" s="3" t="n">
        <x:v>4</x:v>
      </x:c>
      <x:c r="D1249" s="51" t="n">
        <x:v>40871</x:v>
      </x:c>
      <x:c r="E1249" s="3" t="str">
        <x:v>Recurrente</x:v>
      </x:c>
      <x:c r="F1249" s="13" t="n">
        <x:v>1414.24</x:v>
      </x:c>
      <x:c r="G1249" s="13" t="n">
        <x:v>5.95</x:v>
      </x:c>
      <x:c r="H1249" s="13" t="n">
        <x:f>F1249-G1249</x:f>
        <x:v>1408.29</x:v>
      </x:c>
      <x:c r="I1249" s="13" t="n">
        <x:f>IF(C1249=0,"n.a.",F1249/C1249)</x:f>
        <x:v>353.56</x:v>
      </x:c>
      <x:c r="J1249" s="3"/>
      <x:c r="K1249" s="3"/>
      <x:c r="L1249" s="3"/>
    </x:row>
    <x:row r="1250" ht="22" customHeight="1">
      <x:c r="A1250" s="3"/>
      <x:c r="B1250" s="3" t="str">
        <x:v>15106</x:v>
      </x:c>
      <x:c r="C1250" s="3" t="n">
        <x:v>5</x:v>
      </x:c>
      <x:c r="D1250" s="51" t="n">
        <x:v>40869</x:v>
      </x:c>
      <x:c r="E1250" s="3" t="str">
        <x:v>Recurrente</x:v>
      </x:c>
      <x:c r="F1250" s="13" t="n">
        <x:v>1422.52</x:v>
      </x:c>
      <x:c r="G1250" s="13" t="n">
        <x:v>14.79</x:v>
      </x:c>
      <x:c r="H1250" s="13" t="n">
        <x:f>F1250-G1250</x:f>
        <x:v>1407.73</x:v>
      </x:c>
      <x:c r="I1250" s="13" t="n">
        <x:f>IF(C1250=0,"n.a.",F1250/C1250)</x:f>
        <x:v>284.504</x:v>
      </x:c>
      <x:c r="J1250" s="3"/>
      <x:c r="K1250" s="3"/>
      <x:c r="L1250" s="3"/>
    </x:row>
    <x:row r="1251" ht="22" customHeight="1">
      <x:c r="A1251" s="3"/>
      <x:c r="B1251" s="3" t="str">
        <x:v>12947</x:v>
      </x:c>
      <x:c r="C1251" s="3" t="n">
        <x:v>6</x:v>
      </x:c>
      <x:c r="D1251" s="51" t="n">
        <x:v>40743</x:v>
      </x:c>
      <x:c r="E1251" s="3" t="str">
        <x:v>Recurrente</x:v>
      </x:c>
      <x:c r="F1251" s="13" t="n">
        <x:v>1603.99</x:v>
      </x:c>
      <x:c r="G1251" s="13" t="n">
        <x:v>196.7</x:v>
      </x:c>
      <x:c r="H1251" s="13" t="n">
        <x:f>F1251-G1251</x:f>
        <x:v>1407.29</x:v>
      </x:c>
      <x:c r="I1251" s="13" t="n">
        <x:f>IF(C1251=0,"n.a.",F1251/C1251)</x:f>
        <x:v>267.33166666666665</x:v>
      </x:c>
      <x:c r="J1251" s="3"/>
      <x:c r="K1251" s="3"/>
      <x:c r="L1251" s="3"/>
    </x:row>
    <x:row r="1252" ht="22" customHeight="1">
      <x:c r="A1252" s="3"/>
      <x:c r="B1252" s="3" t="str">
        <x:v>16173</x:v>
      </x:c>
      <x:c r="C1252" s="3" t="n">
        <x:v>6</x:v>
      </x:c>
      <x:c r="D1252" s="51" t="n">
        <x:v>40871</x:v>
      </x:c>
      <x:c r="E1252" s="3" t="str">
        <x:v>Recurrente</x:v>
      </x:c>
      <x:c r="F1252" s="13" t="n">
        <x:v>1418.32</x:v>
      </x:c>
      <x:c r="G1252" s="13" t="n">
        <x:v>11.75</x:v>
      </x:c>
      <x:c r="H1252" s="13" t="n">
        <x:f>F1252-G1252</x:f>
        <x:v>1406.57</x:v>
      </x:c>
      <x:c r="I1252" s="13" t="n">
        <x:f>IF(C1252=0,"n.a.",F1252/C1252)</x:f>
        <x:v>236.38666666666666</x:v>
      </x:c>
      <x:c r="J1252" s="3"/>
      <x:c r="K1252" s="3"/>
      <x:c r="L1252" s="3"/>
    </x:row>
    <x:row r="1253" ht="22" customHeight="1">
      <x:c r="A1253" s="3"/>
      <x:c r="B1253" s="3" t="str">
        <x:v>17083</x:v>
      </x:c>
      <x:c r="C1253" s="3" t="n">
        <x:v>3</x:v>
      </x:c>
      <x:c r="D1253" s="51" t="n">
        <x:v>40777</x:v>
      </x:c>
      <x:c r="E1253" s="3" t="str">
        <x:v>Recurrente</x:v>
      </x:c>
      <x:c r="F1253" s="13" t="n">
        <x:v>1405.78</x:v>
      </x:c>
      <x:c r="G1253" s="13" t="n">
        <x:v>0</x:v>
      </x:c>
      <x:c r="H1253" s="13" t="n">
        <x:f>F1253-G1253</x:f>
        <x:v>1405.78</x:v>
      </x:c>
      <x:c r="I1253" s="13" t="n">
        <x:f>IF(C1253=0,"n.a.",F1253/C1253)</x:f>
        <x:v>468.5933333333333</x:v>
      </x:c>
      <x:c r="J1253" s="3"/>
      <x:c r="K1253" s="3"/>
      <x:c r="L1253" s="3"/>
    </x:row>
    <x:row r="1254" ht="22" customHeight="1">
      <x:c r="A1254" s="3"/>
      <x:c r="B1254" s="3" t="str">
        <x:v>14443</x:v>
      </x:c>
      <x:c r="C1254" s="3" t="n">
        <x:v>4</x:v>
      </x:c>
      <x:c r="D1254" s="51" t="n">
        <x:v>40833</x:v>
      </x:c>
      <x:c r="E1254" s="3" t="str">
        <x:v>Recurrente</x:v>
      </x:c>
      <x:c r="F1254" s="13" t="n">
        <x:v>1420.2</x:v>
      </x:c>
      <x:c r="G1254" s="13" t="n">
        <x:v>19.32</x:v>
      </x:c>
      <x:c r="H1254" s="13" t="n">
        <x:f>F1254-G1254</x:f>
        <x:v>1400.88</x:v>
      </x:c>
      <x:c r="I1254" s="13" t="n">
        <x:f>IF(C1254=0,"n.a.",F1254/C1254)</x:f>
        <x:v>355.05</x:v>
      </x:c>
      <x:c r="J1254" s="3"/>
      <x:c r="K1254" s="3"/>
      <x:c r="L1254" s="3"/>
    </x:row>
    <x:row r="1255" ht="22" customHeight="1">
      <x:c r="A1255" s="3"/>
      <x:c r="B1255" s="3" t="str">
        <x:v>14741</x:v>
      </x:c>
      <x:c r="C1255" s="3" t="n">
        <x:v>6</x:v>
      </x:c>
      <x:c r="D1255" s="51" t="n">
        <x:v>40875</x:v>
      </x:c>
      <x:c r="E1255" s="3" t="str">
        <x:v>Recurrente</x:v>
      </x:c>
      <x:c r="F1255" s="13" t="n">
        <x:v>1400.34</x:v>
      </x:c>
      <x:c r="G1255" s="13" t="n">
        <x:v>0</x:v>
      </x:c>
      <x:c r="H1255" s="13" t="n">
        <x:f>F1255-G1255</x:f>
        <x:v>1400.34</x:v>
      </x:c>
      <x:c r="I1255" s="13" t="n">
        <x:f>IF(C1255=0,"n.a.",F1255/C1255)</x:f>
        <x:v>233.39</x:v>
      </x:c>
      <x:c r="J1255" s="3"/>
      <x:c r="K1255" s="3"/>
      <x:c r="L1255" s="3"/>
    </x:row>
    <x:row r="1256" ht="22" customHeight="1">
      <x:c r="A1256" s="3"/>
      <x:c r="B1256" s="3" t="str">
        <x:v>14019</x:v>
      </x:c>
      <x:c r="C1256" s="3" t="n">
        <x:v>3</x:v>
      </x:c>
      <x:c r="D1256" s="51" t="n">
        <x:v>40840</x:v>
      </x:c>
      <x:c r="E1256" s="3" t="str">
        <x:v>Recurrente</x:v>
      </x:c>
      <x:c r="F1256" s="13" t="n">
        <x:v>1421.61</x:v>
      </x:c>
      <x:c r="G1256" s="13" t="n">
        <x:v>22.65</x:v>
      </x:c>
      <x:c r="H1256" s="13" t="n">
        <x:f>F1256-G1256</x:f>
        <x:v>1398.9599999999998</x:v>
      </x:c>
      <x:c r="I1256" s="13" t="n">
        <x:f>IF(C1256=0,"n.a.",F1256/C1256)</x:f>
        <x:v>473.86999999999995</x:v>
      </x:c>
      <x:c r="J1256" s="3"/>
      <x:c r="K1256" s="3"/>
      <x:c r="L1256" s="3"/>
    </x:row>
    <x:row r="1257" ht="22" customHeight="1">
      <x:c r="A1257" s="3"/>
      <x:c r="B1257" s="3" t="str">
        <x:v>18202</x:v>
      </x:c>
      <x:c r="C1257" s="3" t="n">
        <x:v>3</x:v>
      </x:c>
      <x:c r="D1257" s="51" t="n">
        <x:v>40687</x:v>
      </x:c>
      <x:c r="E1257" s="3" t="str">
        <x:v>Recurrente</x:v>
      </x:c>
      <x:c r="F1257" s="13" t="n">
        <x:v>1396.99</x:v>
      </x:c>
      <x:c r="G1257" s="13" t="n">
        <x:v>0</x:v>
      </x:c>
      <x:c r="H1257" s="13" t="n">
        <x:f>F1257-G1257</x:f>
        <x:v>1396.99</x:v>
      </x:c>
      <x:c r="I1257" s="13" t="n">
        <x:f>IF(C1257=0,"n.a.",F1257/C1257)</x:f>
        <x:v>465.66333333333336</x:v>
      </x:c>
      <x:c r="J1257" s="3"/>
      <x:c r="K1257" s="3"/>
      <x:c r="L1257" s="3"/>
    </x:row>
    <x:row r="1258" ht="22" customHeight="1">
      <x:c r="A1258" s="3"/>
      <x:c r="B1258" s="3" t="str">
        <x:v>17856</x:v>
      </x:c>
      <x:c r="C1258" s="3" t="n">
        <x:v>4</x:v>
      </x:c>
      <x:c r="D1258" s="51" t="n">
        <x:v>40885</x:v>
      </x:c>
      <x:c r="E1258" s="3" t="str">
        <x:v>Recurrente</x:v>
      </x:c>
      <x:c r="F1258" s="13" t="n">
        <x:v>1418.03</x:v>
      </x:c>
      <x:c r="G1258" s="13" t="n">
        <x:v>24.24</x:v>
      </x:c>
      <x:c r="H1258" s="13" t="n">
        <x:f>F1258-G1258</x:f>
        <x:v>1393.79</x:v>
      </x:c>
      <x:c r="I1258" s="13" t="n">
        <x:f>IF(C1258=0,"n.a.",F1258/C1258)</x:f>
        <x:v>354.5075</x:v>
      </x:c>
      <x:c r="J1258" s="3"/>
      <x:c r="K1258" s="3"/>
      <x:c r="L1258" s="3"/>
    </x:row>
    <x:row r="1259" ht="22" customHeight="1">
      <x:c r="A1259" s="3"/>
      <x:c r="B1259" s="3" t="str">
        <x:v>17354</x:v>
      </x:c>
      <x:c r="C1259" s="3" t="n">
        <x:v>1</x:v>
      </x:c>
      <x:c r="D1259" s="51" t="n">
        <x:v>40836</x:v>
      </x:c>
      <x:c r="E1259" s="3" t="str">
        <x:v>Una compra</x:v>
      </x:c>
      <x:c r="F1259" s="13" t="n">
        <x:v>1393.06</x:v>
      </x:c>
      <x:c r="G1259" s="13" t="n">
        <x:v>0</x:v>
      </x:c>
      <x:c r="H1259" s="13" t="n">
        <x:f>F1259-G1259</x:f>
        <x:v>1393.06</x:v>
      </x:c>
      <x:c r="I1259" s="13" t="n">
        <x:f>IF(C1259=0,"n.a.",F1259/C1259)</x:f>
        <x:v>1393.06</x:v>
      </x:c>
      <x:c r="J1259" s="3"/>
      <x:c r="K1259" s="3"/>
      <x:c r="L1259" s="3"/>
    </x:row>
    <x:row r="1260" ht="22" customHeight="1">
      <x:c r="A1260" s="3"/>
      <x:c r="B1260" s="3" t="str">
        <x:v>15051</x:v>
      </x:c>
      <x:c r="C1260" s="3" t="n">
        <x:v>3</x:v>
      </x:c>
      <x:c r="D1260" s="51" t="n">
        <x:v>40863</x:v>
      </x:c>
      <x:c r="E1260" s="3" t="str">
        <x:v>Recurrente</x:v>
      </x:c>
      <x:c r="F1260" s="13" t="n">
        <x:v>1391.61</x:v>
      </x:c>
      <x:c r="G1260" s="13" t="n">
        <x:v>0</x:v>
      </x:c>
      <x:c r="H1260" s="13" t="n">
        <x:f>F1260-G1260</x:f>
        <x:v>1391.61</x:v>
      </x:c>
      <x:c r="I1260" s="13" t="n">
        <x:f>IF(C1260=0,"n.a.",F1260/C1260)</x:f>
        <x:v>463.86999999999995</x:v>
      </x:c>
      <x:c r="J1260" s="3"/>
      <x:c r="K1260" s="3"/>
      <x:c r="L1260" s="3"/>
    </x:row>
    <x:row r="1261" ht="22" customHeight="1">
      <x:c r="A1261" s="3"/>
      <x:c r="B1261" s="3" t="str">
        <x:v>13414</x:v>
      </x:c>
      <x:c r="C1261" s="3" t="n">
        <x:v>3</x:v>
      </x:c>
      <x:c r="D1261" s="51" t="n">
        <x:v>40753</x:v>
      </x:c>
      <x:c r="E1261" s="3" t="str">
        <x:v>Recurrente</x:v>
      </x:c>
      <x:c r="F1261" s="13" t="n">
        <x:v>1390.5</x:v>
      </x:c>
      <x:c r="G1261" s="13" t="n">
        <x:v>0</x:v>
      </x:c>
      <x:c r="H1261" s="13" t="n">
        <x:f>F1261-G1261</x:f>
        <x:v>1390.5</x:v>
      </x:c>
      <x:c r="I1261" s="13" t="n">
        <x:f>IF(C1261=0,"n.a.",F1261/C1261)</x:f>
        <x:v>463.5</x:v>
      </x:c>
      <x:c r="J1261" s="3"/>
      <x:c r="K1261" s="3"/>
      <x:c r="L1261" s="3"/>
    </x:row>
    <x:row r="1262" ht="22" customHeight="1">
      <x:c r="A1262" s="3"/>
      <x:c r="B1262" s="3" t="str">
        <x:v>12405</x:v>
      </x:c>
      <x:c r="C1262" s="3" t="n">
        <x:v>1</x:v>
      </x:c>
      <x:c r="D1262" s="51" t="n">
        <x:v>40738</x:v>
      </x:c>
      <x:c r="E1262" s="3" t="str">
        <x:v>Una compra</x:v>
      </x:c>
      <x:c r="F1262" s="13" t="n">
        <x:v>1390.39</x:v>
      </x:c>
      <x:c r="G1262" s="13" t="n">
        <x:v>0</x:v>
      </x:c>
      <x:c r="H1262" s="13" t="n">
        <x:f>F1262-G1262</x:f>
        <x:v>1390.39</x:v>
      </x:c>
      <x:c r="I1262" s="13" t="n">
        <x:f>IF(C1262=0,"n.a.",F1262/C1262)</x:f>
        <x:v>1390.39</x:v>
      </x:c>
      <x:c r="J1262" s="3"/>
      <x:c r="K1262" s="3"/>
      <x:c r="L1262" s="3"/>
    </x:row>
    <x:row r="1263" ht="22" customHeight="1">
      <x:c r="A1263" s="3"/>
      <x:c r="B1263" s="3" t="str">
        <x:v>13516</x:v>
      </x:c>
      <x:c r="C1263" s="3" t="n">
        <x:v>3</x:v>
      </x:c>
      <x:c r="D1263" s="51" t="n">
        <x:v>40865</x:v>
      </x:c>
      <x:c r="E1263" s="3" t="str">
        <x:v>Recurrente</x:v>
      </x:c>
      <x:c r="F1263" s="13" t="n">
        <x:v>1389.41</x:v>
      </x:c>
      <x:c r="G1263" s="13" t="n">
        <x:v>0</x:v>
      </x:c>
      <x:c r="H1263" s="13" t="n">
        <x:f>F1263-G1263</x:f>
        <x:v>1389.41</x:v>
      </x:c>
      <x:c r="I1263" s="13" t="n">
        <x:f>IF(C1263=0,"n.a.",F1263/C1263)</x:f>
        <x:v>463.1366666666667</x:v>
      </x:c>
      <x:c r="J1263" s="3"/>
      <x:c r="K1263" s="3"/>
      <x:c r="L1263" s="3"/>
    </x:row>
    <x:row r="1264" ht="22" customHeight="1">
      <x:c r="A1264" s="3"/>
      <x:c r="B1264" s="3" t="str">
        <x:v>16539</x:v>
      </x:c>
      <x:c r="C1264" s="3" t="n">
        <x:v>4</x:v>
      </x:c>
      <x:c r="D1264" s="51" t="n">
        <x:v>40884</x:v>
      </x:c>
      <x:c r="E1264" s="3" t="str">
        <x:v>Recurrente</x:v>
      </x:c>
      <x:c r="F1264" s="13" t="n">
        <x:v>1388.81</x:v>
      </x:c>
      <x:c r="G1264" s="13" t="n">
        <x:v>0</x:v>
      </x:c>
      <x:c r="H1264" s="13" t="n">
        <x:f>F1264-G1264</x:f>
        <x:v>1388.81</x:v>
      </x:c>
      <x:c r="I1264" s="13" t="n">
        <x:f>IF(C1264=0,"n.a.",F1264/C1264)</x:f>
        <x:v>347.2025</x:v>
      </x:c>
      <x:c r="J1264" s="3"/>
      <x:c r="K1264" s="3"/>
      <x:c r="L1264" s="3"/>
    </x:row>
    <x:row r="1265" ht="22" customHeight="1">
      <x:c r="A1265" s="3"/>
      <x:c r="B1265" s="3" t="str">
        <x:v>15453</x:v>
      </x:c>
      <x:c r="C1265" s="3" t="n">
        <x:v>7</x:v>
      </x:c>
      <x:c r="D1265" s="51" t="n">
        <x:v>40885</x:v>
      </x:c>
      <x:c r="E1265" s="3" t="str">
        <x:v>Recurrente</x:v>
      </x:c>
      <x:c r="F1265" s="13" t="n">
        <x:v>1388.37</x:v>
      </x:c>
      <x:c r="G1265" s="13" t="n">
        <x:v>0</x:v>
      </x:c>
      <x:c r="H1265" s="13" t="n">
        <x:f>F1265-G1265</x:f>
        <x:v>1388.37</x:v>
      </x:c>
      <x:c r="I1265" s="13" t="n">
        <x:f>IF(C1265=0,"n.a.",F1265/C1265)</x:f>
        <x:v>198.3385714285714</x:v>
      </x:c>
      <x:c r="J1265" s="3"/>
      <x:c r="K1265" s="3"/>
      <x:c r="L1265" s="3"/>
    </x:row>
    <x:row r="1266" ht="22" customHeight="1">
      <x:c r="A1266" s="3"/>
      <x:c r="B1266" s="3" t="str">
        <x:v>15134</x:v>
      </x:c>
      <x:c r="C1266" s="3" t="n">
        <x:v>8</x:v>
      </x:c>
      <x:c r="D1266" s="51" t="n">
        <x:v>40872</x:v>
      </x:c>
      <x:c r="E1266" s="3" t="str">
        <x:v>Recurrente</x:v>
      </x:c>
      <x:c r="F1266" s="13" t="n">
        <x:v>1387.99</x:v>
      </x:c>
      <x:c r="G1266" s="13" t="n">
        <x:v>0</x:v>
      </x:c>
      <x:c r="H1266" s="13" t="n">
        <x:f>F1266-G1266</x:f>
        <x:v>1387.99</x:v>
      </x:c>
      <x:c r="I1266" s="13" t="n">
        <x:f>IF(C1266=0,"n.a.",F1266/C1266)</x:f>
        <x:v>173.49875</x:v>
      </x:c>
      <x:c r="J1266" s="3"/>
      <x:c r="K1266" s="3"/>
      <x:c r="L1266" s="3"/>
    </x:row>
    <x:row r="1267" ht="22" customHeight="1">
      <x:c r="A1267" s="3"/>
      <x:c r="B1267" s="3" t="str">
        <x:v>17676</x:v>
      </x:c>
      <x:c r="C1267" s="3" t="n">
        <x:v>6</x:v>
      </x:c>
      <x:c r="D1267" s="51" t="n">
        <x:v>40882</x:v>
      </x:c>
      <x:c r="E1267" s="3" t="str">
        <x:v>Recurrente</x:v>
      </x:c>
      <x:c r="F1267" s="13" t="n">
        <x:v>1387.68</x:v>
      </x:c>
      <x:c r="G1267" s="13" t="n">
        <x:v>0</x:v>
      </x:c>
      <x:c r="H1267" s="13" t="n">
        <x:f>F1267-G1267</x:f>
        <x:v>1387.68</x:v>
      </x:c>
      <x:c r="I1267" s="13" t="n">
        <x:f>IF(C1267=0,"n.a.",F1267/C1267)</x:f>
        <x:v>231.28</x:v>
      </x:c>
      <x:c r="J1267" s="3"/>
      <x:c r="K1267" s="3"/>
      <x:c r="L1267" s="3"/>
    </x:row>
    <x:row r="1268" ht="22" customHeight="1">
      <x:c r="A1268" s="3"/>
      <x:c r="B1268" s="3" t="str">
        <x:v>17311</x:v>
      </x:c>
      <x:c r="C1268" s="3" t="n">
        <x:v>2</x:v>
      </x:c>
      <x:c r="D1268" s="51" t="n">
        <x:v>40808</x:v>
      </x:c>
      <x:c r="E1268" s="3" t="str">
        <x:v>Recurrente</x:v>
      </x:c>
      <x:c r="F1268" s="13" t="n">
        <x:v>1384.85</x:v>
      </x:c>
      <x:c r="G1268" s="13" t="n">
        <x:v>0</x:v>
      </x:c>
      <x:c r="H1268" s="13" t="n">
        <x:f>F1268-G1268</x:f>
        <x:v>1384.85</x:v>
      </x:c>
      <x:c r="I1268" s="13" t="n">
        <x:f>IF(C1268=0,"n.a.",F1268/C1268)</x:f>
        <x:v>692.425</x:v>
      </x:c>
      <x:c r="J1268" s="3"/>
      <x:c r="K1268" s="3"/>
      <x:c r="L1268" s="3"/>
    </x:row>
    <x:row r="1269" ht="22" customHeight="1">
      <x:c r="A1269" s="3"/>
      <x:c r="B1269" s="3" t="str">
        <x:v>15898</x:v>
      </x:c>
      <x:c r="C1269" s="3" t="n">
        <x:v>5</x:v>
      </x:c>
      <x:c r="D1269" s="51" t="n">
        <x:v>40885</x:v>
      </x:c>
      <x:c r="E1269" s="3" t="str">
        <x:v>Recurrente</x:v>
      </x:c>
      <x:c r="F1269" s="13" t="n">
        <x:v>1388.88</x:v>
      </x:c>
      <x:c r="G1269" s="13" t="n">
        <x:v>4.2</x:v>
      </x:c>
      <x:c r="H1269" s="13" t="n">
        <x:f>F1269-G1269</x:f>
        <x:v>1384.68</x:v>
      </x:c>
      <x:c r="I1269" s="13" t="n">
        <x:f>IF(C1269=0,"n.a.",F1269/C1269)</x:f>
        <x:v>277.776</x:v>
      </x:c>
      <x:c r="J1269" s="3"/>
      <x:c r="K1269" s="3"/>
      <x:c r="L1269" s="3"/>
    </x:row>
    <x:row r="1270" ht="22" customHeight="1">
      <x:c r="A1270" s="3"/>
      <x:c r="B1270" s="3" t="str">
        <x:v>13572</x:v>
      </x:c>
      <x:c r="C1270" s="3" t="n">
        <x:v>1</x:v>
      </x:c>
      <x:c r="D1270" s="51" t="n">
        <x:v>40681</x:v>
      </x:c>
      <x:c r="E1270" s="3" t="str">
        <x:v>Una compra</x:v>
      </x:c>
      <x:c r="F1270" s="13" t="n">
        <x:v>1384.25</x:v>
      </x:c>
      <x:c r="G1270" s="13" t="n">
        <x:v>0</x:v>
      </x:c>
      <x:c r="H1270" s="13" t="n">
        <x:f>F1270-G1270</x:f>
        <x:v>1384.25</x:v>
      </x:c>
      <x:c r="I1270" s="13" t="n">
        <x:f>IF(C1270=0,"n.a.",F1270/C1270)</x:f>
        <x:v>1384.25</x:v>
      </x:c>
      <x:c r="J1270" s="3"/>
      <x:c r="K1270" s="3"/>
      <x:c r="L1270" s="3"/>
    </x:row>
    <x:row r="1271" ht="22" customHeight="1">
      <x:c r="A1271" s="3"/>
      <x:c r="B1271" s="3" t="str">
        <x:v>16463</x:v>
      </x:c>
      <x:c r="C1271" s="3" t="n">
        <x:v>4</x:v>
      </x:c>
      <x:c r="D1271" s="51" t="n">
        <x:v>40865</x:v>
      </x:c>
      <x:c r="E1271" s="3" t="str">
        <x:v>Recurrente</x:v>
      </x:c>
      <x:c r="F1271" s="13" t="n">
        <x:v>1422.4</x:v>
      </x:c>
      <x:c r="G1271" s="13" t="n">
        <x:v>38.7</x:v>
      </x:c>
      <x:c r="H1271" s="13" t="n">
        <x:f>F1271-G1271</x:f>
        <x:v>1383.7</x:v>
      </x:c>
      <x:c r="I1271" s="13" t="n">
        <x:f>IF(C1271=0,"n.a.",F1271/C1271)</x:f>
        <x:v>355.6</x:v>
      </x:c>
      <x:c r="J1271" s="3"/>
      <x:c r="K1271" s="3"/>
      <x:c r="L1271" s="3"/>
    </x:row>
    <x:row r="1272" ht="22" customHeight="1">
      <x:c r="A1272" s="3"/>
      <x:c r="B1272" s="3" t="str">
        <x:v>13995</x:v>
      </x:c>
      <x:c r="C1272" s="3" t="n">
        <x:v>5</x:v>
      </x:c>
      <x:c r="D1272" s="51" t="n">
        <x:v>40871</x:v>
      </x:c>
      <x:c r="E1272" s="3" t="str">
        <x:v>Recurrente</x:v>
      </x:c>
      <x:c r="F1272" s="13" t="n">
        <x:v>1393.69</x:v>
      </x:c>
      <x:c r="G1272" s="13" t="n">
        <x:v>10.2</x:v>
      </x:c>
      <x:c r="H1272" s="13" t="n">
        <x:f>F1272-G1272</x:f>
        <x:v>1383.49</x:v>
      </x:c>
      <x:c r="I1272" s="13" t="n">
        <x:f>IF(C1272=0,"n.a.",F1272/C1272)</x:f>
        <x:v>278.738</x:v>
      </x:c>
      <x:c r="J1272" s="3"/>
      <x:c r="K1272" s="3"/>
      <x:c r="L1272" s="3"/>
    </x:row>
    <x:row r="1273" ht="22" customHeight="1">
      <x:c r="A1273" s="3"/>
      <x:c r="B1273" s="3" t="str">
        <x:v>12952</x:v>
      </x:c>
      <x:c r="C1273" s="3" t="n">
        <x:v>4</x:v>
      </x:c>
      <x:c r="D1273" s="51" t="n">
        <x:v>40881</x:v>
      </x:c>
      <x:c r="E1273" s="3" t="str">
        <x:v>Recurrente</x:v>
      </x:c>
      <x:c r="F1273" s="13" t="n">
        <x:v>1387.79</x:v>
      </x:c>
      <x:c r="G1273" s="13" t="n">
        <x:v>4.95</x:v>
      </x:c>
      <x:c r="H1273" s="13" t="n">
        <x:f>F1273-G1273</x:f>
        <x:v>1382.84</x:v>
      </x:c>
      <x:c r="I1273" s="13" t="n">
        <x:f>IF(C1273=0,"n.a.",F1273/C1273)</x:f>
        <x:v>346.9475</x:v>
      </x:c>
      <x:c r="J1273" s="3"/>
      <x:c r="K1273" s="3"/>
      <x:c r="L1273" s="3"/>
    </x:row>
    <x:row r="1274" ht="22" customHeight="1">
      <x:c r="A1274" s="3"/>
      <x:c r="B1274" s="3" t="str">
        <x:v>14116</x:v>
      </x:c>
      <x:c r="C1274" s="3" t="n">
        <x:v>5</x:v>
      </x:c>
      <x:c r="D1274" s="51" t="n">
        <x:v>40867</x:v>
      </x:c>
      <x:c r="E1274" s="3" t="str">
        <x:v>Recurrente</x:v>
      </x:c>
      <x:c r="F1274" s="13" t="n">
        <x:v>1382.74</x:v>
      </x:c>
      <x:c r="G1274" s="13" t="n">
        <x:v>0</x:v>
      </x:c>
      <x:c r="H1274" s="13" t="n">
        <x:f>F1274-G1274</x:f>
        <x:v>1382.74</x:v>
      </x:c>
      <x:c r="I1274" s="13" t="n">
        <x:f>IF(C1274=0,"n.a.",F1274/C1274)</x:f>
        <x:v>276.548</x:v>
      </x:c>
      <x:c r="J1274" s="3"/>
      <x:c r="K1274" s="3"/>
      <x:c r="L1274" s="3"/>
    </x:row>
    <x:row r="1275" ht="22" customHeight="1">
      <x:c r="A1275" s="3"/>
      <x:c r="B1275" s="3" t="str">
        <x:v>16726</x:v>
      </x:c>
      <x:c r="C1275" s="3" t="n">
        <x:v>5</x:v>
      </x:c>
      <x:c r="D1275" s="51" t="n">
        <x:v>40860</x:v>
      </x:c>
      <x:c r="E1275" s="3" t="str">
        <x:v>Recurrente</x:v>
      </x:c>
      <x:c r="F1275" s="13" t="n">
        <x:v>1382.02</x:v>
      </x:c>
      <x:c r="G1275" s="13" t="n">
        <x:v>0</x:v>
      </x:c>
      <x:c r="H1275" s="13" t="n">
        <x:f>F1275-G1275</x:f>
        <x:v>1382.02</x:v>
      </x:c>
      <x:c r="I1275" s="13" t="n">
        <x:f>IF(C1275=0,"n.a.",F1275/C1275)</x:f>
        <x:v>276.404</x:v>
      </x:c>
      <x:c r="J1275" s="3"/>
      <x:c r="K1275" s="3"/>
      <x:c r="L1275" s="3"/>
    </x:row>
    <x:row r="1276" ht="22" customHeight="1">
      <x:c r="A1276" s="3"/>
      <x:c r="B1276" s="3" t="str">
        <x:v>13159</x:v>
      </x:c>
      <x:c r="C1276" s="3" t="n">
        <x:v>4</x:v>
      </x:c>
      <x:c r="D1276" s="51" t="n">
        <x:v>40878</x:v>
      </x:c>
      <x:c r="E1276" s="3" t="str">
        <x:v>Recurrente</x:v>
      </x:c>
      <x:c r="F1276" s="13" t="n">
        <x:v>1437.85</x:v>
      </x:c>
      <x:c r="G1276" s="13" t="n">
        <x:v>58.1</x:v>
      </x:c>
      <x:c r="H1276" s="13" t="n">
        <x:f>F1276-G1276</x:f>
        <x:v>1379.75</x:v>
      </x:c>
      <x:c r="I1276" s="13" t="n">
        <x:f>IF(C1276=0,"n.a.",F1276/C1276)</x:f>
        <x:v>359.4625</x:v>
      </x:c>
      <x:c r="J1276" s="3"/>
      <x:c r="K1276" s="3"/>
      <x:c r="L1276" s="3"/>
    </x:row>
    <x:row r="1277" ht="22" customHeight="1">
      <x:c r="A1277" s="3"/>
      <x:c r="B1277" s="3" t="str">
        <x:v>14113</x:v>
      </x:c>
      <x:c r="C1277" s="3" t="n">
        <x:v>4</x:v>
      </x:c>
      <x:c r="D1277" s="51" t="n">
        <x:v>40883</x:v>
      </x:c>
      <x:c r="E1277" s="3" t="str">
        <x:v>Recurrente</x:v>
      </x:c>
      <x:c r="F1277" s="13" t="n">
        <x:v>1840.42</x:v>
      </x:c>
      <x:c r="G1277" s="13" t="n">
        <x:v>462.5</x:v>
      </x:c>
      <x:c r="H1277" s="13" t="n">
        <x:f>F1277-G1277</x:f>
        <x:v>1377.92</x:v>
      </x:c>
      <x:c r="I1277" s="13" t="n">
        <x:f>IF(C1277=0,"n.a.",F1277/C1277)</x:f>
        <x:v>460.105</x:v>
      </x:c>
      <x:c r="J1277" s="3"/>
      <x:c r="K1277" s="3"/>
      <x:c r="L1277" s="3"/>
    </x:row>
    <x:row r="1278" ht="22" customHeight="1">
      <x:c r="A1278" s="3"/>
      <x:c r="B1278" s="3" t="str">
        <x:v>15569</x:v>
      </x:c>
      <x:c r="C1278" s="3" t="n">
        <x:v>5</x:v>
      </x:c>
      <x:c r="D1278" s="51" t="n">
        <x:v>40783</x:v>
      </x:c>
      <x:c r="E1278" s="3" t="str">
        <x:v>Recurrente</x:v>
      </x:c>
      <x:c r="F1278" s="13" t="n">
        <x:v>1375.71</x:v>
      </x:c>
      <x:c r="G1278" s="13" t="n">
        <x:v>0</x:v>
      </x:c>
      <x:c r="H1278" s="13" t="n">
        <x:f>F1278-G1278</x:f>
        <x:v>1375.71</x:v>
      </x:c>
      <x:c r="I1278" s="13" t="n">
        <x:f>IF(C1278=0,"n.a.",F1278/C1278)</x:f>
        <x:v>275.142</x:v>
      </x:c>
      <x:c r="J1278" s="3"/>
      <x:c r="K1278" s="3"/>
      <x:c r="L1278" s="3"/>
    </x:row>
    <x:row r="1279" ht="22" customHeight="1">
      <x:c r="A1279" s="3"/>
      <x:c r="B1279" s="3" t="str">
        <x:v>14434</x:v>
      </x:c>
      <x:c r="C1279" s="3" t="n">
        <x:v>6</x:v>
      </x:c>
      <x:c r="D1279" s="51" t="n">
        <x:v>40865</x:v>
      </x:c>
      <x:c r="E1279" s="3" t="str">
        <x:v>Recurrente</x:v>
      </x:c>
      <x:c r="F1279" s="13" t="n">
        <x:v>1372.8</x:v>
      </x:c>
      <x:c r="G1279" s="13" t="n">
        <x:v>0</x:v>
      </x:c>
      <x:c r="H1279" s="13" t="n">
        <x:f>F1279-G1279</x:f>
        <x:v>1372.8</x:v>
      </x:c>
      <x:c r="I1279" s="13" t="n">
        <x:f>IF(C1279=0,"n.a.",F1279/C1279)</x:f>
        <x:v>228.79999999999998</x:v>
      </x:c>
      <x:c r="J1279" s="3"/>
      <x:c r="K1279" s="3"/>
      <x:c r="L1279" s="3"/>
    </x:row>
    <x:row r="1280" ht="22" customHeight="1">
      <x:c r="A1280" s="3"/>
      <x:c r="B1280" s="3" t="str">
        <x:v>16669</x:v>
      </x:c>
      <x:c r="C1280" s="3" t="n">
        <x:v>2</x:v>
      </x:c>
      <x:c r="D1280" s="51" t="n">
        <x:v>40863</x:v>
      </x:c>
      <x:c r="E1280" s="3" t="str">
        <x:v>Recurrente</x:v>
      </x:c>
      <x:c r="F1280" s="13" t="n">
        <x:v>1370.47</x:v>
      </x:c>
      <x:c r="G1280" s="13" t="n">
        <x:v>0</x:v>
      </x:c>
      <x:c r="H1280" s="13" t="n">
        <x:f>F1280-G1280</x:f>
        <x:v>1370.47</x:v>
      </x:c>
      <x:c r="I1280" s="13" t="n">
        <x:f>IF(C1280=0,"n.a.",F1280/C1280)</x:f>
        <x:v>685.235</x:v>
      </x:c>
      <x:c r="J1280" s="3"/>
      <x:c r="K1280" s="3"/>
      <x:c r="L1280" s="3"/>
    </x:row>
    <x:row r="1281" ht="22" customHeight="1">
      <x:c r="A1281" s="3"/>
      <x:c r="B1281" s="3" t="str">
        <x:v>14507</x:v>
      </x:c>
      <x:c r="C1281" s="3" t="n">
        <x:v>6</x:v>
      </x:c>
      <x:c r="D1281" s="51" t="n">
        <x:v>40863</x:v>
      </x:c>
      <x:c r="E1281" s="3" t="str">
        <x:v>Recurrente</x:v>
      </x:c>
      <x:c r="F1281" s="13" t="n">
        <x:v>1383.18</x:v>
      </x:c>
      <x:c r="G1281" s="13" t="n">
        <x:v>15</x:v>
      </x:c>
      <x:c r="H1281" s="13" t="n">
        <x:f>F1281-G1281</x:f>
        <x:v>1368.18</x:v>
      </x:c>
      <x:c r="I1281" s="13" t="n">
        <x:f>IF(C1281=0,"n.a.",F1281/C1281)</x:f>
        <x:v>230.53</x:v>
      </x:c>
      <x:c r="J1281" s="3"/>
      <x:c r="K1281" s="3"/>
      <x:c r="L1281" s="3"/>
    </x:row>
    <x:row r="1282" ht="22" customHeight="1">
      <x:c r="A1282" s="3"/>
      <x:c r="B1282" s="3" t="str">
        <x:v>13308</x:v>
      </x:c>
      <x:c r="C1282" s="3" t="n">
        <x:v>3</x:v>
      </x:c>
      <x:c r="D1282" s="51" t="n">
        <x:v>40864</x:v>
      </x:c>
      <x:c r="E1282" s="3" t="str">
        <x:v>Recurrente</x:v>
      </x:c>
      <x:c r="F1282" s="13" t="n">
        <x:v>1385.51</x:v>
      </x:c>
      <x:c r="G1282" s="13" t="n">
        <x:v>17.9</x:v>
      </x:c>
      <x:c r="H1282" s="13" t="n">
        <x:f>F1282-G1282</x:f>
        <x:v>1367.61</x:v>
      </x:c>
      <x:c r="I1282" s="13" t="n">
        <x:f>IF(C1282=0,"n.a.",F1282/C1282)</x:f>
        <x:v>461.83666666666664</x:v>
      </x:c>
      <x:c r="J1282" s="3"/>
      <x:c r="K1282" s="3"/>
      <x:c r="L1282" s="3"/>
    </x:row>
    <x:row r="1283" ht="22" customHeight="1">
      <x:c r="A1283" s="3"/>
      <x:c r="B1283" s="3" t="str">
        <x:v>14897</x:v>
      </x:c>
      <x:c r="C1283" s="3" t="n">
        <x:v>4</x:v>
      </x:c>
      <x:c r="D1283" s="51" t="n">
        <x:v>40879</x:v>
      </x:c>
      <x:c r="E1283" s="3" t="str">
        <x:v>Recurrente</x:v>
      </x:c>
      <x:c r="F1283" s="13" t="n">
        <x:v>1366.38</x:v>
      </x:c>
      <x:c r="G1283" s="13" t="n">
        <x:v>0</x:v>
      </x:c>
      <x:c r="H1283" s="13" t="n">
        <x:f>F1283-G1283</x:f>
        <x:v>1366.38</x:v>
      </x:c>
      <x:c r="I1283" s="13" t="n">
        <x:f>IF(C1283=0,"n.a.",F1283/C1283)</x:f>
        <x:v>341.595</x:v>
      </x:c>
      <x:c r="J1283" s="3"/>
      <x:c r="K1283" s="3"/>
      <x:c r="L1283" s="3"/>
    </x:row>
    <x:row r="1284" ht="22" customHeight="1">
      <x:c r="A1284" s="3"/>
      <x:c r="B1284" s="3" t="str">
        <x:v>15095</x:v>
      </x:c>
      <x:c r="C1284" s="3" t="n">
        <x:v>4</x:v>
      </x:c>
      <x:c r="D1284" s="51" t="n">
        <x:v>40783</x:v>
      </x:c>
      <x:c r="E1284" s="3" t="str">
        <x:v>Recurrente</x:v>
      </x:c>
      <x:c r="F1284" s="13" t="n">
        <x:v>1370.6</x:v>
      </x:c>
      <x:c r="G1284" s="13" t="n">
        <x:v>5.9</x:v>
      </x:c>
      <x:c r="H1284" s="13" t="n">
        <x:f>F1284-G1284</x:f>
        <x:v>1364.6999999999998</x:v>
      </x:c>
      <x:c r="I1284" s="13" t="n">
        <x:f>IF(C1284=0,"n.a.",F1284/C1284)</x:f>
        <x:v>342.65</x:v>
      </x:c>
      <x:c r="J1284" s="3"/>
      <x:c r="K1284" s="3"/>
      <x:c r="L1284" s="3"/>
    </x:row>
    <x:row r="1285" ht="22" customHeight="1">
      <x:c r="A1285" s="3"/>
      <x:c r="B1285" s="3" t="str">
        <x:v>16389</x:v>
      </x:c>
      <x:c r="C1285" s="3" t="n">
        <x:v>4</x:v>
      </x:c>
      <x:c r="D1285" s="51" t="n">
        <x:v>40833</x:v>
      </x:c>
      <x:c r="E1285" s="3" t="str">
        <x:v>Recurrente</x:v>
      </x:c>
      <x:c r="F1285" s="13" t="n">
        <x:v>1382.07</x:v>
      </x:c>
      <x:c r="G1285" s="13" t="n">
        <x:v>19.8</x:v>
      </x:c>
      <x:c r="H1285" s="13" t="n">
        <x:f>F1285-G1285</x:f>
        <x:v>1362.27</x:v>
      </x:c>
      <x:c r="I1285" s="13" t="n">
        <x:f>IF(C1285=0,"n.a.",F1285/C1285)</x:f>
        <x:v>345.5175</x:v>
      </x:c>
      <x:c r="J1285" s="3"/>
      <x:c r="K1285" s="3"/>
      <x:c r="L1285" s="3"/>
    </x:row>
    <x:row r="1286" ht="22" customHeight="1">
      <x:c r="A1286" s="3"/>
      <x:c r="B1286" s="3" t="str">
        <x:v>18167</x:v>
      </x:c>
      <x:c r="C1286" s="3" t="n">
        <x:v>3</x:v>
      </x:c>
      <x:c r="D1286" s="51" t="n">
        <x:v>40863</x:v>
      </x:c>
      <x:c r="E1286" s="3" t="str">
        <x:v>Recurrente</x:v>
      </x:c>
      <x:c r="F1286" s="13" t="n">
        <x:v>1384.86</x:v>
      </x:c>
      <x:c r="G1286" s="13" t="n">
        <x:v>23.35</x:v>
      </x:c>
      <x:c r="H1286" s="13" t="n">
        <x:f>F1286-G1286</x:f>
        <x:v>1361.51</x:v>
      </x:c>
      <x:c r="I1286" s="13" t="n">
        <x:f>IF(C1286=0,"n.a.",F1286/C1286)</x:f>
        <x:v>461.61999999999995</x:v>
      </x:c>
      <x:c r="J1286" s="3"/>
      <x:c r="K1286" s="3"/>
      <x:c r="L1286" s="3"/>
    </x:row>
    <x:row r="1287" ht="22" customHeight="1">
      <x:c r="A1287" s="3"/>
      <x:c r="B1287" s="3" t="str">
        <x:v>13232</x:v>
      </x:c>
      <x:c r="C1287" s="3" t="n">
        <x:v>7</x:v>
      </x:c>
      <x:c r="D1287" s="51" t="n">
        <x:v>40874</x:v>
      </x:c>
      <x:c r="E1287" s="3" t="str">
        <x:v>Recurrente</x:v>
      </x:c>
      <x:c r="F1287" s="13" t="n">
        <x:v>1357</x:v>
      </x:c>
      <x:c r="G1287" s="13" t="n">
        <x:v>0</x:v>
      </x:c>
      <x:c r="H1287" s="13" t="n">
        <x:f>F1287-G1287</x:f>
        <x:v>1357</x:v>
      </x:c>
      <x:c r="I1287" s="13" t="n">
        <x:f>IF(C1287=0,"n.a.",F1287/C1287)</x:f>
        <x:v>193.85714285714286</x:v>
      </x:c>
      <x:c r="J1287" s="3"/>
      <x:c r="K1287" s="3"/>
      <x:c r="L1287" s="3"/>
    </x:row>
    <x:row r="1288" ht="22" customHeight="1">
      <x:c r="A1288" s="3"/>
      <x:c r="B1288" s="3" t="str">
        <x:v>17054</x:v>
      </x:c>
      <x:c r="C1288" s="3" t="n">
        <x:v>5</x:v>
      </x:c>
      <x:c r="D1288" s="51" t="n">
        <x:v>40858</x:v>
      </x:c>
      <x:c r="E1288" s="3" t="str">
        <x:v>Recurrente</x:v>
      </x:c>
      <x:c r="F1288" s="13" t="n">
        <x:v>1356.33</x:v>
      </x:c>
      <x:c r="G1288" s="13" t="n">
        <x:v>2.5</x:v>
      </x:c>
      <x:c r="H1288" s="13" t="n">
        <x:f>F1288-G1288</x:f>
        <x:v>1353.83</x:v>
      </x:c>
      <x:c r="I1288" s="13" t="n">
        <x:f>IF(C1288=0,"n.a.",F1288/C1288)</x:f>
        <x:v>271.26599999999996</x:v>
      </x:c>
      <x:c r="J1288" s="3"/>
      <x:c r="K1288" s="3"/>
      <x:c r="L1288" s="3"/>
    </x:row>
    <x:row r="1289" ht="22" customHeight="1">
      <x:c r="A1289" s="3"/>
      <x:c r="B1289" s="3" t="str">
        <x:v>17204</x:v>
      </x:c>
      <x:c r="C1289" s="3" t="n">
        <x:v>4</x:v>
      </x:c>
      <x:c r="D1289" s="51" t="n">
        <x:v>40711</x:v>
      </x:c>
      <x:c r="E1289" s="3" t="str">
        <x:v>Recurrente</x:v>
      </x:c>
      <x:c r="F1289" s="13" t="n">
        <x:v>1564.56</x:v>
      </x:c>
      <x:c r="G1289" s="13" t="n">
        <x:v>211.65</x:v>
      </x:c>
      <x:c r="H1289" s="13" t="n">
        <x:f>F1289-G1289</x:f>
        <x:v>1352.9099999999999</x:v>
      </x:c>
      <x:c r="I1289" s="13" t="n">
        <x:f>IF(C1289=0,"n.a.",F1289/C1289)</x:f>
        <x:v>391.14</x:v>
      </x:c>
      <x:c r="J1289" s="3"/>
      <x:c r="K1289" s="3"/>
      <x:c r="L1289" s="3"/>
    </x:row>
    <x:row r="1290" ht="22" customHeight="1">
      <x:c r="A1290" s="3"/>
      <x:c r="B1290" s="3" t="str">
        <x:v>15116</x:v>
      </x:c>
      <x:c r="C1290" s="3" t="n">
        <x:v>4</x:v>
      </x:c>
      <x:c r="D1290" s="51" t="n">
        <x:v>40869</x:v>
      </x:c>
      <x:c r="E1290" s="3" t="str">
        <x:v>Recurrente</x:v>
      </x:c>
      <x:c r="F1290" s="13" t="n">
        <x:v>1352.75</x:v>
      </x:c>
      <x:c r="G1290" s="13" t="n">
        <x:v>0</x:v>
      </x:c>
      <x:c r="H1290" s="13" t="n">
        <x:f>F1290-G1290</x:f>
        <x:v>1352.75</x:v>
      </x:c>
      <x:c r="I1290" s="13" t="n">
        <x:f>IF(C1290=0,"n.a.",F1290/C1290)</x:f>
        <x:v>338.1875</x:v>
      </x:c>
      <x:c r="J1290" s="3"/>
      <x:c r="K1290" s="3"/>
      <x:c r="L1290" s="3"/>
    </x:row>
    <x:row r="1291" ht="22" customHeight="1">
      <x:c r="A1291" s="3"/>
      <x:c r="B1291" s="3" t="str">
        <x:v>16245</x:v>
      </x:c>
      <x:c r="C1291" s="3" t="n">
        <x:v>3</x:v>
      </x:c>
      <x:c r="D1291" s="51" t="n">
        <x:v>40863</x:v>
      </x:c>
      <x:c r="E1291" s="3" t="str">
        <x:v>Recurrente</x:v>
      </x:c>
      <x:c r="F1291" s="13" t="n">
        <x:v>1413.66</x:v>
      </x:c>
      <x:c r="G1291" s="13" t="n">
        <x:v>61.3</x:v>
      </x:c>
      <x:c r="H1291" s="13" t="n">
        <x:f>F1291-G1291</x:f>
        <x:v>1352.3600000000001</x:v>
      </x:c>
      <x:c r="I1291" s="13" t="n">
        <x:f>IF(C1291=0,"n.a.",F1291/C1291)</x:f>
        <x:v>471.22</x:v>
      </x:c>
      <x:c r="J1291" s="3"/>
      <x:c r="K1291" s="3"/>
      <x:c r="L1291" s="3"/>
    </x:row>
    <x:row r="1292" ht="22" customHeight="1">
      <x:c r="A1292" s="3"/>
      <x:c r="B1292" s="3" t="str">
        <x:v>14859</x:v>
      </x:c>
      <x:c r="C1292" s="3" t="n">
        <x:v>4</x:v>
      </x:c>
      <x:c r="D1292" s="51" t="n">
        <x:v>40874</x:v>
      </x:c>
      <x:c r="E1292" s="3" t="str">
        <x:v>Recurrente</x:v>
      </x:c>
      <x:c r="F1292" s="13" t="n">
        <x:v>1353.74</x:v>
      </x:c>
      <x:c r="G1292" s="13" t="n">
        <x:v>1.7</x:v>
      </x:c>
      <x:c r="H1292" s="13" t="n">
        <x:f>F1292-G1292</x:f>
        <x:v>1352.04</x:v>
      </x:c>
      <x:c r="I1292" s="13" t="n">
        <x:f>IF(C1292=0,"n.a.",F1292/C1292)</x:f>
        <x:v>338.435</x:v>
      </x:c>
      <x:c r="J1292" s="3"/>
      <x:c r="K1292" s="3"/>
      <x:c r="L1292" s="3"/>
    </x:row>
    <x:row r="1293" ht="22" customHeight="1">
      <x:c r="A1293" s="3"/>
      <x:c r="B1293" s="3" t="str">
        <x:v>16079</x:v>
      </x:c>
      <x:c r="C1293" s="3" t="n">
        <x:v>3</x:v>
      </x:c>
      <x:c r="D1293" s="51" t="n">
        <x:v>40870</x:v>
      </x:c>
      <x:c r="E1293" s="3" t="str">
        <x:v>Recurrente</x:v>
      </x:c>
      <x:c r="F1293" s="13" t="n">
        <x:v>1352</x:v>
      </x:c>
      <x:c r="G1293" s="13" t="n">
        <x:v>0</x:v>
      </x:c>
      <x:c r="H1293" s="13" t="n">
        <x:f>F1293-G1293</x:f>
        <x:v>1352</x:v>
      </x:c>
      <x:c r="I1293" s="13" t="n">
        <x:f>IF(C1293=0,"n.a.",F1293/C1293)</x:f>
        <x:v>450.6666666666667</x:v>
      </x:c>
      <x:c r="J1293" s="3"/>
      <x:c r="K1293" s="3"/>
      <x:c r="L1293" s="3"/>
    </x:row>
    <x:row r="1294" ht="22" customHeight="1">
      <x:c r="A1294" s="3"/>
      <x:c r="B1294" s="3" t="str">
        <x:v>12770</x:v>
      </x:c>
      <x:c r="C1294" s="3" t="n">
        <x:v>1</x:v>
      </x:c>
      <x:c r="D1294" s="51" t="n">
        <x:v>40676</x:v>
      </x:c>
      <x:c r="E1294" s="3" t="str">
        <x:v>Una compra</x:v>
      </x:c>
      <x:c r="F1294" s="13" t="n">
        <x:v>1351.45</x:v>
      </x:c>
      <x:c r="G1294" s="13" t="n">
        <x:v>0</x:v>
      </x:c>
      <x:c r="H1294" s="13" t="n">
        <x:f>F1294-G1294</x:f>
        <x:v>1351.45</x:v>
      </x:c>
      <x:c r="I1294" s="13" t="n">
        <x:f>IF(C1294=0,"n.a.",F1294/C1294)</x:f>
        <x:v>1351.45</x:v>
      </x:c>
      <x:c r="J1294" s="3"/>
      <x:c r="K1294" s="3"/>
      <x:c r="L1294" s="3"/>
    </x:row>
    <x:row r="1295" ht="22" customHeight="1">
      <x:c r="A1295" s="3"/>
      <x:c r="B1295" s="3" t="str">
        <x:v>12886</x:v>
      </x:c>
      <x:c r="C1295" s="3" t="n">
        <x:v>2</x:v>
      </x:c>
      <x:c r="D1295" s="51" t="n">
        <x:v>40819</x:v>
      </x:c>
      <x:c r="E1295" s="3" t="str">
        <x:v>Recurrente</x:v>
      </x:c>
      <x:c r="F1295" s="13" t="n">
        <x:v>1378.4</x:v>
      </x:c>
      <x:c r="G1295" s="13" t="n">
        <x:v>27.31</x:v>
      </x:c>
      <x:c r="H1295" s="13" t="n">
        <x:f>F1295-G1295</x:f>
        <x:v>1351.0900000000001</x:v>
      </x:c>
      <x:c r="I1295" s="13" t="n">
        <x:f>IF(C1295=0,"n.a.",F1295/C1295)</x:f>
        <x:v>689.2</x:v>
      </x:c>
      <x:c r="J1295" s="3"/>
      <x:c r="K1295" s="3"/>
      <x:c r="L1295" s="3"/>
    </x:row>
    <x:row r="1296" ht="22" customHeight="1">
      <x:c r="A1296" s="3"/>
      <x:c r="B1296" s="3" t="str">
        <x:v>17368</x:v>
      </x:c>
      <x:c r="C1296" s="3" t="n">
        <x:v>8</x:v>
      </x:c>
      <x:c r="D1296" s="51" t="n">
        <x:v>40863</x:v>
      </x:c>
      <x:c r="E1296" s="3" t="str">
        <x:v>Recurrente</x:v>
      </x:c>
      <x:c r="F1296" s="13" t="n">
        <x:v>1912.67</x:v>
      </x:c>
      <x:c r="G1296" s="13" t="n">
        <x:v>563.15</x:v>
      </x:c>
      <x:c r="H1296" s="13" t="n">
        <x:f>F1296-G1296</x:f>
        <x:v>1349.52</x:v>
      </x:c>
      <x:c r="I1296" s="13" t="n">
        <x:f>IF(C1296=0,"n.a.",F1296/C1296)</x:f>
        <x:v>239.08375</x:v>
      </x:c>
      <x:c r="J1296" s="3"/>
      <x:c r="K1296" s="3"/>
      <x:c r="L1296" s="3"/>
    </x:row>
    <x:row r="1297" ht="22" customHeight="1">
      <x:c r="A1297" s="3"/>
      <x:c r="B1297" s="3" t="str">
        <x:v>12646</x:v>
      </x:c>
      <x:c r="C1297" s="3" t="n">
        <x:v>2</x:v>
      </x:c>
      <x:c r="D1297" s="51" t="n">
        <x:v>40882</x:v>
      </x:c>
      <x:c r="E1297" s="3" t="str">
        <x:v>Recurrente</x:v>
      </x:c>
      <x:c r="F1297" s="13" t="n">
        <x:v>1346.97</x:v>
      </x:c>
      <x:c r="G1297" s="13" t="n">
        <x:v>0</x:v>
      </x:c>
      <x:c r="H1297" s="13" t="n">
        <x:f>F1297-G1297</x:f>
        <x:v>1346.97</x:v>
      </x:c>
      <x:c r="I1297" s="13" t="n">
        <x:f>IF(C1297=0,"n.a.",F1297/C1297)</x:f>
        <x:v>673.485</x:v>
      </x:c>
      <x:c r="J1297" s="3"/>
      <x:c r="K1297" s="3"/>
      <x:c r="L1297" s="3"/>
    </x:row>
    <x:row r="1298" ht="22" customHeight="1">
      <x:c r="A1298" s="3"/>
      <x:c r="B1298" s="3" t="str">
        <x:v>15411</x:v>
      </x:c>
      <x:c r="C1298" s="3" t="n">
        <x:v>4</x:v>
      </x:c>
      <x:c r="D1298" s="51" t="n">
        <x:v>40860</x:v>
      </x:c>
      <x:c r="E1298" s="3" t="str">
        <x:v>Recurrente</x:v>
      </x:c>
      <x:c r="F1298" s="13" t="n">
        <x:v>1358.88</x:v>
      </x:c>
      <x:c r="G1298" s="13" t="n">
        <x:v>12.5</x:v>
      </x:c>
      <x:c r="H1298" s="13" t="n">
        <x:f>F1298-G1298</x:f>
        <x:v>1346.38</x:v>
      </x:c>
      <x:c r="I1298" s="13" t="n">
        <x:f>IF(C1298=0,"n.a.",F1298/C1298)</x:f>
        <x:v>339.72</x:v>
      </x:c>
      <x:c r="J1298" s="3"/>
      <x:c r="K1298" s="3"/>
      <x:c r="L1298" s="3"/>
    </x:row>
    <x:row r="1299" ht="22" customHeight="1">
      <x:c r="A1299" s="3"/>
      <x:c r="B1299" s="3" t="str">
        <x:v>14154</x:v>
      </x:c>
      <x:c r="C1299" s="3" t="n">
        <x:v>2</x:v>
      </x:c>
      <x:c r="D1299" s="51" t="n">
        <x:v>40647</x:v>
      </x:c>
      <x:c r="E1299" s="3" t="str">
        <x:v>Recurrente</x:v>
      </x:c>
      <x:c r="F1299" s="13" t="n">
        <x:v>1345.62</x:v>
      </x:c>
      <x:c r="G1299" s="13" t="n">
        <x:v>0</x:v>
      </x:c>
      <x:c r="H1299" s="13" t="n">
        <x:f>F1299-G1299</x:f>
        <x:v>1345.62</x:v>
      </x:c>
      <x:c r="I1299" s="13" t="n">
        <x:f>IF(C1299=0,"n.a.",F1299/C1299)</x:f>
        <x:v>672.81</x:v>
      </x:c>
      <x:c r="J1299" s="3"/>
      <x:c r="K1299" s="3"/>
      <x:c r="L1299" s="3"/>
    </x:row>
    <x:row r="1300" ht="22" customHeight="1">
      <x:c r="A1300" s="3"/>
      <x:c r="B1300" s="3" t="str">
        <x:v>15596</x:v>
      </x:c>
      <x:c r="C1300" s="3" t="n">
        <x:v>5</x:v>
      </x:c>
      <x:c r="D1300" s="51" t="n">
        <x:v>40786</x:v>
      </x:c>
      <x:c r="E1300" s="3" t="str">
        <x:v>Recurrente</x:v>
      </x:c>
      <x:c r="F1300" s="13" t="n">
        <x:v>1406.59</x:v>
      </x:c>
      <x:c r="G1300" s="13" t="n">
        <x:v>63.25</x:v>
      </x:c>
      <x:c r="H1300" s="13" t="n">
        <x:f>F1300-G1300</x:f>
        <x:v>1343.34</x:v>
      </x:c>
      <x:c r="I1300" s="13" t="n">
        <x:f>IF(C1300=0,"n.a.",F1300/C1300)</x:f>
        <x:v>281.318</x:v>
      </x:c>
      <x:c r="J1300" s="3"/>
      <x:c r="K1300" s="3"/>
      <x:c r="L1300" s="3"/>
    </x:row>
    <x:row r="1301" ht="22" customHeight="1">
      <x:c r="A1301" s="3"/>
      <x:c r="B1301" s="3" t="str">
        <x:v>17372</x:v>
      </x:c>
      <x:c r="C1301" s="3" t="n">
        <x:v>8</x:v>
      </x:c>
      <x:c r="D1301" s="51" t="n">
        <x:v>40846</x:v>
      </x:c>
      <x:c r="E1301" s="3" t="str">
        <x:v>Recurrente</x:v>
      </x:c>
      <x:c r="F1301" s="13" t="n">
        <x:v>1342.68</x:v>
      </x:c>
      <x:c r="G1301" s="13" t="n">
        <x:v>0</x:v>
      </x:c>
      <x:c r="H1301" s="13" t="n">
        <x:f>F1301-G1301</x:f>
        <x:v>1342.68</x:v>
      </x:c>
      <x:c r="I1301" s="13" t="n">
        <x:f>IF(C1301=0,"n.a.",F1301/C1301)</x:f>
        <x:v>167.835</x:v>
      </x:c>
      <x:c r="J1301" s="3"/>
      <x:c r="K1301" s="3"/>
      <x:c r="L1301" s="3"/>
    </x:row>
    <x:row r="1302" ht="22" customHeight="1">
      <x:c r="A1302" s="3"/>
      <x:c r="B1302" s="3" t="str">
        <x:v>16317</x:v>
      </x:c>
      <x:c r="C1302" s="3" t="n">
        <x:v>3</x:v>
      </x:c>
      <x:c r="D1302" s="51" t="n">
        <x:v>40767</x:v>
      </x:c>
      <x:c r="E1302" s="3" t="str">
        <x:v>Recurrente</x:v>
      </x:c>
      <x:c r="F1302" s="13" t="n">
        <x:v>1341.65</x:v>
      </x:c>
      <x:c r="G1302" s="13" t="n">
        <x:v>0</x:v>
      </x:c>
      <x:c r="H1302" s="13" t="n">
        <x:f>F1302-G1302</x:f>
        <x:v>1341.65</x:v>
      </x:c>
      <x:c r="I1302" s="13" t="n">
        <x:f>IF(C1302=0,"n.a.",F1302/C1302)</x:f>
        <x:v>447.2166666666667</x:v>
      </x:c>
      <x:c r="J1302" s="3"/>
      <x:c r="K1302" s="3"/>
      <x:c r="L1302" s="3"/>
    </x:row>
    <x:row r="1303" ht="22" customHeight="1">
      <x:c r="A1303" s="3"/>
      <x:c r="B1303" s="3" t="str">
        <x:v>16045</x:v>
      </x:c>
      <x:c r="C1303" s="3" t="n">
        <x:v>4</x:v>
      </x:c>
      <x:c r="D1303" s="51" t="n">
        <x:v>40767</x:v>
      </x:c>
      <x:c r="E1303" s="3" t="str">
        <x:v>Recurrente</x:v>
      </x:c>
      <x:c r="F1303" s="13" t="n">
        <x:v>1340.7</x:v>
      </x:c>
      <x:c r="G1303" s="13" t="n">
        <x:v>0</x:v>
      </x:c>
      <x:c r="H1303" s="13" t="n">
        <x:f>F1303-G1303</x:f>
        <x:v>1340.7</x:v>
      </x:c>
      <x:c r="I1303" s="13" t="n">
        <x:f>IF(C1303=0,"n.a.",F1303/C1303)</x:f>
        <x:v>335.175</x:v>
      </x:c>
      <x:c r="J1303" s="3"/>
      <x:c r="K1303" s="3"/>
      <x:c r="L1303" s="3"/>
    </x:row>
    <x:row r="1304" ht="22" customHeight="1">
      <x:c r="A1304" s="3"/>
      <x:c r="B1304" s="3" t="str">
        <x:v>13743</x:v>
      </x:c>
      <x:c r="C1304" s="3" t="n">
        <x:v>7</x:v>
      </x:c>
      <x:c r="D1304" s="51" t="n">
        <x:v>40884</x:v>
      </x:c>
      <x:c r="E1304" s="3" t="str">
        <x:v>Recurrente</x:v>
      </x:c>
      <x:c r="F1304" s="13" t="n">
        <x:v>1341.6</x:v>
      </x:c>
      <x:c r="G1304" s="13" t="n">
        <x:v>1.45</x:v>
      </x:c>
      <x:c r="H1304" s="13" t="n">
        <x:f>F1304-G1304</x:f>
        <x:v>1340.1499999999999</x:v>
      </x:c>
      <x:c r="I1304" s="13" t="n">
        <x:f>IF(C1304=0,"n.a.",F1304/C1304)</x:f>
        <x:v>191.65714285714284</x:v>
      </x:c>
      <x:c r="J1304" s="3"/>
      <x:c r="K1304" s="3"/>
      <x:c r="L1304" s="3"/>
    </x:row>
    <x:row r="1305" ht="22" customHeight="1">
      <x:c r="A1305" s="3"/>
      <x:c r="B1305" s="3" t="str">
        <x:v>15398</x:v>
      </x:c>
      <x:c r="C1305" s="3" t="n">
        <x:v>2</x:v>
      </x:c>
      <x:c r="D1305" s="51" t="n">
        <x:v>40870</x:v>
      </x:c>
      <x:c r="E1305" s="3" t="str">
        <x:v>Recurrente</x:v>
      </x:c>
      <x:c r="F1305" s="13" t="n">
        <x:v>1345.53</x:v>
      </x:c>
      <x:c r="G1305" s="13" t="n">
        <x:v>5.9</x:v>
      </x:c>
      <x:c r="H1305" s="13" t="n">
        <x:f>F1305-G1305</x:f>
        <x:v>1339.6299999999999</x:v>
      </x:c>
      <x:c r="I1305" s="13" t="n">
        <x:f>IF(C1305=0,"n.a.",F1305/C1305)</x:f>
        <x:v>672.765</x:v>
      </x:c>
      <x:c r="J1305" s="3"/>
      <x:c r="K1305" s="3"/>
      <x:c r="L1305" s="3"/>
    </x:row>
    <x:row r="1306" ht="22" customHeight="1">
      <x:c r="A1306" s="3"/>
      <x:c r="B1306" s="3" t="str">
        <x:v>15734</x:v>
      </x:c>
      <x:c r="C1306" s="3" t="n">
        <x:v>2</x:v>
      </x:c>
      <x:c r="D1306" s="51" t="n">
        <x:v>40772</x:v>
      </x:c>
      <x:c r="E1306" s="3" t="str">
        <x:v>Recurrente</x:v>
      </x:c>
      <x:c r="F1306" s="13" t="n">
        <x:v>1339.45</x:v>
      </x:c>
      <x:c r="G1306" s="13" t="n">
        <x:v>0</x:v>
      </x:c>
      <x:c r="H1306" s="13" t="n">
        <x:f>F1306-G1306</x:f>
        <x:v>1339.45</x:v>
      </x:c>
      <x:c r="I1306" s="13" t="n">
        <x:f>IF(C1306=0,"n.a.",F1306/C1306)</x:f>
        <x:v>669.725</x:v>
      </x:c>
      <x:c r="J1306" s="3"/>
      <x:c r="K1306" s="3"/>
      <x:c r="L1306" s="3"/>
    </x:row>
    <x:row r="1307" ht="22" customHeight="1">
      <x:c r="A1307" s="3"/>
      <x:c r="B1307" s="3" t="str">
        <x:v>16110</x:v>
      </x:c>
      <x:c r="C1307" s="3" t="n">
        <x:v>3</x:v>
      </x:c>
      <x:c r="D1307" s="51" t="n">
        <x:v>40841</x:v>
      </x:c>
      <x:c r="E1307" s="3" t="str">
        <x:v>Recurrente</x:v>
      </x:c>
      <x:c r="F1307" s="13" t="n">
        <x:v>1337.48</x:v>
      </x:c>
      <x:c r="G1307" s="13" t="n">
        <x:v>0</x:v>
      </x:c>
      <x:c r="H1307" s="13" t="n">
        <x:f>F1307-G1307</x:f>
        <x:v>1337.48</x:v>
      </x:c>
      <x:c r="I1307" s="13" t="n">
        <x:f>IF(C1307=0,"n.a.",F1307/C1307)</x:f>
        <x:v>445.82666666666665</x:v>
      </x:c>
      <x:c r="J1307" s="3"/>
      <x:c r="K1307" s="3"/>
      <x:c r="L1307" s="3"/>
    </x:row>
    <x:row r="1308" ht="22" customHeight="1">
      <x:c r="A1308" s="3"/>
      <x:c r="B1308" s="3" t="str">
        <x:v>17621</x:v>
      </x:c>
      <x:c r="C1308" s="3" t="n">
        <x:v>3</x:v>
      </x:c>
      <x:c r="D1308" s="51" t="n">
        <x:v>40865</x:v>
      </x:c>
      <x:c r="E1308" s="3" t="str">
        <x:v>Recurrente</x:v>
      </x:c>
      <x:c r="F1308" s="13" t="n">
        <x:v>1379.9</x:v>
      </x:c>
      <x:c r="G1308" s="13" t="n">
        <x:v>43.8</x:v>
      </x:c>
      <x:c r="H1308" s="13" t="n">
        <x:f>F1308-G1308</x:f>
        <x:v>1336.1000000000001</x:v>
      </x:c>
      <x:c r="I1308" s="13" t="n">
        <x:f>IF(C1308=0,"n.a.",F1308/C1308)</x:f>
        <x:v>459.9666666666667</x:v>
      </x:c>
      <x:c r="J1308" s="3"/>
      <x:c r="K1308" s="3"/>
      <x:c r="L1308" s="3"/>
    </x:row>
    <x:row r="1309" ht="22" customHeight="1">
      <x:c r="A1309" s="3"/>
      <x:c r="B1309" s="3" t="str">
        <x:v>15680</x:v>
      </x:c>
      <x:c r="C1309" s="3" t="n">
        <x:v>3</x:v>
      </x:c>
      <x:c r="D1309" s="51" t="n">
        <x:v>40877</x:v>
      </x:c>
      <x:c r="E1309" s="3" t="str">
        <x:v>Recurrente</x:v>
      </x:c>
      <x:c r="F1309" s="13" t="n">
        <x:v>1333.68</x:v>
      </x:c>
      <x:c r="G1309" s="13" t="n">
        <x:v>0</x:v>
      </x:c>
      <x:c r="H1309" s="13" t="n">
        <x:f>F1309-G1309</x:f>
        <x:v>1333.68</x:v>
      </x:c>
      <x:c r="I1309" s="13" t="n">
        <x:f>IF(C1309=0,"n.a.",F1309/C1309)</x:f>
        <x:v>444.56</x:v>
      </x:c>
      <x:c r="J1309" s="3"/>
      <x:c r="K1309" s="3"/>
      <x:c r="L1309" s="3"/>
    </x:row>
    <x:row r="1310" ht="22" customHeight="1">
      <x:c r="A1310" s="3"/>
      <x:c r="B1310" s="3" t="str">
        <x:v>17932</x:v>
      </x:c>
      <x:c r="C1310" s="3" t="n">
        <x:v>3</x:v>
      </x:c>
      <x:c r="D1310" s="51" t="n">
        <x:v>40857</x:v>
      </x:c>
      <x:c r="E1310" s="3" t="str">
        <x:v>Recurrente</x:v>
      </x:c>
      <x:c r="F1310" s="13" t="n">
        <x:v>1331.57</x:v>
      </x:c>
      <x:c r="G1310" s="13" t="n">
        <x:v>0</x:v>
      </x:c>
      <x:c r="H1310" s="13" t="n">
        <x:f>F1310-G1310</x:f>
        <x:v>1331.57</x:v>
      </x:c>
      <x:c r="I1310" s="13" t="n">
        <x:f>IF(C1310=0,"n.a.",F1310/C1310)</x:f>
        <x:v>443.8566666666666</x:v>
      </x:c>
      <x:c r="J1310" s="3"/>
      <x:c r="K1310" s="3"/>
      <x:c r="L1310" s="3"/>
    </x:row>
    <x:row r="1311" ht="22" customHeight="1">
      <x:c r="A1311" s="3"/>
      <x:c r="B1311" s="3" t="str">
        <x:v>16493</x:v>
      </x:c>
      <x:c r="C1311" s="3" t="n">
        <x:v>4</x:v>
      </x:c>
      <x:c r="D1311" s="51" t="n">
        <x:v>40807</x:v>
      </x:c>
      <x:c r="E1311" s="3" t="str">
        <x:v>Recurrente</x:v>
      </x:c>
      <x:c r="F1311" s="13" t="n">
        <x:v>1351.63</x:v>
      </x:c>
      <x:c r="G1311" s="13" t="n">
        <x:v>21.97</x:v>
      </x:c>
      <x:c r="H1311" s="13" t="n">
        <x:f>F1311-G1311</x:f>
        <x:v>1329.66</x:v>
      </x:c>
      <x:c r="I1311" s="13" t="n">
        <x:f>IF(C1311=0,"n.a.",F1311/C1311)</x:f>
        <x:v>337.9075</x:v>
      </x:c>
      <x:c r="J1311" s="3"/>
      <x:c r="K1311" s="3"/>
      <x:c r="L1311" s="3"/>
    </x:row>
    <x:row r="1312" ht="22" customHeight="1">
      <x:c r="A1312" s="3"/>
      <x:c r="B1312" s="3" t="str">
        <x:v>16295</x:v>
      </x:c>
      <x:c r="C1312" s="3" t="n">
        <x:v>4</x:v>
      </x:c>
      <x:c r="D1312" s="51" t="n">
        <x:v>40877</x:v>
      </x:c>
      <x:c r="E1312" s="3" t="str">
        <x:v>Recurrente</x:v>
      </x:c>
      <x:c r="F1312" s="13" t="n">
        <x:v>1328.55</x:v>
      </x:c>
      <x:c r="G1312" s="13" t="n">
        <x:v>0</x:v>
      </x:c>
      <x:c r="H1312" s="13" t="n">
        <x:f>F1312-G1312</x:f>
        <x:v>1328.55</x:v>
      </x:c>
      <x:c r="I1312" s="13" t="n">
        <x:f>IF(C1312=0,"n.a.",F1312/C1312)</x:f>
        <x:v>332.1375</x:v>
      </x:c>
      <x:c r="J1312" s="3"/>
      <x:c r="K1312" s="3"/>
      <x:c r="L1312" s="3"/>
    </x:row>
    <x:row r="1313" ht="22" customHeight="1">
      <x:c r="A1313" s="3"/>
      <x:c r="B1313" s="3" t="str">
        <x:v>15059</x:v>
      </x:c>
      <x:c r="C1313" s="3" t="n">
        <x:v>9</x:v>
      </x:c>
      <x:c r="D1313" s="51" t="n">
        <x:v>40846</x:v>
      </x:c>
      <x:c r="E1313" s="3" t="str">
        <x:v>Recurrente</x:v>
      </x:c>
      <x:c r="F1313" s="13" t="n">
        <x:v>1337.72</x:v>
      </x:c>
      <x:c r="G1313" s="13" t="n">
        <x:v>11.9</x:v>
      </x:c>
      <x:c r="H1313" s="13" t="n">
        <x:f>F1313-G1313</x:f>
        <x:v>1325.82</x:v>
      </x:c>
      <x:c r="I1313" s="13" t="n">
        <x:f>IF(C1313=0,"n.a.",F1313/C1313)</x:f>
        <x:v>148.63555555555556</x:v>
      </x:c>
      <x:c r="J1313" s="3"/>
      <x:c r="K1313" s="3"/>
      <x:c r="L1313" s="3"/>
    </x:row>
    <x:row r="1314" ht="22" customHeight="1">
      <x:c r="A1314" s="3"/>
      <x:c r="B1314" s="3" t="str">
        <x:v>13396</x:v>
      </x:c>
      <x:c r="C1314" s="3" t="n">
        <x:v>2</x:v>
      </x:c>
      <x:c r="D1314" s="51" t="n">
        <x:v>40857</x:v>
      </x:c>
      <x:c r="E1314" s="3" t="str">
        <x:v>Recurrente</x:v>
      </x:c>
      <x:c r="F1314" s="13" t="n">
        <x:v>1360.99</x:v>
      </x:c>
      <x:c r="G1314" s="13" t="n">
        <x:v>35.7</x:v>
      </x:c>
      <x:c r="H1314" s="13" t="n">
        <x:f>F1314-G1314</x:f>
        <x:v>1325.29</x:v>
      </x:c>
      <x:c r="I1314" s="13" t="n">
        <x:f>IF(C1314=0,"n.a.",F1314/C1314)</x:f>
        <x:v>680.495</x:v>
      </x:c>
      <x:c r="J1314" s="3"/>
      <x:c r="K1314" s="3"/>
      <x:c r="L1314" s="3"/>
    </x:row>
    <x:row r="1315" ht="22" customHeight="1">
      <x:c r="A1315" s="3"/>
      <x:c r="B1315" s="3" t="str">
        <x:v>16370</x:v>
      </x:c>
      <x:c r="C1315" s="3" t="n">
        <x:v>4</x:v>
      </x:c>
      <x:c r="D1315" s="51" t="n">
        <x:v>40804</x:v>
      </x:c>
      <x:c r="E1315" s="3" t="str">
        <x:v>Recurrente</x:v>
      </x:c>
      <x:c r="F1315" s="13" t="n">
        <x:v>1320.56</x:v>
      </x:c>
      <x:c r="G1315" s="13" t="n">
        <x:v>0</x:v>
      </x:c>
      <x:c r="H1315" s="13" t="n">
        <x:f>F1315-G1315</x:f>
        <x:v>1320.56</x:v>
      </x:c>
      <x:c r="I1315" s="13" t="n">
        <x:f>IF(C1315=0,"n.a.",F1315/C1315)</x:f>
        <x:v>330.14</x:v>
      </x:c>
      <x:c r="J1315" s="3"/>
      <x:c r="K1315" s="3"/>
      <x:c r="L1315" s="3"/>
    </x:row>
    <x:row r="1316" ht="22" customHeight="1">
      <x:c r="A1316" s="3"/>
      <x:c r="B1316" s="3" t="str">
        <x:v>14748</x:v>
      </x:c>
      <x:c r="C1316" s="3" t="n">
        <x:v>5</x:v>
      </x:c>
      <x:c r="D1316" s="51" t="n">
        <x:v>40857</x:v>
      </x:c>
      <x:c r="E1316" s="3" t="str">
        <x:v>Recurrente</x:v>
      </x:c>
      <x:c r="F1316" s="13" t="n">
        <x:v>1415.75</x:v>
      </x:c>
      <x:c r="G1316" s="13" t="n">
        <x:v>96.9</x:v>
      </x:c>
      <x:c r="H1316" s="13" t="n">
        <x:f>F1316-G1316</x:f>
        <x:v>1318.85</x:v>
      </x:c>
      <x:c r="I1316" s="13" t="n">
        <x:f>IF(C1316=0,"n.a.",F1316/C1316)</x:f>
        <x:v>283.15</x:v>
      </x:c>
      <x:c r="J1316" s="3"/>
      <x:c r="K1316" s="3"/>
      <x:c r="L1316" s="3"/>
    </x:row>
    <x:row r="1317" ht="22" customHeight="1">
      <x:c r="A1317" s="3"/>
      <x:c r="B1317" s="3" t="str">
        <x:v>16083</x:v>
      </x:c>
      <x:c r="C1317" s="3" t="n">
        <x:v>2</x:v>
      </x:c>
      <x:c r="D1317" s="51" t="n">
        <x:v>40786</x:v>
      </x:c>
      <x:c r="E1317" s="3" t="str">
        <x:v>Recurrente</x:v>
      </x:c>
      <x:c r="F1317" s="13" t="n">
        <x:v>1317.62</x:v>
      </x:c>
      <x:c r="G1317" s="13" t="n">
        <x:v>0</x:v>
      </x:c>
      <x:c r="H1317" s="13" t="n">
        <x:f>F1317-G1317</x:f>
        <x:v>1317.62</x:v>
      </x:c>
      <x:c r="I1317" s="13" t="n">
        <x:f>IF(C1317=0,"n.a.",F1317/C1317)</x:f>
        <x:v>658.81</x:v>
      </x:c>
      <x:c r="J1317" s="3"/>
      <x:c r="K1317" s="3"/>
      <x:c r="L1317" s="3"/>
    </x:row>
    <x:row r="1318" ht="22" customHeight="1">
      <x:c r="A1318" s="3"/>
      <x:c r="B1318" s="3" t="str">
        <x:v>13012</x:v>
      </x:c>
      <x:c r="C1318" s="3" t="n">
        <x:v>8</x:v>
      </x:c>
      <x:c r="D1318" s="51" t="n">
        <x:v>40877</x:v>
      </x:c>
      <x:c r="E1318" s="3" t="str">
        <x:v>Recurrente</x:v>
      </x:c>
      <x:c r="F1318" s="13" t="n">
        <x:v>1661.84</x:v>
      </x:c>
      <x:c r="G1318" s="13" t="n">
        <x:v>345.12</x:v>
      </x:c>
      <x:c r="H1318" s="13" t="n">
        <x:f>F1318-G1318</x:f>
        <x:v>1316.7199999999998</x:v>
      </x:c>
      <x:c r="I1318" s="13" t="n">
        <x:f>IF(C1318=0,"n.a.",F1318/C1318)</x:f>
        <x:v>207.73</x:v>
      </x:c>
      <x:c r="J1318" s="3"/>
      <x:c r="K1318" s="3"/>
      <x:c r="L1318" s="3"/>
    </x:row>
    <x:row r="1319" ht="22" customHeight="1">
      <x:c r="A1319" s="3"/>
      <x:c r="B1319" s="3" t="str">
        <x:v>14921</x:v>
      </x:c>
      <x:c r="C1319" s="3" t="n">
        <x:v>2</x:v>
      </x:c>
      <x:c r="D1319" s="51" t="n">
        <x:v>40856</x:v>
      </x:c>
      <x:c r="E1319" s="3" t="str">
        <x:v>Recurrente</x:v>
      </x:c>
      <x:c r="F1319" s="13" t="n">
        <x:v>1316.07</x:v>
      </x:c>
      <x:c r="G1319" s="13" t="n">
        <x:v>0</x:v>
      </x:c>
      <x:c r="H1319" s="13" t="n">
        <x:f>F1319-G1319</x:f>
        <x:v>1316.07</x:v>
      </x:c>
      <x:c r="I1319" s="13" t="n">
        <x:f>IF(C1319=0,"n.a.",F1319/C1319)</x:f>
        <x:v>658.035</x:v>
      </x:c>
      <x:c r="J1319" s="3"/>
      <x:c r="K1319" s="3"/>
      <x:c r="L1319" s="3"/>
    </x:row>
    <x:row r="1320" ht="22" customHeight="1">
      <x:c r="A1320" s="3"/>
      <x:c r="B1320" s="3" t="str">
        <x:v>14102</x:v>
      </x:c>
      <x:c r="C1320" s="3" t="n">
        <x:v>5</x:v>
      </x:c>
      <x:c r="D1320" s="51" t="n">
        <x:v>40881</x:v>
      </x:c>
      <x:c r="E1320" s="3" t="str">
        <x:v>Recurrente</x:v>
      </x:c>
      <x:c r="F1320" s="13" t="n">
        <x:v>1360.28</x:v>
      </x:c>
      <x:c r="G1320" s="13" t="n">
        <x:v>45.55</x:v>
      </x:c>
      <x:c r="H1320" s="13" t="n">
        <x:f>F1320-G1320</x:f>
        <x:v>1314.73</x:v>
      </x:c>
      <x:c r="I1320" s="13" t="n">
        <x:f>IF(C1320=0,"n.a.",F1320/C1320)</x:f>
        <x:v>272.056</x:v>
      </x:c>
      <x:c r="J1320" s="3"/>
      <x:c r="K1320" s="3"/>
      <x:c r="L1320" s="3"/>
    </x:row>
    <x:row r="1321" ht="22" customHeight="1">
      <x:c r="A1321" s="3"/>
      <x:c r="B1321" s="3" t="str">
        <x:v>16464</x:v>
      </x:c>
      <x:c r="C1321" s="3" t="n">
        <x:v>3</x:v>
      </x:c>
      <x:c r="D1321" s="51" t="n">
        <x:v>40867</x:v>
      </x:c>
      <x:c r="E1321" s="3" t="str">
        <x:v>Recurrente</x:v>
      </x:c>
      <x:c r="F1321" s="13" t="n">
        <x:v>1314.68</x:v>
      </x:c>
      <x:c r="G1321" s="13" t="n">
        <x:v>0</x:v>
      </x:c>
      <x:c r="H1321" s="13" t="n">
        <x:f>F1321-G1321</x:f>
        <x:v>1314.68</x:v>
      </x:c>
      <x:c r="I1321" s="13" t="n">
        <x:f>IF(C1321=0,"n.a.",F1321/C1321)</x:f>
        <x:v>438.2266666666667</x:v>
      </x:c>
      <x:c r="J1321" s="3"/>
      <x:c r="K1321" s="3"/>
      <x:c r="L1321" s="3"/>
    </x:row>
    <x:row r="1322" ht="22" customHeight="1">
      <x:c r="A1322" s="3"/>
      <x:c r="B1322" s="3" t="str">
        <x:v>14973</x:v>
      </x:c>
      <x:c r="C1322" s="3" t="n">
        <x:v>3</x:v>
      </x:c>
      <x:c r="D1322" s="51" t="n">
        <x:v>40779</x:v>
      </x:c>
      <x:c r="E1322" s="3" t="str">
        <x:v>Recurrente</x:v>
      </x:c>
      <x:c r="F1322" s="13" t="n">
        <x:v>1314.45</x:v>
      </x:c>
      <x:c r="G1322" s="13" t="n">
        <x:v>0</x:v>
      </x:c>
      <x:c r="H1322" s="13" t="n">
        <x:f>F1322-G1322</x:f>
        <x:v>1314.45</x:v>
      </x:c>
      <x:c r="I1322" s="13" t="n">
        <x:f>IF(C1322=0,"n.a.",F1322/C1322)</x:f>
        <x:v>438.15000000000003</x:v>
      </x:c>
      <x:c r="J1322" s="3"/>
      <x:c r="K1322" s="3"/>
      <x:c r="L1322" s="3"/>
    </x:row>
    <x:row r="1323" ht="22" customHeight="1">
      <x:c r="A1323" s="3"/>
      <x:c r="B1323" s="3" t="str">
        <x:v>18177</x:v>
      </x:c>
      <x:c r="C1323" s="3" t="n">
        <x:v>6</x:v>
      </x:c>
      <x:c r="D1323" s="51" t="n">
        <x:v>40855</x:v>
      </x:c>
      <x:c r="E1323" s="3" t="str">
        <x:v>Recurrente</x:v>
      </x:c>
      <x:c r="F1323" s="13" t="n">
        <x:v>1341.42</x:v>
      </x:c>
      <x:c r="G1323" s="13" t="n">
        <x:v>27.25</x:v>
      </x:c>
      <x:c r="H1323" s="13" t="n">
        <x:f>F1323-G1323</x:f>
        <x:v>1314.17</x:v>
      </x:c>
      <x:c r="I1323" s="13" t="n">
        <x:f>IF(C1323=0,"n.a.",F1323/C1323)</x:f>
        <x:v>223.57000000000002</x:v>
      </x:c>
      <x:c r="J1323" s="3"/>
      <x:c r="K1323" s="3"/>
      <x:c r="L1323" s="3"/>
    </x:row>
    <x:row r="1324" ht="22" customHeight="1">
      <x:c r="A1324" s="3"/>
      <x:c r="B1324" s="3" t="str">
        <x:v>15146</x:v>
      </x:c>
      <x:c r="C1324" s="3" t="n">
        <x:v>2</x:v>
      </x:c>
      <x:c r="D1324" s="51" t="n">
        <x:v>40722</x:v>
      </x:c>
      <x:c r="E1324" s="3" t="str">
        <x:v>Recurrente</x:v>
      </x:c>
      <x:c r="F1324" s="13" t="n">
        <x:v>1327.16</x:v>
      </x:c>
      <x:c r="G1324" s="13" t="n">
        <x:v>13.5</x:v>
      </x:c>
      <x:c r="H1324" s="13" t="n">
        <x:f>F1324-G1324</x:f>
        <x:v>1313.66</x:v>
      </x:c>
      <x:c r="I1324" s="13" t="n">
        <x:f>IF(C1324=0,"n.a.",F1324/C1324)</x:f>
        <x:v>663.58</x:v>
      </x:c>
      <x:c r="J1324" s="3"/>
      <x:c r="K1324" s="3"/>
      <x:c r="L1324" s="3"/>
    </x:row>
    <x:row r="1325" ht="22" customHeight="1">
      <x:c r="A1325" s="3"/>
      <x:c r="B1325" s="3" t="str">
        <x:v>16040</x:v>
      </x:c>
      <x:c r="C1325" s="3" t="n">
        <x:v>3</x:v>
      </x:c>
      <x:c r="D1325" s="51" t="n">
        <x:v>40821</x:v>
      </x:c>
      <x:c r="E1325" s="3" t="str">
        <x:v>Recurrente</x:v>
      </x:c>
      <x:c r="F1325" s="13" t="n">
        <x:v>1313.55</x:v>
      </x:c>
      <x:c r="G1325" s="13" t="n">
        <x:v>0</x:v>
      </x:c>
      <x:c r="H1325" s="13" t="n">
        <x:f>F1325-G1325</x:f>
        <x:v>1313.55</x:v>
      </x:c>
      <x:c r="I1325" s="13" t="n">
        <x:f>IF(C1325=0,"n.a.",F1325/C1325)</x:f>
        <x:v>437.84999999999997</x:v>
      </x:c>
      <x:c r="J1325" s="3"/>
      <x:c r="K1325" s="3"/>
      <x:c r="L1325" s="3"/>
    </x:row>
    <x:row r="1326" ht="22" customHeight="1">
      <x:c r="A1326" s="3"/>
      <x:c r="B1326" s="3" t="str">
        <x:v>14856</x:v>
      </x:c>
      <x:c r="C1326" s="3" t="n">
        <x:v>3</x:v>
      </x:c>
      <x:c r="D1326" s="51" t="n">
        <x:v>40850</x:v>
      </x:c>
      <x:c r="E1326" s="3" t="str">
        <x:v>Recurrente</x:v>
      </x:c>
      <x:c r="F1326" s="13" t="n">
        <x:v>1311.38</x:v>
      </x:c>
      <x:c r="G1326" s="13" t="n">
        <x:v>0</x:v>
      </x:c>
      <x:c r="H1326" s="13" t="n">
        <x:f>F1326-G1326</x:f>
        <x:v>1311.38</x:v>
      </x:c>
      <x:c r="I1326" s="13" t="n">
        <x:f>IF(C1326=0,"n.a.",F1326/C1326)</x:f>
        <x:v>437.1266666666667</x:v>
      </x:c>
      <x:c r="J1326" s="3"/>
      <x:c r="K1326" s="3"/>
      <x:c r="L1326" s="3"/>
    </x:row>
    <x:row r="1327" ht="22" customHeight="1">
      <x:c r="A1327" s="3"/>
      <x:c r="B1327" s="3" t="str">
        <x:v>15563</x:v>
      </x:c>
      <x:c r="C1327" s="3" t="n">
        <x:v>3</x:v>
      </x:c>
      <x:c r="D1327" s="51" t="n">
        <x:v>40864</x:v>
      </x:c>
      <x:c r="E1327" s="3" t="str">
        <x:v>Recurrente</x:v>
      </x:c>
      <x:c r="F1327" s="13" t="n">
        <x:v>1361.44</x:v>
      </x:c>
      <x:c r="G1327" s="13" t="n">
        <x:v>50.75</x:v>
      </x:c>
      <x:c r="H1327" s="13" t="n">
        <x:f>F1327-G1327</x:f>
        <x:v>1310.69</x:v>
      </x:c>
      <x:c r="I1327" s="13" t="n">
        <x:f>IF(C1327=0,"n.a.",F1327/C1327)</x:f>
        <x:v>453.81333333333333</x:v>
      </x:c>
      <x:c r="J1327" s="3"/>
      <x:c r="K1327" s="3"/>
      <x:c r="L1327" s="3"/>
    </x:row>
    <x:row r="1328" ht="22" customHeight="1">
      <x:c r="A1328" s="3"/>
      <x:c r="B1328" s="3" t="str">
        <x:v>13501</x:v>
      </x:c>
      <x:c r="C1328" s="3" t="n">
        <x:v>1</x:v>
      </x:c>
      <x:c r="D1328" s="51" t="n">
        <x:v>40598</x:v>
      </x:c>
      <x:c r="E1328" s="3" t="str">
        <x:v>Una compra</x:v>
      </x:c>
      <x:c r="F1328" s="13" t="n">
        <x:v>1340.32</x:v>
      </x:c>
      <x:c r="G1328" s="13" t="n">
        <x:v>29.85</x:v>
      </x:c>
      <x:c r="H1328" s="13" t="n">
        <x:f>F1328-G1328</x:f>
        <x:v>1310.47</x:v>
      </x:c>
      <x:c r="I1328" s="13" t="n">
        <x:f>IF(C1328=0,"n.a.",F1328/C1328)</x:f>
        <x:v>1340.32</x:v>
      </x:c>
      <x:c r="J1328" s="3"/>
      <x:c r="K1328" s="3"/>
      <x:c r="L1328" s="3"/>
    </x:row>
    <x:row r="1329" ht="22" customHeight="1">
      <x:c r="A1329" s="3"/>
      <x:c r="B1329" s="3" t="str">
        <x:v>13168</x:v>
      </x:c>
      <x:c r="C1329" s="3" t="n">
        <x:v>4</x:v>
      </x:c>
      <x:c r="D1329" s="51" t="n">
        <x:v>40850</x:v>
      </x:c>
      <x:c r="E1329" s="3" t="str">
        <x:v>Recurrente</x:v>
      </x:c>
      <x:c r="F1329" s="13" t="n">
        <x:v>1319.19</x:v>
      </x:c>
      <x:c r="G1329" s="13" t="n">
        <x:v>9.05</x:v>
      </x:c>
      <x:c r="H1329" s="13" t="n">
        <x:f>F1329-G1329</x:f>
        <x:v>1310.14</x:v>
      </x:c>
      <x:c r="I1329" s="13" t="n">
        <x:f>IF(C1329=0,"n.a.",F1329/C1329)</x:f>
        <x:v>329.7975</x:v>
      </x:c>
      <x:c r="J1329" s="3"/>
      <x:c r="K1329" s="3"/>
      <x:c r="L1329" s="3"/>
    </x:row>
    <x:row r="1330" ht="22" customHeight="1">
      <x:c r="A1330" s="3"/>
      <x:c r="B1330" s="3" t="str">
        <x:v>13328</x:v>
      </x:c>
      <x:c r="C1330" s="3" t="n">
        <x:v>1</x:v>
      </x:c>
      <x:c r="D1330" s="51" t="n">
        <x:v>40570</x:v>
      </x:c>
      <x:c r="E1330" s="3" t="str">
        <x:v>Una compra</x:v>
      </x:c>
      <x:c r="F1330" s="13" t="n">
        <x:v>1308.48</x:v>
      </x:c>
      <x:c r="G1330" s="13" t="n">
        <x:v>0</x:v>
      </x:c>
      <x:c r="H1330" s="13" t="n">
        <x:f>F1330-G1330</x:f>
        <x:v>1308.48</x:v>
      </x:c>
      <x:c r="I1330" s="13" t="n">
        <x:f>IF(C1330=0,"n.a.",F1330/C1330)</x:f>
        <x:v>1308.48</x:v>
      </x:c>
      <x:c r="J1330" s="3"/>
      <x:c r="K1330" s="3"/>
      <x:c r="L1330" s="3"/>
    </x:row>
    <x:row r="1331" ht="22" customHeight="1">
      <x:c r="A1331" s="3"/>
      <x:c r="B1331" s="3" t="str">
        <x:v>14477</x:v>
      </x:c>
      <x:c r="C1331" s="3" t="n">
        <x:v>4</x:v>
      </x:c>
      <x:c r="D1331" s="51" t="n">
        <x:v>40867</x:v>
      </x:c>
      <x:c r="E1331" s="3" t="str">
        <x:v>Recurrente</x:v>
      </x:c>
      <x:c r="F1331" s="13" t="n">
        <x:v>1309.6</x:v>
      </x:c>
      <x:c r="G1331" s="13" t="n">
        <x:v>1.79</x:v>
      </x:c>
      <x:c r="H1331" s="13" t="n">
        <x:f>F1331-G1331</x:f>
        <x:v>1307.81</x:v>
      </x:c>
      <x:c r="I1331" s="13" t="n">
        <x:f>IF(C1331=0,"n.a.",F1331/C1331)</x:f>
        <x:v>327.4</x:v>
      </x:c>
      <x:c r="J1331" s="3"/>
      <x:c r="K1331" s="3"/>
      <x:c r="L1331" s="3"/>
    </x:row>
    <x:row r="1332" ht="22" customHeight="1">
      <x:c r="A1332" s="3"/>
      <x:c r="B1332" s="3" t="str">
        <x:v>12576</x:v>
      </x:c>
      <x:c r="C1332" s="3" t="n">
        <x:v>5</x:v>
      </x:c>
      <x:c r="D1332" s="51" t="n">
        <x:v>40851</x:v>
      </x:c>
      <x:c r="E1332" s="3" t="str">
        <x:v>Recurrente</x:v>
      </x:c>
      <x:c r="F1332" s="13" t="n">
        <x:v>1315.83</x:v>
      </x:c>
      <x:c r="G1332" s="13" t="n">
        <x:v>8.85</x:v>
      </x:c>
      <x:c r="H1332" s="13" t="n">
        <x:f>F1332-G1332</x:f>
        <x:v>1306.98</x:v>
      </x:c>
      <x:c r="I1332" s="13" t="n">
        <x:f>IF(C1332=0,"n.a.",F1332/C1332)</x:f>
        <x:v>263.166</x:v>
      </x:c>
      <x:c r="J1332" s="3"/>
      <x:c r="K1332" s="3"/>
      <x:c r="L1332" s="3"/>
    </x:row>
    <x:row r="1333" ht="22" customHeight="1">
      <x:c r="A1333" s="3"/>
      <x:c r="B1333" s="3" t="str">
        <x:v>16744</x:v>
      </x:c>
      <x:c r="C1333" s="3" t="n">
        <x:v>7</x:v>
      </x:c>
      <x:c r="D1333" s="51" t="n">
        <x:v>40875</x:v>
      </x:c>
      <x:c r="E1333" s="3" t="str">
        <x:v>Recurrente</x:v>
      </x:c>
      <x:c r="F1333" s="13" t="n">
        <x:v>1304.76</x:v>
      </x:c>
      <x:c r="G1333" s="13" t="n">
        <x:v>0</x:v>
      </x:c>
      <x:c r="H1333" s="13" t="n">
        <x:f>F1333-G1333</x:f>
        <x:v>1304.76</x:v>
      </x:c>
      <x:c r="I1333" s="13" t="n">
        <x:f>IF(C1333=0,"n.a.",F1333/C1333)</x:f>
        <x:v>186.3942857142857</x:v>
      </x:c>
      <x:c r="J1333" s="3"/>
      <x:c r="K1333" s="3"/>
      <x:c r="L1333" s="3"/>
    </x:row>
    <x:row r="1334" ht="22" customHeight="1">
      <x:c r="A1334" s="3"/>
      <x:c r="B1334" s="3" t="str">
        <x:v>17919</x:v>
      </x:c>
      <x:c r="C1334" s="3" t="n">
        <x:v>1</x:v>
      </x:c>
      <x:c r="D1334" s="51" t="n">
        <x:v>40798</x:v>
      </x:c>
      <x:c r="E1334" s="3" t="str">
        <x:v>Una compra</x:v>
      </x:c>
      <x:c r="F1334" s="13" t="n">
        <x:v>1304.04</x:v>
      </x:c>
      <x:c r="G1334" s="13" t="n">
        <x:v>0</x:v>
      </x:c>
      <x:c r="H1334" s="13" t="n">
        <x:f>F1334-G1334</x:f>
        <x:v>1304.04</x:v>
      </x:c>
      <x:c r="I1334" s="13" t="n">
        <x:f>IF(C1334=0,"n.a.",F1334/C1334)</x:f>
        <x:v>1304.04</x:v>
      </x:c>
      <x:c r="J1334" s="3"/>
      <x:c r="K1334" s="3"/>
      <x:c r="L1334" s="3"/>
    </x:row>
    <x:row r="1335" ht="22" customHeight="1">
      <x:c r="A1335" s="3"/>
      <x:c r="B1335" s="3" t="str">
        <x:v>15813</x:v>
      </x:c>
      <x:c r="C1335" s="3" t="n">
        <x:v>2</x:v>
      </x:c>
      <x:c r="D1335" s="51" t="n">
        <x:v>40679</x:v>
      </x:c>
      <x:c r="E1335" s="3" t="str">
        <x:v>Recurrente</x:v>
      </x:c>
      <x:c r="F1335" s="13" t="n">
        <x:v>1303.91</x:v>
      </x:c>
      <x:c r="G1335" s="13" t="n">
        <x:v>0</x:v>
      </x:c>
      <x:c r="H1335" s="13" t="n">
        <x:f>F1335-G1335</x:f>
        <x:v>1303.91</x:v>
      </x:c>
      <x:c r="I1335" s="13" t="n">
        <x:f>IF(C1335=0,"n.a.",F1335/C1335)</x:f>
        <x:v>651.955</x:v>
      </x:c>
      <x:c r="J1335" s="3"/>
      <x:c r="K1335" s="3"/>
      <x:c r="L1335" s="3"/>
    </x:row>
    <x:row r="1336" ht="22" customHeight="1">
      <x:c r="A1336" s="3"/>
      <x:c r="B1336" s="3" t="str">
        <x:v>12620</x:v>
      </x:c>
      <x:c r="C1336" s="3" t="n">
        <x:v>3</x:v>
      </x:c>
      <x:c r="D1336" s="51" t="n">
        <x:v>40872</x:v>
      </x:c>
      <x:c r="E1336" s="3" t="str">
        <x:v>Recurrente</x:v>
      </x:c>
      <x:c r="F1336" s="13" t="n">
        <x:v>1303.41</x:v>
      </x:c>
      <x:c r="G1336" s="13" t="n">
        <x:v>0</x:v>
      </x:c>
      <x:c r="H1336" s="13" t="n">
        <x:f>F1336-G1336</x:f>
        <x:v>1303.41</x:v>
      </x:c>
      <x:c r="I1336" s="13" t="n">
        <x:f>IF(C1336=0,"n.a.",F1336/C1336)</x:f>
        <x:v>434.47</x:v>
      </x:c>
      <x:c r="J1336" s="3"/>
      <x:c r="K1336" s="3"/>
      <x:c r="L1336" s="3"/>
    </x:row>
    <x:row r="1337" ht="22" customHeight="1">
      <x:c r="A1337" s="3"/>
      <x:c r="B1337" s="3" t="str">
        <x:v>12919</x:v>
      </x:c>
      <x:c r="C1337" s="3" t="n">
        <x:v>6</x:v>
      </x:c>
      <x:c r="D1337" s="51" t="n">
        <x:v>40878</x:v>
      </x:c>
      <x:c r="E1337" s="3" t="str">
        <x:v>Recurrente</x:v>
      </x:c>
      <x:c r="F1337" s="13" t="n">
        <x:v>1335.19</x:v>
      </x:c>
      <x:c r="G1337" s="13" t="n">
        <x:v>33.75</x:v>
      </x:c>
      <x:c r="H1337" s="13" t="n">
        <x:f>F1337-G1337</x:f>
        <x:v>1301.44</x:v>
      </x:c>
      <x:c r="I1337" s="13" t="n">
        <x:f>IF(C1337=0,"n.a.",F1337/C1337)</x:f>
        <x:v>222.53166666666667</x:v>
      </x:c>
      <x:c r="J1337" s="3"/>
      <x:c r="K1337" s="3"/>
      <x:c r="L1337" s="3"/>
    </x:row>
    <x:row r="1338" ht="22" customHeight="1">
      <x:c r="A1338" s="3"/>
      <x:c r="B1338" s="3" t="str">
        <x:v>15494</x:v>
      </x:c>
      <x:c r="C1338" s="3" t="n">
        <x:v>2</x:v>
      </x:c>
      <x:c r="D1338" s="51" t="n">
        <x:v>40865</x:v>
      </x:c>
      <x:c r="E1338" s="3" t="str">
        <x:v>Recurrente</x:v>
      </x:c>
      <x:c r="F1338" s="13" t="n">
        <x:v>1299.23</x:v>
      </x:c>
      <x:c r="G1338" s="13" t="n">
        <x:v>0</x:v>
      </x:c>
      <x:c r="H1338" s="13" t="n">
        <x:f>F1338-G1338</x:f>
        <x:v>1299.23</x:v>
      </x:c>
      <x:c r="I1338" s="13" t="n">
        <x:f>IF(C1338=0,"n.a.",F1338/C1338)</x:f>
        <x:v>649.615</x:v>
      </x:c>
      <x:c r="J1338" s="3"/>
      <x:c r="K1338" s="3"/>
      <x:c r="L1338" s="3"/>
    </x:row>
    <x:row r="1339" ht="22" customHeight="1">
      <x:c r="A1339" s="3"/>
      <x:c r="B1339" s="3" t="str">
        <x:v>17961</x:v>
      </x:c>
      <x:c r="C1339" s="3" t="n">
        <x:v>39</x:v>
      </x:c>
      <x:c r="D1339" s="51" t="n">
        <x:v>40865</x:v>
      </x:c>
      <x:c r="E1339" s="3" t="str">
        <x:v>Recurrente</x:v>
      </x:c>
      <x:c r="F1339" s="13" t="n">
        <x:v>1296.44</x:v>
      </x:c>
      <x:c r="G1339" s="13" t="n">
        <x:v>0</x:v>
      </x:c>
      <x:c r="H1339" s="13" t="n">
        <x:f>F1339-G1339</x:f>
        <x:v>1296.44</x:v>
      </x:c>
      <x:c r="I1339" s="13" t="n">
        <x:f>IF(C1339=0,"n.a.",F1339/C1339)</x:f>
        <x:v>33.242051282051285</x:v>
      </x:c>
      <x:c r="J1339" s="3"/>
      <x:c r="K1339" s="3"/>
      <x:c r="L1339" s="3"/>
    </x:row>
    <x:row r="1340" ht="22" customHeight="1">
      <x:c r="A1340" s="3"/>
      <x:c r="B1340" s="3" t="str">
        <x:v>17095</x:v>
      </x:c>
      <x:c r="C1340" s="3" t="n">
        <x:v>3</x:v>
      </x:c>
      <x:c r="D1340" s="51" t="n">
        <x:v>40864</x:v>
      </x:c>
      <x:c r="E1340" s="3" t="str">
        <x:v>Recurrente</x:v>
      </x:c>
      <x:c r="F1340" s="13" t="n">
        <x:v>1324.16</x:v>
      </x:c>
      <x:c r="G1340" s="13" t="n">
        <x:v>27.8</x:v>
      </x:c>
      <x:c r="H1340" s="13" t="n">
        <x:f>F1340-G1340</x:f>
        <x:v>1296.3600000000001</x:v>
      </x:c>
      <x:c r="I1340" s="13" t="n">
        <x:f>IF(C1340=0,"n.a.",F1340/C1340)</x:f>
        <x:v>441.3866666666667</x:v>
      </x:c>
      <x:c r="J1340" s="3"/>
      <x:c r="K1340" s="3"/>
      <x:c r="L1340" s="3"/>
    </x:row>
    <x:row r="1341" ht="22" customHeight="1">
      <x:c r="A1341" s="3"/>
      <x:c r="B1341" s="3" t="str">
        <x:v>12783</x:v>
      </x:c>
      <x:c r="C1341" s="3" t="n">
        <x:v>4</x:v>
      </x:c>
      <x:c r="D1341" s="51" t="n">
        <x:v>40884</x:v>
      </x:c>
      <x:c r="E1341" s="3" t="str">
        <x:v>Recurrente</x:v>
      </x:c>
      <x:c r="F1341" s="13" t="n">
        <x:v>1295.87</x:v>
      </x:c>
      <x:c r="G1341" s="13" t="n">
        <x:v>0</x:v>
      </x:c>
      <x:c r="H1341" s="13" t="n">
        <x:f>F1341-G1341</x:f>
        <x:v>1295.87</x:v>
      </x:c>
      <x:c r="I1341" s="13" t="n">
        <x:f>IF(C1341=0,"n.a.",F1341/C1341)</x:f>
        <x:v>323.9675</x:v>
      </x:c>
      <x:c r="J1341" s="3"/>
      <x:c r="K1341" s="3"/>
      <x:c r="L1341" s="3"/>
    </x:row>
    <x:row r="1342" ht="22" customHeight="1">
      <x:c r="A1342" s="3"/>
      <x:c r="B1342" s="3" t="str">
        <x:v>16929</x:v>
      </x:c>
      <x:c r="C1342" s="3" t="n">
        <x:v>7</x:v>
      </x:c>
      <x:c r="D1342" s="51" t="n">
        <x:v>40883</x:v>
      </x:c>
      <x:c r="E1342" s="3" t="str">
        <x:v>Recurrente</x:v>
      </x:c>
      <x:c r="F1342" s="13" t="n">
        <x:v>1295.39</x:v>
      </x:c>
      <x:c r="G1342" s="13" t="n">
        <x:v>0</x:v>
      </x:c>
      <x:c r="H1342" s="13" t="n">
        <x:f>F1342-G1342</x:f>
        <x:v>1295.39</x:v>
      </x:c>
      <x:c r="I1342" s="13" t="n">
        <x:f>IF(C1342=0,"n.a.",F1342/C1342)</x:f>
        <x:v>185.0557142857143</x:v>
      </x:c>
      <x:c r="J1342" s="3"/>
      <x:c r="K1342" s="3"/>
      <x:c r="L1342" s="3"/>
    </x:row>
    <x:row r="1343" ht="22" customHeight="1">
      <x:c r="A1343" s="3"/>
      <x:c r="B1343" s="3" t="str">
        <x:v>16224</x:v>
      </x:c>
      <x:c r="C1343" s="3" t="n">
        <x:v>4</x:v>
      </x:c>
      <x:c r="D1343" s="51" t="n">
        <x:v>40829</x:v>
      </x:c>
      <x:c r="E1343" s="3" t="str">
        <x:v>Recurrente</x:v>
      </x:c>
      <x:c r="F1343" s="13" t="n">
        <x:v>1295.3</x:v>
      </x:c>
      <x:c r="G1343" s="13" t="n">
        <x:v>0</x:v>
      </x:c>
      <x:c r="H1343" s="13" t="n">
        <x:f>F1343-G1343</x:f>
        <x:v>1295.3</x:v>
      </x:c>
      <x:c r="I1343" s="13" t="n">
        <x:f>IF(C1343=0,"n.a.",F1343/C1343)</x:f>
        <x:v>323.825</x:v>
      </x:c>
      <x:c r="J1343" s="3"/>
      <x:c r="K1343" s="3"/>
      <x:c r="L1343" s="3"/>
    </x:row>
    <x:row r="1344" ht="22" customHeight="1">
      <x:c r="A1344" s="3"/>
      <x:c r="B1344" s="3" t="str">
        <x:v>16120</x:v>
      </x:c>
      <x:c r="C1344" s="3" t="n">
        <x:v>4</x:v>
      </x:c>
      <x:c r="D1344" s="51" t="n">
        <x:v>40827</x:v>
      </x:c>
      <x:c r="E1344" s="3" t="str">
        <x:v>Recurrente</x:v>
      </x:c>
      <x:c r="F1344" s="13" t="n">
        <x:v>1309.14</x:v>
      </x:c>
      <x:c r="G1344" s="13" t="n">
        <x:v>15</x:v>
      </x:c>
      <x:c r="H1344" s="13" t="n">
        <x:f>F1344-G1344</x:f>
        <x:v>1294.14</x:v>
      </x:c>
      <x:c r="I1344" s="13" t="n">
        <x:f>IF(C1344=0,"n.a.",F1344/C1344)</x:f>
        <x:v>327.285</x:v>
      </x:c>
      <x:c r="J1344" s="3"/>
      <x:c r="K1344" s="3"/>
      <x:c r="L1344" s="3"/>
    </x:row>
    <x:row r="1345" ht="22" customHeight="1">
      <x:c r="A1345" s="3"/>
      <x:c r="B1345" s="3" t="str">
        <x:v>14071</x:v>
      </x:c>
      <x:c r="C1345" s="3" t="n">
        <x:v>8</x:v>
      </x:c>
      <x:c r="D1345" s="51" t="n">
        <x:v>40883</x:v>
      </x:c>
      <x:c r="E1345" s="3" t="str">
        <x:v>Recurrente</x:v>
      </x:c>
      <x:c r="F1345" s="13" t="n">
        <x:v>1424</x:v>
      </x:c>
      <x:c r="G1345" s="13" t="n">
        <x:v>131.41</x:v>
      </x:c>
      <x:c r="H1345" s="13" t="n">
        <x:f>F1345-G1345</x:f>
        <x:v>1292.59</x:v>
      </x:c>
      <x:c r="I1345" s="13" t="n">
        <x:f>IF(C1345=0,"n.a.",F1345/C1345)</x:f>
        <x:v>178</x:v>
      </x:c>
      <x:c r="J1345" s="3"/>
      <x:c r="K1345" s="3"/>
      <x:c r="L1345" s="3"/>
    </x:row>
    <x:row r="1346" ht="22" customHeight="1">
      <x:c r="A1346" s="3"/>
      <x:c r="B1346" s="3" t="str">
        <x:v>14297</x:v>
      </x:c>
      <x:c r="C1346" s="3" t="n">
        <x:v>4</x:v>
      </x:c>
      <x:c r="D1346" s="51" t="n">
        <x:v>40869</x:v>
      </x:c>
      <x:c r="E1346" s="3" t="str">
        <x:v>Recurrente</x:v>
      </x:c>
      <x:c r="F1346" s="13" t="n">
        <x:v>1305.33</x:v>
      </x:c>
      <x:c r="G1346" s="13" t="n">
        <x:v>14.85</x:v>
      </x:c>
      <x:c r="H1346" s="13" t="n">
        <x:f>F1346-G1346</x:f>
        <x:v>1290.48</x:v>
      </x:c>
      <x:c r="I1346" s="13" t="n">
        <x:f>IF(C1346=0,"n.a.",F1346/C1346)</x:f>
        <x:v>326.3325</x:v>
      </x:c>
      <x:c r="J1346" s="3"/>
      <x:c r="K1346" s="3"/>
      <x:c r="L1346" s="3"/>
    </x:row>
    <x:row r="1347" ht="22" customHeight="1">
      <x:c r="A1347" s="3"/>
      <x:c r="B1347" s="3" t="str">
        <x:v>14047</x:v>
      </x:c>
      <x:c r="C1347" s="3" t="n">
        <x:v>5</x:v>
      </x:c>
      <x:c r="D1347" s="51" t="n">
        <x:v>40878</x:v>
      </x:c>
      <x:c r="E1347" s="3" t="str">
        <x:v>Recurrente</x:v>
      </x:c>
      <x:c r="F1347" s="13" t="n">
        <x:v>1308.61</x:v>
      </x:c>
      <x:c r="G1347" s="13" t="n">
        <x:v>18.6</x:v>
      </x:c>
      <x:c r="H1347" s="13" t="n">
        <x:f>F1347-G1347</x:f>
        <x:v>1290.01</x:v>
      </x:c>
      <x:c r="I1347" s="13" t="n">
        <x:f>IF(C1347=0,"n.a.",F1347/C1347)</x:f>
        <x:v>261.722</x:v>
      </x:c>
      <x:c r="J1347" s="3"/>
      <x:c r="K1347" s="3"/>
      <x:c r="L1347" s="3"/>
    </x:row>
    <x:row r="1348" ht="22" customHeight="1">
      <x:c r="A1348" s="3"/>
      <x:c r="B1348" s="3" t="str">
        <x:v>14738</x:v>
      </x:c>
      <x:c r="C1348" s="3" t="n">
        <x:v>7</x:v>
      </x:c>
      <x:c r="D1348" s="51" t="n">
        <x:v>40844</x:v>
      </x:c>
      <x:c r="E1348" s="3" t="str">
        <x:v>Recurrente</x:v>
      </x:c>
      <x:c r="F1348" s="13" t="n">
        <x:v>1314.45</x:v>
      </x:c>
      <x:c r="G1348" s="13" t="n">
        <x:v>24.51</x:v>
      </x:c>
      <x:c r="H1348" s="13" t="n">
        <x:f>F1348-G1348</x:f>
        <x:v>1289.94</x:v>
      </x:c>
      <x:c r="I1348" s="13" t="n">
        <x:f>IF(C1348=0,"n.a.",F1348/C1348)</x:f>
        <x:v>187.77857142857144</x:v>
      </x:c>
      <x:c r="J1348" s="3"/>
      <x:c r="K1348" s="3"/>
      <x:c r="L1348" s="3"/>
    </x:row>
    <x:row r="1349" ht="22" customHeight="1">
      <x:c r="A1349" s="3"/>
      <x:c r="B1349" s="3" t="str">
        <x:v>12854</x:v>
      </x:c>
      <x:c r="C1349" s="3" t="n">
        <x:v>3</x:v>
      </x:c>
      <x:c r="D1349" s="51" t="n">
        <x:v>40808</x:v>
      </x:c>
      <x:c r="E1349" s="3" t="str">
        <x:v>Recurrente</x:v>
      </x:c>
      <x:c r="F1349" s="13" t="n">
        <x:v>1324.5</x:v>
      </x:c>
      <x:c r="G1349" s="13" t="n">
        <x:v>35.35</x:v>
      </x:c>
      <x:c r="H1349" s="13" t="n">
        <x:f>F1349-G1349</x:f>
        <x:v>1289.15</x:v>
      </x:c>
      <x:c r="I1349" s="13" t="n">
        <x:f>IF(C1349=0,"n.a.",F1349/C1349)</x:f>
        <x:v>441.5</x:v>
      </x:c>
      <x:c r="J1349" s="3"/>
      <x:c r="K1349" s="3"/>
      <x:c r="L1349" s="3"/>
    </x:row>
    <x:row r="1350" ht="22" customHeight="1">
      <x:c r="A1350" s="3"/>
      <x:c r="B1350" s="3" t="str">
        <x:v>16571</x:v>
      </x:c>
      <x:c r="C1350" s="3" t="n">
        <x:v>3</x:v>
      </x:c>
      <x:c r="D1350" s="51" t="n">
        <x:v>40860</x:v>
      </x:c>
      <x:c r="E1350" s="3" t="str">
        <x:v>Recurrente</x:v>
      </x:c>
      <x:c r="F1350" s="13" t="n">
        <x:v>1421.69</x:v>
      </x:c>
      <x:c r="G1350" s="13" t="n">
        <x:v>136.47</x:v>
      </x:c>
      <x:c r="H1350" s="13" t="n">
        <x:f>F1350-G1350</x:f>
        <x:v>1285.22</x:v>
      </x:c>
      <x:c r="I1350" s="13" t="n">
        <x:f>IF(C1350=0,"n.a.",F1350/C1350)</x:f>
        <x:v>473.8966666666667</x:v>
      </x:c>
      <x:c r="J1350" s="3"/>
      <x:c r="K1350" s="3"/>
      <x:c r="L1350" s="3"/>
    </x:row>
    <x:row r="1351" ht="22" customHeight="1">
      <x:c r="A1351" s="3"/>
      <x:c r="B1351" s="3" t="str">
        <x:v>17671</x:v>
      </x:c>
      <x:c r="C1351" s="3" t="n">
        <x:v>4</x:v>
      </x:c>
      <x:c r="D1351" s="51" t="n">
        <x:v>40871</x:v>
      </x:c>
      <x:c r="E1351" s="3" t="str">
        <x:v>Recurrente</x:v>
      </x:c>
      <x:c r="F1351" s="13" t="n">
        <x:v>1572.71</x:v>
      </x:c>
      <x:c r="G1351" s="13" t="n">
        <x:v>288.63</x:v>
      </x:c>
      <x:c r="H1351" s="13" t="n">
        <x:f>F1351-G1351</x:f>
        <x:v>1284.08</x:v>
      </x:c>
      <x:c r="I1351" s="13" t="n">
        <x:f>IF(C1351=0,"n.a.",F1351/C1351)</x:f>
        <x:v>393.1775</x:v>
      </x:c>
      <x:c r="J1351" s="3"/>
      <x:c r="K1351" s="3"/>
      <x:c r="L1351" s="3"/>
    </x:row>
    <x:row r="1352" ht="22" customHeight="1">
      <x:c r="A1352" s="3"/>
      <x:c r="B1352" s="3" t="str">
        <x:v>15136</x:v>
      </x:c>
      <x:c r="C1352" s="3" t="n">
        <x:v>4</x:v>
      </x:c>
      <x:c r="D1352" s="51" t="n">
        <x:v>40884</x:v>
      </x:c>
      <x:c r="E1352" s="3" t="str">
        <x:v>Recurrente</x:v>
      </x:c>
      <x:c r="F1352" s="13" t="n">
        <x:v>1286.7</x:v>
      </x:c>
      <x:c r="G1352" s="13" t="n">
        <x:v>4.25</x:v>
      </x:c>
      <x:c r="H1352" s="13" t="n">
        <x:f>F1352-G1352</x:f>
        <x:v>1282.45</x:v>
      </x:c>
      <x:c r="I1352" s="13" t="n">
        <x:f>IF(C1352=0,"n.a.",F1352/C1352)</x:f>
        <x:v>321.675</x:v>
      </x:c>
      <x:c r="J1352" s="3"/>
      <x:c r="K1352" s="3"/>
      <x:c r="L1352" s="3"/>
    </x:row>
    <x:row r="1353" ht="22" customHeight="1">
      <x:c r="A1353" s="3"/>
      <x:c r="B1353" s="3" t="str">
        <x:v>16899</x:v>
      </x:c>
      <x:c r="C1353" s="3" t="n">
        <x:v>6</x:v>
      </x:c>
      <x:c r="D1353" s="51" t="n">
        <x:v>40879</x:v>
      </x:c>
      <x:c r="E1353" s="3" t="str">
        <x:v>Recurrente</x:v>
      </x:c>
      <x:c r="F1353" s="13" t="n">
        <x:v>1281.56</x:v>
      </x:c>
      <x:c r="G1353" s="13" t="n">
        <x:v>0</x:v>
      </x:c>
      <x:c r="H1353" s="13" t="n">
        <x:f>F1353-G1353</x:f>
        <x:v>1281.56</x:v>
      </x:c>
      <x:c r="I1353" s="13" t="n">
        <x:f>IF(C1353=0,"n.a.",F1353/C1353)</x:f>
        <x:v>213.59333333333333</x:v>
      </x:c>
      <x:c r="J1353" s="3"/>
      <x:c r="K1353" s="3"/>
      <x:c r="L1353" s="3"/>
    </x:row>
    <x:row r="1354" ht="22" customHeight="1">
      <x:c r="A1354" s="3"/>
      <x:c r="B1354" s="3" t="str">
        <x:v>13878</x:v>
      </x:c>
      <x:c r="C1354" s="3" t="n">
        <x:v>1</x:v>
      </x:c>
      <x:c r="D1354" s="51" t="n">
        <x:v>40832</x:v>
      </x:c>
      <x:c r="E1354" s="3" t="str">
        <x:v>Una compra</x:v>
      </x:c>
      <x:c r="F1354" s="13" t="n">
        <x:v>1281.53</x:v>
      </x:c>
      <x:c r="G1354" s="13" t="n">
        <x:v>0</x:v>
      </x:c>
      <x:c r="H1354" s="13" t="n">
        <x:f>F1354-G1354</x:f>
        <x:v>1281.53</x:v>
      </x:c>
      <x:c r="I1354" s="13" t="n">
        <x:f>IF(C1354=0,"n.a.",F1354/C1354)</x:f>
        <x:v>1281.53</x:v>
      </x:c>
      <x:c r="J1354" s="3"/>
      <x:c r="K1354" s="3"/>
      <x:c r="L1354" s="3"/>
    </x:row>
    <x:row r="1355" ht="22" customHeight="1">
      <x:c r="A1355" s="3"/>
      <x:c r="B1355" s="3" t="str">
        <x:v>13538</x:v>
      </x:c>
      <x:c r="C1355" s="3" t="n">
        <x:v>7</x:v>
      </x:c>
      <x:c r="D1355" s="51" t="n">
        <x:v>40843</x:v>
      </x:c>
      <x:c r="E1355" s="3" t="str">
        <x:v>Recurrente</x:v>
      </x:c>
      <x:c r="F1355" s="13" t="n">
        <x:v>1280.85</x:v>
      </x:c>
      <x:c r="G1355" s="13" t="n">
        <x:v>0</x:v>
      </x:c>
      <x:c r="H1355" s="13" t="n">
        <x:f>F1355-G1355</x:f>
        <x:v>1280.85</x:v>
      </x:c>
      <x:c r="I1355" s="13" t="n">
        <x:f>IF(C1355=0,"n.a.",F1355/C1355)</x:f>
        <x:v>182.97857142857143</x:v>
      </x:c>
      <x:c r="J1355" s="3"/>
      <x:c r="K1355" s="3"/>
      <x:c r="L1355" s="3"/>
    </x:row>
    <x:row r="1356" ht="22" customHeight="1">
      <x:c r="A1356" s="3"/>
      <x:c r="B1356" s="3" t="str">
        <x:v>14267</x:v>
      </x:c>
      <x:c r="C1356" s="3" t="n">
        <x:v>3</x:v>
      </x:c>
      <x:c r="D1356" s="51" t="n">
        <x:v>40724</x:v>
      </x:c>
      <x:c r="E1356" s="3" t="str">
        <x:v>Recurrente</x:v>
      </x:c>
      <x:c r="F1356" s="13" t="n">
        <x:v>1516.24</x:v>
      </x:c>
      <x:c r="G1356" s="13" t="n">
        <x:v>237.15</x:v>
      </x:c>
      <x:c r="H1356" s="13" t="n">
        <x:f>F1356-G1356</x:f>
        <x:v>1279.09</x:v>
      </x:c>
      <x:c r="I1356" s="13" t="n">
        <x:f>IF(C1356=0,"n.a.",F1356/C1356)</x:f>
        <x:v>505.41333333333336</x:v>
      </x:c>
      <x:c r="J1356" s="3"/>
      <x:c r="K1356" s="3"/>
      <x:c r="L1356" s="3"/>
    </x:row>
    <x:row r="1357" ht="22" customHeight="1">
      <x:c r="A1357" s="3"/>
      <x:c r="B1357" s="3" t="str">
        <x:v>17019</x:v>
      </x:c>
      <x:c r="C1357" s="3" t="n">
        <x:v>4</x:v>
      </x:c>
      <x:c r="D1357" s="51" t="n">
        <x:v>40875</x:v>
      </x:c>
      <x:c r="E1357" s="3" t="str">
        <x:v>Recurrente</x:v>
      </x:c>
      <x:c r="F1357" s="13" t="n">
        <x:v>1272.61</x:v>
      </x:c>
      <x:c r="G1357" s="13" t="n">
        <x:v>0</x:v>
      </x:c>
      <x:c r="H1357" s="13" t="n">
        <x:f>F1357-G1357</x:f>
        <x:v>1272.61</x:v>
      </x:c>
      <x:c r="I1357" s="13" t="n">
        <x:f>IF(C1357=0,"n.a.",F1357/C1357)</x:f>
        <x:v>318.1525</x:v>
      </x:c>
      <x:c r="J1357" s="3"/>
      <x:c r="K1357" s="3"/>
      <x:c r="L1357" s="3"/>
    </x:row>
    <x:row r="1358" ht="22" customHeight="1">
      <x:c r="A1358" s="3"/>
      <x:c r="B1358" s="3" t="str">
        <x:v>14794</x:v>
      </x:c>
      <x:c r="C1358" s="3" t="n">
        <x:v>7</x:v>
      </x:c>
      <x:c r="D1358" s="51" t="n">
        <x:v>40884</x:v>
      </x:c>
      <x:c r="E1358" s="3" t="str">
        <x:v>Recurrente</x:v>
      </x:c>
      <x:c r="F1358" s="13" t="n">
        <x:v>1319.91</x:v>
      </x:c>
      <x:c r="G1358" s="13" t="n">
        <x:v>47.8</x:v>
      </x:c>
      <x:c r="H1358" s="13" t="n">
        <x:f>F1358-G1358</x:f>
        <x:v>1272.1100000000001</x:v>
      </x:c>
      <x:c r="I1358" s="13" t="n">
        <x:f>IF(C1358=0,"n.a.",F1358/C1358)</x:f>
        <x:v>188.55857142857144</x:v>
      </x:c>
      <x:c r="J1358" s="3"/>
      <x:c r="K1358" s="3"/>
      <x:c r="L1358" s="3"/>
    </x:row>
    <x:row r="1359" ht="22" customHeight="1">
      <x:c r="A1359" s="3"/>
      <x:c r="B1359" s="3" t="str">
        <x:v>14669</x:v>
      </x:c>
      <x:c r="C1359" s="3" t="n">
        <x:v>3</x:v>
      </x:c>
      <x:c r="D1359" s="51" t="n">
        <x:v>40645</x:v>
      </x:c>
      <x:c r="E1359" s="3" t="str">
        <x:v>Recurrente</x:v>
      </x:c>
      <x:c r="F1359" s="13" t="n">
        <x:v>1269.99</x:v>
      </x:c>
      <x:c r="G1359" s="13" t="n">
        <x:v>0</x:v>
      </x:c>
      <x:c r="H1359" s="13" t="n">
        <x:f>F1359-G1359</x:f>
        <x:v>1269.99</x:v>
      </x:c>
      <x:c r="I1359" s="13" t="n">
        <x:f>IF(C1359=0,"n.a.",F1359/C1359)</x:f>
        <x:v>423.33</x:v>
      </x:c>
      <x:c r="J1359" s="3"/>
      <x:c r="K1359" s="3"/>
      <x:c r="L1359" s="3"/>
    </x:row>
    <x:row r="1360" ht="22" customHeight="1">
      <x:c r="A1360" s="3"/>
      <x:c r="B1360" s="3" t="str">
        <x:v>13492</x:v>
      </x:c>
      <x:c r="C1360" s="3" t="n">
        <x:v>3</x:v>
      </x:c>
      <x:c r="D1360" s="51" t="n">
        <x:v>40750</x:v>
      </x:c>
      <x:c r="E1360" s="3" t="str">
        <x:v>Recurrente</x:v>
      </x:c>
      <x:c r="F1360" s="13" t="n">
        <x:v>1269.84</x:v>
      </x:c>
      <x:c r="G1360" s="13" t="n">
        <x:v>0</x:v>
      </x:c>
      <x:c r="H1360" s="13" t="n">
        <x:f>F1360-G1360</x:f>
        <x:v>1269.84</x:v>
      </x:c>
      <x:c r="I1360" s="13" t="n">
        <x:f>IF(C1360=0,"n.a.",F1360/C1360)</x:f>
        <x:v>423.28</x:v>
      </x:c>
      <x:c r="J1360" s="3"/>
      <x:c r="K1360" s="3"/>
      <x:c r="L1360" s="3"/>
    </x:row>
    <x:row r="1361" ht="22" customHeight="1">
      <x:c r="A1361" s="3"/>
      <x:c r="B1361" s="3" t="str">
        <x:v>13431</x:v>
      </x:c>
      <x:c r="C1361" s="3" t="n">
        <x:v>2</x:v>
      </x:c>
      <x:c r="D1361" s="51" t="n">
        <x:v>40819</x:v>
      </x:c>
      <x:c r="E1361" s="3" t="str">
        <x:v>Recurrente</x:v>
      </x:c>
      <x:c r="F1361" s="13" t="n">
        <x:v>1269.1</x:v>
      </x:c>
      <x:c r="G1361" s="13" t="n">
        <x:v>0</x:v>
      </x:c>
      <x:c r="H1361" s="13" t="n">
        <x:f>F1361-G1361</x:f>
        <x:v>1269.1</x:v>
      </x:c>
      <x:c r="I1361" s="13" t="n">
        <x:f>IF(C1361=0,"n.a.",F1361/C1361)</x:f>
        <x:v>634.55</x:v>
      </x:c>
      <x:c r="J1361" s="3"/>
      <x:c r="K1361" s="3"/>
      <x:c r="L1361" s="3"/>
    </x:row>
    <x:row r="1362" ht="22" customHeight="1">
      <x:c r="A1362" s="3"/>
      <x:c r="B1362" s="3" t="str">
        <x:v>15199</x:v>
      </x:c>
      <x:c r="C1362" s="3" t="n">
        <x:v>4</x:v>
      </x:c>
      <x:c r="D1362" s="51" t="n">
        <x:v>40827</x:v>
      </x:c>
      <x:c r="E1362" s="3" t="str">
        <x:v>Recurrente</x:v>
      </x:c>
      <x:c r="F1362" s="13" t="n">
        <x:v>1268.7</x:v>
      </x:c>
      <x:c r="G1362" s="13" t="n">
        <x:v>0</x:v>
      </x:c>
      <x:c r="H1362" s="13" t="n">
        <x:f>F1362-G1362</x:f>
        <x:v>1268.7</x:v>
      </x:c>
      <x:c r="I1362" s="13" t="n">
        <x:f>IF(C1362=0,"n.a.",F1362/C1362)</x:f>
        <x:v>317.175</x:v>
      </x:c>
      <x:c r="J1362" s="3"/>
      <x:c r="K1362" s="3"/>
      <x:c r="L1362" s="3"/>
    </x:row>
    <x:row r="1363" ht="22" customHeight="1">
      <x:c r="A1363" s="3"/>
      <x:c r="B1363" s="3" t="str">
        <x:v>14511</x:v>
      </x:c>
      <x:c r="C1363" s="3" t="n">
        <x:v>5</x:v>
      </x:c>
      <x:c r="D1363" s="51" t="n">
        <x:v>40875</x:v>
      </x:c>
      <x:c r="E1363" s="3" t="str">
        <x:v>Recurrente</x:v>
      </x:c>
      <x:c r="F1363" s="13" t="n">
        <x:v>1314.81</x:v>
      </x:c>
      <x:c r="G1363" s="13" t="n">
        <x:v>47.4</x:v>
      </x:c>
      <x:c r="H1363" s="13" t="n">
        <x:f>F1363-G1363</x:f>
        <x:v>1267.4099999999999</x:v>
      </x:c>
      <x:c r="I1363" s="13" t="n">
        <x:f>IF(C1363=0,"n.a.",F1363/C1363)</x:f>
        <x:v>262.962</x:v>
      </x:c>
      <x:c r="J1363" s="3"/>
      <x:c r="K1363" s="3"/>
      <x:c r="L1363" s="3"/>
    </x:row>
    <x:row r="1364" ht="22" customHeight="1">
      <x:c r="A1364" s="3"/>
      <x:c r="B1364" s="3" t="str">
        <x:v>17158</x:v>
      </x:c>
      <x:c r="C1364" s="3" t="n">
        <x:v>3</x:v>
      </x:c>
      <x:c r="D1364" s="51" t="n">
        <x:v>40854</x:v>
      </x:c>
      <x:c r="E1364" s="3" t="str">
        <x:v>Recurrente</x:v>
      </x:c>
      <x:c r="F1364" s="13" t="n">
        <x:v>1266.97</x:v>
      </x:c>
      <x:c r="G1364" s="13" t="n">
        <x:v>0</x:v>
      </x:c>
      <x:c r="H1364" s="13" t="n">
        <x:f>F1364-G1364</x:f>
        <x:v>1266.97</x:v>
      </x:c>
      <x:c r="I1364" s="13" t="n">
        <x:f>IF(C1364=0,"n.a.",F1364/C1364)</x:f>
        <x:v>422.3233333333333</x:v>
      </x:c>
      <x:c r="J1364" s="3"/>
      <x:c r="K1364" s="3"/>
      <x:c r="L1364" s="3"/>
    </x:row>
    <x:row r="1365" ht="22" customHeight="1">
      <x:c r="A1365" s="3"/>
      <x:c r="B1365" s="3" t="str">
        <x:v>13989</x:v>
      </x:c>
      <x:c r="C1365" s="3" t="n">
        <x:v>2</x:v>
      </x:c>
      <x:c r="D1365" s="51" t="n">
        <x:v>40821</x:v>
      </x:c>
      <x:c r="E1365" s="3" t="str">
        <x:v>Recurrente</x:v>
      </x:c>
      <x:c r="F1365" s="13" t="n">
        <x:v>1266.08</x:v>
      </x:c>
      <x:c r="G1365" s="13" t="n">
        <x:v>0</x:v>
      </x:c>
      <x:c r="H1365" s="13" t="n">
        <x:f>F1365-G1365</x:f>
        <x:v>1266.08</x:v>
      </x:c>
      <x:c r="I1365" s="13" t="n">
        <x:f>IF(C1365=0,"n.a.",F1365/C1365)</x:f>
        <x:v>633.04</x:v>
      </x:c>
      <x:c r="J1365" s="3"/>
      <x:c r="K1365" s="3"/>
      <x:c r="L1365" s="3"/>
    </x:row>
    <x:row r="1366" ht="22" customHeight="1">
      <x:c r="A1366" s="3"/>
      <x:c r="B1366" s="3" t="str">
        <x:v>12352</x:v>
      </x:c>
      <x:c r="C1366" s="3" t="n">
        <x:v>7</x:v>
      </x:c>
      <x:c r="D1366" s="51" t="n">
        <x:v>40850</x:v>
      </x:c>
      <x:c r="E1366" s="3" t="str">
        <x:v>Recurrente</x:v>
      </x:c>
      <x:c r="F1366" s="13" t="n">
        <x:v>1385.74</x:v>
      </x:c>
      <x:c r="G1366" s="13" t="n">
        <x:v>120.33</x:v>
      </x:c>
      <x:c r="H1366" s="13" t="n">
        <x:f>F1366-G1366</x:f>
        <x:v>1265.41</x:v>
      </x:c>
      <x:c r="I1366" s="13" t="n">
        <x:f>IF(C1366=0,"n.a.",F1366/C1366)</x:f>
        <x:v>197.96285714285713</x:v>
      </x:c>
      <x:c r="J1366" s="3"/>
      <x:c r="K1366" s="3"/>
      <x:c r="L1366" s="3"/>
    </x:row>
    <x:row r="1367" ht="22" customHeight="1">
      <x:c r="A1367" s="3"/>
      <x:c r="B1367" s="3" t="str">
        <x:v>14916</x:v>
      </x:c>
      <x:c r="C1367" s="3" t="n">
        <x:v>4</x:v>
      </x:c>
      <x:c r="D1367" s="51" t="n">
        <x:v>40816</x:v>
      </x:c>
      <x:c r="E1367" s="3" t="str">
        <x:v>Recurrente</x:v>
      </x:c>
      <x:c r="F1367" s="13" t="n">
        <x:v>1268.98</x:v>
      </x:c>
      <x:c r="G1367" s="13" t="n">
        <x:v>4.14</x:v>
      </x:c>
      <x:c r="H1367" s="13" t="n">
        <x:f>F1367-G1367</x:f>
        <x:v>1264.84</x:v>
      </x:c>
      <x:c r="I1367" s="13" t="n">
        <x:f>IF(C1367=0,"n.a.",F1367/C1367)</x:f>
        <x:v>317.245</x:v>
      </x:c>
      <x:c r="J1367" s="3"/>
      <x:c r="K1367" s="3"/>
      <x:c r="L1367" s="3"/>
    </x:row>
    <x:row r="1368" ht="22" customHeight="1">
      <x:c r="A1368" s="3"/>
      <x:c r="B1368" s="3" t="str">
        <x:v>16951</x:v>
      </x:c>
      <x:c r="C1368" s="3" t="n">
        <x:v>3</x:v>
      </x:c>
      <x:c r="D1368" s="51" t="n">
        <x:v>40752</x:v>
      </x:c>
      <x:c r="E1368" s="3" t="str">
        <x:v>Recurrente</x:v>
      </x:c>
      <x:c r="F1368" s="13" t="n">
        <x:v>1277.75</x:v>
      </x:c>
      <x:c r="G1368" s="13" t="n">
        <x:v>15</x:v>
      </x:c>
      <x:c r="H1368" s="13" t="n">
        <x:f>F1368-G1368</x:f>
        <x:v>1262.75</x:v>
      </x:c>
      <x:c r="I1368" s="13" t="n">
        <x:f>IF(C1368=0,"n.a.",F1368/C1368)</x:f>
        <x:v>425.9166666666667</x:v>
      </x:c>
      <x:c r="J1368" s="3"/>
      <x:c r="K1368" s="3"/>
      <x:c r="L1368" s="3"/>
    </x:row>
    <x:row r="1369" ht="22" customHeight="1">
      <x:c r="A1369" s="3"/>
      <x:c r="B1369" s="3" t="str">
        <x:v>15009</x:v>
      </x:c>
      <x:c r="C1369" s="3" t="n">
        <x:v>3</x:v>
      </x:c>
      <x:c r="D1369" s="51" t="n">
        <x:v>40874</x:v>
      </x:c>
      <x:c r="E1369" s="3" t="str">
        <x:v>Recurrente</x:v>
      </x:c>
      <x:c r="F1369" s="13" t="n">
        <x:v>1261.78</x:v>
      </x:c>
      <x:c r="G1369" s="13" t="n">
        <x:v>0</x:v>
      </x:c>
      <x:c r="H1369" s="13" t="n">
        <x:f>F1369-G1369</x:f>
        <x:v>1261.78</x:v>
      </x:c>
      <x:c r="I1369" s="13" t="n">
        <x:f>IF(C1369=0,"n.a.",F1369/C1369)</x:f>
        <x:v>420.5933333333333</x:v>
      </x:c>
      <x:c r="J1369" s="3"/>
      <x:c r="K1369" s="3"/>
      <x:c r="L1369" s="3"/>
    </x:row>
    <x:row r="1370" ht="22" customHeight="1">
      <x:c r="A1370" s="3"/>
      <x:c r="B1370" s="3" t="str">
        <x:v>16688</x:v>
      </x:c>
      <x:c r="C1370" s="3" t="n">
        <x:v>4</x:v>
      </x:c>
      <x:c r="D1370" s="51" t="n">
        <x:v>40885</x:v>
      </x:c>
      <x:c r="E1370" s="3" t="str">
        <x:v>Recurrente</x:v>
      </x:c>
      <x:c r="F1370" s="13" t="n">
        <x:v>1260.86</x:v>
      </x:c>
      <x:c r="G1370" s="13" t="n">
        <x:v>0</x:v>
      </x:c>
      <x:c r="H1370" s="13" t="n">
        <x:f>F1370-G1370</x:f>
        <x:v>1260.86</x:v>
      </x:c>
      <x:c r="I1370" s="13" t="n">
        <x:f>IF(C1370=0,"n.a.",F1370/C1370)</x:f>
        <x:v>315.215</x:v>
      </x:c>
      <x:c r="J1370" s="3"/>
      <x:c r="K1370" s="3"/>
      <x:c r="L1370" s="3"/>
    </x:row>
    <x:row r="1371" ht="22" customHeight="1">
      <x:c r="A1371" s="3"/>
      <x:c r="B1371" s="3" t="str">
        <x:v>16842</x:v>
      </x:c>
      <x:c r="C1371" s="3" t="n">
        <x:v>3</x:v>
      </x:c>
      <x:c r="D1371" s="51" t="n">
        <x:v>40786</x:v>
      </x:c>
      <x:c r="E1371" s="3" t="str">
        <x:v>Recurrente</x:v>
      </x:c>
      <x:c r="F1371" s="13" t="n">
        <x:v>1264.19</x:v>
      </x:c>
      <x:c r="G1371" s="13" t="n">
        <x:v>3.75</x:v>
      </x:c>
      <x:c r="H1371" s="13" t="n">
        <x:f>F1371-G1371</x:f>
        <x:v>1260.44</x:v>
      </x:c>
      <x:c r="I1371" s="13" t="n">
        <x:f>IF(C1371=0,"n.a.",F1371/C1371)</x:f>
        <x:v>421.3966666666667</x:v>
      </x:c>
      <x:c r="J1371" s="3"/>
      <x:c r="K1371" s="3"/>
      <x:c r="L1371" s="3"/>
    </x:row>
    <x:row r="1372" ht="22" customHeight="1">
      <x:c r="A1372" s="3"/>
      <x:c r="B1372" s="3" t="str">
        <x:v>14105</x:v>
      </x:c>
      <x:c r="C1372" s="3" t="n">
        <x:v>1</x:v>
      </x:c>
      <x:c r="D1372" s="51" t="n">
        <x:v>40647</x:v>
      </x:c>
      <x:c r="E1372" s="3" t="str">
        <x:v>Una compra</x:v>
      </x:c>
      <x:c r="F1372" s="13" t="n">
        <x:v>1266.23</x:v>
      </x:c>
      <x:c r="G1372" s="13" t="n">
        <x:v>5.9</x:v>
      </x:c>
      <x:c r="H1372" s="13" t="n">
        <x:f>F1372-G1372</x:f>
        <x:v>1260.33</x:v>
      </x:c>
      <x:c r="I1372" s="13" t="n">
        <x:f>IF(C1372=0,"n.a.",F1372/C1372)</x:f>
        <x:v>1266.23</x:v>
      </x:c>
      <x:c r="J1372" s="3"/>
      <x:c r="K1372" s="3"/>
      <x:c r="L1372" s="3"/>
    </x:row>
    <x:row r="1373" ht="22" customHeight="1">
      <x:c r="A1373" s="3"/>
      <x:c r="B1373" s="3" t="str">
        <x:v>15497</x:v>
      </x:c>
      <x:c r="C1373" s="3" t="n">
        <x:v>2</x:v>
      </x:c>
      <x:c r="D1373" s="51" t="n">
        <x:v>40869</x:v>
      </x:c>
      <x:c r="E1373" s="3" t="str">
        <x:v>Recurrente</x:v>
      </x:c>
      <x:c r="F1373" s="13" t="n">
        <x:v>1262.2</x:v>
      </x:c>
      <x:c r="G1373" s="13" t="n">
        <x:v>2.5</x:v>
      </x:c>
      <x:c r="H1373" s="13" t="n">
        <x:f>F1373-G1373</x:f>
        <x:v>1259.7</x:v>
      </x:c>
      <x:c r="I1373" s="13" t="n">
        <x:f>IF(C1373=0,"n.a.",F1373/C1373)</x:f>
        <x:v>631.1</x:v>
      </x:c>
      <x:c r="J1373" s="3"/>
      <x:c r="K1373" s="3"/>
      <x:c r="L1373" s="3"/>
    </x:row>
    <x:row r="1374" ht="22" customHeight="1">
      <x:c r="A1374" s="3"/>
      <x:c r="B1374" s="3" t="str">
        <x:v>17388</x:v>
      </x:c>
      <x:c r="C1374" s="3" t="n">
        <x:v>4</x:v>
      </x:c>
      <x:c r="D1374" s="51" t="n">
        <x:v>40809</x:v>
      </x:c>
      <x:c r="E1374" s="3" t="str">
        <x:v>Recurrente</x:v>
      </x:c>
      <x:c r="F1374" s="13" t="n">
        <x:v>1259.56</x:v>
      </x:c>
      <x:c r="G1374" s="13" t="n">
        <x:v>0</x:v>
      </x:c>
      <x:c r="H1374" s="13" t="n">
        <x:f>F1374-G1374</x:f>
        <x:v>1259.56</x:v>
      </x:c>
      <x:c r="I1374" s="13" t="n">
        <x:f>IF(C1374=0,"n.a.",F1374/C1374)</x:f>
        <x:v>314.89</x:v>
      </x:c>
      <x:c r="J1374" s="3"/>
      <x:c r="K1374" s="3"/>
      <x:c r="L1374" s="3"/>
    </x:row>
    <x:row r="1375" ht="22" customHeight="1">
      <x:c r="A1375" s="3"/>
      <x:c r="B1375" s="3" t="str">
        <x:v>14665</x:v>
      </x:c>
      <x:c r="C1375" s="3" t="n">
        <x:v>5</x:v>
      </x:c>
      <x:c r="D1375" s="51" t="n">
        <x:v>40826</x:v>
      </x:c>
      <x:c r="E1375" s="3" t="str">
        <x:v>Recurrente</x:v>
      </x:c>
      <x:c r="F1375" s="13" t="n">
        <x:v>1835.7</x:v>
      </x:c>
      <x:c r="G1375" s="13" t="n">
        <x:v>577.32</x:v>
      </x:c>
      <x:c r="H1375" s="13" t="n">
        <x:f>F1375-G1375</x:f>
        <x:v>1258.38</x:v>
      </x:c>
      <x:c r="I1375" s="13" t="n">
        <x:f>IF(C1375=0,"n.a.",F1375/C1375)</x:f>
        <x:v>367.14</x:v>
      </x:c>
      <x:c r="J1375" s="3"/>
      <x:c r="K1375" s="3"/>
      <x:c r="L1375" s="3"/>
    </x:row>
    <x:row r="1376" ht="22" customHeight="1">
      <x:c r="A1376" s="3"/>
      <x:c r="B1376" s="3" t="str">
        <x:v>17412</x:v>
      </x:c>
      <x:c r="C1376" s="3" t="n">
        <x:v>7</x:v>
      </x:c>
      <x:c r="D1376" s="51" t="n">
        <x:v>40884</x:v>
      </x:c>
      <x:c r="E1376" s="3" t="str">
        <x:v>Recurrente</x:v>
      </x:c>
      <x:c r="F1376" s="13" t="n">
        <x:v>1258.06</x:v>
      </x:c>
      <x:c r="G1376" s="13" t="n">
        <x:v>0</x:v>
      </x:c>
      <x:c r="H1376" s="13" t="n">
        <x:f>F1376-G1376</x:f>
        <x:v>1258.06</x:v>
      </x:c>
      <x:c r="I1376" s="13" t="n">
        <x:f>IF(C1376=0,"n.a.",F1376/C1376)</x:f>
        <x:v>179.72285714285712</x:v>
      </x:c>
      <x:c r="J1376" s="3"/>
      <x:c r="K1376" s="3"/>
      <x:c r="L1376" s="3"/>
    </x:row>
    <x:row r="1377" ht="22" customHeight="1">
      <x:c r="A1377" s="3"/>
      <x:c r="B1377" s="3" t="str">
        <x:v>17350</x:v>
      </x:c>
      <x:c r="C1377" s="3" t="n">
        <x:v>4</x:v>
      </x:c>
      <x:c r="D1377" s="51" t="n">
        <x:v>40878</x:v>
      </x:c>
      <x:c r="E1377" s="3" t="str">
        <x:v>Recurrente</x:v>
      </x:c>
      <x:c r="F1377" s="13" t="n">
        <x:v>1286.07</x:v>
      </x:c>
      <x:c r="G1377" s="13" t="n">
        <x:v>29.88</x:v>
      </x:c>
      <x:c r="H1377" s="13" t="n">
        <x:f>F1377-G1377</x:f>
        <x:v>1256.1899999999998</x:v>
      </x:c>
      <x:c r="I1377" s="13" t="n">
        <x:f>IF(C1377=0,"n.a.",F1377/C1377)</x:f>
        <x:v>321.5175</x:v>
      </x:c>
      <x:c r="J1377" s="3"/>
      <x:c r="K1377" s="3"/>
      <x:c r="L1377" s="3"/>
    </x:row>
    <x:row r="1378" ht="22" customHeight="1">
      <x:c r="A1378" s="3"/>
      <x:c r="B1378" s="3" t="str">
        <x:v>13848</x:v>
      </x:c>
      <x:c r="C1378" s="3" t="n">
        <x:v>3</x:v>
      </x:c>
      <x:c r="D1378" s="51" t="n">
        <x:v>40794</x:v>
      </x:c>
      <x:c r="E1378" s="3" t="str">
        <x:v>Recurrente</x:v>
      </x:c>
      <x:c r="F1378" s="13" t="n">
        <x:v>1255</x:v>
      </x:c>
      <x:c r="G1378" s="13" t="n">
        <x:v>0</x:v>
      </x:c>
      <x:c r="H1378" s="13" t="n">
        <x:f>F1378-G1378</x:f>
        <x:v>1255</x:v>
      </x:c>
      <x:c r="I1378" s="13" t="n">
        <x:f>IF(C1378=0,"n.a.",F1378/C1378)</x:f>
        <x:v>418.3333333333333</x:v>
      </x:c>
      <x:c r="J1378" s="3"/>
      <x:c r="K1378" s="3"/>
      <x:c r="L1378" s="3"/>
    </x:row>
    <x:row r="1379" ht="22" customHeight="1">
      <x:c r="A1379" s="3"/>
      <x:c r="B1379" s="3" t="str">
        <x:v>17262</x:v>
      </x:c>
      <x:c r="C1379" s="3" t="n">
        <x:v>5</x:v>
      </x:c>
      <x:c r="D1379" s="51" t="n">
        <x:v>40834</x:v>
      </x:c>
      <x:c r="E1379" s="3" t="str">
        <x:v>Recurrente</x:v>
      </x:c>
      <x:c r="F1379" s="13" t="n">
        <x:v>1253.36</x:v>
      </x:c>
      <x:c r="G1379" s="13" t="n">
        <x:v>0</x:v>
      </x:c>
      <x:c r="H1379" s="13" t="n">
        <x:f>F1379-G1379</x:f>
        <x:v>1253.36</x:v>
      </x:c>
      <x:c r="I1379" s="13" t="n">
        <x:f>IF(C1379=0,"n.a.",F1379/C1379)</x:f>
        <x:v>250.67199999999997</x:v>
      </x:c>
      <x:c r="J1379" s="3"/>
      <x:c r="K1379" s="3"/>
      <x:c r="L1379" s="3"/>
    </x:row>
    <x:row r="1380" ht="22" customHeight="1">
      <x:c r="A1380" s="3"/>
      <x:c r="B1380" s="3" t="str">
        <x:v>17037</x:v>
      </x:c>
      <x:c r="C1380" s="3" t="n">
        <x:v>1</x:v>
      </x:c>
      <x:c r="D1380" s="51" t="n">
        <x:v>40799</x:v>
      </x:c>
      <x:c r="E1380" s="3" t="str">
        <x:v>Una compra</x:v>
      </x:c>
      <x:c r="F1380" s="13" t="n">
        <x:v>1267.32</x:v>
      </x:c>
      <x:c r="G1380" s="13" t="n">
        <x:v>14.1</x:v>
      </x:c>
      <x:c r="H1380" s="13" t="n">
        <x:f>F1380-G1380</x:f>
        <x:v>1253.22</x:v>
      </x:c>
      <x:c r="I1380" s="13" t="n">
        <x:f>IF(C1380=0,"n.a.",F1380/C1380)</x:f>
        <x:v>1267.32</x:v>
      </x:c>
      <x:c r="J1380" s="3"/>
      <x:c r="K1380" s="3"/>
      <x:c r="L1380" s="3"/>
    </x:row>
    <x:row r="1381" ht="22" customHeight="1">
      <x:c r="A1381" s="3"/>
      <x:c r="B1381" s="3" t="str">
        <x:v>17802</x:v>
      </x:c>
      <x:c r="C1381" s="3" t="n">
        <x:v>3</x:v>
      </x:c>
      <x:c r="D1381" s="51" t="n">
        <x:v>40804</x:v>
      </x:c>
      <x:c r="E1381" s="3" t="str">
        <x:v>Recurrente</x:v>
      </x:c>
      <x:c r="F1381" s="13" t="n">
        <x:v>1285.04</x:v>
      </x:c>
      <x:c r="G1381" s="13" t="n">
        <x:v>33.2</x:v>
      </x:c>
      <x:c r="H1381" s="13" t="n">
        <x:f>F1381-G1381</x:f>
        <x:v>1251.84</x:v>
      </x:c>
      <x:c r="I1381" s="13" t="n">
        <x:f>IF(C1381=0,"n.a.",F1381/C1381)</x:f>
        <x:v>428.34666666666664</x:v>
      </x:c>
      <x:c r="J1381" s="3"/>
      <x:c r="K1381" s="3"/>
      <x:c r="L1381" s="3"/>
    </x:row>
    <x:row r="1382" ht="22" customHeight="1">
      <x:c r="A1382" s="3"/>
      <x:c r="B1382" s="3" t="str">
        <x:v>14698</x:v>
      </x:c>
      <x:c r="C1382" s="3" t="n">
        <x:v>5</x:v>
      </x:c>
      <x:c r="D1382" s="51" t="n">
        <x:v>40885</x:v>
      </x:c>
      <x:c r="E1382" s="3" t="str">
        <x:v>Recurrente</x:v>
      </x:c>
      <x:c r="F1382" s="13" t="n">
        <x:v>1250.76</x:v>
      </x:c>
      <x:c r="G1382" s="13" t="n">
        <x:v>0</x:v>
      </x:c>
      <x:c r="H1382" s="13" t="n">
        <x:f>F1382-G1382</x:f>
        <x:v>1250.76</x:v>
      </x:c>
      <x:c r="I1382" s="13" t="n">
        <x:f>IF(C1382=0,"n.a.",F1382/C1382)</x:f>
        <x:v>250.152</x:v>
      </x:c>
      <x:c r="J1382" s="3"/>
      <x:c r="K1382" s="3"/>
      <x:c r="L1382" s="3"/>
    </x:row>
    <x:row r="1383" ht="22" customHeight="1">
      <x:c r="A1383" s="3"/>
      <x:c r="B1383" s="3" t="str">
        <x:v>13151</x:v>
      </x:c>
      <x:c r="C1383" s="3" t="n">
        <x:v>1</x:v>
      </x:c>
      <x:c r="D1383" s="51" t="n">
        <x:v>40591</x:v>
      </x:c>
      <x:c r="E1383" s="3" t="str">
        <x:v>Una compra</x:v>
      </x:c>
      <x:c r="F1383" s="13" t="n">
        <x:v>1257.87</x:v>
      </x:c>
      <x:c r="G1383" s="13" t="n">
        <x:v>7.5</x:v>
      </x:c>
      <x:c r="H1383" s="13" t="n">
        <x:f>F1383-G1383</x:f>
        <x:v>1250.37</x:v>
      </x:c>
      <x:c r="I1383" s="13" t="n">
        <x:f>IF(C1383=0,"n.a.",F1383/C1383)</x:f>
        <x:v>1257.87</x:v>
      </x:c>
      <x:c r="J1383" s="3"/>
      <x:c r="K1383" s="3"/>
      <x:c r="L1383" s="3"/>
    </x:row>
    <x:row r="1384" ht="22" customHeight="1">
      <x:c r="A1384" s="3"/>
      <x:c r="B1384" s="3" t="str">
        <x:v>17481</x:v>
      </x:c>
      <x:c r="C1384" s="3" t="n">
        <x:v>4</x:v>
      </x:c>
      <x:c r="D1384" s="51" t="n">
        <x:v>40883</x:v>
      </x:c>
      <x:c r="E1384" s="3" t="str">
        <x:v>Recurrente</x:v>
      </x:c>
      <x:c r="F1384" s="13" t="n">
        <x:v>1255.59</x:v>
      </x:c>
      <x:c r="G1384" s="13" t="n">
        <x:v>6.25</x:v>
      </x:c>
      <x:c r="H1384" s="13" t="n">
        <x:f>F1384-G1384</x:f>
        <x:v>1249.34</x:v>
      </x:c>
      <x:c r="I1384" s="13" t="n">
        <x:f>IF(C1384=0,"n.a.",F1384/C1384)</x:f>
        <x:v>313.8975</x:v>
      </x:c>
      <x:c r="J1384" s="3"/>
      <x:c r="K1384" s="3"/>
      <x:c r="L1384" s="3"/>
    </x:row>
    <x:row r="1385" ht="22" customHeight="1">
      <x:c r="A1385" s="3"/>
      <x:c r="B1385" s="3" t="str">
        <x:v>14383</x:v>
      </x:c>
      <x:c r="C1385" s="3" t="n">
        <x:v>3</x:v>
      </x:c>
      <x:c r="D1385" s="51" t="n">
        <x:v>40848</x:v>
      </x:c>
      <x:c r="E1385" s="3" t="str">
        <x:v>Recurrente</x:v>
      </x:c>
      <x:c r="F1385" s="13" t="n">
        <x:v>1247.69</x:v>
      </x:c>
      <x:c r="G1385" s="13" t="n">
        <x:v>0</x:v>
      </x:c>
      <x:c r="H1385" s="13" t="n">
        <x:f>F1385-G1385</x:f>
        <x:v>1247.69</x:v>
      </x:c>
      <x:c r="I1385" s="13" t="n">
        <x:f>IF(C1385=0,"n.a.",F1385/C1385)</x:f>
        <x:v>415.8966666666667</x:v>
      </x:c>
      <x:c r="J1385" s="3"/>
      <x:c r="K1385" s="3"/>
      <x:c r="L1385" s="3"/>
    </x:row>
    <x:row r="1386" ht="22" customHeight="1">
      <x:c r="A1386" s="3"/>
      <x:c r="B1386" s="3" t="str">
        <x:v>13029</x:v>
      </x:c>
      <x:c r="C1386" s="3" t="n">
        <x:v>3</x:v>
      </x:c>
      <x:c r="D1386" s="51" t="n">
        <x:v>40856</x:v>
      </x:c>
      <x:c r="E1386" s="3" t="str">
        <x:v>Recurrente</x:v>
      </x:c>
      <x:c r="F1386" s="13" t="n">
        <x:v>1247.5</x:v>
      </x:c>
      <x:c r="G1386" s="13" t="n">
        <x:v>0</x:v>
      </x:c>
      <x:c r="H1386" s="13" t="n">
        <x:f>F1386-G1386</x:f>
        <x:v>1247.5</x:v>
      </x:c>
      <x:c r="I1386" s="13" t="n">
        <x:f>IF(C1386=0,"n.a.",F1386/C1386)</x:f>
        <x:v>415.8333333333333</x:v>
      </x:c>
      <x:c r="J1386" s="3"/>
      <x:c r="K1386" s="3"/>
      <x:c r="L1386" s="3"/>
    </x:row>
    <x:row r="1387" ht="22" customHeight="1">
      <x:c r="A1387" s="3"/>
      <x:c r="B1387" s="3" t="str">
        <x:v>12775</x:v>
      </x:c>
      <x:c r="C1387" s="3" t="n">
        <x:v>5</x:v>
      </x:c>
      <x:c r="D1387" s="51" t="n">
        <x:v>40869</x:v>
      </x:c>
      <x:c r="E1387" s="3" t="str">
        <x:v>Recurrente</x:v>
      </x:c>
      <x:c r="F1387" s="13" t="n">
        <x:v>1281.04</x:v>
      </x:c>
      <x:c r="G1387" s="13" t="n">
        <x:v>34.8</x:v>
      </x:c>
      <x:c r="H1387" s="13" t="n">
        <x:f>F1387-G1387</x:f>
        <x:v>1246.24</x:v>
      </x:c>
      <x:c r="I1387" s="13" t="n">
        <x:f>IF(C1387=0,"n.a.",F1387/C1387)</x:f>
        <x:v>256.20799999999997</x:v>
      </x:c>
      <x:c r="J1387" s="3"/>
      <x:c r="K1387" s="3"/>
      <x:c r="L1387" s="3"/>
    </x:row>
    <x:row r="1388" ht="22" customHeight="1">
      <x:c r="A1388" s="3"/>
      <x:c r="B1388" s="3" t="str">
        <x:v>16101</x:v>
      </x:c>
      <x:c r="C1388" s="3" t="n">
        <x:v>1</x:v>
      </x:c>
      <x:c r="D1388" s="51" t="n">
        <x:v>40816</x:v>
      </x:c>
      <x:c r="E1388" s="3" t="str">
        <x:v>Una compra</x:v>
      </x:c>
      <x:c r="F1388" s="13" t="n">
        <x:v>1290.7</x:v>
      </x:c>
      <x:c r="G1388" s="13" t="n">
        <x:v>44.74</x:v>
      </x:c>
      <x:c r="H1388" s="13" t="n">
        <x:f>F1388-G1388</x:f>
        <x:v>1245.96</x:v>
      </x:c>
      <x:c r="I1388" s="13" t="n">
        <x:f>IF(C1388=0,"n.a.",F1388/C1388)</x:f>
        <x:v>1290.7</x:v>
      </x:c>
      <x:c r="J1388" s="3"/>
      <x:c r="K1388" s="3"/>
      <x:c r="L1388" s="3"/>
    </x:row>
    <x:row r="1389" ht="22" customHeight="1">
      <x:c r="A1389" s="3"/>
      <x:c r="B1389" s="3" t="str">
        <x:v>15004</x:v>
      </x:c>
      <x:c r="C1389" s="3" t="n">
        <x:v>1</x:v>
      </x:c>
      <x:c r="D1389" s="51" t="n">
        <x:v>40739</x:v>
      </x:c>
      <x:c r="E1389" s="3" t="str">
        <x:v>Una compra</x:v>
      </x:c>
      <x:c r="F1389" s="13" t="n">
        <x:v>1245.93</x:v>
      </x:c>
      <x:c r="G1389" s="13" t="n">
        <x:v>0</x:v>
      </x:c>
      <x:c r="H1389" s="13" t="n">
        <x:f>F1389-G1389</x:f>
        <x:v>1245.93</x:v>
      </x:c>
      <x:c r="I1389" s="13" t="n">
        <x:f>IF(C1389=0,"n.a.",F1389/C1389)</x:f>
        <x:v>1245.93</x:v>
      </x:c>
      <x:c r="J1389" s="3"/>
      <x:c r="K1389" s="3"/>
      <x:c r="L1389" s="3"/>
    </x:row>
    <x:row r="1390" ht="22" customHeight="1">
      <x:c r="A1390" s="3"/>
      <x:c r="B1390" s="3" t="str">
        <x:v>12488</x:v>
      </x:c>
      <x:c r="C1390" s="3" t="n">
        <x:v>3</x:v>
      </x:c>
      <x:c r="D1390" s="51" t="n">
        <x:v>40877</x:v>
      </x:c>
      <x:c r="E1390" s="3" t="str">
        <x:v>Recurrente</x:v>
      </x:c>
      <x:c r="F1390" s="13" t="n">
        <x:v>1244.66</x:v>
      </x:c>
      <x:c r="G1390" s="13" t="n">
        <x:v>0</x:v>
      </x:c>
      <x:c r="H1390" s="13" t="n">
        <x:f>F1390-G1390</x:f>
        <x:v>1244.66</x:v>
      </x:c>
      <x:c r="I1390" s="13" t="n">
        <x:f>IF(C1390=0,"n.a.",F1390/C1390)</x:f>
        <x:v>414.8866666666667</x:v>
      </x:c>
      <x:c r="J1390" s="3"/>
      <x:c r="K1390" s="3"/>
      <x:c r="L1390" s="3"/>
    </x:row>
    <x:row r="1391" ht="22" customHeight="1">
      <x:c r="A1391" s="3"/>
      <x:c r="B1391" s="3" t="str">
        <x:v>16531</x:v>
      </x:c>
      <x:c r="C1391" s="3" t="n">
        <x:v>7</x:v>
      </x:c>
      <x:c r="D1391" s="51" t="n">
        <x:v>40864</x:v>
      </x:c>
      <x:c r="E1391" s="3" t="str">
        <x:v>Recurrente</x:v>
      </x:c>
      <x:c r="F1391" s="13" t="n">
        <x:v>1244.59</x:v>
      </x:c>
      <x:c r="G1391" s="13" t="n">
        <x:v>0</x:v>
      </x:c>
      <x:c r="H1391" s="13" t="n">
        <x:f>F1391-G1391</x:f>
        <x:v>1244.59</x:v>
      </x:c>
      <x:c r="I1391" s="13" t="n">
        <x:f>IF(C1391=0,"n.a.",F1391/C1391)</x:f>
        <x:v>177.79857142857142</x:v>
      </x:c>
      <x:c r="J1391" s="3"/>
      <x:c r="K1391" s="3"/>
      <x:c r="L1391" s="3"/>
    </x:row>
    <x:row r="1392" ht="22" customHeight="1">
      <x:c r="A1392" s="3"/>
      <x:c r="B1392" s="3" t="str">
        <x:v>17633</x:v>
      </x:c>
      <x:c r="C1392" s="3" t="n">
        <x:v>4</x:v>
      </x:c>
      <x:c r="D1392" s="51" t="n">
        <x:v>40855</x:v>
      </x:c>
      <x:c r="E1392" s="3" t="str">
        <x:v>Recurrente</x:v>
      </x:c>
      <x:c r="F1392" s="13" t="n">
        <x:v>1324.84</x:v>
      </x:c>
      <x:c r="G1392" s="13" t="n">
        <x:v>82.5</x:v>
      </x:c>
      <x:c r="H1392" s="13" t="n">
        <x:f>F1392-G1392</x:f>
        <x:v>1242.34</x:v>
      </x:c>
      <x:c r="I1392" s="13" t="n">
        <x:f>IF(C1392=0,"n.a.",F1392/C1392)</x:f>
        <x:v>331.21</x:v>
      </x:c>
      <x:c r="J1392" s="3"/>
      <x:c r="K1392" s="3"/>
      <x:c r="L1392" s="3"/>
    </x:row>
    <x:row r="1393" ht="22" customHeight="1">
      <x:c r="A1393" s="3"/>
      <x:c r="B1393" s="3" t="str">
        <x:v>17588</x:v>
      </x:c>
      <x:c r="C1393" s="3" t="n">
        <x:v>3</x:v>
      </x:c>
      <x:c r="D1393" s="51" t="n">
        <x:v>40786</x:v>
      </x:c>
      <x:c r="E1393" s="3" t="str">
        <x:v>Recurrente</x:v>
      </x:c>
      <x:c r="F1393" s="13" t="n">
        <x:v>1240.2</x:v>
      </x:c>
      <x:c r="G1393" s="13" t="n">
        <x:v>0</x:v>
      </x:c>
      <x:c r="H1393" s="13" t="n">
        <x:f>F1393-G1393</x:f>
        <x:v>1240.2</x:v>
      </x:c>
      <x:c r="I1393" s="13" t="n">
        <x:f>IF(C1393=0,"n.a.",F1393/C1393)</x:f>
        <x:v>413.40000000000003</x:v>
      </x:c>
      <x:c r="J1393" s="3"/>
      <x:c r="K1393" s="3"/>
      <x:c r="L1393" s="3"/>
    </x:row>
    <x:row r="1394" ht="22" customHeight="1">
      <x:c r="A1394" s="3"/>
      <x:c r="B1394" s="3" t="str">
        <x:v>13860</x:v>
      </x:c>
      <x:c r="C1394" s="3" t="n">
        <x:v>5</x:v>
      </x:c>
      <x:c r="D1394" s="51" t="n">
        <x:v>40885</x:v>
      </x:c>
      <x:c r="E1394" s="3" t="str">
        <x:v>Recurrente</x:v>
      </x:c>
      <x:c r="F1394" s="13" t="n">
        <x:v>1245.9</x:v>
      </x:c>
      <x:c r="G1394" s="13" t="n">
        <x:v>5.9</x:v>
      </x:c>
      <x:c r="H1394" s="13" t="n">
        <x:f>F1394-G1394</x:f>
        <x:v>1240</x:v>
      </x:c>
      <x:c r="I1394" s="13" t="n">
        <x:f>IF(C1394=0,"n.a.",F1394/C1394)</x:f>
        <x:v>249.18</x:v>
      </x:c>
      <x:c r="J1394" s="3"/>
      <x:c r="K1394" s="3"/>
      <x:c r="L1394" s="3"/>
    </x:row>
    <x:row r="1395" ht="22" customHeight="1">
      <x:c r="A1395" s="3"/>
      <x:c r="B1395" s="3" t="str">
        <x:v>14893</x:v>
      </x:c>
      <x:c r="C1395" s="3" t="n">
        <x:v>2</x:v>
      </x:c>
      <x:c r="D1395" s="51" t="n">
        <x:v>40877</x:v>
      </x:c>
      <x:c r="E1395" s="3" t="str">
        <x:v>Recurrente</x:v>
      </x:c>
      <x:c r="F1395" s="13" t="n">
        <x:v>1237.85</x:v>
      </x:c>
      <x:c r="G1395" s="13" t="n">
        <x:v>0</x:v>
      </x:c>
      <x:c r="H1395" s="13" t="n">
        <x:f>F1395-G1395</x:f>
        <x:v>1237.85</x:v>
      </x:c>
      <x:c r="I1395" s="13" t="n">
        <x:f>IF(C1395=0,"n.a.",F1395/C1395)</x:f>
        <x:v>618.925</x:v>
      </x:c>
      <x:c r="J1395" s="3"/>
      <x:c r="K1395" s="3"/>
      <x:c r="L1395" s="3"/>
    </x:row>
    <x:row r="1396" ht="22" customHeight="1">
      <x:c r="A1396" s="3"/>
      <x:c r="B1396" s="3" t="str">
        <x:v>14684</x:v>
      </x:c>
      <x:c r="C1396" s="3" t="n">
        <x:v>5</x:v>
      </x:c>
      <x:c r="D1396" s="51" t="n">
        <x:v>40861</x:v>
      </x:c>
      <x:c r="E1396" s="3" t="str">
        <x:v>Recurrente</x:v>
      </x:c>
      <x:c r="F1396" s="13" t="n">
        <x:v>1236.28</x:v>
      </x:c>
      <x:c r="G1396" s="13" t="n">
        <x:v>0</x:v>
      </x:c>
      <x:c r="H1396" s="13" t="n">
        <x:f>F1396-G1396</x:f>
        <x:v>1236.28</x:v>
      </x:c>
      <x:c r="I1396" s="13" t="n">
        <x:f>IF(C1396=0,"n.a.",F1396/C1396)</x:f>
        <x:v>247.256</x:v>
      </x:c>
      <x:c r="J1396" s="3"/>
      <x:c r="K1396" s="3"/>
      <x:c r="L1396" s="3"/>
    </x:row>
    <x:row r="1397" ht="22" customHeight="1">
      <x:c r="A1397" s="3"/>
      <x:c r="B1397" s="3" t="str">
        <x:v>15376</x:v>
      </x:c>
      <x:c r="C1397" s="3" t="n">
        <x:v>3</x:v>
      </x:c>
      <x:c r="D1397" s="51" t="n">
        <x:v>40846</x:v>
      </x:c>
      <x:c r="E1397" s="3" t="str">
        <x:v>Recurrente</x:v>
      </x:c>
      <x:c r="F1397" s="13" t="n">
        <x:v>1233.36</x:v>
      </x:c>
      <x:c r="G1397" s="13" t="n">
        <x:v>0</x:v>
      </x:c>
      <x:c r="H1397" s="13" t="n">
        <x:f>F1397-G1397</x:f>
        <x:v>1233.36</x:v>
      </x:c>
      <x:c r="I1397" s="13" t="n">
        <x:f>IF(C1397=0,"n.a.",F1397/C1397)</x:f>
        <x:v>411.11999999999995</x:v>
      </x:c>
      <x:c r="J1397" s="3"/>
      <x:c r="K1397" s="3"/>
      <x:c r="L1397" s="3"/>
    </x:row>
    <x:row r="1398" ht="22" customHeight="1">
      <x:c r="A1398" s="3"/>
      <x:c r="B1398" s="3" t="str">
        <x:v>15910</x:v>
      </x:c>
      <x:c r="C1398" s="3" t="n">
        <x:v>8</x:v>
      </x:c>
      <x:c r="D1398" s="51" t="n">
        <x:v>40886</x:v>
      </x:c>
      <x:c r="E1398" s="3" t="str">
        <x:v>Recurrente</x:v>
      </x:c>
      <x:c r="F1398" s="13" t="n">
        <x:v>1232.18</x:v>
      </x:c>
      <x:c r="G1398" s="13" t="n">
        <x:v>0</x:v>
      </x:c>
      <x:c r="H1398" s="13" t="n">
        <x:f>F1398-G1398</x:f>
        <x:v>1232.18</x:v>
      </x:c>
      <x:c r="I1398" s="13" t="n">
        <x:f>IF(C1398=0,"n.a.",F1398/C1398)</x:f>
        <x:v>154.0225</x:v>
      </x:c>
      <x:c r="J1398" s="3"/>
      <x:c r="K1398" s="3"/>
      <x:c r="L1398" s="3"/>
    </x:row>
    <x:row r="1399" ht="22" customHeight="1">
      <x:c r="A1399" s="3"/>
      <x:c r="B1399" s="3" t="str">
        <x:v>18080</x:v>
      </x:c>
      <x:c r="C1399" s="3" t="n">
        <x:v>2</x:v>
      </x:c>
      <x:c r="D1399" s="51" t="n">
        <x:v>40868</x:v>
      </x:c>
      <x:c r="E1399" s="3" t="str">
        <x:v>Recurrente</x:v>
      </x:c>
      <x:c r="F1399" s="13" t="n">
        <x:v>1231.5</x:v>
      </x:c>
      <x:c r="G1399" s="13" t="n">
        <x:v>0</x:v>
      </x:c>
      <x:c r="H1399" s="13" t="n">
        <x:f>F1399-G1399</x:f>
        <x:v>1231.5</x:v>
      </x:c>
      <x:c r="I1399" s="13" t="n">
        <x:f>IF(C1399=0,"n.a.",F1399/C1399)</x:f>
        <x:v>615.75</x:v>
      </x:c>
      <x:c r="J1399" s="3"/>
      <x:c r="K1399" s="3"/>
      <x:c r="L1399" s="3"/>
    </x:row>
    <x:row r="1400" ht="22" customHeight="1">
      <x:c r="A1400" s="3"/>
      <x:c r="B1400" s="3" t="str">
        <x:v>13931</x:v>
      </x:c>
      <x:c r="C1400" s="3" t="n">
        <x:v>2</x:v>
      </x:c>
      <x:c r="D1400" s="51" t="n">
        <x:v>40791</x:v>
      </x:c>
      <x:c r="E1400" s="3" t="str">
        <x:v>Recurrente</x:v>
      </x:c>
      <x:c r="F1400" s="13" t="n">
        <x:v>1237.53</x:v>
      </x:c>
      <x:c r="G1400" s="13" t="n">
        <x:v>6.6</x:v>
      </x:c>
      <x:c r="H1400" s="13" t="n">
        <x:f>F1400-G1400</x:f>
        <x:v>1230.93</x:v>
      </x:c>
      <x:c r="I1400" s="13" t="n">
        <x:f>IF(C1400=0,"n.a.",F1400/C1400)</x:f>
        <x:v>618.765</x:v>
      </x:c>
      <x:c r="J1400" s="3"/>
      <x:c r="K1400" s="3"/>
      <x:c r="L1400" s="3"/>
    </x:row>
    <x:row r="1401" ht="22" customHeight="1">
      <x:c r="A1401" s="3"/>
      <x:c r="B1401" s="3" t="str">
        <x:v>14428</x:v>
      </x:c>
      <x:c r="C1401" s="3" t="n">
        <x:v>5</x:v>
      </x:c>
      <x:c r="D1401" s="51" t="n">
        <x:v>40879</x:v>
      </x:c>
      <x:c r="E1401" s="3" t="str">
        <x:v>Recurrente</x:v>
      </x:c>
      <x:c r="F1401" s="13" t="n">
        <x:v>1244.83</x:v>
      </x:c>
      <x:c r="G1401" s="13" t="n">
        <x:v>14.69</x:v>
      </x:c>
      <x:c r="H1401" s="13" t="n">
        <x:f>F1401-G1401</x:f>
        <x:v>1230.1399999999999</x:v>
      </x:c>
      <x:c r="I1401" s="13" t="n">
        <x:f>IF(C1401=0,"n.a.",F1401/C1401)</x:f>
        <x:v>248.96599999999998</x:v>
      </x:c>
      <x:c r="J1401" s="3"/>
      <x:c r="K1401" s="3"/>
      <x:c r="L1401" s="3"/>
    </x:row>
    <x:row r="1402" ht="22" customHeight="1">
      <x:c r="A1402" s="3"/>
      <x:c r="B1402" s="3" t="str">
        <x:v>14898</x:v>
      </x:c>
      <x:c r="C1402" s="3" t="n">
        <x:v>6</x:v>
      </x:c>
      <x:c r="D1402" s="51" t="n">
        <x:v>40863</x:v>
      </x:c>
      <x:c r="E1402" s="3" t="str">
        <x:v>Recurrente</x:v>
      </x:c>
      <x:c r="F1402" s="13" t="n">
        <x:v>1303.52</x:v>
      </x:c>
      <x:c r="G1402" s="13" t="n">
        <x:v>75.2</x:v>
      </x:c>
      <x:c r="H1402" s="13" t="n">
        <x:f>F1402-G1402</x:f>
        <x:v>1228.32</x:v>
      </x:c>
      <x:c r="I1402" s="13" t="n">
        <x:f>IF(C1402=0,"n.a.",F1402/C1402)</x:f>
        <x:v>217.25333333333333</x:v>
      </x:c>
      <x:c r="J1402" s="3"/>
      <x:c r="K1402" s="3"/>
      <x:c r="L1402" s="3"/>
    </x:row>
    <x:row r="1403" ht="22" customHeight="1">
      <x:c r="A1403" s="3"/>
      <x:c r="B1403" s="3" t="str">
        <x:v>14913</x:v>
      </x:c>
      <x:c r="C1403" s="3" t="n">
        <x:v>4</x:v>
      </x:c>
      <x:c r="D1403" s="51" t="n">
        <x:v>40851</x:v>
      </x:c>
      <x:c r="E1403" s="3" t="str">
        <x:v>Recurrente</x:v>
      </x:c>
      <x:c r="F1403" s="13" t="n">
        <x:v>1227.43</x:v>
      </x:c>
      <x:c r="G1403" s="13" t="n">
        <x:v>0</x:v>
      </x:c>
      <x:c r="H1403" s="13" t="n">
        <x:f>F1403-G1403</x:f>
        <x:v>1227.43</x:v>
      </x:c>
      <x:c r="I1403" s="13" t="n">
        <x:f>IF(C1403=0,"n.a.",F1403/C1403)</x:f>
        <x:v>306.8575</x:v>
      </x:c>
      <x:c r="J1403" s="3"/>
      <x:c r="K1403" s="3"/>
      <x:c r="L1403" s="3"/>
    </x:row>
    <x:row r="1404" ht="22" customHeight="1">
      <x:c r="A1404" s="3"/>
      <x:c r="B1404" s="3" t="str">
        <x:v>17584</x:v>
      </x:c>
      <x:c r="C1404" s="3" t="n">
        <x:v>2</x:v>
      </x:c>
      <x:c r="D1404" s="51" t="n">
        <x:v>40879</x:v>
      </x:c>
      <x:c r="E1404" s="3" t="str">
        <x:v>Recurrente</x:v>
      </x:c>
      <x:c r="F1404" s="13" t="n">
        <x:v>1242.3</x:v>
      </x:c>
      <x:c r="G1404" s="13" t="n">
        <x:v>15</x:v>
      </x:c>
      <x:c r="H1404" s="13" t="n">
        <x:f>F1404-G1404</x:f>
        <x:v>1227.3</x:v>
      </x:c>
      <x:c r="I1404" s="13" t="n">
        <x:f>IF(C1404=0,"n.a.",F1404/C1404)</x:f>
        <x:v>621.15</x:v>
      </x:c>
      <x:c r="J1404" s="3"/>
      <x:c r="K1404" s="3"/>
      <x:c r="L1404" s="3"/>
    </x:row>
    <x:row r="1405" ht="22" customHeight="1">
      <x:c r="A1405" s="3"/>
      <x:c r="B1405" s="3" t="str">
        <x:v>15227</x:v>
      </x:c>
      <x:c r="C1405" s="3" t="n">
        <x:v>5</x:v>
      </x:c>
      <x:c r="D1405" s="51" t="n">
        <x:v>40850</x:v>
      </x:c>
      <x:c r="E1405" s="3" t="str">
        <x:v>Recurrente</x:v>
      </x:c>
      <x:c r="F1405" s="13" t="n">
        <x:v>1219.4</x:v>
      </x:c>
      <x:c r="G1405" s="13" t="n">
        <x:v>0</x:v>
      </x:c>
      <x:c r="H1405" s="13" t="n">
        <x:f>F1405-G1405</x:f>
        <x:v>1219.4</x:v>
      </x:c>
      <x:c r="I1405" s="13" t="n">
        <x:f>IF(C1405=0,"n.a.",F1405/C1405)</x:f>
        <x:v>243.88000000000002</x:v>
      </x:c>
      <x:c r="J1405" s="3"/>
      <x:c r="K1405" s="3"/>
      <x:c r="L1405" s="3"/>
    </x:row>
    <x:row r="1406" ht="22" customHeight="1">
      <x:c r="A1406" s="3"/>
      <x:c r="B1406" s="3" t="str">
        <x:v>13491</x:v>
      </x:c>
      <x:c r="C1406" s="3" t="n">
        <x:v>10</x:v>
      </x:c>
      <x:c r="D1406" s="51" t="n">
        <x:v>40835</x:v>
      </x:c>
      <x:c r="E1406" s="3" t="str">
        <x:v>Recurrente</x:v>
      </x:c>
      <x:c r="F1406" s="13" t="n">
        <x:v>1215.82</x:v>
      </x:c>
      <x:c r="G1406" s="13" t="n">
        <x:v>0</x:v>
      </x:c>
      <x:c r="H1406" s="13" t="n">
        <x:f>F1406-G1406</x:f>
        <x:v>1215.82</x:v>
      </x:c>
      <x:c r="I1406" s="13" t="n">
        <x:f>IF(C1406=0,"n.a.",F1406/C1406)</x:f>
        <x:v>121.582</x:v>
      </x:c>
      <x:c r="J1406" s="3"/>
      <x:c r="K1406" s="3"/>
      <x:c r="L1406" s="3"/>
    </x:row>
    <x:row r="1407" ht="22" customHeight="1">
      <x:c r="A1407" s="3"/>
      <x:c r="B1407" s="3" t="str">
        <x:v>12985</x:v>
      </x:c>
      <x:c r="C1407" s="3" t="n">
        <x:v>2</x:v>
      </x:c>
      <x:c r="D1407" s="51" t="n">
        <x:v>40886</x:v>
      </x:c>
      <x:c r="E1407" s="3" t="str">
        <x:v>Recurrente</x:v>
      </x:c>
      <x:c r="F1407" s="13" t="n">
        <x:v>1239.38</x:v>
      </x:c>
      <x:c r="G1407" s="13" t="n">
        <x:v>23.76</x:v>
      </x:c>
      <x:c r="H1407" s="13" t="n">
        <x:f>F1407-G1407</x:f>
        <x:v>1215.6200000000001</x:v>
      </x:c>
      <x:c r="I1407" s="13" t="n">
        <x:f>IF(C1407=0,"n.a.",F1407/C1407)</x:f>
        <x:v>619.69</x:v>
      </x:c>
      <x:c r="J1407" s="3"/>
      <x:c r="K1407" s="3"/>
      <x:c r="L1407" s="3"/>
    </x:row>
    <x:row r="1408" ht="22" customHeight="1">
      <x:c r="A1408" s="3"/>
      <x:c r="B1408" s="3" t="str">
        <x:v>17774</x:v>
      </x:c>
      <x:c r="C1408" s="3" t="n">
        <x:v>4</x:v>
      </x:c>
      <x:c r="D1408" s="51" t="n">
        <x:v>40790</x:v>
      </x:c>
      <x:c r="E1408" s="3" t="str">
        <x:v>Recurrente</x:v>
      </x:c>
      <x:c r="F1408" s="13" t="n">
        <x:v>1225.41</x:v>
      </x:c>
      <x:c r="G1408" s="13" t="n">
        <x:v>9.95</x:v>
      </x:c>
      <x:c r="H1408" s="13" t="n">
        <x:f>F1408-G1408</x:f>
        <x:v>1215.46</x:v>
      </x:c>
      <x:c r="I1408" s="13" t="n">
        <x:f>IF(C1408=0,"n.a.",F1408/C1408)</x:f>
        <x:v>306.3525</x:v>
      </x:c>
      <x:c r="J1408" s="3"/>
      <x:c r="K1408" s="3"/>
      <x:c r="L1408" s="3"/>
    </x:row>
    <x:row r="1409" ht="22" customHeight="1">
      <x:c r="A1409" s="3"/>
      <x:c r="B1409" s="3" t="str">
        <x:v>17410</x:v>
      </x:c>
      <x:c r="C1409" s="3" t="n">
        <x:v>5</x:v>
      </x:c>
      <x:c r="D1409" s="51" t="n">
        <x:v>40870</x:v>
      </x:c>
      <x:c r="E1409" s="3" t="str">
        <x:v>Recurrente</x:v>
      </x:c>
      <x:c r="F1409" s="13" t="n">
        <x:v>1214.72</x:v>
      </x:c>
      <x:c r="G1409" s="13" t="n">
        <x:v>0</x:v>
      </x:c>
      <x:c r="H1409" s="13" t="n">
        <x:f>F1409-G1409</x:f>
        <x:v>1214.72</x:v>
      </x:c>
      <x:c r="I1409" s="13" t="n">
        <x:f>IF(C1409=0,"n.a.",F1409/C1409)</x:f>
        <x:v>242.94400000000002</x:v>
      </x:c>
      <x:c r="J1409" s="3"/>
      <x:c r="K1409" s="3"/>
      <x:c r="L1409" s="3"/>
    </x:row>
    <x:row r="1410" ht="22" customHeight="1">
      <x:c r="A1410" s="3"/>
      <x:c r="B1410" s="3" t="str">
        <x:v>13918</x:v>
      </x:c>
      <x:c r="C1410" s="3" t="n">
        <x:v>2</x:v>
      </x:c>
      <x:c r="D1410" s="51" t="n">
        <x:v>40837</x:v>
      </x:c>
      <x:c r="E1410" s="3" t="str">
        <x:v>Recurrente</x:v>
      </x:c>
      <x:c r="F1410" s="13" t="n">
        <x:v>1212.84</x:v>
      </x:c>
      <x:c r="G1410" s="13" t="n">
        <x:v>0</x:v>
      </x:c>
      <x:c r="H1410" s="13" t="n">
        <x:f>F1410-G1410</x:f>
        <x:v>1212.84</x:v>
      </x:c>
      <x:c r="I1410" s="13" t="n">
        <x:f>IF(C1410=0,"n.a.",F1410/C1410)</x:f>
        <x:v>606.42</x:v>
      </x:c>
      <x:c r="J1410" s="3"/>
      <x:c r="K1410" s="3"/>
      <x:c r="L1410" s="3"/>
    </x:row>
    <x:row r="1411" ht="22" customHeight="1">
      <x:c r="A1411" s="3"/>
      <x:c r="B1411" s="3" t="str">
        <x:v>18263</x:v>
      </x:c>
      <x:c r="C1411" s="3" t="n">
        <x:v>3</x:v>
      </x:c>
      <x:c r="D1411" s="51" t="n">
        <x:v>40861</x:v>
      </x:c>
      <x:c r="E1411" s="3" t="str">
        <x:v>Recurrente</x:v>
      </x:c>
      <x:c r="F1411" s="13" t="n">
        <x:v>1213.16</x:v>
      </x:c>
      <x:c r="G1411" s="13" t="n">
        <x:v>2.08</x:v>
      </x:c>
      <x:c r="H1411" s="13" t="n">
        <x:f>F1411-G1411</x:f>
        <x:v>1211.0800000000002</x:v>
      </x:c>
      <x:c r="I1411" s="13" t="n">
        <x:f>IF(C1411=0,"n.a.",F1411/C1411)</x:f>
        <x:v>404.3866666666667</x:v>
      </x:c>
      <x:c r="J1411" s="3"/>
      <x:c r="K1411" s="3"/>
      <x:c r="L1411" s="3"/>
    </x:row>
    <x:row r="1412" ht="22" customHeight="1">
      <x:c r="A1412" s="3"/>
      <x:c r="B1412" s="3" t="str">
        <x:v>15841</x:v>
      </x:c>
      <x:c r="C1412" s="3" t="n">
        <x:v>4</x:v>
      </x:c>
      <x:c r="D1412" s="51" t="n">
        <x:v>40814</x:v>
      </x:c>
      <x:c r="E1412" s="3" t="str">
        <x:v>Recurrente</x:v>
      </x:c>
      <x:c r="F1412" s="13" t="n">
        <x:v>1224.06</x:v>
      </x:c>
      <x:c r="G1412" s="13" t="n">
        <x:v>14.96</x:v>
      </x:c>
      <x:c r="H1412" s="13" t="n">
        <x:f>F1412-G1412</x:f>
        <x:v>1209.1</x:v>
      </x:c>
      <x:c r="I1412" s="13" t="n">
        <x:f>IF(C1412=0,"n.a.",F1412/C1412)</x:f>
        <x:v>306.015</x:v>
      </x:c>
      <x:c r="J1412" s="3"/>
      <x:c r="K1412" s="3"/>
      <x:c r="L1412" s="3"/>
    </x:row>
    <x:row r="1413" ht="22" customHeight="1">
      <x:c r="A1413" s="3"/>
      <x:c r="B1413" s="3" t="str">
        <x:v>18171</x:v>
      </x:c>
      <x:c r="C1413" s="3" t="n">
        <x:v>5</x:v>
      </x:c>
      <x:c r="D1413" s="51" t="n">
        <x:v>40828</x:v>
      </x:c>
      <x:c r="E1413" s="3" t="str">
        <x:v>Recurrente</x:v>
      </x:c>
      <x:c r="F1413" s="13" t="n">
        <x:v>1231.31</x:v>
      </x:c>
      <x:c r="G1413" s="13" t="n">
        <x:v>22.8</x:v>
      </x:c>
      <x:c r="H1413" s="13" t="n">
        <x:f>F1413-G1413</x:f>
        <x:v>1208.51</x:v>
      </x:c>
      <x:c r="I1413" s="13" t="n">
        <x:f>IF(C1413=0,"n.a.",F1413/C1413)</x:f>
        <x:v>246.262</x:v>
      </x:c>
      <x:c r="J1413" s="3"/>
      <x:c r="K1413" s="3"/>
      <x:c r="L1413" s="3"/>
    </x:row>
    <x:row r="1414" ht="22" customHeight="1">
      <x:c r="A1414" s="3"/>
      <x:c r="B1414" s="3" t="str">
        <x:v>12364</x:v>
      </x:c>
      <x:c r="C1414" s="3" t="n">
        <x:v>4</x:v>
      </x:c>
      <x:c r="D1414" s="51" t="n">
        <x:v>40879</x:v>
      </x:c>
      <x:c r="E1414" s="3" t="str">
        <x:v>Recurrente</x:v>
      </x:c>
      <x:c r="F1414" s="13" t="n">
        <x:v>1208.1</x:v>
      </x:c>
      <x:c r="G1414" s="13" t="n">
        <x:v>0</x:v>
      </x:c>
      <x:c r="H1414" s="13" t="n">
        <x:f>F1414-G1414</x:f>
        <x:v>1208.1</x:v>
      </x:c>
      <x:c r="I1414" s="13" t="n">
        <x:f>IF(C1414=0,"n.a.",F1414/C1414)</x:f>
        <x:v>302.025</x:v>
      </x:c>
      <x:c r="J1414" s="3"/>
      <x:c r="K1414" s="3"/>
      <x:c r="L1414" s="3"/>
    </x:row>
    <x:row r="1415" ht="22" customHeight="1">
      <x:c r="A1415" s="3"/>
      <x:c r="B1415" s="3" t="str">
        <x:v>13055</x:v>
      </x:c>
      <x:c r="C1415" s="3" t="n">
        <x:v>3</x:v>
      </x:c>
      <x:c r="D1415" s="51" t="n">
        <x:v>40808</x:v>
      </x:c>
      <x:c r="E1415" s="3" t="str">
        <x:v>Recurrente</x:v>
      </x:c>
      <x:c r="F1415" s="13" t="n">
        <x:v>1214.41</x:v>
      </x:c>
      <x:c r="G1415" s="13" t="n">
        <x:v>12.45</x:v>
      </x:c>
      <x:c r="H1415" s="13" t="n">
        <x:f>F1415-G1415</x:f>
        <x:v>1201.96</x:v>
      </x:c>
      <x:c r="I1415" s="13" t="n">
        <x:f>IF(C1415=0,"n.a.",F1415/C1415)</x:f>
        <x:v>404.80333333333334</x:v>
      </x:c>
      <x:c r="J1415" s="3"/>
      <x:c r="K1415" s="3"/>
      <x:c r="L1415" s="3"/>
    </x:row>
    <x:row r="1416" ht="22" customHeight="1">
      <x:c r="A1416" s="3"/>
      <x:c r="B1416" s="3" t="str">
        <x:v>16800</x:v>
      </x:c>
      <x:c r="C1416" s="3" t="n">
        <x:v>1</x:v>
      </x:c>
      <x:c r="D1416" s="51" t="n">
        <x:v>40875</x:v>
      </x:c>
      <x:c r="E1416" s="3" t="str">
        <x:v>Una compra</x:v>
      </x:c>
      <x:c r="F1416" s="13" t="n">
        <x:v>1201.49</x:v>
      </x:c>
      <x:c r="G1416" s="13" t="n">
        <x:v>0</x:v>
      </x:c>
      <x:c r="H1416" s="13" t="n">
        <x:f>F1416-G1416</x:f>
        <x:v>1201.49</x:v>
      </x:c>
      <x:c r="I1416" s="13" t="n">
        <x:f>IF(C1416=0,"n.a.",F1416/C1416)</x:f>
        <x:v>1201.49</x:v>
      </x:c>
      <x:c r="J1416" s="3"/>
      <x:c r="K1416" s="3"/>
      <x:c r="L1416" s="3"/>
    </x:row>
    <x:row r="1417" ht="22" customHeight="1">
      <x:c r="A1417" s="3"/>
      <x:c r="B1417" s="3" t="str">
        <x:v>13158</x:v>
      </x:c>
      <x:c r="C1417" s="3" t="n">
        <x:v>4</x:v>
      </x:c>
      <x:c r="D1417" s="51" t="n">
        <x:v>40792</x:v>
      </x:c>
      <x:c r="E1417" s="3" t="str">
        <x:v>Recurrente</x:v>
      </x:c>
      <x:c r="F1417" s="13" t="n">
        <x:v>1201.06</x:v>
      </x:c>
      <x:c r="G1417" s="13" t="n">
        <x:v>0</x:v>
      </x:c>
      <x:c r="H1417" s="13" t="n">
        <x:f>F1417-G1417</x:f>
        <x:v>1201.06</x:v>
      </x:c>
      <x:c r="I1417" s="13" t="n">
        <x:f>IF(C1417=0,"n.a.",F1417/C1417)</x:f>
        <x:v>300.265</x:v>
      </x:c>
      <x:c r="J1417" s="3"/>
      <x:c r="K1417" s="3"/>
      <x:c r="L1417" s="3"/>
    </x:row>
    <x:row r="1418" ht="22" customHeight="1">
      <x:c r="A1418" s="3"/>
      <x:c r="B1418" s="3" t="str">
        <x:v>17320</x:v>
      </x:c>
      <x:c r="C1418" s="3" t="n">
        <x:v>3</x:v>
      </x:c>
      <x:c r="D1418" s="51" t="n">
        <x:v>40786</x:v>
      </x:c>
      <x:c r="E1418" s="3" t="str">
        <x:v>Recurrente</x:v>
      </x:c>
      <x:c r="F1418" s="13" t="n">
        <x:v>1200.62</x:v>
      </x:c>
      <x:c r="G1418" s="13" t="n">
        <x:v>0</x:v>
      </x:c>
      <x:c r="H1418" s="13" t="n">
        <x:f>F1418-G1418</x:f>
        <x:v>1200.62</x:v>
      </x:c>
      <x:c r="I1418" s="13" t="n">
        <x:f>IF(C1418=0,"n.a.",F1418/C1418)</x:f>
        <x:v>400.20666666666665</x:v>
      </x:c>
      <x:c r="J1418" s="3"/>
      <x:c r="K1418" s="3"/>
      <x:c r="L1418" s="3"/>
    </x:row>
    <x:row r="1419" ht="22" customHeight="1">
      <x:c r="A1419" s="3"/>
      <x:c r="B1419" s="3" t="str">
        <x:v>16794</x:v>
      </x:c>
      <x:c r="C1419" s="3" t="n">
        <x:v>10</x:v>
      </x:c>
      <x:c r="D1419" s="51" t="n">
        <x:v>40885</x:v>
      </x:c>
      <x:c r="E1419" s="3" t="str">
        <x:v>Recurrente</x:v>
      </x:c>
      <x:c r="F1419" s="13" t="n">
        <x:v>1220.69</x:v>
      </x:c>
      <x:c r="G1419" s="13" t="n">
        <x:v>21.2</x:v>
      </x:c>
      <x:c r="H1419" s="13" t="n">
        <x:f>F1419-G1419</x:f>
        <x:v>1199.49</x:v>
      </x:c>
      <x:c r="I1419" s="13" t="n">
        <x:f>IF(C1419=0,"n.a.",F1419/C1419)</x:f>
        <x:v>122.069</x:v>
      </x:c>
      <x:c r="J1419" s="3"/>
      <x:c r="K1419" s="3"/>
      <x:c r="L1419" s="3"/>
    </x:row>
    <x:row r="1420" ht="22" customHeight="1">
      <x:c r="A1420" s="3"/>
      <x:c r="B1420" s="3" t="str">
        <x:v>13208</x:v>
      </x:c>
      <x:c r="C1420" s="3" t="n">
        <x:v>5</x:v>
      </x:c>
      <x:c r="D1420" s="51" t="n">
        <x:v>40827</x:v>
      </x:c>
      <x:c r="E1420" s="3" t="str">
        <x:v>Recurrente</x:v>
      </x:c>
      <x:c r="F1420" s="13" t="n">
        <x:v>1199.42</x:v>
      </x:c>
      <x:c r="G1420" s="13" t="n">
        <x:v>0</x:v>
      </x:c>
      <x:c r="H1420" s="13" t="n">
        <x:f>F1420-G1420</x:f>
        <x:v>1199.42</x:v>
      </x:c>
      <x:c r="I1420" s="13" t="n">
        <x:f>IF(C1420=0,"n.a.",F1420/C1420)</x:f>
        <x:v>239.88400000000001</x:v>
      </x:c>
      <x:c r="J1420" s="3"/>
      <x:c r="K1420" s="3"/>
      <x:c r="L1420" s="3"/>
    </x:row>
    <x:row r="1421" ht="22" customHeight="1">
      <x:c r="A1421" s="3"/>
      <x:c r="B1421" s="3" t="str">
        <x:v>13564</x:v>
      </x:c>
      <x:c r="C1421" s="3" t="n">
        <x:v>2</x:v>
      </x:c>
      <x:c r="D1421" s="51" t="n">
        <x:v>40532</x:v>
      </x:c>
      <x:c r="E1421" s="3" t="str">
        <x:v>Recurrente</x:v>
      </x:c>
      <x:c r="F1421" s="13" t="n">
        <x:v>1198.38</x:v>
      </x:c>
      <x:c r="G1421" s="13" t="n">
        <x:v>0</x:v>
      </x:c>
      <x:c r="H1421" s="13" t="n">
        <x:f>F1421-G1421</x:f>
        <x:v>1198.38</x:v>
      </x:c>
      <x:c r="I1421" s="13" t="n">
        <x:f>IF(C1421=0,"n.a.",F1421/C1421)</x:f>
        <x:v>599.19</x:v>
      </x:c>
      <x:c r="J1421" s="3"/>
      <x:c r="K1421" s="3"/>
      <x:c r="L1421" s="3"/>
    </x:row>
    <x:row r="1422" ht="22" customHeight="1">
      <x:c r="A1422" s="3"/>
      <x:c r="B1422" s="3" t="str">
        <x:v>15605</x:v>
      </x:c>
      <x:c r="C1422" s="3" t="n">
        <x:v>5</x:v>
      </x:c>
      <x:c r="D1422" s="51" t="n">
        <x:v>40850</x:v>
      </x:c>
      <x:c r="E1422" s="3" t="str">
        <x:v>Recurrente</x:v>
      </x:c>
      <x:c r="F1422" s="13" t="n">
        <x:v>1198.23</x:v>
      </x:c>
      <x:c r="G1422" s="13" t="n">
        <x:v>0</x:v>
      </x:c>
      <x:c r="H1422" s="13" t="n">
        <x:f>F1422-G1422</x:f>
        <x:v>1198.23</x:v>
      </x:c>
      <x:c r="I1422" s="13" t="n">
        <x:f>IF(C1422=0,"n.a.",F1422/C1422)</x:f>
        <x:v>239.64600000000002</x:v>
      </x:c>
      <x:c r="J1422" s="3"/>
      <x:c r="K1422" s="3"/>
      <x:c r="L1422" s="3"/>
    </x:row>
    <x:row r="1423" ht="22" customHeight="1">
      <x:c r="A1423" s="3"/>
      <x:c r="B1423" s="3" t="str">
        <x:v>17800</x:v>
      </x:c>
      <x:c r="C1423" s="3" t="n">
        <x:v>9</x:v>
      </x:c>
      <x:c r="D1423" s="51" t="n">
        <x:v>40849</x:v>
      </x:c>
      <x:c r="E1423" s="3" t="str">
        <x:v>Recurrente</x:v>
      </x:c>
      <x:c r="F1423" s="13" t="n">
        <x:v>1198.01</x:v>
      </x:c>
      <x:c r="G1423" s="13" t="n">
        <x:v>0</x:v>
      </x:c>
      <x:c r="H1423" s="13" t="n">
        <x:f>F1423-G1423</x:f>
        <x:v>1198.01</x:v>
      </x:c>
      <x:c r="I1423" s="13" t="n">
        <x:f>IF(C1423=0,"n.a.",F1423/C1423)</x:f>
        <x:v>133.11222222222221</x:v>
      </x:c>
      <x:c r="J1423" s="3"/>
      <x:c r="K1423" s="3"/>
      <x:c r="L1423" s="3"/>
    </x:row>
    <x:row r="1424" ht="22" customHeight="1">
      <x:c r="A1424" s="3"/>
      <x:c r="B1424" s="3" t="str">
        <x:v>12997</x:v>
      </x:c>
      <x:c r="C1424" s="3" t="n">
        <x:v>4</x:v>
      </x:c>
      <x:c r="D1424" s="51" t="n">
        <x:v>40864</x:v>
      </x:c>
      <x:c r="E1424" s="3" t="str">
        <x:v>Recurrente</x:v>
      </x:c>
      <x:c r="F1424" s="13" t="n">
        <x:v>1226.89</x:v>
      </x:c>
      <x:c r="G1424" s="13" t="n">
        <x:v>28.95</x:v>
      </x:c>
      <x:c r="H1424" s="13" t="n">
        <x:f>F1424-G1424</x:f>
        <x:v>1197.94</x:v>
      </x:c>
      <x:c r="I1424" s="13" t="n">
        <x:f>IF(C1424=0,"n.a.",F1424/C1424)</x:f>
        <x:v>306.7225</x:v>
      </x:c>
      <x:c r="J1424" s="3"/>
      <x:c r="K1424" s="3"/>
      <x:c r="L1424" s="3"/>
    </x:row>
    <x:row r="1425" ht="22" customHeight="1">
      <x:c r="A1425" s="3"/>
      <x:c r="B1425" s="3" t="str">
        <x:v>13211</x:v>
      </x:c>
      <x:c r="C1425" s="3" t="n">
        <x:v>3</x:v>
      </x:c>
      <x:c r="D1425" s="51" t="n">
        <x:v>40876</x:v>
      </x:c>
      <x:c r="E1425" s="3" t="str">
        <x:v>Recurrente</x:v>
      </x:c>
      <x:c r="F1425" s="13" t="n">
        <x:v>1197.42</x:v>
      </x:c>
      <x:c r="G1425" s="13" t="n">
        <x:v>0</x:v>
      </x:c>
      <x:c r="H1425" s="13" t="n">
        <x:f>F1425-G1425</x:f>
        <x:v>1197.42</x:v>
      </x:c>
      <x:c r="I1425" s="13" t="n">
        <x:f>IF(C1425=0,"n.a.",F1425/C1425)</x:f>
        <x:v>399.14000000000004</x:v>
      </x:c>
      <x:c r="J1425" s="3"/>
      <x:c r="K1425" s="3"/>
      <x:c r="L1425" s="3"/>
    </x:row>
    <x:row r="1426" ht="22" customHeight="1">
      <x:c r="A1426" s="3"/>
      <x:c r="B1426" s="3" t="str">
        <x:v>12372</x:v>
      </x:c>
      <x:c r="C1426" s="3" t="n">
        <x:v>3</x:v>
      </x:c>
      <x:c r="D1426" s="51" t="n">
        <x:v>40815</x:v>
      </x:c>
      <x:c r="E1426" s="3" t="str">
        <x:v>Recurrente</x:v>
      </x:c>
      <x:c r="F1426" s="13" t="n">
        <x:v>1196.04</x:v>
      </x:c>
      <x:c r="G1426" s="13" t="n">
        <x:v>0</x:v>
      </x:c>
      <x:c r="H1426" s="13" t="n">
        <x:f>F1426-G1426</x:f>
        <x:v>1196.04</x:v>
      </x:c>
      <x:c r="I1426" s="13" t="n">
        <x:f>IF(C1426=0,"n.a.",F1426/C1426)</x:f>
        <x:v>398.68</x:v>
      </x:c>
      <x:c r="J1426" s="3"/>
      <x:c r="K1426" s="3"/>
      <x:c r="L1426" s="3"/>
    </x:row>
    <x:row r="1427" ht="22" customHeight="1">
      <x:c r="A1427" s="3"/>
      <x:c r="B1427" s="3" t="str">
        <x:v>17720</x:v>
      </x:c>
      <x:c r="C1427" s="3" t="n">
        <x:v>4</x:v>
      </x:c>
      <x:c r="D1427" s="51" t="n">
        <x:v>40860</x:v>
      </x:c>
      <x:c r="E1427" s="3" t="str">
        <x:v>Recurrente</x:v>
      </x:c>
      <x:c r="F1427" s="13" t="n">
        <x:v>1195.94</x:v>
      </x:c>
      <x:c r="G1427" s="13" t="n">
        <x:v>0</x:v>
      </x:c>
      <x:c r="H1427" s="13" t="n">
        <x:f>F1427-G1427</x:f>
        <x:v>1195.94</x:v>
      </x:c>
      <x:c r="I1427" s="13" t="n">
        <x:f>IF(C1427=0,"n.a.",F1427/C1427)</x:f>
        <x:v>298.985</x:v>
      </x:c>
      <x:c r="J1427" s="3"/>
      <x:c r="K1427" s="3"/>
      <x:c r="L1427" s="3"/>
    </x:row>
    <x:row r="1428" ht="22" customHeight="1">
      <x:c r="A1428" s="3"/>
      <x:c r="B1428" s="3" t="str">
        <x:v>12967</x:v>
      </x:c>
      <x:c r="C1428" s="3" t="n">
        <x:v>2</x:v>
      </x:c>
      <x:c r="D1428" s="51" t="n">
        <x:v>40528</x:v>
      </x:c>
      <x:c r="E1428" s="3" t="str">
        <x:v>Recurrente</x:v>
      </x:c>
      <x:c r="F1428" s="13" t="n">
        <x:v>1660.9</x:v>
      </x:c>
      <x:c r="G1428" s="13" t="n">
        <x:v>466.15</x:v>
      </x:c>
      <x:c r="H1428" s="13" t="n">
        <x:f>F1428-G1428</x:f>
        <x:v>1194.75</x:v>
      </x:c>
      <x:c r="I1428" s="13" t="n">
        <x:f>IF(C1428=0,"n.a.",F1428/C1428)</x:f>
        <x:v>830.45</x:v>
      </x:c>
      <x:c r="J1428" s="3"/>
      <x:c r="K1428" s="3"/>
      <x:c r="L1428" s="3"/>
    </x:row>
    <x:row r="1429" ht="22" customHeight="1">
      <x:c r="A1429" s="3"/>
      <x:c r="B1429" s="3" t="str">
        <x:v>15145</x:v>
      </x:c>
      <x:c r="C1429" s="3" t="n">
        <x:v>4</x:v>
      </x:c>
      <x:c r="D1429" s="51" t="n">
        <x:v>40882</x:v>
      </x:c>
      <x:c r="E1429" s="3" t="str">
        <x:v>Recurrente</x:v>
      </x:c>
      <x:c r="F1429" s="13" t="n">
        <x:v>1194.73</x:v>
      </x:c>
      <x:c r="G1429" s="13" t="n">
        <x:v>0</x:v>
      </x:c>
      <x:c r="H1429" s="13" t="n">
        <x:f>F1429-G1429</x:f>
        <x:v>1194.73</x:v>
      </x:c>
      <x:c r="I1429" s="13" t="n">
        <x:f>IF(C1429=0,"n.a.",F1429/C1429)</x:f>
        <x:v>298.6825</x:v>
      </x:c>
      <x:c r="J1429" s="3"/>
      <x:c r="K1429" s="3"/>
      <x:c r="L1429" s="3"/>
    </x:row>
    <x:row r="1430" ht="22" customHeight="1">
      <x:c r="A1430" s="3"/>
      <x:c r="B1430" s="3" t="str">
        <x:v>12611</x:v>
      </x:c>
      <x:c r="C1430" s="3" t="n">
        <x:v>1</x:v>
      </x:c>
      <x:c r="D1430" s="51" t="n">
        <x:v>40834</x:v>
      </x:c>
      <x:c r="E1430" s="3" t="str">
        <x:v>Una compra</x:v>
      </x:c>
      <x:c r="F1430" s="13" t="n">
        <x:v>1193.32</x:v>
      </x:c>
      <x:c r="G1430" s="13" t="n">
        <x:v>0</x:v>
      </x:c>
      <x:c r="H1430" s="13" t="n">
        <x:f>F1430-G1430</x:f>
        <x:v>1193.32</x:v>
      </x:c>
      <x:c r="I1430" s="13" t="n">
        <x:f>IF(C1430=0,"n.a.",F1430/C1430)</x:f>
        <x:v>1193.32</x:v>
      </x:c>
      <x:c r="J1430" s="3"/>
      <x:c r="K1430" s="3"/>
      <x:c r="L1430" s="3"/>
    </x:row>
    <x:row r="1431" ht="22" customHeight="1">
      <x:c r="A1431" s="3"/>
      <x:c r="B1431" s="3" t="str">
        <x:v>14064</x:v>
      </x:c>
      <x:c r="C1431" s="3" t="n">
        <x:v>5</x:v>
      </x:c>
      <x:c r="D1431" s="51" t="n">
        <x:v>40857</x:v>
      </x:c>
      <x:c r="E1431" s="3" t="str">
        <x:v>Recurrente</x:v>
      </x:c>
      <x:c r="F1431" s="13" t="n">
        <x:v>1353.74</x:v>
      </x:c>
      <x:c r="G1431" s="13" t="n">
        <x:v>165.42</x:v>
      </x:c>
      <x:c r="H1431" s="13" t="n">
        <x:f>F1431-G1431</x:f>
        <x:v>1188.32</x:v>
      </x:c>
      <x:c r="I1431" s="13" t="n">
        <x:f>IF(C1431=0,"n.a.",F1431/C1431)</x:f>
        <x:v>270.748</x:v>
      </x:c>
      <x:c r="J1431" s="3"/>
      <x:c r="K1431" s="3"/>
      <x:c r="L1431" s="3"/>
    </x:row>
    <x:row r="1432" ht="22" customHeight="1">
      <x:c r="A1432" s="3"/>
      <x:c r="B1432" s="3" t="str">
        <x:v>16612</x:v>
      </x:c>
      <x:c r="C1432" s="3" t="n">
        <x:v>4</x:v>
      </x:c>
      <x:c r="D1432" s="51" t="n">
        <x:v>40854</x:v>
      </x:c>
      <x:c r="E1432" s="3" t="str">
        <x:v>Recurrente</x:v>
      </x:c>
      <x:c r="F1432" s="13" t="n">
        <x:v>1187.66</x:v>
      </x:c>
      <x:c r="G1432" s="13" t="n">
        <x:v>0</x:v>
      </x:c>
      <x:c r="H1432" s="13" t="n">
        <x:f>F1432-G1432</x:f>
        <x:v>1187.66</x:v>
      </x:c>
      <x:c r="I1432" s="13" t="n">
        <x:f>IF(C1432=0,"n.a.",F1432/C1432)</x:f>
        <x:v>296.915</x:v>
      </x:c>
      <x:c r="J1432" s="3"/>
      <x:c r="K1432" s="3"/>
      <x:c r="L1432" s="3"/>
    </x:row>
    <x:row r="1433" ht="22" customHeight="1">
      <x:c r="A1433" s="3"/>
      <x:c r="B1433" s="3" t="str">
        <x:v>13752</x:v>
      </x:c>
      <x:c r="C1433" s="3" t="n">
        <x:v>6</x:v>
      </x:c>
      <x:c r="D1433" s="51" t="n">
        <x:v>40762</x:v>
      </x:c>
      <x:c r="E1433" s="3" t="str">
        <x:v>Recurrente</x:v>
      </x:c>
      <x:c r="F1433" s="13" t="n">
        <x:v>1186.28</x:v>
      </x:c>
      <x:c r="G1433" s="13" t="n">
        <x:v>0</x:v>
      </x:c>
      <x:c r="H1433" s="13" t="n">
        <x:f>F1433-G1433</x:f>
        <x:v>1186.28</x:v>
      </x:c>
      <x:c r="I1433" s="13" t="n">
        <x:f>IF(C1433=0,"n.a.",F1433/C1433)</x:f>
        <x:v>197.71333333333334</x:v>
      </x:c>
      <x:c r="J1433" s="3"/>
      <x:c r="K1433" s="3"/>
      <x:c r="L1433" s="3"/>
    </x:row>
    <x:row r="1434" ht="22" customHeight="1">
      <x:c r="A1434" s="3"/>
      <x:c r="B1434" s="3" t="str">
        <x:v>12516</x:v>
      </x:c>
      <x:c r="C1434" s="3" t="n">
        <x:v>2</x:v>
      </x:c>
      <x:c r="D1434" s="51" t="n">
        <x:v>40809</x:v>
      </x:c>
      <x:c r="E1434" s="3" t="str">
        <x:v>Recurrente</x:v>
      </x:c>
      <x:c r="F1434" s="13" t="n">
        <x:v>1186.06</x:v>
      </x:c>
      <x:c r="G1434" s="13" t="n">
        <x:v>0</x:v>
      </x:c>
      <x:c r="H1434" s="13" t="n">
        <x:f>F1434-G1434</x:f>
        <x:v>1186.06</x:v>
      </x:c>
      <x:c r="I1434" s="13" t="n">
        <x:f>IF(C1434=0,"n.a.",F1434/C1434)</x:f>
        <x:v>593.03</x:v>
      </x:c>
      <x:c r="J1434" s="3"/>
      <x:c r="K1434" s="3"/>
      <x:c r="L1434" s="3"/>
    </x:row>
    <x:row r="1435" ht="22" customHeight="1">
      <x:c r="A1435" s="3"/>
      <x:c r="B1435" s="3" t="str">
        <x:v>14487</x:v>
      </x:c>
      <x:c r="C1435" s="3" t="n">
        <x:v>6</x:v>
      </x:c>
      <x:c r="D1435" s="51" t="n">
        <x:v>40860</x:v>
      </x:c>
      <x:c r="E1435" s="3" t="str">
        <x:v>Recurrente</x:v>
      </x:c>
      <x:c r="F1435" s="13" t="n">
        <x:v>1196.33</x:v>
      </x:c>
      <x:c r="G1435" s="13" t="n">
        <x:v>12.75</x:v>
      </x:c>
      <x:c r="H1435" s="13" t="n">
        <x:f>F1435-G1435</x:f>
        <x:v>1183.58</x:v>
      </x:c>
      <x:c r="I1435" s="13" t="n">
        <x:f>IF(C1435=0,"n.a.",F1435/C1435)</x:f>
        <x:v>199.38833333333332</x:v>
      </x:c>
      <x:c r="J1435" s="3"/>
      <x:c r="K1435" s="3"/>
      <x:c r="L1435" s="3"/>
    </x:row>
    <x:row r="1436" ht="22" customHeight="1">
      <x:c r="A1436" s="3"/>
      <x:c r="B1436" s="3" t="str">
        <x:v>15630</x:v>
      </x:c>
      <x:c r="C1436" s="3" t="n">
        <x:v>2</x:v>
      </x:c>
      <x:c r="D1436" s="51" t="n">
        <x:v>40841</x:v>
      </x:c>
      <x:c r="E1436" s="3" t="str">
        <x:v>Recurrente</x:v>
      </x:c>
      <x:c r="F1436" s="13" t="n">
        <x:v>1186.35</x:v>
      </x:c>
      <x:c r="G1436" s="13" t="n">
        <x:v>5.95</x:v>
      </x:c>
      <x:c r="H1436" s="13" t="n">
        <x:f>F1436-G1436</x:f>
        <x:v>1180.3999999999999</x:v>
      </x:c>
      <x:c r="I1436" s="13" t="n">
        <x:f>IF(C1436=0,"n.a.",F1436/C1436)</x:f>
        <x:v>593.175</x:v>
      </x:c>
      <x:c r="J1436" s="3"/>
      <x:c r="K1436" s="3"/>
      <x:c r="L1436" s="3"/>
    </x:row>
    <x:row r="1437" ht="22" customHeight="1">
      <x:c r="A1437" s="3"/>
      <x:c r="B1437" s="3" t="str">
        <x:v>17058</x:v>
      </x:c>
      <x:c r="C1437" s="3" t="n">
        <x:v>3</x:v>
      </x:c>
      <x:c r="D1437" s="51" t="n">
        <x:v>40805</x:v>
      </x:c>
      <x:c r="E1437" s="3" t="str">
        <x:v>Recurrente</x:v>
      </x:c>
      <x:c r="F1437" s="13" t="n">
        <x:v>1179.89</x:v>
      </x:c>
      <x:c r="G1437" s="13" t="n">
        <x:v>0</x:v>
      </x:c>
      <x:c r="H1437" s="13" t="n">
        <x:f>F1437-G1437</x:f>
        <x:v>1179.89</x:v>
      </x:c>
      <x:c r="I1437" s="13" t="n">
        <x:f>IF(C1437=0,"n.a.",F1437/C1437)</x:f>
        <x:v>393.2966666666667</x:v>
      </x:c>
      <x:c r="J1437" s="3"/>
      <x:c r="K1437" s="3"/>
      <x:c r="L1437" s="3"/>
    </x:row>
    <x:row r="1438" ht="22" customHeight="1">
      <x:c r="A1438" s="3"/>
      <x:c r="B1438" s="3" t="str">
        <x:v>16950</x:v>
      </x:c>
      <x:c r="C1438" s="3" t="n">
        <x:v>3</x:v>
      </x:c>
      <x:c r="D1438" s="51" t="n">
        <x:v>40830</x:v>
      </x:c>
      <x:c r="E1438" s="3" t="str">
        <x:v>Recurrente</x:v>
      </x:c>
      <x:c r="F1438" s="13" t="n">
        <x:v>1178.56</x:v>
      </x:c>
      <x:c r="G1438" s="13" t="n">
        <x:v>0</x:v>
      </x:c>
      <x:c r="H1438" s="13" t="n">
        <x:f>F1438-G1438</x:f>
        <x:v>1178.56</x:v>
      </x:c>
      <x:c r="I1438" s="13" t="n">
        <x:f>IF(C1438=0,"n.a.",F1438/C1438)</x:f>
        <x:v>392.8533333333333</x:v>
      </x:c>
      <x:c r="J1438" s="3"/>
      <x:c r="K1438" s="3"/>
      <x:c r="L1438" s="3"/>
    </x:row>
    <x:row r="1439" ht="22" customHeight="1">
      <x:c r="A1439" s="3"/>
      <x:c r="B1439" s="3" t="str">
        <x:v>17653</x:v>
      </x:c>
      <x:c r="C1439" s="3" t="n">
        <x:v>4</x:v>
      </x:c>
      <x:c r="D1439" s="51" t="n">
        <x:v>40850</x:v>
      </x:c>
      <x:c r="E1439" s="3" t="str">
        <x:v>Recurrente</x:v>
      </x:c>
      <x:c r="F1439" s="13" t="n">
        <x:v>1207.56</x:v>
      </x:c>
      <x:c r="G1439" s="13" t="n">
        <x:v>31.68</x:v>
      </x:c>
      <x:c r="H1439" s="13" t="n">
        <x:f>F1439-G1439</x:f>
        <x:v>1175.8799999999999</x:v>
      </x:c>
      <x:c r="I1439" s="13" t="n">
        <x:f>IF(C1439=0,"n.a.",F1439/C1439)</x:f>
        <x:v>301.89</x:v>
      </x:c>
      <x:c r="J1439" s="3"/>
      <x:c r="K1439" s="3"/>
      <x:c r="L1439" s="3"/>
    </x:row>
    <x:row r="1440" ht="22" customHeight="1">
      <x:c r="A1440" s="3"/>
      <x:c r="B1440" s="3" t="str">
        <x:v>15306</x:v>
      </x:c>
      <x:c r="C1440" s="3" t="n">
        <x:v>3</x:v>
      </x:c>
      <x:c r="D1440" s="51" t="n">
        <x:v>40822</x:v>
      </x:c>
      <x:c r="E1440" s="3" t="str">
        <x:v>Recurrente</x:v>
      </x:c>
      <x:c r="F1440" s="13" t="n">
        <x:v>1174.35</x:v>
      </x:c>
      <x:c r="G1440" s="13" t="n">
        <x:v>0</x:v>
      </x:c>
      <x:c r="H1440" s="13" t="n">
        <x:f>F1440-G1440</x:f>
        <x:v>1174.35</x:v>
      </x:c>
      <x:c r="I1440" s="13" t="n">
        <x:f>IF(C1440=0,"n.a.",F1440/C1440)</x:f>
        <x:v>391.45</x:v>
      </x:c>
      <x:c r="J1440" s="3"/>
      <x:c r="K1440" s="3"/>
      <x:c r="L1440" s="3"/>
    </x:row>
    <x:row r="1441" ht="22" customHeight="1">
      <x:c r="A1441" s="3"/>
      <x:c r="B1441" s="3" t="str">
        <x:v>12526</x:v>
      </x:c>
      <x:c r="C1441" s="3" t="n">
        <x:v>3</x:v>
      </x:c>
      <x:c r="D1441" s="51" t="n">
        <x:v>40886</x:v>
      </x:c>
      <x:c r="E1441" s="3" t="str">
        <x:v>Recurrente</x:v>
      </x:c>
      <x:c r="F1441" s="13" t="n">
        <x:v>1172.66</x:v>
      </x:c>
      <x:c r="G1441" s="13" t="n">
        <x:v>0</x:v>
      </x:c>
      <x:c r="H1441" s="13" t="n">
        <x:f>F1441-G1441</x:f>
        <x:v>1172.66</x:v>
      </x:c>
      <x:c r="I1441" s="13" t="n">
        <x:f>IF(C1441=0,"n.a.",F1441/C1441)</x:f>
        <x:v>390.8866666666667</x:v>
      </x:c>
      <x:c r="J1441" s="3"/>
      <x:c r="K1441" s="3"/>
      <x:c r="L1441" s="3"/>
    </x:row>
    <x:row r="1442" ht="22" customHeight="1">
      <x:c r="A1442" s="3"/>
      <x:c r="B1442" s="3" t="str">
        <x:v>16639</x:v>
      </x:c>
      <x:c r="C1442" s="3" t="n">
        <x:v>3</x:v>
      </x:c>
      <x:c r="D1442" s="51" t="n">
        <x:v>40855</x:v>
      </x:c>
      <x:c r="E1442" s="3" t="str">
        <x:v>Recurrente</x:v>
      </x:c>
      <x:c r="F1442" s="13" t="n">
        <x:v>1257.51</x:v>
      </x:c>
      <x:c r="G1442" s="13" t="n">
        <x:v>88.13</x:v>
      </x:c>
      <x:c r="H1442" s="13" t="n">
        <x:f>F1442-G1442</x:f>
        <x:v>1169.38</x:v>
      </x:c>
      <x:c r="I1442" s="13" t="n">
        <x:f>IF(C1442=0,"n.a.",F1442/C1442)</x:f>
        <x:v>419.17</x:v>
      </x:c>
      <x:c r="J1442" s="3"/>
      <x:c r="K1442" s="3"/>
      <x:c r="L1442" s="3"/>
    </x:row>
    <x:row r="1443" ht="22" customHeight="1">
      <x:c r="A1443" s="3"/>
      <x:c r="B1443" s="3" t="str">
        <x:v>14745</x:v>
      </x:c>
      <x:c r="C1443" s="3" t="n">
        <x:v>5</x:v>
      </x:c>
      <x:c r="D1443" s="51" t="n">
        <x:v>40774</x:v>
      </x:c>
      <x:c r="E1443" s="3" t="str">
        <x:v>Recurrente</x:v>
      </x:c>
      <x:c r="F1443" s="13" t="n">
        <x:v>1220.26</x:v>
      </x:c>
      <x:c r="G1443" s="13" t="n">
        <x:v>53.1</x:v>
      </x:c>
      <x:c r="H1443" s="13" t="n">
        <x:f>F1443-G1443</x:f>
        <x:v>1167.16</x:v>
      </x:c>
      <x:c r="I1443" s="13" t="n">
        <x:f>IF(C1443=0,"n.a.",F1443/C1443)</x:f>
        <x:v>244.052</x:v>
      </x:c>
      <x:c r="J1443" s="3"/>
      <x:c r="K1443" s="3"/>
      <x:c r="L1443" s="3"/>
    </x:row>
    <x:row r="1444" ht="22" customHeight="1">
      <x:c r="A1444" s="3"/>
      <x:c r="B1444" s="3" t="str">
        <x:v>16653</x:v>
      </x:c>
      <x:c r="C1444" s="3" t="n">
        <x:v>2</x:v>
      </x:c>
      <x:c r="D1444" s="51" t="n">
        <x:v>40870</x:v>
      </x:c>
      <x:c r="E1444" s="3" t="str">
        <x:v>Recurrente</x:v>
      </x:c>
      <x:c r="F1444" s="13" t="n">
        <x:v>1212.66</x:v>
      </x:c>
      <x:c r="G1444" s="13" t="n">
        <x:v>45.74</x:v>
      </x:c>
      <x:c r="H1444" s="13" t="n">
        <x:f>F1444-G1444</x:f>
        <x:v>1166.92</x:v>
      </x:c>
      <x:c r="I1444" s="13" t="n">
        <x:f>IF(C1444=0,"n.a.",F1444/C1444)</x:f>
        <x:v>606.33</x:v>
      </x:c>
      <x:c r="J1444" s="3"/>
      <x:c r="K1444" s="3"/>
      <x:c r="L1444" s="3"/>
    </x:row>
    <x:row r="1445" ht="22" customHeight="1">
      <x:c r="A1445" s="3"/>
      <x:c r="B1445" s="3" t="str">
        <x:v>14857</x:v>
      </x:c>
      <x:c r="C1445" s="3" t="n">
        <x:v>2</x:v>
      </x:c>
      <x:c r="D1445" s="51" t="n">
        <x:v>40827</x:v>
      </x:c>
      <x:c r="E1445" s="3" t="str">
        <x:v>Recurrente</x:v>
      </x:c>
      <x:c r="F1445" s="13" t="n">
        <x:v>1173.12</x:v>
      </x:c>
      <x:c r="G1445" s="13" t="n">
        <x:v>7.47</x:v>
      </x:c>
      <x:c r="H1445" s="13" t="n">
        <x:f>F1445-G1445</x:f>
        <x:v>1165.6499999999999</x:v>
      </x:c>
      <x:c r="I1445" s="13" t="n">
        <x:f>IF(C1445=0,"n.a.",F1445/C1445)</x:f>
        <x:v>586.56</x:v>
      </x:c>
      <x:c r="J1445" s="3"/>
      <x:c r="K1445" s="3"/>
      <x:c r="L1445" s="3"/>
    </x:row>
    <x:row r="1446" ht="22" customHeight="1">
      <x:c r="A1446" s="3"/>
      <x:c r="B1446" s="3" t="str">
        <x:v>12463</x:v>
      </x:c>
      <x:c r="C1446" s="3" t="n">
        <x:v>4</x:v>
      </x:c>
      <x:c r="D1446" s="51" t="n">
        <x:v>40833</x:v>
      </x:c>
      <x:c r="E1446" s="3" t="str">
        <x:v>Recurrente</x:v>
      </x:c>
      <x:c r="F1446" s="13" t="n">
        <x:v>1200.78</x:v>
      </x:c>
      <x:c r="G1446" s="13" t="n">
        <x:v>35.15</x:v>
      </x:c>
      <x:c r="H1446" s="13" t="n">
        <x:f>F1446-G1446</x:f>
        <x:v>1165.6299999999999</x:v>
      </x:c>
      <x:c r="I1446" s="13" t="n">
        <x:f>IF(C1446=0,"n.a.",F1446/C1446)</x:f>
        <x:v>300.195</x:v>
      </x:c>
      <x:c r="J1446" s="3"/>
      <x:c r="K1446" s="3"/>
      <x:c r="L1446" s="3"/>
    </x:row>
    <x:row r="1447" ht="22" customHeight="1">
      <x:c r="A1447" s="3"/>
      <x:c r="B1447" s="3" t="str">
        <x:v>14737</x:v>
      </x:c>
      <x:c r="C1447" s="3" t="n">
        <x:v>3</x:v>
      </x:c>
      <x:c r="D1447" s="51" t="n">
        <x:v>40883</x:v>
      </x:c>
      <x:c r="E1447" s="3" t="str">
        <x:v>Recurrente</x:v>
      </x:c>
      <x:c r="F1447" s="13" t="n">
        <x:v>1164.55</x:v>
      </x:c>
      <x:c r="G1447" s="13" t="n">
        <x:v>0</x:v>
      </x:c>
      <x:c r="H1447" s="13" t="n">
        <x:f>F1447-G1447</x:f>
        <x:v>1164.55</x:v>
      </x:c>
      <x:c r="I1447" s="13" t="n">
        <x:f>IF(C1447=0,"n.a.",F1447/C1447)</x:f>
        <x:v>388.18333333333334</x:v>
      </x:c>
      <x:c r="J1447" s="3"/>
      <x:c r="K1447" s="3"/>
      <x:c r="L1447" s="3"/>
    </x:row>
    <x:row r="1448" ht="22" customHeight="1">
      <x:c r="A1448" s="3"/>
      <x:c r="B1448" s="3" t="str">
        <x:v>14261</x:v>
      </x:c>
      <x:c r="C1448" s="3" t="n">
        <x:v>2</x:v>
      </x:c>
      <x:c r="D1448" s="51" t="n">
        <x:v>40836</x:v>
      </x:c>
      <x:c r="E1448" s="3" t="str">
        <x:v>Recurrente</x:v>
      </x:c>
      <x:c r="F1448" s="13" t="n">
        <x:v>1163.45</x:v>
      </x:c>
      <x:c r="G1448" s="13" t="n">
        <x:v>0</x:v>
      </x:c>
      <x:c r="H1448" s="13" t="n">
        <x:f>F1448-G1448</x:f>
        <x:v>1163.45</x:v>
      </x:c>
      <x:c r="I1448" s="13" t="n">
        <x:f>IF(C1448=0,"n.a.",F1448/C1448)</x:f>
        <x:v>581.725</x:v>
      </x:c>
      <x:c r="J1448" s="3"/>
      <x:c r="K1448" s="3"/>
      <x:c r="L1448" s="3"/>
    </x:row>
    <x:row r="1449" ht="22" customHeight="1">
      <x:c r="A1449" s="3"/>
      <x:c r="B1449" s="3" t="str">
        <x:v>14447</x:v>
      </x:c>
      <x:c r="C1449" s="3" t="n">
        <x:v>5</x:v>
      </x:c>
      <x:c r="D1449" s="51" t="n">
        <x:v>40868</x:v>
      </x:c>
      <x:c r="E1449" s="3" t="str">
        <x:v>Recurrente</x:v>
      </x:c>
      <x:c r="F1449" s="13" t="n">
        <x:v>1163.23</x:v>
      </x:c>
      <x:c r="G1449" s="13" t="n">
        <x:v>0</x:v>
      </x:c>
      <x:c r="H1449" s="13" t="n">
        <x:f>F1449-G1449</x:f>
        <x:v>1163.23</x:v>
      </x:c>
      <x:c r="I1449" s="13" t="n">
        <x:f>IF(C1449=0,"n.a.",F1449/C1449)</x:f>
        <x:v>232.64600000000002</x:v>
      </x:c>
      <x:c r="J1449" s="3"/>
      <x:c r="K1449" s="3"/>
      <x:c r="L1449" s="3"/>
    </x:row>
    <x:row r="1450" ht="22" customHeight="1">
      <x:c r="A1450" s="3"/>
      <x:c r="B1450" s="3" t="str">
        <x:v>16949</x:v>
      </x:c>
      <x:c r="C1450" s="3" t="n">
        <x:v>6</x:v>
      </x:c>
      <x:c r="D1450" s="51" t="n">
        <x:v>40883</x:v>
      </x:c>
      <x:c r="E1450" s="3" t="str">
        <x:v>Recurrente</x:v>
      </x:c>
      <x:c r="F1450" s="13" t="n">
        <x:v>1286.27</x:v>
      </x:c>
      <x:c r="G1450" s="13" t="n">
        <x:v>125</x:v>
      </x:c>
      <x:c r="H1450" s="13" t="n">
        <x:f>F1450-G1450</x:f>
        <x:v>1161.27</x:v>
      </x:c>
      <x:c r="I1450" s="13" t="n">
        <x:f>IF(C1450=0,"n.a.",F1450/C1450)</x:f>
        <x:v>214.37833333333333</x:v>
      </x:c>
      <x:c r="J1450" s="3"/>
      <x:c r="K1450" s="3"/>
      <x:c r="L1450" s="3"/>
    </x:row>
    <x:row r="1451" ht="22" customHeight="1">
      <x:c r="A1451" s="3"/>
      <x:c r="B1451" s="3" t="str">
        <x:v>17348</x:v>
      </x:c>
      <x:c r="C1451" s="3" t="n">
        <x:v>5</x:v>
      </x:c>
      <x:c r="D1451" s="51" t="n">
        <x:v>40872</x:v>
      </x:c>
      <x:c r="E1451" s="3" t="str">
        <x:v>Recurrente</x:v>
      </x:c>
      <x:c r="F1451" s="13" t="n">
        <x:v>1159.52</x:v>
      </x:c>
      <x:c r="G1451" s="13" t="n">
        <x:v>0</x:v>
      </x:c>
      <x:c r="H1451" s="13" t="n">
        <x:f>F1451-G1451</x:f>
        <x:v>1159.52</x:v>
      </x:c>
      <x:c r="I1451" s="13" t="n">
        <x:f>IF(C1451=0,"n.a.",F1451/C1451)</x:f>
        <x:v>231.904</x:v>
      </x:c>
      <x:c r="J1451" s="3"/>
      <x:c r="K1451" s="3"/>
      <x:c r="L1451" s="3"/>
    </x:row>
    <x:row r="1452" ht="22" customHeight="1">
      <x:c r="A1452" s="3"/>
      <x:c r="B1452" s="3" t="str">
        <x:v>15621</x:v>
      </x:c>
      <x:c r="C1452" s="3" t="n">
        <x:v>4</x:v>
      </x:c>
      <x:c r="D1452" s="51" t="n">
        <x:v>40882</x:v>
      </x:c>
      <x:c r="E1452" s="3" t="str">
        <x:v>Recurrente</x:v>
      </x:c>
      <x:c r="F1452" s="13" t="n">
        <x:v>1293.03</x:v>
      </x:c>
      <x:c r="G1452" s="13" t="n">
        <x:v>134.26</x:v>
      </x:c>
      <x:c r="H1452" s="13" t="n">
        <x:f>F1452-G1452</x:f>
        <x:v>1158.77</x:v>
      </x:c>
      <x:c r="I1452" s="13" t="n">
        <x:f>IF(C1452=0,"n.a.",F1452/C1452)</x:f>
        <x:v>323.2575</x:v>
      </x:c>
      <x:c r="J1452" s="3"/>
      <x:c r="K1452" s="3"/>
      <x:c r="L1452" s="3"/>
    </x:row>
    <x:row r="1453" ht="22" customHeight="1">
      <x:c r="A1453" s="3"/>
      <x:c r="B1453" s="3" t="str">
        <x:v>12885</x:v>
      </x:c>
      <x:c r="C1453" s="3" t="n">
        <x:v>3</x:v>
      </x:c>
      <x:c r="D1453" s="51" t="n">
        <x:v>40823</x:v>
      </x:c>
      <x:c r="E1453" s="3" t="str">
        <x:v>Recurrente</x:v>
      </x:c>
      <x:c r="F1453" s="13" t="n">
        <x:v>1175.22</x:v>
      </x:c>
      <x:c r="G1453" s="13" t="n">
        <x:v>16.95</x:v>
      </x:c>
      <x:c r="H1453" s="13" t="n">
        <x:f>F1453-G1453</x:f>
        <x:v>1158.27</x:v>
      </x:c>
      <x:c r="I1453" s="13" t="n">
        <x:f>IF(C1453=0,"n.a.",F1453/C1453)</x:f>
        <x:v>391.74</x:v>
      </x:c>
      <x:c r="J1453" s="3"/>
      <x:c r="K1453" s="3"/>
      <x:c r="L1453" s="3"/>
    </x:row>
    <x:row r="1454" ht="22" customHeight="1">
      <x:c r="A1454" s="3"/>
      <x:c r="B1454" s="3" t="str">
        <x:v>13611</x:v>
      </x:c>
      <x:c r="C1454" s="3" t="n">
        <x:v>3</x:v>
      </x:c>
      <x:c r="D1454" s="51" t="n">
        <x:v>40797</x:v>
      </x:c>
      <x:c r="E1454" s="3" t="str">
        <x:v>Recurrente</x:v>
      </x:c>
      <x:c r="F1454" s="13" t="n">
        <x:v>1171.8</x:v>
      </x:c>
      <x:c r="G1454" s="13" t="n">
        <x:v>13.6</x:v>
      </x:c>
      <x:c r="H1454" s="13" t="n">
        <x:f>F1454-G1454</x:f>
        <x:v>1158.2</x:v>
      </x:c>
      <x:c r="I1454" s="13" t="n">
        <x:f>IF(C1454=0,"n.a.",F1454/C1454)</x:f>
        <x:v>390.59999999999997</x:v>
      </x:c>
      <x:c r="J1454" s="3"/>
      <x:c r="K1454" s="3"/>
      <x:c r="L1454" s="3"/>
    </x:row>
    <x:row r="1455" ht="22" customHeight="1">
      <x:c r="A1455" s="3"/>
      <x:c r="B1455" s="3" t="str">
        <x:v>12818</x:v>
      </x:c>
      <x:c r="C1455" s="3" t="n">
        <x:v>1</x:v>
      </x:c>
      <x:c r="D1455" s="51" t="n">
        <x:v>40625</x:v>
      </x:c>
      <x:c r="E1455" s="3" t="str">
        <x:v>Una compra</x:v>
      </x:c>
      <x:c r="F1455" s="13" t="n">
        <x:v>1182.08</x:v>
      </x:c>
      <x:c r="G1455" s="13" t="n">
        <x:v>24.2</x:v>
      </x:c>
      <x:c r="H1455" s="13" t="n">
        <x:f>F1455-G1455</x:f>
        <x:v>1157.8799999999999</x:v>
      </x:c>
      <x:c r="I1455" s="13" t="n">
        <x:f>IF(C1455=0,"n.a.",F1455/C1455)</x:f>
        <x:v>1182.08</x:v>
      </x:c>
      <x:c r="J1455" s="3"/>
      <x:c r="K1455" s="3"/>
      <x:c r="L1455" s="3"/>
    </x:row>
    <x:row r="1456" ht="22" customHeight="1">
      <x:c r="A1456" s="3"/>
      <x:c r="B1456" s="3" t="str">
        <x:v>14723</x:v>
      </x:c>
      <x:c r="C1456" s="3" t="n">
        <x:v>6</x:v>
      </x:c>
      <x:c r="D1456" s="51" t="n">
        <x:v>40876</x:v>
      </x:c>
      <x:c r="E1456" s="3" t="str">
        <x:v>Recurrente</x:v>
      </x:c>
      <x:c r="F1456" s="13" t="n">
        <x:v>1156.6</x:v>
      </x:c>
      <x:c r="G1456" s="13" t="n">
        <x:v>0</x:v>
      </x:c>
      <x:c r="H1456" s="13" t="n">
        <x:f>F1456-G1456</x:f>
        <x:v>1156.6</x:v>
      </x:c>
      <x:c r="I1456" s="13" t="n">
        <x:f>IF(C1456=0,"n.a.",F1456/C1456)</x:f>
        <x:v>192.76666666666665</x:v>
      </x:c>
      <x:c r="J1456" s="3"/>
      <x:c r="K1456" s="3"/>
      <x:c r="L1456" s="3"/>
    </x:row>
    <x:row r="1457" ht="22" customHeight="1">
      <x:c r="A1457" s="3"/>
      <x:c r="B1457" s="3" t="str">
        <x:v>13744</x:v>
      </x:c>
      <x:c r="C1457" s="3" t="n">
        <x:v>2</x:v>
      </x:c>
      <x:c r="D1457" s="51" t="n">
        <x:v>40791</x:v>
      </x:c>
      <x:c r="E1457" s="3" t="str">
        <x:v>Recurrente</x:v>
      </x:c>
      <x:c r="F1457" s="13" t="n">
        <x:v>1156.36</x:v>
      </x:c>
      <x:c r="G1457" s="13" t="n">
        <x:v>0</x:v>
      </x:c>
      <x:c r="H1457" s="13" t="n">
        <x:f>F1457-G1457</x:f>
        <x:v>1156.36</x:v>
      </x:c>
      <x:c r="I1457" s="13" t="n">
        <x:f>IF(C1457=0,"n.a.",F1457/C1457)</x:f>
        <x:v>578.18</x:v>
      </x:c>
      <x:c r="J1457" s="3"/>
      <x:c r="K1457" s="3"/>
      <x:c r="L1457" s="3"/>
    </x:row>
    <x:row r="1458" ht="22" customHeight="1">
      <x:c r="A1458" s="3"/>
      <x:c r="B1458" s="3" t="str">
        <x:v>16184</x:v>
      </x:c>
      <x:c r="C1458" s="3" t="n">
        <x:v>6</x:v>
      </x:c>
      <x:c r="D1458" s="51" t="n">
        <x:v>40822</x:v>
      </x:c>
      <x:c r="E1458" s="3" t="str">
        <x:v>Recurrente</x:v>
      </x:c>
      <x:c r="F1458" s="13" t="n">
        <x:v>1158.79</x:v>
      </x:c>
      <x:c r="G1458" s="13" t="n">
        <x:v>3.25</x:v>
      </x:c>
      <x:c r="H1458" s="13" t="n">
        <x:f>F1458-G1458</x:f>
        <x:v>1155.54</x:v>
      </x:c>
      <x:c r="I1458" s="13" t="n">
        <x:f>IF(C1458=0,"n.a.",F1458/C1458)</x:f>
        <x:v>193.13166666666666</x:v>
      </x:c>
      <x:c r="J1458" s="3"/>
      <x:c r="K1458" s="3"/>
      <x:c r="L1458" s="3"/>
    </x:row>
    <x:row r="1459" ht="22" customHeight="1">
      <x:c r="A1459" s="3"/>
      <x:c r="B1459" s="3" t="str">
        <x:v>13813</x:v>
      </x:c>
      <x:c r="C1459" s="3" t="n">
        <x:v>4</x:v>
      </x:c>
      <x:c r="D1459" s="51" t="n">
        <x:v>40847</x:v>
      </x:c>
      <x:c r="E1459" s="3" t="str">
        <x:v>Recurrente</x:v>
      </x:c>
      <x:c r="F1459" s="13" t="n">
        <x:v>1168.86</x:v>
      </x:c>
      <x:c r="G1459" s="13" t="n">
        <x:v>13.45</x:v>
      </x:c>
      <x:c r="H1459" s="13" t="n">
        <x:f>F1459-G1459</x:f>
        <x:v>1155.4099999999999</x:v>
      </x:c>
      <x:c r="I1459" s="13" t="n">
        <x:f>IF(C1459=0,"n.a.",F1459/C1459)</x:f>
        <x:v>292.215</x:v>
      </x:c>
      <x:c r="J1459" s="3"/>
      <x:c r="K1459" s="3"/>
      <x:c r="L1459" s="3"/>
    </x:row>
    <x:row r="1460" ht="22" customHeight="1">
      <x:c r="A1460" s="3"/>
      <x:c r="B1460" s="3" t="str">
        <x:v>16062</x:v>
      </x:c>
      <x:c r="C1460" s="3" t="n">
        <x:v>4</x:v>
      </x:c>
      <x:c r="D1460" s="51" t="n">
        <x:v>40877</x:v>
      </x:c>
      <x:c r="E1460" s="3" t="str">
        <x:v>Recurrente</x:v>
      </x:c>
      <x:c r="F1460" s="13" t="n">
        <x:v>1153.62</x:v>
      </x:c>
      <x:c r="G1460" s="13" t="n">
        <x:v>0</x:v>
      </x:c>
      <x:c r="H1460" s="13" t="n">
        <x:f>F1460-G1460</x:f>
        <x:v>1153.62</x:v>
      </x:c>
      <x:c r="I1460" s="13" t="n">
        <x:f>IF(C1460=0,"n.a.",F1460/C1460)</x:f>
        <x:v>288.405</x:v>
      </x:c>
      <x:c r="J1460" s="3"/>
      <x:c r="K1460" s="3"/>
      <x:c r="L1460" s="3"/>
    </x:row>
    <x:row r="1461" ht="22" customHeight="1">
      <x:c r="A1461" s="3"/>
      <x:c r="B1461" s="3" t="str">
        <x:v>15108</x:v>
      </x:c>
      <x:c r="C1461" s="3" t="n">
        <x:v>3</x:v>
      </x:c>
      <x:c r="D1461" s="51" t="n">
        <x:v>40745</x:v>
      </x:c>
      <x:c r="E1461" s="3" t="str">
        <x:v>Recurrente</x:v>
      </x:c>
      <x:c r="F1461" s="13" t="n">
        <x:v>1159.25</x:v>
      </x:c>
      <x:c r="G1461" s="13" t="n">
        <x:v>8.5</x:v>
      </x:c>
      <x:c r="H1461" s="13" t="n">
        <x:f>F1461-G1461</x:f>
        <x:v>1150.75</x:v>
      </x:c>
      <x:c r="I1461" s="13" t="n">
        <x:f>IF(C1461=0,"n.a.",F1461/C1461)</x:f>
        <x:v>386.4166666666667</x:v>
      </x:c>
      <x:c r="J1461" s="3"/>
      <x:c r="K1461" s="3"/>
      <x:c r="L1461" s="3"/>
    </x:row>
    <x:row r="1462" ht="22" customHeight="1">
      <x:c r="A1462" s="3"/>
      <x:c r="B1462" s="3" t="str">
        <x:v>16042</x:v>
      </x:c>
      <x:c r="C1462" s="3" t="n">
        <x:v>5</x:v>
      </x:c>
      <x:c r="D1462" s="51" t="n">
        <x:v>40864</x:v>
      </x:c>
      <x:c r="E1462" s="3" t="str">
        <x:v>Recurrente</x:v>
      </x:c>
      <x:c r="F1462" s="13" t="n">
        <x:v>1197.27</x:v>
      </x:c>
      <x:c r="G1462" s="13" t="n">
        <x:v>49.9</x:v>
      </x:c>
      <x:c r="H1462" s="13" t="n">
        <x:f>F1462-G1462</x:f>
        <x:v>1147.37</x:v>
      </x:c>
      <x:c r="I1462" s="13" t="n">
        <x:f>IF(C1462=0,"n.a.",F1462/C1462)</x:f>
        <x:v>239.454</x:v>
      </x:c>
      <x:c r="J1462" s="3"/>
      <x:c r="K1462" s="3"/>
      <x:c r="L1462" s="3"/>
    </x:row>
    <x:row r="1463" ht="22" customHeight="1">
      <x:c r="A1463" s="3"/>
      <x:c r="B1463" s="3" t="str">
        <x:v>13499</x:v>
      </x:c>
      <x:c r="C1463" s="3" t="n">
        <x:v>5</x:v>
      </x:c>
      <x:c r="D1463" s="51" t="n">
        <x:v>40869</x:v>
      </x:c>
      <x:c r="E1463" s="3" t="str">
        <x:v>Recurrente</x:v>
      </x:c>
      <x:c r="F1463" s="13" t="n">
        <x:v>1159.11</x:v>
      </x:c>
      <x:c r="G1463" s="13" t="n">
        <x:v>12.15</x:v>
      </x:c>
      <x:c r="H1463" s="13" t="n">
        <x:f>F1463-G1463</x:f>
        <x:v>1146.9599999999998</x:v>
      </x:c>
      <x:c r="I1463" s="13" t="n">
        <x:f>IF(C1463=0,"n.a.",F1463/C1463)</x:f>
        <x:v>231.82199999999997</x:v>
      </x:c>
      <x:c r="J1463" s="3"/>
      <x:c r="K1463" s="3"/>
      <x:c r="L1463" s="3"/>
    </x:row>
    <x:row r="1464" ht="22" customHeight="1">
      <x:c r="A1464" s="3"/>
      <x:c r="B1464" s="3" t="str">
        <x:v>17505</x:v>
      </x:c>
      <x:c r="C1464" s="3" t="n">
        <x:v>2</x:v>
      </x:c>
      <x:c r="D1464" s="51" t="n">
        <x:v>40725</x:v>
      </x:c>
      <x:c r="E1464" s="3" t="str">
        <x:v>Recurrente</x:v>
      </x:c>
      <x:c r="F1464" s="13" t="n">
        <x:v>1145.84</x:v>
      </x:c>
      <x:c r="G1464" s="13" t="n">
        <x:v>0</x:v>
      </x:c>
      <x:c r="H1464" s="13" t="n">
        <x:f>F1464-G1464</x:f>
        <x:v>1145.84</x:v>
      </x:c>
      <x:c r="I1464" s="13" t="n">
        <x:f>IF(C1464=0,"n.a.",F1464/C1464)</x:f>
        <x:v>572.92</x:v>
      </x:c>
      <x:c r="J1464" s="3"/>
      <x:c r="K1464" s="3"/>
      <x:c r="L1464" s="3"/>
    </x:row>
    <x:row r="1465" ht="22" customHeight="1">
      <x:c r="A1465" s="3"/>
      <x:c r="B1465" s="3" t="str">
        <x:v>16766</x:v>
      </x:c>
      <x:c r="C1465" s="3" t="n">
        <x:v>2</x:v>
      </x:c>
      <x:c r="D1465" s="51" t="n">
        <x:v>40613</x:v>
      </x:c>
      <x:c r="E1465" s="3" t="str">
        <x:v>Recurrente</x:v>
      </x:c>
      <x:c r="F1465" s="13" t="n">
        <x:v>1145.6</x:v>
      </x:c>
      <x:c r="G1465" s="13" t="n">
        <x:v>0</x:v>
      </x:c>
      <x:c r="H1465" s="13" t="n">
        <x:f>F1465-G1465</x:f>
        <x:v>1145.6</x:v>
      </x:c>
      <x:c r="I1465" s="13" t="n">
        <x:f>IF(C1465=0,"n.a.",F1465/C1465)</x:f>
        <x:v>572.8</x:v>
      </x:c>
      <x:c r="J1465" s="3"/>
      <x:c r="K1465" s="3"/>
      <x:c r="L1465" s="3"/>
    </x:row>
    <x:row r="1466" ht="22" customHeight="1">
      <x:c r="A1466" s="3"/>
      <x:c r="B1466" s="3" t="str">
        <x:v>15810</x:v>
      </x:c>
      <x:c r="C1466" s="3" t="n">
        <x:v>4</x:v>
      </x:c>
      <x:c r="D1466" s="51" t="n">
        <x:v>40808</x:v>
      </x:c>
      <x:c r="E1466" s="3" t="str">
        <x:v>Recurrente</x:v>
      </x:c>
      <x:c r="F1466" s="13" t="n">
        <x:v>1391.98</x:v>
      </x:c>
      <x:c r="G1466" s="13" t="n">
        <x:v>246.55</x:v>
      </x:c>
      <x:c r="H1466" s="13" t="n">
        <x:f>F1466-G1466</x:f>
        <x:v>1145.43</x:v>
      </x:c>
      <x:c r="I1466" s="13" t="n">
        <x:f>IF(C1466=0,"n.a.",F1466/C1466)</x:f>
        <x:v>347.995</x:v>
      </x:c>
      <x:c r="J1466" s="3"/>
      <x:c r="K1466" s="3"/>
      <x:c r="L1466" s="3"/>
    </x:row>
    <x:row r="1467" ht="22" customHeight="1">
      <x:c r="A1467" s="3"/>
      <x:c r="B1467" s="3" t="str">
        <x:v>12769</x:v>
      </x:c>
      <x:c r="C1467" s="3" t="n">
        <x:v>1</x:v>
      </x:c>
      <x:c r="D1467" s="51" t="n">
        <x:v>40648</x:v>
      </x:c>
      <x:c r="E1467" s="3" t="str">
        <x:v>Una compra</x:v>
      </x:c>
      <x:c r="F1467" s="13" t="n">
        <x:v>1143.6</x:v>
      </x:c>
      <x:c r="G1467" s="13" t="n">
        <x:v>0</x:v>
      </x:c>
      <x:c r="H1467" s="13" t="n">
        <x:f>F1467-G1467</x:f>
        <x:v>1143.6</x:v>
      </x:c>
      <x:c r="I1467" s="13" t="n">
        <x:f>IF(C1467=0,"n.a.",F1467/C1467)</x:f>
        <x:v>1143.6</x:v>
      </x:c>
      <x:c r="J1467" s="3"/>
      <x:c r="K1467" s="3"/>
      <x:c r="L1467" s="3"/>
    </x:row>
    <x:row r="1468" ht="22" customHeight="1">
      <x:c r="A1468" s="3"/>
      <x:c r="B1468" s="3" t="str">
        <x:v>17770</x:v>
      </x:c>
      <x:c r="C1468" s="3" t="n">
        <x:v>5</x:v>
      </x:c>
      <x:c r="D1468" s="51" t="n">
        <x:v>40688</x:v>
      </x:c>
      <x:c r="E1468" s="3" t="str">
        <x:v>Recurrente</x:v>
      </x:c>
      <x:c r="F1468" s="13" t="n">
        <x:v>1143.27</x:v>
      </x:c>
      <x:c r="G1468" s="13" t="n">
        <x:v>0</x:v>
      </x:c>
      <x:c r="H1468" s="13" t="n">
        <x:f>F1468-G1468</x:f>
        <x:v>1143.27</x:v>
      </x:c>
      <x:c r="I1468" s="13" t="n">
        <x:f>IF(C1468=0,"n.a.",F1468/C1468)</x:f>
        <x:v>228.654</x:v>
      </x:c>
      <x:c r="J1468" s="3"/>
      <x:c r="K1468" s="3"/>
      <x:c r="L1468" s="3"/>
    </x:row>
    <x:row r="1469" ht="22" customHeight="1">
      <x:c r="A1469" s="3"/>
      <x:c r="B1469" s="3" t="str">
        <x:v>12412</x:v>
      </x:c>
      <x:c r="C1469" s="3" t="n">
        <x:v>3</x:v>
      </x:c>
      <x:c r="D1469" s="51" t="n">
        <x:v>40812</x:v>
      </x:c>
      <x:c r="E1469" s="3" t="str">
        <x:v>Recurrente</x:v>
      </x:c>
      <x:c r="F1469" s="13" t="n">
        <x:v>1142.88</x:v>
      </x:c>
      <x:c r="G1469" s="13" t="n">
        <x:v>0</x:v>
      </x:c>
      <x:c r="H1469" s="13" t="n">
        <x:f>F1469-G1469</x:f>
        <x:v>1142.88</x:v>
      </x:c>
      <x:c r="I1469" s="13" t="n">
        <x:f>IF(C1469=0,"n.a.",F1469/C1469)</x:f>
        <x:v>380.96000000000004</x:v>
      </x:c>
      <x:c r="J1469" s="3"/>
      <x:c r="K1469" s="3"/>
      <x:c r="L1469" s="3"/>
    </x:row>
    <x:row r="1470" ht="22" customHeight="1">
      <x:c r="A1470" s="3"/>
      <x:c r="B1470" s="3" t="str">
        <x:v>18125</x:v>
      </x:c>
      <x:c r="C1470" s="3" t="n">
        <x:v>4</x:v>
      </x:c>
      <x:c r="D1470" s="51" t="n">
        <x:v>40857</x:v>
      </x:c>
      <x:c r="E1470" s="3" t="str">
        <x:v>Recurrente</x:v>
      </x:c>
      <x:c r="F1470" s="13" t="n">
        <x:v>1142.99</x:v>
      </x:c>
      <x:c r="G1470" s="13" t="n">
        <x:v>1.65</x:v>
      </x:c>
      <x:c r="H1470" s="13" t="n">
        <x:f>F1470-G1470</x:f>
        <x:v>1141.34</x:v>
      </x:c>
      <x:c r="I1470" s="13" t="n">
        <x:f>IF(C1470=0,"n.a.",F1470/C1470)</x:f>
        <x:v>285.7475</x:v>
      </x:c>
      <x:c r="J1470" s="3"/>
      <x:c r="K1470" s="3"/>
      <x:c r="L1470" s="3"/>
    </x:row>
    <x:row r="1471" ht="22" customHeight="1">
      <x:c r="A1471" s="3"/>
      <x:c r="B1471" s="3" t="str">
        <x:v>16270</x:v>
      </x:c>
      <x:c r="C1471" s="3" t="n">
        <x:v>1</x:v>
      </x:c>
      <x:c r="D1471" s="51" t="n">
        <x:v>40533</x:v>
      </x:c>
      <x:c r="E1471" s="3" t="str">
        <x:v>Una compra</x:v>
      </x:c>
      <x:c r="F1471" s="13" t="n">
        <x:v>1141.24</x:v>
      </x:c>
      <x:c r="G1471" s="13" t="n">
        <x:v>0</x:v>
      </x:c>
      <x:c r="H1471" s="13" t="n">
        <x:f>F1471-G1471</x:f>
        <x:v>1141.24</x:v>
      </x:c>
      <x:c r="I1471" s="13" t="n">
        <x:f>IF(C1471=0,"n.a.",F1471/C1471)</x:f>
        <x:v>1141.24</x:v>
      </x:c>
      <x:c r="J1471" s="3"/>
      <x:c r="K1471" s="3"/>
      <x:c r="L1471" s="3"/>
    </x:row>
    <x:row r="1472" ht="22" customHeight="1">
      <x:c r="A1472" s="3"/>
      <x:c r="B1472" s="3" t="str">
        <x:v>13330</x:v>
      </x:c>
      <x:c r="C1472" s="3" t="n">
        <x:v>3</x:v>
      </x:c>
      <x:c r="D1472" s="51" t="n">
        <x:v>40794</x:v>
      </x:c>
      <x:c r="E1472" s="3" t="str">
        <x:v>Recurrente</x:v>
      </x:c>
      <x:c r="F1472" s="13" t="n">
        <x:v>1140.93</x:v>
      </x:c>
      <x:c r="G1472" s="13" t="n">
        <x:v>0</x:v>
      </x:c>
      <x:c r="H1472" s="13" t="n">
        <x:f>F1472-G1472</x:f>
        <x:v>1140.93</x:v>
      </x:c>
      <x:c r="I1472" s="13" t="n">
        <x:f>IF(C1472=0,"n.a.",F1472/C1472)</x:f>
        <x:v>380.31</x:v>
      </x:c>
      <x:c r="J1472" s="3"/>
      <x:c r="K1472" s="3"/>
      <x:c r="L1472" s="3"/>
    </x:row>
    <x:row r="1473" ht="22" customHeight="1">
      <x:c r="A1473" s="3"/>
      <x:c r="B1473" s="3" t="str">
        <x:v>13819</x:v>
      </x:c>
      <x:c r="C1473" s="3" t="n">
        <x:v>3</x:v>
      </x:c>
      <x:c r="D1473" s="51" t="n">
        <x:v>40585</x:v>
      </x:c>
      <x:c r="E1473" s="3" t="str">
        <x:v>Recurrente</x:v>
      </x:c>
      <x:c r="F1473" s="13" t="n">
        <x:v>1140.35</x:v>
      </x:c>
      <x:c r="G1473" s="13" t="n">
        <x:v>0</x:v>
      </x:c>
      <x:c r="H1473" s="13" t="n">
        <x:f>F1473-G1473</x:f>
        <x:v>1140.35</x:v>
      </x:c>
      <x:c r="I1473" s="13" t="n">
        <x:f>IF(C1473=0,"n.a.",F1473/C1473)</x:f>
        <x:v>380.1166666666666</x:v>
      </x:c>
      <x:c r="J1473" s="3"/>
      <x:c r="K1473" s="3"/>
      <x:c r="L1473" s="3"/>
    </x:row>
    <x:row r="1474" ht="22" customHeight="1">
      <x:c r="A1474" s="3"/>
      <x:c r="B1474" s="3" t="str">
        <x:v>15088</x:v>
      </x:c>
      <x:c r="C1474" s="3" t="n">
        <x:v>2</x:v>
      </x:c>
      <x:c r="D1474" s="51" t="n">
        <x:v>40865</x:v>
      </x:c>
      <x:c r="E1474" s="3" t="str">
        <x:v>Recurrente</x:v>
      </x:c>
      <x:c r="F1474" s="13" t="n">
        <x:v>1160.07</x:v>
      </x:c>
      <x:c r="G1474" s="13" t="n">
        <x:v>19.8</x:v>
      </x:c>
      <x:c r="H1474" s="13" t="n">
        <x:f>F1474-G1474</x:f>
        <x:v>1140.27</x:v>
      </x:c>
      <x:c r="I1474" s="13" t="n">
        <x:f>IF(C1474=0,"n.a.",F1474/C1474)</x:f>
        <x:v>580.035</x:v>
      </x:c>
      <x:c r="J1474" s="3"/>
      <x:c r="K1474" s="3"/>
      <x:c r="L1474" s="3"/>
    </x:row>
    <x:row r="1475" ht="22" customHeight="1">
      <x:c r="A1475" s="3"/>
      <x:c r="B1475" s="3" t="str">
        <x:v>16172</x:v>
      </x:c>
      <x:c r="C1475" s="3" t="n">
        <x:v>5</x:v>
      </x:c>
      <x:c r="D1475" s="51" t="n">
        <x:v>40791</x:v>
      </x:c>
      <x:c r="E1475" s="3" t="str">
        <x:v>Recurrente</x:v>
      </x:c>
      <x:c r="F1475" s="13" t="n">
        <x:v>1140.21</x:v>
      </x:c>
      <x:c r="G1475" s="13" t="n">
        <x:v>0</x:v>
      </x:c>
      <x:c r="H1475" s="13" t="n">
        <x:f>F1475-G1475</x:f>
        <x:v>1140.21</x:v>
      </x:c>
      <x:c r="I1475" s="13" t="n">
        <x:f>IF(C1475=0,"n.a.",F1475/C1475)</x:f>
        <x:v>228.042</x:v>
      </x:c>
      <x:c r="J1475" s="3"/>
      <x:c r="K1475" s="3"/>
      <x:c r="L1475" s="3"/>
    </x:row>
    <x:row r="1476" ht="22" customHeight="1">
      <x:c r="A1476" s="3"/>
      <x:c r="B1476" s="3" t="str">
        <x:v>17135</x:v>
      </x:c>
      <x:c r="C1476" s="3" t="n">
        <x:v>7</x:v>
      </x:c>
      <x:c r="D1476" s="51" t="n">
        <x:v>40870</x:v>
      </x:c>
      <x:c r="E1476" s="3" t="str">
        <x:v>Recurrente</x:v>
      </x:c>
      <x:c r="F1476" s="13" t="n">
        <x:v>1139.73</x:v>
      </x:c>
      <x:c r="G1476" s="13" t="n">
        <x:v>0</x:v>
      </x:c>
      <x:c r="H1476" s="13" t="n">
        <x:f>F1476-G1476</x:f>
        <x:v>1139.73</x:v>
      </x:c>
      <x:c r="I1476" s="13" t="n">
        <x:f>IF(C1476=0,"n.a.",F1476/C1476)</x:f>
        <x:v>162.81857142857143</x:v>
      </x:c>
      <x:c r="J1476" s="3"/>
      <x:c r="K1476" s="3"/>
      <x:c r="L1476" s="3"/>
    </x:row>
    <x:row r="1477" ht="22" customHeight="1">
      <x:c r="A1477" s="3"/>
      <x:c r="B1477" s="3" t="str">
        <x:v>12689</x:v>
      </x:c>
      <x:c r="C1477" s="3" t="n">
        <x:v>2</x:v>
      </x:c>
      <x:c r="D1477" s="51" t="n">
        <x:v>40861</x:v>
      </x:c>
      <x:c r="E1477" s="3" t="str">
        <x:v>Recurrente</x:v>
      </x:c>
      <x:c r="F1477" s="13" t="n">
        <x:v>1139.61</x:v>
      </x:c>
      <x:c r="G1477" s="13" t="n">
        <x:v>0</x:v>
      </x:c>
      <x:c r="H1477" s="13" t="n">
        <x:f>F1477-G1477</x:f>
        <x:v>1139.61</x:v>
      </x:c>
      <x:c r="I1477" s="13" t="n">
        <x:f>IF(C1477=0,"n.a.",F1477/C1477)</x:f>
        <x:v>569.805</x:v>
      </x:c>
      <x:c r="J1477" s="3"/>
      <x:c r="K1477" s="3"/>
      <x:c r="L1477" s="3"/>
    </x:row>
    <x:row r="1478" ht="22" customHeight="1">
      <x:c r="A1478" s="3"/>
      <x:c r="B1478" s="3" t="str">
        <x:v>17500</x:v>
      </x:c>
      <x:c r="C1478" s="3" t="n">
        <x:v>3</x:v>
      </x:c>
      <x:c r="D1478" s="51" t="n">
        <x:v>40869</x:v>
      </x:c>
      <x:c r="E1478" s="3" t="str">
        <x:v>Recurrente</x:v>
      </x:c>
      <x:c r="F1478" s="13" t="n">
        <x:v>1138</x:v>
      </x:c>
      <x:c r="G1478" s="13" t="n">
        <x:v>0</x:v>
      </x:c>
      <x:c r="H1478" s="13" t="n">
        <x:f>F1478-G1478</x:f>
        <x:v>1138</x:v>
      </x:c>
      <x:c r="I1478" s="13" t="n">
        <x:f>IF(C1478=0,"n.a.",F1478/C1478)</x:f>
        <x:v>379.3333333333333</x:v>
      </x:c>
      <x:c r="J1478" s="3"/>
      <x:c r="K1478" s="3"/>
      <x:c r="L1478" s="3"/>
    </x:row>
    <x:row r="1479" ht="22" customHeight="1">
      <x:c r="A1479" s="3"/>
      <x:c r="B1479" s="3" t="str">
        <x:v>13500</x:v>
      </x:c>
      <x:c r="C1479" s="3" t="n">
        <x:v>3</x:v>
      </x:c>
      <x:c r="D1479" s="51" t="n">
        <x:v>40863</x:v>
      </x:c>
      <x:c r="E1479" s="3" t="str">
        <x:v>Recurrente</x:v>
      </x:c>
      <x:c r="F1479" s="13" t="n">
        <x:v>1166.77</x:v>
      </x:c>
      <x:c r="G1479" s="13" t="n">
        <x:v>30</x:v>
      </x:c>
      <x:c r="H1479" s="13" t="n">
        <x:f>F1479-G1479</x:f>
        <x:v>1136.77</x:v>
      </x:c>
      <x:c r="I1479" s="13" t="n">
        <x:f>IF(C1479=0,"n.a.",F1479/C1479)</x:f>
        <x:v>388.92333333333335</x:v>
      </x:c>
      <x:c r="J1479" s="3"/>
      <x:c r="K1479" s="3"/>
      <x:c r="L1479" s="3"/>
    </x:row>
    <x:row r="1480" ht="22" customHeight="1">
      <x:c r="A1480" s="3"/>
      <x:c r="B1480" s="3" t="str">
        <x:v>17242</x:v>
      </x:c>
      <x:c r="C1480" s="3" t="n">
        <x:v>2</x:v>
      </x:c>
      <x:c r="D1480" s="51" t="n">
        <x:v>40778</x:v>
      </x:c>
      <x:c r="E1480" s="3" t="str">
        <x:v>Recurrente</x:v>
      </x:c>
      <x:c r="F1480" s="13" t="n">
        <x:v>1135.04</x:v>
      </x:c>
      <x:c r="G1480" s="13" t="n">
        <x:v>0</x:v>
      </x:c>
      <x:c r="H1480" s="13" t="n">
        <x:f>F1480-G1480</x:f>
        <x:v>1135.04</x:v>
      </x:c>
      <x:c r="I1480" s="13" t="n">
        <x:f>IF(C1480=0,"n.a.",F1480/C1480)</x:f>
        <x:v>567.52</x:v>
      </x:c>
      <x:c r="J1480" s="3"/>
      <x:c r="K1480" s="3"/>
      <x:c r="L1480" s="3"/>
    </x:row>
    <x:row r="1481" ht="22" customHeight="1">
      <x:c r="A1481" s="3"/>
      <x:c r="B1481" s="3" t="str">
        <x:v>18168</x:v>
      </x:c>
      <x:c r="C1481" s="3" t="n">
        <x:v>6</x:v>
      </x:c>
      <x:c r="D1481" s="51" t="n">
        <x:v>40710</x:v>
      </x:c>
      <x:c r="E1481" s="3" t="str">
        <x:v>Recurrente</x:v>
      </x:c>
      <x:c r="F1481" s="13" t="n">
        <x:v>1169.94</x:v>
      </x:c>
      <x:c r="G1481" s="13" t="n">
        <x:v>36.3</x:v>
      </x:c>
      <x:c r="H1481" s="13" t="n">
        <x:f>F1481-G1481</x:f>
        <x:v>1133.64</x:v>
      </x:c>
      <x:c r="I1481" s="13" t="n">
        <x:f>IF(C1481=0,"n.a.",F1481/C1481)</x:f>
        <x:v>194.99</x:v>
      </x:c>
      <x:c r="J1481" s="3"/>
      <x:c r="K1481" s="3"/>
      <x:c r="L1481" s="3"/>
    </x:row>
    <x:row r="1482" ht="22" customHeight="1">
      <x:c r="A1482" s="3"/>
      <x:c r="B1482" s="3" t="str">
        <x:v>16989</x:v>
      </x:c>
      <x:c r="C1482" s="3" t="n">
        <x:v>6</x:v>
      </x:c>
      <x:c r="D1482" s="51" t="n">
        <x:v>40879</x:v>
      </x:c>
      <x:c r="E1482" s="3" t="str">
        <x:v>Recurrente</x:v>
      </x:c>
      <x:c r="F1482" s="13" t="n">
        <x:v>1133.25</x:v>
      </x:c>
      <x:c r="G1482" s="13" t="n">
        <x:v>0</x:v>
      </x:c>
      <x:c r="H1482" s="13" t="n">
        <x:f>F1482-G1482</x:f>
        <x:v>1133.25</x:v>
      </x:c>
      <x:c r="I1482" s="13" t="n">
        <x:f>IF(C1482=0,"n.a.",F1482/C1482)</x:f>
        <x:v>188.875</x:v>
      </x:c>
      <x:c r="J1482" s="3"/>
      <x:c r="K1482" s="3"/>
      <x:c r="L1482" s="3"/>
    </x:row>
    <x:row r="1483" ht="22" customHeight="1">
      <x:c r="A1483" s="3"/>
      <x:c r="B1483" s="3" t="str">
        <x:v>17585</x:v>
      </x:c>
      <x:c r="C1483" s="3" t="n">
        <x:v>4</x:v>
      </x:c>
      <x:c r="D1483" s="51" t="n">
        <x:v>40777</x:v>
      </x:c>
      <x:c r="E1483" s="3" t="str">
        <x:v>Recurrente</x:v>
      </x:c>
      <x:c r="F1483" s="13" t="n">
        <x:v>1133.07</x:v>
      </x:c>
      <x:c r="G1483" s="13" t="n">
        <x:v>0</x:v>
      </x:c>
      <x:c r="H1483" s="13" t="n">
        <x:f>F1483-G1483</x:f>
        <x:v>1133.07</x:v>
      </x:c>
      <x:c r="I1483" s="13" t="n">
        <x:f>IF(C1483=0,"n.a.",F1483/C1483)</x:f>
        <x:v>283.2675</x:v>
      </x:c>
      <x:c r="J1483" s="3"/>
      <x:c r="K1483" s="3"/>
      <x:c r="L1483" s="3"/>
    </x:row>
    <x:row r="1484" ht="22" customHeight="1">
      <x:c r="A1484" s="3"/>
      <x:c r="B1484" s="3" t="str">
        <x:v>13772</x:v>
      </x:c>
      <x:c r="C1484" s="3" t="n">
        <x:v>3</x:v>
      </x:c>
      <x:c r="D1484" s="51" t="n">
        <x:v>40853</x:v>
      </x:c>
      <x:c r="E1484" s="3" t="str">
        <x:v>Recurrente</x:v>
      </x:c>
      <x:c r="F1484" s="13" t="n">
        <x:v>1132.13</x:v>
      </x:c>
      <x:c r="G1484" s="13" t="n">
        <x:v>0</x:v>
      </x:c>
      <x:c r="H1484" s="13" t="n">
        <x:f>F1484-G1484</x:f>
        <x:v>1132.13</x:v>
      </x:c>
      <x:c r="I1484" s="13" t="n">
        <x:f>IF(C1484=0,"n.a.",F1484/C1484)</x:f>
        <x:v>377.3766666666667</x:v>
      </x:c>
      <x:c r="J1484" s="3"/>
      <x:c r="K1484" s="3"/>
      <x:c r="L1484" s="3"/>
    </x:row>
    <x:row r="1485" ht="22" customHeight="1">
      <x:c r="A1485" s="3"/>
      <x:c r="B1485" s="3" t="str">
        <x:v>15500</x:v>
      </x:c>
      <x:c r="C1485" s="3" t="n">
        <x:v>4</x:v>
      </x:c>
      <x:c r="D1485" s="51" t="n">
        <x:v>40878</x:v>
      </x:c>
      <x:c r="E1485" s="3" t="str">
        <x:v>Recurrente</x:v>
      </x:c>
      <x:c r="F1485" s="13" t="n">
        <x:v>1131.56</x:v>
      </x:c>
      <x:c r="G1485" s="13" t="n">
        <x:v>0</x:v>
      </x:c>
      <x:c r="H1485" s="13" t="n">
        <x:f>F1485-G1485</x:f>
        <x:v>1131.56</x:v>
      </x:c>
      <x:c r="I1485" s="13" t="n">
        <x:f>IF(C1485=0,"n.a.",F1485/C1485)</x:f>
        <x:v>282.89</x:v>
      </x:c>
      <x:c r="J1485" s="3"/>
      <x:c r="K1485" s="3"/>
      <x:c r="L1485" s="3"/>
    </x:row>
    <x:row r="1486" ht="22" customHeight="1">
      <x:c r="A1486" s="3"/>
      <x:c r="B1486" s="3" t="str">
        <x:v>13882</x:v>
      </x:c>
      <x:c r="C1486" s="3" t="n">
        <x:v>5</x:v>
      </x:c>
      <x:c r="D1486" s="51" t="n">
        <x:v>40884</x:v>
      </x:c>
      <x:c r="E1486" s="3" t="str">
        <x:v>Recurrente</x:v>
      </x:c>
      <x:c r="F1486" s="13" t="n">
        <x:v>1191.13</x:v>
      </x:c>
      <x:c r="G1486" s="13" t="n">
        <x:v>59.85</x:v>
      </x:c>
      <x:c r="H1486" s="13" t="n">
        <x:f>F1486-G1486</x:f>
        <x:v>1131.2800000000002</x:v>
      </x:c>
      <x:c r="I1486" s="13" t="n">
        <x:f>IF(C1486=0,"n.a.",F1486/C1486)</x:f>
        <x:v>238.22600000000003</x:v>
      </x:c>
      <x:c r="J1486" s="3"/>
      <x:c r="K1486" s="3"/>
      <x:c r="L1486" s="3"/>
    </x:row>
    <x:row r="1487" ht="22" customHeight="1">
      <x:c r="A1487" s="3"/>
      <x:c r="B1487" s="3" t="str">
        <x:v>14824</x:v>
      </x:c>
      <x:c r="C1487" s="3" t="n">
        <x:v>4</x:v>
      </x:c>
      <x:c r="D1487" s="51" t="n">
        <x:v>40876</x:v>
      </x:c>
      <x:c r="E1487" s="3" t="str">
        <x:v>Recurrente</x:v>
      </x:c>
      <x:c r="F1487" s="13" t="n">
        <x:v>1127.71</x:v>
      </x:c>
      <x:c r="G1487" s="13" t="n">
        <x:v>0</x:v>
      </x:c>
      <x:c r="H1487" s="13" t="n">
        <x:f>F1487-G1487</x:f>
        <x:v>1127.71</x:v>
      </x:c>
      <x:c r="I1487" s="13" t="n">
        <x:f>IF(C1487=0,"n.a.",F1487/C1487)</x:f>
        <x:v>281.9275</x:v>
      </x:c>
      <x:c r="J1487" s="3"/>
      <x:c r="K1487" s="3"/>
      <x:c r="L1487" s="3"/>
    </x:row>
    <x:row r="1488" ht="22" customHeight="1">
      <x:c r="A1488" s="3"/>
      <x:c r="B1488" s="3" t="str">
        <x:v>16692</x:v>
      </x:c>
      <x:c r="C1488" s="3" t="n">
        <x:v>2</x:v>
      </x:c>
      <x:c r="D1488" s="51" t="n">
        <x:v>40630</x:v>
      </x:c>
      <x:c r="E1488" s="3" t="str">
        <x:v>Recurrente</x:v>
      </x:c>
      <x:c r="F1488" s="13" t="n">
        <x:v>1126</x:v>
      </x:c>
      <x:c r="G1488" s="13" t="n">
        <x:v>0</x:v>
      </x:c>
      <x:c r="H1488" s="13" t="n">
        <x:f>F1488-G1488</x:f>
        <x:v>1126</x:v>
      </x:c>
      <x:c r="I1488" s="13" t="n">
        <x:f>IF(C1488=0,"n.a.",F1488/C1488)</x:f>
        <x:v>563</x:v>
      </x:c>
      <x:c r="J1488" s="3"/>
      <x:c r="K1488" s="3"/>
      <x:c r="L1488" s="3"/>
    </x:row>
    <x:row r="1489" ht="22" customHeight="1">
      <x:c r="A1489" s="3"/>
      <x:c r="B1489" s="3" t="str">
        <x:v>17470</x:v>
      </x:c>
      <x:c r="C1489" s="3" t="n">
        <x:v>5</x:v>
      </x:c>
      <x:c r="D1489" s="51" t="n">
        <x:v>40842</x:v>
      </x:c>
      <x:c r="E1489" s="3" t="str">
        <x:v>Recurrente</x:v>
      </x:c>
      <x:c r="F1489" s="13" t="n">
        <x:v>1125.07</x:v>
      </x:c>
      <x:c r="G1489" s="13" t="n">
        <x:v>0</x:v>
      </x:c>
      <x:c r="H1489" s="13" t="n">
        <x:f>F1489-G1489</x:f>
        <x:v>1125.07</x:v>
      </x:c>
      <x:c r="I1489" s="13" t="n">
        <x:f>IF(C1489=0,"n.a.",F1489/C1489)</x:f>
        <x:v>225.01399999999998</x:v>
      </x:c>
      <x:c r="J1489" s="3"/>
      <x:c r="K1489" s="3"/>
      <x:c r="L1489" s="3"/>
    </x:row>
    <x:row r="1490" ht="22" customHeight="1">
      <x:c r="A1490" s="3"/>
      <x:c r="B1490" s="3" t="str">
        <x:v>13118</x:v>
      </x:c>
      <x:c r="C1490" s="3" t="n">
        <x:v>5</x:v>
      </x:c>
      <x:c r="D1490" s="51" t="n">
        <x:v>40867</x:v>
      </x:c>
      <x:c r="E1490" s="3" t="str">
        <x:v>Recurrente</x:v>
      </x:c>
      <x:c r="F1490" s="13" t="n">
        <x:v>1197.81</x:v>
      </x:c>
      <x:c r="G1490" s="13" t="n">
        <x:v>72.81</x:v>
      </x:c>
      <x:c r="H1490" s="13" t="n">
        <x:f>F1490-G1490</x:f>
        <x:v>1125</x:v>
      </x:c>
      <x:c r="I1490" s="13" t="n">
        <x:f>IF(C1490=0,"n.a.",F1490/C1490)</x:f>
        <x:v>239.56199999999998</x:v>
      </x:c>
      <x:c r="J1490" s="3"/>
      <x:c r="K1490" s="3"/>
      <x:c r="L1490" s="3"/>
    </x:row>
    <x:row r="1491" ht="22" customHeight="1">
      <x:c r="A1491" s="3"/>
      <x:c r="B1491" s="3" t="str">
        <x:v>16637</x:v>
      </x:c>
      <x:c r="C1491" s="3" t="n">
        <x:v>4</x:v>
      </x:c>
      <x:c r="D1491" s="51" t="n">
        <x:v>40854</x:v>
      </x:c>
      <x:c r="E1491" s="3" t="str">
        <x:v>Recurrente</x:v>
      </x:c>
      <x:c r="F1491" s="13" t="n">
        <x:v>1154.47</x:v>
      </x:c>
      <x:c r="G1491" s="13" t="n">
        <x:v>29.88</x:v>
      </x:c>
      <x:c r="H1491" s="13" t="n">
        <x:f>F1491-G1491</x:f>
        <x:v>1124.59</x:v>
      </x:c>
      <x:c r="I1491" s="13" t="n">
        <x:f>IF(C1491=0,"n.a.",F1491/C1491)</x:f>
        <x:v>288.6175</x:v>
      </x:c>
      <x:c r="J1491" s="3"/>
      <x:c r="K1491" s="3"/>
      <x:c r="L1491" s="3"/>
    </x:row>
    <x:row r="1492" ht="22" customHeight="1">
      <x:c r="A1492" s="3"/>
      <x:c r="B1492" s="3" t="str">
        <x:v>14129</x:v>
      </x:c>
      <x:c r="C1492" s="3" t="n">
        <x:v>5</x:v>
      </x:c>
      <x:c r="D1492" s="51" t="n">
        <x:v>40885</x:v>
      </x:c>
      <x:c r="E1492" s="3" t="str">
        <x:v>Recurrente</x:v>
      </x:c>
      <x:c r="F1492" s="13" t="n">
        <x:v>1123.86</x:v>
      </x:c>
      <x:c r="G1492" s="13" t="n">
        <x:v>0</x:v>
      </x:c>
      <x:c r="H1492" s="13" t="n">
        <x:f>F1492-G1492</x:f>
        <x:v>1123.86</x:v>
      </x:c>
      <x:c r="I1492" s="13" t="n">
        <x:f>IF(C1492=0,"n.a.",F1492/C1492)</x:f>
        <x:v>224.772</x:v>
      </x:c>
      <x:c r="J1492" s="3"/>
      <x:c r="K1492" s="3"/>
      <x:c r="L1492" s="3"/>
    </x:row>
    <x:row r="1493" ht="22" customHeight="1">
      <x:c r="A1493" s="3"/>
      <x:c r="B1493" s="3" t="str">
        <x:v>15436</x:v>
      </x:c>
      <x:c r="C1493" s="3" t="n">
        <x:v>3</x:v>
      </x:c>
      <x:c r="D1493" s="51" t="n">
        <x:v>40874</x:v>
      </x:c>
      <x:c r="E1493" s="3" t="str">
        <x:v>Recurrente</x:v>
      </x:c>
      <x:c r="F1493" s="13" t="n">
        <x:v>1122.53</x:v>
      </x:c>
      <x:c r="G1493" s="13" t="n">
        <x:v>0</x:v>
      </x:c>
      <x:c r="H1493" s="13" t="n">
        <x:f>F1493-G1493</x:f>
        <x:v>1122.53</x:v>
      </x:c>
      <x:c r="I1493" s="13" t="n">
        <x:f>IF(C1493=0,"n.a.",F1493/C1493)</x:f>
        <x:v>374.1766666666667</x:v>
      </x:c>
      <x:c r="J1493" s="3"/>
      <x:c r="K1493" s="3"/>
      <x:c r="L1493" s="3"/>
    </x:row>
    <x:row r="1494" ht="22" customHeight="1">
      <x:c r="A1494" s="3"/>
      <x:c r="B1494" s="3" t="str">
        <x:v>13486</x:v>
      </x:c>
      <x:c r="C1494" s="3" t="n">
        <x:v>3</x:v>
      </x:c>
      <x:c r="D1494" s="51" t="n">
        <x:v>40808</x:v>
      </x:c>
      <x:c r="E1494" s="3" t="str">
        <x:v>Recurrente</x:v>
      </x:c>
      <x:c r="F1494" s="13" t="n">
        <x:v>1122.41</x:v>
      </x:c>
      <x:c r="G1494" s="13" t="n">
        <x:v>0</x:v>
      </x:c>
      <x:c r="H1494" s="13" t="n">
        <x:f>F1494-G1494</x:f>
        <x:v>1122.41</x:v>
      </x:c>
      <x:c r="I1494" s="13" t="n">
        <x:f>IF(C1494=0,"n.a.",F1494/C1494)</x:f>
        <x:v>374.1366666666667</x:v>
      </x:c>
      <x:c r="J1494" s="3"/>
      <x:c r="K1494" s="3"/>
      <x:c r="L1494" s="3"/>
    </x:row>
    <x:row r="1495" ht="22" customHeight="1">
      <x:c r="A1495" s="3"/>
      <x:c r="B1495" s="3" t="str">
        <x:v>16807</x:v>
      </x:c>
      <x:c r="C1495" s="3" t="n">
        <x:v>3</x:v>
      </x:c>
      <x:c r="D1495" s="51" t="n">
        <x:v>40744</x:v>
      </x:c>
      <x:c r="E1495" s="3" t="str">
        <x:v>Recurrente</x:v>
      </x:c>
      <x:c r="F1495" s="13" t="n">
        <x:v>1121.59</x:v>
      </x:c>
      <x:c r="G1495" s="13" t="n">
        <x:v>0</x:v>
      </x:c>
      <x:c r="H1495" s="13" t="n">
        <x:f>F1495-G1495</x:f>
        <x:v>1121.59</x:v>
      </x:c>
      <x:c r="I1495" s="13" t="n">
        <x:f>IF(C1495=0,"n.a.",F1495/C1495)</x:f>
        <x:v>373.8633333333333</x:v>
      </x:c>
      <x:c r="J1495" s="3"/>
      <x:c r="K1495" s="3"/>
      <x:c r="L1495" s="3"/>
    </x:row>
    <x:row r="1496" ht="22" customHeight="1">
      <x:c r="A1496" s="3"/>
      <x:c r="B1496" s="3" t="str">
        <x:v>15737</x:v>
      </x:c>
      <x:c r="C1496" s="3" t="n">
        <x:v>8</x:v>
      </x:c>
      <x:c r="D1496" s="51" t="n">
        <x:v>40872</x:v>
      </x:c>
      <x:c r="E1496" s="3" t="str">
        <x:v>Recurrente</x:v>
      </x:c>
      <x:c r="F1496" s="13" t="n">
        <x:v>1205.12</x:v>
      </x:c>
      <x:c r="G1496" s="13" t="n">
        <x:v>83.91</x:v>
      </x:c>
      <x:c r="H1496" s="13" t="n">
        <x:f>F1496-G1496</x:f>
        <x:v>1121.2099999999998</x:v>
      </x:c>
      <x:c r="I1496" s="13" t="n">
        <x:f>IF(C1496=0,"n.a.",F1496/C1496)</x:f>
        <x:v>150.64</x:v>
      </x:c>
      <x:c r="J1496" s="3"/>
      <x:c r="K1496" s="3"/>
      <x:c r="L1496" s="3"/>
    </x:row>
    <x:row r="1497" ht="22" customHeight="1">
      <x:c r="A1497" s="3"/>
      <x:c r="B1497" s="3" t="str">
        <x:v>17302</x:v>
      </x:c>
      <x:c r="C1497" s="3" t="n">
        <x:v>5</x:v>
      </x:c>
      <x:c r="D1497" s="51" t="n">
        <x:v>40872</x:v>
      </x:c>
      <x:c r="E1497" s="3" t="str">
        <x:v>Recurrente</x:v>
      </x:c>
      <x:c r="F1497" s="13" t="n">
        <x:v>1135.63</x:v>
      </x:c>
      <x:c r="G1497" s="13" t="n">
        <x:v>15.7</x:v>
      </x:c>
      <x:c r="H1497" s="13" t="n">
        <x:f>F1497-G1497</x:f>
        <x:v>1119.93</x:v>
      </x:c>
      <x:c r="I1497" s="13" t="n">
        <x:f>IF(C1497=0,"n.a.",F1497/C1497)</x:f>
        <x:v>227.12600000000003</x:v>
      </x:c>
      <x:c r="J1497" s="3"/>
      <x:c r="K1497" s="3"/>
      <x:c r="L1497" s="3"/>
    </x:row>
    <x:row r="1498" ht="22" customHeight="1">
      <x:c r="A1498" s="3"/>
      <x:c r="B1498" s="3" t="str">
        <x:v>13064</x:v>
      </x:c>
      <x:c r="C1498" s="3" t="n">
        <x:v>4</x:v>
      </x:c>
      <x:c r="D1498" s="51" t="n">
        <x:v>40874</x:v>
      </x:c>
      <x:c r="E1498" s="3" t="str">
        <x:v>Recurrente</x:v>
      </x:c>
      <x:c r="F1498" s="13" t="n">
        <x:v>1119.49</x:v>
      </x:c>
      <x:c r="G1498" s="13" t="n">
        <x:v>0</x:v>
      </x:c>
      <x:c r="H1498" s="13" t="n">
        <x:f>F1498-G1498</x:f>
        <x:v>1119.49</x:v>
      </x:c>
      <x:c r="I1498" s="13" t="n">
        <x:f>IF(C1498=0,"n.a.",F1498/C1498)</x:f>
        <x:v>279.8725</x:v>
      </x:c>
      <x:c r="J1498" s="3"/>
      <x:c r="K1498" s="3"/>
      <x:c r="L1498" s="3"/>
    </x:row>
    <x:row r="1499" ht="22" customHeight="1">
      <x:c r="A1499" s="3"/>
      <x:c r="B1499" s="3" t="str">
        <x:v>17894</x:v>
      </x:c>
      <x:c r="C1499" s="3" t="n">
        <x:v>8</x:v>
      </x:c>
      <x:c r="D1499" s="51" t="n">
        <x:v>40815</x:v>
      </x:c>
      <x:c r="E1499" s="3" t="str">
        <x:v>Recurrente</x:v>
      </x:c>
      <x:c r="F1499" s="13" t="n">
        <x:v>1119.39</x:v>
      </x:c>
      <x:c r="G1499" s="13" t="n">
        <x:v>0</x:v>
      </x:c>
      <x:c r="H1499" s="13" t="n">
        <x:f>F1499-G1499</x:f>
        <x:v>1119.39</x:v>
      </x:c>
      <x:c r="I1499" s="13" t="n">
        <x:f>IF(C1499=0,"n.a.",F1499/C1499)</x:f>
        <x:v>139.92375</x:v>
      </x:c>
      <x:c r="J1499" s="3"/>
      <x:c r="K1499" s="3"/>
      <x:c r="L1499" s="3"/>
    </x:row>
    <x:row r="1500" ht="22" customHeight="1">
      <x:c r="A1500" s="3"/>
      <x:c r="B1500" s="3" t="str">
        <x:v>16086</x:v>
      </x:c>
      <x:c r="C1500" s="3" t="n">
        <x:v>5</x:v>
      </x:c>
      <x:c r="D1500" s="51" t="n">
        <x:v>40827</x:v>
      </x:c>
      <x:c r="E1500" s="3" t="str">
        <x:v>Recurrente</x:v>
      </x:c>
      <x:c r="F1500" s="13" t="n">
        <x:v>1121.39</x:v>
      </x:c>
      <x:c r="G1500" s="13" t="n">
        <x:v>2.08</x:v>
      </x:c>
      <x:c r="H1500" s="13" t="n">
        <x:f>F1500-G1500</x:f>
        <x:v>1119.3100000000002</x:v>
      </x:c>
      <x:c r="I1500" s="13" t="n">
        <x:f>IF(C1500=0,"n.a.",F1500/C1500)</x:f>
        <x:v>224.27800000000002</x:v>
      </x:c>
      <x:c r="J1500" s="3"/>
      <x:c r="K1500" s="3"/>
      <x:c r="L1500" s="3"/>
    </x:row>
    <x:row r="1501" ht="22" customHeight="1">
      <x:c r="A1501" s="3"/>
      <x:c r="B1501" s="3" t="str">
        <x:v>12842</x:v>
      </x:c>
      <x:c r="C1501" s="3" t="n">
        <x:v>2</x:v>
      </x:c>
      <x:c r="D1501" s="51" t="n">
        <x:v>40816</x:v>
      </x:c>
      <x:c r="E1501" s="3" t="str">
        <x:v>Recurrente</x:v>
      </x:c>
      <x:c r="F1501" s="13" t="n">
        <x:v>1118.99</x:v>
      </x:c>
      <x:c r="G1501" s="13" t="n">
        <x:v>0</x:v>
      </x:c>
      <x:c r="H1501" s="13" t="n">
        <x:f>F1501-G1501</x:f>
        <x:v>1118.99</x:v>
      </x:c>
      <x:c r="I1501" s="13" t="n">
        <x:f>IF(C1501=0,"n.a.",F1501/C1501)</x:f>
        <x:v>559.495</x:v>
      </x:c>
      <x:c r="J1501" s="3"/>
      <x:c r="K1501" s="3"/>
      <x:c r="L1501" s="3"/>
    </x:row>
    <x:row r="1502" ht="22" customHeight="1">
      <x:c r="A1502" s="3"/>
      <x:c r="B1502" s="3" t="str">
        <x:v>15716</x:v>
      </x:c>
      <x:c r="C1502" s="3" t="n">
        <x:v>4</x:v>
      </x:c>
      <x:c r="D1502" s="51" t="n">
        <x:v>40741</x:v>
      </x:c>
      <x:c r="E1502" s="3" t="str">
        <x:v>Recurrente</x:v>
      </x:c>
      <x:c r="F1502" s="13" t="n">
        <x:v>1118.81</x:v>
      </x:c>
      <x:c r="G1502" s="13" t="n">
        <x:v>0</x:v>
      </x:c>
      <x:c r="H1502" s="13" t="n">
        <x:f>F1502-G1502</x:f>
        <x:v>1118.81</x:v>
      </x:c>
      <x:c r="I1502" s="13" t="n">
        <x:f>IF(C1502=0,"n.a.",F1502/C1502)</x:f>
        <x:v>279.7025</x:v>
      </x:c>
      <x:c r="J1502" s="3"/>
      <x:c r="K1502" s="3"/>
      <x:c r="L1502" s="3"/>
    </x:row>
    <x:row r="1503" ht="22" customHeight="1">
      <x:c r="A1503" s="3"/>
      <x:c r="B1503" s="3" t="str">
        <x:v>13591</x:v>
      </x:c>
      <x:c r="C1503" s="3" t="n">
        <x:v>3</x:v>
      </x:c>
      <x:c r="D1503" s="51" t="n">
        <x:v>40822</x:v>
      </x:c>
      <x:c r="E1503" s="3" t="str">
        <x:v>Recurrente</x:v>
      </x:c>
      <x:c r="F1503" s="13" t="n">
        <x:v>1117.13</x:v>
      </x:c>
      <x:c r="G1503" s="13" t="n">
        <x:v>0</x:v>
      </x:c>
      <x:c r="H1503" s="13" t="n">
        <x:f>F1503-G1503</x:f>
        <x:v>1117.13</x:v>
      </x:c>
      <x:c r="I1503" s="13" t="n">
        <x:f>IF(C1503=0,"n.a.",F1503/C1503)</x:f>
        <x:v>372.3766666666667</x:v>
      </x:c>
      <x:c r="J1503" s="3"/>
      <x:c r="K1503" s="3"/>
      <x:c r="L1503" s="3"/>
    </x:row>
    <x:row r="1504" ht="22" customHeight="1">
      <x:c r="A1504" s="3"/>
      <x:c r="B1504" s="3" t="str">
        <x:v>14971</x:v>
      </x:c>
      <x:c r="C1504" s="3" t="n">
        <x:v>3</x:v>
      </x:c>
      <x:c r="D1504" s="51" t="n">
        <x:v>40851</x:v>
      </x:c>
      <x:c r="E1504" s="3" t="str">
        <x:v>Recurrente</x:v>
      </x:c>
      <x:c r="F1504" s="13" t="n">
        <x:v>1116.57</x:v>
      </x:c>
      <x:c r="G1504" s="13" t="n">
        <x:v>0</x:v>
      </x:c>
      <x:c r="H1504" s="13" t="n">
        <x:f>F1504-G1504</x:f>
        <x:v>1116.57</x:v>
      </x:c>
      <x:c r="I1504" s="13" t="n">
        <x:f>IF(C1504=0,"n.a.",F1504/C1504)</x:f>
        <x:v>372.19</x:v>
      </x:c>
      <x:c r="J1504" s="3"/>
      <x:c r="K1504" s="3"/>
      <x:c r="L1504" s="3"/>
    </x:row>
    <x:row r="1505" ht="22" customHeight="1">
      <x:c r="A1505" s="3"/>
      <x:c r="B1505" s="3" t="str">
        <x:v>13610</x:v>
      </x:c>
      <x:c r="C1505" s="3" t="n">
        <x:v>7</x:v>
      </x:c>
      <x:c r="D1505" s="51" t="n">
        <x:v>40874</x:v>
      </x:c>
      <x:c r="E1505" s="3" t="str">
        <x:v>Recurrente</x:v>
      </x:c>
      <x:c r="F1505" s="13" t="n">
        <x:v>1131.88</x:v>
      </x:c>
      <x:c r="G1505" s="13" t="n">
        <x:v>16.45</x:v>
      </x:c>
      <x:c r="H1505" s="13" t="n">
        <x:f>F1505-G1505</x:f>
        <x:v>1115.43</x:v>
      </x:c>
      <x:c r="I1505" s="13" t="n">
        <x:f>IF(C1505=0,"n.a.",F1505/C1505)</x:f>
        <x:v>161.69714285714286</x:v>
      </x:c>
      <x:c r="J1505" s="3"/>
      <x:c r="K1505" s="3"/>
      <x:c r="L1505" s="3"/>
    </x:row>
    <x:row r="1506" ht="22" customHeight="1">
      <x:c r="A1506" s="3"/>
      <x:c r="B1506" s="3" t="str">
        <x:v>17788</x:v>
      </x:c>
      <x:c r="C1506" s="3" t="n">
        <x:v>2</x:v>
      </x:c>
      <x:c r="D1506" s="51" t="n">
        <x:v>40813</x:v>
      </x:c>
      <x:c r="E1506" s="3" t="str">
        <x:v>Recurrente</x:v>
      </x:c>
      <x:c r="F1506" s="13" t="n">
        <x:v>1112.95</x:v>
      </x:c>
      <x:c r="G1506" s="13" t="n">
        <x:v>0</x:v>
      </x:c>
      <x:c r="H1506" s="13" t="n">
        <x:f>F1506-G1506</x:f>
        <x:v>1112.95</x:v>
      </x:c>
      <x:c r="I1506" s="13" t="n">
        <x:f>IF(C1506=0,"n.a.",F1506/C1506)</x:f>
        <x:v>556.475</x:v>
      </x:c>
      <x:c r="J1506" s="3"/>
      <x:c r="K1506" s="3"/>
      <x:c r="L1506" s="3"/>
    </x:row>
    <x:row r="1507" ht="22" customHeight="1">
      <x:c r="A1507" s="3"/>
      <x:c r="B1507" s="3" t="str">
        <x:v>16049</x:v>
      </x:c>
      <x:c r="C1507" s="3" t="n">
        <x:v>3</x:v>
      </x:c>
      <x:c r="D1507" s="51" t="n">
        <x:v>40846</x:v>
      </x:c>
      <x:c r="E1507" s="3" t="str">
        <x:v>Recurrente</x:v>
      </x:c>
      <x:c r="F1507" s="13" t="n">
        <x:v>1111.79</x:v>
      </x:c>
      <x:c r="G1507" s="13" t="n">
        <x:v>0</x:v>
      </x:c>
      <x:c r="H1507" s="13" t="n">
        <x:f>F1507-G1507</x:f>
        <x:v>1111.79</x:v>
      </x:c>
      <x:c r="I1507" s="13" t="n">
        <x:f>IF(C1507=0,"n.a.",F1507/C1507)</x:f>
        <x:v>370.59666666666664</x:v>
      </x:c>
      <x:c r="J1507" s="3"/>
      <x:c r="K1507" s="3"/>
      <x:c r="L1507" s="3"/>
    </x:row>
    <x:row r="1508" ht="22" customHeight="1">
      <x:c r="A1508" s="3"/>
      <x:c r="B1508" s="3" t="str">
        <x:v>14161</x:v>
      </x:c>
      <x:c r="C1508" s="3" t="n">
        <x:v>3</x:v>
      </x:c>
      <x:c r="D1508" s="51" t="n">
        <x:v>40671</x:v>
      </x:c>
      <x:c r="E1508" s="3" t="str">
        <x:v>Recurrente</x:v>
      </x:c>
      <x:c r="F1508" s="13" t="n">
        <x:v>1110.52</x:v>
      </x:c>
      <x:c r="G1508" s="13" t="n">
        <x:v>0</x:v>
      </x:c>
      <x:c r="H1508" s="13" t="n">
        <x:f>F1508-G1508</x:f>
        <x:v>1110.52</x:v>
      </x:c>
      <x:c r="I1508" s="13" t="n">
        <x:f>IF(C1508=0,"n.a.",F1508/C1508)</x:f>
        <x:v>370.17333333333335</x:v>
      </x:c>
      <x:c r="J1508" s="3"/>
      <x:c r="K1508" s="3"/>
      <x:c r="L1508" s="3"/>
    </x:row>
    <x:row r="1509" ht="22" customHeight="1">
      <x:c r="A1509" s="3"/>
      <x:c r="B1509" s="3" t="str">
        <x:v>15069</x:v>
      </x:c>
      <x:c r="C1509" s="3" t="n">
        <x:v>1</x:v>
      </x:c>
      <x:c r="D1509" s="51" t="n">
        <x:v>40707</x:v>
      </x:c>
      <x:c r="E1509" s="3" t="str">
        <x:v>Una compra</x:v>
      </x:c>
      <x:c r="F1509" s="13" t="n">
        <x:v>1109.53</x:v>
      </x:c>
      <x:c r="G1509" s="13" t="n">
        <x:v>0</x:v>
      </x:c>
      <x:c r="H1509" s="13" t="n">
        <x:f>F1509-G1509</x:f>
        <x:v>1109.53</x:v>
      </x:c>
      <x:c r="I1509" s="13" t="n">
        <x:f>IF(C1509=0,"n.a.",F1509/C1509)</x:f>
        <x:v>1109.53</x:v>
      </x:c>
      <x:c r="J1509" s="3"/>
      <x:c r="K1509" s="3"/>
      <x:c r="L1509" s="3"/>
    </x:row>
    <x:row r="1510" ht="22" customHeight="1">
      <x:c r="A1510" s="3"/>
      <x:c r="B1510" s="3" t="str">
        <x:v>15730</x:v>
      </x:c>
      <x:c r="C1510" s="3" t="n">
        <x:v>3</x:v>
      </x:c>
      <x:c r="D1510" s="51" t="n">
        <x:v>40821</x:v>
      </x:c>
      <x:c r="E1510" s="3" t="str">
        <x:v>Recurrente</x:v>
      </x:c>
      <x:c r="F1510" s="13" t="n">
        <x:v>1120.88</x:v>
      </x:c>
      <x:c r="G1510" s="13" t="n">
        <x:v>12.5</x:v>
      </x:c>
      <x:c r="H1510" s="13" t="n">
        <x:f>F1510-G1510</x:f>
        <x:v>1108.38</x:v>
      </x:c>
      <x:c r="I1510" s="13" t="n">
        <x:f>IF(C1510=0,"n.a.",F1510/C1510)</x:f>
        <x:v>373.6266666666667</x:v>
      </x:c>
      <x:c r="J1510" s="3"/>
      <x:c r="K1510" s="3"/>
      <x:c r="L1510" s="3"/>
    </x:row>
    <x:row r="1511" ht="22" customHeight="1">
      <x:c r="A1511" s="3"/>
      <x:c r="B1511" s="3" t="str">
        <x:v>15933</x:v>
      </x:c>
      <x:c r="C1511" s="3" t="n">
        <x:v>3</x:v>
      </x:c>
      <x:c r="D1511" s="51" t="n">
        <x:v>40865</x:v>
      </x:c>
      <x:c r="E1511" s="3" t="str">
        <x:v>Recurrente</x:v>
      </x:c>
      <x:c r="F1511" s="13" t="n">
        <x:v>1107.46</x:v>
      </x:c>
      <x:c r="G1511" s="13" t="n">
        <x:v>0</x:v>
      </x:c>
      <x:c r="H1511" s="13" t="n">
        <x:f>F1511-G1511</x:f>
        <x:v>1107.46</x:v>
      </x:c>
      <x:c r="I1511" s="13" t="n">
        <x:f>IF(C1511=0,"n.a.",F1511/C1511)</x:f>
        <x:v>369.15333333333336</x:v>
      </x:c>
      <x:c r="J1511" s="3"/>
      <x:c r="K1511" s="3"/>
      <x:c r="L1511" s="3"/>
    </x:row>
    <x:row r="1512" ht="22" customHeight="1">
      <x:c r="A1512" s="3"/>
      <x:c r="B1512" s="3" t="str">
        <x:v>17562</x:v>
      </x:c>
      <x:c r="C1512" s="3" t="n">
        <x:v>7</x:v>
      </x:c>
      <x:c r="D1512" s="51" t="n">
        <x:v>40872</x:v>
      </x:c>
      <x:c r="E1512" s="3" t="str">
        <x:v>Recurrente</x:v>
      </x:c>
      <x:c r="F1512" s="13" t="n">
        <x:v>1122.38</x:v>
      </x:c>
      <x:c r="G1512" s="13" t="n">
        <x:v>15</x:v>
      </x:c>
      <x:c r="H1512" s="13" t="n">
        <x:f>F1512-G1512</x:f>
        <x:v>1107.38</x:v>
      </x:c>
      <x:c r="I1512" s="13" t="n">
        <x:f>IF(C1512=0,"n.a.",F1512/C1512)</x:f>
        <x:v>160.34</x:v>
      </x:c>
      <x:c r="J1512" s="3"/>
      <x:c r="K1512" s="3"/>
      <x:c r="L1512" s="3"/>
    </x:row>
    <x:row r="1513" ht="22" customHeight="1">
      <x:c r="A1513" s="3"/>
      <x:c r="B1513" s="3" t="str">
        <x:v>16833</x:v>
      </x:c>
      <x:c r="C1513" s="3" t="n">
        <x:v>4</x:v>
      </x:c>
      <x:c r="D1513" s="51" t="n">
        <x:v>40885</x:v>
      </x:c>
      <x:c r="E1513" s="3" t="str">
        <x:v>Recurrente</x:v>
      </x:c>
      <x:c r="F1513" s="13" t="n">
        <x:v>1106.53</x:v>
      </x:c>
      <x:c r="G1513" s="13" t="n">
        <x:v>0</x:v>
      </x:c>
      <x:c r="H1513" s="13" t="n">
        <x:f>F1513-G1513</x:f>
        <x:v>1106.53</x:v>
      </x:c>
      <x:c r="I1513" s="13" t="n">
        <x:f>IF(C1513=0,"n.a.",F1513/C1513)</x:f>
        <x:v>276.6325</x:v>
      </x:c>
      <x:c r="J1513" s="3"/>
      <x:c r="K1513" s="3"/>
      <x:c r="L1513" s="3"/>
    </x:row>
    <x:row r="1514" ht="22" customHeight="1">
      <x:c r="A1514" s="3"/>
      <x:c r="B1514" s="3" t="str">
        <x:v>12857</x:v>
      </x:c>
      <x:c r="C1514" s="3" t="n">
        <x:v>2</x:v>
      </x:c>
      <x:c r="D1514" s="51" t="n">
        <x:v>40676</x:v>
      </x:c>
      <x:c r="E1514" s="3" t="str">
        <x:v>Recurrente</x:v>
      </x:c>
      <x:c r="F1514" s="13" t="n">
        <x:v>1106.4</x:v>
      </x:c>
      <x:c r="G1514" s="13" t="n">
        <x:v>0</x:v>
      </x:c>
      <x:c r="H1514" s="13" t="n">
        <x:f>F1514-G1514</x:f>
        <x:v>1106.4</x:v>
      </x:c>
      <x:c r="I1514" s="13" t="n">
        <x:f>IF(C1514=0,"n.a.",F1514/C1514)</x:f>
        <x:v>553.2</x:v>
      </x:c>
      <x:c r="J1514" s="3"/>
      <x:c r="K1514" s="3"/>
      <x:c r="L1514" s="3"/>
    </x:row>
    <x:row r="1515" ht="22" customHeight="1">
      <x:c r="A1515" s="3"/>
      <x:c r="B1515" s="3" t="str">
        <x:v>13447</x:v>
      </x:c>
      <x:c r="C1515" s="3" t="n">
        <x:v>3</x:v>
      </x:c>
      <x:c r="D1515" s="51" t="n">
        <x:v>40863</x:v>
      </x:c>
      <x:c r="E1515" s="3" t="str">
        <x:v>Recurrente</x:v>
      </x:c>
      <x:c r="F1515" s="13" t="n">
        <x:v>1129.14</x:v>
      </x:c>
      <x:c r="G1515" s="13" t="n">
        <x:v>24.91</x:v>
      </x:c>
      <x:c r="H1515" s="13" t="n">
        <x:f>F1515-G1515</x:f>
        <x:v>1104.23</x:v>
      </x:c>
      <x:c r="I1515" s="13" t="n">
        <x:f>IF(C1515=0,"n.a.",F1515/C1515)</x:f>
        <x:v>376.38000000000005</x:v>
      </x:c>
      <x:c r="J1515" s="3"/>
      <x:c r="K1515" s="3"/>
      <x:c r="L1515" s="3"/>
    </x:row>
    <x:row r="1516" ht="22" customHeight="1">
      <x:c r="A1516" s="3"/>
      <x:c r="B1516" s="3" t="str">
        <x:v>15602</x:v>
      </x:c>
      <x:c r="C1516" s="3" t="n">
        <x:v>9</x:v>
      </x:c>
      <x:c r="D1516" s="51" t="n">
        <x:v>40878</x:v>
      </x:c>
      <x:c r="E1516" s="3" t="str">
        <x:v>Recurrente</x:v>
      </x:c>
      <x:c r="F1516" s="13" t="n">
        <x:v>1297.87</x:v>
      </x:c>
      <x:c r="G1516" s="13" t="n">
        <x:v>195.5</x:v>
      </x:c>
      <x:c r="H1516" s="13" t="n">
        <x:f>F1516-G1516</x:f>
        <x:v>1102.37</x:v>
      </x:c>
      <x:c r="I1516" s="13" t="n">
        <x:f>IF(C1516=0,"n.a.",F1516/C1516)</x:f>
        <x:v>144.20777777777778</x:v>
      </x:c>
      <x:c r="J1516" s="3"/>
      <x:c r="K1516" s="3"/>
      <x:c r="L1516" s="3"/>
    </x:row>
    <x:row r="1517" ht="22" customHeight="1">
      <x:c r="A1517" s="3"/>
      <x:c r="B1517" s="3" t="str">
        <x:v>17047</x:v>
      </x:c>
      <x:c r="C1517" s="3" t="n">
        <x:v>3</x:v>
      </x:c>
      <x:c r="D1517" s="51" t="n">
        <x:v>40801</x:v>
      </x:c>
      <x:c r="E1517" s="3" t="str">
        <x:v>Recurrente</x:v>
      </x:c>
      <x:c r="F1517" s="13" t="n">
        <x:v>1100.9</x:v>
      </x:c>
      <x:c r="G1517" s="13" t="n">
        <x:v>0</x:v>
      </x:c>
      <x:c r="H1517" s="13" t="n">
        <x:f>F1517-G1517</x:f>
        <x:v>1100.9</x:v>
      </x:c>
      <x:c r="I1517" s="13" t="n">
        <x:f>IF(C1517=0,"n.a.",F1517/C1517)</x:f>
        <x:v>366.9666666666667</x:v>
      </x:c>
      <x:c r="J1517" s="3"/>
      <x:c r="K1517" s="3"/>
      <x:c r="L1517" s="3"/>
    </x:row>
    <x:row r="1518" ht="22" customHeight="1">
      <x:c r="A1518" s="3"/>
      <x:c r="B1518" s="3" t="str">
        <x:v>16350</x:v>
      </x:c>
      <x:c r="C1518" s="3" t="n">
        <x:v>4</x:v>
      </x:c>
      <x:c r="D1518" s="51" t="n">
        <x:v>40865</x:v>
      </x:c>
      <x:c r="E1518" s="3" t="str">
        <x:v>Recurrente</x:v>
      </x:c>
      <x:c r="F1518" s="13" t="n">
        <x:v>1116.47</x:v>
      </x:c>
      <x:c r="G1518" s="13" t="n">
        <x:v>16</x:v>
      </x:c>
      <x:c r="H1518" s="13" t="n">
        <x:f>F1518-G1518</x:f>
        <x:v>1100.47</x:v>
      </x:c>
      <x:c r="I1518" s="13" t="n">
        <x:f>IF(C1518=0,"n.a.",F1518/C1518)</x:f>
        <x:v>279.1175</x:v>
      </x:c>
      <x:c r="J1518" s="3"/>
      <x:c r="K1518" s="3"/>
      <x:c r="L1518" s="3"/>
    </x:row>
    <x:row r="1519" ht="22" customHeight="1">
      <x:c r="A1519" s="3"/>
      <x:c r="B1519" s="3" t="str">
        <x:v>15978</x:v>
      </x:c>
      <x:c r="C1519" s="3" t="n">
        <x:v>1</x:v>
      </x:c>
      <x:c r="D1519" s="51" t="n">
        <x:v>40809</x:v>
      </x:c>
      <x:c r="E1519" s="3" t="str">
        <x:v>Una compra</x:v>
      </x:c>
      <x:c r="F1519" s="13" t="n">
        <x:v>1098.78</x:v>
      </x:c>
      <x:c r="G1519" s="13" t="n">
        <x:v>0</x:v>
      </x:c>
      <x:c r="H1519" s="13" t="n">
        <x:f>F1519-G1519</x:f>
        <x:v>1098.78</x:v>
      </x:c>
      <x:c r="I1519" s="13" t="n">
        <x:f>IF(C1519=0,"n.a.",F1519/C1519)</x:f>
        <x:v>1098.78</x:v>
      </x:c>
      <x:c r="J1519" s="3"/>
      <x:c r="K1519" s="3"/>
      <x:c r="L1519" s="3"/>
    </x:row>
    <x:row r="1520" ht="22" customHeight="1">
      <x:c r="A1520" s="3"/>
      <x:c r="B1520" s="3" t="str">
        <x:v>13104</x:v>
      </x:c>
      <x:c r="C1520" s="3" t="n">
        <x:v>6</x:v>
      </x:c>
      <x:c r="D1520" s="51" t="n">
        <x:v>40883</x:v>
      </x:c>
      <x:c r="E1520" s="3" t="str">
        <x:v>Recurrente</x:v>
      </x:c>
      <x:c r="F1520" s="13" t="n">
        <x:v>1098.48</x:v>
      </x:c>
      <x:c r="G1520" s="13" t="n">
        <x:v>0</x:v>
      </x:c>
      <x:c r="H1520" s="13" t="n">
        <x:f>F1520-G1520</x:f>
        <x:v>1098.48</x:v>
      </x:c>
      <x:c r="I1520" s="13" t="n">
        <x:f>IF(C1520=0,"n.a.",F1520/C1520)</x:f>
        <x:v>183.08</x:v>
      </x:c>
      <x:c r="J1520" s="3"/>
      <x:c r="K1520" s="3"/>
      <x:c r="L1520" s="3"/>
    </x:row>
    <x:row r="1521" ht="22" customHeight="1">
      <x:c r="A1521" s="3"/>
      <x:c r="B1521" s="3" t="str">
        <x:v>17966</x:v>
      </x:c>
      <x:c r="C1521" s="3" t="n">
        <x:v>5</x:v>
      </x:c>
      <x:c r="D1521" s="51" t="n">
        <x:v>40849</x:v>
      </x:c>
      <x:c r="E1521" s="3" t="str">
        <x:v>Recurrente</x:v>
      </x:c>
      <x:c r="F1521" s="13" t="n">
        <x:v>1098.43</x:v>
      </x:c>
      <x:c r="G1521" s="13" t="n">
        <x:v>0</x:v>
      </x:c>
      <x:c r="H1521" s="13" t="n">
        <x:f>F1521-G1521</x:f>
        <x:v>1098.43</x:v>
      </x:c>
      <x:c r="I1521" s="13" t="n">
        <x:f>IF(C1521=0,"n.a.",F1521/C1521)</x:f>
        <x:v>219.686</x:v>
      </x:c>
      <x:c r="J1521" s="3"/>
      <x:c r="K1521" s="3"/>
      <x:c r="L1521" s="3"/>
    </x:row>
    <x:row r="1522" ht="22" customHeight="1">
      <x:c r="A1522" s="3"/>
      <x:c r="B1522" s="3" t="str">
        <x:v>14708</x:v>
      </x:c>
      <x:c r="C1522" s="3" t="n">
        <x:v>3</x:v>
      </x:c>
      <x:c r="D1522" s="51" t="n">
        <x:v>40884</x:v>
      </x:c>
      <x:c r="E1522" s="3" t="str">
        <x:v>Recurrente</x:v>
      </x:c>
      <x:c r="F1522" s="13" t="n">
        <x:v>1126.37</x:v>
      </x:c>
      <x:c r="G1522" s="13" t="n">
        <x:v>29.7</x:v>
      </x:c>
      <x:c r="H1522" s="13" t="n">
        <x:f>F1522-G1522</x:f>
        <x:v>1096.6699999999998</x:v>
      </x:c>
      <x:c r="I1522" s="13" t="n">
        <x:f>IF(C1522=0,"n.a.",F1522/C1522)</x:f>
        <x:v>375.45666666666665</x:v>
      </x:c>
      <x:c r="J1522" s="3"/>
      <x:c r="K1522" s="3"/>
      <x:c r="L1522" s="3"/>
    </x:row>
    <x:row r="1523" ht="22" customHeight="1">
      <x:c r="A1523" s="3"/>
      <x:c r="B1523" s="3" t="str">
        <x:v>17609</x:v>
      </x:c>
      <x:c r="C1523" s="3" t="n">
        <x:v>5</x:v>
      </x:c>
      <x:c r="D1523" s="51" t="n">
        <x:v>40846</x:v>
      </x:c>
      <x:c r="E1523" s="3" t="str">
        <x:v>Recurrente</x:v>
      </x:c>
      <x:c r="F1523" s="13" t="n">
        <x:v>1104.72</x:v>
      </x:c>
      <x:c r="G1523" s="13" t="n">
        <x:v>8.3</x:v>
      </x:c>
      <x:c r="H1523" s="13" t="n">
        <x:f>F1523-G1523</x:f>
        <x:v>1096.42</x:v>
      </x:c>
      <x:c r="I1523" s="13" t="n">
        <x:f>IF(C1523=0,"n.a.",F1523/C1523)</x:f>
        <x:v>220.94400000000002</x:v>
      </x:c>
      <x:c r="J1523" s="3"/>
      <x:c r="K1523" s="3"/>
      <x:c r="L1523" s="3"/>
    </x:row>
    <x:row r="1524" ht="22" customHeight="1">
      <x:c r="A1524" s="3"/>
      <x:c r="B1524" s="3" t="str">
        <x:v>16225</x:v>
      </x:c>
      <x:c r="C1524" s="3" t="n">
        <x:v>5</x:v>
      </x:c>
      <x:c r="D1524" s="51" t="n">
        <x:v>40842</x:v>
      </x:c>
      <x:c r="E1524" s="3" t="str">
        <x:v>Recurrente</x:v>
      </x:c>
      <x:c r="F1524" s="13" t="n">
        <x:v>1096.32</x:v>
      </x:c>
      <x:c r="G1524" s="13" t="n">
        <x:v>0</x:v>
      </x:c>
      <x:c r="H1524" s="13" t="n">
        <x:f>F1524-G1524</x:f>
        <x:v>1096.32</x:v>
      </x:c>
      <x:c r="I1524" s="13" t="n">
        <x:f>IF(C1524=0,"n.a.",F1524/C1524)</x:f>
        <x:v>219.26399999999998</x:v>
      </x:c>
      <x:c r="J1524" s="3"/>
      <x:c r="K1524" s="3"/>
      <x:c r="L1524" s="3"/>
    </x:row>
    <x:row r="1525" ht="22" customHeight="1">
      <x:c r="A1525" s="3"/>
      <x:c r="B1525" s="3" t="str">
        <x:v>13652</x:v>
      </x:c>
      <x:c r="C1525" s="3" t="n">
        <x:v>3</x:v>
      </x:c>
      <x:c r="D1525" s="51" t="n">
        <x:v>40841</x:v>
      </x:c>
      <x:c r="E1525" s="3" t="str">
        <x:v>Recurrente</x:v>
      </x:c>
      <x:c r="F1525" s="13" t="n">
        <x:v>1095.08</x:v>
      </x:c>
      <x:c r="G1525" s="13" t="n">
        <x:v>0</x:v>
      </x:c>
      <x:c r="H1525" s="13" t="n">
        <x:f>F1525-G1525</x:f>
        <x:v>1095.08</x:v>
      </x:c>
      <x:c r="I1525" s="13" t="n">
        <x:f>IF(C1525=0,"n.a.",F1525/C1525)</x:f>
        <x:v>365.02666666666664</x:v>
      </x:c>
      <x:c r="J1525" s="3"/>
      <x:c r="K1525" s="3"/>
      <x:c r="L1525" s="3"/>
    </x:row>
    <x:row r="1526" ht="22" customHeight="1">
      <x:c r="A1526" s="3"/>
      <x:c r="B1526" s="3" t="str">
        <x:v>15608</x:v>
      </x:c>
      <x:c r="C1526" s="3" t="n">
        <x:v>4</x:v>
      </x:c>
      <x:c r="D1526" s="51" t="n">
        <x:v>40858</x:v>
      </x:c>
      <x:c r="E1526" s="3" t="str">
        <x:v>Recurrente</x:v>
      </x:c>
      <x:c r="F1526" s="13" t="n">
        <x:v>1093.68</x:v>
      </x:c>
      <x:c r="G1526" s="13" t="n">
        <x:v>0</x:v>
      </x:c>
      <x:c r="H1526" s="13" t="n">
        <x:f>F1526-G1526</x:f>
        <x:v>1093.68</x:v>
      </x:c>
      <x:c r="I1526" s="13" t="n">
        <x:f>IF(C1526=0,"n.a.",F1526/C1526)</x:f>
        <x:v>273.42</x:v>
      </x:c>
      <x:c r="J1526" s="3"/>
      <x:c r="K1526" s="3"/>
      <x:c r="L1526" s="3"/>
    </x:row>
    <x:row r="1527" ht="22" customHeight="1">
      <x:c r="A1527" s="3"/>
      <x:c r="B1527" s="3" t="str">
        <x:v>13476</x:v>
      </x:c>
      <x:c r="C1527" s="3" t="n">
        <x:v>2</x:v>
      </x:c>
      <x:c r="D1527" s="51" t="n">
        <x:v>40708</x:v>
      </x:c>
      <x:c r="E1527" s="3" t="str">
        <x:v>Recurrente</x:v>
      </x:c>
      <x:c r="F1527" s="13" t="n">
        <x:v>1238.47</x:v>
      </x:c>
      <x:c r="G1527" s="13" t="n">
        <x:v>145.7</x:v>
      </x:c>
      <x:c r="H1527" s="13" t="n">
        <x:f>F1527-G1527</x:f>
        <x:v>1092.77</x:v>
      </x:c>
      <x:c r="I1527" s="13" t="n">
        <x:f>IF(C1527=0,"n.a.",F1527/C1527)</x:f>
        <x:v>619.235</x:v>
      </x:c>
      <x:c r="J1527" s="3"/>
      <x:c r="K1527" s="3"/>
      <x:c r="L1527" s="3"/>
    </x:row>
    <x:row r="1528" ht="22" customHeight="1">
      <x:c r="A1528" s="3"/>
      <x:c r="B1528" s="3" t="str">
        <x:v>13521</x:v>
      </x:c>
      <x:c r="C1528" s="3" t="n">
        <x:v>3</x:v>
      </x:c>
      <x:c r="D1528" s="51" t="n">
        <x:v>40885</x:v>
      </x:c>
      <x:c r="E1528" s="3" t="str">
        <x:v>Recurrente</x:v>
      </x:c>
      <x:c r="F1528" s="13" t="n">
        <x:v>1092.39</x:v>
      </x:c>
      <x:c r="G1528" s="13" t="n">
        <x:v>0</x:v>
      </x:c>
      <x:c r="H1528" s="13" t="n">
        <x:f>F1528-G1528</x:f>
        <x:v>1092.39</x:v>
      </x:c>
      <x:c r="I1528" s="13" t="n">
        <x:f>IF(C1528=0,"n.a.",F1528/C1528)</x:f>
        <x:v>364.13000000000005</x:v>
      </x:c>
      <x:c r="J1528" s="3"/>
      <x:c r="K1528" s="3"/>
      <x:c r="L1528" s="3"/>
    </x:row>
    <x:row r="1529" ht="22" customHeight="1">
      <x:c r="A1529" s="3"/>
      <x:c r="B1529" s="3" t="str">
        <x:v>12676</x:v>
      </x:c>
      <x:c r="C1529" s="3" t="n">
        <x:v>6</x:v>
      </x:c>
      <x:c r="D1529" s="51" t="n">
        <x:v>40862</x:v>
      </x:c>
      <x:c r="E1529" s="3" t="str">
        <x:v>Recurrente</x:v>
      </x:c>
      <x:c r="F1529" s="13" t="n">
        <x:v>1091.39</x:v>
      </x:c>
      <x:c r="G1529" s="13" t="n">
        <x:v>0</x:v>
      </x:c>
      <x:c r="H1529" s="13" t="n">
        <x:f>F1529-G1529</x:f>
        <x:v>1091.39</x:v>
      </x:c>
      <x:c r="I1529" s="13" t="n">
        <x:f>IF(C1529=0,"n.a.",F1529/C1529)</x:f>
        <x:v>181.89833333333334</x:v>
      </x:c>
      <x:c r="J1529" s="3"/>
      <x:c r="K1529" s="3"/>
      <x:c r="L1529" s="3"/>
    </x:row>
    <x:row r="1530" ht="22" customHeight="1">
      <x:c r="A1530" s="3"/>
      <x:c r="B1530" s="3" t="str">
        <x:v>15489</x:v>
      </x:c>
      <x:c r="C1530" s="3" t="n">
        <x:v>3</x:v>
      </x:c>
      <x:c r="D1530" s="51" t="n">
        <x:v>40864</x:v>
      </x:c>
      <x:c r="E1530" s="3" t="str">
        <x:v>Recurrente</x:v>
      </x:c>
      <x:c r="F1530" s="13" t="n">
        <x:v>1134.28</x:v>
      </x:c>
      <x:c r="G1530" s="13" t="n">
        <x:v>44.25</x:v>
      </x:c>
      <x:c r="H1530" s="13" t="n">
        <x:f>F1530-G1530</x:f>
        <x:v>1090.03</x:v>
      </x:c>
      <x:c r="I1530" s="13" t="n">
        <x:f>IF(C1530=0,"n.a.",F1530/C1530)</x:f>
        <x:v>378.0933333333333</x:v>
      </x:c>
      <x:c r="J1530" s="3"/>
      <x:c r="K1530" s="3"/>
      <x:c r="L1530" s="3"/>
    </x:row>
    <x:row r="1531" ht="22" customHeight="1">
      <x:c r="A1531" s="3"/>
      <x:c r="B1531" s="3" t="str">
        <x:v>14744</x:v>
      </x:c>
      <x:c r="C1531" s="3" t="n">
        <x:v>7</x:v>
      </x:c>
      <x:c r="D1531" s="51" t="n">
        <x:v>40870</x:v>
      </x:c>
      <x:c r="E1531" s="3" t="str">
        <x:v>Recurrente</x:v>
      </x:c>
      <x:c r="F1531" s="13" t="n">
        <x:v>1099.98</x:v>
      </x:c>
      <x:c r="G1531" s="13" t="n">
        <x:v>11.45</x:v>
      </x:c>
      <x:c r="H1531" s="13" t="n">
        <x:f>F1531-G1531</x:f>
        <x:v>1088.53</x:v>
      </x:c>
      <x:c r="I1531" s="13" t="n">
        <x:f>IF(C1531=0,"n.a.",F1531/C1531)</x:f>
        <x:v>157.14000000000001</x:v>
      </x:c>
      <x:c r="J1531" s="3"/>
      <x:c r="K1531" s="3"/>
      <x:c r="L1531" s="3"/>
    </x:row>
    <x:row r="1532" ht="22" customHeight="1">
      <x:c r="A1532" s="3"/>
      <x:c r="B1532" s="3" t="str">
        <x:v>18189</x:v>
      </x:c>
      <x:c r="C1532" s="3" t="n">
        <x:v>2</x:v>
      </x:c>
      <x:c r="D1532" s="51" t="n">
        <x:v>40809</x:v>
      </x:c>
      <x:c r="E1532" s="3" t="str">
        <x:v>Recurrente</x:v>
      </x:c>
      <x:c r="F1532" s="13" t="n">
        <x:v>1090.24</x:v>
      </x:c>
      <x:c r="G1532" s="13" t="n">
        <x:v>5.9</x:v>
      </x:c>
      <x:c r="H1532" s="13" t="n">
        <x:f>F1532-G1532</x:f>
        <x:v>1084.34</x:v>
      </x:c>
      <x:c r="I1532" s="13" t="n">
        <x:f>IF(C1532=0,"n.a.",F1532/C1532)</x:f>
        <x:v>545.12</x:v>
      </x:c>
      <x:c r="J1532" s="3"/>
      <x:c r="K1532" s="3"/>
      <x:c r="L1532" s="3"/>
    </x:row>
    <x:row r="1533" ht="22" customHeight="1">
      <x:c r="A1533" s="3"/>
      <x:c r="B1533" s="3" t="str">
        <x:v>13467</x:v>
      </x:c>
      <x:c r="C1533" s="3" t="n">
        <x:v>2</x:v>
      </x:c>
      <x:c r="D1533" s="51" t="n">
        <x:v>40876</x:v>
      </x:c>
      <x:c r="E1533" s="3" t="str">
        <x:v>Recurrente</x:v>
      </x:c>
      <x:c r="F1533" s="13" t="n">
        <x:v>1083.71</x:v>
      </x:c>
      <x:c r="G1533" s="13" t="n">
        <x:v>0</x:v>
      </x:c>
      <x:c r="H1533" s="13" t="n">
        <x:f>F1533-G1533</x:f>
        <x:v>1083.71</x:v>
      </x:c>
      <x:c r="I1533" s="13" t="n">
        <x:f>IF(C1533=0,"n.a.",F1533/C1533)</x:f>
        <x:v>541.855</x:v>
      </x:c>
      <x:c r="J1533" s="3"/>
      <x:c r="K1533" s="3"/>
      <x:c r="L1533" s="3"/>
    </x:row>
    <x:row r="1534" ht="22" customHeight="1">
      <x:c r="A1534" s="3"/>
      <x:c r="B1534" s="3" t="str">
        <x:v>13310</x:v>
      </x:c>
      <x:c r="C1534" s="3" t="n">
        <x:v>3</x:v>
      </x:c>
      <x:c r="D1534" s="51" t="n">
        <x:v>40858</x:v>
      </x:c>
      <x:c r="E1534" s="3" t="str">
        <x:v>Recurrente</x:v>
      </x:c>
      <x:c r="F1534" s="13" t="n">
        <x:v>1132.03</x:v>
      </x:c>
      <x:c r="G1534" s="13" t="n">
        <x:v>48.4</x:v>
      </x:c>
      <x:c r="H1534" s="13" t="n">
        <x:f>F1534-G1534</x:f>
        <x:v>1083.6299999999999</x:v>
      </x:c>
      <x:c r="I1534" s="13" t="n">
        <x:f>IF(C1534=0,"n.a.",F1534/C1534)</x:f>
        <x:v>377.3433333333333</x:v>
      </x:c>
      <x:c r="J1534" s="3"/>
      <x:c r="K1534" s="3"/>
      <x:c r="L1534" s="3"/>
    </x:row>
    <x:row r="1535" ht="22" customHeight="1">
      <x:c r="A1535" s="3"/>
      <x:c r="B1535" s="3" t="str">
        <x:v>14561</x:v>
      </x:c>
      <x:c r="C1535" s="3" t="n">
        <x:v>3</x:v>
      </x:c>
      <x:c r="D1535" s="51" t="n">
        <x:v>40811</x:v>
      </x:c>
      <x:c r="E1535" s="3" t="str">
        <x:v>Recurrente</x:v>
      </x:c>
      <x:c r="F1535" s="13" t="n">
        <x:v>1080.76</x:v>
      </x:c>
      <x:c r="G1535" s="13" t="n">
        <x:v>0</x:v>
      </x:c>
      <x:c r="H1535" s="13" t="n">
        <x:f>F1535-G1535</x:f>
        <x:v>1080.76</x:v>
      </x:c>
      <x:c r="I1535" s="13" t="n">
        <x:f>IF(C1535=0,"n.a.",F1535/C1535)</x:f>
        <x:v>360.25333333333333</x:v>
      </x:c>
      <x:c r="J1535" s="3"/>
      <x:c r="K1535" s="3"/>
      <x:c r="L1535" s="3"/>
    </x:row>
    <x:row r="1536" ht="22" customHeight="1">
      <x:c r="A1536" s="3"/>
      <x:c r="B1536" s="3" t="str">
        <x:v>16200</x:v>
      </x:c>
      <x:c r="C1536" s="3" t="n">
        <x:v>2</x:v>
      </x:c>
      <x:c r="D1536" s="51" t="n">
        <x:v>40882</x:v>
      </x:c>
      <x:c r="E1536" s="3" t="str">
        <x:v>Recurrente</x:v>
      </x:c>
      <x:c r="F1536" s="13" t="n">
        <x:v>1080.62</x:v>
      </x:c>
      <x:c r="G1536" s="13" t="n">
        <x:v>0</x:v>
      </x:c>
      <x:c r="H1536" s="13" t="n">
        <x:f>F1536-G1536</x:f>
        <x:v>1080.62</x:v>
      </x:c>
      <x:c r="I1536" s="13" t="n">
        <x:f>IF(C1536=0,"n.a.",F1536/C1536)</x:f>
        <x:v>540.31</x:v>
      </x:c>
      <x:c r="J1536" s="3"/>
      <x:c r="K1536" s="3"/>
      <x:c r="L1536" s="3"/>
    </x:row>
    <x:row r="1537" ht="22" customHeight="1">
      <x:c r="A1537" s="3"/>
      <x:c r="B1537" s="3" t="str">
        <x:v>12394</x:v>
      </x:c>
      <x:c r="C1537" s="3" t="n">
        <x:v>2</x:v>
      </x:c>
      <x:c r="D1537" s="51" t="n">
        <x:v>40823</x:v>
      </x:c>
      <x:c r="E1537" s="3" t="str">
        <x:v>Recurrente</x:v>
      </x:c>
      <x:c r="F1537" s="13" t="n">
        <x:v>1080.48</x:v>
      </x:c>
      <x:c r="G1537" s="13" t="n">
        <x:v>0</x:v>
      </x:c>
      <x:c r="H1537" s="13" t="n">
        <x:f>F1537-G1537</x:f>
        <x:v>1080.48</x:v>
      </x:c>
      <x:c r="I1537" s="13" t="n">
        <x:f>IF(C1537=0,"n.a.",F1537/C1537)</x:f>
        <x:v>540.24</x:v>
      </x:c>
      <x:c r="J1537" s="3"/>
      <x:c r="K1537" s="3"/>
      <x:c r="L1537" s="3"/>
    </x:row>
    <x:row r="1538" ht="22" customHeight="1">
      <x:c r="A1538" s="3"/>
      <x:c r="B1538" s="3" t="str">
        <x:v>13726</x:v>
      </x:c>
      <x:c r="C1538" s="3" t="n">
        <x:v>2</x:v>
      </x:c>
      <x:c r="D1538" s="51" t="n">
        <x:v>40848</x:v>
      </x:c>
      <x:c r="E1538" s="3" t="str">
        <x:v>Recurrente</x:v>
      </x:c>
      <x:c r="F1538" s="13" t="n">
        <x:v>1079.66</x:v>
      </x:c>
      <x:c r="G1538" s="13" t="n">
        <x:v>0</x:v>
      </x:c>
      <x:c r="H1538" s="13" t="n">
        <x:f>F1538-G1538</x:f>
        <x:v>1079.66</x:v>
      </x:c>
      <x:c r="I1538" s="13" t="n">
        <x:f>IF(C1538=0,"n.a.",F1538/C1538)</x:f>
        <x:v>539.83</x:v>
      </x:c>
      <x:c r="J1538" s="3"/>
      <x:c r="K1538" s="3"/>
      <x:c r="L1538" s="3"/>
    </x:row>
    <x:row r="1539" ht="22" customHeight="1">
      <x:c r="A1539" s="3"/>
      <x:c r="B1539" s="3" t="str">
        <x:v>12354</x:v>
      </x:c>
      <x:c r="C1539" s="3" t="n">
        <x:v>1</x:v>
      </x:c>
      <x:c r="D1539" s="51" t="n">
        <x:v>40654</x:v>
      </x:c>
      <x:c r="E1539" s="3" t="str">
        <x:v>Una compra</x:v>
      </x:c>
      <x:c r="F1539" s="13" t="n">
        <x:v>1079.4</x:v>
      </x:c>
      <x:c r="G1539" s="13" t="n">
        <x:v>0</x:v>
      </x:c>
      <x:c r="H1539" s="13" t="n">
        <x:f>F1539-G1539</x:f>
        <x:v>1079.4</x:v>
      </x:c>
      <x:c r="I1539" s="13" t="n">
        <x:f>IF(C1539=0,"n.a.",F1539/C1539)</x:f>
        <x:v>1079.4</x:v>
      </x:c>
      <x:c r="J1539" s="3"/>
      <x:c r="K1539" s="3"/>
      <x:c r="L1539" s="3"/>
    </x:row>
    <x:row r="1540" ht="22" customHeight="1">
      <x:c r="A1540" s="3"/>
      <x:c r="B1540" s="3" t="str">
        <x:v>14352</x:v>
      </x:c>
      <x:c r="C1540" s="3" t="n">
        <x:v>4</x:v>
      </x:c>
      <x:c r="D1540" s="51" t="n">
        <x:v>40729</x:v>
      </x:c>
      <x:c r="E1540" s="3" t="str">
        <x:v>Recurrente</x:v>
      </x:c>
      <x:c r="F1540" s="13" t="n">
        <x:v>1078.96</x:v>
      </x:c>
      <x:c r="G1540" s="13" t="n">
        <x:v>0</x:v>
      </x:c>
      <x:c r="H1540" s="13" t="n">
        <x:f>F1540-G1540</x:f>
        <x:v>1078.96</x:v>
      </x:c>
      <x:c r="I1540" s="13" t="n">
        <x:f>IF(C1540=0,"n.a.",F1540/C1540)</x:f>
        <x:v>269.74</x:v>
      </x:c>
      <x:c r="J1540" s="3"/>
      <x:c r="K1540" s="3"/>
      <x:c r="L1540" s="3"/>
    </x:row>
    <x:row r="1541" ht="22" customHeight="1">
      <x:c r="A1541" s="3"/>
      <x:c r="B1541" s="3" t="str">
        <x:v>16980</x:v>
      </x:c>
      <x:c r="C1541" s="3" t="n">
        <x:v>2</x:v>
      </x:c>
      <x:c r="D1541" s="51" t="n">
        <x:v>40631</x:v>
      </x:c>
      <x:c r="E1541" s="3" t="str">
        <x:v>Recurrente</x:v>
      </x:c>
      <x:c r="F1541" s="13" t="n">
        <x:v>1078.96</x:v>
      </x:c>
      <x:c r="G1541" s="13" t="n">
        <x:v>0</x:v>
      </x:c>
      <x:c r="H1541" s="13" t="n">
        <x:f>F1541-G1541</x:f>
        <x:v>1078.96</x:v>
      </x:c>
      <x:c r="I1541" s="13" t="n">
        <x:f>IF(C1541=0,"n.a.",F1541/C1541)</x:f>
        <x:v>539.48</x:v>
      </x:c>
      <x:c r="J1541" s="3"/>
      <x:c r="K1541" s="3"/>
      <x:c r="L1541" s="3"/>
    </x:row>
    <x:row r="1542" ht="22" customHeight="1">
      <x:c r="A1542" s="3"/>
      <x:c r="B1542" s="3" t="str">
        <x:v>16563</x:v>
      </x:c>
      <x:c r="C1542" s="3" t="n">
        <x:v>1</x:v>
      </x:c>
      <x:c r="D1542" s="51" t="n">
        <x:v>40833</x:v>
      </x:c>
      <x:c r="E1542" s="3" t="str">
        <x:v>Una compra</x:v>
      </x:c>
      <x:c r="F1542" s="13" t="n">
        <x:v>1077.74</x:v>
      </x:c>
      <x:c r="G1542" s="13" t="n">
        <x:v>0</x:v>
      </x:c>
      <x:c r="H1542" s="13" t="n">
        <x:f>F1542-G1542</x:f>
        <x:v>1077.74</x:v>
      </x:c>
      <x:c r="I1542" s="13" t="n">
        <x:f>IF(C1542=0,"n.a.",F1542/C1542)</x:f>
        <x:v>1077.74</x:v>
      </x:c>
      <x:c r="J1542" s="3"/>
      <x:c r="K1542" s="3"/>
      <x:c r="L1542" s="3"/>
    </x:row>
    <x:row r="1543" ht="22" customHeight="1">
      <x:c r="A1543" s="3"/>
      <x:c r="B1543" s="3" t="str">
        <x:v>17828</x:v>
      </x:c>
      <x:c r="C1543" s="3" t="n">
        <x:v>4</x:v>
      </x:c>
      <x:c r="D1543" s="51" t="n">
        <x:v>40864</x:v>
      </x:c>
      <x:c r="E1543" s="3" t="str">
        <x:v>Recurrente</x:v>
      </x:c>
      <x:c r="F1543" s="13" t="n">
        <x:v>1165.09</x:v>
      </x:c>
      <x:c r="G1543" s="13" t="n">
        <x:v>90.12</x:v>
      </x:c>
      <x:c r="H1543" s="13" t="n">
        <x:f>F1543-G1543</x:f>
        <x:v>1074.9699999999998</x:v>
      </x:c>
      <x:c r="I1543" s="13" t="n">
        <x:f>IF(C1543=0,"n.a.",F1543/C1543)</x:f>
        <x:v>291.2725</x:v>
      </x:c>
      <x:c r="J1543" s="3"/>
      <x:c r="K1543" s="3"/>
      <x:c r="L1543" s="3"/>
    </x:row>
    <x:row r="1544" ht="22" customHeight="1">
      <x:c r="A1544" s="3"/>
      <x:c r="B1544" s="3" t="str">
        <x:v>15712</x:v>
      </x:c>
      <x:c r="C1544" s="3" t="n">
        <x:v>5</x:v>
      </x:c>
      <x:c r="D1544" s="51" t="n">
        <x:v>40877</x:v>
      </x:c>
      <x:c r="E1544" s="3" t="str">
        <x:v>Recurrente</x:v>
      </x:c>
      <x:c r="F1544" s="13" t="n">
        <x:v>1072.36</x:v>
      </x:c>
      <x:c r="G1544" s="13" t="n">
        <x:v>0</x:v>
      </x:c>
      <x:c r="H1544" s="13" t="n">
        <x:f>F1544-G1544</x:f>
        <x:v>1072.36</x:v>
      </x:c>
      <x:c r="I1544" s="13" t="n">
        <x:f>IF(C1544=0,"n.a.",F1544/C1544)</x:f>
        <x:v>214.47199999999998</x:v>
      </x:c>
      <x:c r="J1544" s="3"/>
      <x:c r="K1544" s="3"/>
      <x:c r="L1544" s="3"/>
    </x:row>
    <x:row r="1545" ht="22" customHeight="1">
      <x:c r="A1545" s="3"/>
      <x:c r="B1545" s="3" t="str">
        <x:v>15745</x:v>
      </x:c>
      <x:c r="C1545" s="3" t="n">
        <x:v>4</x:v>
      </x:c>
      <x:c r="D1545" s="51" t="n">
        <x:v>40867</x:v>
      </x:c>
      <x:c r="E1545" s="3" t="str">
        <x:v>Recurrente</x:v>
      </x:c>
      <x:c r="F1545" s="13" t="n">
        <x:v>1094.59</x:v>
      </x:c>
      <x:c r="G1545" s="13" t="n">
        <x:v>23.35</x:v>
      </x:c>
      <x:c r="H1545" s="13" t="n">
        <x:f>F1545-G1545</x:f>
        <x:v>1071.24</x:v>
      </x:c>
      <x:c r="I1545" s="13" t="n">
        <x:f>IF(C1545=0,"n.a.",F1545/C1545)</x:f>
        <x:v>273.6475</x:v>
      </x:c>
      <x:c r="J1545" s="3"/>
      <x:c r="K1545" s="3"/>
      <x:c r="L1545" s="3"/>
    </x:row>
    <x:row r="1546" ht="22" customHeight="1">
      <x:c r="A1546" s="3"/>
      <x:c r="B1546" s="3" t="str">
        <x:v>13635</x:v>
      </x:c>
      <x:c r="C1546" s="3" t="n">
        <x:v>1</x:v>
      </x:c>
      <x:c r="D1546" s="51" t="n">
        <x:v>40819</x:v>
      </x:c>
      <x:c r="E1546" s="3" t="str">
        <x:v>Una compra</x:v>
      </x:c>
      <x:c r="F1546" s="13" t="n">
        <x:v>1071.03</x:v>
      </x:c>
      <x:c r="G1546" s="13" t="n">
        <x:v>0</x:v>
      </x:c>
      <x:c r="H1546" s="13" t="n">
        <x:f>F1546-G1546</x:f>
        <x:v>1071.03</x:v>
      </x:c>
      <x:c r="I1546" s="13" t="n">
        <x:f>IF(C1546=0,"n.a.",F1546/C1546)</x:f>
        <x:v>1071.03</x:v>
      </x:c>
      <x:c r="J1546" s="3"/>
      <x:c r="K1546" s="3"/>
      <x:c r="L1546" s="3"/>
    </x:row>
    <x:row r="1547" ht="22" customHeight="1">
      <x:c r="A1547" s="3"/>
      <x:c r="B1547" s="3" t="str">
        <x:v>13761</x:v>
      </x:c>
      <x:c r="C1547" s="3" t="n">
        <x:v>2</x:v>
      </x:c>
      <x:c r="D1547" s="51" t="n">
        <x:v>40836</x:v>
      </x:c>
      <x:c r="E1547" s="3" t="str">
        <x:v>Recurrente</x:v>
      </x:c>
      <x:c r="F1547" s="13" t="n">
        <x:v>1070.65</x:v>
      </x:c>
      <x:c r="G1547" s="13" t="n">
        <x:v>0</x:v>
      </x:c>
      <x:c r="H1547" s="13" t="n">
        <x:f>F1547-G1547</x:f>
        <x:v>1070.65</x:v>
      </x:c>
      <x:c r="I1547" s="13" t="n">
        <x:f>IF(C1547=0,"n.a.",F1547/C1547)</x:f>
        <x:v>535.325</x:v>
      </x:c>
      <x:c r="J1547" s="3"/>
      <x:c r="K1547" s="3"/>
      <x:c r="L1547" s="3"/>
    </x:row>
    <x:row r="1548" ht="22" customHeight="1">
      <x:c r="A1548" s="3"/>
      <x:c r="B1548" s="3" t="str">
        <x:v>14212</x:v>
      </x:c>
      <x:c r="C1548" s="3" t="n">
        <x:v>1</x:v>
      </x:c>
      <x:c r="D1548" s="51" t="n">
        <x:v>40797</x:v>
      </x:c>
      <x:c r="E1548" s="3" t="str">
        <x:v>Una compra</x:v>
      </x:c>
      <x:c r="F1548" s="13" t="n">
        <x:v>1070.48</x:v>
      </x:c>
      <x:c r="G1548" s="13" t="n">
        <x:v>0</x:v>
      </x:c>
      <x:c r="H1548" s="13" t="n">
        <x:f>F1548-G1548</x:f>
        <x:v>1070.48</x:v>
      </x:c>
      <x:c r="I1548" s="13" t="n">
        <x:f>IF(C1548=0,"n.a.",F1548/C1548)</x:f>
        <x:v>1070.48</x:v>
      </x:c>
      <x:c r="J1548" s="3"/>
      <x:c r="K1548" s="3"/>
      <x:c r="L1548" s="3"/>
    </x:row>
    <x:row r="1549" ht="22" customHeight="1">
      <x:c r="A1549" s="3"/>
      <x:c r="B1549" s="3" t="str">
        <x:v>14948</x:v>
      </x:c>
      <x:c r="C1549" s="3" t="n">
        <x:v>6</x:v>
      </x:c>
      <x:c r="D1549" s="51" t="n">
        <x:v>40863</x:v>
      </x:c>
      <x:c r="E1549" s="3" t="str">
        <x:v>Recurrente</x:v>
      </x:c>
      <x:c r="F1549" s="13" t="n">
        <x:v>1101.97</x:v>
      </x:c>
      <x:c r="G1549" s="13" t="n">
        <x:v>35.4</x:v>
      </x:c>
      <x:c r="H1549" s="13" t="n">
        <x:f>F1549-G1549</x:f>
        <x:v>1066.57</x:v>
      </x:c>
      <x:c r="I1549" s="13" t="n">
        <x:f>IF(C1549=0,"n.a.",F1549/C1549)</x:f>
        <x:v>183.66166666666666</x:v>
      </x:c>
      <x:c r="J1549" s="3"/>
      <x:c r="K1549" s="3"/>
      <x:c r="L1549" s="3"/>
    </x:row>
    <x:row r="1550" ht="22" customHeight="1">
      <x:c r="A1550" s="3"/>
      <x:c r="B1550" s="3" t="str">
        <x:v>17522</x:v>
      </x:c>
      <x:c r="C1550" s="3" t="n">
        <x:v>5</x:v>
      </x:c>
      <x:c r="D1550" s="51" t="n">
        <x:v>40885</x:v>
      </x:c>
      <x:c r="E1550" s="3" t="str">
        <x:v>Recurrente</x:v>
      </x:c>
      <x:c r="F1550" s="13" t="n">
        <x:v>1066.15</x:v>
      </x:c>
      <x:c r="G1550" s="13" t="n">
        <x:v>0</x:v>
      </x:c>
      <x:c r="H1550" s="13" t="n">
        <x:f>F1550-G1550</x:f>
        <x:v>1066.15</x:v>
      </x:c>
      <x:c r="I1550" s="13" t="n">
        <x:f>IF(C1550=0,"n.a.",F1550/C1550)</x:f>
        <x:v>213.23000000000002</x:v>
      </x:c>
      <x:c r="J1550" s="3"/>
      <x:c r="K1550" s="3"/>
      <x:c r="L1550" s="3"/>
    </x:row>
    <x:row r="1551" ht="22" customHeight="1">
      <x:c r="A1551" s="3"/>
      <x:c r="B1551" s="3" t="str">
        <x:v>17041</x:v>
      </x:c>
      <x:c r="C1551" s="3" t="n">
        <x:v>3</x:v>
      </x:c>
      <x:c r="D1551" s="51" t="n">
        <x:v>40860</x:v>
      </x:c>
      <x:c r="E1551" s="3" t="str">
        <x:v>Recurrente</x:v>
      </x:c>
      <x:c r="F1551" s="13" t="n">
        <x:v>1081.57</x:v>
      </x:c>
      <x:c r="G1551" s="13" t="n">
        <x:v>15.8</x:v>
      </x:c>
      <x:c r="H1551" s="13" t="n">
        <x:f>F1551-G1551</x:f>
        <x:v>1065.77</x:v>
      </x:c>
      <x:c r="I1551" s="13" t="n">
        <x:f>IF(C1551=0,"n.a.",F1551/C1551)</x:f>
        <x:v>360.5233333333333</x:v>
      </x:c>
      <x:c r="J1551" s="3"/>
      <x:c r="K1551" s="3"/>
      <x:c r="L1551" s="3"/>
    </x:row>
    <x:row r="1552" ht="22" customHeight="1">
      <x:c r="A1552" s="3"/>
      <x:c r="B1552" s="3" t="str">
        <x:v>17277</x:v>
      </x:c>
      <x:c r="C1552" s="3" t="n">
        <x:v>2</x:v>
      </x:c>
      <x:c r="D1552" s="51" t="n">
        <x:v>40659</x:v>
      </x:c>
      <x:c r="E1552" s="3" t="str">
        <x:v>Recurrente</x:v>
      </x:c>
      <x:c r="F1552" s="13" t="n">
        <x:v>1065.35</x:v>
      </x:c>
      <x:c r="G1552" s="13" t="n">
        <x:v>0</x:v>
      </x:c>
      <x:c r="H1552" s="13" t="n">
        <x:f>F1552-G1552</x:f>
        <x:v>1065.35</x:v>
      </x:c>
      <x:c r="I1552" s="13" t="n">
        <x:f>IF(C1552=0,"n.a.",F1552/C1552)</x:f>
        <x:v>532.675</x:v>
      </x:c>
      <x:c r="J1552" s="3"/>
      <x:c r="K1552" s="3"/>
      <x:c r="L1552" s="3"/>
    </x:row>
    <x:row r="1553" ht="22" customHeight="1">
      <x:c r="A1553" s="3"/>
      <x:c r="B1553" s="3" t="str">
        <x:v>17287</x:v>
      </x:c>
      <x:c r="C1553" s="3" t="n">
        <x:v>7</x:v>
      </x:c>
      <x:c r="D1553" s="51" t="n">
        <x:v>40860</x:v>
      </x:c>
      <x:c r="E1553" s="3" t="str">
        <x:v>Recurrente</x:v>
      </x:c>
      <x:c r="F1553" s="13" t="n">
        <x:v>1064.11</x:v>
      </x:c>
      <x:c r="G1553" s="13" t="n">
        <x:v>0</x:v>
      </x:c>
      <x:c r="H1553" s="13" t="n">
        <x:f>F1553-G1553</x:f>
        <x:v>1064.11</x:v>
      </x:c>
      <x:c r="I1553" s="13" t="n">
        <x:f>IF(C1553=0,"n.a.",F1553/C1553)</x:f>
        <x:v>152.01571428571427</x:v>
      </x:c>
      <x:c r="J1553" s="3"/>
      <x:c r="K1553" s="3"/>
      <x:c r="L1553" s="3"/>
    </x:row>
    <x:row r="1554" ht="22" customHeight="1">
      <x:c r="A1554" s="3"/>
      <x:c r="B1554" s="3" t="str">
        <x:v>14411</x:v>
      </x:c>
      <x:c r="C1554" s="3" t="n">
        <x:v>1</x:v>
      </x:c>
      <x:c r="D1554" s="51" t="n">
        <x:v>40576</x:v>
      </x:c>
      <x:c r="E1554" s="3" t="str">
        <x:v>Una compra</x:v>
      </x:c>
      <x:c r="F1554" s="13" t="n">
        <x:v>1063</x:v>
      </x:c>
      <x:c r="G1554" s="13" t="n">
        <x:v>0</x:v>
      </x:c>
      <x:c r="H1554" s="13" t="n">
        <x:f>F1554-G1554</x:f>
        <x:v>1063</x:v>
      </x:c>
      <x:c r="I1554" s="13" t="n">
        <x:f>IF(C1554=0,"n.a.",F1554/C1554)</x:f>
        <x:v>1063</x:v>
      </x:c>
      <x:c r="J1554" s="3"/>
      <x:c r="K1554" s="3"/>
      <x:c r="L1554" s="3"/>
    </x:row>
    <x:row r="1555" ht="22" customHeight="1">
      <x:c r="A1555" s="3"/>
      <x:c r="B1555" s="3" t="str">
        <x:v>16214</x:v>
      </x:c>
      <x:c r="C1555" s="3" t="n">
        <x:v>3</x:v>
      </x:c>
      <x:c r="D1555" s="51" t="n">
        <x:v>40716</x:v>
      </x:c>
      <x:c r="E1555" s="3" t="str">
        <x:v>Recurrente</x:v>
      </x:c>
      <x:c r="F1555" s="13" t="n">
        <x:v>1062.75</x:v>
      </x:c>
      <x:c r="G1555" s="13" t="n">
        <x:v>0</x:v>
      </x:c>
      <x:c r="H1555" s="13" t="n">
        <x:f>F1555-G1555</x:f>
        <x:v>1062.75</x:v>
      </x:c>
      <x:c r="I1555" s="13" t="n">
        <x:f>IF(C1555=0,"n.a.",F1555/C1555)</x:f>
        <x:v>354.25</x:v>
      </x:c>
      <x:c r="J1555" s="3"/>
      <x:c r="K1555" s="3"/>
      <x:c r="L1555" s="3"/>
    </x:row>
    <x:row r="1556" ht="22" customHeight="1">
      <x:c r="A1556" s="3"/>
      <x:c r="B1556" s="3" t="str">
        <x:v>14465</x:v>
      </x:c>
      <x:c r="C1556" s="3" t="n">
        <x:v>3</x:v>
      </x:c>
      <x:c r="D1556" s="51" t="n">
        <x:v>40640</x:v>
      </x:c>
      <x:c r="E1556" s="3" t="str">
        <x:v>Recurrente</x:v>
      </x:c>
      <x:c r="F1556" s="13" t="n">
        <x:v>1058.62</x:v>
      </x:c>
      <x:c r="G1556" s="13" t="n">
        <x:v>0</x:v>
      </x:c>
      <x:c r="H1556" s="13" t="n">
        <x:f>F1556-G1556</x:f>
        <x:v>1058.62</x:v>
      </x:c>
      <x:c r="I1556" s="13" t="n">
        <x:f>IF(C1556=0,"n.a.",F1556/C1556)</x:f>
        <x:v>352.8733333333333</x:v>
      </x:c>
      <x:c r="J1556" s="3"/>
      <x:c r="K1556" s="3"/>
      <x:c r="L1556" s="3"/>
    </x:row>
    <x:row r="1557" ht="22" customHeight="1">
      <x:c r="A1557" s="3"/>
      <x:c r="B1557" s="3" t="str">
        <x:v>14419</x:v>
      </x:c>
      <x:c r="C1557" s="3" t="n">
        <x:v>6</x:v>
      </x:c>
      <x:c r="D1557" s="51" t="n">
        <x:v>40876</x:v>
      </x:c>
      <x:c r="E1557" s="3" t="str">
        <x:v>Recurrente</x:v>
      </x:c>
      <x:c r="F1557" s="13" t="n">
        <x:v>1058.06</x:v>
      </x:c>
      <x:c r="G1557" s="13" t="n">
        <x:v>0</x:v>
      </x:c>
      <x:c r="H1557" s="13" t="n">
        <x:f>F1557-G1557</x:f>
        <x:v>1058.06</x:v>
      </x:c>
      <x:c r="I1557" s="13" t="n">
        <x:f>IF(C1557=0,"n.a.",F1557/C1557)</x:f>
        <x:v>176.34333333333333</x:v>
      </x:c>
      <x:c r="J1557" s="3"/>
      <x:c r="K1557" s="3"/>
      <x:c r="L1557" s="3"/>
    </x:row>
    <x:row r="1558" ht="22" customHeight="1">
      <x:c r="A1558" s="3"/>
      <x:c r="B1558" s="3" t="str">
        <x:v>13853</x:v>
      </x:c>
      <x:c r="C1558" s="3" t="n">
        <x:v>1</x:v>
      </x:c>
      <x:c r="D1558" s="51" t="n">
        <x:v>40829</x:v>
      </x:c>
      <x:c r="E1558" s="3" t="str">
        <x:v>Una compra</x:v>
      </x:c>
      <x:c r="F1558" s="13" t="n">
        <x:v>1090.14</x:v>
      </x:c>
      <x:c r="G1558" s="13" t="n">
        <x:v>33.2</x:v>
      </x:c>
      <x:c r="H1558" s="13" t="n">
        <x:f>F1558-G1558</x:f>
        <x:v>1056.94</x:v>
      </x:c>
      <x:c r="I1558" s="13" t="n">
        <x:f>IF(C1558=0,"n.a.",F1558/C1558)</x:f>
        <x:v>1090.14</x:v>
      </x:c>
      <x:c r="J1558" s="3"/>
      <x:c r="K1558" s="3"/>
      <x:c r="L1558" s="3"/>
    </x:row>
    <x:row r="1559" ht="22" customHeight="1">
      <x:c r="A1559" s="3"/>
      <x:c r="B1559" s="3" t="str">
        <x:v>15238</x:v>
      </x:c>
      <x:c r="C1559" s="3" t="n">
        <x:v>3</x:v>
      </x:c>
      <x:c r="D1559" s="51" t="n">
        <x:v>40857</x:v>
      </x:c>
      <x:c r="E1559" s="3" t="str">
        <x:v>Recurrente</x:v>
      </x:c>
      <x:c r="F1559" s="13" t="n">
        <x:v>1071.99</x:v>
      </x:c>
      <x:c r="G1559" s="13" t="n">
        <x:v>15.45</x:v>
      </x:c>
      <x:c r="H1559" s="13" t="n">
        <x:f>F1559-G1559</x:f>
        <x:v>1056.54</x:v>
      </x:c>
      <x:c r="I1559" s="13" t="n">
        <x:f>IF(C1559=0,"n.a.",F1559/C1559)</x:f>
        <x:v>357.33</x:v>
      </x:c>
      <x:c r="J1559" s="3"/>
      <x:c r="K1559" s="3"/>
      <x:c r="L1559" s="3"/>
    </x:row>
    <x:row r="1560" ht="22" customHeight="1">
      <x:c r="A1560" s="3"/>
      <x:c r="B1560" s="3" t="str">
        <x:v>15407</x:v>
      </x:c>
      <x:c r="C1560" s="3" t="n">
        <x:v>4</x:v>
      </x:c>
      <x:c r="D1560" s="51" t="n">
        <x:v>40853</x:v>
      </x:c>
      <x:c r="E1560" s="3" t="str">
        <x:v>Recurrente</x:v>
      </x:c>
      <x:c r="F1560" s="13" t="n">
        <x:v>1056.44</x:v>
      </x:c>
      <x:c r="G1560" s="13" t="n">
        <x:v>0</x:v>
      </x:c>
      <x:c r="H1560" s="13" t="n">
        <x:f>F1560-G1560</x:f>
        <x:v>1056.44</x:v>
      </x:c>
      <x:c r="I1560" s="13" t="n">
        <x:f>IF(C1560=0,"n.a.",F1560/C1560)</x:f>
        <x:v>264.11</x:v>
      </x:c>
      <x:c r="J1560" s="3"/>
      <x:c r="K1560" s="3"/>
      <x:c r="L1560" s="3"/>
    </x:row>
    <x:row r="1561" ht="22" customHeight="1">
      <x:c r="A1561" s="3"/>
      <x:c r="B1561" s="3" t="str">
        <x:v>14514</x:v>
      </x:c>
      <x:c r="C1561" s="3" t="n">
        <x:v>3</x:v>
      </x:c>
      <x:c r="D1561" s="51" t="n">
        <x:v>40825</x:v>
      </x:c>
      <x:c r="E1561" s="3" t="str">
        <x:v>Recurrente</x:v>
      </x:c>
      <x:c r="F1561" s="13" t="n">
        <x:v>1055.35</x:v>
      </x:c>
      <x:c r="G1561" s="13" t="n">
        <x:v>0</x:v>
      </x:c>
      <x:c r="H1561" s="13" t="n">
        <x:f>F1561-G1561</x:f>
        <x:v>1055.35</x:v>
      </x:c>
      <x:c r="I1561" s="13" t="n">
        <x:f>IF(C1561=0,"n.a.",F1561/C1561)</x:f>
        <x:v>351.7833333333333</x:v>
      </x:c>
      <x:c r="J1561" s="3"/>
      <x:c r="K1561" s="3"/>
      <x:c r="L1561" s="3"/>
    </x:row>
    <x:row r="1562" ht="22" customHeight="1">
      <x:c r="A1562" s="3"/>
      <x:c r="B1562" s="3" t="str">
        <x:v>15977</x:v>
      </x:c>
      <x:c r="C1562" s="3" t="n">
        <x:v>2</x:v>
      </x:c>
      <x:c r="D1562" s="51" t="n">
        <x:v>40869</x:v>
      </x:c>
      <x:c r="E1562" s="3" t="str">
        <x:v>Recurrente</x:v>
      </x:c>
      <x:c r="F1562" s="13" t="n">
        <x:v>1054.73</x:v>
      </x:c>
      <x:c r="G1562" s="13" t="n">
        <x:v>0</x:v>
      </x:c>
      <x:c r="H1562" s="13" t="n">
        <x:f>F1562-G1562</x:f>
        <x:v>1054.73</x:v>
      </x:c>
      <x:c r="I1562" s="13" t="n">
        <x:f>IF(C1562=0,"n.a.",F1562/C1562)</x:f>
        <x:v>527.365</x:v>
      </x:c>
      <x:c r="J1562" s="3"/>
      <x:c r="K1562" s="3"/>
      <x:c r="L1562" s="3"/>
    </x:row>
    <x:row r="1563" ht="22" customHeight="1">
      <x:c r="A1563" s="3"/>
      <x:c r="B1563" s="3" t="str">
        <x:v>16728</x:v>
      </x:c>
      <x:c r="C1563" s="3" t="n">
        <x:v>4</x:v>
      </x:c>
      <x:c r="D1563" s="51" t="n">
        <x:v>40840</x:v>
      </x:c>
      <x:c r="E1563" s="3" t="str">
        <x:v>Recurrente</x:v>
      </x:c>
      <x:c r="F1563" s="13" t="n">
        <x:v>1054.67</x:v>
      </x:c>
      <x:c r="G1563" s="13" t="n">
        <x:v>0</x:v>
      </x:c>
      <x:c r="H1563" s="13" t="n">
        <x:f>F1563-G1563</x:f>
        <x:v>1054.67</x:v>
      </x:c>
      <x:c r="I1563" s="13" t="n">
        <x:f>IF(C1563=0,"n.a.",F1563/C1563)</x:f>
        <x:v>263.6675</x:v>
      </x:c>
      <x:c r="J1563" s="3"/>
      <x:c r="K1563" s="3"/>
      <x:c r="L1563" s="3"/>
    </x:row>
    <x:row r="1564" ht="22" customHeight="1">
      <x:c r="A1564" s="3"/>
      <x:c r="B1564" s="3" t="str">
        <x:v>13715</x:v>
      </x:c>
      <x:c r="C1564" s="3" t="n">
        <x:v>5</x:v>
      </x:c>
      <x:c r="D1564" s="51" t="n">
        <x:v>40605</x:v>
      </x:c>
      <x:c r="E1564" s="3" t="str">
        <x:v>Recurrente</x:v>
      </x:c>
      <x:c r="F1564" s="13" t="n">
        <x:v>1079.34</x:v>
      </x:c>
      <x:c r="G1564" s="13" t="n">
        <x:v>25.4</x:v>
      </x:c>
      <x:c r="H1564" s="13" t="n">
        <x:f>F1564-G1564</x:f>
        <x:v>1053.9399999999998</x:v>
      </x:c>
      <x:c r="I1564" s="13" t="n">
        <x:f>IF(C1564=0,"n.a.",F1564/C1564)</x:f>
        <x:v>215.868</x:v>
      </x:c>
      <x:c r="J1564" s="3"/>
      <x:c r="K1564" s="3"/>
      <x:c r="L1564" s="3"/>
    </x:row>
    <x:row r="1565" ht="22" customHeight="1">
      <x:c r="A1565" s="3"/>
      <x:c r="B1565" s="3" t="str">
        <x:v>14583</x:v>
      </x:c>
      <x:c r="C1565" s="3" t="n">
        <x:v>5</x:v>
      </x:c>
      <x:c r="D1565" s="51" t="n">
        <x:v>40881</x:v>
      </x:c>
      <x:c r="E1565" s="3" t="str">
        <x:v>Recurrente</x:v>
      </x:c>
      <x:c r="F1565" s="13" t="n">
        <x:v>1052.55</x:v>
      </x:c>
      <x:c r="G1565" s="13" t="n">
        <x:v>0</x:v>
      </x:c>
      <x:c r="H1565" s="13" t="n">
        <x:f>F1565-G1565</x:f>
        <x:v>1052.55</x:v>
      </x:c>
      <x:c r="I1565" s="13" t="n">
        <x:f>IF(C1565=0,"n.a.",F1565/C1565)</x:f>
        <x:v>210.51</x:v>
      </x:c>
      <x:c r="J1565" s="3"/>
      <x:c r="K1565" s="3"/>
      <x:c r="L1565" s="3"/>
    </x:row>
    <x:row r="1566" ht="22" customHeight="1">
      <x:c r="A1566" s="3"/>
      <x:c r="B1566" s="3" t="str">
        <x:v>15027</x:v>
      </x:c>
      <x:c r="C1566" s="3" t="n">
        <x:v>4</x:v>
      </x:c>
      <x:c r="D1566" s="51" t="n">
        <x:v>40856</x:v>
      </x:c>
      <x:c r="E1566" s="3" t="str">
        <x:v>Recurrente</x:v>
      </x:c>
      <x:c r="F1566" s="13" t="n">
        <x:v>1066.15</x:v>
      </x:c>
      <x:c r="G1566" s="13" t="n">
        <x:v>14.2</x:v>
      </x:c>
      <x:c r="H1566" s="13" t="n">
        <x:f>F1566-G1566</x:f>
        <x:v>1051.95</x:v>
      </x:c>
      <x:c r="I1566" s="13" t="n">
        <x:f>IF(C1566=0,"n.a.",F1566/C1566)</x:f>
        <x:v>266.5375</x:v>
      </x:c>
      <x:c r="J1566" s="3"/>
      <x:c r="K1566" s="3"/>
      <x:c r="L1566" s="3"/>
    </x:row>
    <x:row r="1567" ht="22" customHeight="1">
      <x:c r="A1567" s="3"/>
      <x:c r="B1567" s="3" t="str">
        <x:v>14224</x:v>
      </x:c>
      <x:c r="C1567" s="3" t="n">
        <x:v>4</x:v>
      </x:c>
      <x:c r="D1567" s="51" t="n">
        <x:v>40776</x:v>
      </x:c>
      <x:c r="E1567" s="3" t="str">
        <x:v>Recurrente</x:v>
      </x:c>
      <x:c r="F1567" s="13" t="n">
        <x:v>1050.12</x:v>
      </x:c>
      <x:c r="G1567" s="13" t="n">
        <x:v>0</x:v>
      </x:c>
      <x:c r="H1567" s="13" t="n">
        <x:f>F1567-G1567</x:f>
        <x:v>1050.12</x:v>
      </x:c>
      <x:c r="I1567" s="13" t="n">
        <x:f>IF(C1567=0,"n.a.",F1567/C1567)</x:f>
        <x:v>262.53</x:v>
      </x:c>
      <x:c r="J1567" s="3"/>
      <x:c r="K1567" s="3"/>
      <x:c r="L1567" s="3"/>
    </x:row>
    <x:row r="1568" ht="22" customHeight="1">
      <x:c r="A1568" s="3"/>
      <x:c r="B1568" s="3" t="str">
        <x:v>14078</x:v>
      </x:c>
      <x:c r="C1568" s="3" t="n">
        <x:v>6</x:v>
      </x:c>
      <x:c r="D1568" s="51" t="n">
        <x:v>40785</x:v>
      </x:c>
      <x:c r="E1568" s="3" t="str">
        <x:v>Recurrente</x:v>
      </x:c>
      <x:c r="F1568" s="13" t="n">
        <x:v>1049.37</x:v>
      </x:c>
      <x:c r="G1568" s="13" t="n">
        <x:v>0</x:v>
      </x:c>
      <x:c r="H1568" s="13" t="n">
        <x:f>F1568-G1568</x:f>
        <x:v>1049.37</x:v>
      </x:c>
      <x:c r="I1568" s="13" t="n">
        <x:f>IF(C1568=0,"n.a.",F1568/C1568)</x:f>
        <x:v>174.89499999999998</x:v>
      </x:c>
      <x:c r="J1568" s="3"/>
      <x:c r="K1568" s="3"/>
      <x:c r="L1568" s="3"/>
    </x:row>
    <x:row r="1569" ht="22" customHeight="1">
      <x:c r="A1569" s="3"/>
      <x:c r="B1569" s="3" t="str">
        <x:v>15464</x:v>
      </x:c>
      <x:c r="C1569" s="3" t="n">
        <x:v>1</x:v>
      </x:c>
      <x:c r="D1569" s="51" t="n">
        <x:v>40548</x:v>
      </x:c>
      <x:c r="E1569" s="3" t="str">
        <x:v>Una compra</x:v>
      </x:c>
      <x:c r="F1569" s="13" t="n">
        <x:v>1048.85</x:v>
      </x:c>
      <x:c r="G1569" s="13" t="n">
        <x:v>0</x:v>
      </x:c>
      <x:c r="H1569" s="13" t="n">
        <x:f>F1569-G1569</x:f>
        <x:v>1048.85</x:v>
      </x:c>
      <x:c r="I1569" s="13" t="n">
        <x:f>IF(C1569=0,"n.a.",F1569/C1569)</x:f>
        <x:v>1048.85</x:v>
      </x:c>
      <x:c r="J1569" s="3"/>
      <x:c r="K1569" s="3"/>
      <x:c r="L1569" s="3"/>
    </x:row>
    <x:row r="1570" ht="22" customHeight="1">
      <x:c r="A1570" s="3"/>
      <x:c r="B1570" s="3" t="str">
        <x:v>15763</x:v>
      </x:c>
      <x:c r="C1570" s="3" t="n">
        <x:v>2</x:v>
      </x:c>
      <x:c r="D1570" s="51" t="n">
        <x:v>40855</x:v>
      </x:c>
      <x:c r="E1570" s="3" t="str">
        <x:v>Recurrente</x:v>
      </x:c>
      <x:c r="F1570" s="13" t="n">
        <x:v>1086.92</x:v>
      </x:c>
      <x:c r="G1570" s="13" t="n">
        <x:v>38.25</x:v>
      </x:c>
      <x:c r="H1570" s="13" t="n">
        <x:f>F1570-G1570</x:f>
        <x:v>1048.67</x:v>
      </x:c>
      <x:c r="I1570" s="13" t="n">
        <x:f>IF(C1570=0,"n.a.",F1570/C1570)</x:f>
        <x:v>543.46</x:v>
      </x:c>
      <x:c r="J1570" s="3"/>
      <x:c r="K1570" s="3"/>
      <x:c r="L1570" s="3"/>
    </x:row>
    <x:row r="1571" ht="22" customHeight="1">
      <x:c r="A1571" s="3"/>
      <x:c r="B1571" s="3" t="str">
        <x:v>13282</x:v>
      </x:c>
      <x:c r="C1571" s="3" t="n">
        <x:v>3</x:v>
      </x:c>
      <x:c r="D1571" s="51" t="n">
        <x:v>40868</x:v>
      </x:c>
      <x:c r="E1571" s="3" t="str">
        <x:v>Recurrente</x:v>
      </x:c>
      <x:c r="F1571" s="13" t="n">
        <x:v>1132.14</x:v>
      </x:c>
      <x:c r="G1571" s="13" t="n">
        <x:v>84.3</x:v>
      </x:c>
      <x:c r="H1571" s="13" t="n">
        <x:f>F1571-G1571</x:f>
        <x:v>1047.8400000000001</x:v>
      </x:c>
      <x:c r="I1571" s="13" t="n">
        <x:f>IF(C1571=0,"n.a.",F1571/C1571)</x:f>
        <x:v>377.38000000000005</x:v>
      </x:c>
      <x:c r="J1571" s="3"/>
      <x:c r="K1571" s="3"/>
      <x:c r="L1571" s="3"/>
    </x:row>
    <x:row r="1572" ht="22" customHeight="1">
      <x:c r="A1572" s="3"/>
      <x:c r="B1572" s="3" t="str">
        <x:v>13791</x:v>
      </x:c>
      <x:c r="C1572" s="3" t="n">
        <x:v>2</x:v>
      </x:c>
      <x:c r="D1572" s="51" t="n">
        <x:v>40759</x:v>
      </x:c>
      <x:c r="E1572" s="3" t="str">
        <x:v>Recurrente</x:v>
      </x:c>
      <x:c r="F1572" s="13" t="n">
        <x:v>1516</x:v>
      </x:c>
      <x:c r="G1572" s="13" t="n">
        <x:v>468.32</x:v>
      </x:c>
      <x:c r="H1572" s="13" t="n">
        <x:f>F1572-G1572</x:f>
        <x:v>1047.68</x:v>
      </x:c>
      <x:c r="I1572" s="13" t="n">
        <x:f>IF(C1572=0,"n.a.",F1572/C1572)</x:f>
        <x:v>758</x:v>
      </x:c>
      <x:c r="J1572" s="3"/>
      <x:c r="K1572" s="3"/>
      <x:c r="L1572" s="3"/>
    </x:row>
    <x:row r="1573" ht="22" customHeight="1">
      <x:c r="A1573" s="3"/>
      <x:c r="B1573" s="3" t="str">
        <x:v>14488</x:v>
      </x:c>
      <x:c r="C1573" s="3" t="n">
        <x:v>1</x:v>
      </x:c>
      <x:c r="D1573" s="51" t="n">
        <x:v>40819</x:v>
      </x:c>
      <x:c r="E1573" s="3" t="str">
        <x:v>Una compra</x:v>
      </x:c>
      <x:c r="F1573" s="13" t="n">
        <x:v>1064.28</x:v>
      </x:c>
      <x:c r="G1573" s="13" t="n">
        <x:v>16.85</x:v>
      </x:c>
      <x:c r="H1573" s="13" t="n">
        <x:f>F1573-G1573</x:f>
        <x:v>1047.43</x:v>
      </x:c>
      <x:c r="I1573" s="13" t="n">
        <x:f>IF(C1573=0,"n.a.",F1573/C1573)</x:f>
        <x:v>1064.28</x:v>
      </x:c>
      <x:c r="J1573" s="3"/>
      <x:c r="K1573" s="3"/>
      <x:c r="L1573" s="3"/>
    </x:row>
    <x:row r="1574" ht="22" customHeight="1">
      <x:c r="A1574" s="3"/>
      <x:c r="B1574" s="3" t="str">
        <x:v>14293</x:v>
      </x:c>
      <x:c r="C1574" s="3" t="n">
        <x:v>4</x:v>
      </x:c>
      <x:c r="D1574" s="51" t="n">
        <x:v>40883</x:v>
      </x:c>
      <x:c r="E1574" s="3" t="str">
        <x:v>Recurrente</x:v>
      </x:c>
      <x:c r="F1574" s="13" t="n">
        <x:v>1046.56</x:v>
      </x:c>
      <x:c r="G1574" s="13" t="n">
        <x:v>0</x:v>
      </x:c>
      <x:c r="H1574" s="13" t="n">
        <x:f>F1574-G1574</x:f>
        <x:v>1046.56</x:v>
      </x:c>
      <x:c r="I1574" s="13" t="n">
        <x:f>IF(C1574=0,"n.a.",F1574/C1574)</x:f>
        <x:v>261.64</x:v>
      </x:c>
      <x:c r="J1574" s="3"/>
      <x:c r="K1574" s="3"/>
      <x:c r="L1574" s="3"/>
    </x:row>
    <x:row r="1575" ht="22" customHeight="1">
      <x:c r="A1575" s="3"/>
      <x:c r="B1575" s="3" t="str">
        <x:v>18130</x:v>
      </x:c>
      <x:c r="C1575" s="3" t="n">
        <x:v>3</x:v>
      </x:c>
      <x:c r="D1575" s="51" t="n">
        <x:v>40871</x:v>
      </x:c>
      <x:c r="E1575" s="3" t="str">
        <x:v>Recurrente</x:v>
      </x:c>
      <x:c r="F1575" s="13" t="n">
        <x:v>1059.39</x:v>
      </x:c>
      <x:c r="G1575" s="13" t="n">
        <x:v>13.65</x:v>
      </x:c>
      <x:c r="H1575" s="13" t="n">
        <x:f>F1575-G1575</x:f>
        <x:v>1045.74</x:v>
      </x:c>
      <x:c r="I1575" s="13" t="n">
        <x:f>IF(C1575=0,"n.a.",F1575/C1575)</x:f>
        <x:v>353.13000000000005</x:v>
      </x:c>
      <x:c r="J1575" s="3"/>
      <x:c r="K1575" s="3"/>
      <x:c r="L1575" s="3"/>
    </x:row>
    <x:row r="1576" ht="22" customHeight="1">
      <x:c r="A1576" s="3"/>
      <x:c r="B1576" s="3" t="str">
        <x:v>15996</x:v>
      </x:c>
      <x:c r="C1576" s="3" t="n">
        <x:v>6</x:v>
      </x:c>
      <x:c r="D1576" s="51" t="n">
        <x:v>40798</x:v>
      </x:c>
      <x:c r="E1576" s="3" t="str">
        <x:v>Recurrente</x:v>
      </x:c>
      <x:c r="F1576" s="13" t="n">
        <x:v>1060.68</x:v>
      </x:c>
      <x:c r="G1576" s="13" t="n">
        <x:v>15.9</x:v>
      </x:c>
      <x:c r="H1576" s="13" t="n">
        <x:f>F1576-G1576</x:f>
        <x:v>1044.78</x:v>
      </x:c>
      <x:c r="I1576" s="13" t="n">
        <x:f>IF(C1576=0,"n.a.",F1576/C1576)</x:f>
        <x:v>176.78</x:v>
      </x:c>
      <x:c r="J1576" s="3"/>
      <x:c r="K1576" s="3"/>
      <x:c r="L1576" s="3"/>
    </x:row>
    <x:row r="1577" ht="22" customHeight="1">
      <x:c r="A1577" s="3"/>
      <x:c r="B1577" s="3" t="str">
        <x:v>17042</x:v>
      </x:c>
      <x:c r="C1577" s="3" t="n">
        <x:v>5</x:v>
      </x:c>
      <x:c r="D1577" s="51" t="n">
        <x:v>40884</x:v>
      </x:c>
      <x:c r="E1577" s="3" t="str">
        <x:v>Recurrente</x:v>
      </x:c>
      <x:c r="F1577" s="13" t="n">
        <x:v>1044.38</x:v>
      </x:c>
      <x:c r="G1577" s="13" t="n">
        <x:v>0</x:v>
      </x:c>
      <x:c r="H1577" s="13" t="n">
        <x:f>F1577-G1577</x:f>
        <x:v>1044.38</x:v>
      </x:c>
      <x:c r="I1577" s="13" t="n">
        <x:f>IF(C1577=0,"n.a.",F1577/C1577)</x:f>
        <x:v>208.87600000000003</x:v>
      </x:c>
      <x:c r="J1577" s="3"/>
      <x:c r="K1577" s="3"/>
      <x:c r="L1577" s="3"/>
    </x:row>
    <x:row r="1578" ht="22" customHeight="1">
      <x:c r="A1578" s="3"/>
      <x:c r="B1578" s="3" t="str">
        <x:v>15192</x:v>
      </x:c>
      <x:c r="C1578" s="3" t="n">
        <x:v>3</x:v>
      </x:c>
      <x:c r="D1578" s="51" t="n">
        <x:v>40767</x:v>
      </x:c>
      <x:c r="E1578" s="3" t="str">
        <x:v>Recurrente</x:v>
      </x:c>
      <x:c r="F1578" s="13" t="n">
        <x:v>1044.32</x:v>
      </x:c>
      <x:c r="G1578" s="13" t="n">
        <x:v>0</x:v>
      </x:c>
      <x:c r="H1578" s="13" t="n">
        <x:f>F1578-G1578</x:f>
        <x:v>1044.32</x:v>
      </x:c>
      <x:c r="I1578" s="13" t="n">
        <x:f>IF(C1578=0,"n.a.",F1578/C1578)</x:f>
        <x:v>348.1066666666666</x:v>
      </x:c>
      <x:c r="J1578" s="3"/>
      <x:c r="K1578" s="3"/>
      <x:c r="L1578" s="3"/>
    </x:row>
    <x:row r="1579" ht="22" customHeight="1">
      <x:c r="A1579" s="3"/>
      <x:c r="B1579" s="3" t="str">
        <x:v>16918</x:v>
      </x:c>
      <x:c r="C1579" s="3" t="n">
        <x:v>6</x:v>
      </x:c>
      <x:c r="D1579" s="51" t="n">
        <x:v>40837</x:v>
      </x:c>
      <x:c r="E1579" s="3" t="str">
        <x:v>Recurrente</x:v>
      </x:c>
      <x:c r="F1579" s="13" t="n">
        <x:v>1068.82</x:v>
      </x:c>
      <x:c r="G1579" s="13" t="n">
        <x:v>25.48</x:v>
      </x:c>
      <x:c r="H1579" s="13" t="n">
        <x:f>F1579-G1579</x:f>
        <x:v>1043.34</x:v>
      </x:c>
      <x:c r="I1579" s="13" t="n">
        <x:f>IF(C1579=0,"n.a.",F1579/C1579)</x:f>
        <x:v>178.13666666666666</x:v>
      </x:c>
      <x:c r="J1579" s="3"/>
      <x:c r="K1579" s="3"/>
      <x:c r="L1579" s="3"/>
    </x:row>
    <x:row r="1580" ht="22" customHeight="1">
      <x:c r="A1580" s="3"/>
      <x:c r="B1580" s="3" t="str">
        <x:v>17727</x:v>
      </x:c>
      <x:c r="C1580" s="3" t="n">
        <x:v>1</x:v>
      </x:c>
      <x:c r="D1580" s="51" t="n">
        <x:v>40871</x:v>
      </x:c>
      <x:c r="E1580" s="3" t="str">
        <x:v>Una compra</x:v>
      </x:c>
      <x:c r="F1580" s="13" t="n">
        <x:v>1060.25</x:v>
      </x:c>
      <x:c r="G1580" s="13" t="n">
        <x:v>17.7</x:v>
      </x:c>
      <x:c r="H1580" s="13" t="n">
        <x:f>F1580-G1580</x:f>
        <x:v>1042.55</x:v>
      </x:c>
      <x:c r="I1580" s="13" t="n">
        <x:f>IF(C1580=0,"n.a.",F1580/C1580)</x:f>
        <x:v>1060.25</x:v>
      </x:c>
      <x:c r="J1580" s="3"/>
      <x:c r="K1580" s="3"/>
      <x:c r="L1580" s="3"/>
    </x:row>
    <x:row r="1581" ht="22" customHeight="1">
      <x:c r="A1581" s="3"/>
      <x:c r="B1581" s="3" t="str">
        <x:v>15801</x:v>
      </x:c>
      <x:c r="C1581" s="3" t="n">
        <x:v>3</x:v>
      </x:c>
      <x:c r="D1581" s="51" t="n">
        <x:v>40840</x:v>
      </x:c>
      <x:c r="E1581" s="3" t="str">
        <x:v>Recurrente</x:v>
      </x:c>
      <x:c r="F1581" s="13" t="n">
        <x:v>1063.95</x:v>
      </x:c>
      <x:c r="G1581" s="13" t="n">
        <x:v>21.76</x:v>
      </x:c>
      <x:c r="H1581" s="13" t="n">
        <x:f>F1581-G1581</x:f>
        <x:v>1042.19</x:v>
      </x:c>
      <x:c r="I1581" s="13" t="n">
        <x:f>IF(C1581=0,"n.a.",F1581/C1581)</x:f>
        <x:v>354.65000000000003</x:v>
      </x:c>
      <x:c r="J1581" s="3"/>
      <x:c r="K1581" s="3"/>
      <x:c r="L1581" s="3"/>
    </x:row>
    <x:row r="1582" ht="22" customHeight="1">
      <x:c r="A1582" s="3"/>
      <x:c r="B1582" s="3" t="str">
        <x:v>12951</x:v>
      </x:c>
      <x:c r="C1582" s="3" t="n">
        <x:v>6</x:v>
      </x:c>
      <x:c r="D1582" s="51" t="n">
        <x:v>40878</x:v>
      </x:c>
      <x:c r="E1582" s="3" t="str">
        <x:v>Recurrente</x:v>
      </x:c>
      <x:c r="F1582" s="13" t="n">
        <x:v>1064.07</x:v>
      </x:c>
      <x:c r="G1582" s="13" t="n">
        <x:v>22</x:v>
      </x:c>
      <x:c r="H1582" s="13" t="n">
        <x:f>F1582-G1582</x:f>
        <x:v>1042.07</x:v>
      </x:c>
      <x:c r="I1582" s="13" t="n">
        <x:f>IF(C1582=0,"n.a.",F1582/C1582)</x:f>
        <x:v>177.345</x:v>
      </x:c>
      <x:c r="J1582" s="3"/>
      <x:c r="K1582" s="3"/>
      <x:c r="L1582" s="3"/>
    </x:row>
    <x:row r="1583" ht="22" customHeight="1">
      <x:c r="A1583" s="3"/>
      <x:c r="B1583" s="3" t="str">
        <x:v>16094</x:v>
      </x:c>
      <x:c r="C1583" s="3" t="n">
        <x:v>4</x:v>
      </x:c>
      <x:c r="D1583" s="51" t="n">
        <x:v>40875</x:v>
      </x:c>
      <x:c r="E1583" s="3" t="str">
        <x:v>Recurrente</x:v>
      </x:c>
      <x:c r="F1583" s="13" t="n">
        <x:v>1078.23</x:v>
      </x:c>
      <x:c r="G1583" s="13" t="n">
        <x:v>36.4</x:v>
      </x:c>
      <x:c r="H1583" s="13" t="n">
        <x:f>F1583-G1583</x:f>
        <x:v>1041.83</x:v>
      </x:c>
      <x:c r="I1583" s="13" t="n">
        <x:f>IF(C1583=0,"n.a.",F1583/C1583)</x:f>
        <x:v>269.5575</x:v>
      </x:c>
      <x:c r="J1583" s="3"/>
      <x:c r="K1583" s="3"/>
      <x:c r="L1583" s="3"/>
    </x:row>
    <x:row r="1584" ht="22" customHeight="1">
      <x:c r="A1584" s="3"/>
      <x:c r="B1584" s="3" t="str">
        <x:v>13719</x:v>
      </x:c>
      <x:c r="C1584" s="3" t="n">
        <x:v>5</x:v>
      </x:c>
      <x:c r="D1584" s="51" t="n">
        <x:v>40871</x:v>
      </x:c>
      <x:c r="E1584" s="3" t="str">
        <x:v>Recurrente</x:v>
      </x:c>
      <x:c r="F1584" s="13" t="n">
        <x:v>1041.68</x:v>
      </x:c>
      <x:c r="G1584" s="13" t="n">
        <x:v>0</x:v>
      </x:c>
      <x:c r="H1584" s="13" t="n">
        <x:f>F1584-G1584</x:f>
        <x:v>1041.68</x:v>
      </x:c>
      <x:c r="I1584" s="13" t="n">
        <x:f>IF(C1584=0,"n.a.",F1584/C1584)</x:f>
        <x:v>208.336</x:v>
      </x:c>
      <x:c r="J1584" s="3"/>
      <x:c r="K1584" s="3"/>
      <x:c r="L1584" s="3"/>
    </x:row>
    <x:row r="1585" ht="22" customHeight="1">
      <x:c r="A1585" s="3"/>
      <x:c r="B1585" s="3" t="str">
        <x:v>13131</x:v>
      </x:c>
      <x:c r="C1585" s="3" t="n">
        <x:v>3</x:v>
      </x:c>
      <x:c r="D1585" s="51" t="n">
        <x:v>40863</x:v>
      </x:c>
      <x:c r="E1585" s="3" t="str">
        <x:v>Recurrente</x:v>
      </x:c>
      <x:c r="F1585" s="13" t="n">
        <x:v>1073.3</x:v>
      </x:c>
      <x:c r="G1585" s="13" t="n">
        <x:v>34</x:v>
      </x:c>
      <x:c r="H1585" s="13" t="n">
        <x:f>F1585-G1585</x:f>
        <x:v>1039.3</x:v>
      </x:c>
      <x:c r="I1585" s="13" t="n">
        <x:f>IF(C1585=0,"n.a.",F1585/C1585)</x:f>
        <x:v>357.76666666666665</x:v>
      </x:c>
      <x:c r="J1585" s="3"/>
      <x:c r="K1585" s="3"/>
      <x:c r="L1585" s="3"/>
    </x:row>
    <x:row r="1586" ht="22" customHeight="1">
      <x:c r="A1586" s="3"/>
      <x:c r="B1586" s="3" t="str">
        <x:v>16320</x:v>
      </x:c>
      <x:c r="C1586" s="3" t="n">
        <x:v>2</x:v>
      </x:c>
      <x:c r="D1586" s="51" t="n">
        <x:v>40714</x:v>
      </x:c>
      <x:c r="E1586" s="3" t="str">
        <x:v>Recurrente</x:v>
      </x:c>
      <x:c r="F1586" s="13" t="n">
        <x:v>1038.46</x:v>
      </x:c>
      <x:c r="G1586" s="13" t="n">
        <x:v>0</x:v>
      </x:c>
      <x:c r="H1586" s="13" t="n">
        <x:f>F1586-G1586</x:f>
        <x:v>1038.46</x:v>
      </x:c>
      <x:c r="I1586" s="13" t="n">
        <x:f>IF(C1586=0,"n.a.",F1586/C1586)</x:f>
        <x:v>519.23</x:v>
      </x:c>
      <x:c r="J1586" s="3"/>
      <x:c r="K1586" s="3"/>
      <x:c r="L1586" s="3"/>
    </x:row>
    <x:row r="1587" ht="22" customHeight="1">
      <x:c r="A1587" s="3"/>
      <x:c r="B1587" s="3" t="str">
        <x:v>16175</x:v>
      </x:c>
      <x:c r="C1587" s="3" t="n">
        <x:v>4</x:v>
      </x:c>
      <x:c r="D1587" s="51" t="n">
        <x:v>40792</x:v>
      </x:c>
      <x:c r="E1587" s="3" t="str">
        <x:v>Recurrente</x:v>
      </x:c>
      <x:c r="F1587" s="13" t="n">
        <x:v>1037.59</x:v>
      </x:c>
      <x:c r="G1587" s="13" t="n">
        <x:v>0</x:v>
      </x:c>
      <x:c r="H1587" s="13" t="n">
        <x:f>F1587-G1587</x:f>
        <x:v>1037.59</x:v>
      </x:c>
      <x:c r="I1587" s="13" t="n">
        <x:f>IF(C1587=0,"n.a.",F1587/C1587)</x:f>
        <x:v>259.3975</x:v>
      </x:c>
      <x:c r="J1587" s="3"/>
      <x:c r="K1587" s="3"/>
      <x:c r="L1587" s="3"/>
    </x:row>
    <x:row r="1588" ht="22" customHeight="1">
      <x:c r="A1588" s="3"/>
      <x:c r="B1588" s="3" t="str">
        <x:v>15985</x:v>
      </x:c>
      <x:c r="C1588" s="3" t="n">
        <x:v>2</x:v>
      </x:c>
      <x:c r="D1588" s="51" t="n">
        <x:v>40763</x:v>
      </x:c>
      <x:c r="E1588" s="3" t="str">
        <x:v>Recurrente</x:v>
      </x:c>
      <x:c r="F1588" s="13" t="n">
        <x:v>1142.42</x:v>
      </x:c>
      <x:c r="G1588" s="13" t="n">
        <x:v>105</x:v>
      </x:c>
      <x:c r="H1588" s="13" t="n">
        <x:f>F1588-G1588</x:f>
        <x:v>1037.42</x:v>
      </x:c>
      <x:c r="I1588" s="13" t="n">
        <x:f>IF(C1588=0,"n.a.",F1588/C1588)</x:f>
        <x:v>571.21</x:v>
      </x:c>
      <x:c r="J1588" s="3"/>
      <x:c r="K1588" s="3"/>
      <x:c r="L1588" s="3"/>
    </x:row>
    <x:row r="1589" ht="22" customHeight="1">
      <x:c r="A1589" s="3"/>
      <x:c r="B1589" s="3" t="str">
        <x:v>16520</x:v>
      </x:c>
      <x:c r="C1589" s="3" t="n">
        <x:v>3</x:v>
      </x:c>
      <x:c r="D1589" s="51" t="n">
        <x:v>40700</x:v>
      </x:c>
      <x:c r="E1589" s="3" t="str">
        <x:v>Recurrente</x:v>
      </x:c>
      <x:c r="F1589" s="13" t="n">
        <x:v>1046.57</x:v>
      </x:c>
      <x:c r="G1589" s="13" t="n">
        <x:v>9.95</x:v>
      </x:c>
      <x:c r="H1589" s="13" t="n">
        <x:f>F1589-G1589</x:f>
        <x:v>1036.62</x:v>
      </x:c>
      <x:c r="I1589" s="13" t="n">
        <x:f>IF(C1589=0,"n.a.",F1589/C1589)</x:f>
        <x:v>348.8566666666666</x:v>
      </x:c>
      <x:c r="J1589" s="3"/>
      <x:c r="K1589" s="3"/>
      <x:c r="L1589" s="3"/>
    </x:row>
    <x:row r="1590" ht="22" customHeight="1">
      <x:c r="A1590" s="3"/>
      <x:c r="B1590" s="3" t="str">
        <x:v>16260</x:v>
      </x:c>
      <x:c r="C1590" s="3" t="n">
        <x:v>1</x:v>
      </x:c>
      <x:c r="D1590" s="51" t="n">
        <x:v>40836</x:v>
      </x:c>
      <x:c r="E1590" s="3" t="str">
        <x:v>Una compra</x:v>
      </x:c>
      <x:c r="F1590" s="13" t="n">
        <x:v>1035.45</x:v>
      </x:c>
      <x:c r="G1590" s="13" t="n">
        <x:v>0</x:v>
      </x:c>
      <x:c r="H1590" s="13" t="n">
        <x:f>F1590-G1590</x:f>
        <x:v>1035.45</x:v>
      </x:c>
      <x:c r="I1590" s="13" t="n">
        <x:f>IF(C1590=0,"n.a.",F1590/C1590)</x:f>
        <x:v>1035.45</x:v>
      </x:c>
      <x:c r="J1590" s="3"/>
      <x:c r="K1590" s="3"/>
      <x:c r="L1590" s="3"/>
    </x:row>
    <x:row r="1591" ht="22" customHeight="1">
      <x:c r="A1591" s="3"/>
      <x:c r="B1591" s="3" t="str">
        <x:v>14446</x:v>
      </x:c>
      <x:c r="C1591" s="3" t="n">
        <x:v>4</x:v>
      </x:c>
      <x:c r="D1591" s="51" t="n">
        <x:v>40886</x:v>
      </x:c>
      <x:c r="E1591" s="3" t="str">
        <x:v>Recurrente</x:v>
      </x:c>
      <x:c r="F1591" s="13" t="n">
        <x:v>1034.78</x:v>
      </x:c>
      <x:c r="G1591" s="13" t="n">
        <x:v>0</x:v>
      </x:c>
      <x:c r="H1591" s="13" t="n">
        <x:f>F1591-G1591</x:f>
        <x:v>1034.78</x:v>
      </x:c>
      <x:c r="I1591" s="13" t="n">
        <x:f>IF(C1591=0,"n.a.",F1591/C1591)</x:f>
        <x:v>258.695</x:v>
      </x:c>
      <x:c r="J1591" s="3"/>
      <x:c r="K1591" s="3"/>
      <x:c r="L1591" s="3"/>
    </x:row>
    <x:row r="1592" ht="22" customHeight="1">
      <x:c r="A1592" s="3"/>
      <x:c r="B1592" s="3" t="str">
        <x:v>15171</x:v>
      </x:c>
      <x:c r="C1592" s="3" t="n">
        <x:v>1</x:v>
      </x:c>
      <x:c r="D1592" s="51" t="n">
        <x:v>40555</x:v>
      </x:c>
      <x:c r="E1592" s="3" t="str">
        <x:v>Una compra</x:v>
      </x:c>
      <x:c r="F1592" s="13" t="n">
        <x:v>1289.5</x:v>
      </x:c>
      <x:c r="G1592" s="13" t="n">
        <x:v>255</x:v>
      </x:c>
      <x:c r="H1592" s="13" t="n">
        <x:f>F1592-G1592</x:f>
        <x:v>1034.5</x:v>
      </x:c>
      <x:c r="I1592" s="13" t="n">
        <x:f>IF(C1592=0,"n.a.",F1592/C1592)</x:f>
        <x:v>1289.5</x:v>
      </x:c>
      <x:c r="J1592" s="3"/>
      <x:c r="K1592" s="3"/>
      <x:c r="L1592" s="3"/>
    </x:row>
    <x:row r="1593" ht="22" customHeight="1">
      <x:c r="A1593" s="3"/>
      <x:c r="B1593" s="3" t="str">
        <x:v>12399</x:v>
      </x:c>
      <x:c r="C1593" s="3" t="n">
        <x:v>4</x:v>
      </x:c>
      <x:c r="D1593" s="51" t="n">
        <x:v>40767</x:v>
      </x:c>
      <x:c r="E1593" s="3" t="str">
        <x:v>Recurrente</x:v>
      </x:c>
      <x:c r="F1593" s="13" t="n">
        <x:v>1033.65</x:v>
      </x:c>
      <x:c r="G1593" s="13" t="n">
        <x:v>0</x:v>
      </x:c>
      <x:c r="H1593" s="13" t="n">
        <x:f>F1593-G1593</x:f>
        <x:v>1033.65</x:v>
      </x:c>
      <x:c r="I1593" s="13" t="n">
        <x:f>IF(C1593=0,"n.a.",F1593/C1593)</x:f>
        <x:v>258.4125</x:v>
      </x:c>
      <x:c r="J1593" s="3"/>
      <x:c r="K1593" s="3"/>
      <x:c r="L1593" s="3"/>
    </x:row>
    <x:row r="1594" ht="22" customHeight="1">
      <x:c r="A1594" s="3"/>
      <x:c r="B1594" s="3" t="str">
        <x:v>13639</x:v>
      </x:c>
      <x:c r="C1594" s="3" t="n">
        <x:v>1</x:v>
      </x:c>
      <x:c r="D1594" s="51" t="n">
        <x:v>40812</x:v>
      </x:c>
      <x:c r="E1594" s="3" t="str">
        <x:v>Una compra</x:v>
      </x:c>
      <x:c r="F1594" s="13" t="n">
        <x:v>1033.34</x:v>
      </x:c>
      <x:c r="G1594" s="13" t="n">
        <x:v>0</x:v>
      </x:c>
      <x:c r="H1594" s="13" t="n">
        <x:f>F1594-G1594</x:f>
        <x:v>1033.34</x:v>
      </x:c>
      <x:c r="I1594" s="13" t="n">
        <x:f>IF(C1594=0,"n.a.",F1594/C1594)</x:f>
        <x:v>1033.34</x:v>
      </x:c>
      <x:c r="J1594" s="3"/>
      <x:c r="K1594" s="3"/>
      <x:c r="L1594" s="3"/>
    </x:row>
    <x:row r="1595" ht="22" customHeight="1">
      <x:c r="A1595" s="3"/>
      <x:c r="B1595" s="3" t="str">
        <x:v>18221</x:v>
      </x:c>
      <x:c r="C1595" s="3" t="n">
        <x:v>5</x:v>
      </x:c>
      <x:c r="D1595" s="51" t="n">
        <x:v>40864</x:v>
      </x:c>
      <x:c r="E1595" s="3" t="str">
        <x:v>Recurrente</x:v>
      </x:c>
      <x:c r="F1595" s="13" t="n">
        <x:v>1041.61</x:v>
      </x:c>
      <x:c r="G1595" s="13" t="n">
        <x:v>8.3</x:v>
      </x:c>
      <x:c r="H1595" s="13" t="n">
        <x:f>F1595-G1595</x:f>
        <x:v>1033.31</x:v>
      </x:c>
      <x:c r="I1595" s="13" t="n">
        <x:f>IF(C1595=0,"n.a.",F1595/C1595)</x:f>
        <x:v>208.32199999999997</x:v>
      </x:c>
      <x:c r="J1595" s="3"/>
      <x:c r="K1595" s="3"/>
      <x:c r="L1595" s="3"/>
    </x:row>
    <x:row r="1596" ht="22" customHeight="1">
      <x:c r="A1596" s="3"/>
      <x:c r="B1596" s="3" t="str">
        <x:v>12849</x:v>
      </x:c>
      <x:c r="C1596" s="3" t="n">
        <x:v>2</x:v>
      </x:c>
      <x:c r="D1596" s="51" t="n">
        <x:v>40855</x:v>
      </x:c>
      <x:c r="E1596" s="3" t="str">
        <x:v>Recurrente</x:v>
      </x:c>
      <x:c r="F1596" s="13" t="n">
        <x:v>1033.25</x:v>
      </x:c>
      <x:c r="G1596" s="13" t="n">
        <x:v>0</x:v>
      </x:c>
      <x:c r="H1596" s="13" t="n">
        <x:f>F1596-G1596</x:f>
        <x:v>1033.25</x:v>
      </x:c>
      <x:c r="I1596" s="13" t="n">
        <x:f>IF(C1596=0,"n.a.",F1596/C1596)</x:f>
        <x:v>516.625</x:v>
      </x:c>
      <x:c r="J1596" s="3"/>
      <x:c r="K1596" s="3"/>
      <x:c r="L1596" s="3"/>
    </x:row>
    <x:row r="1597" ht="22" customHeight="1">
      <x:c r="A1597" s="3"/>
      <x:c r="B1597" s="3" t="str">
        <x:v>16416</x:v>
      </x:c>
      <x:c r="C1597" s="3" t="n">
        <x:v>3</x:v>
      </x:c>
      <x:c r="D1597" s="51" t="n">
        <x:v>40860</x:v>
      </x:c>
      <x:c r="E1597" s="3" t="str">
        <x:v>Recurrente</x:v>
      </x:c>
      <x:c r="F1597" s="13" t="n">
        <x:v>1051.4</x:v>
      </x:c>
      <x:c r="G1597" s="13" t="n">
        <x:v>20</x:v>
      </x:c>
      <x:c r="H1597" s="13" t="n">
        <x:f>F1597-G1597</x:f>
        <x:v>1031.4</x:v>
      </x:c>
      <x:c r="I1597" s="13" t="n">
        <x:f>IF(C1597=0,"n.a.",F1597/C1597)</x:f>
        <x:v>350.4666666666667</x:v>
      </x:c>
      <x:c r="J1597" s="3"/>
      <x:c r="K1597" s="3"/>
      <x:c r="L1597" s="3"/>
    </x:row>
    <x:row r="1598" ht="22" customHeight="1">
      <x:c r="A1598" s="3"/>
      <x:c r="B1598" s="3" t="str">
        <x:v>13235</x:v>
      </x:c>
      <x:c r="C1598" s="3" t="n">
        <x:v>1</x:v>
      </x:c>
      <x:c r="D1598" s="51" t="n">
        <x:v>40674</x:v>
      </x:c>
      <x:c r="E1598" s="3" t="str">
        <x:v>Una compra</x:v>
      </x:c>
      <x:c r="F1598" s="13" t="n">
        <x:v>1031.07</x:v>
      </x:c>
      <x:c r="G1598" s="13" t="n">
        <x:v>0</x:v>
      </x:c>
      <x:c r="H1598" s="13" t="n">
        <x:f>F1598-G1598</x:f>
        <x:v>1031.07</x:v>
      </x:c>
      <x:c r="I1598" s="13" t="n">
        <x:f>IF(C1598=0,"n.a.",F1598/C1598)</x:f>
        <x:v>1031.07</x:v>
      </x:c>
      <x:c r="J1598" s="3"/>
      <x:c r="K1598" s="3"/>
      <x:c r="L1598" s="3"/>
    </x:row>
    <x:row r="1599" ht="22" customHeight="1">
      <x:c r="A1599" s="3"/>
      <x:c r="B1599" s="3" t="str">
        <x:v>12630</x:v>
      </x:c>
      <x:c r="C1599" s="3" t="n">
        <x:v>2</x:v>
      </x:c>
      <x:c r="D1599" s="51" t="n">
        <x:v>40877</x:v>
      </x:c>
      <x:c r="E1599" s="3" t="str">
        <x:v>Recurrente</x:v>
      </x:c>
      <x:c r="F1599" s="13" t="n">
        <x:v>1030.88</x:v>
      </x:c>
      <x:c r="G1599" s="13" t="n">
        <x:v>0</x:v>
      </x:c>
      <x:c r="H1599" s="13" t="n">
        <x:f>F1599-G1599</x:f>
        <x:v>1030.88</x:v>
      </x:c>
      <x:c r="I1599" s="13" t="n">
        <x:f>IF(C1599=0,"n.a.",F1599/C1599)</x:f>
        <x:v>515.44</x:v>
      </x:c>
      <x:c r="J1599" s="3"/>
      <x:c r="K1599" s="3"/>
      <x:c r="L1599" s="3"/>
    </x:row>
    <x:row r="1600" ht="22" customHeight="1">
      <x:c r="A1600" s="3"/>
      <x:c r="B1600" s="3" t="str">
        <x:v>13253</x:v>
      </x:c>
      <x:c r="C1600" s="3" t="n">
        <x:v>2</x:v>
      </x:c>
      <x:c r="D1600" s="51" t="n">
        <x:v>40730</x:v>
      </x:c>
      <x:c r="E1600" s="3" t="str">
        <x:v>Recurrente</x:v>
      </x:c>
      <x:c r="F1600" s="13" t="n">
        <x:v>1030.4</x:v>
      </x:c>
      <x:c r="G1600" s="13" t="n">
        <x:v>0</x:v>
      </x:c>
      <x:c r="H1600" s="13" t="n">
        <x:f>F1600-G1600</x:f>
        <x:v>1030.4</x:v>
      </x:c>
      <x:c r="I1600" s="13" t="n">
        <x:f>IF(C1600=0,"n.a.",F1600/C1600)</x:f>
        <x:v>515.2</x:v>
      </x:c>
      <x:c r="J1600" s="3"/>
      <x:c r="K1600" s="3"/>
      <x:c r="L1600" s="3"/>
    </x:row>
    <x:row r="1601" ht="22" customHeight="1">
      <x:c r="A1601" s="3"/>
      <x:c r="B1601" s="3" t="str">
        <x:v>17033</x:v>
      </x:c>
      <x:c r="C1601" s="3" t="n">
        <x:v>3</x:v>
      </x:c>
      <x:c r="D1601" s="51" t="n">
        <x:v>40800</x:v>
      </x:c>
      <x:c r="E1601" s="3" t="str">
        <x:v>Recurrente</x:v>
      </x:c>
      <x:c r="F1601" s="13" t="n">
        <x:v>1030.14</x:v>
      </x:c>
      <x:c r="G1601" s="13" t="n">
        <x:v>0</x:v>
      </x:c>
      <x:c r="H1601" s="13" t="n">
        <x:f>F1601-G1601</x:f>
        <x:v>1030.14</x:v>
      </x:c>
      <x:c r="I1601" s="13" t="n">
        <x:f>IF(C1601=0,"n.a.",F1601/C1601)</x:f>
        <x:v>343.38000000000005</x:v>
      </x:c>
      <x:c r="J1601" s="3"/>
      <x:c r="K1601" s="3"/>
      <x:c r="L1601" s="3"/>
    </x:row>
    <x:row r="1602" ht="22" customHeight="1">
      <x:c r="A1602" s="3"/>
      <x:c r="B1602" s="3" t="str">
        <x:v>14584</x:v>
      </x:c>
      <x:c r="C1602" s="3" t="n">
        <x:v>4</x:v>
      </x:c>
      <x:c r="D1602" s="51" t="n">
        <x:v>40717</x:v>
      </x:c>
      <x:c r="E1602" s="3" t="str">
        <x:v>Recurrente</x:v>
      </x:c>
      <x:c r="F1602" s="13" t="n">
        <x:v>1042.26</x:v>
      </x:c>
      <x:c r="G1602" s="13" t="n">
        <x:v>13</x:v>
      </x:c>
      <x:c r="H1602" s="13" t="n">
        <x:f>F1602-G1602</x:f>
        <x:v>1029.26</x:v>
      </x:c>
      <x:c r="I1602" s="13" t="n">
        <x:f>IF(C1602=0,"n.a.",F1602/C1602)</x:f>
        <x:v>260.565</x:v>
      </x:c>
      <x:c r="J1602" s="3"/>
      <x:c r="K1602" s="3"/>
      <x:c r="L1602" s="3"/>
    </x:row>
    <x:row r="1603" ht="22" customHeight="1">
      <x:c r="A1603" s="3"/>
      <x:c r="B1603" s="3" t="str">
        <x:v>15333</x:v>
      </x:c>
      <x:c r="C1603" s="3" t="n">
        <x:v>1</x:v>
      </x:c>
      <x:c r="D1603" s="51" t="n">
        <x:v>40678</x:v>
      </x:c>
      <x:c r="E1603" s="3" t="str">
        <x:v>Una compra</x:v>
      </x:c>
      <x:c r="F1603" s="13" t="n">
        <x:v>1028.56</x:v>
      </x:c>
      <x:c r="G1603" s="13" t="n">
        <x:v>0</x:v>
      </x:c>
      <x:c r="H1603" s="13" t="n">
        <x:f>F1603-G1603</x:f>
        <x:v>1028.56</x:v>
      </x:c>
      <x:c r="I1603" s="13" t="n">
        <x:f>IF(C1603=0,"n.a.",F1603/C1603)</x:f>
        <x:v>1028.56</x:v>
      </x:c>
      <x:c r="J1603" s="3"/>
      <x:c r="K1603" s="3"/>
      <x:c r="L1603" s="3"/>
    </x:row>
    <x:row r="1604" ht="22" customHeight="1">
      <x:c r="A1604" s="3"/>
      <x:c r="B1604" s="3" t="str">
        <x:v>16682</x:v>
      </x:c>
      <x:c r="C1604" s="3" t="n">
        <x:v>5</x:v>
      </x:c>
      <x:c r="D1604" s="51" t="n">
        <x:v>40882</x:v>
      </x:c>
      <x:c r="E1604" s="3" t="str">
        <x:v>Recurrente</x:v>
      </x:c>
      <x:c r="F1604" s="13" t="n">
        <x:v>1028</x:v>
      </x:c>
      <x:c r="G1604" s="13" t="n">
        <x:v>0</x:v>
      </x:c>
      <x:c r="H1604" s="13" t="n">
        <x:f>F1604-G1604</x:f>
        <x:v>1028</x:v>
      </x:c>
      <x:c r="I1604" s="13" t="n">
        <x:f>IF(C1604=0,"n.a.",F1604/C1604)</x:f>
        <x:v>205.6</x:v>
      </x:c>
      <x:c r="J1604" s="3"/>
      <x:c r="K1604" s="3"/>
      <x:c r="L1604" s="3"/>
    </x:row>
    <x:row r="1605" ht="22" customHeight="1">
      <x:c r="A1605" s="3"/>
      <x:c r="B1605" s="3" t="str">
        <x:v>16533</x:v>
      </x:c>
      <x:c r="C1605" s="3" t="n">
        <x:v>3</x:v>
      </x:c>
      <x:c r="D1605" s="51" t="n">
        <x:v>40867</x:v>
      </x:c>
      <x:c r="E1605" s="3" t="str">
        <x:v>Recurrente</x:v>
      </x:c>
      <x:c r="F1605" s="13" t="n">
        <x:v>1095.56</x:v>
      </x:c>
      <x:c r="G1605" s="13" t="n">
        <x:v>68.62</x:v>
      </x:c>
      <x:c r="H1605" s="13" t="n">
        <x:f>F1605-G1605</x:f>
        <x:v>1026.94</x:v>
      </x:c>
      <x:c r="I1605" s="13" t="n">
        <x:f>IF(C1605=0,"n.a.",F1605/C1605)</x:f>
        <x:v>365.18666666666667</x:v>
      </x:c>
      <x:c r="J1605" s="3"/>
      <x:c r="K1605" s="3"/>
      <x:c r="L1605" s="3"/>
    </x:row>
    <x:row r="1606" ht="22" customHeight="1">
      <x:c r="A1606" s="3"/>
      <x:c r="B1606" s="3" t="str">
        <x:v>13956</x:v>
      </x:c>
      <x:c r="C1606" s="3" t="n">
        <x:v>5</x:v>
      </x:c>
      <x:c r="D1606" s="51" t="n">
        <x:v>40881</x:v>
      </x:c>
      <x:c r="E1606" s="3" t="str">
        <x:v>Recurrente</x:v>
      </x:c>
      <x:c r="F1606" s="13" t="n">
        <x:v>1026.42</x:v>
      </x:c>
      <x:c r="G1606" s="13" t="n">
        <x:v>0</x:v>
      </x:c>
      <x:c r="H1606" s="13" t="n">
        <x:f>F1606-G1606</x:f>
        <x:v>1026.42</x:v>
      </x:c>
      <x:c r="I1606" s="13" t="n">
        <x:f>IF(C1606=0,"n.a.",F1606/C1606)</x:f>
        <x:v>205.28400000000002</x:v>
      </x:c>
      <x:c r="J1606" s="3"/>
      <x:c r="K1606" s="3"/>
      <x:c r="L1606" s="3"/>
    </x:row>
    <x:row r="1607" ht="22" customHeight="1">
      <x:c r="A1607" s="3"/>
      <x:c r="B1607" s="3" t="str">
        <x:v>14904</x:v>
      </x:c>
      <x:c r="C1607" s="3" t="n">
        <x:v>2</x:v>
      </x:c>
      <x:c r="D1607" s="51" t="n">
        <x:v>40884</x:v>
      </x:c>
      <x:c r="E1607" s="3" t="str">
        <x:v>Recurrente</x:v>
      </x:c>
      <x:c r="F1607" s="13" t="n">
        <x:v>1025.44</x:v>
      </x:c>
      <x:c r="G1607" s="13" t="n">
        <x:v>0</x:v>
      </x:c>
      <x:c r="H1607" s="13" t="n">
        <x:f>F1607-G1607</x:f>
        <x:v>1025.44</x:v>
      </x:c>
      <x:c r="I1607" s="13" t="n">
        <x:f>IF(C1607=0,"n.a.",F1607/C1607)</x:f>
        <x:v>512.72</x:v>
      </x:c>
      <x:c r="J1607" s="3"/>
      <x:c r="K1607" s="3"/>
      <x:c r="L1607" s="3"/>
    </x:row>
    <x:row r="1608" ht="22" customHeight="1">
      <x:c r="A1608" s="3"/>
      <x:c r="B1608" s="3" t="str">
        <x:v>15777</x:v>
      </x:c>
      <x:c r="C1608" s="3" t="n">
        <x:v>4</x:v>
      </x:c>
      <x:c r="D1608" s="51" t="n">
        <x:v>40645</x:v>
      </x:c>
      <x:c r="E1608" s="3" t="str">
        <x:v>Recurrente</x:v>
      </x:c>
      <x:c r="F1608" s="13" t="n">
        <x:v>1047.11</x:v>
      </x:c>
      <x:c r="G1608" s="13" t="n">
        <x:v>25.5</x:v>
      </x:c>
      <x:c r="H1608" s="13" t="n">
        <x:f>F1608-G1608</x:f>
        <x:v>1021.6099999999999</x:v>
      </x:c>
      <x:c r="I1608" s="13" t="n">
        <x:f>IF(C1608=0,"n.a.",F1608/C1608)</x:f>
        <x:v>261.7775</x:v>
      </x:c>
      <x:c r="J1608" s="3"/>
      <x:c r="K1608" s="3"/>
      <x:c r="L1608" s="3"/>
    </x:row>
    <x:row r="1609" ht="22" customHeight="1">
      <x:c r="A1609" s="3"/>
      <x:c r="B1609" s="3" t="str">
        <x:v>14346</x:v>
      </x:c>
      <x:c r="C1609" s="3" t="n">
        <x:v>2</x:v>
      </x:c>
      <x:c r="D1609" s="51" t="n">
        <x:v>40766</x:v>
      </x:c>
      <x:c r="E1609" s="3" t="str">
        <x:v>Recurrente</x:v>
      </x:c>
      <x:c r="F1609" s="13" t="n">
        <x:v>1021.58</x:v>
      </x:c>
      <x:c r="G1609" s="13" t="n">
        <x:v>0</x:v>
      </x:c>
      <x:c r="H1609" s="13" t="n">
        <x:f>F1609-G1609</x:f>
        <x:v>1021.58</x:v>
      </x:c>
      <x:c r="I1609" s="13" t="n">
        <x:f>IF(C1609=0,"n.a.",F1609/C1609)</x:f>
        <x:v>510.79</x:v>
      </x:c>
      <x:c r="J1609" s="3"/>
      <x:c r="K1609" s="3"/>
      <x:c r="L1609" s="3"/>
    </x:row>
    <x:row r="1610" ht="22" customHeight="1">
      <x:c r="A1610" s="3"/>
      <x:c r="B1610" s="3" t="str">
        <x:v>13165</x:v>
      </x:c>
      <x:c r="C1610" s="3" t="n">
        <x:v>2</x:v>
      </x:c>
      <x:c r="D1610" s="51" t="n">
        <x:v>40840</x:v>
      </x:c>
      <x:c r="E1610" s="3" t="str">
        <x:v>Recurrente</x:v>
      </x:c>
      <x:c r="F1610" s="13" t="n">
        <x:v>1021.48</x:v>
      </x:c>
      <x:c r="G1610" s="13" t="n">
        <x:v>0</x:v>
      </x:c>
      <x:c r="H1610" s="13" t="n">
        <x:f>F1610-G1610</x:f>
        <x:v>1021.48</x:v>
      </x:c>
      <x:c r="I1610" s="13" t="n">
        <x:f>IF(C1610=0,"n.a.",F1610/C1610)</x:f>
        <x:v>510.74</x:v>
      </x:c>
      <x:c r="J1610" s="3"/>
      <x:c r="K1610" s="3"/>
      <x:c r="L1610" s="3"/>
    </x:row>
    <x:row r="1611" ht="22" customHeight="1">
      <x:c r="A1611" s="3"/>
      <x:c r="B1611" s="3" t="str">
        <x:v>15839</x:v>
      </x:c>
      <x:c r="C1611" s="3" t="n">
        <x:v>3</x:v>
      </x:c>
      <x:c r="D1611" s="51" t="n">
        <x:v>40853</x:v>
      </x:c>
      <x:c r="E1611" s="3" t="str">
        <x:v>Recurrente</x:v>
      </x:c>
      <x:c r="F1611" s="13" t="n">
        <x:v>1048.49</x:v>
      </x:c>
      <x:c r="G1611" s="13" t="n">
        <x:v>27.75</x:v>
      </x:c>
      <x:c r="H1611" s="13" t="n">
        <x:f>F1611-G1611</x:f>
        <x:v>1020.74</x:v>
      </x:c>
      <x:c r="I1611" s="13" t="n">
        <x:f>IF(C1611=0,"n.a.",F1611/C1611)</x:f>
        <x:v>349.49666666666667</x:v>
      </x:c>
      <x:c r="J1611" s="3"/>
      <x:c r="K1611" s="3"/>
      <x:c r="L1611" s="3"/>
    </x:row>
    <x:row r="1612" ht="22" customHeight="1">
      <x:c r="A1612" s="3"/>
      <x:c r="B1612" s="3" t="str">
        <x:v>14276</x:v>
      </x:c>
      <x:c r="C1612" s="3" t="n">
        <x:v>3</x:v>
      </x:c>
      <x:c r="D1612" s="51" t="n">
        <x:v>40788</x:v>
      </x:c>
      <x:c r="E1612" s="3" t="str">
        <x:v>Recurrente</x:v>
      </x:c>
      <x:c r="F1612" s="13" t="n">
        <x:v>1119.74</x:v>
      </x:c>
      <x:c r="G1612" s="13" t="n">
        <x:v>100.35</x:v>
      </x:c>
      <x:c r="H1612" s="13" t="n">
        <x:f>F1612-G1612</x:f>
        <x:v>1019.39</x:v>
      </x:c>
      <x:c r="I1612" s="13" t="n">
        <x:f>IF(C1612=0,"n.a.",F1612/C1612)</x:f>
        <x:v>373.24666666666667</x:v>
      </x:c>
      <x:c r="J1612" s="3"/>
      <x:c r="K1612" s="3"/>
      <x:c r="L1612" s="3"/>
    </x:row>
    <x:row r="1613" ht="22" customHeight="1">
      <x:c r="A1613" s="3"/>
      <x:c r="B1613" s="3" t="str">
        <x:v>12828</x:v>
      </x:c>
      <x:c r="C1613" s="3" t="n">
        <x:v>6</x:v>
      </x:c>
      <x:c r="D1613" s="51" t="n">
        <x:v>40884</x:v>
      </x:c>
      <x:c r="E1613" s="3" t="str">
        <x:v>Recurrente</x:v>
      </x:c>
      <x:c r="F1613" s="13" t="n">
        <x:v>1018.71</x:v>
      </x:c>
      <x:c r="G1613" s="13" t="n">
        <x:v>0</x:v>
      </x:c>
      <x:c r="H1613" s="13" t="n">
        <x:f>F1613-G1613</x:f>
        <x:v>1018.71</x:v>
      </x:c>
      <x:c r="I1613" s="13" t="n">
        <x:f>IF(C1613=0,"n.a.",F1613/C1613)</x:f>
        <x:v>169.785</x:v>
      </x:c>
      <x:c r="J1613" s="3"/>
      <x:c r="K1613" s="3"/>
      <x:c r="L1613" s="3"/>
    </x:row>
    <x:row r="1614" ht="22" customHeight="1">
      <x:c r="A1614" s="3"/>
      <x:c r="B1614" s="3" t="str">
        <x:v>14083</x:v>
      </x:c>
      <x:c r="C1614" s="3" t="n">
        <x:v>9</x:v>
      </x:c>
      <x:c r="D1614" s="51" t="n">
        <x:v>40882</x:v>
      </x:c>
      <x:c r="E1614" s="3" t="str">
        <x:v>Recurrente</x:v>
      </x:c>
      <x:c r="F1614" s="13" t="n">
        <x:v>1018.43</x:v>
      </x:c>
      <x:c r="G1614" s="13" t="n">
        <x:v>0</x:v>
      </x:c>
      <x:c r="H1614" s="13" t="n">
        <x:f>F1614-G1614</x:f>
        <x:v>1018.43</x:v>
      </x:c>
      <x:c r="I1614" s="13" t="n">
        <x:f>IF(C1614=0,"n.a.",F1614/C1614)</x:f>
        <x:v>113.15888888888888</x:v>
      </x:c>
      <x:c r="J1614" s="3"/>
      <x:c r="K1614" s="3"/>
      <x:c r="L1614" s="3"/>
    </x:row>
    <x:row r="1615" ht="22" customHeight="1">
      <x:c r="A1615" s="3"/>
      <x:c r="B1615" s="3" t="str">
        <x:v>12514</x:v>
      </x:c>
      <x:c r="C1615" s="3" t="n">
        <x:v>1</x:v>
      </x:c>
      <x:c r="D1615" s="51" t="n">
        <x:v>40619</x:v>
      </x:c>
      <x:c r="E1615" s="3" t="str">
        <x:v>Una compra</x:v>
      </x:c>
      <x:c r="F1615" s="13" t="n">
        <x:v>1017.68</x:v>
      </x:c>
      <x:c r="G1615" s="13" t="n">
        <x:v>0</x:v>
      </x:c>
      <x:c r="H1615" s="13" t="n">
        <x:f>F1615-G1615</x:f>
        <x:v>1017.68</x:v>
      </x:c>
      <x:c r="I1615" s="13" t="n">
        <x:f>IF(C1615=0,"n.a.",F1615/C1615)</x:f>
        <x:v>1017.68</x:v>
      </x:c>
      <x:c r="J1615" s="3"/>
      <x:c r="K1615" s="3"/>
      <x:c r="L1615" s="3"/>
    </x:row>
    <x:row r="1616" ht="22" customHeight="1">
      <x:c r="A1616" s="3"/>
      <x:c r="B1616" s="3" t="str">
        <x:v>13728</x:v>
      </x:c>
      <x:c r="C1616" s="3" t="n">
        <x:v>6</x:v>
      </x:c>
      <x:c r="D1616" s="51" t="n">
        <x:v>40850</x:v>
      </x:c>
      <x:c r="E1616" s="3" t="str">
        <x:v>Recurrente</x:v>
      </x:c>
      <x:c r="F1616" s="13" t="n">
        <x:v>1016.14</x:v>
      </x:c>
      <x:c r="G1616" s="13" t="n">
        <x:v>0</x:v>
      </x:c>
      <x:c r="H1616" s="13" t="n">
        <x:f>F1616-G1616</x:f>
        <x:v>1016.14</x:v>
      </x:c>
      <x:c r="I1616" s="13" t="n">
        <x:f>IF(C1616=0,"n.a.",F1616/C1616)</x:f>
        <x:v>169.35666666666665</x:v>
      </x:c>
      <x:c r="J1616" s="3"/>
      <x:c r="K1616" s="3"/>
      <x:c r="L1616" s="3"/>
    </x:row>
    <x:row r="1617" ht="22" customHeight="1">
      <x:c r="A1617" s="3"/>
      <x:c r="B1617" s="3" t="str">
        <x:v>13867</x:v>
      </x:c>
      <x:c r="C1617" s="3" t="n">
        <x:v>3</x:v>
      </x:c>
      <x:c r="D1617" s="51" t="n">
        <x:v>40855</x:v>
      </x:c>
      <x:c r="E1617" s="3" t="str">
        <x:v>Recurrente</x:v>
      </x:c>
      <x:c r="F1617" s="13" t="n">
        <x:v>1015.29</x:v>
      </x:c>
      <x:c r="G1617" s="13" t="n">
        <x:v>0</x:v>
      </x:c>
      <x:c r="H1617" s="13" t="n">
        <x:f>F1617-G1617</x:f>
        <x:v>1015.29</x:v>
      </x:c>
      <x:c r="I1617" s="13" t="n">
        <x:f>IF(C1617=0,"n.a.",F1617/C1617)</x:f>
        <x:v>338.43</x:v>
      </x:c>
      <x:c r="J1617" s="3"/>
      <x:c r="K1617" s="3"/>
      <x:c r="L1617" s="3"/>
    </x:row>
    <x:row r="1618" ht="22" customHeight="1">
      <x:c r="A1618" s="3"/>
      <x:c r="B1618" s="3" t="str">
        <x:v>18142</x:v>
      </x:c>
      <x:c r="C1618" s="3" t="n">
        <x:v>2</x:v>
      </x:c>
      <x:c r="D1618" s="51" t="n">
        <x:v>40729</x:v>
      </x:c>
      <x:c r="E1618" s="3" t="str">
        <x:v>Recurrente</x:v>
      </x:c>
      <x:c r="F1618" s="13" t="n">
        <x:v>1019.52</x:v>
      </x:c>
      <x:c r="G1618" s="13" t="n">
        <x:v>4.62</x:v>
      </x:c>
      <x:c r="H1618" s="13" t="n">
        <x:f>F1618-G1618</x:f>
        <x:v>1014.9</x:v>
      </x:c>
      <x:c r="I1618" s="13" t="n">
        <x:f>IF(C1618=0,"n.a.",F1618/C1618)</x:f>
        <x:v>509.76</x:v>
      </x:c>
      <x:c r="J1618" s="3"/>
      <x:c r="K1618" s="3"/>
      <x:c r="L1618" s="3"/>
    </x:row>
    <x:row r="1619" ht="22" customHeight="1">
      <x:c r="A1619" s="3"/>
      <x:c r="B1619" s="3" t="str">
        <x:v>17197</x:v>
      </x:c>
      <x:c r="C1619" s="3" t="n">
        <x:v>1</x:v>
      </x:c>
      <x:c r="D1619" s="51" t="n">
        <x:v>40857</x:v>
      </x:c>
      <x:c r="E1619" s="3" t="str">
        <x:v>Una compra</x:v>
      </x:c>
      <x:c r="F1619" s="13" t="n">
        <x:v>1013.01</x:v>
      </x:c>
      <x:c r="G1619" s="13" t="n">
        <x:v>0</x:v>
      </x:c>
      <x:c r="H1619" s="13" t="n">
        <x:f>F1619-G1619</x:f>
        <x:v>1013.01</x:v>
      </x:c>
      <x:c r="I1619" s="13" t="n">
        <x:f>IF(C1619=0,"n.a.",F1619/C1619)</x:f>
        <x:v>1013.01</x:v>
      </x:c>
      <x:c r="J1619" s="3"/>
      <x:c r="K1619" s="3"/>
      <x:c r="L1619" s="3"/>
    </x:row>
    <x:row r="1620" ht="22" customHeight="1">
      <x:c r="A1620" s="3"/>
      <x:c r="B1620" s="3" t="str">
        <x:v>12936</x:v>
      </x:c>
      <x:c r="C1620" s="3" t="n">
        <x:v>4</x:v>
      </x:c>
      <x:c r="D1620" s="51" t="n">
        <x:v>40869</x:v>
      </x:c>
      <x:c r="E1620" s="3" t="str">
        <x:v>Recurrente</x:v>
      </x:c>
      <x:c r="F1620" s="13" t="n">
        <x:v>1063.9</x:v>
      </x:c>
      <x:c r="G1620" s="13" t="n">
        <x:v>51</x:v>
      </x:c>
      <x:c r="H1620" s="13" t="n">
        <x:f>F1620-G1620</x:f>
        <x:v>1012.9000000000001</x:v>
      </x:c>
      <x:c r="I1620" s="13" t="n">
        <x:f>IF(C1620=0,"n.a.",F1620/C1620)</x:f>
        <x:v>265.975</x:v>
      </x:c>
      <x:c r="J1620" s="3"/>
      <x:c r="K1620" s="3"/>
      <x:c r="L1620" s="3"/>
    </x:row>
    <x:row r="1621" ht="22" customHeight="1">
      <x:c r="A1621" s="3"/>
      <x:c r="B1621" s="3" t="str">
        <x:v>14775</x:v>
      </x:c>
      <x:c r="C1621" s="3" t="n">
        <x:v>3</x:v>
      </x:c>
      <x:c r="D1621" s="51" t="n">
        <x:v>40828</x:v>
      </x:c>
      <x:c r="E1621" s="3" t="str">
        <x:v>Recurrente</x:v>
      </x:c>
      <x:c r="F1621" s="13" t="n">
        <x:v>1011.9</x:v>
      </x:c>
      <x:c r="G1621" s="13" t="n">
        <x:v>0</x:v>
      </x:c>
      <x:c r="H1621" s="13" t="n">
        <x:f>F1621-G1621</x:f>
        <x:v>1011.9</x:v>
      </x:c>
      <x:c r="I1621" s="13" t="n">
        <x:f>IF(C1621=0,"n.a.",F1621/C1621)</x:f>
        <x:v>337.3</x:v>
      </x:c>
      <x:c r="J1621" s="3"/>
      <x:c r="K1621" s="3"/>
      <x:c r="L1621" s="3"/>
    </x:row>
    <x:row r="1622" ht="22" customHeight="1">
      <x:c r="A1622" s="3"/>
      <x:c r="B1622" s="3" t="str">
        <x:v>16229</x:v>
      </x:c>
      <x:c r="C1622" s="3" t="n">
        <x:v>2</x:v>
      </x:c>
      <x:c r="D1622" s="51" t="n">
        <x:v>40799</x:v>
      </x:c>
      <x:c r="E1622" s="3" t="str">
        <x:v>Recurrente</x:v>
      </x:c>
      <x:c r="F1622" s="13" t="n">
        <x:v>1010.6</x:v>
      </x:c>
      <x:c r="G1622" s="13" t="n">
        <x:v>0</x:v>
      </x:c>
      <x:c r="H1622" s="13" t="n">
        <x:f>F1622-G1622</x:f>
        <x:v>1010.6</x:v>
      </x:c>
      <x:c r="I1622" s="13" t="n">
        <x:f>IF(C1622=0,"n.a.",F1622/C1622)</x:f>
        <x:v>505.3</x:v>
      </x:c>
      <x:c r="J1622" s="3"/>
      <x:c r="K1622" s="3"/>
      <x:c r="L1622" s="3"/>
    </x:row>
    <x:row r="1623" ht="22" customHeight="1">
      <x:c r="A1623" s="3"/>
      <x:c r="B1623" s="3" t="str">
        <x:v>14817</x:v>
      </x:c>
      <x:c r="C1623" s="3" t="n">
        <x:v>2</x:v>
      </x:c>
      <x:c r="D1623" s="51" t="n">
        <x:v>40686</x:v>
      </x:c>
      <x:c r="E1623" s="3" t="str">
        <x:v>Recurrente</x:v>
      </x:c>
      <x:c r="F1623" s="13" t="n">
        <x:v>1010.34</x:v>
      </x:c>
      <x:c r="G1623" s="13" t="n">
        <x:v>0</x:v>
      </x:c>
      <x:c r="H1623" s="13" t="n">
        <x:f>F1623-G1623</x:f>
        <x:v>1010.34</x:v>
      </x:c>
      <x:c r="I1623" s="13" t="n">
        <x:f>IF(C1623=0,"n.a.",F1623/C1623)</x:f>
        <x:v>505.17</x:v>
      </x:c>
      <x:c r="J1623" s="3"/>
      <x:c r="K1623" s="3"/>
      <x:c r="L1623" s="3"/>
    </x:row>
    <x:row r="1624" ht="22" customHeight="1">
      <x:c r="A1624" s="3"/>
      <x:c r="B1624" s="3" t="str">
        <x:v>16174</x:v>
      </x:c>
      <x:c r="C1624" s="3" t="n">
        <x:v>3</x:v>
      </x:c>
      <x:c r="D1624" s="51" t="n">
        <x:v>40760</x:v>
      </x:c>
      <x:c r="E1624" s="3" t="str">
        <x:v>Recurrente</x:v>
      </x:c>
      <x:c r="F1624" s="13" t="n">
        <x:v>1009.55</x:v>
      </x:c>
      <x:c r="G1624" s="13" t="n">
        <x:v>0</x:v>
      </x:c>
      <x:c r="H1624" s="13" t="n">
        <x:f>F1624-G1624</x:f>
        <x:v>1009.55</x:v>
      </x:c>
      <x:c r="I1624" s="13" t="n">
        <x:f>IF(C1624=0,"n.a.",F1624/C1624)</x:f>
        <x:v>336.51666666666665</x:v>
      </x:c>
      <x:c r="J1624" s="3"/>
      <x:c r="K1624" s="3"/>
      <x:c r="L1624" s="3"/>
    </x:row>
    <x:row r="1625" ht="22" customHeight="1">
      <x:c r="A1625" s="3"/>
      <x:c r="B1625" s="3" t="str">
        <x:v>16160</x:v>
      </x:c>
      <x:c r="C1625" s="3" t="n">
        <x:v>2</x:v>
      </x:c>
      <x:c r="D1625" s="51" t="n">
        <x:v>40821</x:v>
      </x:c>
      <x:c r="E1625" s="3" t="str">
        <x:v>Recurrente</x:v>
      </x:c>
      <x:c r="F1625" s="13" t="n">
        <x:v>1025.44</x:v>
      </x:c>
      <x:c r="G1625" s="13" t="n">
        <x:v>15.99</x:v>
      </x:c>
      <x:c r="H1625" s="13" t="n">
        <x:f>F1625-G1625</x:f>
        <x:v>1009.45</x:v>
      </x:c>
      <x:c r="I1625" s="13" t="n">
        <x:f>IF(C1625=0,"n.a.",F1625/C1625)</x:f>
        <x:v>512.72</x:v>
      </x:c>
      <x:c r="J1625" s="3"/>
      <x:c r="K1625" s="3"/>
      <x:c r="L1625" s="3"/>
    </x:row>
    <x:row r="1626" ht="22" customHeight="1">
      <x:c r="A1626" s="3"/>
      <x:c r="B1626" s="3" t="str">
        <x:v>12657</x:v>
      </x:c>
      <x:c r="C1626" s="3" t="n">
        <x:v>4</x:v>
      </x:c>
      <x:c r="D1626" s="51" t="n">
        <x:v>40875</x:v>
      </x:c>
      <x:c r="E1626" s="3" t="str">
        <x:v>Recurrente</x:v>
      </x:c>
      <x:c r="F1626" s="13" t="n">
        <x:v>1427.18</x:v>
      </x:c>
      <x:c r="G1626" s="13" t="n">
        <x:v>419.12</x:v>
      </x:c>
      <x:c r="H1626" s="13" t="n">
        <x:f>F1626-G1626</x:f>
        <x:v>1008.0600000000001</x:v>
      </x:c>
      <x:c r="I1626" s="13" t="n">
        <x:f>IF(C1626=0,"n.a.",F1626/C1626)</x:f>
        <x:v>356.795</x:v>
      </x:c>
      <x:c r="J1626" s="3"/>
      <x:c r="K1626" s="3"/>
      <x:c r="L1626" s="3"/>
    </x:row>
    <x:row r="1627" ht="22" customHeight="1">
      <x:c r="A1627" s="3"/>
      <x:c r="B1627" s="3" t="str">
        <x:v>15329</x:v>
      </x:c>
      <x:c r="C1627" s="3" t="n">
        <x:v>3</x:v>
      </x:c>
      <x:c r="D1627" s="51" t="n">
        <x:v>40847</x:v>
      </x:c>
      <x:c r="E1627" s="3" t="str">
        <x:v>Recurrente</x:v>
      </x:c>
      <x:c r="F1627" s="13" t="n">
        <x:v>1049.7</x:v>
      </x:c>
      <x:c r="G1627" s="13" t="n">
        <x:v>42.2</x:v>
      </x:c>
      <x:c r="H1627" s="13" t="n">
        <x:f>F1627-G1627</x:f>
        <x:v>1007.5</x:v>
      </x:c>
      <x:c r="I1627" s="13" t="n">
        <x:f>IF(C1627=0,"n.a.",F1627/C1627)</x:f>
        <x:v>349.90000000000003</x:v>
      </x:c>
      <x:c r="J1627" s="3"/>
      <x:c r="K1627" s="3"/>
      <x:c r="L1627" s="3"/>
    </x:row>
    <x:row r="1628" ht="22" customHeight="1">
      <x:c r="A1628" s="3"/>
      <x:c r="B1628" s="3" t="str">
        <x:v>13455</x:v>
      </x:c>
      <x:c r="C1628" s="3" t="n">
        <x:v>2</x:v>
      </x:c>
      <x:c r="D1628" s="51" t="n">
        <x:v>40862</x:v>
      </x:c>
      <x:c r="E1628" s="3" t="str">
        <x:v>Recurrente</x:v>
      </x:c>
      <x:c r="F1628" s="13" t="n">
        <x:v>1058.34</x:v>
      </x:c>
      <x:c r="G1628" s="13" t="n">
        <x:v>50.99</x:v>
      </x:c>
      <x:c r="H1628" s="13" t="n">
        <x:f>F1628-G1628</x:f>
        <x:v>1007.3499999999999</x:v>
      </x:c>
      <x:c r="I1628" s="13" t="n">
        <x:f>IF(C1628=0,"n.a.",F1628/C1628)</x:f>
        <x:v>529.17</x:v>
      </x:c>
      <x:c r="J1628" s="3"/>
      <x:c r="K1628" s="3"/>
      <x:c r="L1628" s="3"/>
    </x:row>
    <x:row r="1629" ht="22" customHeight="1">
      <x:c r="A1629" s="3"/>
      <x:c r="B1629" s="3" t="str">
        <x:v>14631</x:v>
      </x:c>
      <x:c r="C1629" s="3" t="n">
        <x:v>3</x:v>
      </x:c>
      <x:c r="D1629" s="51" t="n">
        <x:v>40836</x:v>
      </x:c>
      <x:c r="E1629" s="3" t="str">
        <x:v>Recurrente</x:v>
      </x:c>
      <x:c r="F1629" s="13" t="n">
        <x:v>1006.98</x:v>
      </x:c>
      <x:c r="G1629" s="13" t="n">
        <x:v>0</x:v>
      </x:c>
      <x:c r="H1629" s="13" t="n">
        <x:f>F1629-G1629</x:f>
        <x:v>1006.98</x:v>
      </x:c>
      <x:c r="I1629" s="13" t="n">
        <x:f>IF(C1629=0,"n.a.",F1629/C1629)</x:f>
        <x:v>335.66</x:v>
      </x:c>
      <x:c r="J1629" s="3"/>
      <x:c r="K1629" s="3"/>
      <x:c r="L1629" s="3"/>
    </x:row>
    <x:row r="1630" ht="22" customHeight="1">
      <x:c r="A1630" s="3"/>
      <x:c r="B1630" s="3" t="str">
        <x:v>13429</x:v>
      </x:c>
      <x:c r="C1630" s="3" t="n">
        <x:v>4</x:v>
      </x:c>
      <x:c r="D1630" s="51" t="n">
        <x:v>40876</x:v>
      </x:c>
      <x:c r="E1630" s="3" t="str">
        <x:v>Recurrente</x:v>
      </x:c>
      <x:c r="F1630" s="13" t="n">
        <x:v>1006.8</x:v>
      </x:c>
      <x:c r="G1630" s="13" t="n">
        <x:v>0</x:v>
      </x:c>
      <x:c r="H1630" s="13" t="n">
        <x:f>F1630-G1630</x:f>
        <x:v>1006.8</x:v>
      </x:c>
      <x:c r="I1630" s="13" t="n">
        <x:f>IF(C1630=0,"n.a.",F1630/C1630)</x:f>
        <x:v>251.7</x:v>
      </x:c>
      <x:c r="J1630" s="3"/>
      <x:c r="K1630" s="3"/>
      <x:c r="L1630" s="3"/>
    </x:row>
    <x:row r="1631" ht="22" customHeight="1">
      <x:c r="A1631" s="3"/>
      <x:c r="B1631" s="3" t="str">
        <x:v>12507</x:v>
      </x:c>
      <x:c r="C1631" s="3" t="n">
        <x:v>3</x:v>
      </x:c>
      <x:c r="D1631" s="51" t="n">
        <x:v>40752</x:v>
      </x:c>
      <x:c r="E1631" s="3" t="str">
        <x:v>Recurrente</x:v>
      </x:c>
      <x:c r="F1631" s="13" t="n">
        <x:v>1052.81</x:v>
      </x:c>
      <x:c r="G1631" s="13" t="n">
        <x:v>46.75</x:v>
      </x:c>
      <x:c r="H1631" s="13" t="n">
        <x:f>F1631-G1631</x:f>
        <x:v>1006.06</x:v>
      </x:c>
      <x:c r="I1631" s="13" t="n">
        <x:f>IF(C1631=0,"n.a.",F1631/C1631)</x:f>
        <x:v>350.93666666666667</x:v>
      </x:c>
      <x:c r="J1631" s="3"/>
      <x:c r="K1631" s="3"/>
      <x:c r="L1631" s="3"/>
    </x:row>
    <x:row r="1632" ht="22" customHeight="1">
      <x:c r="A1632" s="3"/>
      <x:c r="B1632" s="3" t="str">
        <x:v>12710</x:v>
      </x:c>
      <x:c r="C1632" s="3" t="n">
        <x:v>3</x:v>
      </x:c>
      <x:c r="D1632" s="51" t="n">
        <x:v>40790</x:v>
      </x:c>
      <x:c r="E1632" s="3" t="str">
        <x:v>Recurrente</x:v>
      </x:c>
      <x:c r="F1632" s="13" t="n">
        <x:v>1023.02</x:v>
      </x:c>
      <x:c r="G1632" s="13" t="n">
        <x:v>18.45</x:v>
      </x:c>
      <x:c r="H1632" s="13" t="n">
        <x:f>F1632-G1632</x:f>
        <x:v>1004.5699999999999</x:v>
      </x:c>
      <x:c r="I1632" s="13" t="n">
        <x:f>IF(C1632=0,"n.a.",F1632/C1632)</x:f>
        <x:v>341.00666666666666</x:v>
      </x:c>
      <x:c r="J1632" s="3"/>
      <x:c r="K1632" s="3"/>
      <x:c r="L1632" s="3"/>
    </x:row>
    <x:row r="1633" ht="22" customHeight="1">
      <x:c r="A1633" s="3"/>
      <x:c r="B1633" s="3" t="str">
        <x:v>15104</x:v>
      </x:c>
      <x:c r="C1633" s="3" t="n">
        <x:v>2</x:v>
      </x:c>
      <x:c r="D1633" s="51" t="n">
        <x:v>40690</x:v>
      </x:c>
      <x:c r="E1633" s="3" t="str">
        <x:v>Recurrente</x:v>
      </x:c>
      <x:c r="F1633" s="13" t="n">
        <x:v>1027.44</x:v>
      </x:c>
      <x:c r="G1633" s="13" t="n">
        <x:v>24.9</x:v>
      </x:c>
      <x:c r="H1633" s="13" t="n">
        <x:f>F1633-G1633</x:f>
        <x:v>1002.5400000000001</x:v>
      </x:c>
      <x:c r="I1633" s="13" t="n">
        <x:f>IF(C1633=0,"n.a.",F1633/C1633)</x:f>
        <x:v>513.72</x:v>
      </x:c>
      <x:c r="J1633" s="3"/>
      <x:c r="K1633" s="3"/>
      <x:c r="L1633" s="3"/>
    </x:row>
    <x:row r="1634" ht="22" customHeight="1">
      <x:c r="A1634" s="3"/>
      <x:c r="B1634" s="3" t="str">
        <x:v>12446</x:v>
      </x:c>
      <x:c r="C1634" s="3" t="n">
        <x:v>1</x:v>
      </x:c>
      <x:c r="D1634" s="51" t="n">
        <x:v>40829</x:v>
      </x:c>
      <x:c r="E1634" s="3" t="str">
        <x:v>Una compra</x:v>
      </x:c>
      <x:c r="F1634" s="13" t="n">
        <x:v>1002.31</x:v>
      </x:c>
      <x:c r="G1634" s="13" t="n">
        <x:v>0</x:v>
      </x:c>
      <x:c r="H1634" s="13" t="n">
        <x:f>F1634-G1634</x:f>
        <x:v>1002.31</x:v>
      </x:c>
      <x:c r="I1634" s="13" t="n">
        <x:f>IF(C1634=0,"n.a.",F1634/C1634)</x:f>
        <x:v>1002.31</x:v>
      </x:c>
      <x:c r="J1634" s="3"/>
      <x:c r="K1634" s="3"/>
      <x:c r="L1634" s="3"/>
    </x:row>
    <x:row r="1635" ht="22" customHeight="1">
      <x:c r="A1635" s="3"/>
      <x:c r="B1635" s="3" t="str">
        <x:v>15706</x:v>
      </x:c>
      <x:c r="C1635" s="3" t="n">
        <x:v>4</x:v>
      </x:c>
      <x:c r="D1635" s="51" t="n">
        <x:v>40823</x:v>
      </x:c>
      <x:c r="E1635" s="3" t="str">
        <x:v>Recurrente</x:v>
      </x:c>
      <x:c r="F1635" s="13" t="n">
        <x:v>1060.56</x:v>
      </x:c>
      <x:c r="G1635" s="13" t="n">
        <x:v>58.75</x:v>
      </x:c>
      <x:c r="H1635" s="13" t="n">
        <x:f>F1635-G1635</x:f>
        <x:v>1001.81</x:v>
      </x:c>
      <x:c r="I1635" s="13" t="n">
        <x:f>IF(C1635=0,"n.a.",F1635/C1635)</x:f>
        <x:v>265.14</x:v>
      </x:c>
      <x:c r="J1635" s="3"/>
      <x:c r="K1635" s="3"/>
      <x:c r="L1635" s="3"/>
    </x:row>
    <x:row r="1636" ht="22" customHeight="1">
      <x:c r="A1636" s="3"/>
      <x:c r="B1636" s="3" t="str">
        <x:v>12546</x:v>
      </x:c>
      <x:c r="C1636" s="3" t="n">
        <x:v>2</x:v>
      </x:c>
      <x:c r="D1636" s="51" t="n">
        <x:v>40840</x:v>
      </x:c>
      <x:c r="E1636" s="3" t="str">
        <x:v>Recurrente</x:v>
      </x:c>
      <x:c r="F1636" s="13" t="n">
        <x:v>1021.5</x:v>
      </x:c>
      <x:c r="G1636" s="13" t="n">
        <x:v>20</x:v>
      </x:c>
      <x:c r="H1636" s="13" t="n">
        <x:f>F1636-G1636</x:f>
        <x:v>1001.5</x:v>
      </x:c>
      <x:c r="I1636" s="13" t="n">
        <x:f>IF(C1636=0,"n.a.",F1636/C1636)</x:f>
        <x:v>510.75</x:v>
      </x:c>
      <x:c r="J1636" s="3"/>
      <x:c r="K1636" s="3"/>
      <x:c r="L1636" s="3"/>
    </x:row>
    <x:row r="1637" ht="22" customHeight="1">
      <x:c r="A1637" s="3"/>
      <x:c r="B1637" s="3" t="str">
        <x:v>15508</x:v>
      </x:c>
      <x:c r="C1637" s="3" t="n">
        <x:v>6</x:v>
      </x:c>
      <x:c r="D1637" s="51" t="n">
        <x:v>40697</x:v>
      </x:c>
      <x:c r="E1637" s="3" t="str">
        <x:v>Recurrente</x:v>
      </x:c>
      <x:c r="F1637" s="13" t="n">
        <x:v>1000.27</x:v>
      </x:c>
      <x:c r="G1637" s="13" t="n">
        <x:v>0</x:v>
      </x:c>
      <x:c r="H1637" s="13" t="n">
        <x:f>F1637-G1637</x:f>
        <x:v>1000.27</x:v>
      </x:c>
      <x:c r="I1637" s="13" t="n">
        <x:f>IF(C1637=0,"n.a.",F1637/C1637)</x:f>
        <x:v>166.71166666666667</x:v>
      </x:c>
      <x:c r="J1637" s="3"/>
      <x:c r="K1637" s="3"/>
      <x:c r="L1637" s="3"/>
    </x:row>
    <x:row r="1638" ht="22" customHeight="1">
      <x:c r="A1638" s="3"/>
      <x:c r="B1638" s="3" t="str">
        <x:v>14214</x:v>
      </x:c>
      <x:c r="C1638" s="3" t="n">
        <x:v>5</x:v>
      </x:c>
      <x:c r="D1638" s="51" t="n">
        <x:v>40856</x:v>
      </x:c>
      <x:c r="E1638" s="3" t="str">
        <x:v>Recurrente</x:v>
      </x:c>
      <x:c r="F1638" s="13" t="n">
        <x:v>1004.38</x:v>
      </x:c>
      <x:c r="G1638" s="13" t="n">
        <x:v>4.15</x:v>
      </x:c>
      <x:c r="H1638" s="13" t="n">
        <x:f>F1638-G1638</x:f>
        <x:v>1000.23</x:v>
      </x:c>
      <x:c r="I1638" s="13" t="n">
        <x:f>IF(C1638=0,"n.a.",F1638/C1638)</x:f>
        <x:v>200.876</x:v>
      </x:c>
      <x:c r="J1638" s="3"/>
      <x:c r="K1638" s="3"/>
      <x:c r="L1638" s="3"/>
    </x:row>
    <x:row r="1639" ht="22" customHeight="1">
      <x:c r="A1639" s="3"/>
      <x:c r="B1639" s="3" t="str">
        <x:v>18143</x:v>
      </x:c>
      <x:c r="C1639" s="3" t="n">
        <x:v>2</x:v>
      </x:c>
      <x:c r="D1639" s="51" t="n">
        <x:v>40770</x:v>
      </x:c>
      <x:c r="E1639" s="3" t="str">
        <x:v>Recurrente</x:v>
      </x:c>
      <x:c r="F1639" s="13" t="n">
        <x:v>1000.16</x:v>
      </x:c>
      <x:c r="G1639" s="13" t="n">
        <x:v>0</x:v>
      </x:c>
      <x:c r="H1639" s="13" t="n">
        <x:f>F1639-G1639</x:f>
        <x:v>1000.16</x:v>
      </x:c>
      <x:c r="I1639" s="13" t="n">
        <x:f>IF(C1639=0,"n.a.",F1639/C1639)</x:f>
        <x:v>500.08</x:v>
      </x:c>
      <x:c r="J1639" s="3"/>
      <x:c r="K1639" s="3"/>
      <x:c r="L1639" s="3"/>
    </x:row>
    <x:row r="1640" ht="22" customHeight="1">
      <x:c r="A1640" s="3"/>
      <x:c r="B1640" s="3" t="str">
        <x:v>14389</x:v>
      </x:c>
      <x:c r="C1640" s="3" t="n">
        <x:v>2</x:v>
      </x:c>
      <x:c r="D1640" s="51" t="n">
        <x:v>40821</x:v>
      </x:c>
      <x:c r="E1640" s="3" t="str">
        <x:v>Recurrente</x:v>
      </x:c>
      <x:c r="F1640" s="13" t="n">
        <x:v>1043.46</x:v>
      </x:c>
      <x:c r="G1640" s="13" t="n">
        <x:v>43.74</x:v>
      </x:c>
      <x:c r="H1640" s="13" t="n">
        <x:f>F1640-G1640</x:f>
        <x:v>999.72</x:v>
      </x:c>
      <x:c r="I1640" s="13" t="n">
        <x:f>IF(C1640=0,"n.a.",F1640/C1640)</x:f>
        <x:v>521.73</x:v>
      </x:c>
      <x:c r="J1640" s="3"/>
      <x:c r="K1640" s="3"/>
      <x:c r="L1640" s="3"/>
    </x:row>
    <x:row r="1641" ht="22" customHeight="1">
      <x:c r="A1641" s="3"/>
      <x:c r="B1641" s="3" t="str">
        <x:v>16572</x:v>
      </x:c>
      <x:c r="C1641" s="3" t="n">
        <x:v>3</x:v>
      </x:c>
      <x:c r="D1641" s="51" t="n">
        <x:v>40759</x:v>
      </x:c>
      <x:c r="E1641" s="3" t="str">
        <x:v>Recurrente</x:v>
      </x:c>
      <x:c r="F1641" s="13" t="n">
        <x:v>1009.6</x:v>
      </x:c>
      <x:c r="G1641" s="13" t="n">
        <x:v>9.9</x:v>
      </x:c>
      <x:c r="H1641" s="13" t="n">
        <x:f>F1641-G1641</x:f>
        <x:v>999.7</x:v>
      </x:c>
      <x:c r="I1641" s="13" t="n">
        <x:f>IF(C1641=0,"n.a.",F1641/C1641)</x:f>
        <x:v>336.53333333333336</x:v>
      </x:c>
      <x:c r="J1641" s="3"/>
      <x:c r="K1641" s="3"/>
      <x:c r="L1641" s="3"/>
    </x:row>
    <x:row r="1642" ht="22" customHeight="1">
      <x:c r="A1642" s="3"/>
      <x:c r="B1642" s="3" t="str">
        <x:v>15434</x:v>
      </x:c>
      <x:c r="C1642" s="3" t="n">
        <x:v>5</x:v>
      </x:c>
      <x:c r="D1642" s="51" t="n">
        <x:v>40878</x:v>
      </x:c>
      <x:c r="E1642" s="3" t="str">
        <x:v>Recurrente</x:v>
      </x:c>
      <x:c r="F1642" s="13" t="n">
        <x:v>1041.48</x:v>
      </x:c>
      <x:c r="G1642" s="13" t="n">
        <x:v>44</x:v>
      </x:c>
      <x:c r="H1642" s="13" t="n">
        <x:f>F1642-G1642</x:f>
        <x:v>997.48</x:v>
      </x:c>
      <x:c r="I1642" s="13" t="n">
        <x:f>IF(C1642=0,"n.a.",F1642/C1642)</x:f>
        <x:v>208.296</x:v>
      </x:c>
      <x:c r="J1642" s="3"/>
      <x:c r="K1642" s="3"/>
      <x:c r="L1642" s="3"/>
    </x:row>
    <x:row r="1643" ht="22" customHeight="1">
      <x:c r="A1643" s="3"/>
      <x:c r="B1643" s="3" t="str">
        <x:v>13032</x:v>
      </x:c>
      <x:c r="C1643" s="3" t="n">
        <x:v>2</x:v>
      </x:c>
      <x:c r="D1643" s="51" t="n">
        <x:v>40834</x:v>
      </x:c>
      <x:c r="E1643" s="3" t="str">
        <x:v>Recurrente</x:v>
      </x:c>
      <x:c r="F1643" s="13" t="n">
        <x:v>1010.18</x:v>
      </x:c>
      <x:c r="G1643" s="13" t="n">
        <x:v>13.66</x:v>
      </x:c>
      <x:c r="H1643" s="13" t="n">
        <x:f>F1643-G1643</x:f>
        <x:v>996.52</x:v>
      </x:c>
      <x:c r="I1643" s="13" t="n">
        <x:f>IF(C1643=0,"n.a.",F1643/C1643)</x:f>
        <x:v>505.09</x:v>
      </x:c>
      <x:c r="J1643" s="3"/>
      <x:c r="K1643" s="3"/>
      <x:c r="L1643" s="3"/>
    </x:row>
    <x:row r="1644" ht="22" customHeight="1">
      <x:c r="A1644" s="3"/>
      <x:c r="B1644" s="3" t="str">
        <x:v>14540</x:v>
      </x:c>
      <x:c r="C1644" s="3" t="n">
        <x:v>3</x:v>
      </x:c>
      <x:c r="D1644" s="51" t="n">
        <x:v>40877</x:v>
      </x:c>
      <x:c r="E1644" s="3" t="str">
        <x:v>Recurrente</x:v>
      </x:c>
      <x:c r="F1644" s="13" t="n">
        <x:v>996.26</x:v>
      </x:c>
      <x:c r="G1644" s="13" t="n">
        <x:v>0</x:v>
      </x:c>
      <x:c r="H1644" s="13" t="n">
        <x:f>F1644-G1644</x:f>
        <x:v>996.26</x:v>
      </x:c>
      <x:c r="I1644" s="13" t="n">
        <x:f>IF(C1644=0,"n.a.",F1644/C1644)</x:f>
        <x:v>332.08666666666664</x:v>
      </x:c>
      <x:c r="J1644" s="3"/>
      <x:c r="K1644" s="3"/>
      <x:c r="L1644" s="3"/>
    </x:row>
    <x:row r="1645" ht="22" customHeight="1">
      <x:c r="A1645" s="3"/>
      <x:c r="B1645" s="3" t="str">
        <x:v>17646</x:v>
      </x:c>
      <x:c r="C1645" s="3" t="n">
        <x:v>3</x:v>
      </x:c>
      <x:c r="D1645" s="51" t="n">
        <x:v>40667</x:v>
      </x:c>
      <x:c r="E1645" s="3" t="str">
        <x:v>Recurrente</x:v>
      </x:c>
      <x:c r="F1645" s="13" t="n">
        <x:v>1008.39</x:v>
      </x:c>
      <x:c r="G1645" s="13" t="n">
        <x:v>12.73</x:v>
      </x:c>
      <x:c r="H1645" s="13" t="n">
        <x:f>F1645-G1645</x:f>
        <x:v>995.66</x:v>
      </x:c>
      <x:c r="I1645" s="13" t="n">
        <x:f>IF(C1645=0,"n.a.",F1645/C1645)</x:f>
        <x:v>336.13</x:v>
      </x:c>
      <x:c r="J1645" s="3"/>
      <x:c r="K1645" s="3"/>
      <x:c r="L1645" s="3"/>
    </x:row>
    <x:row r="1646" ht="22" customHeight="1">
      <x:c r="A1646" s="3"/>
      <x:c r="B1646" s="3" t="str">
        <x:v>17724</x:v>
      </x:c>
      <x:c r="C1646" s="3" t="n">
        <x:v>3</x:v>
      </x:c>
      <x:c r="D1646" s="51" t="n">
        <x:v>40815</x:v>
      </x:c>
      <x:c r="E1646" s="3" t="str">
        <x:v>Recurrente</x:v>
      </x:c>
      <x:c r="F1646" s="13" t="n">
        <x:v>1033</x:v>
      </x:c>
      <x:c r="G1646" s="13" t="n">
        <x:v>37.35</x:v>
      </x:c>
      <x:c r="H1646" s="13" t="n">
        <x:f>F1646-G1646</x:f>
        <x:v>995.65</x:v>
      </x:c>
      <x:c r="I1646" s="13" t="n">
        <x:f>IF(C1646=0,"n.a.",F1646/C1646)</x:f>
        <x:v>344.3333333333333</x:v>
      </x:c>
      <x:c r="J1646" s="3"/>
      <x:c r="K1646" s="3"/>
      <x:c r="L1646" s="3"/>
    </x:row>
    <x:row r="1647" ht="22" customHeight="1">
      <x:c r="A1647" s="3"/>
      <x:c r="B1647" s="3" t="str">
        <x:v>12494</x:v>
      </x:c>
      <x:c r="C1647" s="3" t="n">
        <x:v>7</x:v>
      </x:c>
      <x:c r="D1647" s="51" t="n">
        <x:v>40871</x:v>
      </x:c>
      <x:c r="E1647" s="3" t="str">
        <x:v>Recurrente</x:v>
      </x:c>
      <x:c r="F1647" s="13" t="n">
        <x:v>1084.1</x:v>
      </x:c>
      <x:c r="G1647" s="13" t="n">
        <x:v>88.75</x:v>
      </x:c>
      <x:c r="H1647" s="13" t="n">
        <x:f>F1647-G1647</x:f>
        <x:v>995.3499999999999</x:v>
      </x:c>
      <x:c r="I1647" s="13" t="n">
        <x:f>IF(C1647=0,"n.a.",F1647/C1647)</x:f>
        <x:v>154.87142857142857</x:v>
      </x:c>
      <x:c r="J1647" s="3"/>
      <x:c r="K1647" s="3"/>
      <x:c r="L1647" s="3"/>
    </x:row>
    <x:row r="1648" ht="22" customHeight="1">
      <x:c r="A1648" s="3"/>
      <x:c r="B1648" s="3" t="str">
        <x:v>12640</x:v>
      </x:c>
      <x:c r="C1648" s="3" t="n">
        <x:v>3</x:v>
      </x:c>
      <x:c r="D1648" s="51" t="n">
        <x:v>40863</x:v>
      </x:c>
      <x:c r="E1648" s="3" t="str">
        <x:v>Recurrente</x:v>
      </x:c>
      <x:c r="F1648" s="13" t="n">
        <x:v>994.58</x:v>
      </x:c>
      <x:c r="G1648" s="13" t="n">
        <x:v>0</x:v>
      </x:c>
      <x:c r="H1648" s="13" t="n">
        <x:f>F1648-G1648</x:f>
        <x:v>994.58</x:v>
      </x:c>
      <x:c r="I1648" s="13" t="n">
        <x:f>IF(C1648=0,"n.a.",F1648/C1648)</x:f>
        <x:v>331.5266666666667</x:v>
      </x:c>
      <x:c r="J1648" s="3"/>
      <x:c r="K1648" s="3"/>
      <x:c r="L1648" s="3"/>
    </x:row>
    <x:row r="1649" ht="22" customHeight="1">
      <x:c r="A1649" s="3"/>
      <x:c r="B1649" s="3" t="str">
        <x:v>17594</x:v>
      </x:c>
      <x:c r="C1649" s="3" t="n">
        <x:v>2</x:v>
      </x:c>
      <x:c r="D1649" s="51" t="n">
        <x:v>40801</x:v>
      </x:c>
      <x:c r="E1649" s="3" t="str">
        <x:v>Recurrente</x:v>
      </x:c>
      <x:c r="F1649" s="13" t="n">
        <x:v>993.18</x:v>
      </x:c>
      <x:c r="G1649" s="13" t="n">
        <x:v>0</x:v>
      </x:c>
      <x:c r="H1649" s="13" t="n">
        <x:f>F1649-G1649</x:f>
        <x:v>993.18</x:v>
      </x:c>
      <x:c r="I1649" s="13" t="n">
        <x:f>IF(C1649=0,"n.a.",F1649/C1649)</x:f>
        <x:v>496.59</x:v>
      </x:c>
      <x:c r="J1649" s="3"/>
      <x:c r="K1649" s="3"/>
      <x:c r="L1649" s="3"/>
    </x:row>
    <x:row r="1650" ht="22" customHeight="1">
      <x:c r="A1650" s="3"/>
      <x:c r="B1650" s="3" t="str">
        <x:v>16009</x:v>
      </x:c>
      <x:c r="C1650" s="3" t="n">
        <x:v>4</x:v>
      </x:c>
      <x:c r="D1650" s="51" t="n">
        <x:v>40864</x:v>
      </x:c>
      <x:c r="E1650" s="3" t="str">
        <x:v>Recurrente</x:v>
      </x:c>
      <x:c r="F1650" s="13" t="n">
        <x:v>992.71</x:v>
      </x:c>
      <x:c r="G1650" s="13" t="n">
        <x:v>0</x:v>
      </x:c>
      <x:c r="H1650" s="13" t="n">
        <x:f>F1650-G1650</x:f>
        <x:v>992.71</x:v>
      </x:c>
      <x:c r="I1650" s="13" t="n">
        <x:f>IF(C1650=0,"n.a.",F1650/C1650)</x:f>
        <x:v>248.1775</x:v>
      </x:c>
      <x:c r="J1650" s="3"/>
      <x:c r="K1650" s="3"/>
      <x:c r="L1650" s="3"/>
    </x:row>
    <x:row r="1651" ht="22" customHeight="1">
      <x:c r="A1651" s="3"/>
      <x:c r="B1651" s="3" t="str">
        <x:v>17096</x:v>
      </x:c>
      <x:c r="C1651" s="3" t="n">
        <x:v>4</x:v>
      </x:c>
      <x:c r="D1651" s="51" t="n">
        <x:v>40871</x:v>
      </x:c>
      <x:c r="E1651" s="3" t="str">
        <x:v>Recurrente</x:v>
      </x:c>
      <x:c r="F1651" s="13" t="n">
        <x:v>1022.13</x:v>
      </x:c>
      <x:c r="G1651" s="13" t="n">
        <x:v>29.45</x:v>
      </x:c>
      <x:c r="H1651" s="13" t="n">
        <x:f>F1651-G1651</x:f>
        <x:v>992.68</x:v>
      </x:c>
      <x:c r="I1651" s="13" t="n">
        <x:f>IF(C1651=0,"n.a.",F1651/C1651)</x:f>
        <x:v>255.5325</x:v>
      </x:c>
      <x:c r="J1651" s="3"/>
      <x:c r="K1651" s="3"/>
      <x:c r="L1651" s="3"/>
    </x:row>
    <x:row r="1652" ht="22" customHeight="1">
      <x:c r="A1652" s="3"/>
      <x:c r="B1652" s="3" t="str">
        <x:v>17126</x:v>
      </x:c>
      <x:c r="C1652" s="3" t="n">
        <x:v>5</x:v>
      </x:c>
      <x:c r="D1652" s="51" t="n">
        <x:v>40734</x:v>
      </x:c>
      <x:c r="E1652" s="3" t="str">
        <x:v>Recurrente</x:v>
      </x:c>
      <x:c r="F1652" s="13" t="n">
        <x:v>1004.75</x:v>
      </x:c>
      <x:c r="G1652" s="13" t="n">
        <x:v>12.9</x:v>
      </x:c>
      <x:c r="H1652" s="13" t="n">
        <x:f>F1652-G1652</x:f>
        <x:v>991.85</x:v>
      </x:c>
      <x:c r="I1652" s="13" t="n">
        <x:f>IF(C1652=0,"n.a.",F1652/C1652)</x:f>
        <x:v>200.95</x:v>
      </x:c>
      <x:c r="J1652" s="3"/>
      <x:c r="K1652" s="3"/>
      <x:c r="L1652" s="3"/>
    </x:row>
    <x:row r="1653" ht="22" customHeight="1">
      <x:c r="A1653" s="3"/>
      <x:c r="B1653" s="3" t="str">
        <x:v>17951</x:v>
      </x:c>
      <x:c r="C1653" s="3" t="n">
        <x:v>3</x:v>
      </x:c>
      <x:c r="D1653" s="51" t="n">
        <x:v>40847</x:v>
      </x:c>
      <x:c r="E1653" s="3" t="str">
        <x:v>Recurrente</x:v>
      </x:c>
      <x:c r="F1653" s="13" t="n">
        <x:v>1008.54</x:v>
      </x:c>
      <x:c r="G1653" s="13" t="n">
        <x:v>17.7</x:v>
      </x:c>
      <x:c r="H1653" s="13" t="n">
        <x:f>F1653-G1653</x:f>
        <x:v>990.8399999999999</x:v>
      </x:c>
      <x:c r="I1653" s="13" t="n">
        <x:f>IF(C1653=0,"n.a.",F1653/C1653)</x:f>
        <x:v>336.18</x:v>
      </x:c>
      <x:c r="J1653" s="3"/>
      <x:c r="K1653" s="3"/>
      <x:c r="L1653" s="3"/>
    </x:row>
    <x:row r="1654" ht="22" customHeight="1">
      <x:c r="A1654" s="3"/>
      <x:c r="B1654" s="3" t="str">
        <x:v>17324</x:v>
      </x:c>
      <x:c r="C1654" s="3" t="n">
        <x:v>4</x:v>
      </x:c>
      <x:c r="D1654" s="51" t="n">
        <x:v>40869</x:v>
      </x:c>
      <x:c r="E1654" s="3" t="str">
        <x:v>Recurrente</x:v>
      </x:c>
      <x:c r="F1654" s="13" t="n">
        <x:v>990.23</x:v>
      </x:c>
      <x:c r="G1654" s="13" t="n">
        <x:v>0</x:v>
      </x:c>
      <x:c r="H1654" s="13" t="n">
        <x:f>F1654-G1654</x:f>
        <x:v>990.23</x:v>
      </x:c>
      <x:c r="I1654" s="13" t="n">
        <x:f>IF(C1654=0,"n.a.",F1654/C1654)</x:f>
        <x:v>247.5575</x:v>
      </x:c>
      <x:c r="J1654" s="3"/>
      <x:c r="K1654" s="3"/>
      <x:c r="L1654" s="3"/>
    </x:row>
    <x:row r="1655" ht="22" customHeight="1">
      <x:c r="A1655" s="3"/>
      <x:c r="B1655" s="3" t="str">
        <x:v>13410</x:v>
      </x:c>
      <x:c r="C1655" s="3" t="n">
        <x:v>5</x:v>
      </x:c>
      <x:c r="D1655" s="51" t="n">
        <x:v>40862</x:v>
      </x:c>
      <x:c r="E1655" s="3" t="str">
        <x:v>Recurrente</x:v>
      </x:c>
      <x:c r="F1655" s="13" t="n">
        <x:v>1003.06</x:v>
      </x:c>
      <x:c r="G1655" s="13" t="n">
        <x:v>14.15</x:v>
      </x:c>
      <x:c r="H1655" s="13" t="n">
        <x:f>F1655-G1655</x:f>
        <x:v>988.91</x:v>
      </x:c>
      <x:c r="I1655" s="13" t="n">
        <x:f>IF(C1655=0,"n.a.",F1655/C1655)</x:f>
        <x:v>200.612</x:v>
      </x:c>
      <x:c r="J1655" s="3"/>
      <x:c r="K1655" s="3"/>
      <x:c r="L1655" s="3"/>
    </x:row>
    <x:row r="1656" ht="22" customHeight="1">
      <x:c r="A1656" s="3"/>
      <x:c r="B1656" s="3" t="str">
        <x:v>15062</x:v>
      </x:c>
      <x:c r="C1656" s="3" t="n">
        <x:v>4</x:v>
      </x:c>
      <x:c r="D1656" s="51" t="n">
        <x:v>40815</x:v>
      </x:c>
      <x:c r="E1656" s="3" t="str">
        <x:v>Recurrente</x:v>
      </x:c>
      <x:c r="F1656" s="13" t="n">
        <x:v>987.86</x:v>
      </x:c>
      <x:c r="G1656" s="13" t="n">
        <x:v>0</x:v>
      </x:c>
      <x:c r="H1656" s="13" t="n">
        <x:f>F1656-G1656</x:f>
        <x:v>987.86</x:v>
      </x:c>
      <x:c r="I1656" s="13" t="n">
        <x:f>IF(C1656=0,"n.a.",F1656/C1656)</x:f>
        <x:v>246.965</x:v>
      </x:c>
      <x:c r="J1656" s="3"/>
      <x:c r="K1656" s="3"/>
      <x:c r="L1656" s="3"/>
    </x:row>
    <x:row r="1657" ht="22" customHeight="1">
      <x:c r="A1657" s="3"/>
      <x:c r="B1657" s="3" t="str">
        <x:v>18237</x:v>
      </x:c>
      <x:c r="C1657" s="3" t="n">
        <x:v>5</x:v>
      </x:c>
      <x:c r="D1657" s="51" t="n">
        <x:v>40884</x:v>
      </x:c>
      <x:c r="E1657" s="3" t="str">
        <x:v>Recurrente</x:v>
      </x:c>
      <x:c r="F1657" s="13" t="n">
        <x:v>987.1</x:v>
      </x:c>
      <x:c r="G1657" s="13" t="n">
        <x:v>0</x:v>
      </x:c>
      <x:c r="H1657" s="13" t="n">
        <x:f>F1657-G1657</x:f>
        <x:v>987.1</x:v>
      </x:c>
      <x:c r="I1657" s="13" t="n">
        <x:f>IF(C1657=0,"n.a.",F1657/C1657)</x:f>
        <x:v>197.42000000000002</x:v>
      </x:c>
      <x:c r="J1657" s="3"/>
      <x:c r="K1657" s="3"/>
      <x:c r="L1657" s="3"/>
    </x:row>
    <x:row r="1658" ht="22" customHeight="1">
      <x:c r="A1658" s="3"/>
      <x:c r="B1658" s="3" t="str">
        <x:v>13117</x:v>
      </x:c>
      <x:c r="C1658" s="3" t="n">
        <x:v>8</x:v>
      </x:c>
      <x:c r="D1658" s="51" t="n">
        <x:v>40865</x:v>
      </x:c>
      <x:c r="E1658" s="3" t="str">
        <x:v>Recurrente</x:v>
      </x:c>
      <x:c r="F1658" s="13" t="n">
        <x:v>984.91</x:v>
      </x:c>
      <x:c r="G1658" s="13" t="n">
        <x:v>0</x:v>
      </x:c>
      <x:c r="H1658" s="13" t="n">
        <x:f>F1658-G1658</x:f>
        <x:v>984.91</x:v>
      </x:c>
      <x:c r="I1658" s="13" t="n">
        <x:f>IF(C1658=0,"n.a.",F1658/C1658)</x:f>
        <x:v>123.11375</x:v>
      </x:c>
      <x:c r="J1658" s="3"/>
      <x:c r="K1658" s="3"/>
      <x:c r="L1658" s="3"/>
    </x:row>
    <x:row r="1659" ht="22" customHeight="1">
      <x:c r="A1659" s="3"/>
      <x:c r="B1659" s="3" t="str">
        <x:v>17144</x:v>
      </x:c>
      <x:c r="C1659" s="3" t="n">
        <x:v>2</x:v>
      </x:c>
      <x:c r="D1659" s="51" t="n">
        <x:v>40885</x:v>
      </x:c>
      <x:c r="E1659" s="3" t="str">
        <x:v>Recurrente</x:v>
      </x:c>
      <x:c r="F1659" s="13" t="n">
        <x:v>984.57</x:v>
      </x:c>
      <x:c r="G1659" s="13" t="n">
        <x:v>0</x:v>
      </x:c>
      <x:c r="H1659" s="13" t="n">
        <x:f>F1659-G1659</x:f>
        <x:v>984.57</x:v>
      </x:c>
      <x:c r="I1659" s="13" t="n">
        <x:f>IF(C1659=0,"n.a.",F1659/C1659)</x:f>
        <x:v>492.285</x:v>
      </x:c>
      <x:c r="J1659" s="3"/>
      <x:c r="K1659" s="3"/>
      <x:c r="L1659" s="3"/>
    </x:row>
    <x:row r="1660" ht="22" customHeight="1">
      <x:c r="A1660" s="3"/>
      <x:c r="B1660" s="3" t="str">
        <x:v>17214</x:v>
      </x:c>
      <x:c r="C1660" s="3" t="n">
        <x:v>6</x:v>
      </x:c>
      <x:c r="D1660" s="51" t="n">
        <x:v>40826</x:v>
      </x:c>
      <x:c r="E1660" s="3" t="str">
        <x:v>Recurrente</x:v>
      </x:c>
      <x:c r="F1660" s="13" t="n">
        <x:v>1069.12</x:v>
      </x:c>
      <x:c r="G1660" s="13" t="n">
        <x:v>85</x:v>
      </x:c>
      <x:c r="H1660" s="13" t="n">
        <x:f>F1660-G1660</x:f>
        <x:v>984.1199999999999</x:v>
      </x:c>
      <x:c r="I1660" s="13" t="n">
        <x:f>IF(C1660=0,"n.a.",F1660/C1660)</x:f>
        <x:v>178.18666666666664</x:v>
      </x:c>
      <x:c r="J1660" s="3"/>
      <x:c r="K1660" s="3"/>
      <x:c r="L1660" s="3"/>
    </x:row>
    <x:row r="1661" ht="22" customHeight="1">
      <x:c r="A1661" s="3"/>
      <x:c r="B1661" s="3" t="str">
        <x:v>16232</x:v>
      </x:c>
      <x:c r="C1661" s="3" t="n">
        <x:v>4</x:v>
      </x:c>
      <x:c r="D1661" s="51" t="n">
        <x:v>40843</x:v>
      </x:c>
      <x:c r="E1661" s="3" t="str">
        <x:v>Recurrente</x:v>
      </x:c>
      <x:c r="F1661" s="13" t="n">
        <x:v>990.88</x:v>
      </x:c>
      <x:c r="G1661" s="13" t="n">
        <x:v>7.65</x:v>
      </x:c>
      <x:c r="H1661" s="13" t="n">
        <x:f>F1661-G1661</x:f>
        <x:v>983.23</x:v>
      </x:c>
      <x:c r="I1661" s="13" t="n">
        <x:f>IF(C1661=0,"n.a.",F1661/C1661)</x:f>
        <x:v>247.72</x:v>
      </x:c>
      <x:c r="J1661" s="3"/>
      <x:c r="K1661" s="3"/>
      <x:c r="L1661" s="3"/>
    </x:row>
    <x:row r="1662" ht="22" customHeight="1">
      <x:c r="A1662" s="3"/>
      <x:c r="B1662" s="3" t="str">
        <x:v>15133</x:v>
      </x:c>
      <x:c r="C1662" s="3" t="n">
        <x:v>3</x:v>
      </x:c>
      <x:c r="D1662" s="51" t="n">
        <x:v>40759</x:v>
      </x:c>
      <x:c r="E1662" s="3" t="str">
        <x:v>Recurrente</x:v>
      </x:c>
      <x:c r="F1662" s="13" t="n">
        <x:v>982.42</x:v>
      </x:c>
      <x:c r="G1662" s="13" t="n">
        <x:v>0</x:v>
      </x:c>
      <x:c r="H1662" s="13" t="n">
        <x:f>F1662-G1662</x:f>
        <x:v>982.42</x:v>
      </x:c>
      <x:c r="I1662" s="13" t="n">
        <x:f>IF(C1662=0,"n.a.",F1662/C1662)</x:f>
        <x:v>327.4733333333333</x:v>
      </x:c>
      <x:c r="J1662" s="3"/>
      <x:c r="K1662" s="3"/>
      <x:c r="L1662" s="3"/>
    </x:row>
    <x:row r="1663" ht="22" customHeight="1">
      <x:c r="A1663" s="3"/>
      <x:c r="B1663" s="3" t="str">
        <x:v>14138</x:v>
      </x:c>
      <x:c r="C1663" s="3" t="n">
        <x:v>2</x:v>
      </x:c>
      <x:c r="D1663" s="51" t="n">
        <x:v>40885</x:v>
      </x:c>
      <x:c r="E1663" s="3" t="str">
        <x:v>Recurrente</x:v>
      </x:c>
      <x:c r="F1663" s="13" t="n">
        <x:v>982.38</x:v>
      </x:c>
      <x:c r="G1663" s="13" t="n">
        <x:v>0</x:v>
      </x:c>
      <x:c r="H1663" s="13" t="n">
        <x:f>F1663-G1663</x:f>
        <x:v>982.38</x:v>
      </x:c>
      <x:c r="I1663" s="13" t="n">
        <x:f>IF(C1663=0,"n.a.",F1663/C1663)</x:f>
        <x:v>491.19</x:v>
      </x:c>
      <x:c r="J1663" s="3"/>
      <x:c r="K1663" s="3"/>
      <x:c r="L1663" s="3"/>
    </x:row>
    <x:row r="1664" ht="22" customHeight="1">
      <x:c r="A1664" s="3"/>
      <x:c r="B1664" s="3" t="str">
        <x:v>15071</x:v>
      </x:c>
      <x:c r="C1664" s="3" t="n">
        <x:v>2</x:v>
      </x:c>
      <x:c r="D1664" s="51" t="n">
        <x:v>40793</x:v>
      </x:c>
      <x:c r="E1664" s="3" t="str">
        <x:v>Recurrente</x:v>
      </x:c>
      <x:c r="F1664" s="13" t="n">
        <x:v>982.07</x:v>
      </x:c>
      <x:c r="G1664" s="13" t="n">
        <x:v>0</x:v>
      </x:c>
      <x:c r="H1664" s="13" t="n">
        <x:f>F1664-G1664</x:f>
        <x:v>982.07</x:v>
      </x:c>
      <x:c r="I1664" s="13" t="n">
        <x:f>IF(C1664=0,"n.a.",F1664/C1664)</x:f>
        <x:v>491.035</x:v>
      </x:c>
      <x:c r="J1664" s="3"/>
      <x:c r="K1664" s="3"/>
      <x:c r="L1664" s="3"/>
    </x:row>
    <x:row r="1665" ht="22" customHeight="1">
      <x:c r="A1665" s="3"/>
      <x:c r="B1665" s="3" t="str">
        <x:v>16188</x:v>
      </x:c>
      <x:c r="C1665" s="3" t="n">
        <x:v>4</x:v>
      </x:c>
      <x:c r="D1665" s="51" t="n">
        <x:v>40842</x:v>
      </x:c>
      <x:c r="E1665" s="3" t="str">
        <x:v>Recurrente</x:v>
      </x:c>
      <x:c r="F1665" s="13" t="n">
        <x:v>981.86</x:v>
      </x:c>
      <x:c r="G1665" s="13" t="n">
        <x:v>0</x:v>
      </x:c>
      <x:c r="H1665" s="13" t="n">
        <x:f>F1665-G1665</x:f>
        <x:v>981.86</x:v>
      </x:c>
      <x:c r="I1665" s="13" t="n">
        <x:f>IF(C1665=0,"n.a.",F1665/C1665)</x:f>
        <x:v>245.465</x:v>
      </x:c>
      <x:c r="J1665" s="3"/>
      <x:c r="K1665" s="3"/>
      <x:c r="L1665" s="3"/>
    </x:row>
    <x:row r="1666" ht="22" customHeight="1">
      <x:c r="A1666" s="3"/>
      <x:c r="B1666" s="3" t="str">
        <x:v>16907</x:v>
      </x:c>
      <x:c r="C1666" s="3" t="n">
        <x:v>5</x:v>
      </x:c>
      <x:c r="D1666" s="51" t="n">
        <x:v>40857</x:v>
      </x:c>
      <x:c r="E1666" s="3" t="str">
        <x:v>Recurrente</x:v>
      </x:c>
      <x:c r="F1666" s="13" t="n">
        <x:v>981.65</x:v>
      </x:c>
      <x:c r="G1666" s="13" t="n">
        <x:v>0</x:v>
      </x:c>
      <x:c r="H1666" s="13" t="n">
        <x:f>F1666-G1666</x:f>
        <x:v>981.65</x:v>
      </x:c>
      <x:c r="I1666" s="13" t="n">
        <x:f>IF(C1666=0,"n.a.",F1666/C1666)</x:f>
        <x:v>196.32999999999998</x:v>
      </x:c>
      <x:c r="J1666" s="3"/>
      <x:c r="K1666" s="3"/>
      <x:c r="L1666" s="3"/>
    </x:row>
    <x:row r="1667" ht="22" customHeight="1">
      <x:c r="A1667" s="3"/>
      <x:c r="B1667" s="3" t="str">
        <x:v>16085</x:v>
      </x:c>
      <x:c r="C1667" s="3" t="n">
        <x:v>5</x:v>
      </x:c>
      <x:c r="D1667" s="51" t="n">
        <x:v>40863</x:v>
      </x:c>
      <x:c r="E1667" s="3" t="str">
        <x:v>Recurrente</x:v>
      </x:c>
      <x:c r="F1667" s="13" t="n">
        <x:v>981.51</x:v>
      </x:c>
      <x:c r="G1667" s="13" t="n">
        <x:v>0</x:v>
      </x:c>
      <x:c r="H1667" s="13" t="n">
        <x:f>F1667-G1667</x:f>
        <x:v>981.51</x:v>
      </x:c>
      <x:c r="I1667" s="13" t="n">
        <x:f>IF(C1667=0,"n.a.",F1667/C1667)</x:f>
        <x:v>196.302</x:v>
      </x:c>
      <x:c r="J1667" s="3"/>
      <x:c r="K1667" s="3"/>
      <x:c r="L1667" s="3"/>
    </x:row>
    <x:row r="1668" ht="22" customHeight="1">
      <x:c r="A1668" s="3"/>
      <x:c r="B1668" s="3" t="str">
        <x:v>12534</x:v>
      </x:c>
      <x:c r="C1668" s="3" t="n">
        <x:v>1</x:v>
      </x:c>
      <x:c r="D1668" s="51" t="n">
        <x:v>40756</x:v>
      </x:c>
      <x:c r="E1668" s="3" t="str">
        <x:v>Una compra</x:v>
      </x:c>
      <x:c r="F1668" s="13" t="n">
        <x:v>981.18</x:v>
      </x:c>
      <x:c r="G1668" s="13" t="n">
        <x:v>0</x:v>
      </x:c>
      <x:c r="H1668" s="13" t="n">
        <x:f>F1668-G1668</x:f>
        <x:v>981.18</x:v>
      </x:c>
      <x:c r="I1668" s="13" t="n">
        <x:f>IF(C1668=0,"n.a.",F1668/C1668)</x:f>
        <x:v>981.18</x:v>
      </x:c>
      <x:c r="J1668" s="3"/>
      <x:c r="K1668" s="3"/>
      <x:c r="L1668" s="3"/>
    </x:row>
    <x:row r="1669" ht="22" customHeight="1">
      <x:c r="A1669" s="3"/>
      <x:c r="B1669" s="3" t="str">
        <x:v>18170</x:v>
      </x:c>
      <x:c r="C1669" s="3" t="n">
        <x:v>3</x:v>
      </x:c>
      <x:c r="D1669" s="51" t="n">
        <x:v>40853</x:v>
      </x:c>
      <x:c r="E1669" s="3" t="str">
        <x:v>Recurrente</x:v>
      </x:c>
      <x:c r="F1669" s="13" t="n">
        <x:v>980.31</x:v>
      </x:c>
      <x:c r="G1669" s="13" t="n">
        <x:v>0</x:v>
      </x:c>
      <x:c r="H1669" s="13" t="n">
        <x:f>F1669-G1669</x:f>
        <x:v>980.31</x:v>
      </x:c>
      <x:c r="I1669" s="13" t="n">
        <x:f>IF(C1669=0,"n.a.",F1669/C1669)</x:f>
        <x:v>326.77</x:v>
      </x:c>
      <x:c r="J1669" s="3"/>
      <x:c r="K1669" s="3"/>
      <x:c r="L1669" s="3"/>
    </x:row>
    <x:row r="1670" ht="22" customHeight="1">
      <x:c r="A1670" s="3"/>
      <x:c r="B1670" s="3" t="str">
        <x:v>15506</x:v>
      </x:c>
      <x:c r="C1670" s="3" t="n">
        <x:v>3</x:v>
      </x:c>
      <x:c r="D1670" s="51" t="n">
        <x:v>40864</x:v>
      </x:c>
      <x:c r="E1670" s="3" t="str">
        <x:v>Recurrente</x:v>
      </x:c>
      <x:c r="F1670" s="13" t="n">
        <x:v>979.26</x:v>
      </x:c>
      <x:c r="G1670" s="13" t="n">
        <x:v>0</x:v>
      </x:c>
      <x:c r="H1670" s="13" t="n">
        <x:f>F1670-G1670</x:f>
        <x:v>979.26</x:v>
      </x:c>
      <x:c r="I1670" s="13" t="n">
        <x:f>IF(C1670=0,"n.a.",F1670/C1670)</x:f>
        <x:v>326.42</x:v>
      </x:c>
      <x:c r="J1670" s="3"/>
      <x:c r="K1670" s="3"/>
      <x:c r="L1670" s="3"/>
    </x:row>
    <x:row r="1671" ht="22" customHeight="1">
      <x:c r="A1671" s="3"/>
      <x:c r="B1671" s="3" t="str">
        <x:v>15132</x:v>
      </x:c>
      <x:c r="C1671" s="3" t="n">
        <x:v>5</x:v>
      </x:c>
      <x:c r="D1671" s="51" t="n">
        <x:v>40868</x:v>
      </x:c>
      <x:c r="E1671" s="3" t="str">
        <x:v>Recurrente</x:v>
      </x:c>
      <x:c r="F1671" s="13" t="n">
        <x:v>977.93</x:v>
      </x:c>
      <x:c r="G1671" s="13" t="n">
        <x:v>0</x:v>
      </x:c>
      <x:c r="H1671" s="13" t="n">
        <x:f>F1671-G1671</x:f>
        <x:v>977.93</x:v>
      </x:c>
      <x:c r="I1671" s="13" t="n">
        <x:f>IF(C1671=0,"n.a.",F1671/C1671)</x:f>
        <x:v>195.58599999999998</x:v>
      </x:c>
      <x:c r="J1671" s="3"/>
      <x:c r="K1671" s="3"/>
      <x:c r="L1671" s="3"/>
    </x:row>
    <x:row r="1672" ht="22" customHeight="1">
      <x:c r="A1672" s="3"/>
      <x:c r="B1672" s="3" t="str">
        <x:v>14920</x:v>
      </x:c>
      <x:c r="C1672" s="3" t="n">
        <x:v>2</x:v>
      </x:c>
      <x:c r="D1672" s="51" t="n">
        <x:v>40674</x:v>
      </x:c>
      <x:c r="E1672" s="3" t="str">
        <x:v>Recurrente</x:v>
      </x:c>
      <x:c r="F1672" s="13" t="n">
        <x:v>977.77</x:v>
      </x:c>
      <x:c r="G1672" s="13" t="n">
        <x:v>0</x:v>
      </x:c>
      <x:c r="H1672" s="13" t="n">
        <x:f>F1672-G1672</x:f>
        <x:v>977.77</x:v>
      </x:c>
      <x:c r="I1672" s="13" t="n">
        <x:f>IF(C1672=0,"n.a.",F1672/C1672)</x:f>
        <x:v>488.885</x:v>
      </x:c>
      <x:c r="J1672" s="3"/>
      <x:c r="K1672" s="3"/>
      <x:c r="L1672" s="3"/>
    </x:row>
    <x:row r="1673" ht="22" customHeight="1">
      <x:c r="A1673" s="3"/>
      <x:c r="B1673" s="3" t="str">
        <x:v>16376</x:v>
      </x:c>
      <x:c r="C1673" s="3" t="n">
        <x:v>2</x:v>
      </x:c>
      <x:c r="D1673" s="51" t="n">
        <x:v>40878</x:v>
      </x:c>
      <x:c r="E1673" s="3" t="str">
        <x:v>Recurrente</x:v>
      </x:c>
      <x:c r="F1673" s="13" t="n">
        <x:v>987.01</x:v>
      </x:c>
      <x:c r="G1673" s="13" t="n">
        <x:v>9.49</x:v>
      </x:c>
      <x:c r="H1673" s="13" t="n">
        <x:f>F1673-G1673</x:f>
        <x:v>977.52</x:v>
      </x:c>
      <x:c r="I1673" s="13" t="n">
        <x:f>IF(C1673=0,"n.a.",F1673/C1673)</x:f>
        <x:v>493.505</x:v>
      </x:c>
      <x:c r="J1673" s="3"/>
      <x:c r="K1673" s="3"/>
      <x:c r="L1673" s="3"/>
    </x:row>
    <x:row r="1674" ht="22" customHeight="1">
      <x:c r="A1674" s="3"/>
      <x:c r="B1674" s="3" t="str">
        <x:v>15860</x:v>
      </x:c>
      <x:c r="C1674" s="3" t="n">
        <x:v>8</x:v>
      </x:c>
      <x:c r="D1674" s="51" t="n">
        <x:v>40846</x:v>
      </x:c>
      <x:c r="E1674" s="3" t="str">
        <x:v>Recurrente</x:v>
      </x:c>
      <x:c r="F1674" s="13" t="n">
        <x:v>977.21</x:v>
      </x:c>
      <x:c r="G1674" s="13" t="n">
        <x:v>0</x:v>
      </x:c>
      <x:c r="H1674" s="13" t="n">
        <x:f>F1674-G1674</x:f>
        <x:v>977.21</x:v>
      </x:c>
      <x:c r="I1674" s="13" t="n">
        <x:f>IF(C1674=0,"n.a.",F1674/C1674)</x:f>
        <x:v>122.15125</x:v>
      </x:c>
      <x:c r="J1674" s="3"/>
      <x:c r="K1674" s="3"/>
      <x:c r="L1674" s="3"/>
    </x:row>
    <x:row r="1675" ht="22" customHeight="1">
      <x:c r="A1675" s="3"/>
      <x:c r="B1675" s="3" t="str">
        <x:v>12739</x:v>
      </x:c>
      <x:c r="C1675" s="3" t="n">
        <x:v>1</x:v>
      </x:c>
      <x:c r="D1675" s="51" t="n">
        <x:v>40787</x:v>
      </x:c>
      <x:c r="E1675" s="3" t="str">
        <x:v>Una compra</x:v>
      </x:c>
      <x:c r="F1675" s="13" t="n">
        <x:v>975.54</x:v>
      </x:c>
      <x:c r="G1675" s="13" t="n">
        <x:v>0</x:v>
      </x:c>
      <x:c r="H1675" s="13" t="n">
        <x:f>F1675-G1675</x:f>
        <x:v>975.54</x:v>
      </x:c>
      <x:c r="I1675" s="13" t="n">
        <x:f>IF(C1675=0,"n.a.",F1675/C1675)</x:f>
        <x:v>975.54</x:v>
      </x:c>
      <x:c r="J1675" s="3"/>
      <x:c r="K1675" s="3"/>
      <x:c r="L1675" s="3"/>
    </x:row>
    <x:row r="1676" ht="22" customHeight="1">
      <x:c r="A1676" s="3"/>
      <x:c r="B1676" s="3" t="str">
        <x:v>14223</x:v>
      </x:c>
      <x:c r="C1676" s="3" t="n">
        <x:v>3</x:v>
      </x:c>
      <x:c r="D1676" s="51" t="n">
        <x:v>40794</x:v>
      </x:c>
      <x:c r="E1676" s="3" t="str">
        <x:v>Recurrente</x:v>
      </x:c>
      <x:c r="F1676" s="13" t="n">
        <x:v>991.13</x:v>
      </x:c>
      <x:c r="G1676" s="13" t="n">
        <x:v>15.9</x:v>
      </x:c>
      <x:c r="H1676" s="13" t="n">
        <x:f>F1676-G1676</x:f>
        <x:v>975.23</x:v>
      </x:c>
      <x:c r="I1676" s="13" t="n">
        <x:f>IF(C1676=0,"n.a.",F1676/C1676)</x:f>
        <x:v>330.37666666666667</x:v>
      </x:c>
      <x:c r="J1676" s="3"/>
      <x:c r="K1676" s="3"/>
      <x:c r="L1676" s="3"/>
    </x:row>
    <x:row r="1677" ht="22" customHeight="1">
      <x:c r="A1677" s="3"/>
      <x:c r="B1677" s="3" t="str">
        <x:v>14522</x:v>
      </x:c>
      <x:c r="C1677" s="3" t="n">
        <x:v>4</x:v>
      </x:c>
      <x:c r="D1677" s="51" t="n">
        <x:v>40862</x:v>
      </x:c>
      <x:c r="E1677" s="3" t="str">
        <x:v>Recurrente</x:v>
      </x:c>
      <x:c r="F1677" s="13" t="n">
        <x:v>974.54</x:v>
      </x:c>
      <x:c r="G1677" s="13" t="n">
        <x:v>0</x:v>
      </x:c>
      <x:c r="H1677" s="13" t="n">
        <x:f>F1677-G1677</x:f>
        <x:v>974.54</x:v>
      </x:c>
      <x:c r="I1677" s="13" t="n">
        <x:f>IF(C1677=0,"n.a.",F1677/C1677)</x:f>
        <x:v>243.635</x:v>
      </x:c>
      <x:c r="J1677" s="3"/>
      <x:c r="K1677" s="3"/>
      <x:c r="L1677" s="3"/>
    </x:row>
    <x:row r="1678" ht="22" customHeight="1">
      <x:c r="A1678" s="3"/>
      <x:c r="B1678" s="3" t="str">
        <x:v>15747</x:v>
      </x:c>
      <x:c r="C1678" s="3" t="n">
        <x:v>3</x:v>
      </x:c>
      <x:c r="D1678" s="51" t="n">
        <x:v>40874</x:v>
      </x:c>
      <x:c r="E1678" s="3" t="str">
        <x:v>Recurrente</x:v>
      </x:c>
      <x:c r="F1678" s="13" t="n">
        <x:v>974.04</x:v>
      </x:c>
      <x:c r="G1678" s="13" t="n">
        <x:v>0</x:v>
      </x:c>
      <x:c r="H1678" s="13" t="n">
        <x:f>F1678-G1678</x:f>
        <x:v>974.04</x:v>
      </x:c>
      <x:c r="I1678" s="13" t="n">
        <x:f>IF(C1678=0,"n.a.",F1678/C1678)</x:f>
        <x:v>324.68</x:v>
      </x:c>
      <x:c r="J1678" s="3"/>
      <x:c r="K1678" s="3"/>
      <x:c r="L1678" s="3"/>
    </x:row>
    <x:row r="1679" ht="22" customHeight="1">
      <x:c r="A1679" s="3"/>
      <x:c r="B1679" s="3" t="str">
        <x:v>13155</x:v>
      </x:c>
      <x:c r="C1679" s="3" t="n">
        <x:v>4</x:v>
      </x:c>
      <x:c r="D1679" s="51" t="n">
        <x:v>40853</x:v>
      </x:c>
      <x:c r="E1679" s="3" t="str">
        <x:v>Recurrente</x:v>
      </x:c>
      <x:c r="F1679" s="13" t="n">
        <x:v>971.76</x:v>
      </x:c>
      <x:c r="G1679" s="13" t="n">
        <x:v>0</x:v>
      </x:c>
      <x:c r="H1679" s="13" t="n">
        <x:f>F1679-G1679</x:f>
        <x:v>971.76</x:v>
      </x:c>
      <x:c r="I1679" s="13" t="n">
        <x:f>IF(C1679=0,"n.a.",F1679/C1679)</x:f>
        <x:v>242.94</x:v>
      </x:c>
      <x:c r="J1679" s="3"/>
      <x:c r="K1679" s="3"/>
      <x:c r="L1679" s="3"/>
    </x:row>
    <x:row r="1680" ht="22" customHeight="1">
      <x:c r="A1680" s="3"/>
      <x:c r="B1680" s="3" t="str">
        <x:v>17100</x:v>
      </x:c>
      <x:c r="C1680" s="3" t="n">
        <x:v>2</x:v>
      </x:c>
      <x:c r="D1680" s="51" t="n">
        <x:v>40868</x:v>
      </x:c>
      <x:c r="E1680" s="3" t="str">
        <x:v>Recurrente</x:v>
      </x:c>
      <x:c r="F1680" s="13" t="n">
        <x:v>971.74</x:v>
      </x:c>
      <x:c r="G1680" s="13" t="n">
        <x:v>0</x:v>
      </x:c>
      <x:c r="H1680" s="13" t="n">
        <x:f>F1680-G1680</x:f>
        <x:v>971.74</x:v>
      </x:c>
      <x:c r="I1680" s="13" t="n">
        <x:f>IF(C1680=0,"n.a.",F1680/C1680)</x:f>
        <x:v>485.87</x:v>
      </x:c>
      <x:c r="J1680" s="3"/>
      <x:c r="K1680" s="3"/>
      <x:c r="L1680" s="3"/>
    </x:row>
    <x:row r="1681" ht="22" customHeight="1">
      <x:c r="A1681" s="3"/>
      <x:c r="B1681" s="3" t="str">
        <x:v>17618</x:v>
      </x:c>
      <x:c r="C1681" s="3" t="n">
        <x:v>3</x:v>
      </x:c>
      <x:c r="D1681" s="51" t="n">
        <x:v>40881</x:v>
      </x:c>
      <x:c r="E1681" s="3" t="str">
        <x:v>Recurrente</x:v>
      </x:c>
      <x:c r="F1681" s="13" t="n">
        <x:v>971.58</x:v>
      </x:c>
      <x:c r="G1681" s="13" t="n">
        <x:v>0</x:v>
      </x:c>
      <x:c r="H1681" s="13" t="n">
        <x:f>F1681-G1681</x:f>
        <x:v>971.58</x:v>
      </x:c>
      <x:c r="I1681" s="13" t="n">
        <x:f>IF(C1681=0,"n.a.",F1681/C1681)</x:f>
        <x:v>323.86</x:v>
      </x:c>
      <x:c r="J1681" s="3"/>
      <x:c r="K1681" s="3"/>
      <x:c r="L1681" s="3"/>
    </x:row>
    <x:row r="1682" ht="22" customHeight="1">
      <x:c r="A1682" s="3"/>
      <x:c r="B1682" s="3" t="str">
        <x:v>15449</x:v>
      </x:c>
      <x:c r="C1682" s="3" t="n">
        <x:v>3</x:v>
      </x:c>
      <x:c r="D1682" s="51" t="n">
        <x:v>40860</x:v>
      </x:c>
      <x:c r="E1682" s="3" t="str">
        <x:v>Recurrente</x:v>
      </x:c>
      <x:c r="F1682" s="13" t="n">
        <x:v>974.52</x:v>
      </x:c>
      <x:c r="G1682" s="13" t="n">
        <x:v>3.3</x:v>
      </x:c>
      <x:c r="H1682" s="13" t="n">
        <x:f>F1682-G1682</x:f>
        <x:v>971.22</x:v>
      </x:c>
      <x:c r="I1682" s="13" t="n">
        <x:f>IF(C1682=0,"n.a.",F1682/C1682)</x:f>
        <x:v>324.84</x:v>
      </x:c>
      <x:c r="J1682" s="3"/>
      <x:c r="K1682" s="3"/>
      <x:c r="L1682" s="3"/>
    </x:row>
    <x:row r="1683" ht="22" customHeight="1">
      <x:c r="A1683" s="3"/>
      <x:c r="B1683" s="3" t="str">
        <x:v>15110</x:v>
      </x:c>
      <x:c r="C1683" s="3" t="n">
        <x:v>4</x:v>
      </x:c>
      <x:c r="D1683" s="51" t="n">
        <x:v>40863</x:v>
      </x:c>
      <x:c r="E1683" s="3" t="str">
        <x:v>Recurrente</x:v>
      </x:c>
      <x:c r="F1683" s="13" t="n">
        <x:v>996.1</x:v>
      </x:c>
      <x:c r="G1683" s="13" t="n">
        <x:v>25.85</x:v>
      </x:c>
      <x:c r="H1683" s="13" t="n">
        <x:f>F1683-G1683</x:f>
        <x:v>970.25</x:v>
      </x:c>
      <x:c r="I1683" s="13" t="n">
        <x:f>IF(C1683=0,"n.a.",F1683/C1683)</x:f>
        <x:v>249.025</x:v>
      </x:c>
      <x:c r="J1683" s="3"/>
      <x:c r="K1683" s="3"/>
      <x:c r="L1683" s="3"/>
    </x:row>
    <x:row r="1684" ht="22" customHeight="1">
      <x:c r="A1684" s="3"/>
      <x:c r="B1684" s="3" t="str">
        <x:v>17405</x:v>
      </x:c>
      <x:c r="C1684" s="3" t="n">
        <x:v>3</x:v>
      </x:c>
      <x:c r="D1684" s="51" t="n">
        <x:v>40885</x:v>
      </x:c>
      <x:c r="E1684" s="3" t="str">
        <x:v>Recurrente</x:v>
      </x:c>
      <x:c r="F1684" s="13" t="n">
        <x:v>1031.41</x:v>
      </x:c>
      <x:c r="G1684" s="13" t="n">
        <x:v>64.19</x:v>
      </x:c>
      <x:c r="H1684" s="13" t="n">
        <x:f>F1684-G1684</x:f>
        <x:v>967.22</x:v>
      </x:c>
      <x:c r="I1684" s="13" t="n">
        <x:f>IF(C1684=0,"n.a.",F1684/C1684)</x:f>
        <x:v>343.80333333333334</x:v>
      </x:c>
      <x:c r="J1684" s="3"/>
      <x:c r="K1684" s="3"/>
      <x:c r="L1684" s="3"/>
    </x:row>
    <x:row r="1685" ht="22" customHeight="1">
      <x:c r="A1685" s="3"/>
      <x:c r="B1685" s="3" t="str">
        <x:v>15907</x:v>
      </x:c>
      <x:c r="C1685" s="3" t="n">
        <x:v>3</x:v>
      </x:c>
      <x:c r="D1685" s="51" t="n">
        <x:v>40883</x:v>
      </x:c>
      <x:c r="E1685" s="3" t="str">
        <x:v>Recurrente</x:v>
      </x:c>
      <x:c r="F1685" s="13" t="n">
        <x:v>966.6</x:v>
      </x:c>
      <x:c r="G1685" s="13" t="n">
        <x:v>0</x:v>
      </x:c>
      <x:c r="H1685" s="13" t="n">
        <x:f>F1685-G1685</x:f>
        <x:v>966.6</x:v>
      </x:c>
      <x:c r="I1685" s="13" t="n">
        <x:f>IF(C1685=0,"n.a.",F1685/C1685)</x:f>
        <x:v>322.2</x:v>
      </x:c>
      <x:c r="J1685" s="3"/>
      <x:c r="K1685" s="3"/>
      <x:c r="L1685" s="3"/>
    </x:row>
    <x:row r="1686" ht="22" customHeight="1">
      <x:c r="A1686" s="3"/>
      <x:c r="B1686" s="3" t="str">
        <x:v>12609</x:v>
      </x:c>
      <x:c r="C1686" s="3" t="n">
        <x:v>3</x:v>
      </x:c>
      <x:c r="D1686" s="51" t="n">
        <x:v>40808</x:v>
      </x:c>
      <x:c r="E1686" s="3" t="str">
        <x:v>Recurrente</x:v>
      </x:c>
      <x:c r="F1686" s="13" t="n">
        <x:v>964.85</x:v>
      </x:c>
      <x:c r="G1686" s="13" t="n">
        <x:v>0</x:v>
      </x:c>
      <x:c r="H1686" s="13" t="n">
        <x:f>F1686-G1686</x:f>
        <x:v>964.85</x:v>
      </x:c>
      <x:c r="I1686" s="13" t="n">
        <x:f>IF(C1686=0,"n.a.",F1686/C1686)</x:f>
        <x:v>321.6166666666667</x:v>
      </x:c>
      <x:c r="J1686" s="3"/>
      <x:c r="K1686" s="3"/>
      <x:c r="L1686" s="3"/>
    </x:row>
    <x:row r="1687" ht="22" customHeight="1">
      <x:c r="A1687" s="3"/>
      <x:c r="B1687" s="3" t="str">
        <x:v>13509</x:v>
      </x:c>
      <x:c r="C1687" s="3" t="n">
        <x:v>6</x:v>
      </x:c>
      <x:c r="D1687" s="51" t="n">
        <x:v>40878</x:v>
      </x:c>
      <x:c r="E1687" s="3" t="str">
        <x:v>Recurrente</x:v>
      </x:c>
      <x:c r="F1687" s="13" t="n">
        <x:v>964.72</x:v>
      </x:c>
      <x:c r="G1687" s="13" t="n">
        <x:v>0</x:v>
      </x:c>
      <x:c r="H1687" s="13" t="n">
        <x:f>F1687-G1687</x:f>
        <x:v>964.72</x:v>
      </x:c>
      <x:c r="I1687" s="13" t="n">
        <x:f>IF(C1687=0,"n.a.",F1687/C1687)</x:f>
        <x:v>160.78666666666666</x:v>
      </x:c>
      <x:c r="J1687" s="3"/>
      <x:c r="K1687" s="3"/>
      <x:c r="L1687" s="3"/>
    </x:row>
    <x:row r="1688" ht="22" customHeight="1">
      <x:c r="A1688" s="3"/>
      <x:c r="B1688" s="3" t="str">
        <x:v>12716</x:v>
      </x:c>
      <x:c r="C1688" s="3" t="n">
        <x:v>2</x:v>
      </x:c>
      <x:c r="D1688" s="51" t="n">
        <x:v>40883</x:v>
      </x:c>
      <x:c r="E1688" s="3" t="str">
        <x:v>Recurrente</x:v>
      </x:c>
      <x:c r="F1688" s="13" t="n">
        <x:v>963.49</x:v>
      </x:c>
      <x:c r="G1688" s="13" t="n">
        <x:v>0</x:v>
      </x:c>
      <x:c r="H1688" s="13" t="n">
        <x:f>F1688-G1688</x:f>
        <x:v>963.49</x:v>
      </x:c>
      <x:c r="I1688" s="13" t="n">
        <x:f>IF(C1688=0,"n.a.",F1688/C1688)</x:f>
        <x:v>481.745</x:v>
      </x:c>
      <x:c r="J1688" s="3"/>
      <x:c r="K1688" s="3"/>
      <x:c r="L1688" s="3"/>
    </x:row>
    <x:row r="1689" ht="22" customHeight="1">
      <x:c r="A1689" s="3"/>
      <x:c r="B1689" s="3" t="str">
        <x:v>14195</x:v>
      </x:c>
      <x:c r="C1689" s="3" t="n">
        <x:v>2</x:v>
      </x:c>
      <x:c r="D1689" s="51" t="n">
        <x:v>40685</x:v>
      </x:c>
      <x:c r="E1689" s="3" t="str">
        <x:v>Recurrente</x:v>
      </x:c>
      <x:c r="F1689" s="13" t="n">
        <x:v>1012</x:v>
      </x:c>
      <x:c r="G1689" s="13" t="n">
        <x:v>49.3</x:v>
      </x:c>
      <x:c r="H1689" s="13" t="n">
        <x:f>F1689-G1689</x:f>
        <x:v>962.7</x:v>
      </x:c>
      <x:c r="I1689" s="13" t="n">
        <x:f>IF(C1689=0,"n.a.",F1689/C1689)</x:f>
        <x:v>506</x:v>
      </x:c>
      <x:c r="J1689" s="3"/>
      <x:c r="K1689" s="3"/>
      <x:c r="L1689" s="3"/>
    </x:row>
    <x:row r="1690" ht="22" customHeight="1">
      <x:c r="A1690" s="3"/>
      <x:c r="B1690" s="3" t="str">
        <x:v>13138</x:v>
      </x:c>
      <x:c r="C1690" s="3" t="n">
        <x:v>6</x:v>
      </x:c>
      <x:c r="D1690" s="51" t="n">
        <x:v>40864</x:v>
      </x:c>
      <x:c r="E1690" s="3" t="str">
        <x:v>Recurrente</x:v>
      </x:c>
      <x:c r="F1690" s="13" t="n">
        <x:v>962.39</x:v>
      </x:c>
      <x:c r="G1690" s="13" t="n">
        <x:v>0</x:v>
      </x:c>
      <x:c r="H1690" s="13" t="n">
        <x:f>F1690-G1690</x:f>
        <x:v>962.39</x:v>
      </x:c>
      <x:c r="I1690" s="13" t="n">
        <x:f>IF(C1690=0,"n.a.",F1690/C1690)</x:f>
        <x:v>160.39833333333334</x:v>
      </x:c>
      <x:c r="J1690" s="3"/>
      <x:c r="K1690" s="3"/>
      <x:c r="L1690" s="3"/>
    </x:row>
    <x:row r="1691" ht="22" customHeight="1">
      <x:c r="A1691" s="3"/>
      <x:c r="B1691" s="3" t="str">
        <x:v>14006</x:v>
      </x:c>
      <x:c r="C1691" s="3" t="n">
        <x:v>3</x:v>
      </x:c>
      <x:c r="D1691" s="51" t="n">
        <x:v>40771</x:v>
      </x:c>
      <x:c r="E1691" s="3" t="str">
        <x:v>Recurrente</x:v>
      </x:c>
      <x:c r="F1691" s="13" t="n">
        <x:v>962.19</x:v>
      </x:c>
      <x:c r="G1691" s="13" t="n">
        <x:v>0</x:v>
      </x:c>
      <x:c r="H1691" s="13" t="n">
        <x:f>F1691-G1691</x:f>
        <x:v>962.19</x:v>
      </x:c>
      <x:c r="I1691" s="13" t="n">
        <x:f>IF(C1691=0,"n.a.",F1691/C1691)</x:f>
        <x:v>320.73</x:v>
      </x:c>
      <x:c r="J1691" s="3"/>
      <x:c r="K1691" s="3"/>
      <x:c r="L1691" s="3"/>
    </x:row>
    <x:row r="1692" ht="22" customHeight="1">
      <x:c r="A1692" s="3"/>
      <x:c r="B1692" s="3" t="str">
        <x:v>15156</x:v>
      </x:c>
      <x:c r="C1692" s="3" t="n">
        <x:v>3</x:v>
      </x:c>
      <x:c r="D1692" s="51" t="n">
        <x:v>40885</x:v>
      </x:c>
      <x:c r="E1692" s="3" t="str">
        <x:v>Recurrente</x:v>
      </x:c>
      <x:c r="F1692" s="13" t="n">
        <x:v>961.49</x:v>
      </x:c>
      <x:c r="G1692" s="13" t="n">
        <x:v>0</x:v>
      </x:c>
      <x:c r="H1692" s="13" t="n">
        <x:f>F1692-G1692</x:f>
        <x:v>961.49</x:v>
      </x:c>
      <x:c r="I1692" s="13" t="n">
        <x:f>IF(C1692=0,"n.a.",F1692/C1692)</x:f>
        <x:v>320.49666666666667</x:v>
      </x:c>
      <x:c r="J1692" s="3"/>
      <x:c r="K1692" s="3"/>
      <x:c r="L1692" s="3"/>
    </x:row>
    <x:row r="1693" ht="22" customHeight="1">
      <x:c r="A1693" s="3"/>
      <x:c r="B1693" s="3" t="str">
        <x:v>16419</x:v>
      </x:c>
      <x:c r="C1693" s="3" t="n">
        <x:v>6</x:v>
      </x:c>
      <x:c r="D1693" s="51" t="n">
        <x:v>40774</x:v>
      </x:c>
      <x:c r="E1693" s="3" t="str">
        <x:v>Recurrente</x:v>
      </x:c>
      <x:c r="F1693" s="13" t="n">
        <x:v>972.23</x:v>
      </x:c>
      <x:c r="G1693" s="13" t="n">
        <x:v>12.75</x:v>
      </x:c>
      <x:c r="H1693" s="13" t="n">
        <x:f>F1693-G1693</x:f>
        <x:v>959.48</x:v>
      </x:c>
      <x:c r="I1693" s="13" t="n">
        <x:f>IF(C1693=0,"n.a.",F1693/C1693)</x:f>
        <x:v>162.03833333333333</x:v>
      </x:c>
      <x:c r="J1693" s="3"/>
      <x:c r="K1693" s="3"/>
      <x:c r="L1693" s="3"/>
    </x:row>
    <x:row r="1694" ht="22" customHeight="1">
      <x:c r="A1694" s="3"/>
      <x:c r="B1694" s="3" t="str">
        <x:v>15658</x:v>
      </x:c>
      <x:c r="C1694" s="3" t="n">
        <x:v>5</x:v>
      </x:c>
      <x:c r="D1694" s="51" t="n">
        <x:v>40696</x:v>
      </x:c>
      <x:c r="E1694" s="3" t="str">
        <x:v>Recurrente</x:v>
      </x:c>
      <x:c r="F1694" s="13" t="n">
        <x:v>1024.1</x:v>
      </x:c>
      <x:c r="G1694" s="13" t="n">
        <x:v>65.2</x:v>
      </x:c>
      <x:c r="H1694" s="13" t="n">
        <x:f>F1694-G1694</x:f>
        <x:v>958.8999999999999</x:v>
      </x:c>
      <x:c r="I1694" s="13" t="n">
        <x:f>IF(C1694=0,"n.a.",F1694/C1694)</x:f>
        <x:v>204.82</x:v>
      </x:c>
      <x:c r="J1694" s="3"/>
      <x:c r="K1694" s="3"/>
      <x:c r="L1694" s="3"/>
    </x:row>
    <x:row r="1695" ht="22" customHeight="1">
      <x:c r="A1695" s="3"/>
      <x:c r="B1695" s="3" t="str">
        <x:v>18192</x:v>
      </x:c>
      <x:c r="C1695" s="3" t="n">
        <x:v>1</x:v>
      </x:c>
      <x:c r="D1695" s="51" t="n">
        <x:v>40815</x:v>
      </x:c>
      <x:c r="E1695" s="3" t="str">
        <x:v>Una compra</x:v>
      </x:c>
      <x:c r="F1695" s="13" t="n">
        <x:v>957.97</x:v>
      </x:c>
      <x:c r="G1695" s="13" t="n">
        <x:v>0</x:v>
      </x:c>
      <x:c r="H1695" s="13" t="n">
        <x:f>F1695-G1695</x:f>
        <x:v>957.97</x:v>
      </x:c>
      <x:c r="I1695" s="13" t="n">
        <x:f>IF(C1695=0,"n.a.",F1695/C1695)</x:f>
        <x:v>957.97</x:v>
      </x:c>
      <x:c r="J1695" s="3"/>
      <x:c r="K1695" s="3"/>
      <x:c r="L1695" s="3"/>
    </x:row>
    <x:row r="1696" ht="22" customHeight="1">
      <x:c r="A1696" s="3"/>
      <x:c r="B1696" s="3" t="str">
        <x:v>13823</x:v>
      </x:c>
      <x:c r="C1696" s="3" t="n">
        <x:v>2</x:v>
      </x:c>
      <x:c r="D1696" s="51" t="n">
        <x:v>40868</x:v>
      </x:c>
      <x:c r="E1696" s="3" t="str">
        <x:v>Recurrente</x:v>
      </x:c>
      <x:c r="F1696" s="13" t="n">
        <x:v>957.66</x:v>
      </x:c>
      <x:c r="G1696" s="13" t="n">
        <x:v>0</x:v>
      </x:c>
      <x:c r="H1696" s="13" t="n">
        <x:f>F1696-G1696</x:f>
        <x:v>957.66</x:v>
      </x:c>
      <x:c r="I1696" s="13" t="n">
        <x:f>IF(C1696=0,"n.a.",F1696/C1696)</x:f>
        <x:v>478.83</x:v>
      </x:c>
      <x:c r="J1696" s="3"/>
      <x:c r="K1696" s="3"/>
      <x:c r="L1696" s="3"/>
    </x:row>
    <x:row r="1697" ht="22" customHeight="1">
      <x:c r="A1697" s="3"/>
      <x:c r="B1697" s="3" t="str">
        <x:v>12464</x:v>
      </x:c>
      <x:c r="C1697" s="3" t="n">
        <x:v>8</x:v>
      </x:c>
      <x:c r="D1697" s="51" t="n">
        <x:v>40876</x:v>
      </x:c>
      <x:c r="E1697" s="3" t="str">
        <x:v>Recurrente</x:v>
      </x:c>
      <x:c r="F1697" s="13" t="n">
        <x:v>957.05</x:v>
      </x:c>
      <x:c r="G1697" s="13" t="n">
        <x:v>0</x:v>
      </x:c>
      <x:c r="H1697" s="13" t="n">
        <x:f>F1697-G1697</x:f>
        <x:v>957.05</x:v>
      </x:c>
      <x:c r="I1697" s="13" t="n">
        <x:f>IF(C1697=0,"n.a.",F1697/C1697)</x:f>
        <x:v>119.63125</x:v>
      </x:c>
      <x:c r="J1697" s="3"/>
      <x:c r="K1697" s="3"/>
      <x:c r="L1697" s="3"/>
    </x:row>
    <x:row r="1698" ht="22" customHeight="1">
      <x:c r="A1698" s="3"/>
      <x:c r="B1698" s="3" t="str">
        <x:v>15948</x:v>
      </x:c>
      <x:c r="C1698" s="3" t="n">
        <x:v>2</x:v>
      </x:c>
      <x:c r="D1698" s="51" t="n">
        <x:v>40878</x:v>
      </x:c>
      <x:c r="E1698" s="3" t="str">
        <x:v>Recurrente</x:v>
      </x:c>
      <x:c r="F1698" s="13" t="n">
        <x:v>955.24</x:v>
      </x:c>
      <x:c r="G1698" s="13" t="n">
        <x:v>0</x:v>
      </x:c>
      <x:c r="H1698" s="13" t="n">
        <x:f>F1698-G1698</x:f>
        <x:v>955.24</x:v>
      </x:c>
      <x:c r="I1698" s="13" t="n">
        <x:f>IF(C1698=0,"n.a.",F1698/C1698)</x:f>
        <x:v>477.62</x:v>
      </x:c>
      <x:c r="J1698" s="3"/>
      <x:c r="K1698" s="3"/>
      <x:c r="L1698" s="3"/>
    </x:row>
    <x:row r="1699" ht="22" customHeight="1">
      <x:c r="A1699" s="3"/>
      <x:c r="B1699" s="3" t="str">
        <x:v>17244</x:v>
      </x:c>
      <x:c r="C1699" s="3" t="n">
        <x:v>1</x:v>
      </x:c>
      <x:c r="D1699" s="51" t="n">
        <x:v>40833</x:v>
      </x:c>
      <x:c r="E1699" s="3" t="str">
        <x:v>Una compra</x:v>
      </x:c>
      <x:c r="F1699" s="13" t="n">
        <x:v>954.9</x:v>
      </x:c>
      <x:c r="G1699" s="13" t="n">
        <x:v>0</x:v>
      </x:c>
      <x:c r="H1699" s="13" t="n">
        <x:f>F1699-G1699</x:f>
        <x:v>954.9</x:v>
      </x:c>
      <x:c r="I1699" s="13" t="n">
        <x:f>IF(C1699=0,"n.a.",F1699/C1699)</x:f>
        <x:v>954.9</x:v>
      </x:c>
      <x:c r="J1699" s="3"/>
      <x:c r="K1699" s="3"/>
      <x:c r="L1699" s="3"/>
    </x:row>
    <x:row r="1700" ht="22" customHeight="1">
      <x:c r="A1700" s="3"/>
      <x:c r="B1700" s="3" t="str">
        <x:v>15835</x:v>
      </x:c>
      <x:c r="C1700" s="3" t="n">
        <x:v>4</x:v>
      </x:c>
      <x:c r="D1700" s="51" t="n">
        <x:v>40842</x:v>
      </x:c>
      <x:c r="E1700" s="3" t="str">
        <x:v>Recurrente</x:v>
      </x:c>
      <x:c r="F1700" s="13" t="n">
        <x:v>954.09</x:v>
      </x:c>
      <x:c r="G1700" s="13" t="n">
        <x:v>0</x:v>
      </x:c>
      <x:c r="H1700" s="13" t="n">
        <x:f>F1700-G1700</x:f>
        <x:v>954.09</x:v>
      </x:c>
      <x:c r="I1700" s="13" t="n">
        <x:f>IF(C1700=0,"n.a.",F1700/C1700)</x:f>
        <x:v>238.5225</x:v>
      </x:c>
      <x:c r="J1700" s="3"/>
      <x:c r="K1700" s="3"/>
      <x:c r="L1700" s="3"/>
    </x:row>
    <x:row r="1701" ht="22" customHeight="1">
      <x:c r="A1701" s="3"/>
      <x:c r="B1701" s="3" t="str">
        <x:v>12497</x:v>
      </x:c>
      <x:c r="C1701" s="3" t="n">
        <x:v>1</x:v>
      </x:c>
      <x:c r="D1701" s="51" t="n">
        <x:v>40805</x:v>
      </x:c>
      <x:c r="E1701" s="3" t="str">
        <x:v>Una compra</x:v>
      </x:c>
      <x:c r="F1701" s="13" t="n">
        <x:v>953.1</x:v>
      </x:c>
      <x:c r="G1701" s="13" t="n">
        <x:v>0</x:v>
      </x:c>
      <x:c r="H1701" s="13" t="n">
        <x:f>F1701-G1701</x:f>
        <x:v>953.1</x:v>
      </x:c>
      <x:c r="I1701" s="13" t="n">
        <x:f>IF(C1701=0,"n.a.",F1701/C1701)</x:f>
        <x:v>953.1</x:v>
      </x:c>
      <x:c r="J1701" s="3"/>
      <x:c r="K1701" s="3"/>
      <x:c r="L1701" s="3"/>
    </x:row>
    <x:row r="1702" ht="22" customHeight="1">
      <x:c r="A1702" s="3"/>
      <x:c r="B1702" s="3" t="str">
        <x:v>16934</x:v>
      </x:c>
      <x:c r="C1702" s="3" t="n">
        <x:v>2</x:v>
      </x:c>
      <x:c r="D1702" s="51" t="n">
        <x:v>40832</x:v>
      </x:c>
      <x:c r="E1702" s="3" t="str">
        <x:v>Recurrente</x:v>
      </x:c>
      <x:c r="F1702" s="13" t="n">
        <x:v>950.93</x:v>
      </x:c>
      <x:c r="G1702" s="13" t="n">
        <x:v>0</x:v>
      </x:c>
      <x:c r="H1702" s="13" t="n">
        <x:f>F1702-G1702</x:f>
        <x:v>950.93</x:v>
      </x:c>
      <x:c r="I1702" s="13" t="n">
        <x:f>IF(C1702=0,"n.a.",F1702/C1702)</x:f>
        <x:v>475.465</x:v>
      </x:c>
      <x:c r="J1702" s="3"/>
      <x:c r="K1702" s="3"/>
      <x:c r="L1702" s="3"/>
    </x:row>
    <x:row r="1703" ht="22" customHeight="1">
      <x:c r="A1703" s="3"/>
      <x:c r="B1703" s="3" t="str">
        <x:v>15421</x:v>
      </x:c>
      <x:c r="C1703" s="3" t="n">
        <x:v>4</x:v>
      </x:c>
      <x:c r="D1703" s="51" t="n">
        <x:v>40828</x:v>
      </x:c>
      <x:c r="E1703" s="3" t="str">
        <x:v>Recurrente</x:v>
      </x:c>
      <x:c r="F1703" s="13" t="n">
        <x:v>950.36</x:v>
      </x:c>
      <x:c r="G1703" s="13" t="n">
        <x:v>0</x:v>
      </x:c>
      <x:c r="H1703" s="13" t="n">
        <x:f>F1703-G1703</x:f>
        <x:v>950.36</x:v>
      </x:c>
      <x:c r="I1703" s="13" t="n">
        <x:f>IF(C1703=0,"n.a.",F1703/C1703)</x:f>
        <x:v>237.59</x:v>
      </x:c>
      <x:c r="J1703" s="3"/>
      <x:c r="K1703" s="3"/>
      <x:c r="L1703" s="3"/>
    </x:row>
    <x:row r="1704" ht="22" customHeight="1">
      <x:c r="A1704" s="3"/>
      <x:c r="B1704" s="3" t="str">
        <x:v>15793</x:v>
      </x:c>
      <x:c r="C1704" s="3" t="n">
        <x:v>3</x:v>
      </x:c>
      <x:c r="D1704" s="51" t="n">
        <x:v>40872</x:v>
      </x:c>
      <x:c r="E1704" s="3" t="str">
        <x:v>Recurrente</x:v>
      </x:c>
      <x:c r="F1704" s="13" t="n">
        <x:v>965.61</x:v>
      </x:c>
      <x:c r="G1704" s="13" t="n">
        <x:v>16.65</x:v>
      </x:c>
      <x:c r="H1704" s="13" t="n">
        <x:f>F1704-G1704</x:f>
        <x:v>948.96</x:v>
      </x:c>
      <x:c r="I1704" s="13" t="n">
        <x:f>IF(C1704=0,"n.a.",F1704/C1704)</x:f>
        <x:v>321.87</x:v>
      </x:c>
      <x:c r="J1704" s="3"/>
      <x:c r="K1704" s="3"/>
      <x:c r="L1704" s="3"/>
    </x:row>
    <x:row r="1705" ht="22" customHeight="1">
      <x:c r="A1705" s="3"/>
      <x:c r="B1705" s="3" t="str">
        <x:v>16511</x:v>
      </x:c>
      <x:c r="C1705" s="3" t="n">
        <x:v>3</x:v>
      </x:c>
      <x:c r="D1705" s="51" t="n">
        <x:v>40865</x:v>
      </x:c>
      <x:c r="E1705" s="3" t="str">
        <x:v>Recurrente</x:v>
      </x:c>
      <x:c r="F1705" s="13" t="n">
        <x:v>948.26</x:v>
      </x:c>
      <x:c r="G1705" s="13" t="n">
        <x:v>0</x:v>
      </x:c>
      <x:c r="H1705" s="13" t="n">
        <x:f>F1705-G1705</x:f>
        <x:v>948.26</x:v>
      </x:c>
      <x:c r="I1705" s="13" t="n">
        <x:f>IF(C1705=0,"n.a.",F1705/C1705)</x:f>
        <x:v>316.08666666666664</x:v>
      </x:c>
      <x:c r="J1705" s="3"/>
      <x:c r="K1705" s="3"/>
      <x:c r="L1705" s="3"/>
    </x:row>
    <x:row r="1706" ht="22" customHeight="1">
      <x:c r="A1706" s="3"/>
      <x:c r="B1706" s="3" t="str">
        <x:v>13748</x:v>
      </x:c>
      <x:c r="C1706" s="3" t="n">
        <x:v>5</x:v>
      </x:c>
      <x:c r="D1706" s="51" t="n">
        <x:v>40791</x:v>
      </x:c>
      <x:c r="E1706" s="3" t="str">
        <x:v>Recurrente</x:v>
      </x:c>
      <x:c r="F1706" s="13" t="n">
        <x:v>948.25</x:v>
      </x:c>
      <x:c r="G1706" s="13" t="n">
        <x:v>0</x:v>
      </x:c>
      <x:c r="H1706" s="13" t="n">
        <x:f>F1706-G1706</x:f>
        <x:v>948.25</x:v>
      </x:c>
      <x:c r="I1706" s="13" t="n">
        <x:f>IF(C1706=0,"n.a.",F1706/C1706)</x:f>
        <x:v>189.65</x:v>
      </x:c>
      <x:c r="J1706" s="3"/>
      <x:c r="K1706" s="3"/>
      <x:c r="L1706" s="3"/>
    </x:row>
    <x:row r="1707" ht="22" customHeight="1">
      <x:c r="A1707" s="3"/>
      <x:c r="B1707" s="3" t="str">
        <x:v>15787</x:v>
      </x:c>
      <x:c r="C1707" s="3" t="n">
        <x:v>3</x:v>
      </x:c>
      <x:c r="D1707" s="51" t="n">
        <x:v>40860</x:v>
      </x:c>
      <x:c r="E1707" s="3" t="str">
        <x:v>Recurrente</x:v>
      </x:c>
      <x:c r="F1707" s="13" t="n">
        <x:v>948.05</x:v>
      </x:c>
      <x:c r="G1707" s="13" t="n">
        <x:v>0</x:v>
      </x:c>
      <x:c r="H1707" s="13" t="n">
        <x:f>F1707-G1707</x:f>
        <x:v>948.05</x:v>
      </x:c>
      <x:c r="I1707" s="13" t="n">
        <x:f>IF(C1707=0,"n.a.",F1707/C1707)</x:f>
        <x:v>316.01666666666665</x:v>
      </x:c>
      <x:c r="J1707" s="3"/>
      <x:c r="K1707" s="3"/>
      <x:c r="L1707" s="3"/>
    </x:row>
    <x:row r="1708" ht="22" customHeight="1">
      <x:c r="A1708" s="3"/>
      <x:c r="B1708" s="3" t="str">
        <x:v>15681</x:v>
      </x:c>
      <x:c r="C1708" s="3" t="n">
        <x:v>5</x:v>
      </x:c>
      <x:c r="D1708" s="51" t="n">
        <x:v>40861</x:v>
      </x:c>
      <x:c r="E1708" s="3" t="str">
        <x:v>Recurrente</x:v>
      </x:c>
      <x:c r="F1708" s="13" t="n">
        <x:v>1426.16</x:v>
      </x:c>
      <x:c r="G1708" s="13" t="n">
        <x:v>479.8</x:v>
      </x:c>
      <x:c r="H1708" s="13" t="n">
        <x:f>F1708-G1708</x:f>
        <x:v>946.3600000000001</x:v>
      </x:c>
      <x:c r="I1708" s="13" t="n">
        <x:f>IF(C1708=0,"n.a.",F1708/C1708)</x:f>
        <x:v>285.232</x:v>
      </x:c>
      <x:c r="J1708" s="3"/>
      <x:c r="K1708" s="3"/>
      <x:c r="L1708" s="3"/>
    </x:row>
    <x:row r="1709" ht="22" customHeight="1">
      <x:c r="A1709" s="3"/>
      <x:c r="B1709" s="3" t="str">
        <x:v>15707</x:v>
      </x:c>
      <x:c r="C1709" s="3" t="n">
        <x:v>4</x:v>
      </x:c>
      <x:c r="D1709" s="51" t="n">
        <x:v>40851</x:v>
      </x:c>
      <x:c r="E1709" s="3" t="str">
        <x:v>Recurrente</x:v>
      </x:c>
      <x:c r="F1709" s="13" t="n">
        <x:v>945.58</x:v>
      </x:c>
      <x:c r="G1709" s="13" t="n">
        <x:v>0</x:v>
      </x:c>
      <x:c r="H1709" s="13" t="n">
        <x:f>F1709-G1709</x:f>
        <x:v>945.58</x:v>
      </x:c>
      <x:c r="I1709" s="13" t="n">
        <x:f>IF(C1709=0,"n.a.",F1709/C1709)</x:f>
        <x:v>236.395</x:v>
      </x:c>
      <x:c r="J1709" s="3"/>
      <x:c r="K1709" s="3"/>
      <x:c r="L1709" s="3"/>
    </x:row>
    <x:row r="1710" ht="22" customHeight="1">
      <x:c r="A1710" s="3"/>
      <x:c r="B1710" s="3" t="str">
        <x:v>13261</x:v>
      </x:c>
      <x:c r="C1710" s="3" t="n">
        <x:v>2</x:v>
      </x:c>
      <x:c r="D1710" s="51" t="n">
        <x:v>40618</x:v>
      </x:c>
      <x:c r="E1710" s="3" t="str">
        <x:v>Recurrente</x:v>
      </x:c>
      <x:c r="F1710" s="13" t="n">
        <x:v>944.1</x:v>
      </x:c>
      <x:c r="G1710" s="13" t="n">
        <x:v>0</x:v>
      </x:c>
      <x:c r="H1710" s="13" t="n">
        <x:f>F1710-G1710</x:f>
        <x:v>944.1</x:v>
      </x:c>
      <x:c r="I1710" s="13" t="n">
        <x:f>IF(C1710=0,"n.a.",F1710/C1710)</x:f>
        <x:v>472.05</x:v>
      </x:c>
      <x:c r="J1710" s="3"/>
      <x:c r="K1710" s="3"/>
      <x:c r="L1710" s="3"/>
    </x:row>
    <x:row r="1711" ht="22" customHeight="1">
      <x:c r="A1711" s="3"/>
      <x:c r="B1711" s="3" t="str">
        <x:v>13026</x:v>
      </x:c>
      <x:c r="C1711" s="3" t="n">
        <x:v>5</x:v>
      </x:c>
      <x:c r="D1711" s="51" t="n">
        <x:v>40885</x:v>
      </x:c>
      <x:c r="E1711" s="3" t="str">
        <x:v>Recurrente</x:v>
      </x:c>
      <x:c r="F1711" s="13" t="n">
        <x:v>975.36</x:v>
      </x:c>
      <x:c r="G1711" s="13" t="n">
        <x:v>31.59</x:v>
      </x:c>
      <x:c r="H1711" s="13" t="n">
        <x:f>F1711-G1711</x:f>
        <x:v>943.77</x:v>
      </x:c>
      <x:c r="I1711" s="13" t="n">
        <x:f>IF(C1711=0,"n.a.",F1711/C1711)</x:f>
        <x:v>195.072</x:v>
      </x:c>
      <x:c r="J1711" s="3"/>
      <x:c r="K1711" s="3"/>
      <x:c r="L1711" s="3"/>
    </x:row>
    <x:row r="1712" ht="22" customHeight="1">
      <x:c r="A1712" s="3"/>
      <x:c r="B1712" s="3" t="str">
        <x:v>12820</x:v>
      </x:c>
      <x:c r="C1712" s="3" t="n">
        <x:v>4</x:v>
      </x:c>
      <x:c r="D1712" s="51" t="n">
        <x:v>40883</x:v>
      </x:c>
      <x:c r="E1712" s="3" t="str">
        <x:v>Recurrente</x:v>
      </x:c>
      <x:c r="F1712" s="13" t="n">
        <x:v>942.34</x:v>
      </x:c>
      <x:c r="G1712" s="13" t="n">
        <x:v>0</x:v>
      </x:c>
      <x:c r="H1712" s="13" t="n">
        <x:f>F1712-G1712</x:f>
        <x:v>942.34</x:v>
      </x:c>
      <x:c r="I1712" s="13" t="n">
        <x:f>IF(C1712=0,"n.a.",F1712/C1712)</x:f>
        <x:v>235.585</x:v>
      </x:c>
      <x:c r="J1712" s="3"/>
      <x:c r="K1712" s="3"/>
      <x:c r="L1712" s="3"/>
    </x:row>
    <x:row r="1713" ht="22" customHeight="1">
      <x:c r="A1713" s="3"/>
      <x:c r="B1713" s="3" t="str">
        <x:v>14075</x:v>
      </x:c>
      <x:c r="C1713" s="3" t="n">
        <x:v>3</x:v>
      </x:c>
      <x:c r="D1713" s="51" t="n">
        <x:v>40882</x:v>
      </x:c>
      <x:c r="E1713" s="3" t="str">
        <x:v>Recurrente</x:v>
      </x:c>
      <x:c r="F1713" s="13" t="n">
        <x:v>942.26</x:v>
      </x:c>
      <x:c r="G1713" s="13" t="n">
        <x:v>0</x:v>
      </x:c>
      <x:c r="H1713" s="13" t="n">
        <x:f>F1713-G1713</x:f>
        <x:v>942.26</x:v>
      </x:c>
      <x:c r="I1713" s="13" t="n">
        <x:f>IF(C1713=0,"n.a.",F1713/C1713)</x:f>
        <x:v>314.08666666666664</x:v>
      </x:c>
      <x:c r="J1713" s="3"/>
      <x:c r="K1713" s="3"/>
      <x:c r="L1713" s="3"/>
    </x:row>
    <x:row r="1714" ht="22" customHeight="1">
      <x:c r="A1714" s="3"/>
      <x:c r="B1714" s="3" t="str">
        <x:v>13636</x:v>
      </x:c>
      <x:c r="C1714" s="3" t="n">
        <x:v>5</x:v>
      </x:c>
      <x:c r="D1714" s="51" t="n">
        <x:v>40850</x:v>
      </x:c>
      <x:c r="E1714" s="3" t="str">
        <x:v>Recurrente</x:v>
      </x:c>
      <x:c r="F1714" s="13" t="n">
        <x:v>949.12</x:v>
      </x:c>
      <x:c r="G1714" s="13" t="n">
        <x:v>7.5</x:v>
      </x:c>
      <x:c r="H1714" s="13" t="n">
        <x:f>F1714-G1714</x:f>
        <x:v>941.62</x:v>
      </x:c>
      <x:c r="I1714" s="13" t="n">
        <x:f>IF(C1714=0,"n.a.",F1714/C1714)</x:f>
        <x:v>189.824</x:v>
      </x:c>
      <x:c r="J1714" s="3"/>
      <x:c r="K1714" s="3"/>
      <x:c r="L1714" s="3"/>
    </x:row>
    <x:row r="1715" ht="22" customHeight="1">
      <x:c r="A1715" s="3"/>
      <x:c r="B1715" s="3" t="str">
        <x:v>15576</x:v>
      </x:c>
      <x:c r="C1715" s="3" t="n">
        <x:v>1</x:v>
      </x:c>
      <x:c r="D1715" s="51" t="n">
        <x:v>40849</x:v>
      </x:c>
      <x:c r="E1715" s="3" t="str">
        <x:v>Una compra</x:v>
      </x:c>
      <x:c r="F1715" s="13" t="n">
        <x:v>940.67</x:v>
      </x:c>
      <x:c r="G1715" s="13" t="n">
        <x:v>0</x:v>
      </x:c>
      <x:c r="H1715" s="13" t="n">
        <x:f>F1715-G1715</x:f>
        <x:v>940.67</x:v>
      </x:c>
      <x:c r="I1715" s="13" t="n">
        <x:f>IF(C1715=0,"n.a.",F1715/C1715)</x:f>
        <x:v>940.67</x:v>
      </x:c>
      <x:c r="J1715" s="3"/>
      <x:c r="K1715" s="3"/>
      <x:c r="L1715" s="3"/>
    </x:row>
    <x:row r="1716" ht="22" customHeight="1">
      <x:c r="A1716" s="3"/>
      <x:c r="B1716" s="3" t="str">
        <x:v>17227</x:v>
      </x:c>
      <x:c r="C1716" s="3" t="n">
        <x:v>6</x:v>
      </x:c>
      <x:c r="D1716" s="51" t="n">
        <x:v>40868</x:v>
      </x:c>
      <x:c r="E1716" s="3" t="str">
        <x:v>Recurrente</x:v>
      </x:c>
      <x:c r="F1716" s="13" t="n">
        <x:v>939.32</x:v>
      </x:c>
      <x:c r="G1716" s="13" t="n">
        <x:v>0</x:v>
      </x:c>
      <x:c r="H1716" s="13" t="n">
        <x:f>F1716-G1716</x:f>
        <x:v>939.32</x:v>
      </x:c>
      <x:c r="I1716" s="13" t="n">
        <x:f>IF(C1716=0,"n.a.",F1716/C1716)</x:f>
        <x:v>156.55333333333334</x:v>
      </x:c>
      <x:c r="J1716" s="3"/>
      <x:c r="K1716" s="3"/>
      <x:c r="L1716" s="3"/>
    </x:row>
    <x:row r="1717" ht="22" customHeight="1">
      <x:c r="A1717" s="3"/>
      <x:c r="B1717" s="3" t="str">
        <x:v>14629</x:v>
      </x:c>
      <x:c r="C1717" s="3" t="n">
        <x:v>2</x:v>
      </x:c>
      <x:c r="D1717" s="51" t="n">
        <x:v>40882</x:v>
      </x:c>
      <x:c r="E1717" s="3" t="str">
        <x:v>Recurrente</x:v>
      </x:c>
      <x:c r="F1717" s="13" t="n">
        <x:v>959.01</x:v>
      </x:c>
      <x:c r="G1717" s="13" t="n">
        <x:v>19.8</x:v>
      </x:c>
      <x:c r="H1717" s="13" t="n">
        <x:f>F1717-G1717</x:f>
        <x:v>939.21</x:v>
      </x:c>
      <x:c r="I1717" s="13" t="n">
        <x:f>IF(C1717=0,"n.a.",F1717/C1717)</x:f>
        <x:v>479.505</x:v>
      </x:c>
      <x:c r="J1717" s="3"/>
      <x:c r="K1717" s="3"/>
      <x:c r="L1717" s="3"/>
    </x:row>
    <x:row r="1718" ht="22" customHeight="1">
      <x:c r="A1718" s="3"/>
      <x:c r="B1718" s="3" t="str">
        <x:v>17097</x:v>
      </x:c>
      <x:c r="C1718" s="3" t="n">
        <x:v>8</x:v>
      </x:c>
      <x:c r="D1718" s="51" t="n">
        <x:v>40884</x:v>
      </x:c>
      <x:c r="E1718" s="3" t="str">
        <x:v>Recurrente</x:v>
      </x:c>
      <x:c r="F1718" s="13" t="n">
        <x:v>954.42</x:v>
      </x:c>
      <x:c r="G1718" s="13" t="n">
        <x:v>16.5</x:v>
      </x:c>
      <x:c r="H1718" s="13" t="n">
        <x:f>F1718-G1718</x:f>
        <x:v>937.92</x:v>
      </x:c>
      <x:c r="I1718" s="13" t="n">
        <x:f>IF(C1718=0,"n.a.",F1718/C1718)</x:f>
        <x:v>119.3025</x:v>
      </x:c>
      <x:c r="J1718" s="3"/>
      <x:c r="K1718" s="3"/>
      <x:c r="L1718" s="3"/>
    </x:row>
    <x:row r="1719" ht="22" customHeight="1">
      <x:c r="A1719" s="3"/>
      <x:c r="B1719" s="3" t="str">
        <x:v>17289</x:v>
      </x:c>
      <x:c r="C1719" s="3" t="n">
        <x:v>3</x:v>
      </x:c>
      <x:c r="D1719" s="51" t="n">
        <x:v>40855</x:v>
      </x:c>
      <x:c r="E1719" s="3" t="str">
        <x:v>Recurrente</x:v>
      </x:c>
      <x:c r="F1719" s="13" t="n">
        <x:v>944.41</x:v>
      </x:c>
      <x:c r="G1719" s="13" t="n">
        <x:v>8.25</x:v>
      </x:c>
      <x:c r="H1719" s="13" t="n">
        <x:f>F1719-G1719</x:f>
        <x:v>936.16</x:v>
      </x:c>
      <x:c r="I1719" s="13" t="n">
        <x:f>IF(C1719=0,"n.a.",F1719/C1719)</x:f>
        <x:v>314.80333333333334</x:v>
      </x:c>
      <x:c r="J1719" s="3"/>
      <x:c r="K1719" s="3"/>
      <x:c r="L1719" s="3"/>
    </x:row>
    <x:row r="1720" ht="22" customHeight="1">
      <x:c r="A1720" s="3"/>
      <x:c r="B1720" s="3" t="str">
        <x:v>15289</x:v>
      </x:c>
      <x:c r="C1720" s="3" t="n">
        <x:v>3</x:v>
      </x:c>
      <x:c r="D1720" s="51" t="n">
        <x:v>40857</x:v>
      </x:c>
      <x:c r="E1720" s="3" t="str">
        <x:v>Recurrente</x:v>
      </x:c>
      <x:c r="F1720" s="13" t="n">
        <x:v>939.78</x:v>
      </x:c>
      <x:c r="G1720" s="13" t="n">
        <x:v>4.68</x:v>
      </x:c>
      <x:c r="H1720" s="13" t="n">
        <x:f>F1720-G1720</x:f>
        <x:v>935.1</x:v>
      </x:c>
      <x:c r="I1720" s="13" t="n">
        <x:f>IF(C1720=0,"n.a.",F1720/C1720)</x:f>
        <x:v>313.26</x:v>
      </x:c>
      <x:c r="J1720" s="3"/>
      <x:c r="K1720" s="3"/>
      <x:c r="L1720" s="3"/>
    </x:row>
    <x:row r="1721" ht="22" customHeight="1">
      <x:c r="A1721" s="3"/>
      <x:c r="B1721" s="3" t="str">
        <x:v>14256</x:v>
      </x:c>
      <x:c r="C1721" s="3" t="n">
        <x:v>2</x:v>
      </x:c>
      <x:c r="D1721" s="51" t="n">
        <x:v>40626</x:v>
      </x:c>
      <x:c r="E1721" s="3" t="str">
        <x:v>Recurrente</x:v>
      </x:c>
      <x:c r="F1721" s="13" t="n">
        <x:v>969.06</x:v>
      </x:c>
      <x:c r="G1721" s="13" t="n">
        <x:v>34</x:v>
      </x:c>
      <x:c r="H1721" s="13" t="n">
        <x:f>F1721-G1721</x:f>
        <x:v>935.06</x:v>
      </x:c>
      <x:c r="I1721" s="13" t="n">
        <x:f>IF(C1721=0,"n.a.",F1721/C1721)</x:f>
        <x:v>484.53</x:v>
      </x:c>
      <x:c r="J1721" s="3"/>
      <x:c r="K1721" s="3"/>
      <x:c r="L1721" s="3"/>
    </x:row>
    <x:row r="1722" ht="22" customHeight="1">
      <x:c r="A1722" s="3"/>
      <x:c r="B1722" s="3" t="str">
        <x:v>16027</x:v>
      </x:c>
      <x:c r="C1722" s="3" t="n">
        <x:v>6</x:v>
      </x:c>
      <x:c r="D1722" s="51" t="n">
        <x:v>40795</x:v>
      </x:c>
      <x:c r="E1722" s="3" t="str">
        <x:v>Recurrente</x:v>
      </x:c>
      <x:c r="F1722" s="13" t="n">
        <x:v>934.62</x:v>
      </x:c>
      <x:c r="G1722" s="13" t="n">
        <x:v>0</x:v>
      </x:c>
      <x:c r="H1722" s="13" t="n">
        <x:f>F1722-G1722</x:f>
        <x:v>934.62</x:v>
      </x:c>
      <x:c r="I1722" s="13" t="n">
        <x:f>IF(C1722=0,"n.a.",F1722/C1722)</x:f>
        <x:v>155.77</x:v>
      </x:c>
      <x:c r="J1722" s="3"/>
      <x:c r="K1722" s="3"/>
      <x:c r="L1722" s="3"/>
    </x:row>
    <x:row r="1723" ht="22" customHeight="1">
      <x:c r="A1723" s="3"/>
      <x:c r="B1723" s="3" t="str">
        <x:v>16657</x:v>
      </x:c>
      <x:c r="C1723" s="3" t="n">
        <x:v>4</x:v>
      </x:c>
      <x:c r="D1723" s="51" t="n">
        <x:v>40877</x:v>
      </x:c>
      <x:c r="E1723" s="3" t="str">
        <x:v>Recurrente</x:v>
      </x:c>
      <x:c r="F1723" s="13" t="n">
        <x:v>933.62</x:v>
      </x:c>
      <x:c r="G1723" s="13" t="n">
        <x:v>0</x:v>
      </x:c>
      <x:c r="H1723" s="13" t="n">
        <x:f>F1723-G1723</x:f>
        <x:v>933.62</x:v>
      </x:c>
      <x:c r="I1723" s="13" t="n">
        <x:f>IF(C1723=0,"n.a.",F1723/C1723)</x:f>
        <x:v>233.405</x:v>
      </x:c>
      <x:c r="J1723" s="3"/>
      <x:c r="K1723" s="3"/>
      <x:c r="L1723" s="3"/>
    </x:row>
    <x:row r="1724" ht="22" customHeight="1">
      <x:c r="A1724" s="3"/>
      <x:c r="B1724" s="3" t="str">
        <x:v>13655</x:v>
      </x:c>
      <x:c r="C1724" s="3" t="n">
        <x:v>2</x:v>
      </x:c>
      <x:c r="D1724" s="51" t="n">
        <x:v>40772</x:v>
      </x:c>
      <x:c r="E1724" s="3" t="str">
        <x:v>Recurrente</x:v>
      </x:c>
      <x:c r="F1724" s="13" t="n">
        <x:v>932.97</x:v>
      </x:c>
      <x:c r="G1724" s="13" t="n">
        <x:v>0</x:v>
      </x:c>
      <x:c r="H1724" s="13" t="n">
        <x:f>F1724-G1724</x:f>
        <x:v>932.97</x:v>
      </x:c>
      <x:c r="I1724" s="13" t="n">
        <x:f>IF(C1724=0,"n.a.",F1724/C1724)</x:f>
        <x:v>466.485</x:v>
      </x:c>
      <x:c r="J1724" s="3"/>
      <x:c r="K1724" s="3"/>
      <x:c r="L1724" s="3"/>
    </x:row>
    <x:row r="1725" ht="22" customHeight="1">
      <x:c r="A1725" s="3"/>
      <x:c r="B1725" s="3" t="str">
        <x:v>14532</x:v>
      </x:c>
      <x:c r="C1725" s="3" t="n">
        <x:v>4</x:v>
      </x:c>
      <x:c r="D1725" s="51" t="n">
        <x:v>40650</x:v>
      </x:c>
      <x:c r="E1725" s="3" t="str">
        <x:v>Recurrente</x:v>
      </x:c>
      <x:c r="F1725" s="13" t="n">
        <x:v>932.85</x:v>
      </x:c>
      <x:c r="G1725" s="13" t="n">
        <x:v>0</x:v>
      </x:c>
      <x:c r="H1725" s="13" t="n">
        <x:f>F1725-G1725</x:f>
        <x:v>932.85</x:v>
      </x:c>
      <x:c r="I1725" s="13" t="n">
        <x:f>IF(C1725=0,"n.a.",F1725/C1725)</x:f>
        <x:v>233.2125</x:v>
      </x:c>
      <x:c r="J1725" s="3"/>
      <x:c r="K1725" s="3"/>
      <x:c r="L1725" s="3"/>
    </x:row>
    <x:row r="1726" ht="22" customHeight="1">
      <x:c r="A1726" s="3"/>
      <x:c r="B1726" s="3" t="str">
        <x:v>18133</x:v>
      </x:c>
      <x:c r="C1726" s="3" t="n">
        <x:v>1</x:v>
      </x:c>
      <x:c r="D1726" s="51" t="n">
        <x:v>40674</x:v>
      </x:c>
      <x:c r="E1726" s="3" t="str">
        <x:v>Una compra</x:v>
      </x:c>
      <x:c r="F1726" s="13" t="n">
        <x:v>931.5</x:v>
      </x:c>
      <x:c r="G1726" s="13" t="n">
        <x:v>0</x:v>
      </x:c>
      <x:c r="H1726" s="13" t="n">
        <x:f>F1726-G1726</x:f>
        <x:v>931.5</x:v>
      </x:c>
      <x:c r="I1726" s="13" t="n">
        <x:f>IF(C1726=0,"n.a.",F1726/C1726)</x:f>
        <x:v>931.5</x:v>
      </x:c>
      <x:c r="J1726" s="3"/>
      <x:c r="K1726" s="3"/>
      <x:c r="L1726" s="3"/>
    </x:row>
    <x:row r="1727" ht="22" customHeight="1">
      <x:c r="A1727" s="3"/>
      <x:c r="B1727" s="3" t="str">
        <x:v>12358</x:v>
      </x:c>
      <x:c r="C1727" s="3" t="n">
        <x:v>2</x:v>
      </x:c>
      <x:c r="D1727" s="51" t="n">
        <x:v>40885</x:v>
      </x:c>
      <x:c r="E1727" s="3" t="str">
        <x:v>Recurrente</x:v>
      </x:c>
      <x:c r="F1727" s="13" t="n">
        <x:v>928.06</x:v>
      </x:c>
      <x:c r="G1727" s="13" t="n">
        <x:v>0</x:v>
      </x:c>
      <x:c r="H1727" s="13" t="n">
        <x:f>F1727-G1727</x:f>
        <x:v>928.06</x:v>
      </x:c>
      <x:c r="I1727" s="13" t="n">
        <x:f>IF(C1727=0,"n.a.",F1727/C1727)</x:f>
        <x:v>464.03</x:v>
      </x:c>
      <x:c r="J1727" s="3"/>
      <x:c r="K1727" s="3"/>
      <x:c r="L1727" s="3"/>
    </x:row>
    <x:row r="1728" ht="22" customHeight="1">
      <x:c r="A1728" s="3"/>
      <x:c r="B1728" s="3" t="str">
        <x:v>15201</x:v>
      </x:c>
      <x:c r="C1728" s="3" t="n">
        <x:v>5</x:v>
      </x:c>
      <x:c r="D1728" s="51" t="n">
        <x:v>40799</x:v>
      </x:c>
      <x:c r="E1728" s="3" t="str">
        <x:v>Recurrente</x:v>
      </x:c>
      <x:c r="F1728" s="13" t="n">
        <x:v>1236.54</x:v>
      </x:c>
      <x:c r="G1728" s="13" t="n">
        <x:v>308.7</x:v>
      </x:c>
      <x:c r="H1728" s="13" t="n">
        <x:f>F1728-G1728</x:f>
        <x:v>927.8399999999999</x:v>
      </x:c>
      <x:c r="I1728" s="13" t="n">
        <x:f>IF(C1728=0,"n.a.",F1728/C1728)</x:f>
        <x:v>247.308</x:v>
      </x:c>
      <x:c r="J1728" s="3"/>
      <x:c r="K1728" s="3"/>
      <x:c r="L1728" s="3"/>
    </x:row>
    <x:row r="1729" ht="22" customHeight="1">
      <x:c r="A1729" s="3"/>
      <x:c r="B1729" s="3" t="str">
        <x:v>12691</x:v>
      </x:c>
      <x:c r="C1729" s="3" t="n">
        <x:v>5</x:v>
      </x:c>
      <x:c r="D1729" s="51" t="n">
        <x:v>40858</x:v>
      </x:c>
      <x:c r="E1729" s="3" t="str">
        <x:v>Recurrente</x:v>
      </x:c>
      <x:c r="F1729" s="13" t="n">
        <x:v>927.8</x:v>
      </x:c>
      <x:c r="G1729" s="13" t="n">
        <x:v>0</x:v>
      </x:c>
      <x:c r="H1729" s="13" t="n">
        <x:f>F1729-G1729</x:f>
        <x:v>927.8</x:v>
      </x:c>
      <x:c r="I1729" s="13" t="n">
        <x:f>IF(C1729=0,"n.a.",F1729/C1729)</x:f>
        <x:v>185.56</x:v>
      </x:c>
      <x:c r="J1729" s="3"/>
      <x:c r="K1729" s="3"/>
      <x:c r="L1729" s="3"/>
    </x:row>
    <x:row r="1730" ht="22" customHeight="1">
      <x:c r="A1730" s="3"/>
      <x:c r="B1730" s="3" t="str">
        <x:v>13805</x:v>
      </x:c>
      <x:c r="C1730" s="3" t="n">
        <x:v>2</x:v>
      </x:c>
      <x:c r="D1730" s="51" t="n">
        <x:v>40834</x:v>
      </x:c>
      <x:c r="E1730" s="3" t="str">
        <x:v>Recurrente</x:v>
      </x:c>
      <x:c r="F1730" s="13" t="n">
        <x:v>924.6</x:v>
      </x:c>
      <x:c r="G1730" s="13" t="n">
        <x:v>0</x:v>
      </x:c>
      <x:c r="H1730" s="13" t="n">
        <x:f>F1730-G1730</x:f>
        <x:v>924.6</x:v>
      </x:c>
      <x:c r="I1730" s="13" t="n">
        <x:f>IF(C1730=0,"n.a.",F1730/C1730)</x:f>
        <x:v>462.3</x:v>
      </x:c>
      <x:c r="J1730" s="3"/>
      <x:c r="K1730" s="3"/>
      <x:c r="L1730" s="3"/>
    </x:row>
    <x:row r="1731" ht="22" customHeight="1">
      <x:c r="A1731" s="3"/>
      <x:c r="B1731" s="3" t="str">
        <x:v>12724</x:v>
      </x:c>
      <x:c r="C1731" s="3" t="n">
        <x:v>4</x:v>
      </x:c>
      <x:c r="D1731" s="51" t="n">
        <x:v>40881</x:v>
      </x:c>
      <x:c r="E1731" s="3" t="str">
        <x:v>Recurrente</x:v>
      </x:c>
      <x:c r="F1731" s="13" t="n">
        <x:v>923.41</x:v>
      </x:c>
      <x:c r="G1731" s="13" t="n">
        <x:v>0</x:v>
      </x:c>
      <x:c r="H1731" s="13" t="n">
        <x:f>F1731-G1731</x:f>
        <x:v>923.41</x:v>
      </x:c>
      <x:c r="I1731" s="13" t="n">
        <x:f>IF(C1731=0,"n.a.",F1731/C1731)</x:f>
        <x:v>230.8525</x:v>
      </x:c>
      <x:c r="J1731" s="3"/>
      <x:c r="K1731" s="3"/>
      <x:c r="L1731" s="3"/>
    </x:row>
    <x:row r="1732" ht="22" customHeight="1">
      <x:c r="A1732" s="3"/>
      <x:c r="B1732" s="3" t="str">
        <x:v>15654</x:v>
      </x:c>
      <x:c r="C1732" s="3" t="n">
        <x:v>2</x:v>
      </x:c>
      <x:c r="D1732" s="51" t="n">
        <x:v>40877</x:v>
      </x:c>
      <x:c r="E1732" s="3" t="str">
        <x:v>Recurrente</x:v>
      </x:c>
      <x:c r="F1732" s="13" t="n">
        <x:v>922.53</x:v>
      </x:c>
      <x:c r="G1732" s="13" t="n">
        <x:v>0</x:v>
      </x:c>
      <x:c r="H1732" s="13" t="n">
        <x:f>F1732-G1732</x:f>
        <x:v>922.53</x:v>
      </x:c>
      <x:c r="I1732" s="13" t="n">
        <x:f>IF(C1732=0,"n.a.",F1732/C1732)</x:f>
        <x:v>461.265</x:v>
      </x:c>
      <x:c r="J1732" s="3"/>
      <x:c r="K1732" s="3"/>
      <x:c r="L1732" s="3"/>
    </x:row>
    <x:row r="1733" ht="22" customHeight="1">
      <x:c r="A1733" s="3"/>
      <x:c r="B1733" s="3" t="str">
        <x:v>13122</x:v>
      </x:c>
      <x:c r="C1733" s="3" t="n">
        <x:v>2</x:v>
      </x:c>
      <x:c r="D1733" s="51" t="n">
        <x:v>40792</x:v>
      </x:c>
      <x:c r="E1733" s="3" t="str">
        <x:v>Recurrente</x:v>
      </x:c>
      <x:c r="F1733" s="13" t="n">
        <x:v>922.39</x:v>
      </x:c>
      <x:c r="G1733" s="13" t="n">
        <x:v>0</x:v>
      </x:c>
      <x:c r="H1733" s="13" t="n">
        <x:f>F1733-G1733</x:f>
        <x:v>922.39</x:v>
      </x:c>
      <x:c r="I1733" s="13" t="n">
        <x:f>IF(C1733=0,"n.a.",F1733/C1733)</x:f>
        <x:v>461.195</x:v>
      </x:c>
      <x:c r="J1733" s="3"/>
      <x:c r="K1733" s="3"/>
      <x:c r="L1733" s="3"/>
    </x:row>
    <x:row r="1734" ht="22" customHeight="1">
      <x:c r="A1734" s="3"/>
      <x:c r="B1734" s="3" t="str">
        <x:v>16551</x:v>
      </x:c>
      <x:c r="C1734" s="3" t="n">
        <x:v>3</x:v>
      </x:c>
      <x:c r="D1734" s="51" t="n">
        <x:v>40791</x:v>
      </x:c>
      <x:c r="E1734" s="3" t="str">
        <x:v>Recurrente</x:v>
      </x:c>
      <x:c r="F1734" s="13" t="n">
        <x:v>922.12</x:v>
      </x:c>
      <x:c r="G1734" s="13" t="n">
        <x:v>0</x:v>
      </x:c>
      <x:c r="H1734" s="13" t="n">
        <x:f>F1734-G1734</x:f>
        <x:v>922.12</x:v>
      </x:c>
      <x:c r="I1734" s="13" t="n">
        <x:f>IF(C1734=0,"n.a.",F1734/C1734)</x:f>
        <x:v>307.37333333333333</x:v>
      </x:c>
      <x:c r="J1734" s="3"/>
      <x:c r="K1734" s="3"/>
      <x:c r="L1734" s="3"/>
    </x:row>
    <x:row r="1735" ht="22" customHeight="1">
      <x:c r="A1735" s="3"/>
      <x:c r="B1735" s="3" t="str">
        <x:v>13934</x:v>
      </x:c>
      <x:c r="C1735" s="3" t="n">
        <x:v>1</x:v>
      </x:c>
      <x:c r="D1735" s="51" t="n">
        <x:v>40623</x:v>
      </x:c>
      <x:c r="E1735" s="3" t="str">
        <x:v>Una compra</x:v>
      </x:c>
      <x:c r="F1735" s="13" t="n">
        <x:v>922.1</x:v>
      </x:c>
      <x:c r="G1735" s="13" t="n">
        <x:v>0</x:v>
      </x:c>
      <x:c r="H1735" s="13" t="n">
        <x:f>F1735-G1735</x:f>
        <x:v>922.1</x:v>
      </x:c>
      <x:c r="I1735" s="13" t="n">
        <x:f>IF(C1735=0,"n.a.",F1735/C1735)</x:f>
        <x:v>922.1</x:v>
      </x:c>
      <x:c r="J1735" s="3"/>
      <x:c r="K1735" s="3"/>
      <x:c r="L1735" s="3"/>
    </x:row>
    <x:row r="1736" ht="22" customHeight="1">
      <x:c r="A1736" s="3"/>
      <x:c r="B1736" s="3" t="str">
        <x:v>12924</x:v>
      </x:c>
      <x:c r="C1736" s="3" t="n">
        <x:v>4</x:v>
      </x:c>
      <x:c r="D1736" s="51" t="n">
        <x:v>40798</x:v>
      </x:c>
      <x:c r="E1736" s="3" t="str">
        <x:v>Recurrente</x:v>
      </x:c>
      <x:c r="F1736" s="13" t="n">
        <x:v>925.75</x:v>
      </x:c>
      <x:c r="G1736" s="13" t="n">
        <x:v>3.75</x:v>
      </x:c>
      <x:c r="H1736" s="13" t="n">
        <x:f>F1736-G1736</x:f>
        <x:v>922</x:v>
      </x:c>
      <x:c r="I1736" s="13" t="n">
        <x:f>IF(C1736=0,"n.a.",F1736/C1736)</x:f>
        <x:v>231.4375</x:v>
      </x:c>
      <x:c r="J1736" s="3"/>
      <x:c r="K1736" s="3"/>
      <x:c r="L1736" s="3"/>
    </x:row>
    <x:row r="1737" ht="22" customHeight="1">
      <x:c r="A1737" s="3"/>
      <x:c r="B1737" s="3" t="str">
        <x:v>15312</x:v>
      </x:c>
      <x:c r="C1737" s="3" t="n">
        <x:v>4</x:v>
      </x:c>
      <x:c r="D1737" s="51" t="n">
        <x:v>40811</x:v>
      </x:c>
      <x:c r="E1737" s="3" t="str">
        <x:v>Recurrente</x:v>
      </x:c>
      <x:c r="F1737" s="13" t="n">
        <x:v>924.85</x:v>
      </x:c>
      <x:c r="G1737" s="13" t="n">
        <x:v>3.75</x:v>
      </x:c>
      <x:c r="H1737" s="13" t="n">
        <x:f>F1737-G1737</x:f>
        <x:v>921.1</x:v>
      </x:c>
      <x:c r="I1737" s="13" t="n">
        <x:f>IF(C1737=0,"n.a.",F1737/C1737)</x:f>
        <x:v>231.2125</x:v>
      </x:c>
      <x:c r="J1737" s="3"/>
      <x:c r="K1737" s="3"/>
      <x:c r="L1737" s="3"/>
    </x:row>
    <x:row r="1738" ht="22" customHeight="1">
      <x:c r="A1738" s="3"/>
      <x:c r="B1738" s="3" t="str">
        <x:v>17018</x:v>
      </x:c>
      <x:c r="C1738" s="3" t="n">
        <x:v>2</x:v>
      </x:c>
      <x:c r="D1738" s="51" t="n">
        <x:v>40846</x:v>
      </x:c>
      <x:c r="E1738" s="3" t="str">
        <x:v>Recurrente</x:v>
      </x:c>
      <x:c r="F1738" s="13" t="n">
        <x:v>920.1</x:v>
      </x:c>
      <x:c r="G1738" s="13" t="n">
        <x:v>0</x:v>
      </x:c>
      <x:c r="H1738" s="13" t="n">
        <x:f>F1738-G1738</x:f>
        <x:v>920.1</x:v>
      </x:c>
      <x:c r="I1738" s="13" t="n">
        <x:f>IF(C1738=0,"n.a.",F1738/C1738)</x:f>
        <x:v>460.05</x:v>
      </x:c>
      <x:c r="J1738" s="3"/>
      <x:c r="K1738" s="3"/>
      <x:c r="L1738" s="3"/>
    </x:row>
    <x:row r="1739" ht="22" customHeight="1">
      <x:c r="A1739" s="3"/>
      <x:c r="B1739" s="3" t="str">
        <x:v>14140</x:v>
      </x:c>
      <x:c r="C1739" s="3" t="n">
        <x:v>2</x:v>
      </x:c>
      <x:c r="D1739" s="51" t="n">
        <x:v>40883</x:v>
      </x:c>
      <x:c r="E1739" s="3" t="str">
        <x:v>Recurrente</x:v>
      </x:c>
      <x:c r="F1739" s="13" t="n">
        <x:v>935.05</x:v>
      </x:c>
      <x:c r="G1739" s="13" t="n">
        <x:v>15</x:v>
      </x:c>
      <x:c r="H1739" s="13" t="n">
        <x:f>F1739-G1739</x:f>
        <x:v>920.05</x:v>
      </x:c>
      <x:c r="I1739" s="13" t="n">
        <x:f>IF(C1739=0,"n.a.",F1739/C1739)</x:f>
        <x:v>467.525</x:v>
      </x:c>
      <x:c r="J1739" s="3"/>
      <x:c r="K1739" s="3"/>
      <x:c r="L1739" s="3"/>
    </x:row>
    <x:row r="1740" ht="22" customHeight="1">
      <x:c r="A1740" s="3"/>
      <x:c r="B1740" s="3" t="str">
        <x:v>13075</x:v>
      </x:c>
      <x:c r="C1740" s="3" t="n">
        <x:v>1</x:v>
      </x:c>
      <x:c r="D1740" s="51" t="n">
        <x:v>40757</x:v>
      </x:c>
      <x:c r="E1740" s="3" t="str">
        <x:v>Una compra</x:v>
      </x:c>
      <x:c r="F1740" s="13" t="n">
        <x:v>919.61</x:v>
      </x:c>
      <x:c r="G1740" s="13" t="n">
        <x:v>0</x:v>
      </x:c>
      <x:c r="H1740" s="13" t="n">
        <x:f>F1740-G1740</x:f>
        <x:v>919.61</x:v>
      </x:c>
      <x:c r="I1740" s="13" t="n">
        <x:f>IF(C1740=0,"n.a.",F1740/C1740)</x:f>
        <x:v>919.61</x:v>
      </x:c>
      <x:c r="J1740" s="3"/>
      <x:c r="K1740" s="3"/>
      <x:c r="L1740" s="3"/>
    </x:row>
    <x:row r="1741" ht="22" customHeight="1">
      <x:c r="A1741" s="3"/>
      <x:c r="B1741" s="3" t="str">
        <x:v>12822</x:v>
      </x:c>
      <x:c r="C1741" s="3" t="n">
        <x:v>2</x:v>
      </x:c>
      <x:c r="D1741" s="51" t="n">
        <x:v>40816</x:v>
      </x:c>
      <x:c r="E1741" s="3" t="str">
        <x:v>Recurrente</x:v>
      </x:c>
      <x:c r="F1741" s="13" t="n">
        <x:v>948.88</x:v>
      </x:c>
      <x:c r="G1741" s="13" t="n">
        <x:v>29.9</x:v>
      </x:c>
      <x:c r="H1741" s="13" t="n">
        <x:f>F1741-G1741</x:f>
        <x:v>918.98</x:v>
      </x:c>
      <x:c r="I1741" s="13" t="n">
        <x:f>IF(C1741=0,"n.a.",F1741/C1741)</x:f>
        <x:v>474.44</x:v>
      </x:c>
      <x:c r="J1741" s="3"/>
      <x:c r="K1741" s="3"/>
      <x:c r="L1741" s="3"/>
    </x:row>
    <x:row r="1742" ht="22" customHeight="1">
      <x:c r="A1742" s="3"/>
      <x:c r="B1742" s="3" t="str">
        <x:v>14015</x:v>
      </x:c>
      <x:c r="C1742" s="3" t="n">
        <x:v>1</x:v>
      </x:c>
      <x:c r="D1742" s="51" t="n">
        <x:v>40834</x:v>
      </x:c>
      <x:c r="E1742" s="3" t="str">
        <x:v>Una compra</x:v>
      </x:c>
      <x:c r="F1742" s="13" t="n">
        <x:v>917.34</x:v>
      </x:c>
      <x:c r="G1742" s="13" t="n">
        <x:v>0</x:v>
      </x:c>
      <x:c r="H1742" s="13" t="n">
        <x:f>F1742-G1742</x:f>
        <x:v>917.34</x:v>
      </x:c>
      <x:c r="I1742" s="13" t="n">
        <x:f>IF(C1742=0,"n.a.",F1742/C1742)</x:f>
        <x:v>917.34</x:v>
      </x:c>
      <x:c r="J1742" s="3"/>
      <x:c r="K1742" s="3"/>
      <x:c r="L1742" s="3"/>
    </x:row>
    <x:row r="1743" ht="22" customHeight="1">
      <x:c r="A1743" s="3"/>
      <x:c r="B1743" s="3" t="str">
        <x:v>14712</x:v>
      </x:c>
      <x:c r="C1743" s="3" t="n">
        <x:v>3</x:v>
      </x:c>
      <x:c r="D1743" s="51" t="n">
        <x:v>40857</x:v>
      </x:c>
      <x:c r="E1743" s="3" t="str">
        <x:v>Recurrente</x:v>
      </x:c>
      <x:c r="F1743" s="13" t="n">
        <x:v>917.07</x:v>
      </x:c>
      <x:c r="G1743" s="13" t="n">
        <x:v>0</x:v>
      </x:c>
      <x:c r="H1743" s="13" t="n">
        <x:f>F1743-G1743</x:f>
        <x:v>917.07</x:v>
      </x:c>
      <x:c r="I1743" s="13" t="n">
        <x:f>IF(C1743=0,"n.a.",F1743/C1743)</x:f>
        <x:v>305.69</x:v>
      </x:c>
      <x:c r="J1743" s="3"/>
      <x:c r="K1743" s="3"/>
      <x:c r="L1743" s="3"/>
    </x:row>
    <x:row r="1744" ht="22" customHeight="1">
      <x:c r="A1744" s="3"/>
      <x:c r="B1744" s="3" t="str">
        <x:v>17236</x:v>
      </x:c>
      <x:c r="C1744" s="3" t="n">
        <x:v>6</x:v>
      </x:c>
      <x:c r="D1744" s="51" t="n">
        <x:v>40874</x:v>
      </x:c>
      <x:c r="E1744" s="3" t="str">
        <x:v>Recurrente</x:v>
      </x:c>
      <x:c r="F1744" s="13" t="n">
        <x:v>916.13</x:v>
      </x:c>
      <x:c r="G1744" s="13" t="n">
        <x:v>0</x:v>
      </x:c>
      <x:c r="H1744" s="13" t="n">
        <x:f>F1744-G1744</x:f>
        <x:v>916.13</x:v>
      </x:c>
      <x:c r="I1744" s="13" t="n">
        <x:f>IF(C1744=0,"n.a.",F1744/C1744)</x:f>
        <x:v>152.68833333333333</x:v>
      </x:c>
      <x:c r="J1744" s="3"/>
      <x:c r="K1744" s="3"/>
      <x:c r="L1744" s="3"/>
    </x:row>
    <x:row r="1745" ht="22" customHeight="1">
      <x:c r="A1745" s="3"/>
      <x:c r="B1745" s="3" t="str">
        <x:v>13549</x:v>
      </x:c>
      <x:c r="C1745" s="3" t="n">
        <x:v>7</x:v>
      </x:c>
      <x:c r="D1745" s="51" t="n">
        <x:v>40861</x:v>
      </x:c>
      <x:c r="E1745" s="3" t="str">
        <x:v>Recurrente</x:v>
      </x:c>
      <x:c r="F1745" s="13" t="n">
        <x:v>918.2</x:v>
      </x:c>
      <x:c r="G1745" s="13" t="n">
        <x:v>2.08</x:v>
      </x:c>
      <x:c r="H1745" s="13" t="n">
        <x:f>F1745-G1745</x:f>
        <x:v>916.12</x:v>
      </x:c>
      <x:c r="I1745" s="13" t="n">
        <x:f>IF(C1745=0,"n.a.",F1745/C1745)</x:f>
        <x:v>131.17142857142858</x:v>
      </x:c>
      <x:c r="J1745" s="3"/>
      <x:c r="K1745" s="3"/>
      <x:c r="L1745" s="3"/>
    </x:row>
    <x:row r="1746" ht="22" customHeight="1">
      <x:c r="A1746" s="3"/>
      <x:c r="B1746" s="3" t="str">
        <x:v>15253</x:v>
      </x:c>
      <x:c r="C1746" s="3" t="n">
        <x:v>5</x:v>
      </x:c>
      <x:c r="D1746" s="51" t="n">
        <x:v>40870</x:v>
      </x:c>
      <x:c r="E1746" s="3" t="str">
        <x:v>Recurrente</x:v>
      </x:c>
      <x:c r="F1746" s="13" t="n">
        <x:v>918.2</x:v>
      </x:c>
      <x:c r="G1746" s="13" t="n">
        <x:v>2.9</x:v>
      </x:c>
      <x:c r="H1746" s="13" t="n">
        <x:f>F1746-G1746</x:f>
        <x:v>915.3000000000001</x:v>
      </x:c>
      <x:c r="I1746" s="13" t="n">
        <x:f>IF(C1746=0,"n.a.",F1746/C1746)</x:f>
        <x:v>183.64000000000001</x:v>
      </x:c>
      <x:c r="J1746" s="3"/>
      <x:c r="K1746" s="3"/>
      <x:c r="L1746" s="3"/>
    </x:row>
    <x:row r="1747" ht="22" customHeight="1">
      <x:c r="A1747" s="3"/>
      <x:c r="B1747" s="3" t="str">
        <x:v>16216</x:v>
      </x:c>
      <x:c r="C1747" s="3" t="n">
        <x:v>1</x:v>
      </x:c>
      <x:c r="D1747" s="51" t="n">
        <x:v>40619</x:v>
      </x:c>
      <x:c r="E1747" s="3" t="str">
        <x:v>Una compra</x:v>
      </x:c>
      <x:c r="F1747" s="13" t="n">
        <x:v>914.93</x:v>
      </x:c>
      <x:c r="G1747" s="13" t="n">
        <x:v>0</x:v>
      </x:c>
      <x:c r="H1747" s="13" t="n">
        <x:f>F1747-G1747</x:f>
        <x:v>914.93</x:v>
      </x:c>
      <x:c r="I1747" s="13" t="n">
        <x:f>IF(C1747=0,"n.a.",F1747/C1747)</x:f>
        <x:v>914.93</x:v>
      </x:c>
      <x:c r="J1747" s="3"/>
      <x:c r="K1747" s="3"/>
      <x:c r="L1747" s="3"/>
    </x:row>
    <x:row r="1748" ht="22" customHeight="1">
      <x:c r="A1748" s="3"/>
      <x:c r="B1748" s="3" t="str">
        <x:v>17552</x:v>
      </x:c>
      <x:c r="C1748" s="3" t="n">
        <x:v>4</x:v>
      </x:c>
      <x:c r="D1748" s="51" t="n">
        <x:v>40826</x:v>
      </x:c>
      <x:c r="E1748" s="3" t="str">
        <x:v>Recurrente</x:v>
      </x:c>
      <x:c r="F1748" s="13" t="n">
        <x:v>930.41</x:v>
      </x:c>
      <x:c r="G1748" s="13" t="n">
        <x:v>16.5</x:v>
      </x:c>
      <x:c r="H1748" s="13" t="n">
        <x:f>F1748-G1748</x:f>
        <x:v>913.91</x:v>
      </x:c>
      <x:c r="I1748" s="13" t="n">
        <x:f>IF(C1748=0,"n.a.",F1748/C1748)</x:f>
        <x:v>232.6025</x:v>
      </x:c>
      <x:c r="J1748" s="3"/>
      <x:c r="K1748" s="3"/>
      <x:c r="L1748" s="3"/>
    </x:row>
    <x:row r="1749" ht="22" customHeight="1">
      <x:c r="A1749" s="3"/>
      <x:c r="B1749" s="3" t="str">
        <x:v>15587</x:v>
      </x:c>
      <x:c r="C1749" s="3" t="n">
        <x:v>4</x:v>
      </x:c>
      <x:c r="D1749" s="51" t="n">
        <x:v>40836</x:v>
      </x:c>
      <x:c r="E1749" s="3" t="str">
        <x:v>Recurrente</x:v>
      </x:c>
      <x:c r="F1749" s="13" t="n">
        <x:v>913.68</x:v>
      </x:c>
      <x:c r="G1749" s="13" t="n">
        <x:v>0</x:v>
      </x:c>
      <x:c r="H1749" s="13" t="n">
        <x:f>F1749-G1749</x:f>
        <x:v>913.68</x:v>
      </x:c>
      <x:c r="I1749" s="13" t="n">
        <x:f>IF(C1749=0,"n.a.",F1749/C1749)</x:f>
        <x:v>228.42</x:v>
      </x:c>
      <x:c r="J1749" s="3"/>
      <x:c r="K1749" s="3"/>
      <x:c r="L1749" s="3"/>
    </x:row>
    <x:row r="1750" ht="22" customHeight="1">
      <x:c r="A1750" s="3"/>
      <x:c r="B1750" s="3" t="str">
        <x:v>15364</x:v>
      </x:c>
      <x:c r="C1750" s="3" t="n">
        <x:v>2</x:v>
      </x:c>
      <x:c r="D1750" s="51" t="n">
        <x:v>40791</x:v>
      </x:c>
      <x:c r="E1750" s="3" t="str">
        <x:v>Recurrente</x:v>
      </x:c>
      <x:c r="F1750" s="13" t="n">
        <x:v>913.19</x:v>
      </x:c>
      <x:c r="G1750" s="13" t="n">
        <x:v>0</x:v>
      </x:c>
      <x:c r="H1750" s="13" t="n">
        <x:f>F1750-G1750</x:f>
        <x:v>913.19</x:v>
      </x:c>
      <x:c r="I1750" s="13" t="n">
        <x:f>IF(C1750=0,"n.a.",F1750/C1750)</x:f>
        <x:v>456.595</x:v>
      </x:c>
      <x:c r="J1750" s="3"/>
      <x:c r="K1750" s="3"/>
      <x:c r="L1750" s="3"/>
    </x:row>
    <x:row r="1751" ht="22" customHeight="1">
      <x:c r="A1751" s="3"/>
      <x:c r="B1751" s="3" t="str">
        <x:v>16809</x:v>
      </x:c>
      <x:c r="C1751" s="3" t="n">
        <x:v>5</x:v>
      </x:c>
      <x:c r="D1751" s="51" t="n">
        <x:v>40863</x:v>
      </x:c>
      <x:c r="E1751" s="3" t="str">
        <x:v>Recurrente</x:v>
      </x:c>
      <x:c r="F1751" s="13" t="n">
        <x:v>914.69</x:v>
      </x:c>
      <x:c r="G1751" s="13" t="n">
        <x:v>1.95</x:v>
      </x:c>
      <x:c r="H1751" s="13" t="n">
        <x:f>F1751-G1751</x:f>
        <x:v>912.74</x:v>
      </x:c>
      <x:c r="I1751" s="13" t="n">
        <x:f>IF(C1751=0,"n.a.",F1751/C1751)</x:f>
        <x:v>182.93800000000002</x:v>
      </x:c>
      <x:c r="J1751" s="3"/>
      <x:c r="K1751" s="3"/>
      <x:c r="L1751" s="3"/>
    </x:row>
    <x:row r="1752" ht="22" customHeight="1">
      <x:c r="A1752" s="3"/>
      <x:c r="B1752" s="3" t="str">
        <x:v>13782</x:v>
      </x:c>
      <x:c r="C1752" s="3" t="n">
        <x:v>6</x:v>
      </x:c>
      <x:c r="D1752" s="51" t="n">
        <x:v>40874</x:v>
      </x:c>
      <x:c r="E1752" s="3" t="str">
        <x:v>Recurrente</x:v>
      </x:c>
      <x:c r="F1752" s="13" t="n">
        <x:v>912</x:v>
      </x:c>
      <x:c r="G1752" s="13" t="n">
        <x:v>0</x:v>
      </x:c>
      <x:c r="H1752" s="13" t="n">
        <x:f>F1752-G1752</x:f>
        <x:v>912</x:v>
      </x:c>
      <x:c r="I1752" s="13" t="n">
        <x:f>IF(C1752=0,"n.a.",F1752/C1752)</x:f>
        <x:v>152</x:v>
      </x:c>
      <x:c r="J1752" s="3"/>
      <x:c r="K1752" s="3"/>
      <x:c r="L1752" s="3"/>
    </x:row>
    <x:row r="1753" ht="22" customHeight="1">
      <x:c r="A1753" s="3"/>
      <x:c r="B1753" s="3" t="str">
        <x:v>13192</x:v>
      </x:c>
      <x:c r="C1753" s="3" t="n">
        <x:v>2</x:v>
      </x:c>
      <x:c r="D1753" s="51" t="n">
        <x:v>40791</x:v>
      </x:c>
      <x:c r="E1753" s="3" t="str">
        <x:v>Recurrente</x:v>
      </x:c>
      <x:c r="F1753" s="13" t="n">
        <x:v>911.94</x:v>
      </x:c>
      <x:c r="G1753" s="13" t="n">
        <x:v>0</x:v>
      </x:c>
      <x:c r="H1753" s="13" t="n">
        <x:f>F1753-G1753</x:f>
        <x:v>911.94</x:v>
      </x:c>
      <x:c r="I1753" s="13" t="n">
        <x:f>IF(C1753=0,"n.a.",F1753/C1753)</x:f>
        <x:v>455.97</x:v>
      </x:c>
      <x:c r="J1753" s="3"/>
      <x:c r="K1753" s="3"/>
      <x:c r="L1753" s="3"/>
    </x:row>
    <x:row r="1754" ht="22" customHeight="1">
      <x:c r="A1754" s="3"/>
      <x:c r="B1754" s="3" t="str">
        <x:v>14289</x:v>
      </x:c>
      <x:c r="C1754" s="3" t="n">
        <x:v>6</x:v>
      </x:c>
      <x:c r="D1754" s="51" t="n">
        <x:v>40878</x:v>
      </x:c>
      <x:c r="E1754" s="3" t="str">
        <x:v>Recurrente</x:v>
      </x:c>
      <x:c r="F1754" s="13" t="n">
        <x:v>911.26</x:v>
      </x:c>
      <x:c r="G1754" s="13" t="n">
        <x:v>0</x:v>
      </x:c>
      <x:c r="H1754" s="13" t="n">
        <x:f>F1754-G1754</x:f>
        <x:v>911.26</x:v>
      </x:c>
      <x:c r="I1754" s="13" t="n">
        <x:f>IF(C1754=0,"n.a.",F1754/C1754)</x:f>
        <x:v>151.87666666666667</x:v>
      </x:c>
      <x:c r="J1754" s="3"/>
      <x:c r="K1754" s="3"/>
      <x:c r="L1754" s="3"/>
    </x:row>
    <x:row r="1755" ht="22" customHeight="1">
      <x:c r="A1755" s="3"/>
      <x:c r="B1755" s="3" t="str">
        <x:v>18096</x:v>
      </x:c>
      <x:c r="C1755" s="3" t="n">
        <x:v>3</x:v>
      </x:c>
      <x:c r="D1755" s="51" t="n">
        <x:v>40875</x:v>
      </x:c>
      <x:c r="E1755" s="3" t="str">
        <x:v>Recurrente</x:v>
      </x:c>
      <x:c r="F1755" s="13" t="n">
        <x:v>911.15</x:v>
      </x:c>
      <x:c r="G1755" s="13" t="n">
        <x:v>0</x:v>
      </x:c>
      <x:c r="H1755" s="13" t="n">
        <x:f>F1755-G1755</x:f>
        <x:v>911.15</x:v>
      </x:c>
      <x:c r="I1755" s="13" t="n">
        <x:f>IF(C1755=0,"n.a.",F1755/C1755)</x:f>
        <x:v>303.71666666666664</x:v>
      </x:c>
      <x:c r="J1755" s="3"/>
      <x:c r="K1755" s="3"/>
      <x:c r="L1755" s="3"/>
    </x:row>
    <x:row r="1756" ht="22" customHeight="1">
      <x:c r="A1756" s="3"/>
      <x:c r="B1756" s="3" t="str">
        <x:v>13689</x:v>
      </x:c>
      <x:c r="C1756" s="3" t="n">
        <x:v>1</x:v>
      </x:c>
      <x:c r="D1756" s="51" t="n">
        <x:v>40823</x:v>
      </x:c>
      <x:c r="E1756" s="3" t="str">
        <x:v>Una compra</x:v>
      </x:c>
      <x:c r="F1756" s="13" t="n">
        <x:v>910</x:v>
      </x:c>
      <x:c r="G1756" s="13" t="n">
        <x:v>0</x:v>
      </x:c>
      <x:c r="H1756" s="13" t="n">
        <x:f>F1756-G1756</x:f>
        <x:v>910</x:v>
      </x:c>
      <x:c r="I1756" s="13" t="n">
        <x:f>IF(C1756=0,"n.a.",F1756/C1756)</x:f>
        <x:v>910</x:v>
      </x:c>
      <x:c r="J1756" s="3"/>
      <x:c r="K1756" s="3"/>
      <x:c r="L1756" s="3"/>
    </x:row>
    <x:row r="1757" ht="22" customHeight="1">
      <x:c r="A1757" s="3"/>
      <x:c r="B1757" s="3" t="str">
        <x:v>15511</x:v>
      </x:c>
      <x:c r="C1757" s="3" t="n">
        <x:v>5</x:v>
      </x:c>
      <x:c r="D1757" s="51" t="n">
        <x:v>40875</x:v>
      </x:c>
      <x:c r="E1757" s="3" t="str">
        <x:v>Recurrente</x:v>
      </x:c>
      <x:c r="F1757" s="13" t="n">
        <x:v>909.23</x:v>
      </x:c>
      <x:c r="G1757" s="13" t="n">
        <x:v>0</x:v>
      </x:c>
      <x:c r="H1757" s="13" t="n">
        <x:f>F1757-G1757</x:f>
        <x:v>909.23</x:v>
      </x:c>
      <x:c r="I1757" s="13" t="n">
        <x:f>IF(C1757=0,"n.a.",F1757/C1757)</x:f>
        <x:v>181.846</x:v>
      </x:c>
      <x:c r="J1757" s="3"/>
      <x:c r="K1757" s="3"/>
      <x:c r="L1757" s="3"/>
    </x:row>
    <x:row r="1758" ht="22" customHeight="1">
      <x:c r="A1758" s="3"/>
      <x:c r="B1758" s="3" t="str">
        <x:v>13038</x:v>
      </x:c>
      <x:c r="C1758" s="3" t="n">
        <x:v>3</x:v>
      </x:c>
      <x:c r="D1758" s="51" t="n">
        <x:v>40806</x:v>
      </x:c>
      <x:c r="E1758" s="3" t="str">
        <x:v>Recurrente</x:v>
      </x:c>
      <x:c r="F1758" s="13" t="n">
        <x:v>908.46</x:v>
      </x:c>
      <x:c r="G1758" s="13" t="n">
        <x:v>0</x:v>
      </x:c>
      <x:c r="H1758" s="13" t="n">
        <x:f>F1758-G1758</x:f>
        <x:v>908.46</x:v>
      </x:c>
      <x:c r="I1758" s="13" t="n">
        <x:f>IF(C1758=0,"n.a.",F1758/C1758)</x:f>
        <x:v>302.82</x:v>
      </x:c>
      <x:c r="J1758" s="3"/>
      <x:c r="K1758" s="3"/>
      <x:c r="L1758" s="3"/>
    </x:row>
    <x:row r="1759" ht="22" customHeight="1">
      <x:c r="A1759" s="3"/>
      <x:c r="B1759" s="3" t="str">
        <x:v>16584</x:v>
      </x:c>
      <x:c r="C1759" s="3" t="n">
        <x:v>2</x:v>
      </x:c>
      <x:c r="D1759" s="51" t="n">
        <x:v>40806</x:v>
      </x:c>
      <x:c r="E1759" s="3" t="str">
        <x:v>Recurrente</x:v>
      </x:c>
      <x:c r="F1759" s="13" t="n">
        <x:v>936.08</x:v>
      </x:c>
      <x:c r="G1759" s="13" t="n">
        <x:v>28.05</x:v>
      </x:c>
      <x:c r="H1759" s="13" t="n">
        <x:f>F1759-G1759</x:f>
        <x:v>908.0300000000001</x:v>
      </x:c>
      <x:c r="I1759" s="13" t="n">
        <x:f>IF(C1759=0,"n.a.",F1759/C1759)</x:f>
        <x:v>468.04</x:v>
      </x:c>
      <x:c r="J1759" s="3"/>
      <x:c r="K1759" s="3"/>
      <x:c r="L1759" s="3"/>
    </x:row>
    <x:row r="1760" ht="22" customHeight="1">
      <x:c r="A1760" s="3"/>
      <x:c r="B1760" s="3" t="str">
        <x:v>14449</x:v>
      </x:c>
      <x:c r="C1760" s="3" t="n">
        <x:v>4</x:v>
      </x:c>
      <x:c r="D1760" s="51" t="n">
        <x:v>40868</x:v>
      </x:c>
      <x:c r="E1760" s="3" t="str">
        <x:v>Recurrente</x:v>
      </x:c>
      <x:c r="F1760" s="13" t="n">
        <x:v>907.1</x:v>
      </x:c>
      <x:c r="G1760" s="13" t="n">
        <x:v>0</x:v>
      </x:c>
      <x:c r="H1760" s="13" t="n">
        <x:f>F1760-G1760</x:f>
        <x:v>907.1</x:v>
      </x:c>
      <x:c r="I1760" s="13" t="n">
        <x:f>IF(C1760=0,"n.a.",F1760/C1760)</x:f>
        <x:v>226.775</x:v>
      </x:c>
      <x:c r="J1760" s="3"/>
      <x:c r="K1760" s="3"/>
      <x:c r="L1760" s="3"/>
    </x:row>
    <x:row r="1761" ht="22" customHeight="1">
      <x:c r="A1761" s="3"/>
      <x:c r="B1761" s="3" t="str">
        <x:v>17323</x:v>
      </x:c>
      <x:c r="C1761" s="3" t="n">
        <x:v>7</x:v>
      </x:c>
      <x:c r="D1761" s="51" t="n">
        <x:v>40871</x:v>
      </x:c>
      <x:c r="E1761" s="3" t="str">
        <x:v>Recurrente</x:v>
      </x:c>
      <x:c r="F1761" s="13" t="n">
        <x:v>917.67</x:v>
      </x:c>
      <x:c r="G1761" s="13" t="n">
        <x:v>12.08</x:v>
      </x:c>
      <x:c r="H1761" s="13" t="n">
        <x:f>F1761-G1761</x:f>
        <x:v>905.5899999999999</x:v>
      </x:c>
      <x:c r="I1761" s="13" t="n">
        <x:f>IF(C1761=0,"n.a.",F1761/C1761)</x:f>
        <x:v>131.09571428571428</x:v>
      </x:c>
      <x:c r="J1761" s="3"/>
      <x:c r="K1761" s="3"/>
      <x:c r="L1761" s="3"/>
    </x:row>
    <x:row r="1762" ht="22" customHeight="1">
      <x:c r="A1762" s="3"/>
      <x:c r="B1762" s="3" t="str">
        <x:v>15480</x:v>
      </x:c>
      <x:c r="C1762" s="3" t="n">
        <x:v>1</x:v>
      </x:c>
      <x:c r="D1762" s="51" t="n">
        <x:v>40770</x:v>
      </x:c>
      <x:c r="E1762" s="3" t="str">
        <x:v>Una compra</x:v>
      </x:c>
      <x:c r="F1762" s="13" t="n">
        <x:v>905.5</x:v>
      </x:c>
      <x:c r="G1762" s="13" t="n">
        <x:v>0</x:v>
      </x:c>
      <x:c r="H1762" s="13" t="n">
        <x:f>F1762-G1762</x:f>
        <x:v>905.5</x:v>
      </x:c>
      <x:c r="I1762" s="13" t="n">
        <x:f>IF(C1762=0,"n.a.",F1762/C1762)</x:f>
        <x:v>905.5</x:v>
      </x:c>
      <x:c r="J1762" s="3"/>
      <x:c r="K1762" s="3"/>
      <x:c r="L1762" s="3"/>
    </x:row>
    <x:row r="1763" ht="22" customHeight="1">
      <x:c r="A1763" s="3"/>
      <x:c r="B1763" s="3" t="str">
        <x:v>12642</x:v>
      </x:c>
      <x:c r="C1763" s="3" t="n">
        <x:v>3</x:v>
      </x:c>
      <x:c r="D1763" s="51" t="n">
        <x:v>40861</x:v>
      </x:c>
      <x:c r="E1763" s="3" t="str">
        <x:v>Recurrente</x:v>
      </x:c>
      <x:c r="F1763" s="13" t="n">
        <x:v>905.26</x:v>
      </x:c>
      <x:c r="G1763" s="13" t="n">
        <x:v>0</x:v>
      </x:c>
      <x:c r="H1763" s="13" t="n">
        <x:f>F1763-G1763</x:f>
        <x:v>905.26</x:v>
      </x:c>
      <x:c r="I1763" s="13" t="n">
        <x:f>IF(C1763=0,"n.a.",F1763/C1763)</x:f>
        <x:v>301.75333333333333</x:v>
      </x:c>
      <x:c r="J1763" s="3"/>
      <x:c r="K1763" s="3"/>
      <x:c r="L1763" s="3"/>
    </x:row>
    <x:row r="1764" ht="22" customHeight="1">
      <x:c r="A1764" s="3"/>
      <x:c r="B1764" s="3" t="str">
        <x:v>15022</x:v>
      </x:c>
      <x:c r="C1764" s="3" t="n">
        <x:v>4</x:v>
      </x:c>
      <x:c r="D1764" s="51" t="n">
        <x:v>40875</x:v>
      </x:c>
      <x:c r="E1764" s="3" t="str">
        <x:v>Recurrente</x:v>
      </x:c>
      <x:c r="F1764" s="13" t="n">
        <x:v>905.04</x:v>
      </x:c>
      <x:c r="G1764" s="13" t="n">
        <x:v>0</x:v>
      </x:c>
      <x:c r="H1764" s="13" t="n">
        <x:f>F1764-G1764</x:f>
        <x:v>905.04</x:v>
      </x:c>
      <x:c r="I1764" s="13" t="n">
        <x:f>IF(C1764=0,"n.a.",F1764/C1764)</x:f>
        <x:v>226.26</x:v>
      </x:c>
      <x:c r="J1764" s="3"/>
      <x:c r="K1764" s="3"/>
      <x:c r="L1764" s="3"/>
    </x:row>
    <x:row r="1765" ht="22" customHeight="1">
      <x:c r="A1765" s="3"/>
      <x:c r="B1765" s="3" t="str">
        <x:v>14081</x:v>
      </x:c>
      <x:c r="C1765" s="3" t="n">
        <x:v>2</x:v>
      </x:c>
      <x:c r="D1765" s="51" t="n">
        <x:v>40584</x:v>
      </x:c>
      <x:c r="E1765" s="3" t="str">
        <x:v>Recurrente</x:v>
      </x:c>
      <x:c r="F1765" s="13" t="n">
        <x:v>934.52</x:v>
      </x:c>
      <x:c r="G1765" s="13" t="n">
        <x:v>29.85</x:v>
      </x:c>
      <x:c r="H1765" s="13" t="n">
        <x:f>F1765-G1765</x:f>
        <x:v>904.67</x:v>
      </x:c>
      <x:c r="I1765" s="13" t="n">
        <x:f>IF(C1765=0,"n.a.",F1765/C1765)</x:f>
        <x:v>467.26</x:v>
      </x:c>
      <x:c r="J1765" s="3"/>
      <x:c r="K1765" s="3"/>
      <x:c r="L1765" s="3"/>
    </x:row>
    <x:row r="1766" ht="22" customHeight="1">
      <x:c r="A1766" s="3"/>
      <x:c r="B1766" s="3" t="str">
        <x:v>15807</x:v>
      </x:c>
      <x:c r="C1766" s="3" t="n">
        <x:v>3</x:v>
      </x:c>
      <x:c r="D1766" s="51" t="n">
        <x:v>40836</x:v>
      </x:c>
      <x:c r="E1766" s="3" t="str">
        <x:v>Recurrente</x:v>
      </x:c>
      <x:c r="F1766" s="13" t="n">
        <x:v>903.9</x:v>
      </x:c>
      <x:c r="G1766" s="13" t="n">
        <x:v>0</x:v>
      </x:c>
      <x:c r="H1766" s="13" t="n">
        <x:f>F1766-G1766</x:f>
        <x:v>903.9</x:v>
      </x:c>
      <x:c r="I1766" s="13" t="n">
        <x:f>IF(C1766=0,"n.a.",F1766/C1766)</x:f>
        <x:v>301.3</x:v>
      </x:c>
      <x:c r="J1766" s="3"/>
      <x:c r="K1766" s="3"/>
      <x:c r="L1766" s="3"/>
    </x:row>
    <x:row r="1767" ht="22" customHeight="1">
      <x:c r="A1767" s="3"/>
      <x:c r="B1767" s="3" t="str">
        <x:v>12994</x:v>
      </x:c>
      <x:c r="C1767" s="3" t="n">
        <x:v>3</x:v>
      </x:c>
      <x:c r="D1767" s="51" t="n">
        <x:v>40882</x:v>
      </x:c>
      <x:c r="E1767" s="3" t="str">
        <x:v>Recurrente</x:v>
      </x:c>
      <x:c r="F1767" s="13" t="n">
        <x:v>974.42</x:v>
      </x:c>
      <x:c r="G1767" s="13" t="n">
        <x:v>72.2</x:v>
      </x:c>
      <x:c r="H1767" s="13" t="n">
        <x:f>F1767-G1767</x:f>
        <x:v>902.2199999999999</x:v>
      </x:c>
      <x:c r="I1767" s="13" t="n">
        <x:f>IF(C1767=0,"n.a.",F1767/C1767)</x:f>
        <x:v>324.8066666666667</x:v>
      </x:c>
      <x:c r="J1767" s="3"/>
      <x:c r="K1767" s="3"/>
      <x:c r="L1767" s="3"/>
    </x:row>
    <x:row r="1768" ht="22" customHeight="1">
      <x:c r="A1768" s="3"/>
      <x:c r="B1768" s="3" t="str">
        <x:v>17566</x:v>
      </x:c>
      <x:c r="C1768" s="3" t="n">
        <x:v>2</x:v>
      </x:c>
      <x:c r="D1768" s="51" t="n">
        <x:v>40878</x:v>
      </x:c>
      <x:c r="E1768" s="3" t="str">
        <x:v>Recurrente</x:v>
      </x:c>
      <x:c r="F1768" s="13" t="n">
        <x:v>901.21</x:v>
      </x:c>
      <x:c r="G1768" s="13" t="n">
        <x:v>0</x:v>
      </x:c>
      <x:c r="H1768" s="13" t="n">
        <x:f>F1768-G1768</x:f>
        <x:v>901.21</x:v>
      </x:c>
      <x:c r="I1768" s="13" t="n">
        <x:f>IF(C1768=0,"n.a.",F1768/C1768)</x:f>
        <x:v>450.605</x:v>
      </x:c>
      <x:c r="J1768" s="3"/>
      <x:c r="K1768" s="3"/>
      <x:c r="L1768" s="3"/>
    </x:row>
    <x:row r="1769" ht="22" customHeight="1">
      <x:c r="A1769" s="3"/>
      <x:c r="B1769" s="3" t="str">
        <x:v>17848</x:v>
      </x:c>
      <x:c r="C1769" s="3" t="n">
        <x:v>9</x:v>
      </x:c>
      <x:c r="D1769" s="51" t="n">
        <x:v>40805</x:v>
      </x:c>
      <x:c r="E1769" s="3" t="str">
        <x:v>Recurrente</x:v>
      </x:c>
      <x:c r="F1769" s="13" t="n">
        <x:v>901.2</x:v>
      </x:c>
      <x:c r="G1769" s="13" t="n">
        <x:v>0</x:v>
      </x:c>
      <x:c r="H1769" s="13" t="n">
        <x:f>F1769-G1769</x:f>
        <x:v>901.2</x:v>
      </x:c>
      <x:c r="I1769" s="13" t="n">
        <x:f>IF(C1769=0,"n.a.",F1769/C1769)</x:f>
        <x:v>100.13333333333334</x:v>
      </x:c>
      <x:c r="J1769" s="3"/>
      <x:c r="K1769" s="3"/>
      <x:c r="L1769" s="3"/>
    </x:row>
    <x:row r="1770" ht="22" customHeight="1">
      <x:c r="A1770" s="3"/>
      <x:c r="B1770" s="3" t="str">
        <x:v>17886</x:v>
      </x:c>
      <x:c r="C1770" s="3" t="n">
        <x:v>3</x:v>
      </x:c>
      <x:c r="D1770" s="51" t="n">
        <x:v>40855</x:v>
      </x:c>
      <x:c r="E1770" s="3" t="str">
        <x:v>Recurrente</x:v>
      </x:c>
      <x:c r="F1770" s="13" t="n">
        <x:v>899.61</x:v>
      </x:c>
      <x:c r="G1770" s="13" t="n">
        <x:v>0</x:v>
      </x:c>
      <x:c r="H1770" s="13" t="n">
        <x:f>F1770-G1770</x:f>
        <x:v>899.61</x:v>
      </x:c>
      <x:c r="I1770" s="13" t="n">
        <x:f>IF(C1770=0,"n.a.",F1770/C1770)</x:f>
        <x:v>299.87</x:v>
      </x:c>
      <x:c r="J1770" s="3"/>
      <x:c r="K1770" s="3"/>
      <x:c r="L1770" s="3"/>
    </x:row>
    <x:row r="1771" ht="22" customHeight="1">
      <x:c r="A1771" s="3"/>
      <x:c r="B1771" s="3" t="str">
        <x:v>17537</x:v>
      </x:c>
      <x:c r="C1771" s="3" t="n">
        <x:v>2</x:v>
      </x:c>
      <x:c r="D1771" s="51" t="n">
        <x:v>40857</x:v>
      </x:c>
      <x:c r="E1771" s="3" t="str">
        <x:v>Recurrente</x:v>
      </x:c>
      <x:c r="F1771" s="13" t="n">
        <x:v>897.62</x:v>
      </x:c>
      <x:c r="G1771" s="13" t="n">
        <x:v>0</x:v>
      </x:c>
      <x:c r="H1771" s="13" t="n">
        <x:f>F1771-G1771</x:f>
        <x:v>897.62</x:v>
      </x:c>
      <x:c r="I1771" s="13" t="n">
        <x:f>IF(C1771=0,"n.a.",F1771/C1771)</x:f>
        <x:v>448.81</x:v>
      </x:c>
      <x:c r="J1771" s="3"/>
      <x:c r="K1771" s="3"/>
      <x:c r="L1771" s="3"/>
    </x:row>
    <x:row r="1772" ht="22" customHeight="1">
      <x:c r="A1772" s="3"/>
      <x:c r="B1772" s="3" t="str">
        <x:v>17044</x:v>
      </x:c>
      <x:c r="C1772" s="3" t="n">
        <x:v>1</x:v>
      </x:c>
      <x:c r="D1772" s="51" t="n">
        <x:v>40861</x:v>
      </x:c>
      <x:c r="E1772" s="3" t="str">
        <x:v>Una compra</x:v>
      </x:c>
      <x:c r="F1772" s="13" t="n">
        <x:v>948.48</x:v>
      </x:c>
      <x:c r="G1772" s="13" t="n">
        <x:v>51.05</x:v>
      </x:c>
      <x:c r="H1772" s="13" t="n">
        <x:f>F1772-G1772</x:f>
        <x:v>897.4300000000001</x:v>
      </x:c>
      <x:c r="I1772" s="13" t="n">
        <x:f>IF(C1772=0,"n.a.",F1772/C1772)</x:f>
        <x:v>948.48</x:v>
      </x:c>
      <x:c r="J1772" s="3"/>
      <x:c r="K1772" s="3"/>
      <x:c r="L1772" s="3"/>
    </x:row>
    <x:row r="1773" ht="22" customHeight="1">
      <x:c r="A1773" s="3"/>
      <x:c r="B1773" s="3" t="str">
        <x:v>12572</x:v>
      </x:c>
      <x:c r="C1773" s="3" t="n">
        <x:v>2</x:v>
      </x:c>
      <x:c r="D1773" s="51" t="n">
        <x:v>40878</x:v>
      </x:c>
      <x:c r="E1773" s="3" t="str">
        <x:v>Recurrente</x:v>
      </x:c>
      <x:c r="F1773" s="13" t="n">
        <x:v>912.42</x:v>
      </x:c>
      <x:c r="G1773" s="13" t="n">
        <x:v>15.7</x:v>
      </x:c>
      <x:c r="H1773" s="13" t="n">
        <x:f>F1773-G1773</x:f>
        <x:v>896.7199999999999</x:v>
      </x:c>
      <x:c r="I1773" s="13" t="n">
        <x:f>IF(C1773=0,"n.a.",F1773/C1773)</x:f>
        <x:v>456.21</x:v>
      </x:c>
      <x:c r="J1773" s="3"/>
      <x:c r="K1773" s="3"/>
      <x:c r="L1773" s="3"/>
    </x:row>
    <x:row r="1774" ht="22" customHeight="1">
      <x:c r="A1774" s="3"/>
      <x:c r="B1774" s="3" t="str">
        <x:v>12679</x:v>
      </x:c>
      <x:c r="C1774" s="3" t="n">
        <x:v>4</x:v>
      </x:c>
      <x:c r="D1774" s="51" t="n">
        <x:v>40828</x:v>
      </x:c>
      <x:c r="E1774" s="3" t="str">
        <x:v>Recurrente</x:v>
      </x:c>
      <x:c r="F1774" s="13" t="n">
        <x:v>951.02</x:v>
      </x:c>
      <x:c r="G1774" s="13" t="n">
        <x:v>54.35</x:v>
      </x:c>
      <x:c r="H1774" s="13" t="n">
        <x:f>F1774-G1774</x:f>
        <x:v>896.67</x:v>
      </x:c>
      <x:c r="I1774" s="13" t="n">
        <x:f>IF(C1774=0,"n.a.",F1774/C1774)</x:f>
        <x:v>237.755</x:v>
      </x:c>
      <x:c r="J1774" s="3"/>
      <x:c r="K1774" s="3"/>
      <x:c r="L1774" s="3"/>
    </x:row>
    <x:row r="1775" ht="22" customHeight="1">
      <x:c r="A1775" s="3"/>
      <x:c r="B1775" s="3" t="str">
        <x:v>16361</x:v>
      </x:c>
      <x:c r="C1775" s="3" t="n">
        <x:v>4</x:v>
      </x:c>
      <x:c r="D1775" s="51" t="n">
        <x:v>40877</x:v>
      </x:c>
      <x:c r="E1775" s="3" t="str">
        <x:v>Recurrente</x:v>
      </x:c>
      <x:c r="F1775" s="13" t="n">
        <x:v>896.66</x:v>
      </x:c>
      <x:c r="G1775" s="13" t="n">
        <x:v>0</x:v>
      </x:c>
      <x:c r="H1775" s="13" t="n">
        <x:f>F1775-G1775</x:f>
        <x:v>896.66</x:v>
      </x:c>
      <x:c r="I1775" s="13" t="n">
        <x:f>IF(C1775=0,"n.a.",F1775/C1775)</x:f>
        <x:v>224.165</x:v>
      </x:c>
      <x:c r="J1775" s="3"/>
      <x:c r="K1775" s="3"/>
      <x:c r="L1775" s="3"/>
    </x:row>
    <x:row r="1776" ht="22" customHeight="1">
      <x:c r="A1776" s="3"/>
      <x:c r="B1776" s="3" t="str">
        <x:v>16714</x:v>
      </x:c>
      <x:c r="C1776" s="3" t="n">
        <x:v>2</x:v>
      </x:c>
      <x:c r="D1776" s="51" t="n">
        <x:v>40569</x:v>
      </x:c>
      <x:c r="E1776" s="3" t="str">
        <x:v>Recurrente</x:v>
      </x:c>
      <x:c r="F1776" s="13" t="n">
        <x:v>1146.53</x:v>
      </x:c>
      <x:c r="G1776" s="13" t="n">
        <x:v>250</x:v>
      </x:c>
      <x:c r="H1776" s="13" t="n">
        <x:f>F1776-G1776</x:f>
        <x:v>896.53</x:v>
      </x:c>
      <x:c r="I1776" s="13" t="n">
        <x:f>IF(C1776=0,"n.a.",F1776/C1776)</x:f>
        <x:v>573.265</x:v>
      </x:c>
      <x:c r="J1776" s="3"/>
      <x:c r="K1776" s="3"/>
      <x:c r="L1776" s="3"/>
    </x:row>
    <x:row r="1777" ht="22" customHeight="1">
      <x:c r="A1777" s="3"/>
      <x:c r="B1777" s="3" t="str">
        <x:v>18194</x:v>
      </x:c>
      <x:c r="C1777" s="3" t="n">
        <x:v>1</x:v>
      </x:c>
      <x:c r="D1777" s="51" t="n">
        <x:v>40804</x:v>
      </x:c>
      <x:c r="E1777" s="3" t="str">
        <x:v>Una compra</x:v>
      </x:c>
      <x:c r="F1777" s="13" t="n">
        <x:v>973.84</x:v>
      </x:c>
      <x:c r="G1777" s="13" t="n">
        <x:v>77.84</x:v>
      </x:c>
      <x:c r="H1777" s="13" t="n">
        <x:f>F1777-G1777</x:f>
        <x:v>896</x:v>
      </x:c>
      <x:c r="I1777" s="13" t="n">
        <x:f>IF(C1777=0,"n.a.",F1777/C1777)</x:f>
        <x:v>973.84</x:v>
      </x:c>
      <x:c r="J1777" s="3"/>
      <x:c r="K1777" s="3"/>
      <x:c r="L1777" s="3"/>
    </x:row>
    <x:row r="1778" ht="22" customHeight="1">
      <x:c r="A1778" s="3"/>
      <x:c r="B1778" s="3" t="str">
        <x:v>15865</x:v>
      </x:c>
      <x:c r="C1778" s="3" t="n">
        <x:v>3</x:v>
      </x:c>
      <x:c r="D1778" s="51" t="n">
        <x:v>40846</x:v>
      </x:c>
      <x:c r="E1778" s="3" t="str">
        <x:v>Recurrente</x:v>
      </x:c>
      <x:c r="F1778" s="13" t="n">
        <x:v>895.13</x:v>
      </x:c>
      <x:c r="G1778" s="13" t="n">
        <x:v>0</x:v>
      </x:c>
      <x:c r="H1778" s="13" t="n">
        <x:f>F1778-G1778</x:f>
        <x:v>895.13</x:v>
      </x:c>
      <x:c r="I1778" s="13" t="n">
        <x:f>IF(C1778=0,"n.a.",F1778/C1778)</x:f>
        <x:v>298.37666666666667</x:v>
      </x:c>
      <x:c r="J1778" s="3"/>
      <x:c r="K1778" s="3"/>
      <x:c r="L1778" s="3"/>
    </x:row>
    <x:row r="1779" ht="22" customHeight="1">
      <x:c r="A1779" s="3"/>
      <x:c r="B1779" s="3" t="str">
        <x:v>15211</x:v>
      </x:c>
      <x:c r="C1779" s="3" t="n">
        <x:v>2</x:v>
      </x:c>
      <x:c r="D1779" s="51" t="n">
        <x:v>40826</x:v>
      </x:c>
      <x:c r="E1779" s="3" t="str">
        <x:v>Recurrente</x:v>
      </x:c>
      <x:c r="F1779" s="13" t="n">
        <x:v>894.41</x:v>
      </x:c>
      <x:c r="G1779" s="13" t="n">
        <x:v>0</x:v>
      </x:c>
      <x:c r="H1779" s="13" t="n">
        <x:f>F1779-G1779</x:f>
        <x:v>894.41</x:v>
      </x:c>
      <x:c r="I1779" s="13" t="n">
        <x:f>IF(C1779=0,"n.a.",F1779/C1779)</x:f>
        <x:v>447.205</x:v>
      </x:c>
      <x:c r="J1779" s="3"/>
      <x:c r="K1779" s="3"/>
      <x:c r="L1779" s="3"/>
    </x:row>
    <x:row r="1780" ht="22" customHeight="1">
      <x:c r="A1780" s="3"/>
      <x:c r="B1780" s="3" t="str">
        <x:v>15079</x:v>
      </x:c>
      <x:c r="C1780" s="3" t="n">
        <x:v>4</x:v>
      </x:c>
      <x:c r="D1780" s="51" t="n">
        <x:v>40674</x:v>
      </x:c>
      <x:c r="E1780" s="3" t="str">
        <x:v>Recurrente</x:v>
      </x:c>
      <x:c r="F1780" s="13" t="n">
        <x:v>895.61</x:v>
      </x:c>
      <x:c r="G1780" s="13" t="n">
        <x:v>1.95</x:v>
      </x:c>
      <x:c r="H1780" s="13" t="n">
        <x:f>F1780-G1780</x:f>
        <x:v>893.66</x:v>
      </x:c>
      <x:c r="I1780" s="13" t="n">
        <x:f>IF(C1780=0,"n.a.",F1780/C1780)</x:f>
        <x:v>223.9025</x:v>
      </x:c>
      <x:c r="J1780" s="3"/>
      <x:c r="K1780" s="3"/>
      <x:c r="L1780" s="3"/>
    </x:row>
    <x:row r="1781" ht="22" customHeight="1">
      <x:c r="A1781" s="3"/>
      <x:c r="B1781" s="3" t="str">
        <x:v>13363</x:v>
      </x:c>
      <x:c r="C1781" s="3" t="n">
        <x:v>2</x:v>
      </x:c>
      <x:c r="D1781" s="51" t="n">
        <x:v>40869</x:v>
      </x:c>
      <x:c r="E1781" s="3" t="str">
        <x:v>Recurrente</x:v>
      </x:c>
      <x:c r="F1781" s="13" t="n">
        <x:v>892.5</x:v>
      </x:c>
      <x:c r="G1781" s="13" t="n">
        <x:v>0</x:v>
      </x:c>
      <x:c r="H1781" s="13" t="n">
        <x:f>F1781-G1781</x:f>
        <x:v>892.5</x:v>
      </x:c>
      <x:c r="I1781" s="13" t="n">
        <x:f>IF(C1781=0,"n.a.",F1781/C1781)</x:f>
        <x:v>446.25</x:v>
      </x:c>
      <x:c r="J1781" s="3"/>
      <x:c r="K1781" s="3"/>
      <x:c r="L1781" s="3"/>
    </x:row>
    <x:row r="1782" ht="22" customHeight="1">
      <x:c r="A1782" s="3"/>
      <x:c r="B1782" s="3" t="str">
        <x:v>13515</x:v>
      </x:c>
      <x:c r="C1782" s="3" t="n">
        <x:v>4</x:v>
      </x:c>
      <x:c r="D1782" s="51" t="n">
        <x:v>40814</x:v>
      </x:c>
      <x:c r="E1782" s="3" t="str">
        <x:v>Recurrente</x:v>
      </x:c>
      <x:c r="F1782" s="13" t="n">
        <x:v>891.12</x:v>
      </x:c>
      <x:c r="G1782" s="13" t="n">
        <x:v>0</x:v>
      </x:c>
      <x:c r="H1782" s="13" t="n">
        <x:f>F1782-G1782</x:f>
        <x:v>891.12</x:v>
      </x:c>
      <x:c r="I1782" s="13" t="n">
        <x:f>IF(C1782=0,"n.a.",F1782/C1782)</x:f>
        <x:v>222.78</x:v>
      </x:c>
      <x:c r="J1782" s="3"/>
      <x:c r="K1782" s="3"/>
      <x:c r="L1782" s="3"/>
    </x:row>
    <x:row r="1783" ht="22" customHeight="1">
      <x:c r="A1783" s="3"/>
      <x:c r="B1783" s="3" t="str">
        <x:v>15255</x:v>
      </x:c>
      <x:c r="C1783" s="3" t="n">
        <x:v>1</x:v>
      </x:c>
      <x:c r="D1783" s="51" t="n">
        <x:v>40820</x:v>
      </x:c>
      <x:c r="E1783" s="3" t="str">
        <x:v>Una compra</x:v>
      </x:c>
      <x:c r="F1783" s="13" t="n">
        <x:v>890.85</x:v>
      </x:c>
      <x:c r="G1783" s="13" t="n">
        <x:v>0</x:v>
      </x:c>
      <x:c r="H1783" s="13" t="n">
        <x:f>F1783-G1783</x:f>
        <x:v>890.85</x:v>
      </x:c>
      <x:c r="I1783" s="13" t="n">
        <x:f>IF(C1783=0,"n.a.",F1783/C1783)</x:f>
        <x:v>890.85</x:v>
      </x:c>
      <x:c r="J1783" s="3"/>
      <x:c r="K1783" s="3"/>
      <x:c r="L1783" s="3"/>
    </x:row>
    <x:row r="1784" ht="22" customHeight="1">
      <x:c r="A1784" s="3"/>
      <x:c r="B1784" s="3" t="str">
        <x:v>14240</x:v>
      </x:c>
      <x:c r="C1784" s="3" t="n">
        <x:v>2</x:v>
      </x:c>
      <x:c r="D1784" s="51" t="n">
        <x:v>40856</x:v>
      </x:c>
      <x:c r="E1784" s="3" t="str">
        <x:v>Recurrente</x:v>
      </x:c>
      <x:c r="F1784" s="13" t="n">
        <x:v>890.34</x:v>
      </x:c>
      <x:c r="G1784" s="13" t="n">
        <x:v>0</x:v>
      </x:c>
      <x:c r="H1784" s="13" t="n">
        <x:f>F1784-G1784</x:f>
        <x:v>890.34</x:v>
      </x:c>
      <x:c r="I1784" s="13" t="n">
        <x:f>IF(C1784=0,"n.a.",F1784/C1784)</x:f>
        <x:v>445.17</x:v>
      </x:c>
      <x:c r="J1784" s="3"/>
      <x:c r="K1784" s="3"/>
      <x:c r="L1784" s="3"/>
    </x:row>
    <x:row r="1785" ht="22" customHeight="1">
      <x:c r="A1785" s="3"/>
      <x:c r="B1785" s="3" t="str">
        <x:v>14344</x:v>
      </x:c>
      <x:c r="C1785" s="3" t="n">
        <x:v>8</x:v>
      </x:c>
      <x:c r="D1785" s="51" t="n">
        <x:v>40759</x:v>
      </x:c>
      <x:c r="E1785" s="3" t="str">
        <x:v>Recurrente</x:v>
      </x:c>
      <x:c r="F1785" s="13" t="n">
        <x:v>889.93</x:v>
      </x:c>
      <x:c r="G1785" s="13" t="n">
        <x:v>0</x:v>
      </x:c>
      <x:c r="H1785" s="13" t="n">
        <x:f>F1785-G1785</x:f>
        <x:v>889.93</x:v>
      </x:c>
      <x:c r="I1785" s="13" t="n">
        <x:f>IF(C1785=0,"n.a.",F1785/C1785)</x:f>
        <x:v>111.24125</x:v>
      </x:c>
      <x:c r="J1785" s="3"/>
      <x:c r="K1785" s="3"/>
      <x:c r="L1785" s="3"/>
    </x:row>
    <x:row r="1786" ht="22" customHeight="1">
      <x:c r="A1786" s="3"/>
      <x:c r="B1786" s="3" t="str">
        <x:v>17829</x:v>
      </x:c>
      <x:c r="C1786" s="3" t="n">
        <x:v>1</x:v>
      </x:c>
      <x:c r="D1786" s="51" t="n">
        <x:v>40588</x:v>
      </x:c>
      <x:c r="E1786" s="3" t="str">
        <x:v>Una compra</x:v>
      </x:c>
      <x:c r="F1786" s="13" t="n">
        <x:v>889.24</x:v>
      </x:c>
      <x:c r="G1786" s="13" t="n">
        <x:v>0</x:v>
      </x:c>
      <x:c r="H1786" s="13" t="n">
        <x:f>F1786-G1786</x:f>
        <x:v>889.24</x:v>
      </x:c>
      <x:c r="I1786" s="13" t="n">
        <x:f>IF(C1786=0,"n.a.",F1786/C1786)</x:f>
        <x:v>889.24</x:v>
      </x:c>
      <x:c r="J1786" s="3"/>
      <x:c r="K1786" s="3"/>
      <x:c r="L1786" s="3"/>
    </x:row>
    <x:row r="1787" ht="22" customHeight="1">
      <x:c r="A1787" s="3"/>
      <x:c r="B1787" s="3" t="str">
        <x:v>17527</x:v>
      </x:c>
      <x:c r="C1787" s="3" t="n">
        <x:v>4</x:v>
      </x:c>
      <x:c r="D1787" s="51" t="n">
        <x:v>40833</x:v>
      </x:c>
      <x:c r="E1787" s="3" t="str">
        <x:v>Recurrente</x:v>
      </x:c>
      <x:c r="F1787" s="13" t="n">
        <x:v>939.37</x:v>
      </x:c>
      <x:c r="G1787" s="13" t="n">
        <x:v>50.51</x:v>
      </x:c>
      <x:c r="H1787" s="13" t="n">
        <x:f>F1787-G1787</x:f>
        <x:v>888.86</x:v>
      </x:c>
      <x:c r="I1787" s="13" t="n">
        <x:f>IF(C1787=0,"n.a.",F1787/C1787)</x:f>
        <x:v>234.8425</x:v>
      </x:c>
      <x:c r="J1787" s="3"/>
      <x:c r="K1787" s="3"/>
      <x:c r="L1787" s="3"/>
    </x:row>
    <x:row r="1788" ht="22" customHeight="1">
      <x:c r="A1788" s="3"/>
      <x:c r="B1788" s="3" t="str">
        <x:v>12599</x:v>
      </x:c>
      <x:c r="C1788" s="3" t="n">
        <x:v>7</x:v>
      </x:c>
      <x:c r="D1788" s="51" t="n">
        <x:v>40857</x:v>
      </x:c>
      <x:c r="E1788" s="3" t="str">
        <x:v>Recurrente</x:v>
      </x:c>
      <x:c r="F1788" s="13" t="n">
        <x:v>888.58</x:v>
      </x:c>
      <x:c r="G1788" s="13" t="n">
        <x:v>0</x:v>
      </x:c>
      <x:c r="H1788" s="13" t="n">
        <x:f>F1788-G1788</x:f>
        <x:v>888.58</x:v>
      </x:c>
      <x:c r="I1788" s="13" t="n">
        <x:f>IF(C1788=0,"n.a.",F1788/C1788)</x:f>
        <x:v>126.94000000000001</x:v>
      </x:c>
      <x:c r="J1788" s="3"/>
      <x:c r="K1788" s="3"/>
      <x:c r="L1788" s="3"/>
    </x:row>
    <x:row r="1789" ht="22" customHeight="1">
      <x:c r="A1789" s="3"/>
      <x:c r="B1789" s="3" t="str">
        <x:v>16347</x:v>
      </x:c>
      <x:c r="C1789" s="3" t="n">
        <x:v>2</x:v>
      </x:c>
      <x:c r="D1789" s="51" t="n">
        <x:v>40875</x:v>
      </x:c>
      <x:c r="E1789" s="3" t="str">
        <x:v>Recurrente</x:v>
      </x:c>
      <x:c r="F1789" s="13" t="n">
        <x:v>887.65</x:v>
      </x:c>
      <x:c r="G1789" s="13" t="n">
        <x:v>0</x:v>
      </x:c>
      <x:c r="H1789" s="13" t="n">
        <x:f>F1789-G1789</x:f>
        <x:v>887.65</x:v>
      </x:c>
      <x:c r="I1789" s="13" t="n">
        <x:f>IF(C1789=0,"n.a.",F1789/C1789)</x:f>
        <x:v>443.825</x:v>
      </x:c>
      <x:c r="J1789" s="3"/>
      <x:c r="K1789" s="3"/>
      <x:c r="L1789" s="3"/>
    </x:row>
    <x:row r="1790" ht="22" customHeight="1">
      <x:c r="A1790" s="3"/>
      <x:c r="B1790" s="3" t="str">
        <x:v>13035</x:v>
      </x:c>
      <x:c r="C1790" s="3" t="n">
        <x:v>2</x:v>
      </x:c>
      <x:c r="D1790" s="51" t="n">
        <x:v>40813</x:v>
      </x:c>
      <x:c r="E1790" s="3" t="str">
        <x:v>Recurrente</x:v>
      </x:c>
      <x:c r="F1790" s="13" t="n">
        <x:v>921.88</x:v>
      </x:c>
      <x:c r="G1790" s="13" t="n">
        <x:v>35.25</x:v>
      </x:c>
      <x:c r="H1790" s="13" t="n">
        <x:f>F1790-G1790</x:f>
        <x:v>886.63</x:v>
      </x:c>
      <x:c r="I1790" s="13" t="n">
        <x:f>IF(C1790=0,"n.a.",F1790/C1790)</x:f>
        <x:v>460.94</x:v>
      </x:c>
      <x:c r="J1790" s="3"/>
      <x:c r="K1790" s="3"/>
      <x:c r="L1790" s="3"/>
    </x:row>
    <x:row r="1791" ht="22" customHeight="1">
      <x:c r="A1791" s="3"/>
      <x:c r="B1791" s="3" t="str">
        <x:v>12722</x:v>
      </x:c>
      <x:c r="C1791" s="3" t="n">
        <x:v>4</x:v>
      </x:c>
      <x:c r="D1791" s="51" t="n">
        <x:v>40801</x:v>
      </x:c>
      <x:c r="E1791" s="3" t="str">
        <x:v>Recurrente</x:v>
      </x:c>
      <x:c r="F1791" s="13" t="n">
        <x:v>979.63</x:v>
      </x:c>
      <x:c r="G1791" s="13" t="n">
        <x:v>93.3</x:v>
      </x:c>
      <x:c r="H1791" s="13" t="n">
        <x:f>F1791-G1791</x:f>
        <x:v>886.33</x:v>
      </x:c>
      <x:c r="I1791" s="13" t="n">
        <x:f>IF(C1791=0,"n.a.",F1791/C1791)</x:f>
        <x:v>244.9075</x:v>
      </x:c>
      <x:c r="J1791" s="3"/>
      <x:c r="K1791" s="3"/>
      <x:c r="L1791" s="3"/>
    </x:row>
    <x:row r="1792" ht="22" customHeight="1">
      <x:c r="A1792" s="3"/>
      <x:c r="B1792" s="3" t="str">
        <x:v>15822</x:v>
      </x:c>
      <x:c r="C1792" s="3" t="n">
        <x:v>2</x:v>
      </x:c>
      <x:c r="D1792" s="51" t="n">
        <x:v>40883</x:v>
      </x:c>
      <x:c r="E1792" s="3" t="str">
        <x:v>Recurrente</x:v>
      </x:c>
      <x:c r="F1792" s="13" t="n">
        <x:v>885.47</x:v>
      </x:c>
      <x:c r="G1792" s="13" t="n">
        <x:v>0</x:v>
      </x:c>
      <x:c r="H1792" s="13" t="n">
        <x:f>F1792-G1792</x:f>
        <x:v>885.47</x:v>
      </x:c>
      <x:c r="I1792" s="13" t="n">
        <x:f>IF(C1792=0,"n.a.",F1792/C1792)</x:f>
        <x:v>442.735</x:v>
      </x:c>
      <x:c r="J1792" s="3"/>
      <x:c r="K1792" s="3"/>
      <x:c r="L1792" s="3"/>
    </x:row>
    <x:row r="1793" ht="22" customHeight="1">
      <x:c r="A1793" s="3"/>
      <x:c r="B1793" s="3" t="str">
        <x:v>17704</x:v>
      </x:c>
      <x:c r="C1793" s="3" t="n">
        <x:v>2</x:v>
      </x:c>
      <x:c r="D1793" s="51" t="n">
        <x:v>40718</x:v>
      </x:c>
      <x:c r="E1793" s="3" t="str">
        <x:v>Recurrente</x:v>
      </x:c>
      <x:c r="F1793" s="13" t="n">
        <x:v>885.19</x:v>
      </x:c>
      <x:c r="G1793" s="13" t="n">
        <x:v>0</x:v>
      </x:c>
      <x:c r="H1793" s="13" t="n">
        <x:f>F1793-G1793</x:f>
        <x:v>885.19</x:v>
      </x:c>
      <x:c r="I1793" s="13" t="n">
        <x:f>IF(C1793=0,"n.a.",F1793/C1793)</x:f>
        <x:v>442.595</x:v>
      </x:c>
      <x:c r="J1793" s="3"/>
      <x:c r="K1793" s="3"/>
      <x:c r="L1793" s="3"/>
    </x:row>
    <x:row r="1794" ht="22" customHeight="1">
      <x:c r="A1794" s="3"/>
      <x:c r="B1794" s="3" t="str">
        <x:v>15799</x:v>
      </x:c>
      <x:c r="C1794" s="3" t="n">
        <x:v>3</x:v>
      </x:c>
      <x:c r="D1794" s="51" t="n">
        <x:v>40811</x:v>
      </x:c>
      <x:c r="E1794" s="3" t="str">
        <x:v>Recurrente</x:v>
      </x:c>
      <x:c r="F1794" s="13" t="n">
        <x:v>884.14</x:v>
      </x:c>
      <x:c r="G1794" s="13" t="n">
        <x:v>0</x:v>
      </x:c>
      <x:c r="H1794" s="13" t="n">
        <x:f>F1794-G1794</x:f>
        <x:v>884.14</x:v>
      </x:c>
      <x:c r="I1794" s="13" t="n">
        <x:f>IF(C1794=0,"n.a.",F1794/C1794)</x:f>
        <x:v>294.7133333333333</x:v>
      </x:c>
      <x:c r="J1794" s="3"/>
      <x:c r="K1794" s="3"/>
      <x:c r="L1794" s="3"/>
    </x:row>
    <x:row r="1795" ht="22" customHeight="1">
      <x:c r="A1795" s="3"/>
      <x:c r="B1795" s="3" t="str">
        <x:v>14597</x:v>
      </x:c>
      <x:c r="C1795" s="3" t="n">
        <x:v>2</x:v>
      </x:c>
      <x:c r="D1795" s="51" t="n">
        <x:v>40875</x:v>
      </x:c>
      <x:c r="E1795" s="3" t="str">
        <x:v>Recurrente</x:v>
      </x:c>
      <x:c r="F1795" s="13" t="n">
        <x:v>883.15</x:v>
      </x:c>
      <x:c r="G1795" s="13" t="n">
        <x:v>0</x:v>
      </x:c>
      <x:c r="H1795" s="13" t="n">
        <x:f>F1795-G1795</x:f>
        <x:v>883.15</x:v>
      </x:c>
      <x:c r="I1795" s="13" t="n">
        <x:f>IF(C1795=0,"n.a.",F1795/C1795)</x:f>
        <x:v>441.575</x:v>
      </x:c>
      <x:c r="J1795" s="3"/>
      <x:c r="K1795" s="3"/>
      <x:c r="L1795" s="3"/>
    </x:row>
    <x:row r="1796" ht="22" customHeight="1">
      <x:c r="A1796" s="3"/>
      <x:c r="B1796" s="3" t="str">
        <x:v>14359</x:v>
      </x:c>
      <x:c r="C1796" s="3" t="n">
        <x:v>3</x:v>
      </x:c>
      <x:c r="D1796" s="51" t="n">
        <x:v>40867</x:v>
      </x:c>
      <x:c r="E1796" s="3" t="str">
        <x:v>Recurrente</x:v>
      </x:c>
      <x:c r="F1796" s="13" t="n">
        <x:v>912.18</x:v>
      </x:c>
      <x:c r="G1796" s="13" t="n">
        <x:v>29.6</x:v>
      </x:c>
      <x:c r="H1796" s="13" t="n">
        <x:f>F1796-G1796</x:f>
        <x:v>882.5799999999999</x:v>
      </x:c>
      <x:c r="I1796" s="13" t="n">
        <x:f>IF(C1796=0,"n.a.",F1796/C1796)</x:f>
        <x:v>304.06</x:v>
      </x:c>
      <x:c r="J1796" s="3"/>
      <x:c r="K1796" s="3"/>
      <x:c r="L1796" s="3"/>
    </x:row>
    <x:row r="1797" ht="22" customHeight="1">
      <x:c r="A1797" s="3"/>
      <x:c r="B1797" s="3" t="str">
        <x:v>18236</x:v>
      </x:c>
      <x:c r="C1797" s="3" t="n">
        <x:v>6</x:v>
      </x:c>
      <x:c r="D1797" s="51" t="n">
        <x:v>40857</x:v>
      </x:c>
      <x:c r="E1797" s="3" t="str">
        <x:v>Recurrente</x:v>
      </x:c>
      <x:c r="F1797" s="13" t="n">
        <x:v>882.24</x:v>
      </x:c>
      <x:c r="G1797" s="13" t="n">
        <x:v>0</x:v>
      </x:c>
      <x:c r="H1797" s="13" t="n">
        <x:f>F1797-G1797</x:f>
        <x:v>882.24</x:v>
      </x:c>
      <x:c r="I1797" s="13" t="n">
        <x:f>IF(C1797=0,"n.a.",F1797/C1797)</x:f>
        <x:v>147.04</x:v>
      </x:c>
      <x:c r="J1797" s="3"/>
      <x:c r="K1797" s="3"/>
      <x:c r="L1797" s="3"/>
    </x:row>
    <x:row r="1798" ht="22" customHeight="1">
      <x:c r="A1798" s="3"/>
      <x:c r="B1798" s="3" t="str">
        <x:v>13037</x:v>
      </x:c>
      <x:c r="C1798" s="3" t="n">
        <x:v>3</x:v>
      </x:c>
      <x:c r="D1798" s="51" t="n">
        <x:v>40748</x:v>
      </x:c>
      <x:c r="E1798" s="3" t="str">
        <x:v>Recurrente</x:v>
      </x:c>
      <x:c r="F1798" s="13" t="n">
        <x:v>881.07</x:v>
      </x:c>
      <x:c r="G1798" s="13" t="n">
        <x:v>0</x:v>
      </x:c>
      <x:c r="H1798" s="13" t="n">
        <x:f>F1798-G1798</x:f>
        <x:v>881.07</x:v>
      </x:c>
      <x:c r="I1798" s="13" t="n">
        <x:f>IF(C1798=0,"n.a.",F1798/C1798)</x:f>
        <x:v>293.69</x:v>
      </x:c>
      <x:c r="J1798" s="3"/>
      <x:c r="K1798" s="3"/>
      <x:c r="L1798" s="3"/>
    </x:row>
    <x:row r="1799" ht="22" customHeight="1">
      <x:c r="A1799" s="3"/>
      <x:c r="B1799" s="3" t="str">
        <x:v>15076</x:v>
      </x:c>
      <x:c r="C1799" s="3" t="n">
        <x:v>1</x:v>
      </x:c>
      <x:c r="D1799" s="51" t="n">
        <x:v>40714</x:v>
      </x:c>
      <x:c r="E1799" s="3" t="str">
        <x:v>Una compra</x:v>
      </x:c>
      <x:c r="F1799" s="13" t="n">
        <x:v>880.85</x:v>
      </x:c>
      <x:c r="G1799" s="13" t="n">
        <x:v>0</x:v>
      </x:c>
      <x:c r="H1799" s="13" t="n">
        <x:f>F1799-G1799</x:f>
        <x:v>880.85</x:v>
      </x:c>
      <x:c r="I1799" s="13" t="n">
        <x:f>IF(C1799=0,"n.a.",F1799/C1799)</x:f>
        <x:v>880.85</x:v>
      </x:c>
      <x:c r="J1799" s="3"/>
      <x:c r="K1799" s="3"/>
      <x:c r="L1799" s="3"/>
    </x:row>
    <x:row r="1800" ht="22" customHeight="1">
      <x:c r="A1800" s="3"/>
      <x:c r="B1800" s="3" t="str">
        <x:v>13662</x:v>
      </x:c>
      <x:c r="C1800" s="3" t="n">
        <x:v>3</x:v>
      </x:c>
      <x:c r="D1800" s="51" t="n">
        <x:v>40801</x:v>
      </x:c>
      <x:c r="E1800" s="3" t="str">
        <x:v>Recurrente</x:v>
      </x:c>
      <x:c r="F1800" s="13" t="n">
        <x:v>897.76</x:v>
      </x:c>
      <x:c r="G1800" s="13" t="n">
        <x:v>18.68</x:v>
      </x:c>
      <x:c r="H1800" s="13" t="n">
        <x:f>F1800-G1800</x:f>
        <x:v>879.08</x:v>
      </x:c>
      <x:c r="I1800" s="13" t="n">
        <x:f>IF(C1800=0,"n.a.",F1800/C1800)</x:f>
        <x:v>299.25333333333333</x:v>
      </x:c>
      <x:c r="J1800" s="3"/>
      <x:c r="K1800" s="3"/>
      <x:c r="L1800" s="3"/>
    </x:row>
    <x:row r="1801" ht="22" customHeight="1">
      <x:c r="A1801" s="3"/>
      <x:c r="B1801" s="3" t="str">
        <x:v>14141</x:v>
      </x:c>
      <x:c r="C1801" s="3" t="n">
        <x:v>4</x:v>
      </x:c>
      <x:c r="D1801" s="51" t="n">
        <x:v>40884</x:v>
      </x:c>
      <x:c r="E1801" s="3" t="str">
        <x:v>Recurrente</x:v>
      </x:c>
      <x:c r="F1801" s="13" t="n">
        <x:v>915.13</x:v>
      </x:c>
      <x:c r="G1801" s="13" t="n">
        <x:v>36.1</x:v>
      </x:c>
      <x:c r="H1801" s="13" t="n">
        <x:f>F1801-G1801</x:f>
        <x:v>879.03</x:v>
      </x:c>
      <x:c r="I1801" s="13" t="n">
        <x:f>IF(C1801=0,"n.a.",F1801/C1801)</x:f>
        <x:v>228.7825</x:v>
      </x:c>
      <x:c r="J1801" s="3"/>
      <x:c r="K1801" s="3"/>
      <x:c r="L1801" s="3"/>
    </x:row>
    <x:row r="1802" ht="22" customHeight="1">
      <x:c r="A1802" s="3"/>
      <x:c r="B1802" s="3" t="str">
        <x:v>17731</x:v>
      </x:c>
      <x:c r="C1802" s="3" t="n">
        <x:v>4</x:v>
      </x:c>
      <x:c r="D1802" s="51" t="n">
        <x:v>40807</x:v>
      </x:c>
      <x:c r="E1802" s="3" t="str">
        <x:v>Recurrente</x:v>
      </x:c>
      <x:c r="F1802" s="13" t="n">
        <x:v>1240.11</x:v>
      </x:c>
      <x:c r="G1802" s="13" t="n">
        <x:v>361.91</x:v>
      </x:c>
      <x:c r="H1802" s="13" t="n">
        <x:f>F1802-G1802</x:f>
        <x:v>878.1999999999998</x:v>
      </x:c>
      <x:c r="I1802" s="13" t="n">
        <x:f>IF(C1802=0,"n.a.",F1802/C1802)</x:f>
        <x:v>310.0275</x:v>
      </x:c>
      <x:c r="J1802" s="3"/>
      <x:c r="K1802" s="3"/>
      <x:c r="L1802" s="3"/>
    </x:row>
    <x:row r="1803" ht="22" customHeight="1">
      <x:c r="A1803" s="3"/>
      <x:c r="B1803" s="3" t="str">
        <x:v>15653</x:v>
      </x:c>
      <x:c r="C1803" s="3" t="n">
        <x:v>2</x:v>
      </x:c>
      <x:c r="D1803" s="51" t="n">
        <x:v>40794</x:v>
      </x:c>
      <x:c r="E1803" s="3" t="str">
        <x:v>Recurrente</x:v>
      </x:c>
      <x:c r="F1803" s="13" t="n">
        <x:v>877.44</x:v>
      </x:c>
      <x:c r="G1803" s="13" t="n">
        <x:v>0</x:v>
      </x:c>
      <x:c r="H1803" s="13" t="n">
        <x:f>F1803-G1803</x:f>
        <x:v>877.44</x:v>
      </x:c>
      <x:c r="I1803" s="13" t="n">
        <x:f>IF(C1803=0,"n.a.",F1803/C1803)</x:f>
        <x:v>438.72</x:v>
      </x:c>
      <x:c r="J1803" s="3"/>
      <x:c r="K1803" s="3"/>
      <x:c r="L1803" s="3"/>
    </x:row>
    <x:row r="1804" ht="22" customHeight="1">
      <x:c r="A1804" s="3"/>
      <x:c r="B1804" s="3" t="str">
        <x:v>17007</x:v>
      </x:c>
      <x:c r="C1804" s="3" t="n">
        <x:v>6</x:v>
      </x:c>
      <x:c r="D1804" s="51" t="n">
        <x:v>40836</x:v>
      </x:c>
      <x:c r="E1804" s="3" t="str">
        <x:v>Recurrente</x:v>
      </x:c>
      <x:c r="F1804" s="13" t="n">
        <x:v>889.93</x:v>
      </x:c>
      <x:c r="G1804" s="13" t="n">
        <x:v>12.5</x:v>
      </x:c>
      <x:c r="H1804" s="13" t="n">
        <x:f>F1804-G1804</x:f>
        <x:v>877.43</x:v>
      </x:c>
      <x:c r="I1804" s="13" t="n">
        <x:f>IF(C1804=0,"n.a.",F1804/C1804)</x:f>
        <x:v>148.32166666666666</x:v>
      </x:c>
      <x:c r="J1804" s="3"/>
      <x:c r="K1804" s="3"/>
      <x:c r="L1804" s="3"/>
    </x:row>
    <x:row r="1805" ht="22" customHeight="1">
      <x:c r="A1805" s="3"/>
      <x:c r="B1805" s="3" t="str">
        <x:v>14770</x:v>
      </x:c>
      <x:c r="C1805" s="3" t="n">
        <x:v>2</x:v>
      </x:c>
      <x:c r="D1805" s="51" t="n">
        <x:v>40654</x:v>
      </x:c>
      <x:c r="E1805" s="3" t="str">
        <x:v>Recurrente</x:v>
      </x:c>
      <x:c r="F1805" s="13" t="n">
        <x:v>876.42</x:v>
      </x:c>
      <x:c r="G1805" s="13" t="n">
        <x:v>0</x:v>
      </x:c>
      <x:c r="H1805" s="13" t="n">
        <x:f>F1805-G1805</x:f>
        <x:v>876.42</x:v>
      </x:c>
      <x:c r="I1805" s="13" t="n">
        <x:f>IF(C1805=0,"n.a.",F1805/C1805)</x:f>
        <x:v>438.21</x:v>
      </x:c>
      <x:c r="J1805" s="3"/>
      <x:c r="K1805" s="3"/>
      <x:c r="L1805" s="3"/>
    </x:row>
    <x:row r="1806" ht="22" customHeight="1">
      <x:c r="A1806" s="3"/>
      <x:c r="B1806" s="3" t="str">
        <x:v>12940</x:v>
      </x:c>
      <x:c r="C1806" s="3" t="n">
        <x:v>2</x:v>
      </x:c>
      <x:c r="D1806" s="51" t="n">
        <x:v>40832</x:v>
      </x:c>
      <x:c r="E1806" s="3" t="str">
        <x:v>Recurrente</x:v>
      </x:c>
      <x:c r="F1806" s="13" t="n">
        <x:v>913.54</x:v>
      </x:c>
      <x:c r="G1806" s="13" t="n">
        <x:v>37.25</x:v>
      </x:c>
      <x:c r="H1806" s="13" t="n">
        <x:f>F1806-G1806</x:f>
        <x:v>876.29</x:v>
      </x:c>
      <x:c r="I1806" s="13" t="n">
        <x:f>IF(C1806=0,"n.a.",F1806/C1806)</x:f>
        <x:v>456.77</x:v>
      </x:c>
      <x:c r="J1806" s="3"/>
      <x:c r="K1806" s="3"/>
      <x:c r="L1806" s="3"/>
    </x:row>
    <x:row r="1807" ht="22" customHeight="1">
      <x:c r="A1807" s="3"/>
      <x:c r="B1807" s="3" t="str">
        <x:v>13566</x:v>
      </x:c>
      <x:c r="C1807" s="3" t="n">
        <x:v>2</x:v>
      </x:c>
      <x:c r="D1807" s="51" t="n">
        <x:v>40846</x:v>
      </x:c>
      <x:c r="E1807" s="3" t="str">
        <x:v>Recurrente</x:v>
      </x:c>
      <x:c r="F1807" s="13" t="n">
        <x:v>874.71</x:v>
      </x:c>
      <x:c r="G1807" s="13" t="n">
        <x:v>0</x:v>
      </x:c>
      <x:c r="H1807" s="13" t="n">
        <x:f>F1807-G1807</x:f>
        <x:v>874.71</x:v>
      </x:c>
      <x:c r="I1807" s="13" t="n">
        <x:f>IF(C1807=0,"n.a.",F1807/C1807)</x:f>
        <x:v>437.355</x:v>
      </x:c>
      <x:c r="J1807" s="3"/>
      <x:c r="K1807" s="3"/>
      <x:c r="L1807" s="3"/>
    </x:row>
    <x:row r="1808" ht="22" customHeight="1">
      <x:c r="A1808" s="3"/>
      <x:c r="B1808" s="3" t="str">
        <x:v>16513</x:v>
      </x:c>
      <x:c r="C1808" s="3" t="n">
        <x:v>4</x:v>
      </x:c>
      <x:c r="D1808" s="51" t="n">
        <x:v>40882</x:v>
      </x:c>
      <x:c r="E1808" s="3" t="str">
        <x:v>Recurrente</x:v>
      </x:c>
      <x:c r="F1808" s="13" t="n">
        <x:v>874.59</x:v>
      </x:c>
      <x:c r="G1808" s="13" t="n">
        <x:v>0</x:v>
      </x:c>
      <x:c r="H1808" s="13" t="n">
        <x:f>F1808-G1808</x:f>
        <x:v>874.59</x:v>
      </x:c>
      <x:c r="I1808" s="13" t="n">
        <x:f>IF(C1808=0,"n.a.",F1808/C1808)</x:f>
        <x:v>218.6475</x:v>
      </x:c>
      <x:c r="J1808" s="3"/>
      <x:c r="K1808" s="3"/>
      <x:c r="L1808" s="3"/>
    </x:row>
    <x:row r="1809" ht="22" customHeight="1">
      <x:c r="A1809" s="3"/>
      <x:c r="B1809" s="3" t="str">
        <x:v>13294</x:v>
      </x:c>
      <x:c r="C1809" s="3" t="n">
        <x:v>2</x:v>
      </x:c>
      <x:c r="D1809" s="51" t="n">
        <x:v>40697</x:v>
      </x:c>
      <x:c r="E1809" s="3" t="str">
        <x:v>Recurrente</x:v>
      </x:c>
      <x:c r="F1809" s="13" t="n">
        <x:v>873.74</x:v>
      </x:c>
      <x:c r="G1809" s="13" t="n">
        <x:v>0</x:v>
      </x:c>
      <x:c r="H1809" s="13" t="n">
        <x:f>F1809-G1809</x:f>
        <x:v>873.74</x:v>
      </x:c>
      <x:c r="I1809" s="13" t="n">
        <x:f>IF(C1809=0,"n.a.",F1809/C1809)</x:f>
        <x:v>436.87</x:v>
      </x:c>
      <x:c r="J1809" s="3"/>
      <x:c r="K1809" s="3"/>
      <x:c r="L1809" s="3"/>
    </x:row>
    <x:row r="1810" ht="22" customHeight="1">
      <x:c r="A1810" s="3"/>
      <x:c r="B1810" s="3" t="str">
        <x:v>12462</x:v>
      </x:c>
      <x:c r="C1810" s="3" t="n">
        <x:v>2</x:v>
      </x:c>
      <x:c r="D1810" s="51" t="n">
        <x:v>40868</x:v>
      </x:c>
      <x:c r="E1810" s="3" t="str">
        <x:v>Recurrente</x:v>
      </x:c>
      <x:c r="F1810" s="13" t="n">
        <x:v>937.59</x:v>
      </x:c>
      <x:c r="G1810" s="13" t="n">
        <x:v>65.58</x:v>
      </x:c>
      <x:c r="H1810" s="13" t="n">
        <x:f>F1810-G1810</x:f>
        <x:v>872.01</x:v>
      </x:c>
      <x:c r="I1810" s="13" t="n">
        <x:f>IF(C1810=0,"n.a.",F1810/C1810)</x:f>
        <x:v>468.795</x:v>
      </x:c>
      <x:c r="J1810" s="3"/>
      <x:c r="K1810" s="3"/>
      <x:c r="L1810" s="3"/>
    </x:row>
    <x:row r="1811" ht="22" customHeight="1">
      <x:c r="A1811" s="3"/>
      <x:c r="B1811" s="3" t="str">
        <x:v>12847</x:v>
      </x:c>
      <x:c r="C1811" s="3" t="n">
        <x:v>1</x:v>
      </x:c>
      <x:c r="D1811" s="51" t="n">
        <x:v>40864</x:v>
      </x:c>
      <x:c r="E1811" s="3" t="str">
        <x:v>Una compra</x:v>
      </x:c>
      <x:c r="F1811" s="13" t="n">
        <x:v>871.54</x:v>
      </x:c>
      <x:c r="G1811" s="13" t="n">
        <x:v>0</x:v>
      </x:c>
      <x:c r="H1811" s="13" t="n">
        <x:f>F1811-G1811</x:f>
        <x:v>871.54</x:v>
      </x:c>
      <x:c r="I1811" s="13" t="n">
        <x:f>IF(C1811=0,"n.a.",F1811/C1811)</x:f>
        <x:v>871.54</x:v>
      </x:c>
      <x:c r="J1811" s="3"/>
      <x:c r="K1811" s="3"/>
      <x:c r="L1811" s="3"/>
    </x:row>
    <x:row r="1812" ht="22" customHeight="1">
      <x:c r="A1812" s="3"/>
      <x:c r="B1812" s="3" t="str">
        <x:v>13200</x:v>
      </x:c>
      <x:c r="C1812" s="3" t="n">
        <x:v>4</x:v>
      </x:c>
      <x:c r="D1812" s="51" t="n">
        <x:v>40867</x:v>
      </x:c>
      <x:c r="E1812" s="3" t="str">
        <x:v>Recurrente</x:v>
      </x:c>
      <x:c r="F1812" s="13" t="n">
        <x:v>870.09</x:v>
      </x:c>
      <x:c r="G1812" s="13" t="n">
        <x:v>0</x:v>
      </x:c>
      <x:c r="H1812" s="13" t="n">
        <x:f>F1812-G1812</x:f>
        <x:v>870.09</x:v>
      </x:c>
      <x:c r="I1812" s="13" t="n">
        <x:f>IF(C1812=0,"n.a.",F1812/C1812)</x:f>
        <x:v>217.5225</x:v>
      </x:c>
      <x:c r="J1812" s="3"/>
      <x:c r="K1812" s="3"/>
      <x:c r="L1812" s="3"/>
    </x:row>
    <x:row r="1813" ht="22" customHeight="1">
      <x:c r="A1813" s="3"/>
      <x:c r="B1813" s="3" t="str">
        <x:v>13979</x:v>
      </x:c>
      <x:c r="C1813" s="3" t="n">
        <x:v>1</x:v>
      </x:c>
      <x:c r="D1813" s="51" t="n">
        <x:v>40813</x:v>
      </x:c>
      <x:c r="E1813" s="3" t="str">
        <x:v>Una compra</x:v>
      </x:c>
      <x:c r="F1813" s="13" t="n">
        <x:v>869.87</x:v>
      </x:c>
      <x:c r="G1813" s="13" t="n">
        <x:v>0</x:v>
      </x:c>
      <x:c r="H1813" s="13" t="n">
        <x:f>F1813-G1813</x:f>
        <x:v>869.87</x:v>
      </x:c>
      <x:c r="I1813" s="13" t="n">
        <x:f>IF(C1813=0,"n.a.",F1813/C1813)</x:f>
        <x:v>869.87</x:v>
      </x:c>
      <x:c r="J1813" s="3"/>
      <x:c r="K1813" s="3"/>
      <x:c r="L1813" s="3"/>
    </x:row>
    <x:row r="1814" ht="22" customHeight="1">
      <x:c r="A1814" s="3"/>
      <x:c r="B1814" s="3" t="str">
        <x:v>13376</x:v>
      </x:c>
      <x:c r="C1814" s="3" t="n">
        <x:v>3</x:v>
      </x:c>
      <x:c r="D1814" s="51" t="n">
        <x:v>40787</x:v>
      </x:c>
      <x:c r="E1814" s="3" t="str">
        <x:v>Recurrente</x:v>
      </x:c>
      <x:c r="F1814" s="13" t="n">
        <x:v>869.76</x:v>
      </x:c>
      <x:c r="G1814" s="13" t="n">
        <x:v>0</x:v>
      </x:c>
      <x:c r="H1814" s="13" t="n">
        <x:f>F1814-G1814</x:f>
        <x:v>869.76</x:v>
      </x:c>
      <x:c r="I1814" s="13" t="n">
        <x:f>IF(C1814=0,"n.a.",F1814/C1814)</x:f>
        <x:v>289.92</x:v>
      </x:c>
      <x:c r="J1814" s="3"/>
      <x:c r="K1814" s="3"/>
      <x:c r="L1814" s="3"/>
    </x:row>
    <x:row r="1815" ht="22" customHeight="1">
      <x:c r="A1815" s="3"/>
      <x:c r="B1815" s="3" t="str">
        <x:v>17109</x:v>
      </x:c>
      <x:c r="C1815" s="3" t="n">
        <x:v>6</x:v>
      </x:c>
      <x:c r="D1815" s="51" t="n">
        <x:v>40857</x:v>
      </x:c>
      <x:c r="E1815" s="3" t="str">
        <x:v>Recurrente</x:v>
      </x:c>
      <x:c r="F1815" s="13" t="n">
        <x:v>885.04</x:v>
      </x:c>
      <x:c r="G1815" s="13" t="n">
        <x:v>15.36</x:v>
      </x:c>
      <x:c r="H1815" s="13" t="n">
        <x:f>F1815-G1815</x:f>
        <x:v>869.68</x:v>
      </x:c>
      <x:c r="I1815" s="13" t="n">
        <x:f>IF(C1815=0,"n.a.",F1815/C1815)</x:f>
        <x:v>147.50666666666666</x:v>
      </x:c>
      <x:c r="J1815" s="3"/>
      <x:c r="K1815" s="3"/>
      <x:c r="L1815" s="3"/>
    </x:row>
    <x:row r="1816" ht="22" customHeight="1">
      <x:c r="A1816" s="3"/>
      <x:c r="B1816" s="3" t="str">
        <x:v>13203</x:v>
      </x:c>
      <x:c r="C1816" s="3" t="n">
        <x:v>4</x:v>
      </x:c>
      <x:c r="D1816" s="51" t="n">
        <x:v>40877</x:v>
      </x:c>
      <x:c r="E1816" s="3" t="str">
        <x:v>Recurrente</x:v>
      </x:c>
      <x:c r="F1816" s="13" t="n">
        <x:v>869.46</x:v>
      </x:c>
      <x:c r="G1816" s="13" t="n">
        <x:v>0</x:v>
      </x:c>
      <x:c r="H1816" s="13" t="n">
        <x:f>F1816-G1816</x:f>
        <x:v>869.46</x:v>
      </x:c>
      <x:c r="I1816" s="13" t="n">
        <x:f>IF(C1816=0,"n.a.",F1816/C1816)</x:f>
        <x:v>217.365</x:v>
      </x:c>
      <x:c r="J1816" s="3"/>
      <x:c r="K1816" s="3"/>
      <x:c r="L1816" s="3"/>
    </x:row>
    <x:row r="1817" ht="22" customHeight="1">
      <x:c r="A1817" s="3"/>
      <x:c r="B1817" s="3" t="str">
        <x:v>16900</x:v>
      </x:c>
      <x:c r="C1817" s="3" t="n">
        <x:v>3</x:v>
      </x:c>
      <x:c r="D1817" s="51" t="n">
        <x:v>40870</x:v>
      </x:c>
      <x:c r="E1817" s="3" t="str">
        <x:v>Recurrente</x:v>
      </x:c>
      <x:c r="F1817" s="13" t="n">
        <x:v>882.16</x:v>
      </x:c>
      <x:c r="G1817" s="13" t="n">
        <x:v>12.96</x:v>
      </x:c>
      <x:c r="H1817" s="13" t="n">
        <x:f>F1817-G1817</x:f>
        <x:v>869.1999999999999</x:v>
      </x:c>
      <x:c r="I1817" s="13" t="n">
        <x:f>IF(C1817=0,"n.a.",F1817/C1817)</x:f>
        <x:v>294.05333333333334</x:v>
      </x:c>
      <x:c r="J1817" s="3"/>
      <x:c r="K1817" s="3"/>
      <x:c r="L1817" s="3"/>
    </x:row>
    <x:row r="1818" ht="22" customHeight="1">
      <x:c r="A1818" s="3"/>
      <x:c r="B1818" s="3" t="str">
        <x:v>14912</x:v>
      </x:c>
      <x:c r="C1818" s="3" t="n">
        <x:v>2</x:v>
      </x:c>
      <x:c r="D1818" s="51" t="n">
        <x:v>40870</x:v>
      </x:c>
      <x:c r="E1818" s="3" t="str">
        <x:v>Recurrente</x:v>
      </x:c>
      <x:c r="F1818" s="13" t="n">
        <x:v>867.85</x:v>
      </x:c>
      <x:c r="G1818" s="13" t="n">
        <x:v>0</x:v>
      </x:c>
      <x:c r="H1818" s="13" t="n">
        <x:f>F1818-G1818</x:f>
        <x:v>867.85</x:v>
      </x:c>
      <x:c r="I1818" s="13" t="n">
        <x:f>IF(C1818=0,"n.a.",F1818/C1818)</x:f>
        <x:v>433.925</x:v>
      </x:c>
      <x:c r="J1818" s="3"/>
      <x:c r="K1818" s="3"/>
      <x:c r="L1818" s="3"/>
    </x:row>
    <x:row r="1819" ht="22" customHeight="1">
      <x:c r="A1819" s="3"/>
      <x:c r="B1819" s="3" t="str">
        <x:v>16801</x:v>
      </x:c>
      <x:c r="C1819" s="3" t="n">
        <x:v>4</x:v>
      </x:c>
      <x:c r="D1819" s="51" t="n">
        <x:v>40723</x:v>
      </x:c>
      <x:c r="E1819" s="3" t="str">
        <x:v>Recurrente</x:v>
      </x:c>
      <x:c r="F1819" s="13" t="n">
        <x:v>1619.73</x:v>
      </x:c>
      <x:c r="G1819" s="13" t="n">
        <x:v>751.9</x:v>
      </x:c>
      <x:c r="H1819" s="13" t="n">
        <x:f>F1819-G1819</x:f>
        <x:v>867.83</x:v>
      </x:c>
      <x:c r="I1819" s="13" t="n">
        <x:f>IF(C1819=0,"n.a.",F1819/C1819)</x:f>
        <x:v>404.9325</x:v>
      </x:c>
      <x:c r="J1819" s="3"/>
      <x:c r="K1819" s="3"/>
      <x:c r="L1819" s="3"/>
    </x:row>
    <x:row r="1820" ht="22" customHeight="1">
      <x:c r="A1820" s="3"/>
      <x:c r="B1820" s="3" t="str">
        <x:v>15208</x:v>
      </x:c>
      <x:c r="C1820" s="3" t="n">
        <x:v>5</x:v>
      </x:c>
      <x:c r="D1820" s="51" t="n">
        <x:v>40885</x:v>
      </x:c>
      <x:c r="E1820" s="3" t="str">
        <x:v>Recurrente</x:v>
      </x:c>
      <x:c r="F1820" s="13" t="n">
        <x:v>870.12</x:v>
      </x:c>
      <x:c r="G1820" s="13" t="n">
        <x:v>2.5</x:v>
      </x:c>
      <x:c r="H1820" s="13" t="n">
        <x:f>F1820-G1820</x:f>
        <x:v>867.62</x:v>
      </x:c>
      <x:c r="I1820" s="13" t="n">
        <x:f>IF(C1820=0,"n.a.",F1820/C1820)</x:f>
        <x:v>174.024</x:v>
      </x:c>
      <x:c r="J1820" s="3"/>
      <x:c r="K1820" s="3"/>
      <x:c r="L1820" s="3"/>
    </x:row>
    <x:row r="1821" ht="22" customHeight="1">
      <x:c r="A1821" s="3"/>
      <x:c r="B1821" s="3" t="str">
        <x:v>14715</x:v>
      </x:c>
      <x:c r="C1821" s="3" t="n">
        <x:v>4</x:v>
      </x:c>
      <x:c r="D1821" s="51" t="n">
        <x:v>40862</x:v>
      </x:c>
      <x:c r="E1821" s="3" t="str">
        <x:v>Recurrente</x:v>
      </x:c>
      <x:c r="F1821" s="13" t="n">
        <x:v>867.38</x:v>
      </x:c>
      <x:c r="G1821" s="13" t="n">
        <x:v>0</x:v>
      </x:c>
      <x:c r="H1821" s="13" t="n">
        <x:f>F1821-G1821</x:f>
        <x:v>867.38</x:v>
      </x:c>
      <x:c r="I1821" s="13" t="n">
        <x:f>IF(C1821=0,"n.a.",F1821/C1821)</x:f>
        <x:v>216.845</x:v>
      </x:c>
      <x:c r="J1821" s="3"/>
      <x:c r="K1821" s="3"/>
      <x:c r="L1821" s="3"/>
    </x:row>
    <x:row r="1822" ht="22" customHeight="1">
      <x:c r="A1822" s="3"/>
      <x:c r="B1822" s="3" t="str">
        <x:v>16121</x:v>
      </x:c>
      <x:c r="C1822" s="3" t="n">
        <x:v>2</x:v>
      </x:c>
      <x:c r="D1822" s="51" t="n">
        <x:v>40829</x:v>
      </x:c>
      <x:c r="E1822" s="3" t="str">
        <x:v>Recurrente</x:v>
      </x:c>
      <x:c r="F1822" s="13" t="n">
        <x:v>867.11</x:v>
      </x:c>
      <x:c r="G1822" s="13" t="n">
        <x:v>0</x:v>
      </x:c>
      <x:c r="H1822" s="13" t="n">
        <x:f>F1822-G1822</x:f>
        <x:v>867.11</x:v>
      </x:c>
      <x:c r="I1822" s="13" t="n">
        <x:f>IF(C1822=0,"n.a.",F1822/C1822)</x:f>
        <x:v>433.555</x:v>
      </x:c>
      <x:c r="J1822" s="3"/>
      <x:c r="K1822" s="3"/>
      <x:c r="L1822" s="3"/>
    </x:row>
    <x:row r="1823" ht="22" customHeight="1">
      <x:c r="A1823" s="3"/>
      <x:c r="B1823" s="3" t="str">
        <x:v>14332</x:v>
      </x:c>
      <x:c r="C1823" s="3" t="n">
        <x:v>3</x:v>
      </x:c>
      <x:c r="D1823" s="51" t="n">
        <x:v>40864</x:v>
      </x:c>
      <x:c r="E1823" s="3" t="str">
        <x:v>Recurrente</x:v>
      </x:c>
      <x:c r="F1823" s="13" t="n">
        <x:v>866.31</x:v>
      </x:c>
      <x:c r="G1823" s="13" t="n">
        <x:v>0</x:v>
      </x:c>
      <x:c r="H1823" s="13" t="n">
        <x:f>F1823-G1823</x:f>
        <x:v>866.31</x:v>
      </x:c>
      <x:c r="I1823" s="13" t="n">
        <x:f>IF(C1823=0,"n.a.",F1823/C1823)</x:f>
        <x:v>288.77</x:v>
      </x:c>
      <x:c r="J1823" s="3"/>
      <x:c r="K1823" s="3"/>
      <x:c r="L1823" s="3"/>
    </x:row>
    <x:row r="1824" ht="22" customHeight="1">
      <x:c r="A1824" s="3"/>
      <x:c r="B1824" s="3" t="str">
        <x:v>16567</x:v>
      </x:c>
      <x:c r="C1824" s="3" t="n">
        <x:v>2</x:v>
      </x:c>
      <x:c r="D1824" s="51" t="n">
        <x:v>40692</x:v>
      </x:c>
      <x:c r="E1824" s="3" t="str">
        <x:v>Recurrente</x:v>
      </x:c>
      <x:c r="F1824" s="13" t="n">
        <x:v>865.6</x:v>
      </x:c>
      <x:c r="G1824" s="13" t="n">
        <x:v>0</x:v>
      </x:c>
      <x:c r="H1824" s="13" t="n">
        <x:f>F1824-G1824</x:f>
        <x:v>865.6</x:v>
      </x:c>
      <x:c r="I1824" s="13" t="n">
        <x:f>IF(C1824=0,"n.a.",F1824/C1824)</x:f>
        <x:v>432.8</x:v>
      </x:c>
      <x:c r="J1824" s="3"/>
      <x:c r="K1824" s="3"/>
      <x:c r="L1824" s="3"/>
    </x:row>
    <x:row r="1825" ht="22" customHeight="1">
      <x:c r="A1825" s="3"/>
      <x:c r="B1825" s="3" t="str">
        <x:v>16221</x:v>
      </x:c>
      <x:c r="C1825" s="3" t="n">
        <x:v>3</x:v>
      </x:c>
      <x:c r="D1825" s="51" t="n">
        <x:v>40850</x:v>
      </x:c>
      <x:c r="E1825" s="3" t="str">
        <x:v>Recurrente</x:v>
      </x:c>
      <x:c r="F1825" s="13" t="n">
        <x:v>864.86</x:v>
      </x:c>
      <x:c r="G1825" s="13" t="n">
        <x:v>0</x:v>
      </x:c>
      <x:c r="H1825" s="13" t="n">
        <x:f>F1825-G1825</x:f>
        <x:v>864.86</x:v>
      </x:c>
      <x:c r="I1825" s="13" t="n">
        <x:f>IF(C1825=0,"n.a.",F1825/C1825)</x:f>
        <x:v>288.2866666666667</x:v>
      </x:c>
      <x:c r="J1825" s="3"/>
      <x:c r="K1825" s="3"/>
      <x:c r="L1825" s="3"/>
    </x:row>
    <x:row r="1826" ht="22" customHeight="1">
      <x:c r="A1826" s="3"/>
      <x:c r="B1826" s="3" t="str">
        <x:v>14931</x:v>
      </x:c>
      <x:c r="C1826" s="3" t="n">
        <x:v>4</x:v>
      </x:c>
      <x:c r="D1826" s="51" t="n">
        <x:v>40882</x:v>
      </x:c>
      <x:c r="E1826" s="3" t="str">
        <x:v>Recurrente</x:v>
      </x:c>
      <x:c r="F1826" s="13" t="n">
        <x:v>864.68</x:v>
      </x:c>
      <x:c r="G1826" s="13" t="n">
        <x:v>0</x:v>
      </x:c>
      <x:c r="H1826" s="13" t="n">
        <x:f>F1826-G1826</x:f>
        <x:v>864.68</x:v>
      </x:c>
      <x:c r="I1826" s="13" t="n">
        <x:f>IF(C1826=0,"n.a.",F1826/C1826)</x:f>
        <x:v>216.17</x:v>
      </x:c>
      <x:c r="J1826" s="3"/>
      <x:c r="K1826" s="3"/>
      <x:c r="L1826" s="3"/>
    </x:row>
    <x:row r="1827" ht="22" customHeight="1">
      <x:c r="A1827" s="3"/>
      <x:c r="B1827" s="3" t="str">
        <x:v>14623</x:v>
      </x:c>
      <x:c r="C1827" s="3" t="n">
        <x:v>5</x:v>
      </x:c>
      <x:c r="D1827" s="51" t="n">
        <x:v>40854</x:v>
      </x:c>
      <x:c r="E1827" s="3" t="str">
        <x:v>Recurrente</x:v>
      </x:c>
      <x:c r="F1827" s="13" t="n">
        <x:v>884.57</x:v>
      </x:c>
      <x:c r="G1827" s="13" t="n">
        <x:v>19.9</x:v>
      </x:c>
      <x:c r="H1827" s="13" t="n">
        <x:f>F1827-G1827</x:f>
        <x:v>864.6700000000001</x:v>
      </x:c>
      <x:c r="I1827" s="13" t="n">
        <x:f>IF(C1827=0,"n.a.",F1827/C1827)</x:f>
        <x:v>176.91400000000002</x:v>
      </x:c>
      <x:c r="J1827" s="3"/>
      <x:c r="K1827" s="3"/>
      <x:c r="L1827" s="3"/>
    </x:row>
    <x:row r="1828" ht="22" customHeight="1">
      <x:c r="A1828" s="3"/>
      <x:c r="B1828" s="3" t="str">
        <x:v>17048</x:v>
      </x:c>
      <x:c r="C1828" s="3" t="n">
        <x:v>3</x:v>
      </x:c>
      <x:c r="D1828" s="51" t="n">
        <x:v>40769</x:v>
      </x:c>
      <x:c r="E1828" s="3" t="str">
        <x:v>Recurrente</x:v>
      </x:c>
      <x:c r="F1828" s="13" t="n">
        <x:v>925.35</x:v>
      </x:c>
      <x:c r="G1828" s="13" t="n">
        <x:v>61.03</x:v>
      </x:c>
      <x:c r="H1828" s="13" t="n">
        <x:f>F1828-G1828</x:f>
        <x:v>864.32</x:v>
      </x:c>
      <x:c r="I1828" s="13" t="n">
        <x:f>IF(C1828=0,"n.a.",F1828/C1828)</x:f>
        <x:v>308.45</x:v>
      </x:c>
      <x:c r="J1828" s="3"/>
      <x:c r="K1828" s="3"/>
      <x:c r="L1828" s="3"/>
    </x:row>
    <x:row r="1829" ht="22" customHeight="1">
      <x:c r="A1829" s="3"/>
      <x:c r="B1829" s="3" t="str">
        <x:v>12815</x:v>
      </x:c>
      <x:c r="C1829" s="3" t="n">
        <x:v>2</x:v>
      </x:c>
      <x:c r="D1829" s="51" t="n">
        <x:v>40739</x:v>
      </x:c>
      <x:c r="E1829" s="3" t="str">
        <x:v>Recurrente</x:v>
      </x:c>
      <x:c r="F1829" s="13" t="n">
        <x:v>863.46</x:v>
      </x:c>
      <x:c r="G1829" s="13" t="n">
        <x:v>0</x:v>
      </x:c>
      <x:c r="H1829" s="13" t="n">
        <x:f>F1829-G1829</x:f>
        <x:v>863.46</x:v>
      </x:c>
      <x:c r="I1829" s="13" t="n">
        <x:f>IF(C1829=0,"n.a.",F1829/C1829)</x:f>
        <x:v>431.73</x:v>
      </x:c>
      <x:c r="J1829" s="3"/>
      <x:c r="K1829" s="3"/>
      <x:c r="L1829" s="3"/>
    </x:row>
    <x:row r="1830" ht="22" customHeight="1">
      <x:c r="A1830" s="3"/>
      <x:c r="B1830" s="3" t="str">
        <x:v>16266</x:v>
      </x:c>
      <x:c r="C1830" s="3" t="n">
        <x:v>7</x:v>
      </x:c>
      <x:c r="D1830" s="51" t="n">
        <x:v>40813</x:v>
      </x:c>
      <x:c r="E1830" s="3" t="str">
        <x:v>Recurrente</x:v>
      </x:c>
      <x:c r="F1830" s="13" t="n">
        <x:v>861.89</x:v>
      </x:c>
      <x:c r="G1830" s="13" t="n">
        <x:v>0</x:v>
      </x:c>
      <x:c r="H1830" s="13" t="n">
        <x:f>F1830-G1830</x:f>
        <x:v>861.89</x:v>
      </x:c>
      <x:c r="I1830" s="13" t="n">
        <x:f>IF(C1830=0,"n.a.",F1830/C1830)</x:f>
        <x:v>123.12714285714286</x:v>
      </x:c>
      <x:c r="J1830" s="3"/>
      <x:c r="K1830" s="3"/>
      <x:c r="L1830" s="3"/>
    </x:row>
    <x:row r="1831" ht="22" customHeight="1">
      <x:c r="A1831" s="3"/>
      <x:c r="B1831" s="3" t="str">
        <x:v>17649</x:v>
      </x:c>
      <x:c r="C1831" s="3" t="n">
        <x:v>1</x:v>
      </x:c>
      <x:c r="D1831" s="51" t="n">
        <x:v>40748</x:v>
      </x:c>
      <x:c r="E1831" s="3" t="str">
        <x:v>Una compra</x:v>
      </x:c>
      <x:c r="F1831" s="13" t="n">
        <x:v>868.49</x:v>
      </x:c>
      <x:c r="G1831" s="13" t="n">
        <x:v>6.75</x:v>
      </x:c>
      <x:c r="H1831" s="13" t="n">
        <x:f>F1831-G1831</x:f>
        <x:v>861.74</x:v>
      </x:c>
      <x:c r="I1831" s="13" t="n">
        <x:f>IF(C1831=0,"n.a.",F1831/C1831)</x:f>
        <x:v>868.49</x:v>
      </x:c>
      <x:c r="J1831" s="3"/>
      <x:c r="K1831" s="3"/>
      <x:c r="L1831" s="3"/>
    </x:row>
    <x:row r="1832" ht="22" customHeight="1">
      <x:c r="A1832" s="3"/>
      <x:c r="B1832" s="3" t="str">
        <x:v>12794</x:v>
      </x:c>
      <x:c r="C1832" s="3" t="n">
        <x:v>2</x:v>
      </x:c>
      <x:c r="D1832" s="51" t="n">
        <x:v>40833</x:v>
      </x:c>
      <x:c r="E1832" s="3" t="str">
        <x:v>Recurrente</x:v>
      </x:c>
      <x:c r="F1832" s="13" t="n">
        <x:v>860.41</x:v>
      </x:c>
      <x:c r="G1832" s="13" t="n">
        <x:v>0</x:v>
      </x:c>
      <x:c r="H1832" s="13" t="n">
        <x:f>F1832-G1832</x:f>
        <x:v>860.41</x:v>
      </x:c>
      <x:c r="I1832" s="13" t="n">
        <x:f>IF(C1832=0,"n.a.",F1832/C1832)</x:f>
        <x:v>430.205</x:v>
      </x:c>
      <x:c r="J1832" s="3"/>
      <x:c r="K1832" s="3"/>
      <x:c r="L1832" s="3"/>
    </x:row>
    <x:row r="1833" ht="22" customHeight="1">
      <x:c r="A1833" s="3"/>
      <x:c r="B1833" s="3" t="str">
        <x:v>13339</x:v>
      </x:c>
      <x:c r="C1833" s="3" t="n">
        <x:v>1</x:v>
      </x:c>
      <x:c r="D1833" s="51" t="n">
        <x:v>40686</x:v>
      </x:c>
      <x:c r="E1833" s="3" t="str">
        <x:v>Una compra</x:v>
      </x:c>
      <x:c r="F1833" s="13" t="n">
        <x:v>860.12</x:v>
      </x:c>
      <x:c r="G1833" s="13" t="n">
        <x:v>0</x:v>
      </x:c>
      <x:c r="H1833" s="13" t="n">
        <x:f>F1833-G1833</x:f>
        <x:v>860.12</x:v>
      </x:c>
      <x:c r="I1833" s="13" t="n">
        <x:f>IF(C1833=0,"n.a.",F1833/C1833)</x:f>
        <x:v>860.12</x:v>
      </x:c>
      <x:c r="J1833" s="3"/>
      <x:c r="K1833" s="3"/>
      <x:c r="L1833" s="3"/>
    </x:row>
    <x:row r="1834" ht="22" customHeight="1">
      <x:c r="A1834" s="3"/>
      <x:c r="B1834" s="3" t="str">
        <x:v>14577</x:v>
      </x:c>
      <x:c r="C1834" s="3" t="n">
        <x:v>4</x:v>
      </x:c>
      <x:c r="D1834" s="51" t="n">
        <x:v>40874</x:v>
      </x:c>
      <x:c r="E1834" s="3" t="str">
        <x:v>Recurrente</x:v>
      </x:c>
      <x:c r="F1834" s="13" t="n">
        <x:v>859.71</x:v>
      </x:c>
      <x:c r="G1834" s="13" t="n">
        <x:v>0</x:v>
      </x:c>
      <x:c r="H1834" s="13" t="n">
        <x:f>F1834-G1834</x:f>
        <x:v>859.71</x:v>
      </x:c>
      <x:c r="I1834" s="13" t="n">
        <x:f>IF(C1834=0,"n.a.",F1834/C1834)</x:f>
        <x:v>214.9275</x:v>
      </x:c>
      <x:c r="J1834" s="3"/>
      <x:c r="K1834" s="3"/>
      <x:c r="L1834" s="3"/>
    </x:row>
    <x:row r="1835" ht="22" customHeight="1">
      <x:c r="A1835" s="3"/>
      <x:c r="B1835" s="3" t="str">
        <x:v>17064</x:v>
      </x:c>
      <x:c r="C1835" s="3" t="n">
        <x:v>3</x:v>
      </x:c>
      <x:c r="D1835" s="51" t="n">
        <x:v>40828</x:v>
      </x:c>
      <x:c r="E1835" s="3" t="str">
        <x:v>Recurrente</x:v>
      </x:c>
      <x:c r="F1835" s="13" t="n">
        <x:v>859.35</x:v>
      </x:c>
      <x:c r="G1835" s="13" t="n">
        <x:v>0</x:v>
      </x:c>
      <x:c r="H1835" s="13" t="n">
        <x:f>F1835-G1835</x:f>
        <x:v>859.35</x:v>
      </x:c>
      <x:c r="I1835" s="13" t="n">
        <x:f>IF(C1835=0,"n.a.",F1835/C1835)</x:f>
        <x:v>286.45</x:v>
      </x:c>
      <x:c r="J1835" s="3"/>
      <x:c r="K1835" s="3"/>
      <x:c r="L1835" s="3"/>
    </x:row>
    <x:row r="1836" ht="22" customHeight="1">
      <x:c r="A1836" s="3"/>
      <x:c r="B1836" s="3" t="str">
        <x:v>14553</x:v>
      </x:c>
      <x:c r="C1836" s="3" t="n">
        <x:v>5</x:v>
      </x:c>
      <x:c r="D1836" s="51" t="n">
        <x:v>40867</x:v>
      </x:c>
      <x:c r="E1836" s="3" t="str">
        <x:v>Recurrente</x:v>
      </x:c>
      <x:c r="F1836" s="13" t="n">
        <x:v>859.27</x:v>
      </x:c>
      <x:c r="G1836" s="13" t="n">
        <x:v>0</x:v>
      </x:c>
      <x:c r="H1836" s="13" t="n">
        <x:f>F1836-G1836</x:f>
        <x:v>859.27</x:v>
      </x:c>
      <x:c r="I1836" s="13" t="n">
        <x:f>IF(C1836=0,"n.a.",F1836/C1836)</x:f>
        <x:v>171.85399999999998</x:v>
      </x:c>
      <x:c r="J1836" s="3"/>
      <x:c r="K1836" s="3"/>
      <x:c r="L1836" s="3"/>
    </x:row>
    <x:row r="1837" ht="22" customHeight="1">
      <x:c r="A1837" s="3"/>
      <x:c r="B1837" s="3" t="str">
        <x:v>16037</x:v>
      </x:c>
      <x:c r="C1837" s="3" t="n">
        <x:v>3</x:v>
      </x:c>
      <x:c r="D1837" s="51" t="n">
        <x:v>40617</x:v>
      </x:c>
      <x:c r="E1837" s="3" t="str">
        <x:v>Recurrente</x:v>
      </x:c>
      <x:c r="F1837" s="13" t="n">
        <x:v>855.02</x:v>
      </x:c>
      <x:c r="G1837" s="13" t="n">
        <x:v>0</x:v>
      </x:c>
      <x:c r="H1837" s="13" t="n">
        <x:f>F1837-G1837</x:f>
        <x:v>855.02</x:v>
      </x:c>
      <x:c r="I1837" s="13" t="n">
        <x:f>IF(C1837=0,"n.a.",F1837/C1837)</x:f>
        <x:v>285.00666666666666</x:v>
      </x:c>
      <x:c r="J1837" s="3"/>
      <x:c r="K1837" s="3"/>
      <x:c r="L1837" s="3"/>
    </x:row>
    <x:row r="1838" ht="22" customHeight="1">
      <x:c r="A1838" s="3"/>
      <x:c r="B1838" s="3" t="str">
        <x:v>17560</x:v>
      </x:c>
      <x:c r="C1838" s="3" t="n">
        <x:v>4</x:v>
      </x:c>
      <x:c r="D1838" s="51" t="n">
        <x:v>40792</x:v>
      </x:c>
      <x:c r="E1838" s="3" t="str">
        <x:v>Recurrente</x:v>
      </x:c>
      <x:c r="F1838" s="13" t="n">
        <x:v>854.95</x:v>
      </x:c>
      <x:c r="G1838" s="13" t="n">
        <x:v>0</x:v>
      </x:c>
      <x:c r="H1838" s="13" t="n">
        <x:f>F1838-G1838</x:f>
        <x:v>854.95</x:v>
      </x:c>
      <x:c r="I1838" s="13" t="n">
        <x:f>IF(C1838=0,"n.a.",F1838/C1838)</x:f>
        <x:v>213.7375</x:v>
      </x:c>
      <x:c r="J1838" s="3"/>
      <x:c r="K1838" s="3"/>
      <x:c r="L1838" s="3"/>
    </x:row>
    <x:row r="1839" ht="22" customHeight="1">
      <x:c r="A1839" s="3"/>
      <x:c r="B1839" s="3" t="str">
        <x:v>16877</x:v>
      </x:c>
      <x:c r="C1839" s="3" t="n">
        <x:v>6</x:v>
      </x:c>
      <x:c r="D1839" s="51" t="n">
        <x:v>40874</x:v>
      </x:c>
      <x:c r="E1839" s="3" t="str">
        <x:v>Recurrente</x:v>
      </x:c>
      <x:c r="F1839" s="13" t="n">
        <x:v>853.72</x:v>
      </x:c>
      <x:c r="G1839" s="13" t="n">
        <x:v>0</x:v>
      </x:c>
      <x:c r="H1839" s="13" t="n">
        <x:f>F1839-G1839</x:f>
        <x:v>853.72</x:v>
      </x:c>
      <x:c r="I1839" s="13" t="n">
        <x:f>IF(C1839=0,"n.a.",F1839/C1839)</x:f>
        <x:v>142.28666666666666</x:v>
      </x:c>
      <x:c r="J1839" s="3"/>
      <x:c r="K1839" s="3"/>
      <x:c r="L1839" s="3"/>
    </x:row>
    <x:row r="1840" ht="22" customHeight="1">
      <x:c r="A1840" s="3"/>
      <x:c r="B1840" s="3" t="str">
        <x:v>14193</x:v>
      </x:c>
      <x:c r="C1840" s="3" t="n">
        <x:v>2</x:v>
      </x:c>
      <x:c r="D1840" s="51" t="n">
        <x:v>40819</x:v>
      </x:c>
      <x:c r="E1840" s="3" t="str">
        <x:v>Recurrente</x:v>
      </x:c>
      <x:c r="F1840" s="13" t="n">
        <x:v>853.39</x:v>
      </x:c>
      <x:c r="G1840" s="13" t="n">
        <x:v>0</x:v>
      </x:c>
      <x:c r="H1840" s="13" t="n">
        <x:f>F1840-G1840</x:f>
        <x:v>853.39</x:v>
      </x:c>
      <x:c r="I1840" s="13" t="n">
        <x:f>IF(C1840=0,"n.a.",F1840/C1840)</x:f>
        <x:v>426.695</x:v>
      </x:c>
      <x:c r="J1840" s="3"/>
      <x:c r="K1840" s="3"/>
      <x:c r="L1840" s="3"/>
    </x:row>
    <x:row r="1841" ht="22" customHeight="1">
      <x:c r="A1841" s="3"/>
      <x:c r="B1841" s="3" t="str">
        <x:v>16070</x:v>
      </x:c>
      <x:c r="C1841" s="3" t="n">
        <x:v>2</x:v>
      </x:c>
      <x:c r="D1841" s="51" t="n">
        <x:v>40864</x:v>
      </x:c>
      <x:c r="E1841" s="3" t="str">
        <x:v>Recurrente</x:v>
      </x:c>
      <x:c r="F1841" s="13" t="n">
        <x:v>852.15</x:v>
      </x:c>
      <x:c r="G1841" s="13" t="n">
        <x:v>0</x:v>
      </x:c>
      <x:c r="H1841" s="13" t="n">
        <x:f>F1841-G1841</x:f>
        <x:v>852.15</x:v>
      </x:c>
      <x:c r="I1841" s="13" t="n">
        <x:f>IF(C1841=0,"n.a.",F1841/C1841)</x:f>
        <x:v>426.075</x:v>
      </x:c>
      <x:c r="J1841" s="3"/>
      <x:c r="K1841" s="3"/>
      <x:c r="L1841" s="3"/>
    </x:row>
    <x:row r="1842" ht="22" customHeight="1">
      <x:c r="A1842" s="3"/>
      <x:c r="B1842" s="3" t="str">
        <x:v>16020</x:v>
      </x:c>
      <x:c r="C1842" s="3" t="n">
        <x:v>3</x:v>
      </x:c>
      <x:c r="D1842" s="51" t="n">
        <x:v>40870</x:v>
      </x:c>
      <x:c r="E1842" s="3" t="str">
        <x:v>Recurrente</x:v>
      </x:c>
      <x:c r="F1842" s="13" t="n">
        <x:v>851.01</x:v>
      </x:c>
      <x:c r="G1842" s="13" t="n">
        <x:v>0</x:v>
      </x:c>
      <x:c r="H1842" s="13" t="n">
        <x:f>F1842-G1842</x:f>
        <x:v>851.01</x:v>
      </x:c>
      <x:c r="I1842" s="13" t="n">
        <x:f>IF(C1842=0,"n.a.",F1842/C1842)</x:f>
        <x:v>283.67</x:v>
      </x:c>
      <x:c r="J1842" s="3"/>
      <x:c r="K1842" s="3"/>
      <x:c r="L1842" s="3"/>
    </x:row>
    <x:row r="1843" ht="22" customHeight="1">
      <x:c r="A1843" s="3"/>
      <x:c r="B1843" s="3" t="str">
        <x:v>13991</x:v>
      </x:c>
      <x:c r="C1843" s="3" t="n">
        <x:v>6</x:v>
      </x:c>
      <x:c r="D1843" s="51" t="n">
        <x:v>40874</x:v>
      </x:c>
      <x:c r="E1843" s="3" t="str">
        <x:v>Recurrente</x:v>
      </x:c>
      <x:c r="F1843" s="13" t="n">
        <x:v>854.97</x:v>
      </x:c>
      <x:c r="G1843" s="13" t="n">
        <x:v>5.34</x:v>
      </x:c>
      <x:c r="H1843" s="13" t="n">
        <x:f>F1843-G1843</x:f>
        <x:v>849.63</x:v>
      </x:c>
      <x:c r="I1843" s="13" t="n">
        <x:f>IF(C1843=0,"n.a.",F1843/C1843)</x:f>
        <x:v>142.495</x:v>
      </x:c>
      <x:c r="J1843" s="3"/>
      <x:c r="K1843" s="3"/>
      <x:c r="L1843" s="3"/>
    </x:row>
    <x:row r="1844" ht="22" customHeight="1">
      <x:c r="A1844" s="3"/>
      <x:c r="B1844" s="3" t="str">
        <x:v>17027</x:v>
      </x:c>
      <x:c r="C1844" s="3" t="n">
        <x:v>6</x:v>
      </x:c>
      <x:c r="D1844" s="51" t="n">
        <x:v>40808</x:v>
      </x:c>
      <x:c r="E1844" s="3" t="str">
        <x:v>Recurrente</x:v>
      </x:c>
      <x:c r="F1844" s="13" t="n">
        <x:v>890.29</x:v>
      </x:c>
      <x:c r="G1844" s="13" t="n">
        <x:v>41.7</x:v>
      </x:c>
      <x:c r="H1844" s="13" t="n">
        <x:f>F1844-G1844</x:f>
        <x:v>848.5899999999999</x:v>
      </x:c>
      <x:c r="I1844" s="13" t="n">
        <x:f>IF(C1844=0,"n.a.",F1844/C1844)</x:f>
        <x:v>148.38166666666666</x:v>
      </x:c>
      <x:c r="J1844" s="3"/>
      <x:c r="K1844" s="3"/>
      <x:c r="L1844" s="3"/>
    </x:row>
    <x:row r="1845" ht="22" customHeight="1">
      <x:c r="A1845" s="3"/>
      <x:c r="B1845" s="3" t="str">
        <x:v>14625</x:v>
      </x:c>
      <x:c r="C1845" s="3" t="n">
        <x:v>2</x:v>
      </x:c>
      <x:c r="D1845" s="51" t="n">
        <x:v>40690</x:v>
      </x:c>
      <x:c r="E1845" s="3" t="str">
        <x:v>Recurrente</x:v>
      </x:c>
      <x:c r="F1845" s="13" t="n">
        <x:v>899.63</x:v>
      </x:c>
      <x:c r="G1845" s="13" t="n">
        <x:v>51.15</x:v>
      </x:c>
      <x:c r="H1845" s="13" t="n">
        <x:f>F1845-G1845</x:f>
        <x:v>848.48</x:v>
      </x:c>
      <x:c r="I1845" s="13" t="n">
        <x:f>IF(C1845=0,"n.a.",F1845/C1845)</x:f>
        <x:v>449.815</x:v>
      </x:c>
      <x:c r="J1845" s="3"/>
      <x:c r="K1845" s="3"/>
      <x:c r="L1845" s="3"/>
    </x:row>
    <x:row r="1846" ht="22" customHeight="1">
      <x:c r="A1846" s="3"/>
      <x:c r="B1846" s="3" t="str">
        <x:v>16235</x:v>
      </x:c>
      <x:c r="C1846" s="3" t="n">
        <x:v>4</x:v>
      </x:c>
      <x:c r="D1846" s="51" t="n">
        <x:v>40846</x:v>
      </x:c>
      <x:c r="E1846" s="3" t="str">
        <x:v>Recurrente</x:v>
      </x:c>
      <x:c r="F1846" s="13" t="n">
        <x:v>857.31</x:v>
      </x:c>
      <x:c r="G1846" s="13" t="n">
        <x:v>8.9</x:v>
      </x:c>
      <x:c r="H1846" s="13" t="n">
        <x:f>F1846-G1846</x:f>
        <x:v>848.41</x:v>
      </x:c>
      <x:c r="I1846" s="13" t="n">
        <x:f>IF(C1846=0,"n.a.",F1846/C1846)</x:f>
        <x:v>214.3275</x:v>
      </x:c>
      <x:c r="J1846" s="3"/>
      <x:c r="K1846" s="3"/>
      <x:c r="L1846" s="3"/>
    </x:row>
    <x:row r="1847" ht="22" customHeight="1">
      <x:c r="A1847" s="3"/>
      <x:c r="B1847" s="3" t="str">
        <x:v>13846</x:v>
      </x:c>
      <x:c r="C1847" s="3" t="n">
        <x:v>3</x:v>
      </x:c>
      <x:c r="D1847" s="51" t="n">
        <x:v>40862</x:v>
      </x:c>
      <x:c r="E1847" s="3" t="str">
        <x:v>Recurrente</x:v>
      </x:c>
      <x:c r="F1847" s="13" t="n">
        <x:v>865.06</x:v>
      </x:c>
      <x:c r="G1847" s="13" t="n">
        <x:v>17.45</x:v>
      </x:c>
      <x:c r="H1847" s="13" t="n">
        <x:f>F1847-G1847</x:f>
        <x:v>847.6099999999999</x:v>
      </x:c>
      <x:c r="I1847" s="13" t="n">
        <x:f>IF(C1847=0,"n.a.",F1847/C1847)</x:f>
        <x:v>288.3533333333333</x:v>
      </x:c>
      <x:c r="J1847" s="3"/>
      <x:c r="K1847" s="3"/>
      <x:c r="L1847" s="3"/>
    </x:row>
    <x:row r="1848" ht="22" customHeight="1">
      <x:c r="A1848" s="3"/>
      <x:c r="B1848" s="3" t="str">
        <x:v>16222</x:v>
      </x:c>
      <x:c r="C1848" s="3" t="n">
        <x:v>1</x:v>
      </x:c>
      <x:c r="D1848" s="51" t="n">
        <x:v>40568</x:v>
      </x:c>
      <x:c r="E1848" s="3" t="str">
        <x:v>Una compra</x:v>
      </x:c>
      <x:c r="F1848" s="13" t="n">
        <x:v>846.72</x:v>
      </x:c>
      <x:c r="G1848" s="13" t="n">
        <x:v>0</x:v>
      </x:c>
      <x:c r="H1848" s="13" t="n">
        <x:f>F1848-G1848</x:f>
        <x:v>846.72</x:v>
      </x:c>
      <x:c r="I1848" s="13" t="n">
        <x:f>IF(C1848=0,"n.a.",F1848/C1848)</x:f>
        <x:v>846.72</x:v>
      </x:c>
      <x:c r="J1848" s="3"/>
      <x:c r="K1848" s="3"/>
      <x:c r="L1848" s="3"/>
    </x:row>
    <x:row r="1849" ht="22" customHeight="1">
      <x:c r="A1849" s="3"/>
      <x:c r="B1849" s="3" t="str">
        <x:v>15965</x:v>
      </x:c>
      <x:c r="C1849" s="3" t="n">
        <x:v>4</x:v>
      </x:c>
      <x:c r="D1849" s="51" t="n">
        <x:v>40869</x:v>
      </x:c>
      <x:c r="E1849" s="3" t="str">
        <x:v>Recurrente</x:v>
      </x:c>
      <x:c r="F1849" s="13" t="n">
        <x:v>845.64</x:v>
      </x:c>
      <x:c r="G1849" s="13" t="n">
        <x:v>0</x:v>
      </x:c>
      <x:c r="H1849" s="13" t="n">
        <x:f>F1849-G1849</x:f>
        <x:v>845.64</x:v>
      </x:c>
      <x:c r="I1849" s="13" t="n">
        <x:f>IF(C1849=0,"n.a.",F1849/C1849)</x:f>
        <x:v>211.41</x:v>
      </x:c>
      <x:c r="J1849" s="3"/>
      <x:c r="K1849" s="3"/>
      <x:c r="L1849" s="3"/>
    </x:row>
    <x:row r="1850" ht="22" customHeight="1">
      <x:c r="A1850" s="3"/>
      <x:c r="B1850" s="3" t="str">
        <x:v>14803</x:v>
      </x:c>
      <x:c r="C1850" s="3" t="n">
        <x:v>3</x:v>
      </x:c>
      <x:c r="D1850" s="51" t="n">
        <x:v>40724</x:v>
      </x:c>
      <x:c r="E1850" s="3" t="str">
        <x:v>Recurrente</x:v>
      </x:c>
      <x:c r="F1850" s="13" t="n">
        <x:v>845.55</x:v>
      </x:c>
      <x:c r="G1850" s="13" t="n">
        <x:v>0</x:v>
      </x:c>
      <x:c r="H1850" s="13" t="n">
        <x:f>F1850-G1850</x:f>
        <x:v>845.55</x:v>
      </x:c>
      <x:c r="I1850" s="13" t="n">
        <x:f>IF(C1850=0,"n.a.",F1850/C1850)</x:f>
        <x:v>281.84999999999997</x:v>
      </x:c>
      <x:c r="J1850" s="3"/>
      <x:c r="K1850" s="3"/>
      <x:c r="L1850" s="3"/>
    </x:row>
    <x:row r="1851" ht="22" customHeight="1">
      <x:c r="A1851" s="3"/>
      <x:c r="B1851" s="3" t="str">
        <x:v>13221</x:v>
      </x:c>
      <x:c r="C1851" s="3" t="n">
        <x:v>2</x:v>
      </x:c>
      <x:c r="D1851" s="51" t="n">
        <x:v>40646</x:v>
      </x:c>
      <x:c r="E1851" s="3" t="str">
        <x:v>Recurrente</x:v>
      </x:c>
      <x:c r="F1851" s="13" t="n">
        <x:v>844.86</x:v>
      </x:c>
      <x:c r="G1851" s="13" t="n">
        <x:v>0</x:v>
      </x:c>
      <x:c r="H1851" s="13" t="n">
        <x:f>F1851-G1851</x:f>
        <x:v>844.86</x:v>
      </x:c>
      <x:c r="I1851" s="13" t="n">
        <x:f>IF(C1851=0,"n.a.",F1851/C1851)</x:f>
        <x:v>422.43</x:v>
      </x:c>
      <x:c r="J1851" s="3"/>
      <x:c r="K1851" s="3"/>
      <x:c r="L1851" s="3"/>
    </x:row>
    <x:row r="1852" ht="22" customHeight="1">
      <x:c r="A1852" s="3"/>
      <x:c r="B1852" s="3" t="str">
        <x:v>17624</x:v>
      </x:c>
      <x:c r="C1852" s="3" t="n">
        <x:v>2</x:v>
      </x:c>
      <x:c r="D1852" s="51" t="n">
        <x:v>40872</x:v>
      </x:c>
      <x:c r="E1852" s="3" t="str">
        <x:v>Recurrente</x:v>
      </x:c>
      <x:c r="F1852" s="13" t="n">
        <x:v>843.48</x:v>
      </x:c>
      <x:c r="G1852" s="13" t="n">
        <x:v>0</x:v>
      </x:c>
      <x:c r="H1852" s="13" t="n">
        <x:f>F1852-G1852</x:f>
        <x:v>843.48</x:v>
      </x:c>
      <x:c r="I1852" s="13" t="n">
        <x:f>IF(C1852=0,"n.a.",F1852/C1852)</x:f>
        <x:v>421.74</x:v>
      </x:c>
      <x:c r="J1852" s="3"/>
      <x:c r="K1852" s="3"/>
      <x:c r="L1852" s="3"/>
    </x:row>
    <x:row r="1853" ht="22" customHeight="1">
      <x:c r="A1853" s="3"/>
      <x:c r="B1853" s="3" t="str">
        <x:v>15164</x:v>
      </x:c>
      <x:c r="C1853" s="3" t="n">
        <x:v>3</x:v>
      </x:c>
      <x:c r="D1853" s="51" t="n">
        <x:v>40818</x:v>
      </x:c>
      <x:c r="E1853" s="3" t="str">
        <x:v>Recurrente</x:v>
      </x:c>
      <x:c r="F1853" s="13" t="n">
        <x:v>843.05</x:v>
      </x:c>
      <x:c r="G1853" s="13" t="n">
        <x:v>0</x:v>
      </x:c>
      <x:c r="H1853" s="13" t="n">
        <x:f>F1853-G1853</x:f>
        <x:v>843.05</x:v>
      </x:c>
      <x:c r="I1853" s="13" t="n">
        <x:f>IF(C1853=0,"n.a.",F1853/C1853)</x:f>
        <x:v>281.01666666666665</x:v>
      </x:c>
      <x:c r="J1853" s="3"/>
      <x:c r="K1853" s="3"/>
      <x:c r="L1853" s="3"/>
    </x:row>
    <x:row r="1854" ht="22" customHeight="1">
      <x:c r="A1854" s="3"/>
      <x:c r="B1854" s="3" t="str">
        <x:v>12878</x:v>
      </x:c>
      <x:c r="C1854" s="3" t="n">
        <x:v>2</x:v>
      </x:c>
      <x:c r="D1854" s="51" t="n">
        <x:v>40650</x:v>
      </x:c>
      <x:c r="E1854" s="3" t="str">
        <x:v>Recurrente</x:v>
      </x:c>
      <x:c r="F1854" s="13" t="n">
        <x:v>854.99</x:v>
      </x:c>
      <x:c r="G1854" s="13" t="n">
        <x:v>13.35</x:v>
      </x:c>
      <x:c r="H1854" s="13" t="n">
        <x:f>F1854-G1854</x:f>
        <x:v>841.64</x:v>
      </x:c>
      <x:c r="I1854" s="13" t="n">
        <x:f>IF(C1854=0,"n.a.",F1854/C1854)</x:f>
        <x:v>427.495</x:v>
      </x:c>
      <x:c r="J1854" s="3"/>
      <x:c r="K1854" s="3"/>
      <x:c r="L1854" s="3"/>
    </x:row>
    <x:row r="1855" ht="22" customHeight="1">
      <x:c r="A1855" s="3"/>
      <x:c r="B1855" s="3" t="str">
        <x:v>14862</x:v>
      </x:c>
      <x:c r="C1855" s="3" t="n">
        <x:v>2</x:v>
      </x:c>
      <x:c r="D1855" s="51" t="n">
        <x:v>40861</x:v>
      </x:c>
      <x:c r="E1855" s="3" t="str">
        <x:v>Recurrente</x:v>
      </x:c>
      <x:c r="F1855" s="13" t="n">
        <x:v>841.2</x:v>
      </x:c>
      <x:c r="G1855" s="13" t="n">
        <x:v>0</x:v>
      </x:c>
      <x:c r="H1855" s="13" t="n">
        <x:f>F1855-G1855</x:f>
        <x:v>841.2</x:v>
      </x:c>
      <x:c r="I1855" s="13" t="n">
        <x:f>IF(C1855=0,"n.a.",F1855/C1855)</x:f>
        <x:v>420.6</x:v>
      </x:c>
      <x:c r="J1855" s="3"/>
      <x:c r="K1855" s="3"/>
      <x:c r="L1855" s="3"/>
    </x:row>
    <x:row r="1856" ht="22" customHeight="1">
      <x:c r="A1856" s="3"/>
      <x:c r="B1856" s="3" t="str">
        <x:v>12541</x:v>
      </x:c>
      <x:c r="C1856" s="3" t="n">
        <x:v>3</x:v>
      </x:c>
      <x:c r="D1856" s="51" t="n">
        <x:v>40857</x:v>
      </x:c>
      <x:c r="E1856" s="3" t="str">
        <x:v>Recurrente</x:v>
      </x:c>
      <x:c r="F1856" s="13" t="n">
        <x:v>841.18</x:v>
      </x:c>
      <x:c r="G1856" s="13" t="n">
        <x:v>0</x:v>
      </x:c>
      <x:c r="H1856" s="13" t="n">
        <x:f>F1856-G1856</x:f>
        <x:v>841.18</x:v>
      </x:c>
      <x:c r="I1856" s="13" t="n">
        <x:f>IF(C1856=0,"n.a.",F1856/C1856)</x:f>
        <x:v>280.3933333333333</x:v>
      </x:c>
      <x:c r="J1856" s="3"/>
      <x:c r="K1856" s="3"/>
      <x:c r="L1856" s="3"/>
    </x:row>
    <x:row r="1857" ht="22" customHeight="1">
      <x:c r="A1857" s="3"/>
      <x:c r="B1857" s="3" t="str">
        <x:v>17076</x:v>
      </x:c>
      <x:c r="C1857" s="3" t="n">
        <x:v>3</x:v>
      </x:c>
      <x:c r="D1857" s="51" t="n">
        <x:v>40850</x:v>
      </x:c>
      <x:c r="E1857" s="3" t="str">
        <x:v>Recurrente</x:v>
      </x:c>
      <x:c r="F1857" s="13" t="n">
        <x:v>841.08</x:v>
      </x:c>
      <x:c r="G1857" s="13" t="n">
        <x:v>0</x:v>
      </x:c>
      <x:c r="H1857" s="13" t="n">
        <x:f>F1857-G1857</x:f>
        <x:v>841.08</x:v>
      </x:c>
      <x:c r="I1857" s="13" t="n">
        <x:f>IF(C1857=0,"n.a.",F1857/C1857)</x:f>
        <x:v>280.36</x:v>
      </x:c>
      <x:c r="J1857" s="3"/>
      <x:c r="K1857" s="3"/>
      <x:c r="L1857" s="3"/>
    </x:row>
    <x:row r="1858" ht="22" customHeight="1">
      <x:c r="A1858" s="3"/>
      <x:c r="B1858" s="3" t="str">
        <x:v>13940</x:v>
      </x:c>
      <x:c r="C1858" s="3" t="n">
        <x:v>4</x:v>
      </x:c>
      <x:c r="D1858" s="51" t="n">
        <x:v>40869</x:v>
      </x:c>
      <x:c r="E1858" s="3" t="str">
        <x:v>Recurrente</x:v>
      </x:c>
      <x:c r="F1858" s="13" t="n">
        <x:v>839.14</x:v>
      </x:c>
      <x:c r="G1858" s="13" t="n">
        <x:v>0</x:v>
      </x:c>
      <x:c r="H1858" s="13" t="n">
        <x:f>F1858-G1858</x:f>
        <x:v>839.14</x:v>
      </x:c>
      <x:c r="I1858" s="13" t="n">
        <x:f>IF(C1858=0,"n.a.",F1858/C1858)</x:f>
        <x:v>209.785</x:v>
      </x:c>
      <x:c r="J1858" s="3"/>
      <x:c r="K1858" s="3"/>
      <x:c r="L1858" s="3"/>
    </x:row>
    <x:row r="1859" ht="22" customHeight="1">
      <x:c r="A1859" s="3"/>
      <x:c r="B1859" s="3" t="str">
        <x:v>14657</x:v>
      </x:c>
      <x:c r="C1859" s="3" t="n">
        <x:v>4</x:v>
      </x:c>
      <x:c r="D1859" s="51" t="n">
        <x:v>40869</x:v>
      </x:c>
      <x:c r="E1859" s="3" t="str">
        <x:v>Recurrente</x:v>
      </x:c>
      <x:c r="F1859" s="13" t="n">
        <x:v>848.22</x:v>
      </x:c>
      <x:c r="G1859" s="13" t="n">
        <x:v>9.95</x:v>
      </x:c>
      <x:c r="H1859" s="13" t="n">
        <x:f>F1859-G1859</x:f>
        <x:v>838.27</x:v>
      </x:c>
      <x:c r="I1859" s="13" t="n">
        <x:f>IF(C1859=0,"n.a.",F1859/C1859)</x:f>
        <x:v>212.055</x:v>
      </x:c>
      <x:c r="J1859" s="3"/>
      <x:c r="K1859" s="3"/>
      <x:c r="L1859" s="3"/>
    </x:row>
    <x:row r="1860" ht="22" customHeight="1">
      <x:c r="A1860" s="3"/>
      <x:c r="B1860" s="3" t="str">
        <x:v>15832</x:v>
      </x:c>
      <x:c r="C1860" s="3" t="n">
        <x:v>1</x:v>
      </x:c>
      <x:c r="D1860" s="51" t="n">
        <x:v>40632</x:v>
      </x:c>
      <x:c r="E1860" s="3" t="str">
        <x:v>Una compra</x:v>
      </x:c>
      <x:c r="F1860" s="13" t="n">
        <x:v>836.79</x:v>
      </x:c>
      <x:c r="G1860" s="13" t="n">
        <x:v>0</x:v>
      </x:c>
      <x:c r="H1860" s="13" t="n">
        <x:f>F1860-G1860</x:f>
        <x:v>836.79</x:v>
      </x:c>
      <x:c r="I1860" s="13" t="n">
        <x:f>IF(C1860=0,"n.a.",F1860/C1860)</x:f>
        <x:v>836.79</x:v>
      </x:c>
      <x:c r="J1860" s="3"/>
      <x:c r="K1860" s="3"/>
      <x:c r="L1860" s="3"/>
    </x:row>
    <x:row r="1861" ht="22" customHeight="1">
      <x:c r="A1861" s="3"/>
      <x:c r="B1861" s="3" t="str">
        <x:v>13835</x:v>
      </x:c>
      <x:c r="C1861" s="3" t="n">
        <x:v>4</x:v>
      </x:c>
      <x:c r="D1861" s="51" t="n">
        <x:v>40861</x:v>
      </x:c>
      <x:c r="E1861" s="3" t="str">
        <x:v>Recurrente</x:v>
      </x:c>
      <x:c r="F1861" s="13" t="n">
        <x:v>834.57</x:v>
      </x:c>
      <x:c r="G1861" s="13" t="n">
        <x:v>0</x:v>
      </x:c>
      <x:c r="H1861" s="13" t="n">
        <x:f>F1861-G1861</x:f>
        <x:v>834.57</x:v>
      </x:c>
      <x:c r="I1861" s="13" t="n">
        <x:f>IF(C1861=0,"n.a.",F1861/C1861)</x:f>
        <x:v>208.6425</x:v>
      </x:c>
      <x:c r="J1861" s="3"/>
      <x:c r="K1861" s="3"/>
      <x:c r="L1861" s="3"/>
    </x:row>
    <x:row r="1862" ht="22" customHeight="1">
      <x:c r="A1862" s="3"/>
      <x:c r="B1862" s="3" t="str">
        <x:v>17929</x:v>
      </x:c>
      <x:c r="C1862" s="3" t="n">
        <x:v>4</x:v>
      </x:c>
      <x:c r="D1862" s="51" t="n">
        <x:v>40875</x:v>
      </x:c>
      <x:c r="E1862" s="3" t="str">
        <x:v>Recurrente</x:v>
      </x:c>
      <x:c r="F1862" s="13" t="n">
        <x:v>843</x:v>
      </x:c>
      <x:c r="G1862" s="13" t="n">
        <x:v>8.5</x:v>
      </x:c>
      <x:c r="H1862" s="13" t="n">
        <x:f>F1862-G1862</x:f>
        <x:v>834.5</x:v>
      </x:c>
      <x:c r="I1862" s="13" t="n">
        <x:f>IF(C1862=0,"n.a.",F1862/C1862)</x:f>
        <x:v>210.75</x:v>
      </x:c>
      <x:c r="J1862" s="3"/>
      <x:c r="K1862" s="3"/>
      <x:c r="L1862" s="3"/>
    </x:row>
    <x:row r="1863" ht="22" customHeight="1">
      <x:c r="A1863" s="3"/>
      <x:c r="B1863" s="3" t="str">
        <x:v>16644</x:v>
      </x:c>
      <x:c r="C1863" s="3" t="n">
        <x:v>2</x:v>
      </x:c>
      <x:c r="D1863" s="51" t="n">
        <x:v>40709</x:v>
      </x:c>
      <x:c r="E1863" s="3" t="str">
        <x:v>Recurrente</x:v>
      </x:c>
      <x:c r="F1863" s="13" t="n">
        <x:v>833.78</x:v>
      </x:c>
      <x:c r="G1863" s="13" t="n">
        <x:v>0</x:v>
      </x:c>
      <x:c r="H1863" s="13" t="n">
        <x:f>F1863-G1863</x:f>
        <x:v>833.78</x:v>
      </x:c>
      <x:c r="I1863" s="13" t="n">
        <x:f>IF(C1863=0,"n.a.",F1863/C1863)</x:f>
        <x:v>416.89</x:v>
      </x:c>
      <x:c r="J1863" s="3"/>
      <x:c r="K1863" s="3"/>
      <x:c r="L1863" s="3"/>
    </x:row>
    <x:row r="1864" ht="22" customHeight="1">
      <x:c r="A1864" s="3"/>
      <x:c r="B1864" s="3" t="str">
        <x:v>17759</x:v>
      </x:c>
      <x:c r="C1864" s="3" t="n">
        <x:v>3</x:v>
      </x:c>
      <x:c r="D1864" s="51" t="n">
        <x:v>40869</x:v>
      </x:c>
      <x:c r="E1864" s="3" t="str">
        <x:v>Recurrente</x:v>
      </x:c>
      <x:c r="F1864" s="13" t="n">
        <x:v>833.74</x:v>
      </x:c>
      <x:c r="G1864" s="13" t="n">
        <x:v>0</x:v>
      </x:c>
      <x:c r="H1864" s="13" t="n">
        <x:f>F1864-G1864</x:f>
        <x:v>833.74</x:v>
      </x:c>
      <x:c r="I1864" s="13" t="n">
        <x:f>IF(C1864=0,"n.a.",F1864/C1864)</x:f>
        <x:v>277.91333333333336</x:v>
      </x:c>
      <x:c r="J1864" s="3"/>
      <x:c r="K1864" s="3"/>
      <x:c r="L1864" s="3"/>
    </x:row>
    <x:row r="1865" ht="22" customHeight="1">
      <x:c r="A1865" s="3"/>
      <x:c r="B1865" s="3" t="str">
        <x:v>15862</x:v>
      </x:c>
      <x:c r="C1865" s="3" t="n">
        <x:v>4</x:v>
      </x:c>
      <x:c r="D1865" s="51" t="n">
        <x:v>40878</x:v>
      </x:c>
      <x:c r="E1865" s="3" t="str">
        <x:v>Recurrente</x:v>
      </x:c>
      <x:c r="F1865" s="13" t="n">
        <x:v>832.88</x:v>
      </x:c>
      <x:c r="G1865" s="13" t="n">
        <x:v>0</x:v>
      </x:c>
      <x:c r="H1865" s="13" t="n">
        <x:f>F1865-G1865</x:f>
        <x:v>832.88</x:v>
      </x:c>
      <x:c r="I1865" s="13" t="n">
        <x:f>IF(C1865=0,"n.a.",F1865/C1865)</x:f>
        <x:v>208.22</x:v>
      </x:c>
      <x:c r="J1865" s="3"/>
      <x:c r="K1865" s="3"/>
      <x:c r="L1865" s="3"/>
    </x:row>
    <x:row r="1866" ht="22" customHeight="1">
      <x:c r="A1866" s="3"/>
      <x:c r="B1866" s="3" t="str">
        <x:v>12545</x:v>
      </x:c>
      <x:c r="C1866" s="3" t="n">
        <x:v>2</x:v>
      </x:c>
      <x:c r="D1866" s="51" t="n">
        <x:v>40811</x:v>
      </x:c>
      <x:c r="E1866" s="3" t="str">
        <x:v>Recurrente</x:v>
      </x:c>
      <x:c r="F1866" s="13" t="n">
        <x:v>832.39</x:v>
      </x:c>
      <x:c r="G1866" s="13" t="n">
        <x:v>0</x:v>
      </x:c>
      <x:c r="H1866" s="13" t="n">
        <x:f>F1866-G1866</x:f>
        <x:v>832.39</x:v>
      </x:c>
      <x:c r="I1866" s="13" t="n">
        <x:f>IF(C1866=0,"n.a.",F1866/C1866)</x:f>
        <x:v>416.195</x:v>
      </x:c>
      <x:c r="J1866" s="3"/>
      <x:c r="K1866" s="3"/>
      <x:c r="L1866" s="3"/>
    </x:row>
    <x:row r="1867" ht="22" customHeight="1">
      <x:c r="A1867" s="3"/>
      <x:c r="B1867" s="3" t="str">
        <x:v>12717</x:v>
      </x:c>
      <x:c r="C1867" s="3" t="n">
        <x:v>2</x:v>
      </x:c>
      <x:c r="D1867" s="51" t="n">
        <x:v>40735</x:v>
      </x:c>
      <x:c r="E1867" s="3" t="str">
        <x:v>Recurrente</x:v>
      </x:c>
      <x:c r="F1867" s="13" t="n">
        <x:v>830.98</x:v>
      </x:c>
      <x:c r="G1867" s="13" t="n">
        <x:v>0</x:v>
      </x:c>
      <x:c r="H1867" s="13" t="n">
        <x:f>F1867-G1867</x:f>
        <x:v>830.98</x:v>
      </x:c>
      <x:c r="I1867" s="13" t="n">
        <x:f>IF(C1867=0,"n.a.",F1867/C1867)</x:f>
        <x:v>415.49</x:v>
      </x:c>
      <x:c r="J1867" s="3"/>
      <x:c r="K1867" s="3"/>
      <x:c r="L1867" s="3"/>
    </x:row>
    <x:row r="1868" ht="22" customHeight="1">
      <x:c r="A1868" s="3"/>
      <x:c r="B1868" s="3" t="str">
        <x:v>13681</x:v>
      </x:c>
      <x:c r="C1868" s="3" t="n">
        <x:v>4</x:v>
      </x:c>
      <x:c r="D1868" s="51" t="n">
        <x:v>40869</x:v>
      </x:c>
      <x:c r="E1868" s="3" t="str">
        <x:v>Recurrente</x:v>
      </x:c>
      <x:c r="F1868" s="13" t="n">
        <x:v>827.83</x:v>
      </x:c>
      <x:c r="G1868" s="13" t="n">
        <x:v>0</x:v>
      </x:c>
      <x:c r="H1868" s="13" t="n">
        <x:f>F1868-G1868</x:f>
        <x:v>827.83</x:v>
      </x:c>
      <x:c r="I1868" s="13" t="n">
        <x:f>IF(C1868=0,"n.a.",F1868/C1868)</x:f>
        <x:v>206.9575</x:v>
      </x:c>
      <x:c r="J1868" s="3"/>
      <x:c r="K1868" s="3"/>
      <x:c r="L1868" s="3"/>
    </x:row>
    <x:row r="1869" ht="22" customHeight="1">
      <x:c r="A1869" s="3"/>
      <x:c r="B1869" s="3" t="str">
        <x:v>13810</x:v>
      </x:c>
      <x:c r="C1869" s="3" t="n">
        <x:v>2</x:v>
      </x:c>
      <x:c r="D1869" s="51" t="n">
        <x:v>40858</x:v>
      </x:c>
      <x:c r="E1869" s="3" t="str">
        <x:v>Recurrente</x:v>
      </x:c>
      <x:c r="F1869" s="13" t="n">
        <x:v>827.51</x:v>
      </x:c>
      <x:c r="G1869" s="13" t="n">
        <x:v>0</x:v>
      </x:c>
      <x:c r="H1869" s="13" t="n">
        <x:f>F1869-G1869</x:f>
        <x:v>827.51</x:v>
      </x:c>
      <x:c r="I1869" s="13" t="n">
        <x:f>IF(C1869=0,"n.a.",F1869/C1869)</x:f>
        <x:v>413.755</x:v>
      </x:c>
      <x:c r="J1869" s="3"/>
      <x:c r="K1869" s="3"/>
      <x:c r="L1869" s="3"/>
    </x:row>
    <x:row r="1870" ht="22" customHeight="1">
      <x:c r="A1870" s="3"/>
      <x:c r="B1870" s="3" t="str">
        <x:v>16747</x:v>
      </x:c>
      <x:c r="C1870" s="3" t="n">
        <x:v>2</x:v>
      </x:c>
      <x:c r="D1870" s="51" t="n">
        <x:v>40849</x:v>
      </x:c>
      <x:c r="E1870" s="3" t="str">
        <x:v>Recurrente</x:v>
      </x:c>
      <x:c r="F1870" s="13" t="n">
        <x:v>836.06</x:v>
      </x:c>
      <x:c r="G1870" s="13" t="n">
        <x:v>9.1</x:v>
      </x:c>
      <x:c r="H1870" s="13" t="n">
        <x:f>F1870-G1870</x:f>
        <x:v>826.9599999999999</x:v>
      </x:c>
      <x:c r="I1870" s="13" t="n">
        <x:f>IF(C1870=0,"n.a.",F1870/C1870)</x:f>
        <x:v>418.03</x:v>
      </x:c>
      <x:c r="J1870" s="3"/>
      <x:c r="K1870" s="3"/>
      <x:c r="L1870" s="3"/>
    </x:row>
    <x:row r="1871" ht="22" customHeight="1">
      <x:c r="A1871" s="3"/>
      <x:c r="B1871" s="3" t="str">
        <x:v>16494</x:v>
      </x:c>
      <x:c r="C1871" s="3" t="n">
        <x:v>1</x:v>
      </x:c>
      <x:c r="D1871" s="51" t="n">
        <x:v>40590</x:v>
      </x:c>
      <x:c r="E1871" s="3" t="str">
        <x:v>Una compra</x:v>
      </x:c>
      <x:c r="F1871" s="13" t="n">
        <x:v>826.53</x:v>
      </x:c>
      <x:c r="G1871" s="13" t="n">
        <x:v>0</x:v>
      </x:c>
      <x:c r="H1871" s="13" t="n">
        <x:f>F1871-G1871</x:f>
        <x:v>826.53</x:v>
      </x:c>
      <x:c r="I1871" s="13" t="n">
        <x:f>IF(C1871=0,"n.a.",F1871/C1871)</x:f>
        <x:v>826.53</x:v>
      </x:c>
      <x:c r="J1871" s="3"/>
      <x:c r="K1871" s="3"/>
      <x:c r="L1871" s="3"/>
    </x:row>
    <x:row r="1872" ht="22" customHeight="1">
      <x:c r="A1872" s="3"/>
      <x:c r="B1872" s="3" t="str">
        <x:v>17921</x:v>
      </x:c>
      <x:c r="C1872" s="3" t="n">
        <x:v>4</x:v>
      </x:c>
      <x:c r="D1872" s="51" t="n">
        <x:v>40822</x:v>
      </x:c>
      <x:c r="E1872" s="3" t="str">
        <x:v>Recurrente</x:v>
      </x:c>
      <x:c r="F1872" s="13" t="n">
        <x:v>826.52</x:v>
      </x:c>
      <x:c r="G1872" s="13" t="n">
        <x:v>0</x:v>
      </x:c>
      <x:c r="H1872" s="13" t="n">
        <x:f>F1872-G1872</x:f>
        <x:v>826.52</x:v>
      </x:c>
      <x:c r="I1872" s="13" t="n">
        <x:f>IF(C1872=0,"n.a.",F1872/C1872)</x:f>
        <x:v>206.63</x:v>
      </x:c>
      <x:c r="J1872" s="3"/>
      <x:c r="K1872" s="3"/>
      <x:c r="L1872" s="3"/>
    </x:row>
    <x:row r="1873" ht="22" customHeight="1">
      <x:c r="A1873" s="3"/>
      <x:c r="B1873" s="3" t="str">
        <x:v>12550</x:v>
      </x:c>
      <x:c r="C1873" s="3" t="n">
        <x:v>1</x:v>
      </x:c>
      <x:c r="D1873" s="51" t="n">
        <x:v>40807</x:v>
      </x:c>
      <x:c r="E1873" s="3" t="str">
        <x:v>Una compra</x:v>
      </x:c>
      <x:c r="F1873" s="13" t="n">
        <x:v>824.83</x:v>
      </x:c>
      <x:c r="G1873" s="13" t="n">
        <x:v>0</x:v>
      </x:c>
      <x:c r="H1873" s="13" t="n">
        <x:f>F1873-G1873</x:f>
        <x:v>824.83</x:v>
      </x:c>
      <x:c r="I1873" s="13" t="n">
        <x:f>IF(C1873=0,"n.a.",F1873/C1873)</x:f>
        <x:v>824.83</x:v>
      </x:c>
      <x:c r="J1873" s="3"/>
      <x:c r="K1873" s="3"/>
      <x:c r="L1873" s="3"/>
    </x:row>
    <x:row r="1874" ht="22" customHeight="1">
      <x:c r="A1874" s="3"/>
      <x:c r="B1874" s="3" t="str">
        <x:v>16284</x:v>
      </x:c>
      <x:c r="C1874" s="3" t="n">
        <x:v>2</x:v>
      </x:c>
      <x:c r="D1874" s="51" t="n">
        <x:v>40855</x:v>
      </x:c>
      <x:c r="E1874" s="3" t="str">
        <x:v>Recurrente</x:v>
      </x:c>
      <x:c r="F1874" s="13" t="n">
        <x:v>823.97</x:v>
      </x:c>
      <x:c r="G1874" s="13" t="n">
        <x:v>0</x:v>
      </x:c>
      <x:c r="H1874" s="13" t="n">
        <x:f>F1874-G1874</x:f>
        <x:v>823.97</x:v>
      </x:c>
      <x:c r="I1874" s="13" t="n">
        <x:f>IF(C1874=0,"n.a.",F1874/C1874)</x:f>
        <x:v>411.985</x:v>
      </x:c>
      <x:c r="J1874" s="3"/>
      <x:c r="K1874" s="3"/>
      <x:c r="L1874" s="3"/>
    </x:row>
    <x:row r="1875" ht="22" customHeight="1">
      <x:c r="A1875" s="3"/>
      <x:c r="B1875" s="3" t="str">
        <x:v>14231</x:v>
      </x:c>
      <x:c r="C1875" s="3" t="n">
        <x:v>3</x:v>
      </x:c>
      <x:c r="D1875" s="51" t="n">
        <x:v>40703</x:v>
      </x:c>
      <x:c r="E1875" s="3" t="str">
        <x:v>Recurrente</x:v>
      </x:c>
      <x:c r="F1875" s="13" t="n">
        <x:v>925.71</x:v>
      </x:c>
      <x:c r="G1875" s="13" t="n">
        <x:v>103.65</x:v>
      </x:c>
      <x:c r="H1875" s="13" t="n">
        <x:f>F1875-G1875</x:f>
        <x:v>822.0600000000001</x:v>
      </x:c>
      <x:c r="I1875" s="13" t="n">
        <x:f>IF(C1875=0,"n.a.",F1875/C1875)</x:f>
        <x:v>308.57</x:v>
      </x:c>
      <x:c r="J1875" s="3"/>
      <x:c r="K1875" s="3"/>
      <x:c r="L1875" s="3"/>
    </x:row>
    <x:row r="1876" ht="22" customHeight="1">
      <x:c r="A1876" s="3"/>
      <x:c r="B1876" s="3" t="str">
        <x:v>13893</x:v>
      </x:c>
      <x:c r="C1876" s="3" t="n">
        <x:v>1</x:v>
      </x:c>
      <x:c r="D1876" s="51" t="n">
        <x:v>40589</x:v>
      </x:c>
      <x:c r="E1876" s="3" t="str">
        <x:v>Una compra</x:v>
      </x:c>
      <x:c r="F1876" s="13" t="n">
        <x:v>821.1</x:v>
      </x:c>
      <x:c r="G1876" s="13" t="n">
        <x:v>0</x:v>
      </x:c>
      <x:c r="H1876" s="13" t="n">
        <x:f>F1876-G1876</x:f>
        <x:v>821.1</x:v>
      </x:c>
      <x:c r="I1876" s="13" t="n">
        <x:f>IF(C1876=0,"n.a.",F1876/C1876)</x:f>
        <x:v>821.1</x:v>
      </x:c>
      <x:c r="J1876" s="3"/>
      <x:c r="K1876" s="3"/>
      <x:c r="L1876" s="3"/>
    </x:row>
    <x:row r="1877" ht="22" customHeight="1">
      <x:c r="A1877" s="3"/>
      <x:c r="B1877" s="3" t="str">
        <x:v>13220</x:v>
      </x:c>
      <x:c r="C1877" s="3" t="n">
        <x:v>4</x:v>
      </x:c>
      <x:c r="D1877" s="51" t="n">
        <x:v>40808</x:v>
      </x:c>
      <x:c r="E1877" s="3" t="str">
        <x:v>Recurrente</x:v>
      </x:c>
      <x:c r="F1877" s="13" t="n">
        <x:v>819.29</x:v>
      </x:c>
      <x:c r="G1877" s="13" t="n">
        <x:v>0</x:v>
      </x:c>
      <x:c r="H1877" s="13" t="n">
        <x:f>F1877-G1877</x:f>
        <x:v>819.29</x:v>
      </x:c>
      <x:c r="I1877" s="13" t="n">
        <x:f>IF(C1877=0,"n.a.",F1877/C1877)</x:f>
        <x:v>204.8225</x:v>
      </x:c>
      <x:c r="J1877" s="3"/>
      <x:c r="K1877" s="3"/>
      <x:c r="L1877" s="3"/>
    </x:row>
    <x:row r="1878" ht="22" customHeight="1">
      <x:c r="A1878" s="3"/>
      <x:c r="B1878" s="3" t="str">
        <x:v>17764</x:v>
      </x:c>
      <x:c r="C1878" s="3" t="n">
        <x:v>2</x:v>
      </x:c>
      <x:c r="D1878" s="51" t="n">
        <x:v>40836</x:v>
      </x:c>
      <x:c r="E1878" s="3" t="str">
        <x:v>Recurrente</x:v>
      </x:c>
      <x:c r="F1878" s="13" t="n">
        <x:v>818.82</x:v>
      </x:c>
      <x:c r="G1878" s="13" t="n">
        <x:v>0</x:v>
      </x:c>
      <x:c r="H1878" s="13" t="n">
        <x:f>F1878-G1878</x:f>
        <x:v>818.82</x:v>
      </x:c>
      <x:c r="I1878" s="13" t="n">
        <x:f>IF(C1878=0,"n.a.",F1878/C1878)</x:f>
        <x:v>409.41</x:v>
      </x:c>
      <x:c r="J1878" s="3"/>
      <x:c r="K1878" s="3"/>
      <x:c r="L1878" s="3"/>
    </x:row>
    <x:row r="1879" ht="22" customHeight="1">
      <x:c r="A1879" s="3"/>
      <x:c r="B1879" s="3" t="str">
        <x:v>17169</x:v>
      </x:c>
      <x:c r="C1879" s="3" t="n">
        <x:v>2</x:v>
      </x:c>
      <x:c r="D1879" s="51" t="n">
        <x:v>40829</x:v>
      </x:c>
      <x:c r="E1879" s="3" t="str">
        <x:v>Recurrente</x:v>
      </x:c>
      <x:c r="F1879" s="13" t="n">
        <x:v>835.78</x:v>
      </x:c>
      <x:c r="G1879" s="13" t="n">
        <x:v>18.9</x:v>
      </x:c>
      <x:c r="H1879" s="13" t="n">
        <x:f>F1879-G1879</x:f>
        <x:v>816.88</x:v>
      </x:c>
      <x:c r="I1879" s="13" t="n">
        <x:f>IF(C1879=0,"n.a.",F1879/C1879)</x:f>
        <x:v>417.89</x:v>
      </x:c>
      <x:c r="J1879" s="3"/>
      <x:c r="K1879" s="3"/>
      <x:c r="L1879" s="3"/>
    </x:row>
    <x:row r="1880" ht="22" customHeight="1">
      <x:c r="A1880" s="3"/>
      <x:c r="B1880" s="3" t="str">
        <x:v>16943</x:v>
      </x:c>
      <x:c r="C1880" s="3" t="n">
        <x:v>3</x:v>
      </x:c>
      <x:c r="D1880" s="51" t="n">
        <x:v>40675</x:v>
      </x:c>
      <x:c r="E1880" s="3" t="str">
        <x:v>Recurrente</x:v>
      </x:c>
      <x:c r="F1880" s="13" t="n">
        <x:v>816.73</x:v>
      </x:c>
      <x:c r="G1880" s="13" t="n">
        <x:v>0</x:v>
      </x:c>
      <x:c r="H1880" s="13" t="n">
        <x:f>F1880-G1880</x:f>
        <x:v>816.73</x:v>
      </x:c>
      <x:c r="I1880" s="13" t="n">
        <x:f>IF(C1880=0,"n.a.",F1880/C1880)</x:f>
        <x:v>272.24333333333334</x:v>
      </x:c>
      <x:c r="J1880" s="3"/>
      <x:c r="K1880" s="3"/>
      <x:c r="L1880" s="3"/>
    </x:row>
    <x:row r="1881" ht="22" customHeight="1">
      <x:c r="A1881" s="3"/>
      <x:c r="B1881" s="3" t="str">
        <x:v>16560</x:v>
      </x:c>
      <x:c r="C1881" s="3" t="n">
        <x:v>2</x:v>
      </x:c>
      <x:c r="D1881" s="51" t="n">
        <x:v>40860</x:v>
      </x:c>
      <x:c r="E1881" s="3" t="str">
        <x:v>Recurrente</x:v>
      </x:c>
      <x:c r="F1881" s="13" t="n">
        <x:v>841.41</x:v>
      </x:c>
      <x:c r="G1881" s="13" t="n">
        <x:v>24.9</x:v>
      </x:c>
      <x:c r="H1881" s="13" t="n">
        <x:f>F1881-G1881</x:f>
        <x:v>816.51</x:v>
      </x:c>
      <x:c r="I1881" s="13" t="n">
        <x:f>IF(C1881=0,"n.a.",F1881/C1881)</x:f>
        <x:v>420.705</x:v>
      </x:c>
      <x:c r="J1881" s="3"/>
      <x:c r="K1881" s="3"/>
      <x:c r="L1881" s="3"/>
    </x:row>
    <x:row r="1882" ht="22" customHeight="1">
      <x:c r="A1882" s="3"/>
      <x:c r="B1882" s="3" t="str">
        <x:v>16108</x:v>
      </x:c>
      <x:c r="C1882" s="3" t="n">
        <x:v>1</x:v>
      </x:c>
      <x:c r="D1882" s="51" t="n">
        <x:v>40802</x:v>
      </x:c>
      <x:c r="E1882" s="3" t="str">
        <x:v>Una compra</x:v>
      </x:c>
      <x:c r="F1882" s="13" t="n">
        <x:v>842.5</x:v>
      </x:c>
      <x:c r="G1882" s="13" t="n">
        <x:v>26.4</x:v>
      </x:c>
      <x:c r="H1882" s="13" t="n">
        <x:f>F1882-G1882</x:f>
        <x:v>816.1</x:v>
      </x:c>
      <x:c r="I1882" s="13" t="n">
        <x:f>IF(C1882=0,"n.a.",F1882/C1882)</x:f>
        <x:v>842.5</x:v>
      </x:c>
      <x:c r="J1882" s="3"/>
      <x:c r="K1882" s="3"/>
      <x:c r="L1882" s="3"/>
    </x:row>
    <x:row r="1883" ht="22" customHeight="1">
      <x:c r="A1883" s="3"/>
      <x:c r="B1883" s="3" t="str">
        <x:v>15649</x:v>
      </x:c>
      <x:c r="C1883" s="3" t="n">
        <x:v>2</x:v>
      </x:c>
      <x:c r="D1883" s="51" t="n">
        <x:v>40550</x:v>
      </x:c>
      <x:c r="E1883" s="3" t="str">
        <x:v>Recurrente</x:v>
      </x:c>
      <x:c r="F1883" s="13" t="n">
        <x:v>816</x:v>
      </x:c>
      <x:c r="G1883" s="13" t="n">
        <x:v>0</x:v>
      </x:c>
      <x:c r="H1883" s="13" t="n">
        <x:f>F1883-G1883</x:f>
        <x:v>816</x:v>
      </x:c>
      <x:c r="I1883" s="13" t="n">
        <x:f>IF(C1883=0,"n.a.",F1883/C1883)</x:f>
        <x:v>408</x:v>
      </x:c>
      <x:c r="J1883" s="3"/>
      <x:c r="K1883" s="3"/>
      <x:c r="L1883" s="3"/>
    </x:row>
    <x:row r="1884" ht="22" customHeight="1">
      <x:c r="A1884" s="3"/>
      <x:c r="B1884" s="3" t="str">
        <x:v>15399</x:v>
      </x:c>
      <x:c r="C1884" s="3" t="n">
        <x:v>3</x:v>
      </x:c>
      <x:c r="D1884" s="51" t="n">
        <x:v>40885</x:v>
      </x:c>
      <x:c r="E1884" s="3" t="str">
        <x:v>Recurrente</x:v>
      </x:c>
      <x:c r="F1884" s="13" t="n">
        <x:v>815.77</x:v>
      </x:c>
      <x:c r="G1884" s="13" t="n">
        <x:v>0</x:v>
      </x:c>
      <x:c r="H1884" s="13" t="n">
        <x:f>F1884-G1884</x:f>
        <x:v>815.77</x:v>
      </x:c>
      <x:c r="I1884" s="13" t="n">
        <x:f>IF(C1884=0,"n.a.",F1884/C1884)</x:f>
        <x:v>271.92333333333335</x:v>
      </x:c>
      <x:c r="J1884" s="3"/>
      <x:c r="K1884" s="3"/>
      <x:c r="L1884" s="3"/>
    </x:row>
    <x:row r="1885" ht="22" customHeight="1">
      <x:c r="A1885" s="3"/>
      <x:c r="B1885" s="3" t="str">
        <x:v>14499</x:v>
      </x:c>
      <x:c r="C1885" s="3" t="n">
        <x:v>3</x:v>
      </x:c>
      <x:c r="D1885" s="51" t="n">
        <x:v>40860</x:v>
      </x:c>
      <x:c r="E1885" s="3" t="str">
        <x:v>Recurrente</x:v>
      </x:c>
      <x:c r="F1885" s="13" t="n">
        <x:v>815.32</x:v>
      </x:c>
      <x:c r="G1885" s="13" t="n">
        <x:v>0</x:v>
      </x:c>
      <x:c r="H1885" s="13" t="n">
        <x:f>F1885-G1885</x:f>
        <x:v>815.32</x:v>
      </x:c>
      <x:c r="I1885" s="13" t="n">
        <x:f>IF(C1885=0,"n.a.",F1885/C1885)</x:f>
        <x:v>271.77333333333337</x:v>
      </x:c>
      <x:c r="J1885" s="3"/>
      <x:c r="K1885" s="3"/>
      <x:c r="L1885" s="3"/>
    </x:row>
    <x:row r="1886" ht="22" customHeight="1">
      <x:c r="A1886" s="3"/>
      <x:c r="B1886" s="3" t="str">
        <x:v>13280</x:v>
      </x:c>
      <x:c r="C1886" s="3" t="n">
        <x:v>3</x:v>
      </x:c>
      <x:c r="D1886" s="51" t="n">
        <x:v>40764</x:v>
      </x:c>
      <x:c r="E1886" s="3" t="str">
        <x:v>Recurrente</x:v>
      </x:c>
      <x:c r="F1886" s="13" t="n">
        <x:v>814.86</x:v>
      </x:c>
      <x:c r="G1886" s="13" t="n">
        <x:v>0</x:v>
      </x:c>
      <x:c r="H1886" s="13" t="n">
        <x:f>F1886-G1886</x:f>
        <x:v>814.86</x:v>
      </x:c>
      <x:c r="I1886" s="13" t="n">
        <x:f>IF(C1886=0,"n.a.",F1886/C1886)</x:f>
        <x:v>271.62</x:v>
      </x:c>
      <x:c r="J1886" s="3"/>
      <x:c r="K1886" s="3"/>
      <x:c r="L1886" s="3"/>
    </x:row>
    <x:row r="1887" ht="22" customHeight="1">
      <x:c r="A1887" s="3"/>
      <x:c r="B1887" s="3" t="str">
        <x:v>16460</x:v>
      </x:c>
      <x:c r="C1887" s="3" t="n">
        <x:v>3</x:v>
      </x:c>
      <x:c r="D1887" s="51" t="n">
        <x:v>40858</x:v>
      </x:c>
      <x:c r="E1887" s="3" t="str">
        <x:v>Recurrente</x:v>
      </x:c>
      <x:c r="F1887" s="13" t="n">
        <x:v>814.72</x:v>
      </x:c>
      <x:c r="G1887" s="13" t="n">
        <x:v>0</x:v>
      </x:c>
      <x:c r="H1887" s="13" t="n">
        <x:f>F1887-G1887</x:f>
        <x:v>814.72</x:v>
      </x:c>
      <x:c r="I1887" s="13" t="n">
        <x:f>IF(C1887=0,"n.a.",F1887/C1887)</x:f>
        <x:v>271.5733333333333</x:v>
      </x:c>
      <x:c r="J1887" s="3"/>
      <x:c r="K1887" s="3"/>
      <x:c r="L1887" s="3"/>
    </x:row>
    <x:row r="1888" ht="22" customHeight="1">
      <x:c r="A1888" s="3"/>
      <x:c r="B1888" s="3" t="str">
        <x:v>12510</x:v>
      </x:c>
      <x:c r="C1888" s="3" t="n">
        <x:v>2</x:v>
      </x:c>
      <x:c r="D1888" s="51" t="n">
        <x:v>40744</x:v>
      </x:c>
      <x:c r="E1888" s="3" t="str">
        <x:v>Recurrente</x:v>
      </x:c>
      <x:c r="F1888" s="13" t="n">
        <x:v>814.57</x:v>
      </x:c>
      <x:c r="G1888" s="13" t="n">
        <x:v>0</x:v>
      </x:c>
      <x:c r="H1888" s="13" t="n">
        <x:f>F1888-G1888</x:f>
        <x:v>814.57</x:v>
      </x:c>
      <x:c r="I1888" s="13" t="n">
        <x:f>IF(C1888=0,"n.a.",F1888/C1888)</x:f>
        <x:v>407.285</x:v>
      </x:c>
      <x:c r="J1888" s="3"/>
      <x:c r="K1888" s="3"/>
      <x:c r="L1888" s="3"/>
    </x:row>
    <x:row r="1889" ht="22" customHeight="1">
      <x:c r="A1889" s="3"/>
      <x:c r="B1889" s="3" t="str">
        <x:v>18064</x:v>
      </x:c>
      <x:c r="C1889" s="3" t="n">
        <x:v>2</x:v>
      </x:c>
      <x:c r="D1889" s="51" t="n">
        <x:v>40753</x:v>
      </x:c>
      <x:c r="E1889" s="3" t="str">
        <x:v>Recurrente</x:v>
      </x:c>
      <x:c r="F1889" s="13" t="n">
        <x:v>814</x:v>
      </x:c>
      <x:c r="G1889" s="13" t="n">
        <x:v>0</x:v>
      </x:c>
      <x:c r="H1889" s="13" t="n">
        <x:f>F1889-G1889</x:f>
        <x:v>814</x:v>
      </x:c>
      <x:c r="I1889" s="13" t="n">
        <x:f>IF(C1889=0,"n.a.",F1889/C1889)</x:f>
        <x:v>407</x:v>
      </x:c>
      <x:c r="J1889" s="3"/>
      <x:c r="K1889" s="3"/>
      <x:c r="L1889" s="3"/>
    </x:row>
    <x:row r="1890" ht="22" customHeight="1">
      <x:c r="A1890" s="3"/>
      <x:c r="B1890" s="3" t="str">
        <x:v>17075</x:v>
      </x:c>
      <x:c r="C1890" s="3" t="n">
        <x:v>4</x:v>
      </x:c>
      <x:c r="D1890" s="51" t="n">
        <x:v>40869</x:v>
      </x:c>
      <x:c r="E1890" s="3" t="str">
        <x:v>Recurrente</x:v>
      </x:c>
      <x:c r="F1890" s="13" t="n">
        <x:v>834.12</x:v>
      </x:c>
      <x:c r="G1890" s="13" t="n">
        <x:v>20.35</x:v>
      </x:c>
      <x:c r="H1890" s="13" t="n">
        <x:f>F1890-G1890</x:f>
        <x:v>813.77</x:v>
      </x:c>
      <x:c r="I1890" s="13" t="n">
        <x:f>IF(C1890=0,"n.a.",F1890/C1890)</x:f>
        <x:v>208.53</x:v>
      </x:c>
      <x:c r="J1890" s="3"/>
      <x:c r="K1890" s="3"/>
      <x:c r="L1890" s="3"/>
    </x:row>
    <x:row r="1891" ht="22" customHeight="1">
      <x:c r="A1891" s="3"/>
      <x:c r="B1891" s="3" t="str">
        <x:v>16600</x:v>
      </x:c>
      <x:c r="C1891" s="3" t="n">
        <x:v>6</x:v>
      </x:c>
      <x:c r="D1891" s="51" t="n">
        <x:v>40882</x:v>
      </x:c>
      <x:c r="E1891" s="3" t="str">
        <x:v>Recurrente</x:v>
      </x:c>
      <x:c r="F1891" s="13" t="n">
        <x:v>813.52</x:v>
      </x:c>
      <x:c r="G1891" s="13" t="n">
        <x:v>0</x:v>
      </x:c>
      <x:c r="H1891" s="13" t="n">
        <x:f>F1891-G1891</x:f>
        <x:v>813.52</x:v>
      </x:c>
      <x:c r="I1891" s="13" t="n">
        <x:f>IF(C1891=0,"n.a.",F1891/C1891)</x:f>
        <x:v>135.58666666666667</x:v>
      </x:c>
      <x:c r="J1891" s="3"/>
      <x:c r="K1891" s="3"/>
      <x:c r="L1891" s="3"/>
    </x:row>
    <x:row r="1892" ht="22" customHeight="1">
      <x:c r="A1892" s="3"/>
      <x:c r="B1892" s="3" t="str">
        <x:v>16621</x:v>
      </x:c>
      <x:c r="C1892" s="3" t="n">
        <x:v>4</x:v>
      </x:c>
      <x:c r="D1892" s="51" t="n">
        <x:v>40835</x:v>
      </x:c>
      <x:c r="E1892" s="3" t="str">
        <x:v>Recurrente</x:v>
      </x:c>
      <x:c r="F1892" s="13" t="n">
        <x:v>813.48</x:v>
      </x:c>
      <x:c r="G1892" s="13" t="n">
        <x:v>0</x:v>
      </x:c>
      <x:c r="H1892" s="13" t="n">
        <x:f>F1892-G1892</x:f>
        <x:v>813.48</x:v>
      </x:c>
      <x:c r="I1892" s="13" t="n">
        <x:f>IF(C1892=0,"n.a.",F1892/C1892)</x:f>
        <x:v>203.37</x:v>
      </x:c>
      <x:c r="J1892" s="3"/>
      <x:c r="K1892" s="3"/>
      <x:c r="L1892" s="3"/>
    </x:row>
    <x:row r="1893" ht="22" customHeight="1">
      <x:c r="A1893" s="3"/>
      <x:c r="B1893" s="3" t="str">
        <x:v>14421</x:v>
      </x:c>
      <x:c r="C1893" s="3" t="n">
        <x:v>2</x:v>
      </x:c>
      <x:c r="D1893" s="51" t="n">
        <x:v>40829</x:v>
      </x:c>
      <x:c r="E1893" s="3" t="str">
        <x:v>Recurrente</x:v>
      </x:c>
      <x:c r="F1893" s="13" t="n">
        <x:v>813.11</x:v>
      </x:c>
      <x:c r="G1893" s="13" t="n">
        <x:v>0</x:v>
      </x:c>
      <x:c r="H1893" s="13" t="n">
        <x:f>F1893-G1893</x:f>
        <x:v>813.11</x:v>
      </x:c>
      <x:c r="I1893" s="13" t="n">
        <x:f>IF(C1893=0,"n.a.",F1893/C1893)</x:f>
        <x:v>406.555</x:v>
      </x:c>
      <x:c r="J1893" s="3"/>
      <x:c r="K1893" s="3"/>
      <x:c r="L1893" s="3"/>
    </x:row>
    <x:row r="1894" ht="22" customHeight="1">
      <x:c r="A1894" s="3"/>
      <x:c r="B1894" s="3" t="str">
        <x:v>15644</x:v>
      </x:c>
      <x:c r="C1894" s="3" t="n">
        <x:v>4</x:v>
      </x:c>
      <x:c r="D1894" s="51" t="n">
        <x:v>40720</x:v>
      </x:c>
      <x:c r="E1894" s="3" t="str">
        <x:v>Recurrente</x:v>
      </x:c>
      <x:c r="F1894" s="13" t="n">
        <x:v>813</x:v>
      </x:c>
      <x:c r="G1894" s="13" t="n">
        <x:v>0</x:v>
      </x:c>
      <x:c r="H1894" s="13" t="n">
        <x:f>F1894-G1894</x:f>
        <x:v>813</x:v>
      </x:c>
      <x:c r="I1894" s="13" t="n">
        <x:f>IF(C1894=0,"n.a.",F1894/C1894)</x:f>
        <x:v>203.25</x:v>
      </x:c>
      <x:c r="J1894" s="3"/>
      <x:c r="K1894" s="3"/>
      <x:c r="L1894" s="3"/>
    </x:row>
    <x:row r="1895" ht="22" customHeight="1">
      <x:c r="A1895" s="3"/>
      <x:c r="B1895" s="3" t="str">
        <x:v>17980</x:v>
      </x:c>
      <x:c r="C1895" s="3" t="n">
        <x:v>3</x:v>
      </x:c>
      <x:c r="D1895" s="51" t="n">
        <x:v>40721</x:v>
      </x:c>
      <x:c r="E1895" s="3" t="str">
        <x:v>Recurrente</x:v>
      </x:c>
      <x:c r="F1895" s="13" t="n">
        <x:v>811.45</x:v>
      </x:c>
      <x:c r="G1895" s="13" t="n">
        <x:v>0</x:v>
      </x:c>
      <x:c r="H1895" s="13" t="n">
        <x:f>F1895-G1895</x:f>
        <x:v>811.45</x:v>
      </x:c>
      <x:c r="I1895" s="13" t="n">
        <x:f>IF(C1895=0,"n.a.",F1895/C1895)</x:f>
        <x:v>270.48333333333335</x:v>
      </x:c>
      <x:c r="J1895" s="3"/>
      <x:c r="K1895" s="3"/>
      <x:c r="L1895" s="3"/>
    </x:row>
    <x:row r="1896" ht="22" customHeight="1">
      <x:c r="A1896" s="3"/>
      <x:c r="B1896" s="3" t="str">
        <x:v>13350</x:v>
      </x:c>
      <x:c r="C1896" s="3" t="n">
        <x:v>2</x:v>
      </x:c>
      <x:c r="D1896" s="51" t="n">
        <x:v>40870</x:v>
      </x:c>
      <x:c r="E1896" s="3" t="str">
        <x:v>Recurrente</x:v>
      </x:c>
      <x:c r="F1896" s="13" t="n">
        <x:v>879.12</x:v>
      </x:c>
      <x:c r="G1896" s="13" t="n">
        <x:v>68.4</x:v>
      </x:c>
      <x:c r="H1896" s="13" t="n">
        <x:f>F1896-G1896</x:f>
        <x:v>810.72</x:v>
      </x:c>
      <x:c r="I1896" s="13" t="n">
        <x:f>IF(C1896=0,"n.a.",F1896/C1896)</x:f>
        <x:v>439.56</x:v>
      </x:c>
      <x:c r="J1896" s="3"/>
      <x:c r="K1896" s="3"/>
      <x:c r="L1896" s="3"/>
    </x:row>
    <x:row r="1897" ht="22" customHeight="1">
      <x:c r="A1897" s="3"/>
      <x:c r="B1897" s="3" t="str">
        <x:v>16276</x:v>
      </x:c>
      <x:c r="C1897" s="3" t="n">
        <x:v>1</x:v>
      </x:c>
      <x:c r="D1897" s="51" t="n">
        <x:v>40710</x:v>
      </x:c>
      <x:c r="E1897" s="3" t="str">
        <x:v>Una compra</x:v>
      </x:c>
      <x:c r="F1897" s="13" t="n">
        <x:v>810.6</x:v>
      </x:c>
      <x:c r="G1897" s="13" t="n">
        <x:v>0</x:v>
      </x:c>
      <x:c r="H1897" s="13" t="n">
        <x:f>F1897-G1897</x:f>
        <x:v>810.6</x:v>
      </x:c>
      <x:c r="I1897" s="13" t="n">
        <x:f>IF(C1897=0,"n.a.",F1897/C1897)</x:f>
        <x:v>810.6</x:v>
      </x:c>
      <x:c r="J1897" s="3"/>
      <x:c r="K1897" s="3"/>
      <x:c r="L1897" s="3"/>
    </x:row>
    <x:row r="1898" ht="22" customHeight="1">
      <x:c r="A1898" s="3"/>
      <x:c r="B1898" s="3" t="str">
        <x:v>16624</x:v>
      </x:c>
      <x:c r="C1898" s="3" t="n">
        <x:v>2</x:v>
      </x:c>
      <x:c r="D1898" s="51" t="n">
        <x:v>40806</x:v>
      </x:c>
      <x:c r="E1898" s="3" t="str">
        <x:v>Recurrente</x:v>
      </x:c>
      <x:c r="F1898" s="13" t="n">
        <x:v>810.57</x:v>
      </x:c>
      <x:c r="G1898" s="13" t="n">
        <x:v>0</x:v>
      </x:c>
      <x:c r="H1898" s="13" t="n">
        <x:f>F1898-G1898</x:f>
        <x:v>810.57</x:v>
      </x:c>
      <x:c r="I1898" s="13" t="n">
        <x:f>IF(C1898=0,"n.a.",F1898/C1898)</x:f>
        <x:v>405.285</x:v>
      </x:c>
      <x:c r="J1898" s="3"/>
      <x:c r="K1898" s="3"/>
      <x:c r="L1898" s="3"/>
    </x:row>
    <x:row r="1899" ht="22" customHeight="1">
      <x:c r="A1899" s="3"/>
      <x:c r="B1899" s="3" t="str">
        <x:v>16660</x:v>
      </x:c>
      <x:c r="C1899" s="3" t="n">
        <x:v>4</x:v>
      </x:c>
      <x:c r="D1899" s="51" t="n">
        <x:v>40870</x:v>
      </x:c>
      <x:c r="E1899" s="3" t="str">
        <x:v>Recurrente</x:v>
      </x:c>
      <x:c r="F1899" s="13" t="n">
        <x:v>1267.65</x:v>
      </x:c>
      <x:c r="G1899" s="13" t="n">
        <x:v>457.2</x:v>
      </x:c>
      <x:c r="H1899" s="13" t="n">
        <x:f>F1899-G1899</x:f>
        <x:v>810.45</x:v>
      </x:c>
      <x:c r="I1899" s="13" t="n">
        <x:f>IF(C1899=0,"n.a.",F1899/C1899)</x:f>
        <x:v>316.9125</x:v>
      </x:c>
      <x:c r="J1899" s="3"/>
      <x:c r="K1899" s="3"/>
      <x:c r="L1899" s="3"/>
    </x:row>
    <x:row r="1900" ht="22" customHeight="1">
      <x:c r="A1900" s="3"/>
      <x:c r="B1900" s="3" t="str">
        <x:v>16891</x:v>
      </x:c>
      <x:c r="C1900" s="3" t="n">
        <x:v>5</x:v>
      </x:c>
      <x:c r="D1900" s="51" t="n">
        <x:v>40885</x:v>
      </x:c>
      <x:c r="E1900" s="3" t="str">
        <x:v>Recurrente</x:v>
      </x:c>
      <x:c r="F1900" s="13" t="n">
        <x:v>809.7</x:v>
      </x:c>
      <x:c r="G1900" s="13" t="n">
        <x:v>0</x:v>
      </x:c>
      <x:c r="H1900" s="13" t="n">
        <x:f>F1900-G1900</x:f>
        <x:v>809.7</x:v>
      </x:c>
      <x:c r="I1900" s="13" t="n">
        <x:f>IF(C1900=0,"n.a.",F1900/C1900)</x:f>
        <x:v>161.94</x:v>
      </x:c>
      <x:c r="J1900" s="3"/>
      <x:c r="K1900" s="3"/>
      <x:c r="L1900" s="3"/>
    </x:row>
    <x:row r="1901" ht="22" customHeight="1">
      <x:c r="A1901" s="3"/>
      <x:c r="B1901" s="3" t="str">
        <x:v>13637</x:v>
      </x:c>
      <x:c r="C1901" s="3" t="n">
        <x:v>3</x:v>
      </x:c>
      <x:c r="D1901" s="51" t="n">
        <x:v>40834</x:v>
      </x:c>
      <x:c r="E1901" s="3" t="str">
        <x:v>Recurrente</x:v>
      </x:c>
      <x:c r="F1901" s="13" t="n">
        <x:v>809.25</x:v>
      </x:c>
      <x:c r="G1901" s="13" t="n">
        <x:v>0</x:v>
      </x:c>
      <x:c r="H1901" s="13" t="n">
        <x:f>F1901-G1901</x:f>
        <x:v>809.25</x:v>
      </x:c>
      <x:c r="I1901" s="13" t="n">
        <x:f>IF(C1901=0,"n.a.",F1901/C1901)</x:f>
        <x:v>269.75</x:v>
      </x:c>
      <x:c r="J1901" s="3"/>
      <x:c r="K1901" s="3"/>
      <x:c r="L1901" s="3"/>
    </x:row>
    <x:row r="1902" ht="22" customHeight="1">
      <x:c r="A1902" s="3"/>
      <x:c r="B1902" s="3" t="str">
        <x:v>15525</x:v>
      </x:c>
      <x:c r="C1902" s="3" t="n">
        <x:v>3</x:v>
      </x:c>
      <x:c r="D1902" s="51" t="n">
        <x:v>40884</x:v>
      </x:c>
      <x:c r="E1902" s="3" t="str">
        <x:v>Recurrente</x:v>
      </x:c>
      <x:c r="F1902" s="13" t="n">
        <x:v>823.42</x:v>
      </x:c>
      <x:c r="G1902" s="13" t="n">
        <x:v>14.9</x:v>
      </x:c>
      <x:c r="H1902" s="13" t="n">
        <x:f>F1902-G1902</x:f>
        <x:v>808.52</x:v>
      </x:c>
      <x:c r="I1902" s="13" t="n">
        <x:f>IF(C1902=0,"n.a.",F1902/C1902)</x:f>
        <x:v>274.4733333333333</x:v>
      </x:c>
      <x:c r="J1902" s="3"/>
      <x:c r="K1902" s="3"/>
      <x:c r="L1902" s="3"/>
    </x:row>
    <x:row r="1903" ht="22" customHeight="1">
      <x:c r="A1903" s="3"/>
      <x:c r="B1903" s="3" t="str">
        <x:v>17115</x:v>
      </x:c>
      <x:c r="C1903" s="3" t="n">
        <x:v>3</x:v>
      </x:c>
      <x:c r="D1903" s="51" t="n">
        <x:v>40878</x:v>
      </x:c>
      <x:c r="E1903" s="3" t="str">
        <x:v>Recurrente</x:v>
      </x:c>
      <x:c r="F1903" s="13" t="n">
        <x:v>837.5</x:v>
      </x:c>
      <x:c r="G1903" s="13" t="n">
        <x:v>30.6</x:v>
      </x:c>
      <x:c r="H1903" s="13" t="n">
        <x:f>F1903-G1903</x:f>
        <x:v>806.9</x:v>
      </x:c>
      <x:c r="I1903" s="13" t="n">
        <x:f>IF(C1903=0,"n.a.",F1903/C1903)</x:f>
        <x:v>279.1666666666667</x:v>
      </x:c>
      <x:c r="J1903" s="3"/>
      <x:c r="K1903" s="3"/>
      <x:c r="L1903" s="3"/>
    </x:row>
    <x:row r="1904" ht="22" customHeight="1">
      <x:c r="A1904" s="3"/>
      <x:c r="B1904" s="3" t="str">
        <x:v>15952</x:v>
      </x:c>
      <x:c r="C1904" s="3" t="n">
        <x:v>4</x:v>
      </x:c>
      <x:c r="D1904" s="51" t="n">
        <x:v>40853</x:v>
      </x:c>
      <x:c r="E1904" s="3" t="str">
        <x:v>Recurrente</x:v>
      </x:c>
      <x:c r="F1904" s="13" t="n">
        <x:v>806.57</x:v>
      </x:c>
      <x:c r="G1904" s="13" t="n">
        <x:v>0</x:v>
      </x:c>
      <x:c r="H1904" s="13" t="n">
        <x:f>F1904-G1904</x:f>
        <x:v>806.57</x:v>
      </x:c>
      <x:c r="I1904" s="13" t="n">
        <x:f>IF(C1904=0,"n.a.",F1904/C1904)</x:f>
        <x:v>201.6425</x:v>
      </x:c>
      <x:c r="J1904" s="3"/>
      <x:c r="K1904" s="3"/>
      <x:c r="L1904" s="3"/>
    </x:row>
    <x:row r="1905" ht="22" customHeight="1">
      <x:c r="A1905" s="3"/>
      <x:c r="B1905" s="3" t="str">
        <x:v>13707</x:v>
      </x:c>
      <x:c r="C1905" s="3" t="n">
        <x:v>2</x:v>
      </x:c>
      <x:c r="D1905" s="51" t="n">
        <x:v>40619</x:v>
      </x:c>
      <x:c r="E1905" s="3" t="str">
        <x:v>Recurrente</x:v>
      </x:c>
      <x:c r="F1905" s="13" t="n">
        <x:v>806.41</x:v>
      </x:c>
      <x:c r="G1905" s="13" t="n">
        <x:v>0</x:v>
      </x:c>
      <x:c r="H1905" s="13" t="n">
        <x:f>F1905-G1905</x:f>
        <x:v>806.41</x:v>
      </x:c>
      <x:c r="I1905" s="13" t="n">
        <x:f>IF(C1905=0,"n.a.",F1905/C1905)</x:f>
        <x:v>403.205</x:v>
      </x:c>
      <x:c r="J1905" s="3"/>
      <x:c r="K1905" s="3"/>
      <x:c r="L1905" s="3"/>
    </x:row>
    <x:row r="1906" ht="22" customHeight="1">
      <x:c r="A1906" s="3"/>
      <x:c r="B1906" s="3" t="str">
        <x:v>16869</x:v>
      </x:c>
      <x:c r="C1906" s="3" t="n">
        <x:v>4</x:v>
      </x:c>
      <x:c r="D1906" s="51" t="n">
        <x:v>40864</x:v>
      </x:c>
      <x:c r="E1906" s="3" t="str">
        <x:v>Recurrente</x:v>
      </x:c>
      <x:c r="F1906" s="13" t="n">
        <x:v>825.42</x:v>
      </x:c>
      <x:c r="G1906" s="13" t="n">
        <x:v>19.8</x:v>
      </x:c>
      <x:c r="H1906" s="13" t="n">
        <x:f>F1906-G1906</x:f>
        <x:v>805.62</x:v>
      </x:c>
      <x:c r="I1906" s="13" t="n">
        <x:f>IF(C1906=0,"n.a.",F1906/C1906)</x:f>
        <x:v>206.355</x:v>
      </x:c>
      <x:c r="J1906" s="3"/>
      <x:c r="K1906" s="3"/>
      <x:c r="L1906" s="3"/>
    </x:row>
    <x:row r="1907" ht="22" customHeight="1">
      <x:c r="A1907" s="3"/>
      <x:c r="B1907" s="3" t="str">
        <x:v>16367</x:v>
      </x:c>
      <x:c r="C1907" s="3" t="n">
        <x:v>2</x:v>
      </x:c>
      <x:c r="D1907" s="51" t="n">
        <x:v>40849</x:v>
      </x:c>
      <x:c r="E1907" s="3" t="str">
        <x:v>Recurrente</x:v>
      </x:c>
      <x:c r="F1907" s="13" t="n">
        <x:v>804.49</x:v>
      </x:c>
      <x:c r="G1907" s="13" t="n">
        <x:v>0</x:v>
      </x:c>
      <x:c r="H1907" s="13" t="n">
        <x:f>F1907-G1907</x:f>
        <x:v>804.49</x:v>
      </x:c>
      <x:c r="I1907" s="13" t="n">
        <x:f>IF(C1907=0,"n.a.",F1907/C1907)</x:f>
        <x:v>402.245</x:v>
      </x:c>
      <x:c r="J1907" s="3"/>
      <x:c r="K1907" s="3"/>
      <x:c r="L1907" s="3"/>
    </x:row>
    <x:row r="1908" ht="22" customHeight="1">
      <x:c r="A1908" s="3"/>
      <x:c r="B1908" s="3" t="str">
        <x:v>13929</x:v>
      </x:c>
      <x:c r="C1908" s="3" t="n">
        <x:v>2</x:v>
      </x:c>
      <x:c r="D1908" s="51" t="n">
        <x:v>40717</x:v>
      </x:c>
      <x:c r="E1908" s="3" t="str">
        <x:v>Recurrente</x:v>
      </x:c>
      <x:c r="F1908" s="13" t="n">
        <x:v>842.65</x:v>
      </x:c>
      <x:c r="G1908" s="13" t="n">
        <x:v>39.8</x:v>
      </x:c>
      <x:c r="H1908" s="13" t="n">
        <x:f>F1908-G1908</x:f>
        <x:v>802.85</x:v>
      </x:c>
      <x:c r="I1908" s="13" t="n">
        <x:f>IF(C1908=0,"n.a.",F1908/C1908)</x:f>
        <x:v>421.325</x:v>
      </x:c>
      <x:c r="J1908" s="3"/>
      <x:c r="K1908" s="3"/>
      <x:c r="L1908" s="3"/>
    </x:row>
    <x:row r="1909" ht="22" customHeight="1">
      <x:c r="A1909" s="3"/>
      <x:c r="B1909" s="3" t="str">
        <x:v>16164</x:v>
      </x:c>
      <x:c r="C1909" s="3" t="n">
        <x:v>3</x:v>
      </x:c>
      <x:c r="D1909" s="51" t="n">
        <x:v>40869</x:v>
      </x:c>
      <x:c r="E1909" s="3" t="str">
        <x:v>Recurrente</x:v>
      </x:c>
      <x:c r="F1909" s="13" t="n">
        <x:v>822.48</x:v>
      </x:c>
      <x:c r="G1909" s="13" t="n">
        <x:v>19.95</x:v>
      </x:c>
      <x:c r="H1909" s="13" t="n">
        <x:f>F1909-G1909</x:f>
        <x:v>802.53</x:v>
      </x:c>
      <x:c r="I1909" s="13" t="n">
        <x:f>IF(C1909=0,"n.a.",F1909/C1909)</x:f>
        <x:v>274.16</x:v>
      </x:c>
      <x:c r="J1909" s="3"/>
      <x:c r="K1909" s="3"/>
      <x:c r="L1909" s="3"/>
    </x:row>
    <x:row r="1910" ht="22" customHeight="1">
      <x:c r="A1910" s="3"/>
      <x:c r="B1910" s="3" t="str">
        <x:v>18265</x:v>
      </x:c>
      <x:c r="C1910" s="3" t="n">
        <x:v>2</x:v>
      </x:c>
      <x:c r="D1910" s="51" t="n">
        <x:v>40814</x:v>
      </x:c>
      <x:c r="E1910" s="3" t="str">
        <x:v>Recurrente</x:v>
      </x:c>
      <x:c r="F1910" s="13" t="n">
        <x:v>801.51</x:v>
      </x:c>
      <x:c r="G1910" s="13" t="n">
        <x:v>0</x:v>
      </x:c>
      <x:c r="H1910" s="13" t="n">
        <x:f>F1910-G1910</x:f>
        <x:v>801.51</x:v>
      </x:c>
      <x:c r="I1910" s="13" t="n">
        <x:f>IF(C1910=0,"n.a.",F1910/C1910)</x:f>
        <x:v>400.755</x:v>
      </x:c>
      <x:c r="J1910" s="3"/>
      <x:c r="K1910" s="3"/>
      <x:c r="L1910" s="3"/>
    </x:row>
    <x:row r="1911" ht="22" customHeight="1">
      <x:c r="A1911" s="3"/>
      <x:c r="B1911" s="3" t="str">
        <x:v>17905</x:v>
      </x:c>
      <x:c r="C1911" s="3" t="n">
        <x:v>4</x:v>
      </x:c>
      <x:c r="D1911" s="51" t="n">
        <x:v>40815</x:v>
      </x:c>
      <x:c r="E1911" s="3" t="str">
        <x:v>Recurrente</x:v>
      </x:c>
      <x:c r="F1911" s="13" t="n">
        <x:v>800.24</x:v>
      </x:c>
      <x:c r="G1911" s="13" t="n">
        <x:v>0</x:v>
      </x:c>
      <x:c r="H1911" s="13" t="n">
        <x:f>F1911-G1911</x:f>
        <x:v>800.24</x:v>
      </x:c>
      <x:c r="I1911" s="13" t="n">
        <x:f>IF(C1911=0,"n.a.",F1911/C1911)</x:f>
        <x:v>200.06</x:v>
      </x:c>
      <x:c r="J1911" s="3"/>
      <x:c r="K1911" s="3"/>
      <x:c r="L1911" s="3"/>
    </x:row>
    <x:row r="1912" ht="22" customHeight="1">
      <x:c r="A1912" s="3"/>
      <x:c r="B1912" s="3" t="str">
        <x:v>13720</x:v>
      </x:c>
      <x:c r="C1912" s="3" t="n">
        <x:v>4</x:v>
      </x:c>
      <x:c r="D1912" s="51" t="n">
        <x:v>40770</x:v>
      </x:c>
      <x:c r="E1912" s="3" t="str">
        <x:v>Recurrente</x:v>
      </x:c>
      <x:c r="F1912" s="13" t="n">
        <x:v>799.9</x:v>
      </x:c>
      <x:c r="G1912" s="13" t="n">
        <x:v>0</x:v>
      </x:c>
      <x:c r="H1912" s="13" t="n">
        <x:f>F1912-G1912</x:f>
        <x:v>799.9</x:v>
      </x:c>
      <x:c r="I1912" s="13" t="n">
        <x:f>IF(C1912=0,"n.a.",F1912/C1912)</x:f>
        <x:v>199.975</x:v>
      </x:c>
      <x:c r="J1912" s="3"/>
      <x:c r="K1912" s="3"/>
      <x:c r="L1912" s="3"/>
    </x:row>
    <x:row r="1913" ht="22" customHeight="1">
      <x:c r="A1913" s="3"/>
      <x:c r="B1913" s="3" t="str">
        <x:v>14475</x:v>
      </x:c>
      <x:c r="C1913" s="3" t="n">
        <x:v>3</x:v>
      </x:c>
      <x:c r="D1913" s="51" t="n">
        <x:v>40815</x:v>
      </x:c>
      <x:c r="E1913" s="3" t="str">
        <x:v>Recurrente</x:v>
      </x:c>
      <x:c r="F1913" s="13" t="n">
        <x:v>925.85</x:v>
      </x:c>
      <x:c r="G1913" s="13" t="n">
        <x:v>126.03</x:v>
      </x:c>
      <x:c r="H1913" s="13" t="n">
        <x:f>F1913-G1913</x:f>
        <x:v>799.82</x:v>
      </x:c>
      <x:c r="I1913" s="13" t="n">
        <x:f>IF(C1913=0,"n.a.",F1913/C1913)</x:f>
        <x:v>308.6166666666667</x:v>
      </x:c>
      <x:c r="J1913" s="3"/>
      <x:c r="K1913" s="3"/>
      <x:c r="L1913" s="3"/>
    </x:row>
    <x:row r="1914" ht="22" customHeight="1">
      <x:c r="A1914" s="3"/>
      <x:c r="B1914" s="3" t="str">
        <x:v>13030</x:v>
      </x:c>
      <x:c r="C1914" s="3" t="n">
        <x:v>2</x:v>
      </x:c>
      <x:c r="D1914" s="51" t="n">
        <x:v>40875</x:v>
      </x:c>
      <x:c r="E1914" s="3" t="str">
        <x:v>Recurrente</x:v>
      </x:c>
      <x:c r="F1914" s="13" t="n">
        <x:v>799.48</x:v>
      </x:c>
      <x:c r="G1914" s="13" t="n">
        <x:v>0</x:v>
      </x:c>
      <x:c r="H1914" s="13" t="n">
        <x:f>F1914-G1914</x:f>
        <x:v>799.48</x:v>
      </x:c>
      <x:c r="I1914" s="13" t="n">
        <x:f>IF(C1914=0,"n.a.",F1914/C1914)</x:f>
        <x:v>399.74</x:v>
      </x:c>
      <x:c r="J1914" s="3"/>
      <x:c r="K1914" s="3"/>
      <x:c r="L1914" s="3"/>
    </x:row>
    <x:row r="1915" ht="22" customHeight="1">
      <x:c r="A1915" s="3"/>
      <x:c r="B1915" s="3" t="str">
        <x:v>17703</x:v>
      </x:c>
      <x:c r="C1915" s="3" t="n">
        <x:v>3</x:v>
      </x:c>
      <x:c r="D1915" s="51" t="n">
        <x:v>40851</x:v>
      </x:c>
      <x:c r="E1915" s="3" t="str">
        <x:v>Recurrente</x:v>
      </x:c>
      <x:c r="F1915" s="13" t="n">
        <x:v>798.74</x:v>
      </x:c>
      <x:c r="G1915" s="13" t="n">
        <x:v>0</x:v>
      </x:c>
      <x:c r="H1915" s="13" t="n">
        <x:f>F1915-G1915</x:f>
        <x:v>798.74</x:v>
      </x:c>
      <x:c r="I1915" s="13" t="n">
        <x:f>IF(C1915=0,"n.a.",F1915/C1915)</x:f>
        <x:v>266.24666666666667</x:v>
      </x:c>
      <x:c r="J1915" s="3"/>
      <x:c r="K1915" s="3"/>
      <x:c r="L1915" s="3"/>
    </x:row>
    <x:row r="1916" ht="22" customHeight="1">
      <x:c r="A1916" s="3"/>
      <x:c r="B1916" s="3" t="str">
        <x:v>16438</x:v>
      </x:c>
      <x:c r="C1916" s="3" t="n">
        <x:v>5</x:v>
      </x:c>
      <x:c r="D1916" s="51" t="n">
        <x:v>40881</x:v>
      </x:c>
      <x:c r="E1916" s="3" t="str">
        <x:v>Recurrente</x:v>
      </x:c>
      <x:c r="F1916" s="13" t="n">
        <x:v>798.35</x:v>
      </x:c>
      <x:c r="G1916" s="13" t="n">
        <x:v>0</x:v>
      </x:c>
      <x:c r="H1916" s="13" t="n">
        <x:f>F1916-G1916</x:f>
        <x:v>798.35</x:v>
      </x:c>
      <x:c r="I1916" s="13" t="n">
        <x:f>IF(C1916=0,"n.a.",F1916/C1916)</x:f>
        <x:v>159.67000000000002</x:v>
      </x:c>
      <x:c r="J1916" s="3"/>
      <x:c r="K1916" s="3"/>
      <x:c r="L1916" s="3"/>
    </x:row>
    <x:row r="1917" ht="22" customHeight="1">
      <x:c r="A1917" s="3"/>
      <x:c r="B1917" s="3" t="str">
        <x:v>13389</x:v>
      </x:c>
      <x:c r="C1917" s="3" t="n">
        <x:v>3</x:v>
      </x:c>
      <x:c r="D1917" s="51" t="n">
        <x:v>40875</x:v>
      </x:c>
      <x:c r="E1917" s="3" t="str">
        <x:v>Recurrente</x:v>
      </x:c>
      <x:c r="F1917" s="13" t="n">
        <x:v>797.96</x:v>
      </x:c>
      <x:c r="G1917" s="13" t="n">
        <x:v>0</x:v>
      </x:c>
      <x:c r="H1917" s="13" t="n">
        <x:f>F1917-G1917</x:f>
        <x:v>797.96</x:v>
      </x:c>
      <x:c r="I1917" s="13" t="n">
        <x:f>IF(C1917=0,"n.a.",F1917/C1917)</x:f>
        <x:v>265.9866666666667</x:v>
      </x:c>
      <x:c r="J1917" s="3"/>
      <x:c r="K1917" s="3"/>
      <x:c r="L1917" s="3"/>
    </x:row>
    <x:row r="1918" ht="22" customHeight="1">
      <x:c r="A1918" s="3"/>
      <x:c r="B1918" s="3" t="str">
        <x:v>13336</x:v>
      </x:c>
      <x:c r="C1918" s="3" t="n">
        <x:v>1</x:v>
      </x:c>
      <x:c r="D1918" s="51" t="n">
        <x:v>40809</x:v>
      </x:c>
      <x:c r="E1918" s="3" t="str">
        <x:v>Una compra</x:v>
      </x:c>
      <x:c r="F1918" s="13" t="n">
        <x:v>795.12</x:v>
      </x:c>
      <x:c r="G1918" s="13" t="n">
        <x:v>0</x:v>
      </x:c>
      <x:c r="H1918" s="13" t="n">
        <x:f>F1918-G1918</x:f>
        <x:v>795.12</x:v>
      </x:c>
      <x:c r="I1918" s="13" t="n">
        <x:f>IF(C1918=0,"n.a.",F1918/C1918)</x:f>
        <x:v>795.12</x:v>
      </x:c>
      <x:c r="J1918" s="3"/>
      <x:c r="K1918" s="3"/>
      <x:c r="L1918" s="3"/>
    </x:row>
    <x:row r="1919" ht="22" customHeight="1">
      <x:c r="A1919" s="3"/>
      <x:c r="B1919" s="3" t="str">
        <x:v>12713</x:v>
      </x:c>
      <x:c r="C1919" s="3" t="n">
        <x:v>1</x:v>
      </x:c>
      <x:c r="D1919" s="51" t="n">
        <x:v>40886</x:v>
      </x:c>
      <x:c r="E1919" s="3" t="str">
        <x:v>Una compra</x:v>
      </x:c>
      <x:c r="F1919" s="13" t="n">
        <x:v>794.55</x:v>
      </x:c>
      <x:c r="G1919" s="13" t="n">
        <x:v>0</x:v>
      </x:c>
      <x:c r="H1919" s="13" t="n">
        <x:f>F1919-G1919</x:f>
        <x:v>794.55</x:v>
      </x:c>
      <x:c r="I1919" s="13" t="n">
        <x:f>IF(C1919=0,"n.a.",F1919/C1919)</x:f>
        <x:v>794.55</x:v>
      </x:c>
      <x:c r="J1919" s="3"/>
      <x:c r="K1919" s="3"/>
      <x:c r="L1919" s="3"/>
    </x:row>
    <x:row r="1920" ht="22" customHeight="1">
      <x:c r="A1920" s="3"/>
      <x:c r="B1920" s="3" t="str">
        <x:v>15990</x:v>
      </x:c>
      <x:c r="C1920" s="3" t="n">
        <x:v>2</x:v>
      </x:c>
      <x:c r="D1920" s="51" t="n">
        <x:v>40842</x:v>
      </x:c>
      <x:c r="E1920" s="3" t="str">
        <x:v>Recurrente</x:v>
      </x:c>
      <x:c r="F1920" s="13" t="n">
        <x:v>792.11</x:v>
      </x:c>
      <x:c r="G1920" s="13" t="n">
        <x:v>0</x:v>
      </x:c>
      <x:c r="H1920" s="13" t="n">
        <x:f>F1920-G1920</x:f>
        <x:v>792.11</x:v>
      </x:c>
      <x:c r="I1920" s="13" t="n">
        <x:f>IF(C1920=0,"n.a.",F1920/C1920)</x:f>
        <x:v>396.055</x:v>
      </x:c>
      <x:c r="J1920" s="3"/>
      <x:c r="K1920" s="3"/>
      <x:c r="L1920" s="3"/>
    </x:row>
    <x:row r="1921" ht="22" customHeight="1">
      <x:c r="A1921" s="3"/>
      <x:c r="B1921" s="3" t="str">
        <x:v>12680</x:v>
      </x:c>
      <x:c r="C1921" s="3" t="n">
        <x:v>4</x:v>
      </x:c>
      <x:c r="D1921" s="51" t="n">
        <x:v>40886</x:v>
      </x:c>
      <x:c r="E1921" s="3" t="str">
        <x:v>Recurrente</x:v>
      </x:c>
      <x:c r="F1921" s="13" t="n">
        <x:v>790.81</x:v>
      </x:c>
      <x:c r="G1921" s="13" t="n">
        <x:v>0</x:v>
      </x:c>
      <x:c r="H1921" s="13" t="n">
        <x:f>F1921-G1921</x:f>
        <x:v>790.81</x:v>
      </x:c>
      <x:c r="I1921" s="13" t="n">
        <x:f>IF(C1921=0,"n.a.",F1921/C1921)</x:f>
        <x:v>197.7025</x:v>
      </x:c>
      <x:c r="J1921" s="3"/>
      <x:c r="K1921" s="3"/>
      <x:c r="L1921" s="3"/>
    </x:row>
    <x:row r="1922" ht="22" customHeight="1">
      <x:c r="A1922" s="3"/>
      <x:c r="B1922" s="3" t="str">
        <x:v>13016</x:v>
      </x:c>
      <x:c r="C1922" s="3" t="n">
        <x:v>3</x:v>
      </x:c>
      <x:c r="D1922" s="51" t="n">
        <x:v>40813</x:v>
      </x:c>
      <x:c r="E1922" s="3" t="str">
        <x:v>Recurrente</x:v>
      </x:c>
      <x:c r="F1922" s="13" t="n">
        <x:v>789.89</x:v>
      </x:c>
      <x:c r="G1922" s="13" t="n">
        <x:v>0</x:v>
      </x:c>
      <x:c r="H1922" s="13" t="n">
        <x:f>F1922-G1922</x:f>
        <x:v>789.89</x:v>
      </x:c>
      <x:c r="I1922" s="13" t="n">
        <x:f>IF(C1922=0,"n.a.",F1922/C1922)</x:f>
        <x:v>263.2966666666667</x:v>
      </x:c>
      <x:c r="J1922" s="3"/>
      <x:c r="K1922" s="3"/>
      <x:c r="L1922" s="3"/>
    </x:row>
    <x:row r="1923" ht="22" customHeight="1">
      <x:c r="A1923" s="3"/>
      <x:c r="B1923" s="3" t="str">
        <x:v>12652</x:v>
      </x:c>
      <x:c r="C1923" s="3" t="n">
        <x:v>1</x:v>
      </x:c>
      <x:c r="D1923" s="51" t="n">
        <x:v>40555</x:v>
      </x:c>
      <x:c r="E1923" s="3" t="str">
        <x:v>Una compra</x:v>
      </x:c>
      <x:c r="F1923" s="13" t="n">
        <x:v>793.98</x:v>
      </x:c>
      <x:c r="G1923" s="13" t="n">
        <x:v>5.45</x:v>
      </x:c>
      <x:c r="H1923" s="13" t="n">
        <x:f>F1923-G1923</x:f>
        <x:v>788.53</x:v>
      </x:c>
      <x:c r="I1923" s="13" t="n">
        <x:f>IF(C1923=0,"n.a.",F1923/C1923)</x:f>
        <x:v>793.98</x:v>
      </x:c>
      <x:c r="J1923" s="3"/>
      <x:c r="K1923" s="3"/>
      <x:c r="L1923" s="3"/>
    </x:row>
    <x:row r="1924" ht="22" customHeight="1">
      <x:c r="A1924" s="3"/>
      <x:c r="B1924" s="3" t="str">
        <x:v>13323</x:v>
      </x:c>
      <x:c r="C1924" s="3" t="n">
        <x:v>5</x:v>
      </x:c>
      <x:c r="D1924" s="51" t="n">
        <x:v>40883</x:v>
      </x:c>
      <x:c r="E1924" s="3" t="str">
        <x:v>Recurrente</x:v>
      </x:c>
      <x:c r="F1924" s="13" t="n">
        <x:v>787.85</x:v>
      </x:c>
      <x:c r="G1924" s="13" t="n">
        <x:v>0</x:v>
      </x:c>
      <x:c r="H1924" s="13" t="n">
        <x:f>F1924-G1924</x:f>
        <x:v>787.85</x:v>
      </x:c>
      <x:c r="I1924" s="13" t="n">
        <x:f>IF(C1924=0,"n.a.",F1924/C1924)</x:f>
        <x:v>157.57</x:v>
      </x:c>
      <x:c r="J1924" s="3"/>
      <x:c r="K1924" s="3"/>
      <x:c r="L1924" s="3"/>
    </x:row>
    <x:row r="1925" ht="22" customHeight="1">
      <x:c r="A1925" s="3"/>
      <x:c r="B1925" s="3" t="str">
        <x:v>12458</x:v>
      </x:c>
      <x:c r="C1925" s="3" t="n">
        <x:v>2</x:v>
      </x:c>
      <x:c r="D1925" s="51" t="n">
        <x:v>40815</x:v>
      </x:c>
      <x:c r="E1925" s="3" t="str">
        <x:v>Recurrente</x:v>
      </x:c>
      <x:c r="F1925" s="13" t="n">
        <x:v>787.4</x:v>
      </x:c>
      <x:c r="G1925" s="13" t="n">
        <x:v>0</x:v>
      </x:c>
      <x:c r="H1925" s="13" t="n">
        <x:f>F1925-G1925</x:f>
        <x:v>787.4</x:v>
      </x:c>
      <x:c r="I1925" s="13" t="n">
        <x:f>IF(C1925=0,"n.a.",F1925/C1925)</x:f>
        <x:v>393.7</x:v>
      </x:c>
      <x:c r="J1925" s="3"/>
      <x:c r="K1925" s="3"/>
      <x:c r="L1925" s="3"/>
    </x:row>
    <x:row r="1926" ht="22" customHeight="1">
      <x:c r="A1926" s="3"/>
      <x:c r="B1926" s="3" t="str">
        <x:v>15806</x:v>
      </x:c>
      <x:c r="C1926" s="3" t="n">
        <x:v>3</x:v>
      </x:c>
      <x:c r="D1926" s="51" t="n">
        <x:v>40840</x:v>
      </x:c>
      <x:c r="E1926" s="3" t="str">
        <x:v>Recurrente</x:v>
      </x:c>
      <x:c r="F1926" s="13" t="n">
        <x:v>784.58</x:v>
      </x:c>
      <x:c r="G1926" s="13" t="n">
        <x:v>0</x:v>
      </x:c>
      <x:c r="H1926" s="13" t="n">
        <x:f>F1926-G1926</x:f>
        <x:v>784.58</x:v>
      </x:c>
      <x:c r="I1926" s="13" t="n">
        <x:f>IF(C1926=0,"n.a.",F1926/C1926)</x:f>
        <x:v>261.5266666666667</x:v>
      </x:c>
      <x:c r="J1926" s="3"/>
      <x:c r="K1926" s="3"/>
      <x:c r="L1926" s="3"/>
    </x:row>
    <x:row r="1927" ht="22" customHeight="1">
      <x:c r="A1927" s="3"/>
      <x:c r="B1927" s="3" t="str">
        <x:v>15743</x:v>
      </x:c>
      <x:c r="C1927" s="3" t="n">
        <x:v>4</x:v>
      </x:c>
      <x:c r="D1927" s="51" t="n">
        <x:v>40870</x:v>
      </x:c>
      <x:c r="E1927" s="3" t="str">
        <x:v>Recurrente</x:v>
      </x:c>
      <x:c r="F1927" s="13" t="n">
        <x:v>784.46</x:v>
      </x:c>
      <x:c r="G1927" s="13" t="n">
        <x:v>0</x:v>
      </x:c>
      <x:c r="H1927" s="13" t="n">
        <x:f>F1927-G1927</x:f>
        <x:v>784.46</x:v>
      </x:c>
      <x:c r="I1927" s="13" t="n">
        <x:f>IF(C1927=0,"n.a.",F1927/C1927)</x:f>
        <x:v>196.115</x:v>
      </x:c>
      <x:c r="J1927" s="3"/>
      <x:c r="K1927" s="3"/>
      <x:c r="L1927" s="3"/>
    </x:row>
    <x:row r="1928" ht="22" customHeight="1">
      <x:c r="A1928" s="3"/>
      <x:c r="B1928" s="3" t="str">
        <x:v>17387</x:v>
      </x:c>
      <x:c r="C1928" s="3" t="n">
        <x:v>2</x:v>
      </x:c>
      <x:c r="D1928" s="51" t="n">
        <x:v>40867</x:v>
      </x:c>
      <x:c r="E1928" s="3" t="str">
        <x:v>Recurrente</x:v>
      </x:c>
      <x:c r="F1928" s="13" t="n">
        <x:v>784.11</x:v>
      </x:c>
      <x:c r="G1928" s="13" t="n">
        <x:v>0</x:v>
      </x:c>
      <x:c r="H1928" s="13" t="n">
        <x:f>F1928-G1928</x:f>
        <x:v>784.11</x:v>
      </x:c>
      <x:c r="I1928" s="13" t="n">
        <x:f>IF(C1928=0,"n.a.",F1928/C1928)</x:f>
        <x:v>392.055</x:v>
      </x:c>
      <x:c r="J1928" s="3"/>
      <x:c r="K1928" s="3"/>
      <x:c r="L1928" s="3"/>
    </x:row>
    <x:row r="1929" ht="22" customHeight="1">
      <x:c r="A1929" s="3"/>
      <x:c r="B1929" s="3" t="str">
        <x:v>16054</x:v>
      </x:c>
      <x:c r="C1929" s="3" t="n">
        <x:v>1</x:v>
      </x:c>
      <x:c r="D1929" s="51" t="n">
        <x:v>40741</x:v>
      </x:c>
      <x:c r="E1929" s="3" t="str">
        <x:v>Una compra</x:v>
      </x:c>
      <x:c r="F1929" s="13" t="n">
        <x:v>783.9</x:v>
      </x:c>
      <x:c r="G1929" s="13" t="n">
        <x:v>0</x:v>
      </x:c>
      <x:c r="H1929" s="13" t="n">
        <x:f>F1929-G1929</x:f>
        <x:v>783.9</x:v>
      </x:c>
      <x:c r="I1929" s="13" t="n">
        <x:f>IF(C1929=0,"n.a.",F1929/C1929)</x:f>
        <x:v>783.9</x:v>
      </x:c>
      <x:c r="J1929" s="3"/>
      <x:c r="K1929" s="3"/>
      <x:c r="L1929" s="3"/>
    </x:row>
    <x:row r="1930" ht="22" customHeight="1">
      <x:c r="A1930" s="3"/>
      <x:c r="B1930" s="3" t="str">
        <x:v>18248</x:v>
      </x:c>
      <x:c r="C1930" s="3" t="n">
        <x:v>2</x:v>
      </x:c>
      <x:c r="D1930" s="51" t="n">
        <x:v>40764</x:v>
      </x:c>
      <x:c r="E1930" s="3" t="str">
        <x:v>Recurrente</x:v>
      </x:c>
      <x:c r="F1930" s="13" t="n">
        <x:v>804.02</x:v>
      </x:c>
      <x:c r="G1930" s="13" t="n">
        <x:v>21</x:v>
      </x:c>
      <x:c r="H1930" s="13" t="n">
        <x:f>F1930-G1930</x:f>
        <x:v>783.02</x:v>
      </x:c>
      <x:c r="I1930" s="13" t="n">
        <x:f>IF(C1930=0,"n.a.",F1930/C1930)</x:f>
        <x:v>402.01</x:v>
      </x:c>
      <x:c r="J1930" s="3"/>
      <x:c r="K1930" s="3"/>
      <x:c r="L1930" s="3"/>
    </x:row>
    <x:row r="1931" ht="22" customHeight="1">
      <x:c r="A1931" s="3"/>
      <x:c r="B1931" s="3" t="str">
        <x:v>17006</x:v>
      </x:c>
      <x:c r="C1931" s="3" t="n">
        <x:v>4</x:v>
      </x:c>
      <x:c r="D1931" s="51" t="n">
        <x:v>40882</x:v>
      </x:c>
      <x:c r="E1931" s="3" t="str">
        <x:v>Recurrente</x:v>
      </x:c>
      <x:c r="F1931" s="13" t="n">
        <x:v>781.78</x:v>
      </x:c>
      <x:c r="G1931" s="13" t="n">
        <x:v>0</x:v>
      </x:c>
      <x:c r="H1931" s="13" t="n">
        <x:f>F1931-G1931</x:f>
        <x:v>781.78</x:v>
      </x:c>
      <x:c r="I1931" s="13" t="n">
        <x:f>IF(C1931=0,"n.a.",F1931/C1931)</x:f>
        <x:v>195.445</x:v>
      </x:c>
      <x:c r="J1931" s="3"/>
      <x:c r="K1931" s="3"/>
      <x:c r="L1931" s="3"/>
    </x:row>
    <x:row r="1932" ht="22" customHeight="1">
      <x:c r="A1932" s="3"/>
      <x:c r="B1932" s="3" t="str">
        <x:v>17341</x:v>
      </x:c>
      <x:c r="C1932" s="3" t="n">
        <x:v>3</x:v>
      </x:c>
      <x:c r="D1932" s="51" t="n">
        <x:v>40730</x:v>
      </x:c>
      <x:c r="E1932" s="3" t="str">
        <x:v>Recurrente</x:v>
      </x:c>
      <x:c r="F1932" s="13" t="n">
        <x:v>781.36</x:v>
      </x:c>
      <x:c r="G1932" s="13" t="n">
        <x:v>0</x:v>
      </x:c>
      <x:c r="H1932" s="13" t="n">
        <x:f>F1932-G1932</x:f>
        <x:v>781.36</x:v>
      </x:c>
      <x:c r="I1932" s="13" t="n">
        <x:f>IF(C1932=0,"n.a.",F1932/C1932)</x:f>
        <x:v>260.4533333333333</x:v>
      </x:c>
      <x:c r="J1932" s="3"/>
      <x:c r="K1932" s="3"/>
      <x:c r="L1932" s="3"/>
    </x:row>
    <x:row r="1933" ht="22" customHeight="1">
      <x:c r="A1933" s="3"/>
      <x:c r="B1933" s="3" t="str">
        <x:v>13884</x:v>
      </x:c>
      <x:c r="C1933" s="3" t="n">
        <x:v>5</x:v>
      </x:c>
      <x:c r="D1933" s="51" t="n">
        <x:v>40879</x:v>
      </x:c>
      <x:c r="E1933" s="3" t="str">
        <x:v>Recurrente</x:v>
      </x:c>
      <x:c r="F1933" s="13" t="n">
        <x:v>787.6</x:v>
      </x:c>
      <x:c r="G1933" s="13" t="n">
        <x:v>6.3</x:v>
      </x:c>
      <x:c r="H1933" s="13" t="n">
        <x:f>F1933-G1933</x:f>
        <x:v>781.3000000000001</x:v>
      </x:c>
      <x:c r="I1933" s="13" t="n">
        <x:f>IF(C1933=0,"n.a.",F1933/C1933)</x:f>
        <x:v>157.52</x:v>
      </x:c>
      <x:c r="J1933" s="3"/>
      <x:c r="K1933" s="3"/>
      <x:c r="L1933" s="3"/>
    </x:row>
    <x:row r="1934" ht="22" customHeight="1">
      <x:c r="A1934" s="3"/>
      <x:c r="B1934" s="3" t="str">
        <x:v>15679</x:v>
      </x:c>
      <x:c r="C1934" s="3" t="n">
        <x:v>4</x:v>
      </x:c>
      <x:c r="D1934" s="51" t="n">
        <x:v>40862</x:v>
      </x:c>
      <x:c r="E1934" s="3" t="str">
        <x:v>Recurrente</x:v>
      </x:c>
      <x:c r="F1934" s="13" t="n">
        <x:v>781.28</x:v>
      </x:c>
      <x:c r="G1934" s="13" t="n">
        <x:v>0</x:v>
      </x:c>
      <x:c r="H1934" s="13" t="n">
        <x:f>F1934-G1934</x:f>
        <x:v>781.28</x:v>
      </x:c>
      <x:c r="I1934" s="13" t="n">
        <x:f>IF(C1934=0,"n.a.",F1934/C1934)</x:f>
        <x:v>195.32</x:v>
      </x:c>
      <x:c r="J1934" s="3"/>
      <x:c r="K1934" s="3"/>
      <x:c r="L1934" s="3"/>
    </x:row>
    <x:row r="1935" ht="22" customHeight="1">
      <x:c r="A1935" s="3"/>
      <x:c r="B1935" s="3" t="str">
        <x:v>13583</x:v>
      </x:c>
      <x:c r="C1935" s="3" t="n">
        <x:v>1</x:v>
      </x:c>
      <x:c r="D1935" s="51" t="n">
        <x:v>40731</x:v>
      </x:c>
      <x:c r="E1935" s="3" t="str">
        <x:v>Una compra</x:v>
      </x:c>
      <x:c r="F1935" s="13" t="n">
        <x:v>781.03</x:v>
      </x:c>
      <x:c r="G1935" s="13" t="n">
        <x:v>0</x:v>
      </x:c>
      <x:c r="H1935" s="13" t="n">
        <x:f>F1935-G1935</x:f>
        <x:v>781.03</x:v>
      </x:c>
      <x:c r="I1935" s="13" t="n">
        <x:f>IF(C1935=0,"n.a.",F1935/C1935)</x:f>
        <x:v>781.03</x:v>
      </x:c>
      <x:c r="J1935" s="3"/>
      <x:c r="K1935" s="3"/>
      <x:c r="L1935" s="3"/>
    </x:row>
    <x:row r="1936" ht="22" customHeight="1">
      <x:c r="A1936" s="3"/>
      <x:c r="B1936" s="3" t="str">
        <x:v>13212</x:v>
      </x:c>
      <x:c r="C1936" s="3" t="n">
        <x:v>3</x:v>
      </x:c>
      <x:c r="D1936" s="51" t="n">
        <x:v>40867</x:v>
      </x:c>
      <x:c r="E1936" s="3" t="str">
        <x:v>Recurrente</x:v>
      </x:c>
      <x:c r="F1936" s="13" t="n">
        <x:v>788.08</x:v>
      </x:c>
      <x:c r="G1936" s="13" t="n">
        <x:v>7.5</x:v>
      </x:c>
      <x:c r="H1936" s="13" t="n">
        <x:f>F1936-G1936</x:f>
        <x:v>780.58</x:v>
      </x:c>
      <x:c r="I1936" s="13" t="n">
        <x:f>IF(C1936=0,"n.a.",F1936/C1936)</x:f>
        <x:v>262.6933333333333</x:v>
      </x:c>
      <x:c r="J1936" s="3"/>
      <x:c r="K1936" s="3"/>
      <x:c r="L1936" s="3"/>
    </x:row>
    <x:row r="1937" ht="22" customHeight="1">
      <x:c r="A1937" s="3"/>
      <x:c r="B1937" s="3" t="str">
        <x:v>14644</x:v>
      </x:c>
      <x:c r="C1937" s="3" t="n">
        <x:v>2</x:v>
      </x:c>
      <x:c r="D1937" s="51" t="n">
        <x:v>40819</x:v>
      </x:c>
      <x:c r="E1937" s="3" t="str">
        <x:v>Recurrente</x:v>
      </x:c>
      <x:c r="F1937" s="13" t="n">
        <x:v>830.76</x:v>
      </x:c>
      <x:c r="G1937" s="13" t="n">
        <x:v>50.3</x:v>
      </x:c>
      <x:c r="H1937" s="13" t="n">
        <x:f>F1937-G1937</x:f>
        <x:v>780.46</x:v>
      </x:c>
      <x:c r="I1937" s="13" t="n">
        <x:f>IF(C1937=0,"n.a.",F1937/C1937)</x:f>
        <x:v>415.38</x:v>
      </x:c>
      <x:c r="J1937" s="3"/>
      <x:c r="K1937" s="3"/>
      <x:c r="L1937" s="3"/>
    </x:row>
    <x:row r="1938" ht="22" customHeight="1">
      <x:c r="A1938" s="3"/>
      <x:c r="B1938" s="3" t="str">
        <x:v>17797</x:v>
      </x:c>
      <x:c r="C1938" s="3" t="n">
        <x:v>3</x:v>
      </x:c>
      <x:c r="D1938" s="51" t="n">
        <x:v>40864</x:v>
      </x:c>
      <x:c r="E1938" s="3" t="str">
        <x:v>Recurrente</x:v>
      </x:c>
      <x:c r="F1938" s="13" t="n">
        <x:v>780.43</x:v>
      </x:c>
      <x:c r="G1938" s="13" t="n">
        <x:v>0</x:v>
      </x:c>
      <x:c r="H1938" s="13" t="n">
        <x:f>F1938-G1938</x:f>
        <x:v>780.43</x:v>
      </x:c>
      <x:c r="I1938" s="13" t="n">
        <x:f>IF(C1938=0,"n.a.",F1938/C1938)</x:f>
        <x:v>260.1433333333333</x:v>
      </x:c>
      <x:c r="J1938" s="3"/>
      <x:c r="K1938" s="3"/>
      <x:c r="L1938" s="3"/>
    </x:row>
    <x:row r="1939" ht="22" customHeight="1">
      <x:c r="A1939" s="3"/>
      <x:c r="B1939" s="3" t="str">
        <x:v>17180</x:v>
      </x:c>
      <x:c r="C1939" s="3" t="n">
        <x:v>4</x:v>
      </x:c>
      <x:c r="D1939" s="51" t="n">
        <x:v>40830</x:v>
      </x:c>
      <x:c r="E1939" s="3" t="str">
        <x:v>Recurrente</x:v>
      </x:c>
      <x:c r="F1939" s="13" t="n">
        <x:v>796.03</x:v>
      </x:c>
      <x:c r="G1939" s="13" t="n">
        <x:v>15.65</x:v>
      </x:c>
      <x:c r="H1939" s="13" t="n">
        <x:f>F1939-G1939</x:f>
        <x:v>780.38</x:v>
      </x:c>
      <x:c r="I1939" s="13" t="n">
        <x:f>IF(C1939=0,"n.a.",F1939/C1939)</x:f>
        <x:v>199.0075</x:v>
      </x:c>
      <x:c r="J1939" s="3"/>
      <x:c r="K1939" s="3"/>
      <x:c r="L1939" s="3"/>
    </x:row>
    <x:row r="1940" ht="22" customHeight="1">
      <x:c r="A1940" s="3"/>
      <x:c r="B1940" s="3" t="str">
        <x:v>16092</x:v>
      </x:c>
      <x:c r="C1940" s="3" t="n">
        <x:v>3</x:v>
      </x:c>
      <x:c r="D1940" s="51" t="n">
        <x:v>40772</x:v>
      </x:c>
      <x:c r="E1940" s="3" t="str">
        <x:v>Recurrente</x:v>
      </x:c>
      <x:c r="F1940" s="13" t="n">
        <x:v>817.86</x:v>
      </x:c>
      <x:c r="G1940" s="13" t="n">
        <x:v>38.5</x:v>
      </x:c>
      <x:c r="H1940" s="13" t="n">
        <x:f>F1940-G1940</x:f>
        <x:v>779.36</x:v>
      </x:c>
      <x:c r="I1940" s="13" t="n">
        <x:f>IF(C1940=0,"n.a.",F1940/C1940)</x:f>
        <x:v>272.62</x:v>
      </x:c>
      <x:c r="J1940" s="3"/>
      <x:c r="K1940" s="3"/>
      <x:c r="L1940" s="3"/>
    </x:row>
    <x:row r="1941" ht="22" customHeight="1">
      <x:c r="A1941" s="3"/>
      <x:c r="B1941" s="3" t="str">
        <x:v>13167</x:v>
      </x:c>
      <x:c r="C1941" s="3" t="n">
        <x:v>4</x:v>
      </x:c>
      <x:c r="D1941" s="51" t="n">
        <x:v>40868</x:v>
      </x:c>
      <x:c r="E1941" s="3" t="str">
        <x:v>Recurrente</x:v>
      </x:c>
      <x:c r="F1941" s="13" t="n">
        <x:v>779.33</x:v>
      </x:c>
      <x:c r="G1941" s="13" t="n">
        <x:v>0</x:v>
      </x:c>
      <x:c r="H1941" s="13" t="n">
        <x:f>F1941-G1941</x:f>
        <x:v>779.33</x:v>
      </x:c>
      <x:c r="I1941" s="13" t="n">
        <x:f>IF(C1941=0,"n.a.",F1941/C1941)</x:f>
        <x:v>194.8325</x:v>
      </x:c>
      <x:c r="J1941" s="3"/>
      <x:c r="K1941" s="3"/>
      <x:c r="L1941" s="3"/>
    </x:row>
    <x:row r="1942" ht="22" customHeight="1">
      <x:c r="A1942" s="3"/>
      <x:c r="B1942" s="3" t="str">
        <x:v>14815</x:v>
      </x:c>
      <x:c r="C1942" s="3" t="n">
        <x:v>2</x:v>
      </x:c>
      <x:c r="D1942" s="51" t="n">
        <x:v>40850</x:v>
      </x:c>
      <x:c r="E1942" s="3" t="str">
        <x:v>Recurrente</x:v>
      </x:c>
      <x:c r="F1942" s="13" t="n">
        <x:v>778.5</x:v>
      </x:c>
      <x:c r="G1942" s="13" t="n">
        <x:v>0</x:v>
      </x:c>
      <x:c r="H1942" s="13" t="n">
        <x:f>F1942-G1942</x:f>
        <x:v>778.5</x:v>
      </x:c>
      <x:c r="I1942" s="13" t="n">
        <x:f>IF(C1942=0,"n.a.",F1942/C1942)</x:f>
        <x:v>389.25</x:v>
      </x:c>
      <x:c r="J1942" s="3"/>
      <x:c r="K1942" s="3"/>
      <x:c r="L1942" s="3"/>
    </x:row>
    <x:row r="1943" ht="22" customHeight="1">
      <x:c r="A1943" s="3"/>
      <x:c r="B1943" s="3" t="str">
        <x:v>17414</x:v>
      </x:c>
      <x:c r="C1943" s="3" t="n">
        <x:v>2</x:v>
      </x:c>
      <x:c r="D1943" s="51" t="n">
        <x:v>40843</x:v>
      </x:c>
      <x:c r="E1943" s="3" t="str">
        <x:v>Recurrente</x:v>
      </x:c>
      <x:c r="F1943" s="13" t="n">
        <x:v>778</x:v>
      </x:c>
      <x:c r="G1943" s="13" t="n">
        <x:v>0</x:v>
      </x:c>
      <x:c r="H1943" s="13" t="n">
        <x:f>F1943-G1943</x:f>
        <x:v>778</x:v>
      </x:c>
      <x:c r="I1943" s="13" t="n">
        <x:f>IF(C1943=0,"n.a.",F1943/C1943)</x:f>
        <x:v>389</x:v>
      </x:c>
      <x:c r="J1943" s="3"/>
      <x:c r="K1943" s="3"/>
      <x:c r="L1943" s="3"/>
    </x:row>
    <x:row r="1944" ht="22" customHeight="1">
      <x:c r="A1944" s="3"/>
      <x:c r="B1944" s="3" t="str">
        <x:v>16505</x:v>
      </x:c>
      <x:c r="C1944" s="3" t="n">
        <x:v>1</x:v>
      </x:c>
      <x:c r="D1944" s="51" t="n">
        <x:v>40855</x:v>
      </x:c>
      <x:c r="E1944" s="3" t="str">
        <x:v>Una compra</x:v>
      </x:c>
      <x:c r="F1944" s="13" t="n">
        <x:v>777.6</x:v>
      </x:c>
      <x:c r="G1944" s="13" t="n">
        <x:v>0</x:v>
      </x:c>
      <x:c r="H1944" s="13" t="n">
        <x:f>F1944-G1944</x:f>
        <x:v>777.6</x:v>
      </x:c>
      <x:c r="I1944" s="13" t="n">
        <x:f>IF(C1944=0,"n.a.",F1944/C1944)</x:f>
        <x:v>777.6</x:v>
      </x:c>
      <x:c r="J1944" s="3"/>
      <x:c r="K1944" s="3"/>
      <x:c r="L1944" s="3"/>
    </x:row>
    <x:row r="1945" ht="22" customHeight="1">
      <x:c r="A1945" s="3"/>
      <x:c r="B1945" s="3" t="str">
        <x:v>13563</x:v>
      </x:c>
      <x:c r="C1945" s="3" t="n">
        <x:v>2</x:v>
      </x:c>
      <x:c r="D1945" s="51" t="n">
        <x:v>40802</x:v>
      </x:c>
      <x:c r="E1945" s="3" t="str">
        <x:v>Recurrente</x:v>
      </x:c>
      <x:c r="F1945" s="13" t="n">
        <x:v>777.53</x:v>
      </x:c>
      <x:c r="G1945" s="13" t="n">
        <x:v>0</x:v>
      </x:c>
      <x:c r="H1945" s="13" t="n">
        <x:f>F1945-G1945</x:f>
        <x:v>777.53</x:v>
      </x:c>
      <x:c r="I1945" s="13" t="n">
        <x:f>IF(C1945=0,"n.a.",F1945/C1945)</x:f>
        <x:v>388.765</x:v>
      </x:c>
      <x:c r="J1945" s="3"/>
      <x:c r="K1945" s="3"/>
      <x:c r="L1945" s="3"/>
    </x:row>
    <x:row r="1946" ht="22" customHeight="1">
      <x:c r="A1946" s="3"/>
      <x:c r="B1946" s="3" t="str">
        <x:v>12425</x:v>
      </x:c>
      <x:c r="C1946" s="3" t="n">
        <x:v>1</x:v>
      </x:c>
      <x:c r="D1946" s="51" t="n">
        <x:v>40808</x:v>
      </x:c>
      <x:c r="E1946" s="3" t="str">
        <x:v>Una compra</x:v>
      </x:c>
      <x:c r="F1946" s="13" t="n">
        <x:v>777.2</x:v>
      </x:c>
      <x:c r="G1946" s="13" t="n">
        <x:v>0</x:v>
      </x:c>
      <x:c r="H1946" s="13" t="n">
        <x:f>F1946-G1946</x:f>
        <x:v>777.2</x:v>
      </x:c>
      <x:c r="I1946" s="13" t="n">
        <x:f>IF(C1946=0,"n.a.",F1946/C1946)</x:f>
        <x:v>777.2</x:v>
      </x:c>
      <x:c r="J1946" s="3"/>
      <x:c r="K1946" s="3"/>
      <x:c r="L1946" s="3"/>
    </x:row>
    <x:row r="1947" ht="22" customHeight="1">
      <x:c r="A1947" s="3"/>
      <x:c r="B1947" s="3" t="str">
        <x:v>15353</x:v>
      </x:c>
      <x:c r="C1947" s="3" t="n">
        <x:v>2</x:v>
      </x:c>
      <x:c r="D1947" s="51" t="n">
        <x:v>40632</x:v>
      </x:c>
      <x:c r="E1947" s="3" t="str">
        <x:v>Recurrente</x:v>
      </x:c>
      <x:c r="F1947" s="13" t="n">
        <x:v>777.02</x:v>
      </x:c>
      <x:c r="G1947" s="13" t="n">
        <x:v>0</x:v>
      </x:c>
      <x:c r="H1947" s="13" t="n">
        <x:f>F1947-G1947</x:f>
        <x:v>777.02</x:v>
      </x:c>
      <x:c r="I1947" s="13" t="n">
        <x:f>IF(C1947=0,"n.a.",F1947/C1947)</x:f>
        <x:v>388.51</x:v>
      </x:c>
      <x:c r="J1947" s="3"/>
      <x:c r="K1947" s="3"/>
      <x:c r="L1947" s="3"/>
    </x:row>
    <x:row r="1948" ht="22" customHeight="1">
      <x:c r="A1948" s="3"/>
      <x:c r="B1948" s="3" t="str">
        <x:v>13341</x:v>
      </x:c>
      <x:c r="C1948" s="3" t="n">
        <x:v>1</x:v>
      </x:c>
      <x:c r="D1948" s="51" t="n">
        <x:v>40626</x:v>
      </x:c>
      <x:c r="E1948" s="3" t="str">
        <x:v>Una compra</x:v>
      </x:c>
      <x:c r="F1948" s="13" t="n">
        <x:v>775.85</x:v>
      </x:c>
      <x:c r="G1948" s="13" t="n">
        <x:v>0</x:v>
      </x:c>
      <x:c r="H1948" s="13" t="n">
        <x:f>F1948-G1948</x:f>
        <x:v>775.85</x:v>
      </x:c>
      <x:c r="I1948" s="13" t="n">
        <x:f>IF(C1948=0,"n.a.",F1948/C1948)</x:f>
        <x:v>775.85</x:v>
      </x:c>
      <x:c r="J1948" s="3"/>
      <x:c r="K1948" s="3"/>
      <x:c r="L1948" s="3"/>
    </x:row>
    <x:row r="1949" ht="22" customHeight="1">
      <x:c r="A1949" s="3"/>
      <x:c r="B1949" s="3" t="str">
        <x:v>16806</x:v>
      </x:c>
      <x:c r="C1949" s="3" t="n">
        <x:v>4</x:v>
      </x:c>
      <x:c r="D1949" s="51" t="n">
        <x:v>40783</x:v>
      </x:c>
      <x:c r="E1949" s="3" t="str">
        <x:v>Recurrente</x:v>
      </x:c>
      <x:c r="F1949" s="13" t="n">
        <x:v>775.54</x:v>
      </x:c>
      <x:c r="G1949" s="13" t="n">
        <x:v>0</x:v>
      </x:c>
      <x:c r="H1949" s="13" t="n">
        <x:f>F1949-G1949</x:f>
        <x:v>775.54</x:v>
      </x:c>
      <x:c r="I1949" s="13" t="n">
        <x:f>IF(C1949=0,"n.a.",F1949/C1949)</x:f>
        <x:v>193.885</x:v>
      </x:c>
      <x:c r="J1949" s="3"/>
      <x:c r="K1949" s="3"/>
      <x:c r="L1949" s="3"/>
    </x:row>
    <x:row r="1950" ht="22" customHeight="1">
      <x:c r="A1950" s="3"/>
      <x:c r="B1950" s="3" t="str">
        <x:v>14234</x:v>
      </x:c>
      <x:c r="C1950" s="3" t="n">
        <x:v>4</x:v>
      </x:c>
      <x:c r="D1950" s="51" t="n">
        <x:v>40864</x:v>
      </x:c>
      <x:c r="E1950" s="3" t="str">
        <x:v>Recurrente</x:v>
      </x:c>
      <x:c r="F1950" s="13" t="n">
        <x:v>775.46</x:v>
      </x:c>
      <x:c r="G1950" s="13" t="n">
        <x:v>0</x:v>
      </x:c>
      <x:c r="H1950" s="13" t="n">
        <x:f>F1950-G1950</x:f>
        <x:v>775.46</x:v>
      </x:c>
      <x:c r="I1950" s="13" t="n">
        <x:f>IF(C1950=0,"n.a.",F1950/C1950)</x:f>
        <x:v>193.865</x:v>
      </x:c>
      <x:c r="J1950" s="3"/>
      <x:c r="K1950" s="3"/>
      <x:c r="L1950" s="3"/>
    </x:row>
    <x:row r="1951" ht="22" customHeight="1">
      <x:c r="A1951" s="3"/>
      <x:c r="B1951" s="3" t="str">
        <x:v>12379</x:v>
      </x:c>
      <x:c r="C1951" s="3" t="n">
        <x:v>2</x:v>
      </x:c>
      <x:c r="D1951" s="51" t="n">
        <x:v>40805</x:v>
      </x:c>
      <x:c r="E1951" s="3" t="str">
        <x:v>Recurrente</x:v>
      </x:c>
      <x:c r="F1951" s="13" t="n">
        <x:v>777.24</x:v>
      </x:c>
      <x:c r="G1951" s="13" t="n">
        <x:v>1.95</x:v>
      </x:c>
      <x:c r="H1951" s="13" t="n">
        <x:f>F1951-G1951</x:f>
        <x:v>775.29</x:v>
      </x:c>
      <x:c r="I1951" s="13" t="n">
        <x:f>IF(C1951=0,"n.a.",F1951/C1951)</x:f>
        <x:v>388.62</x:v>
      </x:c>
      <x:c r="J1951" s="3"/>
      <x:c r="K1951" s="3"/>
      <x:c r="L1951" s="3"/>
    </x:row>
    <x:row r="1952" ht="22" customHeight="1">
      <x:c r="A1952" s="3"/>
      <x:c r="B1952" s="3" t="str">
        <x:v>16825</x:v>
      </x:c>
      <x:c r="C1952" s="3" t="n">
        <x:v>2</x:v>
      </x:c>
      <x:c r="D1952" s="51" t="n">
        <x:v>40848</x:v>
      </x:c>
      <x:c r="E1952" s="3" t="str">
        <x:v>Recurrente</x:v>
      </x:c>
      <x:c r="F1952" s="13" t="n">
        <x:v>775.18</x:v>
      </x:c>
      <x:c r="G1952" s="13" t="n">
        <x:v>0</x:v>
      </x:c>
      <x:c r="H1952" s="13" t="n">
        <x:f>F1952-G1952</x:f>
        <x:v>775.18</x:v>
      </x:c>
      <x:c r="I1952" s="13" t="n">
        <x:f>IF(C1952=0,"n.a.",F1952/C1952)</x:f>
        <x:v>387.59</x:v>
      </x:c>
      <x:c r="J1952" s="3"/>
      <x:c r="K1952" s="3"/>
      <x:c r="L1952" s="3"/>
    </x:row>
    <x:row r="1953" ht="22" customHeight="1">
      <x:c r="A1953" s="3"/>
      <x:c r="B1953" s="3" t="str">
        <x:v>15414</x:v>
      </x:c>
      <x:c r="C1953" s="3" t="n">
        <x:v>3</x:v>
      </x:c>
      <x:c r="D1953" s="51" t="n">
        <x:v>40877</x:v>
      </x:c>
      <x:c r="E1953" s="3" t="str">
        <x:v>Recurrente</x:v>
      </x:c>
      <x:c r="F1953" s="13" t="n">
        <x:v>774.9</x:v>
      </x:c>
      <x:c r="G1953" s="13" t="n">
        <x:v>0</x:v>
      </x:c>
      <x:c r="H1953" s="13" t="n">
        <x:f>F1953-G1953</x:f>
        <x:v>774.9</x:v>
      </x:c>
      <x:c r="I1953" s="13" t="n">
        <x:f>IF(C1953=0,"n.a.",F1953/C1953)</x:f>
        <x:v>258.3</x:v>
      </x:c>
      <x:c r="J1953" s="3"/>
      <x:c r="K1953" s="3"/>
      <x:c r="L1953" s="3"/>
    </x:row>
    <x:row r="1954" ht="22" customHeight="1">
      <x:c r="A1954" s="3"/>
      <x:c r="B1954" s="3" t="str">
        <x:v>16043</x:v>
      </x:c>
      <x:c r="C1954" s="3" t="n">
        <x:v>4</x:v>
      </x:c>
      <x:c r="D1954" s="51" t="n">
        <x:v>40849</x:v>
      </x:c>
      <x:c r="E1954" s="3" t="str">
        <x:v>Recurrente</x:v>
      </x:c>
      <x:c r="F1954" s="13" t="n">
        <x:v>773.99</x:v>
      </x:c>
      <x:c r="G1954" s="13" t="n">
        <x:v>0</x:v>
      </x:c>
      <x:c r="H1954" s="13" t="n">
        <x:f>F1954-G1954</x:f>
        <x:v>773.99</x:v>
      </x:c>
      <x:c r="I1954" s="13" t="n">
        <x:f>IF(C1954=0,"n.a.",F1954/C1954)</x:f>
        <x:v>193.4975</x:v>
      </x:c>
      <x:c r="J1954" s="3"/>
      <x:c r="K1954" s="3"/>
      <x:c r="L1954" s="3"/>
    </x:row>
    <x:row r="1955" ht="22" customHeight="1">
      <x:c r="A1955" s="3"/>
      <x:c r="B1955" s="3" t="str">
        <x:v>16725</x:v>
      </x:c>
      <x:c r="C1955" s="3" t="n">
        <x:v>6</x:v>
      </x:c>
      <x:c r="D1955" s="51" t="n">
        <x:v>40584</x:v>
      </x:c>
      <x:c r="E1955" s="3" t="str">
        <x:v>Recurrente</x:v>
      </x:c>
      <x:c r="F1955" s="13" t="n">
        <x:v>779.57</x:v>
      </x:c>
      <x:c r="G1955" s="13" t="n">
        <x:v>5.95</x:v>
      </x:c>
      <x:c r="H1955" s="13" t="n">
        <x:f>F1955-G1955</x:f>
        <x:v>773.62</x:v>
      </x:c>
      <x:c r="I1955" s="13" t="n">
        <x:f>IF(C1955=0,"n.a.",F1955/C1955)</x:f>
        <x:v>129.92833333333334</x:v>
      </x:c>
      <x:c r="J1955" s="3"/>
      <x:c r="K1955" s="3"/>
      <x:c r="L1955" s="3"/>
    </x:row>
    <x:row r="1956" ht="22" customHeight="1">
      <x:c r="A1956" s="3"/>
      <x:c r="B1956" s="3" t="str">
        <x:v>15075</x:v>
      </x:c>
      <x:c r="C1956" s="3" t="n">
        <x:v>1</x:v>
      </x:c>
      <x:c r="D1956" s="51" t="n">
        <x:v>40809</x:v>
      </x:c>
      <x:c r="E1956" s="3" t="str">
        <x:v>Una compra</x:v>
      </x:c>
      <x:c r="F1956" s="13" t="n">
        <x:v>773.03</x:v>
      </x:c>
      <x:c r="G1956" s="13" t="n">
        <x:v>0</x:v>
      </x:c>
      <x:c r="H1956" s="13" t="n">
        <x:f>F1956-G1956</x:f>
        <x:v>773.03</x:v>
      </x:c>
      <x:c r="I1956" s="13" t="n">
        <x:f>IF(C1956=0,"n.a.",F1956/C1956)</x:f>
        <x:v>773.03</x:v>
      </x:c>
      <x:c r="J1956" s="3"/>
      <x:c r="K1956" s="3"/>
      <x:c r="L1956" s="3"/>
    </x:row>
    <x:row r="1957" ht="22" customHeight="1">
      <x:c r="A1957" s="3"/>
      <x:c r="B1957" s="3" t="str">
        <x:v>13375</x:v>
      </x:c>
      <x:c r="C1957" s="3" t="n">
        <x:v>1</x:v>
      </x:c>
      <x:c r="D1957" s="51" t="n">
        <x:v>40798</x:v>
      </x:c>
      <x:c r="E1957" s="3" t="str">
        <x:v>Una compra</x:v>
      </x:c>
      <x:c r="F1957" s="13" t="n">
        <x:v>778.65</x:v>
      </x:c>
      <x:c r="G1957" s="13" t="n">
        <x:v>5.75</x:v>
      </x:c>
      <x:c r="H1957" s="13" t="n">
        <x:f>F1957-G1957</x:f>
        <x:v>772.9</x:v>
      </x:c>
      <x:c r="I1957" s="13" t="n">
        <x:f>IF(C1957=0,"n.a.",F1957/C1957)</x:f>
        <x:v>778.65</x:v>
      </x:c>
      <x:c r="J1957" s="3"/>
      <x:c r="K1957" s="3"/>
      <x:c r="L1957" s="3"/>
    </x:row>
    <x:row r="1958" ht="22" customHeight="1">
      <x:c r="A1958" s="3"/>
      <x:c r="B1958" s="3" t="str">
        <x:v>16759</x:v>
      </x:c>
      <x:c r="C1958" s="3" t="n">
        <x:v>3</x:v>
      </x:c>
      <x:c r="D1958" s="51" t="n">
        <x:v>40879</x:v>
      </x:c>
      <x:c r="E1958" s="3" t="str">
        <x:v>Recurrente</x:v>
      </x:c>
      <x:c r="F1958" s="13" t="n">
        <x:v>789.79</x:v>
      </x:c>
      <x:c r="G1958" s="13" t="n">
        <x:v>16.95</x:v>
      </x:c>
      <x:c r="H1958" s="13" t="n">
        <x:f>F1958-G1958</x:f>
        <x:v>772.8399999999999</x:v>
      </x:c>
      <x:c r="I1958" s="13" t="n">
        <x:f>IF(C1958=0,"n.a.",F1958/C1958)</x:f>
        <x:v>263.2633333333333</x:v>
      </x:c>
      <x:c r="J1958" s="3"/>
      <x:c r="K1958" s="3"/>
      <x:c r="L1958" s="3"/>
    </x:row>
    <x:row r="1959" ht="22" customHeight="1">
      <x:c r="A1959" s="3"/>
      <x:c r="B1959" s="3" t="str">
        <x:v>12965</x:v>
      </x:c>
      <x:c r="C1959" s="3" t="n">
        <x:v>1</x:v>
      </x:c>
      <x:c r="D1959" s="51" t="n">
        <x:v>40797</x:v>
      </x:c>
      <x:c r="E1959" s="3" t="str">
        <x:v>Una compra</x:v>
      </x:c>
      <x:c r="F1959" s="13" t="n">
        <x:v>771.91</x:v>
      </x:c>
      <x:c r="G1959" s="13" t="n">
        <x:v>0</x:v>
      </x:c>
      <x:c r="H1959" s="13" t="n">
        <x:f>F1959-G1959</x:f>
        <x:v>771.91</x:v>
      </x:c>
      <x:c r="I1959" s="13" t="n">
        <x:f>IF(C1959=0,"n.a.",F1959/C1959)</x:f>
        <x:v>771.91</x:v>
      </x:c>
      <x:c r="J1959" s="3"/>
      <x:c r="K1959" s="3"/>
      <x:c r="L1959" s="3"/>
    </x:row>
    <x:row r="1960" ht="22" customHeight="1">
      <x:c r="A1960" s="3"/>
      <x:c r="B1960" s="3" t="str">
        <x:v>17409</x:v>
      </x:c>
      <x:c r="C1960" s="3" t="n">
        <x:v>2</x:v>
      </x:c>
      <x:c r="D1960" s="51" t="n">
        <x:v>40702</x:v>
      </x:c>
      <x:c r="E1960" s="3" t="str">
        <x:v>Recurrente</x:v>
      </x:c>
      <x:c r="F1960" s="13" t="n">
        <x:v>771.85</x:v>
      </x:c>
      <x:c r="G1960" s="13" t="n">
        <x:v>0</x:v>
      </x:c>
      <x:c r="H1960" s="13" t="n">
        <x:f>F1960-G1960</x:f>
        <x:v>771.85</x:v>
      </x:c>
      <x:c r="I1960" s="13" t="n">
        <x:f>IF(C1960=0,"n.a.",F1960/C1960)</x:f>
        <x:v>385.925</x:v>
      </x:c>
      <x:c r="J1960" s="3"/>
      <x:c r="K1960" s="3"/>
      <x:c r="L1960" s="3"/>
    </x:row>
    <x:row r="1961" ht="22" customHeight="1">
      <x:c r="A1961" s="3"/>
      <x:c r="B1961" s="3" t="str">
        <x:v>14662</x:v>
      </x:c>
      <x:c r="C1961" s="3" t="n">
        <x:v>4</x:v>
      </x:c>
      <x:c r="D1961" s="51" t="n">
        <x:v>40858</x:v>
      </x:c>
      <x:c r="E1961" s="3" t="str">
        <x:v>Recurrente</x:v>
      </x:c>
      <x:c r="F1961" s="13" t="n">
        <x:v>771.17</x:v>
      </x:c>
      <x:c r="G1961" s="13" t="n">
        <x:v>0</x:v>
      </x:c>
      <x:c r="H1961" s="13" t="n">
        <x:f>F1961-G1961</x:f>
        <x:v>771.17</x:v>
      </x:c>
      <x:c r="I1961" s="13" t="n">
        <x:f>IF(C1961=0,"n.a.",F1961/C1961)</x:f>
        <x:v>192.7925</x:v>
      </x:c>
      <x:c r="J1961" s="3"/>
      <x:c r="K1961" s="3"/>
      <x:c r="L1961" s="3"/>
    </x:row>
    <x:row r="1962" ht="22" customHeight="1">
      <x:c r="A1962" s="3"/>
      <x:c r="B1962" s="3" t="str">
        <x:v>16480</x:v>
      </x:c>
      <x:c r="C1962" s="3" t="n">
        <x:v>1</x:v>
      </x:c>
      <x:c r="D1962" s="51" t="n">
        <x:v>40811</x:v>
      </x:c>
      <x:c r="E1962" s="3" t="str">
        <x:v>Una compra</x:v>
      </x:c>
      <x:c r="F1962" s="13" t="n">
        <x:v>769.29</x:v>
      </x:c>
      <x:c r="G1962" s="13" t="n">
        <x:v>0</x:v>
      </x:c>
      <x:c r="H1962" s="13" t="n">
        <x:f>F1962-G1962</x:f>
        <x:v>769.29</x:v>
      </x:c>
      <x:c r="I1962" s="13" t="n">
        <x:f>IF(C1962=0,"n.a.",F1962/C1962)</x:f>
        <x:v>769.29</x:v>
      </x:c>
      <x:c r="J1962" s="3"/>
      <x:c r="K1962" s="3"/>
      <x:c r="L1962" s="3"/>
    </x:row>
    <x:row r="1963" ht="22" customHeight="1">
      <x:c r="A1963" s="3"/>
      <x:c r="B1963" s="3" t="str">
        <x:v>18228</x:v>
      </x:c>
      <x:c r="C1963" s="3" t="n">
        <x:v>2</x:v>
      </x:c>
      <x:c r="D1963" s="51" t="n">
        <x:v>40830</x:v>
      </x:c>
      <x:c r="E1963" s="3" t="str">
        <x:v>Recurrente</x:v>
      </x:c>
      <x:c r="F1963" s="13" t="n">
        <x:v>779.9</x:v>
      </x:c>
      <x:c r="G1963" s="13" t="n">
        <x:v>10.7</x:v>
      </x:c>
      <x:c r="H1963" s="13" t="n">
        <x:f>F1963-G1963</x:f>
        <x:v>769.1999999999999</x:v>
      </x:c>
      <x:c r="I1963" s="13" t="n">
        <x:f>IF(C1963=0,"n.a.",F1963/C1963)</x:f>
        <x:v>389.95</x:v>
      </x:c>
      <x:c r="J1963" s="3"/>
      <x:c r="K1963" s="3"/>
      <x:c r="L1963" s="3"/>
    </x:row>
    <x:row r="1964" ht="22" customHeight="1">
      <x:c r="A1964" s="3"/>
      <x:c r="B1964" s="3" t="str">
        <x:v>13356</x:v>
      </x:c>
      <x:c r="C1964" s="3" t="n">
        <x:v>1</x:v>
      </x:c>
      <x:c r="D1964" s="51" t="n">
        <x:v>40806</x:v>
      </x:c>
      <x:c r="E1964" s="3" t="str">
        <x:v>Una compra</x:v>
      </x:c>
      <x:c r="F1964" s="13" t="n">
        <x:v>768.24</x:v>
      </x:c>
      <x:c r="G1964" s="13" t="n">
        <x:v>0</x:v>
      </x:c>
      <x:c r="H1964" s="13" t="n">
        <x:f>F1964-G1964</x:f>
        <x:v>768.24</x:v>
      </x:c>
      <x:c r="I1964" s="13" t="n">
        <x:f>IF(C1964=0,"n.a.",F1964/C1964)</x:f>
        <x:v>768.24</x:v>
      </x:c>
      <x:c r="J1964" s="3"/>
      <x:c r="K1964" s="3"/>
      <x:c r="L1964" s="3"/>
    </x:row>
    <x:row r="1965" ht="22" customHeight="1">
      <x:c r="A1965" s="3"/>
      <x:c r="B1965" s="3" t="str">
        <x:v>17516</x:v>
      </x:c>
      <x:c r="C1965" s="3" t="n">
        <x:v>5</x:v>
      </x:c>
      <x:c r="D1965" s="51" t="n">
        <x:v>40871</x:v>
      </x:c>
      <x:c r="E1965" s="3" t="str">
        <x:v>Recurrente</x:v>
      </x:c>
      <x:c r="F1965" s="13" t="n">
        <x:v>768.08</x:v>
      </x:c>
      <x:c r="G1965" s="13" t="n">
        <x:v>0</x:v>
      </x:c>
      <x:c r="H1965" s="13" t="n">
        <x:f>F1965-G1965</x:f>
        <x:v>768.08</x:v>
      </x:c>
      <x:c r="I1965" s="13" t="n">
        <x:f>IF(C1965=0,"n.a.",F1965/C1965)</x:f>
        <x:v>153.616</x:v>
      </x:c>
      <x:c r="J1965" s="3"/>
      <x:c r="K1965" s="3"/>
      <x:c r="L1965" s="3"/>
    </x:row>
    <x:row r="1966" ht="22" customHeight="1">
      <x:c r="A1966" s="3"/>
      <x:c r="B1966" s="3" t="str">
        <x:v>13109</x:v>
      </x:c>
      <x:c r="C1966" s="3" t="n">
        <x:v>2</x:v>
      </x:c>
      <x:c r="D1966" s="51" t="n">
        <x:v>40827</x:v>
      </x:c>
      <x:c r="E1966" s="3" t="str">
        <x:v>Recurrente</x:v>
      </x:c>
      <x:c r="F1966" s="13" t="n">
        <x:v>786.54</x:v>
      </x:c>
      <x:c r="G1966" s="13" t="n">
        <x:v>19.7</x:v>
      </x:c>
      <x:c r="H1966" s="13" t="n">
        <x:f>F1966-G1966</x:f>
        <x:v>766.8399999999999</x:v>
      </x:c>
      <x:c r="I1966" s="13" t="n">
        <x:f>IF(C1966=0,"n.a.",F1966/C1966)</x:f>
        <x:v>393.27</x:v>
      </x:c>
      <x:c r="J1966" s="3"/>
      <x:c r="K1966" s="3"/>
      <x:c r="L1966" s="3"/>
    </x:row>
    <x:row r="1967" ht="22" customHeight="1">
      <x:c r="A1967" s="3"/>
      <x:c r="B1967" s="3" t="str">
        <x:v>14550</x:v>
      </x:c>
      <x:c r="C1967" s="3" t="n">
        <x:v>2</x:v>
      </x:c>
      <x:c r="D1967" s="51" t="n">
        <x:v>40876</x:v>
      </x:c>
      <x:c r="E1967" s="3" t="str">
        <x:v>Recurrente</x:v>
      </x:c>
      <x:c r="F1967" s="13" t="n">
        <x:v>765.62</x:v>
      </x:c>
      <x:c r="G1967" s="13" t="n">
        <x:v>0</x:v>
      </x:c>
      <x:c r="H1967" s="13" t="n">
        <x:f>F1967-G1967</x:f>
        <x:v>765.62</x:v>
      </x:c>
      <x:c r="I1967" s="13" t="n">
        <x:f>IF(C1967=0,"n.a.",F1967/C1967)</x:f>
        <x:v>382.81</x:v>
      </x:c>
      <x:c r="J1967" s="3"/>
      <x:c r="K1967" s="3"/>
      <x:c r="L1967" s="3"/>
    </x:row>
    <x:row r="1968" ht="22" customHeight="1">
      <x:c r="A1968" s="3"/>
      <x:c r="B1968" s="3" t="str">
        <x:v>14672</x:v>
      </x:c>
      <x:c r="C1968" s="3" t="n">
        <x:v>2</x:v>
      </x:c>
      <x:c r="D1968" s="51" t="n">
        <x:v>40652</x:v>
      </x:c>
      <x:c r="E1968" s="3" t="str">
        <x:v>Recurrente</x:v>
      </x:c>
      <x:c r="F1968" s="13" t="n">
        <x:v>765.55</x:v>
      </x:c>
      <x:c r="G1968" s="13" t="n">
        <x:v>0</x:v>
      </x:c>
      <x:c r="H1968" s="13" t="n">
        <x:f>F1968-G1968</x:f>
        <x:v>765.55</x:v>
      </x:c>
      <x:c r="I1968" s="13" t="n">
        <x:f>IF(C1968=0,"n.a.",F1968/C1968)</x:f>
        <x:v>382.775</x:v>
      </x:c>
      <x:c r="J1968" s="3"/>
      <x:c r="K1968" s="3"/>
      <x:c r="L1968" s="3"/>
    </x:row>
    <x:row r="1969" ht="22" customHeight="1">
      <x:c r="A1969" s="3"/>
      <x:c r="B1969" s="3" t="str">
        <x:v>17695</x:v>
      </x:c>
      <x:c r="C1969" s="3" t="n">
        <x:v>2</x:v>
      </x:c>
      <x:c r="D1969" s="51" t="n">
        <x:v>40755</x:v>
      </x:c>
      <x:c r="E1969" s="3" t="str">
        <x:v>Recurrente</x:v>
      </x:c>
      <x:c r="F1969" s="13" t="n">
        <x:v>765.34</x:v>
      </x:c>
      <x:c r="G1969" s="13" t="n">
        <x:v>0</x:v>
      </x:c>
      <x:c r="H1969" s="13" t="n">
        <x:f>F1969-G1969</x:f>
        <x:v>765.34</x:v>
      </x:c>
      <x:c r="I1969" s="13" t="n">
        <x:f>IF(C1969=0,"n.a.",F1969/C1969)</x:f>
        <x:v>382.67</x:v>
      </x:c>
      <x:c r="J1969" s="3"/>
      <x:c r="K1969" s="3"/>
      <x:c r="L1969" s="3"/>
    </x:row>
    <x:row r="1970" ht="22" customHeight="1">
      <x:c r="A1970" s="3"/>
      <x:c r="B1970" s="3" t="str">
        <x:v>14885</x:v>
      </x:c>
      <x:c r="C1970" s="3" t="n">
        <x:v>1</x:v>
      </x:c>
      <x:c r="D1970" s="51" t="n">
        <x:v>40755</x:v>
      </x:c>
      <x:c r="E1970" s="3" t="str">
        <x:v>Una compra</x:v>
      </x:c>
      <x:c r="F1970" s="13" t="n">
        <x:v>765.32</x:v>
      </x:c>
      <x:c r="G1970" s="13" t="n">
        <x:v>0</x:v>
      </x:c>
      <x:c r="H1970" s="13" t="n">
        <x:f>F1970-G1970</x:f>
        <x:v>765.32</x:v>
      </x:c>
      <x:c r="I1970" s="13" t="n">
        <x:f>IF(C1970=0,"n.a.",F1970/C1970)</x:f>
        <x:v>765.32</x:v>
      </x:c>
      <x:c r="J1970" s="3"/>
      <x:c r="K1970" s="3"/>
      <x:c r="L1970" s="3"/>
    </x:row>
    <x:row r="1971" ht="22" customHeight="1">
      <x:c r="A1971" s="3"/>
      <x:c r="B1971" s="3" t="str">
        <x:v>12434</x:v>
      </x:c>
      <x:c r="C1971" s="3" t="n">
        <x:v>2</x:v>
      </x:c>
      <x:c r="D1971" s="51" t="n">
        <x:v>40802</x:v>
      </x:c>
      <x:c r="E1971" s="3" t="str">
        <x:v>Recurrente</x:v>
      </x:c>
      <x:c r="F1971" s="13" t="n">
        <x:v>806.14</x:v>
      </x:c>
      <x:c r="G1971" s="13" t="n">
        <x:v>40.95</x:v>
      </x:c>
      <x:c r="H1971" s="13" t="n">
        <x:f>F1971-G1971</x:f>
        <x:v>765.1899999999999</x:v>
      </x:c>
      <x:c r="I1971" s="13" t="n">
        <x:f>IF(C1971=0,"n.a.",F1971/C1971)</x:f>
        <x:v>403.07</x:v>
      </x:c>
      <x:c r="J1971" s="3"/>
      <x:c r="K1971" s="3"/>
      <x:c r="L1971" s="3"/>
    </x:row>
    <x:row r="1972" ht="22" customHeight="1">
      <x:c r="A1972" s="3"/>
      <x:c r="B1972" s="3" t="str">
        <x:v>15239</x:v>
      </x:c>
      <x:c r="C1972" s="3" t="n">
        <x:v>2</x:v>
      </x:c>
      <x:c r="D1972" s="51" t="n">
        <x:v>40876</x:v>
      </x:c>
      <x:c r="E1972" s="3" t="str">
        <x:v>Recurrente</x:v>
      </x:c>
      <x:c r="F1972" s="13" t="n">
        <x:v>780.59</x:v>
      </x:c>
      <x:c r="G1972" s="13" t="n">
        <x:v>16.25</x:v>
      </x:c>
      <x:c r="H1972" s="13" t="n">
        <x:f>F1972-G1972</x:f>
        <x:v>764.34</x:v>
      </x:c>
      <x:c r="I1972" s="13" t="n">
        <x:f>IF(C1972=0,"n.a.",F1972/C1972)</x:f>
        <x:v>390.295</x:v>
      </x:c>
      <x:c r="J1972" s="3"/>
      <x:c r="K1972" s="3"/>
      <x:c r="L1972" s="3"/>
    </x:row>
    <x:row r="1973" ht="22" customHeight="1">
      <x:c r="A1973" s="3"/>
      <x:c r="B1973" s="3" t="str">
        <x:v>17268</x:v>
      </x:c>
      <x:c r="C1973" s="3" t="n">
        <x:v>4</x:v>
      </x:c>
      <x:c r="D1973" s="51" t="n">
        <x:v>40779</x:v>
      </x:c>
      <x:c r="E1973" s="3" t="str">
        <x:v>Recurrente</x:v>
      </x:c>
      <x:c r="F1973" s="13" t="n">
        <x:v>763.64</x:v>
      </x:c>
      <x:c r="G1973" s="13" t="n">
        <x:v>0</x:v>
      </x:c>
      <x:c r="H1973" s="13" t="n">
        <x:f>F1973-G1973</x:f>
        <x:v>763.64</x:v>
      </x:c>
      <x:c r="I1973" s="13" t="n">
        <x:f>IF(C1973=0,"n.a.",F1973/C1973)</x:f>
        <x:v>190.91</x:v>
      </x:c>
      <x:c r="J1973" s="3"/>
      <x:c r="K1973" s="3"/>
      <x:c r="L1973" s="3"/>
    </x:row>
    <x:row r="1974" ht="22" customHeight="1">
      <x:c r="A1974" s="3"/>
      <x:c r="B1974" s="3" t="str">
        <x:v>17466</x:v>
      </x:c>
      <x:c r="C1974" s="3" t="n">
        <x:v>2</x:v>
      </x:c>
      <x:c r="D1974" s="51" t="n">
        <x:v>40876</x:v>
      </x:c>
      <x:c r="E1974" s="3" t="str">
        <x:v>Recurrente</x:v>
      </x:c>
      <x:c r="F1974" s="13" t="n">
        <x:v>763.28</x:v>
      </x:c>
      <x:c r="G1974" s="13" t="n">
        <x:v>0</x:v>
      </x:c>
      <x:c r="H1974" s="13" t="n">
        <x:f>F1974-G1974</x:f>
        <x:v>763.28</x:v>
      </x:c>
      <x:c r="I1974" s="13" t="n">
        <x:f>IF(C1974=0,"n.a.",F1974/C1974)</x:f>
        <x:v>381.64</x:v>
      </x:c>
      <x:c r="J1974" s="3"/>
      <x:c r="K1974" s="3"/>
      <x:c r="L1974" s="3"/>
    </x:row>
    <x:row r="1975" ht="22" customHeight="1">
      <x:c r="A1975" s="3"/>
      <x:c r="B1975" s="3" t="str">
        <x:v>18136</x:v>
      </x:c>
      <x:c r="C1975" s="3" t="n">
        <x:v>3</x:v>
      </x:c>
      <x:c r="D1975" s="51" t="n">
        <x:v>40823</x:v>
      </x:c>
      <x:c r="E1975" s="3" t="str">
        <x:v>Recurrente</x:v>
      </x:c>
      <x:c r="F1975" s="13" t="n">
        <x:v>784.33</x:v>
      </x:c>
      <x:c r="G1975" s="13" t="n">
        <x:v>22.5</x:v>
      </x:c>
      <x:c r="H1975" s="13" t="n">
        <x:f>F1975-G1975</x:f>
        <x:v>761.83</x:v>
      </x:c>
      <x:c r="I1975" s="13" t="n">
        <x:f>IF(C1975=0,"n.a.",F1975/C1975)</x:f>
        <x:v>261.4433333333333</x:v>
      </x:c>
      <x:c r="J1975" s="3"/>
      <x:c r="K1975" s="3"/>
      <x:c r="L1975" s="3"/>
    </x:row>
    <x:row r="1976" ht="22" customHeight="1">
      <x:c r="A1976" s="3"/>
      <x:c r="B1976" s="3" t="str">
        <x:v>15599</x:v>
      </x:c>
      <x:c r="C1976" s="3" t="n">
        <x:v>2</x:v>
      </x:c>
      <x:c r="D1976" s="51" t="n">
        <x:v>40860</x:v>
      </x:c>
      <x:c r="E1976" s="3" t="str">
        <x:v>Recurrente</x:v>
      </x:c>
      <x:c r="F1976" s="13" t="n">
        <x:v>761.74</x:v>
      </x:c>
      <x:c r="G1976" s="13" t="n">
        <x:v>0</x:v>
      </x:c>
      <x:c r="H1976" s="13" t="n">
        <x:f>F1976-G1976</x:f>
        <x:v>761.74</x:v>
      </x:c>
      <x:c r="I1976" s="13" t="n">
        <x:f>IF(C1976=0,"n.a.",F1976/C1976)</x:f>
        <x:v>380.87</x:v>
      </x:c>
      <x:c r="J1976" s="3"/>
      <x:c r="K1976" s="3"/>
      <x:c r="L1976" s="3"/>
    </x:row>
    <x:row r="1977" ht="22" customHeight="1">
      <x:c r="A1977" s="3"/>
      <x:c r="B1977" s="3" t="str">
        <x:v>12694</x:v>
      </x:c>
      <x:c r="C1977" s="3" t="n">
        <x:v>2</x:v>
      </x:c>
      <x:c r="D1977" s="51" t="n">
        <x:v>40816</x:v>
      </x:c>
      <x:c r="E1977" s="3" t="str">
        <x:v>Recurrente</x:v>
      </x:c>
      <x:c r="F1977" s="13" t="n">
        <x:v>761.67</x:v>
      </x:c>
      <x:c r="G1977" s="13" t="n">
        <x:v>0</x:v>
      </x:c>
      <x:c r="H1977" s="13" t="n">
        <x:f>F1977-G1977</x:f>
        <x:v>761.67</x:v>
      </x:c>
      <x:c r="I1977" s="13" t="n">
        <x:f>IF(C1977=0,"n.a.",F1977/C1977)</x:f>
        <x:v>380.835</x:v>
      </x:c>
      <x:c r="J1977" s="3"/>
      <x:c r="K1977" s="3"/>
      <x:c r="L1977" s="3"/>
    </x:row>
    <x:row r="1978" ht="22" customHeight="1">
      <x:c r="A1978" s="3"/>
      <x:c r="B1978" s="3" t="str">
        <x:v>14412</x:v>
      </x:c>
      <x:c r="C1978" s="3" t="n">
        <x:v>2</x:v>
      </x:c>
      <x:c r="D1978" s="51" t="n">
        <x:v>40844</x:v>
      </x:c>
      <x:c r="E1978" s="3" t="str">
        <x:v>Recurrente</x:v>
      </x:c>
      <x:c r="F1978" s="13" t="n">
        <x:v>770.03</x:v>
      </x:c>
      <x:c r="G1978" s="13" t="n">
        <x:v>8.7</x:v>
      </x:c>
      <x:c r="H1978" s="13" t="n">
        <x:f>F1978-G1978</x:f>
        <x:v>761.3299999999999</x:v>
      </x:c>
      <x:c r="I1978" s="13" t="n">
        <x:f>IF(C1978=0,"n.a.",F1978/C1978)</x:f>
        <x:v>385.015</x:v>
      </x:c>
      <x:c r="J1978" s="3"/>
      <x:c r="K1978" s="3"/>
      <x:c r="L1978" s="3"/>
    </x:row>
    <x:row r="1979" ht="22" customHeight="1">
      <x:c r="A1979" s="3"/>
      <x:c r="B1979" s="3" t="str">
        <x:v>15066</x:v>
      </x:c>
      <x:c r="C1979" s="3" t="n">
        <x:v>1</x:v>
      </x:c>
      <x:c r="D1979" s="51" t="n">
        <x:v>40833</x:v>
      </x:c>
      <x:c r="E1979" s="3" t="str">
        <x:v>Una compra</x:v>
      </x:c>
      <x:c r="F1979" s="13" t="n">
        <x:v>893.59</x:v>
      </x:c>
      <x:c r="G1979" s="13" t="n">
        <x:v>133</x:v>
      </x:c>
      <x:c r="H1979" s="13" t="n">
        <x:f>F1979-G1979</x:f>
        <x:v>760.59</x:v>
      </x:c>
      <x:c r="I1979" s="13" t="n">
        <x:f>IF(C1979=0,"n.a.",F1979/C1979)</x:f>
        <x:v>893.59</x:v>
      </x:c>
      <x:c r="J1979" s="3"/>
      <x:c r="K1979" s="3"/>
      <x:c r="L1979" s="3"/>
    </x:row>
    <x:row r="1980" ht="22" customHeight="1">
      <x:c r="A1980" s="3"/>
      <x:c r="B1980" s="3" t="str">
        <x:v>17425</x:v>
      </x:c>
      <x:c r="C1980" s="3" t="n">
        <x:v>2</x:v>
      </x:c>
      <x:c r="D1980" s="51" t="n">
        <x:v>40867</x:v>
      </x:c>
      <x:c r="E1980" s="3" t="str">
        <x:v>Recurrente</x:v>
      </x:c>
      <x:c r="F1980" s="13" t="n">
        <x:v>759.17</x:v>
      </x:c>
      <x:c r="G1980" s="13" t="n">
        <x:v>0</x:v>
      </x:c>
      <x:c r="H1980" s="13" t="n">
        <x:f>F1980-G1980</x:f>
        <x:v>759.17</x:v>
      </x:c>
      <x:c r="I1980" s="13" t="n">
        <x:f>IF(C1980=0,"n.a.",F1980/C1980)</x:f>
        <x:v>379.585</x:v>
      </x:c>
      <x:c r="J1980" s="3"/>
      <x:c r="K1980" s="3"/>
      <x:c r="L1980" s="3"/>
    </x:row>
    <x:row r="1981" ht="22" customHeight="1">
      <x:c r="A1981" s="3"/>
      <x:c r="B1981" s="3" t="str">
        <x:v>16036</x:v>
      </x:c>
      <x:c r="C1981" s="3" t="n">
        <x:v>2</x:v>
      </x:c>
      <x:c r="D1981" s="51" t="n">
        <x:v>40799</x:v>
      </x:c>
      <x:c r="E1981" s="3" t="str">
        <x:v>Recurrente</x:v>
      </x:c>
      <x:c r="F1981" s="13" t="n">
        <x:v>758.92</x:v>
      </x:c>
      <x:c r="G1981" s="13" t="n">
        <x:v>0</x:v>
      </x:c>
      <x:c r="H1981" s="13" t="n">
        <x:f>F1981-G1981</x:f>
        <x:v>758.92</x:v>
      </x:c>
      <x:c r="I1981" s="13" t="n">
        <x:f>IF(C1981=0,"n.a.",F1981/C1981)</x:f>
        <x:v>379.46</x:v>
      </x:c>
      <x:c r="J1981" s="3"/>
      <x:c r="K1981" s="3"/>
      <x:c r="L1981" s="3"/>
    </x:row>
    <x:row r="1982" ht="22" customHeight="1">
      <x:c r="A1982" s="3"/>
      <x:c r="B1982" s="3" t="str">
        <x:v>15568</x:v>
      </x:c>
      <x:c r="C1982" s="3" t="n">
        <x:v>3</x:v>
      </x:c>
      <x:c r="D1982" s="51" t="n">
        <x:v>40884</x:v>
      </x:c>
      <x:c r="E1982" s="3" t="str">
        <x:v>Recurrente</x:v>
      </x:c>
      <x:c r="F1982" s="13" t="n">
        <x:v>758.29</x:v>
      </x:c>
      <x:c r="G1982" s="13" t="n">
        <x:v>0</x:v>
      </x:c>
      <x:c r="H1982" s="13" t="n">
        <x:f>F1982-G1982</x:f>
        <x:v>758.29</x:v>
      </x:c>
      <x:c r="I1982" s="13" t="n">
        <x:f>IF(C1982=0,"n.a.",F1982/C1982)</x:f>
        <x:v>252.76333333333332</x:v>
      </x:c>
      <x:c r="J1982" s="3"/>
      <x:c r="K1982" s="3"/>
      <x:c r="L1982" s="3"/>
    </x:row>
    <x:row r="1983" ht="22" customHeight="1">
      <x:c r="A1983" s="3"/>
      <x:c r="B1983" s="3" t="str">
        <x:v>17461</x:v>
      </x:c>
      <x:c r="C1983" s="3" t="n">
        <x:v>3</x:v>
      </x:c>
      <x:c r="D1983" s="51" t="n">
        <x:v>40864</x:v>
      </x:c>
      <x:c r="E1983" s="3" t="str">
        <x:v>Recurrente</x:v>
      </x:c>
      <x:c r="F1983" s="13" t="n">
        <x:v>757.46</x:v>
      </x:c>
      <x:c r="G1983" s="13" t="n">
        <x:v>0</x:v>
      </x:c>
      <x:c r="H1983" s="13" t="n">
        <x:f>F1983-G1983</x:f>
        <x:v>757.46</x:v>
      </x:c>
      <x:c r="I1983" s="13" t="n">
        <x:f>IF(C1983=0,"n.a.",F1983/C1983)</x:f>
        <x:v>252.48666666666668</x:v>
      </x:c>
      <x:c r="J1983" s="3"/>
      <x:c r="K1983" s="3"/>
      <x:c r="L1983" s="3"/>
    </x:row>
    <x:row r="1984" ht="22" customHeight="1">
      <x:c r="A1984" s="3"/>
      <x:c r="B1984" s="3" t="str">
        <x:v>16470</x:v>
      </x:c>
      <x:c r="C1984" s="3" t="n">
        <x:v>4</x:v>
      </x:c>
      <x:c r="D1984" s="51" t="n">
        <x:v>40835</x:v>
      </x:c>
      <x:c r="E1984" s="3" t="str">
        <x:v>Recurrente</x:v>
      </x:c>
      <x:c r="F1984" s="13" t="n">
        <x:v>762.39</x:v>
      </x:c>
      <x:c r="G1984" s="13" t="n">
        <x:v>4.95</x:v>
      </x:c>
      <x:c r="H1984" s="13" t="n">
        <x:f>F1984-G1984</x:f>
        <x:v>757.4399999999999</x:v>
      </x:c>
      <x:c r="I1984" s="13" t="n">
        <x:f>IF(C1984=0,"n.a.",F1984/C1984)</x:f>
        <x:v>190.5975</x:v>
      </x:c>
      <x:c r="J1984" s="3"/>
      <x:c r="K1984" s="3"/>
      <x:c r="L1984" s="3"/>
    </x:row>
    <x:row r="1985" ht="22" customHeight="1">
      <x:c r="A1985" s="3"/>
      <x:c r="B1985" s="3" t="str">
        <x:v>14883</x:v>
      </x:c>
      <x:c r="C1985" s="3" t="n">
        <x:v>6</x:v>
      </x:c>
      <x:c r="D1985" s="51" t="n">
        <x:v>40868</x:v>
      </x:c>
      <x:c r="E1985" s="3" t="str">
        <x:v>Recurrente</x:v>
      </x:c>
      <x:c r="F1985" s="13" t="n">
        <x:v>761.59</x:v>
      </x:c>
      <x:c r="G1985" s="13" t="n">
        <x:v>4.95</x:v>
      </x:c>
      <x:c r="H1985" s="13" t="n">
        <x:f>F1985-G1985</x:f>
        <x:v>756.64</x:v>
      </x:c>
      <x:c r="I1985" s="13" t="n">
        <x:f>IF(C1985=0,"n.a.",F1985/C1985)</x:f>
        <x:v>126.93166666666667</x:v>
      </x:c>
      <x:c r="J1985" s="3"/>
      <x:c r="K1985" s="3"/>
      <x:c r="L1985" s="3"/>
    </x:row>
    <x:row r="1986" ht="22" customHeight="1">
      <x:c r="A1986" s="3"/>
      <x:c r="B1986" s="3" t="str">
        <x:v>16205</x:v>
      </x:c>
      <x:c r="C1986" s="3" t="n">
        <x:v>4</x:v>
      </x:c>
      <x:c r="D1986" s="51" t="n">
        <x:v>40856</x:v>
      </x:c>
      <x:c r="E1986" s="3" t="str">
        <x:v>Recurrente</x:v>
      </x:c>
      <x:c r="F1986" s="13" t="n">
        <x:v>754.78</x:v>
      </x:c>
      <x:c r="G1986" s="13" t="n">
        <x:v>0</x:v>
      </x:c>
      <x:c r="H1986" s="13" t="n">
        <x:f>F1986-G1986</x:f>
        <x:v>754.78</x:v>
      </x:c>
      <x:c r="I1986" s="13" t="n">
        <x:f>IF(C1986=0,"n.a.",F1986/C1986)</x:f>
        <x:v>188.695</x:v>
      </x:c>
      <x:c r="J1986" s="3"/>
      <x:c r="K1986" s="3"/>
      <x:c r="L1986" s="3"/>
    </x:row>
    <x:row r="1987" ht="22" customHeight="1">
      <x:c r="A1987" s="3"/>
      <x:c r="B1987" s="3" t="str">
        <x:v>18104</x:v>
      </x:c>
      <x:c r="C1987" s="3" t="n">
        <x:v>1</x:v>
      </x:c>
      <x:c r="D1987" s="51" t="n">
        <x:v>40849</x:v>
      </x:c>
      <x:c r="E1987" s="3" t="str">
        <x:v>Una compra</x:v>
      </x:c>
      <x:c r="F1987" s="13" t="n">
        <x:v>754.64</x:v>
      </x:c>
      <x:c r="G1987" s="13" t="n">
        <x:v>0</x:v>
      </x:c>
      <x:c r="H1987" s="13" t="n">
        <x:f>F1987-G1987</x:f>
        <x:v>754.64</x:v>
      </x:c>
      <x:c r="I1987" s="13" t="n">
        <x:f>IF(C1987=0,"n.a.",F1987/C1987)</x:f>
        <x:v>754.64</x:v>
      </x:c>
      <x:c r="J1987" s="3"/>
      <x:c r="K1987" s="3"/>
      <x:c r="L1987" s="3"/>
    </x:row>
    <x:row r="1988" ht="22" customHeight="1">
      <x:c r="A1988" s="3"/>
      <x:c r="B1988" s="3" t="str">
        <x:v>13730</x:v>
      </x:c>
      <x:c r="C1988" s="3" t="n">
        <x:v>2</x:v>
      </x:c>
      <x:c r="D1988" s="51" t="n">
        <x:v>40751</x:v>
      </x:c>
      <x:c r="E1988" s="3" t="str">
        <x:v>Recurrente</x:v>
      </x:c>
      <x:c r="F1988" s="13" t="n">
        <x:v>752.6</x:v>
      </x:c>
      <x:c r="G1988" s="13" t="n">
        <x:v>0</x:v>
      </x:c>
      <x:c r="H1988" s="13" t="n">
        <x:f>F1988-G1988</x:f>
        <x:v>752.6</x:v>
      </x:c>
      <x:c r="I1988" s="13" t="n">
        <x:f>IF(C1988=0,"n.a.",F1988/C1988)</x:f>
        <x:v>376.3</x:v>
      </x:c>
      <x:c r="J1988" s="3"/>
      <x:c r="K1988" s="3"/>
      <x:c r="L1988" s="3"/>
    </x:row>
    <x:row r="1989" ht="22" customHeight="1">
      <x:c r="A1989" s="3"/>
      <x:c r="B1989" s="3" t="str">
        <x:v>12772</x:v>
      </x:c>
      <x:c r="C1989" s="3" t="n">
        <x:v>1</x:v>
      </x:c>
      <x:c r="D1989" s="51" t="n">
        <x:v>40827</x:v>
      </x:c>
      <x:c r="E1989" s="3" t="str">
        <x:v>Una compra</x:v>
      </x:c>
      <x:c r="F1989" s="13" t="n">
        <x:v>752.47</x:v>
      </x:c>
      <x:c r="G1989" s="13" t="n">
        <x:v>0</x:v>
      </x:c>
      <x:c r="H1989" s="13" t="n">
        <x:f>F1989-G1989</x:f>
        <x:v>752.47</x:v>
      </x:c>
      <x:c r="I1989" s="13" t="n">
        <x:f>IF(C1989=0,"n.a.",F1989/C1989)</x:f>
        <x:v>752.47</x:v>
      </x:c>
      <x:c r="J1989" s="3"/>
      <x:c r="K1989" s="3"/>
      <x:c r="L1989" s="3"/>
    </x:row>
    <x:row r="1990" ht="22" customHeight="1">
      <x:c r="A1990" s="3"/>
      <x:c r="B1990" s="3" t="str">
        <x:v>14976</x:v>
      </x:c>
      <x:c r="C1990" s="3" t="n">
        <x:v>6</x:v>
      </x:c>
      <x:c r="D1990" s="51" t="n">
        <x:v>40829</x:v>
      </x:c>
      <x:c r="E1990" s="3" t="str">
        <x:v>Recurrente</x:v>
      </x:c>
      <x:c r="F1990" s="13" t="n">
        <x:v>774.86</x:v>
      </x:c>
      <x:c r="G1990" s="13" t="n">
        <x:v>25</x:v>
      </x:c>
      <x:c r="H1990" s="13" t="n">
        <x:f>F1990-G1990</x:f>
        <x:v>749.86</x:v>
      </x:c>
      <x:c r="I1990" s="13" t="n">
        <x:f>IF(C1990=0,"n.a.",F1990/C1990)</x:f>
        <x:v>129.14333333333335</x:v>
      </x:c>
      <x:c r="J1990" s="3"/>
      <x:c r="K1990" s="3"/>
      <x:c r="L1990" s="3"/>
    </x:row>
    <x:row r="1991" ht="22" customHeight="1">
      <x:c r="A1991" s="3"/>
      <x:c r="B1991" s="3" t="str">
        <x:v>17146</x:v>
      </x:c>
      <x:c r="C1991" s="3" t="n">
        <x:v>3</x:v>
      </x:c>
      <x:c r="D1991" s="51" t="n">
        <x:v>40781</x:v>
      </x:c>
      <x:c r="E1991" s="3" t="str">
        <x:v>Recurrente</x:v>
      </x:c>
      <x:c r="F1991" s="13" t="n">
        <x:v>749.78</x:v>
      </x:c>
      <x:c r="G1991" s="13" t="n">
        <x:v>0</x:v>
      </x:c>
      <x:c r="H1991" s="13" t="n">
        <x:f>F1991-G1991</x:f>
        <x:v>749.78</x:v>
      </x:c>
      <x:c r="I1991" s="13" t="n">
        <x:f>IF(C1991=0,"n.a.",F1991/C1991)</x:f>
        <x:v>249.92666666666665</x:v>
      </x:c>
      <x:c r="J1991" s="3"/>
      <x:c r="K1991" s="3"/>
      <x:c r="L1991" s="3"/>
    </x:row>
    <x:row r="1992" ht="22" customHeight="1">
      <x:c r="A1992" s="3"/>
      <x:c r="B1992" s="3" t="str">
        <x:v>14923</x:v>
      </x:c>
      <x:c r="C1992" s="3" t="n">
        <x:v>1</x:v>
      </x:c>
      <x:c r="D1992" s="51" t="n">
        <x:v>40836</x:v>
      </x:c>
      <x:c r="E1992" s="3" t="str">
        <x:v>Una compra</x:v>
      </x:c>
      <x:c r="F1992" s="13" t="n">
        <x:v>749.1</x:v>
      </x:c>
      <x:c r="G1992" s="13" t="n">
        <x:v>0</x:v>
      </x:c>
      <x:c r="H1992" s="13" t="n">
        <x:f>F1992-G1992</x:f>
        <x:v>749.1</x:v>
      </x:c>
      <x:c r="I1992" s="13" t="n">
        <x:f>IF(C1992=0,"n.a.",F1992/C1992)</x:f>
        <x:v>749.1</x:v>
      </x:c>
      <x:c r="J1992" s="3"/>
      <x:c r="K1992" s="3"/>
      <x:c r="L1992" s="3"/>
    </x:row>
    <x:row r="1993" ht="22" customHeight="1">
      <x:c r="A1993" s="3"/>
      <x:c r="B1993" s="3" t="str">
        <x:v>17411</x:v>
      </x:c>
      <x:c r="C1993" s="3" t="n">
        <x:v>3</x:v>
      </x:c>
      <x:c r="D1993" s="51" t="n">
        <x:v>40874</x:v>
      </x:c>
      <x:c r="E1993" s="3" t="str">
        <x:v>Recurrente</x:v>
      </x:c>
      <x:c r="F1993" s="13" t="n">
        <x:v>778.94</x:v>
      </x:c>
      <x:c r="G1993" s="13" t="n">
        <x:v>30</x:v>
      </x:c>
      <x:c r="H1993" s="13" t="n">
        <x:f>F1993-G1993</x:f>
        <x:v>748.94</x:v>
      </x:c>
      <x:c r="I1993" s="13" t="n">
        <x:f>IF(C1993=0,"n.a.",F1993/C1993)</x:f>
        <x:v>259.6466666666667</x:v>
      </x:c>
      <x:c r="J1993" s="3"/>
      <x:c r="K1993" s="3"/>
      <x:c r="L1993" s="3"/>
    </x:row>
    <x:row r="1994" ht="22" customHeight="1">
      <x:c r="A1994" s="3"/>
      <x:c r="B1994" s="3" t="str">
        <x:v>15074</x:v>
      </x:c>
      <x:c r="C1994" s="3" t="n">
        <x:v>1</x:v>
      </x:c>
      <x:c r="D1994" s="51" t="n">
        <x:v>40781</x:v>
      </x:c>
      <x:c r="E1994" s="3" t="str">
        <x:v>Una compra</x:v>
      </x:c>
      <x:c r="F1994" s="13" t="n">
        <x:v>748.87</x:v>
      </x:c>
      <x:c r="G1994" s="13" t="n">
        <x:v>0</x:v>
      </x:c>
      <x:c r="H1994" s="13" t="n">
        <x:f>F1994-G1994</x:f>
        <x:v>748.87</x:v>
      </x:c>
      <x:c r="I1994" s="13" t="n">
        <x:f>IF(C1994=0,"n.a.",F1994/C1994)</x:f>
        <x:v>748.87</x:v>
      </x:c>
      <x:c r="J1994" s="3"/>
      <x:c r="K1994" s="3"/>
      <x:c r="L1994" s="3"/>
    </x:row>
    <x:row r="1995" ht="22" customHeight="1">
      <x:c r="A1995" s="3"/>
      <x:c r="B1995" s="3" t="str">
        <x:v>15656</x:v>
      </x:c>
      <x:c r="C1995" s="3" t="n">
        <x:v>4</x:v>
      </x:c>
      <x:c r="D1995" s="51" t="n">
        <x:v>40841</x:v>
      </x:c>
      <x:c r="E1995" s="3" t="str">
        <x:v>Recurrente</x:v>
      </x:c>
      <x:c r="F1995" s="13" t="n">
        <x:v>748.5</x:v>
      </x:c>
      <x:c r="G1995" s="13" t="n">
        <x:v>0</x:v>
      </x:c>
      <x:c r="H1995" s="13" t="n">
        <x:f>F1995-G1995</x:f>
        <x:v>748.5</x:v>
      </x:c>
      <x:c r="I1995" s="13" t="n">
        <x:f>IF(C1995=0,"n.a.",F1995/C1995)</x:f>
        <x:v>187.125</x:v>
      </x:c>
      <x:c r="J1995" s="3"/>
      <x:c r="K1995" s="3"/>
      <x:c r="L1995" s="3"/>
    </x:row>
    <x:row r="1996" ht="22" customHeight="1">
      <x:c r="A1996" s="3"/>
      <x:c r="B1996" s="3" t="str">
        <x:v>15831</x:v>
      </x:c>
      <x:c r="C1996" s="3" t="n">
        <x:v>3</x:v>
      </x:c>
      <x:c r="D1996" s="51" t="n">
        <x:v>40828</x:v>
      </x:c>
      <x:c r="E1996" s="3" t="str">
        <x:v>Recurrente</x:v>
      </x:c>
      <x:c r="F1996" s="13" t="n">
        <x:v>801.76</x:v>
      </x:c>
      <x:c r="G1996" s="13" t="n">
        <x:v>54</x:v>
      </x:c>
      <x:c r="H1996" s="13" t="n">
        <x:f>F1996-G1996</x:f>
        <x:v>747.76</x:v>
      </x:c>
      <x:c r="I1996" s="13" t="n">
        <x:f>IF(C1996=0,"n.a.",F1996/C1996)</x:f>
        <x:v>267.25333333333333</x:v>
      </x:c>
      <x:c r="J1996" s="3"/>
      <x:c r="K1996" s="3"/>
      <x:c r="L1996" s="3"/>
    </x:row>
    <x:row r="1997" ht="22" customHeight="1">
      <x:c r="A1997" s="3"/>
      <x:c r="B1997" s="3" t="str">
        <x:v>17114</x:v>
      </x:c>
      <x:c r="C1997" s="3" t="n">
        <x:v>8</x:v>
      </x:c>
      <x:c r="D1997" s="51" t="n">
        <x:v>40881</x:v>
      </x:c>
      <x:c r="E1997" s="3" t="str">
        <x:v>Recurrente</x:v>
      </x:c>
      <x:c r="F1997" s="13" t="n">
        <x:v>808.62</x:v>
      </x:c>
      <x:c r="G1997" s="13" t="n">
        <x:v>61.4</x:v>
      </x:c>
      <x:c r="H1997" s="13" t="n">
        <x:f>F1997-G1997</x:f>
        <x:v>747.22</x:v>
      </x:c>
      <x:c r="I1997" s="13" t="n">
        <x:f>IF(C1997=0,"n.a.",F1997/C1997)</x:f>
        <x:v>101.0775</x:v>
      </x:c>
      <x:c r="J1997" s="3"/>
      <x:c r="K1997" s="3"/>
      <x:c r="L1997" s="3"/>
    </x:row>
    <x:row r="1998" ht="22" customHeight="1">
      <x:c r="A1998" s="3"/>
      <x:c r="B1998" s="3" t="str">
        <x:v>15618</x:v>
      </x:c>
      <x:c r="C1998" s="3" t="n">
        <x:v>4</x:v>
      </x:c>
      <x:c r="D1998" s="51" t="n">
        <x:v>40854</x:v>
      </x:c>
      <x:c r="E1998" s="3" t="str">
        <x:v>Recurrente</x:v>
      </x:c>
      <x:c r="F1998" s="13" t="n">
        <x:v>776.851</x:v>
      </x:c>
      <x:c r="G1998" s="13" t="n">
        <x:v>29.82</x:v>
      </x:c>
      <x:c r="H1998" s="13" t="n">
        <x:f>F1998-G1998</x:f>
        <x:v>747.031</x:v>
      </x:c>
      <x:c r="I1998" s="13" t="n">
        <x:f>IF(C1998=0,"n.a.",F1998/C1998)</x:f>
        <x:v>194.21275</x:v>
      </x:c>
      <x:c r="J1998" s="3"/>
      <x:c r="K1998" s="3"/>
      <x:c r="L1998" s="3"/>
    </x:row>
    <x:row r="1999" ht="22" customHeight="1">
      <x:c r="A1999" s="3"/>
      <x:c r="B1999" s="3" t="str">
        <x:v>15533</x:v>
      </x:c>
      <x:c r="C1999" s="3" t="n">
        <x:v>3</x:v>
      </x:c>
      <x:c r="D1999" s="51" t="n">
        <x:v>40867</x:v>
      </x:c>
      <x:c r="E1999" s="3" t="str">
        <x:v>Recurrente</x:v>
      </x:c>
      <x:c r="F1999" s="13" t="n">
        <x:v>807.57</x:v>
      </x:c>
      <x:c r="G1999" s="13" t="n">
        <x:v>60.65</x:v>
      </x:c>
      <x:c r="H1999" s="13" t="n">
        <x:f>F1999-G1999</x:f>
        <x:v>746.9200000000001</x:v>
      </x:c>
      <x:c r="I1999" s="13" t="n">
        <x:f>IF(C1999=0,"n.a.",F1999/C1999)</x:f>
        <x:v>269.19</x:v>
      </x:c>
      <x:c r="J1999" s="3"/>
      <x:c r="K1999" s="3"/>
      <x:c r="L1999" s="3"/>
    </x:row>
    <x:row r="2000" ht="22" customHeight="1">
      <x:c r="A2000" s="3"/>
      <x:c r="B2000" s="3" t="str">
        <x:v>16261</x:v>
      </x:c>
      <x:c r="C2000" s="3" t="n">
        <x:v>4</x:v>
      </x:c>
      <x:c r="D2000" s="51" t="n">
        <x:v>40869</x:v>
      </x:c>
      <x:c r="E2000" s="3" t="str">
        <x:v>Recurrente</x:v>
      </x:c>
      <x:c r="F2000" s="13" t="n">
        <x:v>746.83</x:v>
      </x:c>
      <x:c r="G2000" s="13" t="n">
        <x:v>0</x:v>
      </x:c>
      <x:c r="H2000" s="13" t="n">
        <x:f>F2000-G2000</x:f>
        <x:v>746.83</x:v>
      </x:c>
      <x:c r="I2000" s="13" t="n">
        <x:f>IF(C2000=0,"n.a.",F2000/C2000)</x:f>
        <x:v>186.7075</x:v>
      </x:c>
      <x:c r="J2000" s="3"/>
      <x:c r="K2000" s="3"/>
      <x:c r="L2000" s="3"/>
    </x:row>
    <x:row r="2001" ht="22" customHeight="1">
      <x:c r="A2001" s="3"/>
      <x:c r="B2001" s="3" t="str">
        <x:v>14050</x:v>
      </x:c>
      <x:c r="C2001" s="3" t="n">
        <x:v>2</x:v>
      </x:c>
      <x:c r="D2001" s="51" t="n">
        <x:v>40855</x:v>
      </x:c>
      <x:c r="E2001" s="3" t="str">
        <x:v>Recurrente</x:v>
      </x:c>
      <x:c r="F2001" s="13" t="n">
        <x:v>746.36</x:v>
      </x:c>
      <x:c r="G2001" s="13" t="n">
        <x:v>0</x:v>
      </x:c>
      <x:c r="H2001" s="13" t="n">
        <x:f>F2001-G2001</x:f>
        <x:v>746.36</x:v>
      </x:c>
      <x:c r="I2001" s="13" t="n">
        <x:f>IF(C2001=0,"n.a.",F2001/C2001)</x:f>
        <x:v>373.18</x:v>
      </x:c>
      <x:c r="J2001" s="3"/>
      <x:c r="K2001" s="3"/>
      <x:c r="L2001" s="3"/>
    </x:row>
    <x:row r="2002" ht="22" customHeight="1">
      <x:c r="A2002" s="3"/>
      <x:c r="B2002" s="3" t="str">
        <x:v>14790</x:v>
      </x:c>
      <x:c r="C2002" s="3" t="n">
        <x:v>4</x:v>
      </x:c>
      <x:c r="D2002" s="51" t="n">
        <x:v>40870</x:v>
      </x:c>
      <x:c r="E2002" s="3" t="str">
        <x:v>Recurrente</x:v>
      </x:c>
      <x:c r="F2002" s="13" t="n">
        <x:v>745.06</x:v>
      </x:c>
      <x:c r="G2002" s="13" t="n">
        <x:v>0</x:v>
      </x:c>
      <x:c r="H2002" s="13" t="n">
        <x:f>F2002-G2002</x:f>
        <x:v>745.06</x:v>
      </x:c>
      <x:c r="I2002" s="13" t="n">
        <x:f>IF(C2002=0,"n.a.",F2002/C2002)</x:f>
        <x:v>186.265</x:v>
      </x:c>
      <x:c r="J2002" s="3"/>
      <x:c r="K2002" s="3"/>
      <x:c r="L2002" s="3"/>
    </x:row>
    <x:row r="2003" ht="22" customHeight="1">
      <x:c r="A2003" s="3"/>
      <x:c r="B2003" s="3" t="str">
        <x:v>16770</x:v>
      </x:c>
      <x:c r="C2003" s="3" t="n">
        <x:v>5</x:v>
      </x:c>
      <x:c r="D2003" s="51" t="n">
        <x:v>40829</x:v>
      </x:c>
      <x:c r="E2003" s="3" t="str">
        <x:v>Recurrente</x:v>
      </x:c>
      <x:c r="F2003" s="13" t="n">
        <x:v>770.1</x:v>
      </x:c>
      <x:c r="G2003" s="13" t="n">
        <x:v>25.2</x:v>
      </x:c>
      <x:c r="H2003" s="13" t="n">
        <x:f>F2003-G2003</x:f>
        <x:v>744.9</x:v>
      </x:c>
      <x:c r="I2003" s="13" t="n">
        <x:f>IF(C2003=0,"n.a.",F2003/C2003)</x:f>
        <x:v>154.02</x:v>
      </x:c>
      <x:c r="J2003" s="3"/>
      <x:c r="K2003" s="3"/>
      <x:c r="L2003" s="3"/>
    </x:row>
    <x:row r="2004" ht="22" customHeight="1">
      <x:c r="A2004" s="3"/>
      <x:c r="B2004" s="3" t="str">
        <x:v>13354</x:v>
      </x:c>
      <x:c r="C2004" s="3" t="n">
        <x:v>1</x:v>
      </x:c>
      <x:c r="D2004" s="51" t="n">
        <x:v>40815</x:v>
      </x:c>
      <x:c r="E2004" s="3" t="str">
        <x:v>Una compra</x:v>
      </x:c>
      <x:c r="F2004" s="13" t="n">
        <x:v>743.53</x:v>
      </x:c>
      <x:c r="G2004" s="13" t="n">
        <x:v>0</x:v>
      </x:c>
      <x:c r="H2004" s="13" t="n">
        <x:f>F2004-G2004</x:f>
        <x:v>743.53</x:v>
      </x:c>
      <x:c r="I2004" s="13" t="n">
        <x:f>IF(C2004=0,"n.a.",F2004/C2004)</x:f>
        <x:v>743.53</x:v>
      </x:c>
      <x:c r="J2004" s="3"/>
      <x:c r="K2004" s="3"/>
      <x:c r="L2004" s="3"/>
    </x:row>
    <x:row r="2005" ht="22" customHeight="1">
      <x:c r="A2005" s="3"/>
      <x:c r="B2005" s="3" t="str">
        <x:v>13753</x:v>
      </x:c>
      <x:c r="C2005" s="3" t="n">
        <x:v>1</x:v>
      </x:c>
      <x:c r="D2005" s="51" t="n">
        <x:v>40599</x:v>
      </x:c>
      <x:c r="E2005" s="3" t="str">
        <x:v>Una compra</x:v>
      </x:c>
      <x:c r="F2005" s="13" t="n">
        <x:v>741.26</x:v>
      </x:c>
      <x:c r="G2005" s="13" t="n">
        <x:v>0</x:v>
      </x:c>
      <x:c r="H2005" s="13" t="n">
        <x:f>F2005-G2005</x:f>
        <x:v>741.26</x:v>
      </x:c>
      <x:c r="I2005" s="13" t="n">
        <x:f>IF(C2005=0,"n.a.",F2005/C2005)</x:f>
        <x:v>741.26</x:v>
      </x:c>
      <x:c r="J2005" s="3"/>
      <x:c r="K2005" s="3"/>
      <x:c r="L2005" s="3"/>
    </x:row>
    <x:row r="2006" ht="22" customHeight="1">
      <x:c r="A2006" s="3"/>
      <x:c r="B2006" s="3" t="str">
        <x:v>13900</x:v>
      </x:c>
      <x:c r="C2006" s="3" t="n">
        <x:v>3</x:v>
      </x:c>
      <x:c r="D2006" s="51" t="n">
        <x:v>40703</x:v>
      </x:c>
      <x:c r="E2006" s="3" t="str">
        <x:v>Recurrente</x:v>
      </x:c>
      <x:c r="F2006" s="13" t="n">
        <x:v>740.95</x:v>
      </x:c>
      <x:c r="G2006" s="13" t="n">
        <x:v>0</x:v>
      </x:c>
      <x:c r="H2006" s="13" t="n">
        <x:f>F2006-G2006</x:f>
        <x:v>740.95</x:v>
      </x:c>
      <x:c r="I2006" s="13" t="n">
        <x:f>IF(C2006=0,"n.a.",F2006/C2006)</x:f>
        <x:v>246.98333333333335</x:v>
      </x:c>
      <x:c r="J2006" s="3"/>
      <x:c r="K2006" s="3"/>
      <x:c r="L2006" s="3"/>
    </x:row>
    <x:row r="2007" ht="22" customHeight="1">
      <x:c r="A2007" s="3"/>
      <x:c r="B2007" s="3" t="str">
        <x:v>17974</x:v>
      </x:c>
      <x:c r="C2007" s="3" t="n">
        <x:v>3</x:v>
      </x:c>
      <x:c r="D2007" s="51" t="n">
        <x:v>40862</x:v>
      </x:c>
      <x:c r="E2007" s="3" t="str">
        <x:v>Recurrente</x:v>
      </x:c>
      <x:c r="F2007" s="13" t="n">
        <x:v>740.79</x:v>
      </x:c>
      <x:c r="G2007" s="13" t="n">
        <x:v>0</x:v>
      </x:c>
      <x:c r="H2007" s="13" t="n">
        <x:f>F2007-G2007</x:f>
        <x:v>740.79</x:v>
      </x:c>
      <x:c r="I2007" s="13" t="n">
        <x:f>IF(C2007=0,"n.a.",F2007/C2007)</x:f>
        <x:v>246.92999999999998</x:v>
      </x:c>
      <x:c r="J2007" s="3"/>
      <x:c r="K2007" s="3"/>
      <x:c r="L2007" s="3"/>
    </x:row>
    <x:row r="2008" ht="22" customHeight="1">
      <x:c r="A2008" s="3"/>
      <x:c r="B2008" s="3" t="str">
        <x:v>15252</x:v>
      </x:c>
      <x:c r="C2008" s="3" t="n">
        <x:v>2</x:v>
      </x:c>
      <x:c r="D2008" s="51" t="n">
        <x:v>40850</x:v>
      </x:c>
      <x:c r="E2008" s="3" t="str">
        <x:v>Recurrente</x:v>
      </x:c>
      <x:c r="F2008" s="13" t="n">
        <x:v>740.78</x:v>
      </x:c>
      <x:c r="G2008" s="13" t="n">
        <x:v>0</x:v>
      </x:c>
      <x:c r="H2008" s="13" t="n">
        <x:f>F2008-G2008</x:f>
        <x:v>740.78</x:v>
      </x:c>
      <x:c r="I2008" s="13" t="n">
        <x:f>IF(C2008=0,"n.a.",F2008/C2008)</x:f>
        <x:v>370.39</x:v>
      </x:c>
      <x:c r="J2008" s="3"/>
      <x:c r="K2008" s="3"/>
      <x:c r="L2008" s="3"/>
    </x:row>
    <x:row r="2009" ht="22" customHeight="1">
      <x:c r="A2009" s="3"/>
      <x:c r="B2009" s="3" t="str">
        <x:v>13329</x:v>
      </x:c>
      <x:c r="C2009" s="3" t="n">
        <x:v>2</x:v>
      </x:c>
      <x:c r="D2009" s="51" t="n">
        <x:v>40855</x:v>
      </x:c>
      <x:c r="E2009" s="3" t="str">
        <x:v>Recurrente</x:v>
      </x:c>
      <x:c r="F2009" s="13" t="n">
        <x:v>789</x:v>
      </x:c>
      <x:c r="G2009" s="13" t="n">
        <x:v>48.6</x:v>
      </x:c>
      <x:c r="H2009" s="13" t="n">
        <x:f>F2009-G2009</x:f>
        <x:v>740.4</x:v>
      </x:c>
      <x:c r="I2009" s="13" t="n">
        <x:f>IF(C2009=0,"n.a.",F2009/C2009)</x:f>
        <x:v>394.5</x:v>
      </x:c>
      <x:c r="J2009" s="3"/>
      <x:c r="K2009" s="3"/>
      <x:c r="L2009" s="3"/>
    </x:row>
    <x:row r="2010" ht="22" customHeight="1">
      <x:c r="A2010" s="3"/>
      <x:c r="B2010" s="3" t="str">
        <x:v>16924</x:v>
      </x:c>
      <x:c r="C2010" s="3" t="n">
        <x:v>3</x:v>
      </x:c>
      <x:c r="D2010" s="51" t="n">
        <x:v>40865</x:v>
      </x:c>
      <x:c r="E2010" s="3" t="str">
        <x:v>Recurrente</x:v>
      </x:c>
      <x:c r="F2010" s="13" t="n">
        <x:v>846.75</x:v>
      </x:c>
      <x:c r="G2010" s="13" t="n">
        <x:v>107.25</x:v>
      </x:c>
      <x:c r="H2010" s="13" t="n">
        <x:f>F2010-G2010</x:f>
        <x:v>739.5</x:v>
      </x:c>
      <x:c r="I2010" s="13" t="n">
        <x:f>IF(C2010=0,"n.a.",F2010/C2010)</x:f>
        <x:v>282.25</x:v>
      </x:c>
      <x:c r="J2010" s="3"/>
      <x:c r="K2010" s="3"/>
      <x:c r="L2010" s="3"/>
    </x:row>
    <x:row r="2011" ht="22" customHeight="1">
      <x:c r="A2011" s="3"/>
      <x:c r="B2011" s="3" t="str">
        <x:v>12697</x:v>
      </x:c>
      <x:c r="C2011" s="3" t="n">
        <x:v>3</x:v>
      </x:c>
      <x:c r="D2011" s="51" t="n">
        <x:v>40858</x:v>
      </x:c>
      <x:c r="E2011" s="3" t="str">
        <x:v>Recurrente</x:v>
      </x:c>
      <x:c r="F2011" s="13" t="n">
        <x:v>757.59</x:v>
      </x:c>
      <x:c r="G2011" s="13" t="n">
        <x:v>18.57</x:v>
      </x:c>
      <x:c r="H2011" s="13" t="n">
        <x:f>F2011-G2011</x:f>
        <x:v>739.02</x:v>
      </x:c>
      <x:c r="I2011" s="13" t="n">
        <x:f>IF(C2011=0,"n.a.",F2011/C2011)</x:f>
        <x:v>252.53</x:v>
      </x:c>
      <x:c r="J2011" s="3"/>
      <x:c r="K2011" s="3"/>
      <x:c r="L2011" s="3"/>
    </x:row>
    <x:row r="2012" ht="22" customHeight="1">
      <x:c r="A2012" s="3"/>
      <x:c r="B2012" s="3" t="str">
        <x:v>14756</x:v>
      </x:c>
      <x:c r="C2012" s="3" t="n">
        <x:v>1</x:v>
      </x:c>
      <x:c r="D2012" s="51" t="n">
        <x:v>40871</x:v>
      </x:c>
      <x:c r="E2012" s="3" t="str">
        <x:v>Una compra</x:v>
      </x:c>
      <x:c r="F2012" s="13" t="n">
        <x:v>738.96</x:v>
      </x:c>
      <x:c r="G2012" s="13" t="n">
        <x:v>0</x:v>
      </x:c>
      <x:c r="H2012" s="13" t="n">
        <x:f>F2012-G2012</x:f>
        <x:v>738.96</x:v>
      </x:c>
      <x:c r="I2012" s="13" t="n">
        <x:f>IF(C2012=0,"n.a.",F2012/C2012)</x:f>
        <x:v>738.96</x:v>
      </x:c>
      <x:c r="J2012" s="3"/>
      <x:c r="K2012" s="3"/>
      <x:c r="L2012" s="3"/>
    </x:row>
    <x:row r="2013" ht="22" customHeight="1">
      <x:c r="A2013" s="3"/>
      <x:c r="B2013" s="3" t="str">
        <x:v>12976</x:v>
      </x:c>
      <x:c r="C2013" s="3" t="n">
        <x:v>1</x:v>
      </x:c>
      <x:c r="D2013" s="51" t="n">
        <x:v>40675</x:v>
      </x:c>
      <x:c r="E2013" s="3" t="str">
        <x:v>Una compra</x:v>
      </x:c>
      <x:c r="F2013" s="13" t="n">
        <x:v>738.6</x:v>
      </x:c>
      <x:c r="G2013" s="13" t="n">
        <x:v>0</x:v>
      </x:c>
      <x:c r="H2013" s="13" t="n">
        <x:f>F2013-G2013</x:f>
        <x:v>738.6</x:v>
      </x:c>
      <x:c r="I2013" s="13" t="n">
        <x:f>IF(C2013=0,"n.a.",F2013/C2013)</x:f>
        <x:v>738.6</x:v>
      </x:c>
      <x:c r="J2013" s="3"/>
      <x:c r="K2013" s="3"/>
      <x:c r="L2013" s="3"/>
    </x:row>
    <x:row r="2014" ht="22" customHeight="1">
      <x:c r="A2014" s="3"/>
      <x:c r="B2014" s="3" t="str">
        <x:v>18156</x:v>
      </x:c>
      <x:c r="C2014" s="3" t="n">
        <x:v>2</x:v>
      </x:c>
      <x:c r="D2014" s="51" t="n">
        <x:v>40874</x:v>
      </x:c>
      <x:c r="E2014" s="3" t="str">
        <x:v>Recurrente</x:v>
      </x:c>
      <x:c r="F2014" s="13" t="n">
        <x:v>734.94</x:v>
      </x:c>
      <x:c r="G2014" s="13" t="n">
        <x:v>0</x:v>
      </x:c>
      <x:c r="H2014" s="13" t="n">
        <x:f>F2014-G2014</x:f>
        <x:v>734.94</x:v>
      </x:c>
      <x:c r="I2014" s="13" t="n">
        <x:f>IF(C2014=0,"n.a.",F2014/C2014)</x:f>
        <x:v>367.47</x:v>
      </x:c>
      <x:c r="J2014" s="3"/>
      <x:c r="K2014" s="3"/>
      <x:c r="L2014" s="3"/>
    </x:row>
    <x:row r="2015" ht="22" customHeight="1">
      <x:c r="A2015" s="3"/>
      <x:c r="B2015" s="3" t="str">
        <x:v>17034</x:v>
      </x:c>
      <x:c r="C2015" s="3" t="n">
        <x:v>3</x:v>
      </x:c>
      <x:c r="D2015" s="51" t="n">
        <x:v>40870</x:v>
      </x:c>
      <x:c r="E2015" s="3" t="str">
        <x:v>Recurrente</x:v>
      </x:c>
      <x:c r="F2015" s="13" t="n">
        <x:v>745.52</x:v>
      </x:c>
      <x:c r="G2015" s="13" t="n">
        <x:v>10.95</x:v>
      </x:c>
      <x:c r="H2015" s="13" t="n">
        <x:f>F2015-G2015</x:f>
        <x:v>734.5699999999999</x:v>
      </x:c>
      <x:c r="I2015" s="13" t="n">
        <x:f>IF(C2015=0,"n.a.",F2015/C2015)</x:f>
        <x:v>248.50666666666666</x:v>
      </x:c>
      <x:c r="J2015" s="3"/>
      <x:c r="K2015" s="3"/>
      <x:c r="L2015" s="3"/>
    </x:row>
    <x:row r="2016" ht="22" customHeight="1">
      <x:c r="A2016" s="3"/>
      <x:c r="B2016" s="3" t="str">
        <x:v>17979</x:v>
      </x:c>
      <x:c r="C2016" s="3" t="n">
        <x:v>4</x:v>
      </x:c>
      <x:c r="D2016" s="51" t="n">
        <x:v>40851</x:v>
      </x:c>
      <x:c r="E2016" s="3" t="str">
        <x:v>Recurrente</x:v>
      </x:c>
      <x:c r="F2016" s="13" t="n">
        <x:v>754.31</x:v>
      </x:c>
      <x:c r="G2016" s="13" t="n">
        <x:v>19.9</x:v>
      </x:c>
      <x:c r="H2016" s="13" t="n">
        <x:f>F2016-G2016</x:f>
        <x:v>734.41</x:v>
      </x:c>
      <x:c r="I2016" s="13" t="n">
        <x:f>IF(C2016=0,"n.a.",F2016/C2016)</x:f>
        <x:v>188.5775</x:v>
      </x:c>
      <x:c r="J2016" s="3"/>
      <x:c r="K2016" s="3"/>
      <x:c r="L2016" s="3"/>
    </x:row>
    <x:row r="2017" ht="22" customHeight="1">
      <x:c r="A2017" s="3"/>
      <x:c r="B2017" s="3" t="str">
        <x:v>16146</x:v>
      </x:c>
      <x:c r="C2017" s="3" t="n">
        <x:v>3</x:v>
      </x:c>
      <x:c r="D2017" s="51" t="n">
        <x:v>40729</x:v>
      </x:c>
      <x:c r="E2017" s="3" t="str">
        <x:v>Recurrente</x:v>
      </x:c>
      <x:c r="F2017" s="13" t="n">
        <x:v>734.13</x:v>
      </x:c>
      <x:c r="G2017" s="13" t="n">
        <x:v>0</x:v>
      </x:c>
      <x:c r="H2017" s="13" t="n">
        <x:f>F2017-G2017</x:f>
        <x:v>734.13</x:v>
      </x:c>
      <x:c r="I2017" s="13" t="n">
        <x:f>IF(C2017=0,"n.a.",F2017/C2017)</x:f>
        <x:v>244.71</x:v>
      </x:c>
      <x:c r="J2017" s="3"/>
      <x:c r="K2017" s="3"/>
      <x:c r="L2017" s="3"/>
    </x:row>
    <x:row r="2018" ht="22" customHeight="1">
      <x:c r="A2018" s="3"/>
      <x:c r="B2018" s="3" t="str">
        <x:v>16256</x:v>
      </x:c>
      <x:c r="C2018" s="3" t="n">
        <x:v>1</x:v>
      </x:c>
      <x:c r="D2018" s="51" t="n">
        <x:v>40620</x:v>
      </x:c>
      <x:c r="E2018" s="3" t="str">
        <x:v>Una compra</x:v>
      </x:c>
      <x:c r="F2018" s="13" t="n">
        <x:v>752.43</x:v>
      </x:c>
      <x:c r="G2018" s="13" t="n">
        <x:v>19.8</x:v>
      </x:c>
      <x:c r="H2018" s="13" t="n">
        <x:f>F2018-G2018</x:f>
        <x:v>732.63</x:v>
      </x:c>
      <x:c r="I2018" s="13" t="n">
        <x:f>IF(C2018=0,"n.a.",F2018/C2018)</x:f>
        <x:v>752.43</x:v>
      </x:c>
      <x:c r="J2018" s="3"/>
      <x:c r="K2018" s="3"/>
      <x:c r="L2018" s="3"/>
    </x:row>
    <x:row r="2019" ht="22" customHeight="1">
      <x:c r="A2019" s="3"/>
      <x:c r="B2019" s="3" t="str">
        <x:v>17812</x:v>
      </x:c>
      <x:c r="C2019" s="3" t="n">
        <x:v>4</x:v>
      </x:c>
      <x:c r="D2019" s="51" t="n">
        <x:v>40874</x:v>
      </x:c>
      <x:c r="E2019" s="3" t="str">
        <x:v>Recurrente</x:v>
      </x:c>
      <x:c r="F2019" s="13" t="n">
        <x:v>732.16</x:v>
      </x:c>
      <x:c r="G2019" s="13" t="n">
        <x:v>0</x:v>
      </x:c>
      <x:c r="H2019" s="13" t="n">
        <x:f>F2019-G2019</x:f>
        <x:v>732.16</x:v>
      </x:c>
      <x:c r="I2019" s="13" t="n">
        <x:f>IF(C2019=0,"n.a.",F2019/C2019)</x:f>
        <x:v>183.04</x:v>
      </x:c>
      <x:c r="J2019" s="3"/>
      <x:c r="K2019" s="3"/>
      <x:c r="L2019" s="3"/>
    </x:row>
    <x:row r="2020" ht="22" customHeight="1">
      <x:c r="A2020" s="3"/>
      <x:c r="B2020" s="3" t="str">
        <x:v>13575</x:v>
      </x:c>
      <x:c r="C2020" s="3" t="n">
        <x:v>5</x:v>
      </x:c>
      <x:c r="D2020" s="51" t="n">
        <x:v>40863</x:v>
      </x:c>
      <x:c r="E2020" s="3" t="str">
        <x:v>Recurrente</x:v>
      </x:c>
      <x:c r="F2020" s="13" t="n">
        <x:v>732.07</x:v>
      </x:c>
      <x:c r="G2020" s="13" t="n">
        <x:v>0</x:v>
      </x:c>
      <x:c r="H2020" s="13" t="n">
        <x:f>F2020-G2020</x:f>
        <x:v>732.07</x:v>
      </x:c>
      <x:c r="I2020" s="13" t="n">
        <x:f>IF(C2020=0,"n.a.",F2020/C2020)</x:f>
        <x:v>146.41400000000002</x:v>
      </x:c>
      <x:c r="J2020" s="3"/>
      <x:c r="K2020" s="3"/>
      <x:c r="L2020" s="3"/>
    </x:row>
    <x:row r="2021" ht="22" customHeight="1">
      <x:c r="A2021" s="3"/>
      <x:c r="B2021" s="3" t="str">
        <x:v>16099</x:v>
      </x:c>
      <x:c r="C2021" s="3" t="n">
        <x:v>3</x:v>
      </x:c>
      <x:c r="D2021" s="51" t="n">
        <x:v>40836</x:v>
      </x:c>
      <x:c r="E2021" s="3" t="str">
        <x:v>Recurrente</x:v>
      </x:c>
      <x:c r="F2021" s="13" t="n">
        <x:v>731.9</x:v>
      </x:c>
      <x:c r="G2021" s="13" t="n">
        <x:v>0</x:v>
      </x:c>
      <x:c r="H2021" s="13" t="n">
        <x:f>F2021-G2021</x:f>
        <x:v>731.9</x:v>
      </x:c>
      <x:c r="I2021" s="13" t="n">
        <x:f>IF(C2021=0,"n.a.",F2021/C2021)</x:f>
        <x:v>243.96666666666667</x:v>
      </x:c>
      <x:c r="J2021" s="3"/>
      <x:c r="K2021" s="3"/>
      <x:c r="L2021" s="3"/>
    </x:row>
    <x:row r="2022" ht="22" customHeight="1">
      <x:c r="A2022" s="3"/>
      <x:c r="B2022" s="3" t="str">
        <x:v>16491</x:v>
      </x:c>
      <x:c r="C2022" s="3" t="n">
        <x:v>1</x:v>
      </x:c>
      <x:c r="D2022" s="51" t="n">
        <x:v>40840</x:v>
      </x:c>
      <x:c r="E2022" s="3" t="str">
        <x:v>Una compra</x:v>
      </x:c>
      <x:c r="F2022" s="13" t="n">
        <x:v>731.5</x:v>
      </x:c>
      <x:c r="G2022" s="13" t="n">
        <x:v>0</x:v>
      </x:c>
      <x:c r="H2022" s="13" t="n">
        <x:f>F2022-G2022</x:f>
        <x:v>731.5</x:v>
      </x:c>
      <x:c r="I2022" s="13" t="n">
        <x:f>IF(C2022=0,"n.a.",F2022/C2022)</x:f>
        <x:v>731.5</x:v>
      </x:c>
      <x:c r="J2022" s="3"/>
      <x:c r="K2022" s="3"/>
      <x:c r="L2022" s="3"/>
    </x:row>
    <x:row r="2023" ht="22" customHeight="1">
      <x:c r="A2023" s="3"/>
      <x:c r="B2023" s="3" t="str">
        <x:v>14778</x:v>
      </x:c>
      <x:c r="C2023" s="3" t="n">
        <x:v>2</x:v>
      </x:c>
      <x:c r="D2023" s="51" t="n">
        <x:v>40759</x:v>
      </x:c>
      <x:c r="E2023" s="3" t="str">
        <x:v>Recurrente</x:v>
      </x:c>
      <x:c r="F2023" s="13" t="n">
        <x:v>730.86</x:v>
      </x:c>
      <x:c r="G2023" s="13" t="n">
        <x:v>0</x:v>
      </x:c>
      <x:c r="H2023" s="13" t="n">
        <x:f>F2023-G2023</x:f>
        <x:v>730.86</x:v>
      </x:c>
      <x:c r="I2023" s="13" t="n">
        <x:f>IF(C2023=0,"n.a.",F2023/C2023)</x:f>
        <x:v>365.43</x:v>
      </x:c>
      <x:c r="J2023" s="3"/>
      <x:c r="K2023" s="3"/>
      <x:c r="L2023" s="3"/>
    </x:row>
    <x:row r="2024" ht="22" customHeight="1">
      <x:c r="A2024" s="3"/>
      <x:c r="B2024" s="3" t="str">
        <x:v>18035</x:v>
      </x:c>
      <x:c r="C2024" s="3" t="n">
        <x:v>3</x:v>
      </x:c>
      <x:c r="D2024" s="51" t="n">
        <x:v>40851</x:v>
      </x:c>
      <x:c r="E2024" s="3" t="str">
        <x:v>Recurrente</x:v>
      </x:c>
      <x:c r="F2024" s="13" t="n">
        <x:v>730.4</x:v>
      </x:c>
      <x:c r="G2024" s="13" t="n">
        <x:v>0</x:v>
      </x:c>
      <x:c r="H2024" s="13" t="n">
        <x:f>F2024-G2024</x:f>
        <x:v>730.4</x:v>
      </x:c>
      <x:c r="I2024" s="13" t="n">
        <x:f>IF(C2024=0,"n.a.",F2024/C2024)</x:f>
        <x:v>243.46666666666667</x:v>
      </x:c>
      <x:c r="J2024" s="3"/>
      <x:c r="K2024" s="3"/>
      <x:c r="L2024" s="3"/>
    </x:row>
    <x:row r="2025" ht="22" customHeight="1">
      <x:c r="A2025" s="3"/>
      <x:c r="B2025" s="3" t="str">
        <x:v>13077</x:v>
      </x:c>
      <x:c r="C2025" s="3" t="n">
        <x:v>4</x:v>
      </x:c>
      <x:c r="D2025" s="51" t="n">
        <x:v>40885</x:v>
      </x:c>
      <x:c r="E2025" s="3" t="str">
        <x:v>Recurrente</x:v>
      </x:c>
      <x:c r="F2025" s="13" t="n">
        <x:v>729.27</x:v>
      </x:c>
      <x:c r="G2025" s="13" t="n">
        <x:v>0</x:v>
      </x:c>
      <x:c r="H2025" s="13" t="n">
        <x:f>F2025-G2025</x:f>
        <x:v>729.27</x:v>
      </x:c>
      <x:c r="I2025" s="13" t="n">
        <x:f>IF(C2025=0,"n.a.",F2025/C2025)</x:f>
        <x:v>182.3175</x:v>
      </x:c>
      <x:c r="J2025" s="3"/>
      <x:c r="K2025" s="3"/>
      <x:c r="L2025" s="3"/>
    </x:row>
    <x:row r="2026" ht="22" customHeight="1">
      <x:c r="A2026" s="3"/>
      <x:c r="B2026" s="3" t="str">
        <x:v>13950</x:v>
      </x:c>
      <x:c r="C2026" s="3" t="n">
        <x:v>4</x:v>
      </x:c>
      <x:c r="D2026" s="51" t="n">
        <x:v>40875</x:v>
      </x:c>
      <x:c r="E2026" s="3" t="str">
        <x:v>Recurrente</x:v>
      </x:c>
      <x:c r="F2026" s="13" t="n">
        <x:v>745.06</x:v>
      </x:c>
      <x:c r="G2026" s="13" t="n">
        <x:v>16.5</x:v>
      </x:c>
      <x:c r="H2026" s="13" t="n">
        <x:f>F2026-G2026</x:f>
        <x:v>728.56</x:v>
      </x:c>
      <x:c r="I2026" s="13" t="n">
        <x:f>IF(C2026=0,"n.a.",F2026/C2026)</x:f>
        <x:v>186.265</x:v>
      </x:c>
      <x:c r="J2026" s="3"/>
      <x:c r="K2026" s="3"/>
      <x:c r="L2026" s="3"/>
    </x:row>
    <x:row r="2027" ht="22" customHeight="1">
      <x:c r="A2027" s="3"/>
      <x:c r="B2027" s="3" t="str">
        <x:v>12728</x:v>
      </x:c>
      <x:c r="C2027" s="3" t="n">
        <x:v>4</x:v>
      </x:c>
      <x:c r="D2027" s="51" t="n">
        <x:v>40815</x:v>
      </x:c>
      <x:c r="E2027" s="3" t="str">
        <x:v>Recurrente</x:v>
      </x:c>
      <x:c r="F2027" s="13" t="n">
        <x:v>728.33</x:v>
      </x:c>
      <x:c r="G2027" s="13" t="n">
        <x:v>0</x:v>
      </x:c>
      <x:c r="H2027" s="13" t="n">
        <x:f>F2027-G2027</x:f>
        <x:v>728.33</x:v>
      </x:c>
      <x:c r="I2027" s="13" t="n">
        <x:f>IF(C2027=0,"n.a.",F2027/C2027)</x:f>
        <x:v>182.0825</x:v>
      </x:c>
      <x:c r="J2027" s="3"/>
      <x:c r="K2027" s="3"/>
      <x:c r="L2027" s="3"/>
    </x:row>
    <x:row r="2028" ht="22" customHeight="1">
      <x:c r="A2028" s="3"/>
      <x:c r="B2028" s="3" t="str">
        <x:v>17666</x:v>
      </x:c>
      <x:c r="C2028" s="3" t="n">
        <x:v>2</x:v>
      </x:c>
      <x:c r="D2028" s="51" t="n">
        <x:v>40883</x:v>
      </x:c>
      <x:c r="E2028" s="3" t="str">
        <x:v>Recurrente</x:v>
      </x:c>
      <x:c r="F2028" s="13" t="n">
        <x:v>728.16</x:v>
      </x:c>
      <x:c r="G2028" s="13" t="n">
        <x:v>0</x:v>
      </x:c>
      <x:c r="H2028" s="13" t="n">
        <x:f>F2028-G2028</x:f>
        <x:v>728.16</x:v>
      </x:c>
      <x:c r="I2028" s="13" t="n">
        <x:f>IF(C2028=0,"n.a.",F2028/C2028)</x:f>
        <x:v>364.08</x:v>
      </x:c>
      <x:c r="J2028" s="3"/>
      <x:c r="K2028" s="3"/>
      <x:c r="L2028" s="3"/>
    </x:row>
    <x:row r="2029" ht="22" customHeight="1">
      <x:c r="A2029" s="3"/>
      <x:c r="B2029" s="3" t="str">
        <x:v>13236</x:v>
      </x:c>
      <x:c r="C2029" s="3" t="n">
        <x:v>2</x:v>
      </x:c>
      <x:c r="D2029" s="51" t="n">
        <x:v>40862</x:v>
      </x:c>
      <x:c r="E2029" s="3" t="str">
        <x:v>Recurrente</x:v>
      </x:c>
      <x:c r="F2029" s="13" t="n">
        <x:v>744.85</x:v>
      </x:c>
      <x:c r="G2029" s="13" t="n">
        <x:v>17.58</x:v>
      </x:c>
      <x:c r="H2029" s="13" t="n">
        <x:f>F2029-G2029</x:f>
        <x:v>727.27</x:v>
      </x:c>
      <x:c r="I2029" s="13" t="n">
        <x:f>IF(C2029=0,"n.a.",F2029/C2029)</x:f>
        <x:v>372.425</x:v>
      </x:c>
      <x:c r="J2029" s="3"/>
      <x:c r="K2029" s="3"/>
      <x:c r="L2029" s="3"/>
    </x:row>
    <x:row r="2030" ht="22" customHeight="1">
      <x:c r="A2030" s="3"/>
      <x:c r="B2030" s="3" t="str">
        <x:v>12701</x:v>
      </x:c>
      <x:c r="C2030" s="3" t="n">
        <x:v>2</x:v>
      </x:c>
      <x:c r="D2030" s="51" t="n">
        <x:v>40807</x:v>
      </x:c>
      <x:c r="E2030" s="3" t="str">
        <x:v>Recurrente</x:v>
      </x:c>
      <x:c r="F2030" s="13" t="n">
        <x:v>725.71</x:v>
      </x:c>
      <x:c r="G2030" s="13" t="n">
        <x:v>0</x:v>
      </x:c>
      <x:c r="H2030" s="13" t="n">
        <x:f>F2030-G2030</x:f>
        <x:v>725.71</x:v>
      </x:c>
      <x:c r="I2030" s="13" t="n">
        <x:f>IF(C2030=0,"n.a.",F2030/C2030)</x:f>
        <x:v>362.855</x:v>
      </x:c>
      <x:c r="J2030" s="3"/>
      <x:c r="K2030" s="3"/>
      <x:c r="L2030" s="3"/>
    </x:row>
    <x:row r="2031" ht="22" customHeight="1">
      <x:c r="A2031" s="3"/>
      <x:c r="B2031" s="3" t="str">
        <x:v>14055</x:v>
      </x:c>
      <x:c r="C2031" s="3" t="n">
        <x:v>1</x:v>
      </x:c>
      <x:c r="D2031" s="51" t="n">
        <x:v>40780</x:v>
      </x:c>
      <x:c r="E2031" s="3" t="str">
        <x:v>Una compra</x:v>
      </x:c>
      <x:c r="F2031" s="13" t="n">
        <x:v>725.64</x:v>
      </x:c>
      <x:c r="G2031" s="13" t="n">
        <x:v>0</x:v>
      </x:c>
      <x:c r="H2031" s="13" t="n">
        <x:f>F2031-G2031</x:f>
        <x:v>725.64</x:v>
      </x:c>
      <x:c r="I2031" s="13" t="n">
        <x:f>IF(C2031=0,"n.a.",F2031/C2031)</x:f>
        <x:v>725.64</x:v>
      </x:c>
      <x:c r="J2031" s="3"/>
      <x:c r="K2031" s="3"/>
      <x:c r="L2031" s="3"/>
    </x:row>
    <x:row r="2032" ht="22" customHeight="1">
      <x:c r="A2032" s="3"/>
      <x:c r="B2032" s="3" t="str">
        <x:v>15636</x:v>
      </x:c>
      <x:c r="C2032" s="3" t="n">
        <x:v>2</x:v>
      </x:c>
      <x:c r="D2032" s="51" t="n">
        <x:v>40797</x:v>
      </x:c>
      <x:c r="E2032" s="3" t="str">
        <x:v>Recurrente</x:v>
      </x:c>
      <x:c r="F2032" s="13" t="n">
        <x:v>724.76</x:v>
      </x:c>
      <x:c r="G2032" s="13" t="n">
        <x:v>0</x:v>
      </x:c>
      <x:c r="H2032" s="13" t="n">
        <x:f>F2032-G2032</x:f>
        <x:v>724.76</x:v>
      </x:c>
      <x:c r="I2032" s="13" t="n">
        <x:f>IF(C2032=0,"n.a.",F2032/C2032)</x:f>
        <x:v>362.38</x:v>
      </x:c>
      <x:c r="J2032" s="3"/>
      <x:c r="K2032" s="3"/>
      <x:c r="L2032" s="3"/>
    </x:row>
    <x:row r="2033" ht="22" customHeight="1">
      <x:c r="A2033" s="3"/>
      <x:c r="B2033" s="3" t="str">
        <x:v>13736</x:v>
      </x:c>
      <x:c r="C2033" s="3" t="n">
        <x:v>2</x:v>
      </x:c>
      <x:c r="D2033" s="51" t="n">
        <x:v>40881</x:v>
      </x:c>
      <x:c r="E2033" s="3" t="str">
        <x:v>Recurrente</x:v>
      </x:c>
      <x:c r="F2033" s="13" t="n">
        <x:v>731.9</x:v>
      </x:c>
      <x:c r="G2033" s="13" t="n">
        <x:v>7.9</x:v>
      </x:c>
      <x:c r="H2033" s="13" t="n">
        <x:f>F2033-G2033</x:f>
        <x:v>724</x:v>
      </x:c>
      <x:c r="I2033" s="13" t="n">
        <x:f>IF(C2033=0,"n.a.",F2033/C2033)</x:f>
        <x:v>365.95</x:v>
      </x:c>
      <x:c r="J2033" s="3"/>
      <x:c r="K2033" s="3"/>
      <x:c r="L2033" s="3"/>
    </x:row>
    <x:row r="2034" ht="22" customHeight="1">
      <x:c r="A2034" s="3"/>
      <x:c r="B2034" s="3" t="str">
        <x:v>15561</x:v>
      </x:c>
      <x:c r="C2034" s="3" t="n">
        <x:v>4</x:v>
      </x:c>
      <x:c r="D2034" s="51" t="n">
        <x:v>40875</x:v>
      </x:c>
      <x:c r="E2034" s="3" t="str">
        <x:v>Recurrente</x:v>
      </x:c>
      <x:c r="F2034" s="13" t="n">
        <x:v>800.59</x:v>
      </x:c>
      <x:c r="G2034" s="13" t="n">
        <x:v>77.85</x:v>
      </x:c>
      <x:c r="H2034" s="13" t="n">
        <x:f>F2034-G2034</x:f>
        <x:v>722.74</x:v>
      </x:c>
      <x:c r="I2034" s="13" t="n">
        <x:f>IF(C2034=0,"n.a.",F2034/C2034)</x:f>
        <x:v>200.1475</x:v>
      </x:c>
      <x:c r="J2034" s="3"/>
      <x:c r="K2034" s="3"/>
      <x:c r="L2034" s="3"/>
    </x:row>
    <x:row r="2035" ht="22" customHeight="1">
      <x:c r="A2035" s="3"/>
      <x:c r="B2035" s="3" t="str">
        <x:v>15584</x:v>
      </x:c>
      <x:c r="C2035" s="3" t="n">
        <x:v>4</x:v>
      </x:c>
      <x:c r="D2035" s="51" t="n">
        <x:v>40863</x:v>
      </x:c>
      <x:c r="E2035" s="3" t="str">
        <x:v>Recurrente</x:v>
      </x:c>
      <x:c r="F2035" s="13" t="n">
        <x:v>725.11</x:v>
      </x:c>
      <x:c r="G2035" s="13" t="n">
        <x:v>2.5</x:v>
      </x:c>
      <x:c r="H2035" s="13" t="n">
        <x:f>F2035-G2035</x:f>
        <x:v>722.61</x:v>
      </x:c>
      <x:c r="I2035" s="13" t="n">
        <x:f>IF(C2035=0,"n.a.",F2035/C2035)</x:f>
        <x:v>181.2775</x:v>
      </x:c>
      <x:c r="J2035" s="3"/>
      <x:c r="K2035" s="3"/>
      <x:c r="L2035" s="3"/>
    </x:row>
    <x:row r="2036" ht="22" customHeight="1">
      <x:c r="A2036" s="3"/>
      <x:c r="B2036" s="3" t="str">
        <x:v>17521</x:v>
      </x:c>
      <x:c r="C2036" s="3" t="n">
        <x:v>3</x:v>
      </x:c>
      <x:c r="D2036" s="51" t="n">
        <x:v>40857</x:v>
      </x:c>
      <x:c r="E2036" s="3" t="str">
        <x:v>Recurrente</x:v>
      </x:c>
      <x:c r="F2036" s="13" t="n">
        <x:v>723.21</x:v>
      </x:c>
      <x:c r="G2036" s="13" t="n">
        <x:v>1.25</x:v>
      </x:c>
      <x:c r="H2036" s="13" t="n">
        <x:f>F2036-G2036</x:f>
        <x:v>721.96</x:v>
      </x:c>
      <x:c r="I2036" s="13" t="n">
        <x:f>IF(C2036=0,"n.a.",F2036/C2036)</x:f>
        <x:v>241.07000000000002</x:v>
      </x:c>
      <x:c r="J2036" s="3"/>
      <x:c r="K2036" s="3"/>
      <x:c r="L2036" s="3"/>
    </x:row>
    <x:row r="2037" ht="22" customHeight="1">
      <x:c r="A2037" s="3"/>
      <x:c r="B2037" s="3" t="str">
        <x:v>14869</x:v>
      </x:c>
      <x:c r="C2037" s="3" t="n">
        <x:v>2</x:v>
      </x:c>
      <x:c r="D2037" s="51" t="n">
        <x:v>40878</x:v>
      </x:c>
      <x:c r="E2037" s="3" t="str">
        <x:v>Recurrente</x:v>
      </x:c>
      <x:c r="F2037" s="13" t="n">
        <x:v>725.7</x:v>
      </x:c>
      <x:c r="G2037" s="13" t="n">
        <x:v>3.75</x:v>
      </x:c>
      <x:c r="H2037" s="13" t="n">
        <x:f>F2037-G2037</x:f>
        <x:v>721.95</x:v>
      </x:c>
      <x:c r="I2037" s="13" t="n">
        <x:f>IF(C2037=0,"n.a.",F2037/C2037)</x:f>
        <x:v>362.85</x:v>
      </x:c>
      <x:c r="J2037" s="3"/>
      <x:c r="K2037" s="3"/>
      <x:c r="L2037" s="3"/>
    </x:row>
    <x:row r="2038" ht="22" customHeight="1">
      <x:c r="A2038" s="3"/>
      <x:c r="B2038" s="3" t="str">
        <x:v>15272</x:v>
      </x:c>
      <x:c r="C2038" s="3" t="n">
        <x:v>2</x:v>
      </x:c>
      <x:c r="D2038" s="51" t="n">
        <x:v>40829</x:v>
      </x:c>
      <x:c r="E2038" s="3" t="str">
        <x:v>Recurrente</x:v>
      </x:c>
      <x:c r="F2038" s="13" t="n">
        <x:v>721.94</x:v>
      </x:c>
      <x:c r="G2038" s="13" t="n">
        <x:v>0</x:v>
      </x:c>
      <x:c r="H2038" s="13" t="n">
        <x:f>F2038-G2038</x:f>
        <x:v>721.94</x:v>
      </x:c>
      <x:c r="I2038" s="13" t="n">
        <x:f>IF(C2038=0,"n.a.",F2038/C2038)</x:f>
        <x:v>360.97</x:v>
      </x:c>
      <x:c r="J2038" s="3"/>
      <x:c r="K2038" s="3"/>
      <x:c r="L2038" s="3"/>
    </x:row>
    <x:row r="2039" ht="22" customHeight="1">
      <x:c r="A2039" s="3"/>
      <x:c r="B2039" s="3" t="str">
        <x:v>15581</x:v>
      </x:c>
      <x:c r="C2039" s="3" t="n">
        <x:v>10</x:v>
      </x:c>
      <x:c r="D2039" s="51" t="n">
        <x:v>40730</x:v>
      </x:c>
      <x:c r="E2039" s="3" t="str">
        <x:v>Recurrente</x:v>
      </x:c>
      <x:c r="F2039" s="13" t="n">
        <x:v>721.63</x:v>
      </x:c>
      <x:c r="G2039" s="13" t="n">
        <x:v>0</x:v>
      </x:c>
      <x:c r="H2039" s="13" t="n">
        <x:f>F2039-G2039</x:f>
        <x:v>721.63</x:v>
      </x:c>
      <x:c r="I2039" s="13" t="n">
        <x:f>IF(C2039=0,"n.a.",F2039/C2039)</x:f>
        <x:v>72.163</x:v>
      </x:c>
      <x:c r="J2039" s="3"/>
      <x:c r="K2039" s="3"/>
      <x:c r="L2039" s="3"/>
    </x:row>
    <x:row r="2040" ht="22" customHeight="1">
      <x:c r="A2040" s="3"/>
      <x:c r="B2040" s="3" t="str">
        <x:v>13370</x:v>
      </x:c>
      <x:c r="C2040" s="3" t="n">
        <x:v>1</x:v>
      </x:c>
      <x:c r="D2040" s="51" t="n">
        <x:v>40515</x:v>
      </x:c>
      <x:c r="E2040" s="3" t="str">
        <x:v>Una compra</x:v>
      </x:c>
      <x:c r="F2040" s="13" t="n">
        <x:v>754.87</x:v>
      </x:c>
      <x:c r="G2040" s="13" t="n">
        <x:v>33.55</x:v>
      </x:c>
      <x:c r="H2040" s="13" t="n">
        <x:f>F2040-G2040</x:f>
        <x:v>721.32</x:v>
      </x:c>
      <x:c r="I2040" s="13" t="n">
        <x:f>IF(C2040=0,"n.a.",F2040/C2040)</x:f>
        <x:v>754.87</x:v>
      </x:c>
      <x:c r="J2040" s="3"/>
      <x:c r="K2040" s="3"/>
      <x:c r="L2040" s="3"/>
    </x:row>
    <x:row r="2041" ht="22" customHeight="1">
      <x:c r="A2041" s="3"/>
      <x:c r="B2041" s="3" t="str">
        <x:v>18062</x:v>
      </x:c>
      <x:c r="C2041" s="3" t="n">
        <x:v>3</x:v>
      </x:c>
      <x:c r="D2041" s="51" t="n">
        <x:v>40713</x:v>
      </x:c>
      <x:c r="E2041" s="3" t="str">
        <x:v>Recurrente</x:v>
      </x:c>
      <x:c r="F2041" s="13" t="n">
        <x:v>720.52</x:v>
      </x:c>
      <x:c r="G2041" s="13" t="n">
        <x:v>0</x:v>
      </x:c>
      <x:c r="H2041" s="13" t="n">
        <x:f>F2041-G2041</x:f>
        <x:v>720.52</x:v>
      </x:c>
      <x:c r="I2041" s="13" t="n">
        <x:f>IF(C2041=0,"n.a.",F2041/C2041)</x:f>
        <x:v>240.17333333333332</x:v>
      </x:c>
      <x:c r="J2041" s="3"/>
      <x:c r="K2041" s="3"/>
      <x:c r="L2041" s="3"/>
    </x:row>
    <x:row r="2042" ht="22" customHeight="1">
      <x:c r="A2042" s="3"/>
      <x:c r="B2042" s="3" t="str">
        <x:v>16023</x:v>
      </x:c>
      <x:c r="C2042" s="3" t="n">
        <x:v>3</x:v>
      </x:c>
      <x:c r="D2042" s="51" t="n">
        <x:v>40840</x:v>
      </x:c>
      <x:c r="E2042" s="3" t="str">
        <x:v>Recurrente</x:v>
      </x:c>
      <x:c r="F2042" s="13" t="n">
        <x:v>719.81</x:v>
      </x:c>
      <x:c r="G2042" s="13" t="n">
        <x:v>0</x:v>
      </x:c>
      <x:c r="H2042" s="13" t="n">
        <x:f>F2042-G2042</x:f>
        <x:v>719.81</x:v>
      </x:c>
      <x:c r="I2042" s="13" t="n">
        <x:f>IF(C2042=0,"n.a.",F2042/C2042)</x:f>
        <x:v>239.93666666666664</x:v>
      </x:c>
      <x:c r="J2042" s="3"/>
      <x:c r="K2042" s="3"/>
      <x:c r="L2042" s="3"/>
    </x:row>
    <x:row r="2043" ht="22" customHeight="1">
      <x:c r="A2043" s="3"/>
      <x:c r="B2043" s="3" t="str">
        <x:v>14179</x:v>
      </x:c>
      <x:c r="C2043" s="3" t="n">
        <x:v>2</x:v>
      </x:c>
      <x:c r="D2043" s="51" t="n">
        <x:v>40846</x:v>
      </x:c>
      <x:c r="E2043" s="3" t="str">
        <x:v>Recurrente</x:v>
      </x:c>
      <x:c r="F2043" s="13" t="n">
        <x:v>719.78</x:v>
      </x:c>
      <x:c r="G2043" s="13" t="n">
        <x:v>0</x:v>
      </x:c>
      <x:c r="H2043" s="13" t="n">
        <x:f>F2043-G2043</x:f>
        <x:v>719.78</x:v>
      </x:c>
      <x:c r="I2043" s="13" t="n">
        <x:f>IF(C2043=0,"n.a.",F2043/C2043)</x:f>
        <x:v>359.89</x:v>
      </x:c>
      <x:c r="J2043" s="3"/>
      <x:c r="K2043" s="3"/>
      <x:c r="L2043" s="3"/>
    </x:row>
    <x:row r="2044" ht="22" customHeight="1">
      <x:c r="A2044" s="3"/>
      <x:c r="B2044" s="3" t="str">
        <x:v>14725</x:v>
      </x:c>
      <x:c r="C2044" s="3" t="n">
        <x:v>1</x:v>
      </x:c>
      <x:c r="D2044" s="51" t="n">
        <x:v>40862</x:v>
      </x:c>
      <x:c r="E2044" s="3" t="str">
        <x:v>Una compra</x:v>
      </x:c>
      <x:c r="F2044" s="13" t="n">
        <x:v>718.08</x:v>
      </x:c>
      <x:c r="G2044" s="13" t="n">
        <x:v>0</x:v>
      </x:c>
      <x:c r="H2044" s="13" t="n">
        <x:f>F2044-G2044</x:f>
        <x:v>718.08</x:v>
      </x:c>
      <x:c r="I2044" s="13" t="n">
        <x:f>IF(C2044=0,"n.a.",F2044/C2044)</x:f>
        <x:v>718.08</x:v>
      </x:c>
      <x:c r="J2044" s="3"/>
      <x:c r="K2044" s="3"/>
      <x:c r="L2044" s="3"/>
    </x:row>
    <x:row r="2045" ht="22" customHeight="1">
      <x:c r="A2045" s="3"/>
      <x:c r="B2045" s="3" t="str">
        <x:v>17692</x:v>
      </x:c>
      <x:c r="C2045" s="3" t="n">
        <x:v>4</x:v>
      </x:c>
      <x:c r="D2045" s="51" t="n">
        <x:v>40759</x:v>
      </x:c>
      <x:c r="E2045" s="3" t="str">
        <x:v>Recurrente</x:v>
      </x:c>
      <x:c r="F2045" s="13" t="n">
        <x:v>725.58</x:v>
      </x:c>
      <x:c r="G2045" s="13" t="n">
        <x:v>7.5</x:v>
      </x:c>
      <x:c r="H2045" s="13" t="n">
        <x:f>F2045-G2045</x:f>
        <x:v>718.08</x:v>
      </x:c>
      <x:c r="I2045" s="13" t="n">
        <x:f>IF(C2045=0,"n.a.",F2045/C2045)</x:f>
        <x:v>181.395</x:v>
      </x:c>
      <x:c r="J2045" s="3"/>
      <x:c r="K2045" s="3"/>
      <x:c r="L2045" s="3"/>
    </x:row>
    <x:row r="2046" ht="22" customHeight="1">
      <x:c r="A2046" s="3"/>
      <x:c r="B2046" s="3" t="str">
        <x:v>17884</x:v>
      </x:c>
      <x:c r="C2046" s="3" t="n">
        <x:v>4</x:v>
      </x:c>
      <x:c r="D2046" s="51" t="n">
        <x:v>40883</x:v>
      </x:c>
      <x:c r="E2046" s="3" t="str">
        <x:v>Recurrente</x:v>
      </x:c>
      <x:c r="F2046" s="13" t="n">
        <x:v>717.45</x:v>
      </x:c>
      <x:c r="G2046" s="13" t="n">
        <x:v>0</x:v>
      </x:c>
      <x:c r="H2046" s="13" t="n">
        <x:f>F2046-G2046</x:f>
        <x:v>717.45</x:v>
      </x:c>
      <x:c r="I2046" s="13" t="n">
        <x:f>IF(C2046=0,"n.a.",F2046/C2046)</x:f>
        <x:v>179.3625</x:v>
      </x:c>
      <x:c r="J2046" s="3"/>
      <x:c r="K2046" s="3"/>
      <x:c r="L2046" s="3"/>
    </x:row>
    <x:row r="2047" ht="22" customHeight="1">
      <x:c r="A2047" s="3"/>
      <x:c r="B2047" s="3" t="str">
        <x:v>15274</x:v>
      </x:c>
      <x:c r="C2047" s="3" t="n">
        <x:v>2</x:v>
      </x:c>
      <x:c r="D2047" s="51" t="n">
        <x:v>40882</x:v>
      </x:c>
      <x:c r="E2047" s="3" t="str">
        <x:v>Recurrente</x:v>
      </x:c>
      <x:c r="F2047" s="13" t="n">
        <x:v>716.57</x:v>
      </x:c>
      <x:c r="G2047" s="13" t="n">
        <x:v>0</x:v>
      </x:c>
      <x:c r="H2047" s="13" t="n">
        <x:f>F2047-G2047</x:f>
        <x:v>716.57</x:v>
      </x:c>
      <x:c r="I2047" s="13" t="n">
        <x:f>IF(C2047=0,"n.a.",F2047/C2047)</x:f>
        <x:v>358.285</x:v>
      </x:c>
      <x:c r="J2047" s="3"/>
      <x:c r="K2047" s="3"/>
      <x:c r="L2047" s="3"/>
    </x:row>
    <x:row r="2048" ht="22" customHeight="1">
      <x:c r="A2048" s="3"/>
      <x:c r="B2048" s="3" t="str">
        <x:v>12535</x:v>
      </x:c>
      <x:c r="C2048" s="3" t="n">
        <x:v>2</x:v>
      </x:c>
      <x:c r="D2048" s="51" t="n">
        <x:v>40795</x:v>
      </x:c>
      <x:c r="E2048" s="3" t="str">
        <x:v>Recurrente</x:v>
      </x:c>
      <x:c r="F2048" s="13" t="n">
        <x:v>716.35</x:v>
      </x:c>
      <x:c r="G2048" s="13" t="n">
        <x:v>0</x:v>
      </x:c>
      <x:c r="H2048" s="13" t="n">
        <x:f>F2048-G2048</x:f>
        <x:v>716.35</x:v>
      </x:c>
      <x:c r="I2048" s="13" t="n">
        <x:f>IF(C2048=0,"n.a.",F2048/C2048)</x:f>
        <x:v>358.175</x:v>
      </x:c>
      <x:c r="J2048" s="3"/>
      <x:c r="K2048" s="3"/>
      <x:c r="L2048" s="3"/>
    </x:row>
    <x:row r="2049" ht="22" customHeight="1">
      <x:c r="A2049" s="3"/>
      <x:c r="B2049" s="3" t="str">
        <x:v>13623</x:v>
      </x:c>
      <x:c r="C2049" s="3" t="n">
        <x:v>5</x:v>
      </x:c>
      <x:c r="D2049" s="51" t="n">
        <x:v>40856</x:v>
      </x:c>
      <x:c r="E2049" s="3" t="str">
        <x:v>Recurrente</x:v>
      </x:c>
      <x:c r="F2049" s="13" t="n">
        <x:v>747.78</x:v>
      </x:c>
      <x:c r="G2049" s="13" t="n">
        <x:v>31.54</x:v>
      </x:c>
      <x:c r="H2049" s="13" t="n">
        <x:f>F2049-G2049</x:f>
        <x:v>716.24</x:v>
      </x:c>
      <x:c r="I2049" s="13" t="n">
        <x:f>IF(C2049=0,"n.a.",F2049/C2049)</x:f>
        <x:v>149.55599999999998</x:v>
      </x:c>
      <x:c r="J2049" s="3"/>
      <x:c r="K2049" s="3"/>
      <x:c r="L2049" s="3"/>
    </x:row>
    <x:row r="2050" ht="22" customHeight="1">
      <x:c r="A2050" s="3"/>
      <x:c r="B2050" s="3" t="str">
        <x:v>17029</x:v>
      </x:c>
      <x:c r="C2050" s="3" t="n">
        <x:v>2</x:v>
      </x:c>
      <x:c r="D2050" s="51" t="n">
        <x:v>40776</x:v>
      </x:c>
      <x:c r="E2050" s="3" t="str">
        <x:v>Recurrente</x:v>
      </x:c>
      <x:c r="F2050" s="13" t="n">
        <x:v>716</x:v>
      </x:c>
      <x:c r="G2050" s="13" t="n">
        <x:v>0</x:v>
      </x:c>
      <x:c r="H2050" s="13" t="n">
        <x:f>F2050-G2050</x:f>
        <x:v>716</x:v>
      </x:c>
      <x:c r="I2050" s="13" t="n">
        <x:f>IF(C2050=0,"n.a.",F2050/C2050)</x:f>
        <x:v>358</x:v>
      </x:c>
      <x:c r="J2050" s="3"/>
      <x:c r="K2050" s="3"/>
      <x:c r="L2050" s="3"/>
    </x:row>
    <x:row r="2051" ht="22" customHeight="1">
      <x:c r="A2051" s="3"/>
      <x:c r="B2051" s="3" t="str">
        <x:v>12628</x:v>
      </x:c>
      <x:c r="C2051" s="3" t="n">
        <x:v>3</x:v>
      </x:c>
      <x:c r="D2051" s="51" t="n">
        <x:v>40882</x:v>
      </x:c>
      <x:c r="E2051" s="3" t="str">
        <x:v>Recurrente</x:v>
      </x:c>
      <x:c r="F2051" s="13" t="n">
        <x:v>732.46</x:v>
      </x:c>
      <x:c r="G2051" s="13" t="n">
        <x:v>16.85</x:v>
      </x:c>
      <x:c r="H2051" s="13" t="n">
        <x:f>F2051-G2051</x:f>
        <x:v>715.61</x:v>
      </x:c>
      <x:c r="I2051" s="13" t="n">
        <x:f>IF(C2051=0,"n.a.",F2051/C2051)</x:f>
        <x:v>244.15333333333334</x:v>
      </x:c>
      <x:c r="J2051" s="3"/>
      <x:c r="K2051" s="3"/>
      <x:c r="L2051" s="3"/>
    </x:row>
    <x:row r="2052" ht="22" customHeight="1">
      <x:c r="A2052" s="3"/>
      <x:c r="B2052" s="3" t="str">
        <x:v>15330</x:v>
      </x:c>
      <x:c r="C2052" s="3" t="n">
        <x:v>2</x:v>
      </x:c>
      <x:c r="D2052" s="51" t="n">
        <x:v>40854</x:v>
      </x:c>
      <x:c r="E2052" s="3" t="str">
        <x:v>Recurrente</x:v>
      </x:c>
      <x:c r="F2052" s="13" t="n">
        <x:v>714.96</x:v>
      </x:c>
      <x:c r="G2052" s="13" t="n">
        <x:v>0</x:v>
      </x:c>
      <x:c r="H2052" s="13" t="n">
        <x:f>F2052-G2052</x:f>
        <x:v>714.96</x:v>
      </x:c>
      <x:c r="I2052" s="13" t="n">
        <x:f>IF(C2052=0,"n.a.",F2052/C2052)</x:f>
        <x:v>357.48</x:v>
      </x:c>
      <x:c r="J2052" s="3"/>
      <x:c r="K2052" s="3"/>
      <x:c r="L2052" s="3"/>
    </x:row>
    <x:row r="2053" ht="22" customHeight="1">
      <x:c r="A2053" s="3"/>
      <x:c r="B2053" s="3" t="str">
        <x:v>15757</x:v>
      </x:c>
      <x:c r="C2053" s="3" t="n">
        <x:v>2</x:v>
      </x:c>
      <x:c r="D2053" s="51" t="n">
        <x:v>40821</x:v>
      </x:c>
      <x:c r="E2053" s="3" t="str">
        <x:v>Recurrente</x:v>
      </x:c>
      <x:c r="F2053" s="13" t="n">
        <x:v>714.42</x:v>
      </x:c>
      <x:c r="G2053" s="13" t="n">
        <x:v>0</x:v>
      </x:c>
      <x:c r="H2053" s="13" t="n">
        <x:f>F2053-G2053</x:f>
        <x:v>714.42</x:v>
      </x:c>
      <x:c r="I2053" s="13" t="n">
        <x:f>IF(C2053=0,"n.a.",F2053/C2053)</x:f>
        <x:v>357.21</x:v>
      </x:c>
      <x:c r="J2053" s="3"/>
      <x:c r="K2053" s="3"/>
      <x:c r="L2053" s="3"/>
    </x:row>
    <x:row r="2054" ht="22" customHeight="1">
      <x:c r="A2054" s="3"/>
      <x:c r="B2054" s="3" t="str">
        <x:v>13169</x:v>
      </x:c>
      <x:c r="C2054" s="3" t="n">
        <x:v>2</x:v>
      </x:c>
      <x:c r="D2054" s="51" t="n">
        <x:v>40823</x:v>
      </x:c>
      <x:c r="E2054" s="3" t="str">
        <x:v>Recurrente</x:v>
      </x:c>
      <x:c r="F2054" s="13" t="n">
        <x:v>712.88</x:v>
      </x:c>
      <x:c r="G2054" s="13" t="n">
        <x:v>0</x:v>
      </x:c>
      <x:c r="H2054" s="13" t="n">
        <x:f>F2054-G2054</x:f>
        <x:v>712.88</x:v>
      </x:c>
      <x:c r="I2054" s="13" t="n">
        <x:f>IF(C2054=0,"n.a.",F2054/C2054)</x:f>
        <x:v>356.44</x:v>
      </x:c>
      <x:c r="J2054" s="3"/>
      <x:c r="K2054" s="3"/>
      <x:c r="L2054" s="3"/>
    </x:row>
    <x:row r="2055" ht="22" customHeight="1">
      <x:c r="A2055" s="3"/>
      <x:c r="B2055" s="3" t="str">
        <x:v>13147</x:v>
      </x:c>
      <x:c r="C2055" s="3" t="n">
        <x:v>4</x:v>
      </x:c>
      <x:c r="D2055" s="51" t="n">
        <x:v>40876</x:v>
      </x:c>
      <x:c r="E2055" s="3" t="str">
        <x:v>Recurrente</x:v>
      </x:c>
      <x:c r="F2055" s="13" t="n">
        <x:v>712.8</x:v>
      </x:c>
      <x:c r="G2055" s="13" t="n">
        <x:v>0</x:v>
      </x:c>
      <x:c r="H2055" s="13" t="n">
        <x:f>F2055-G2055</x:f>
        <x:v>712.8</x:v>
      </x:c>
      <x:c r="I2055" s="13" t="n">
        <x:f>IF(C2055=0,"n.a.",F2055/C2055)</x:f>
        <x:v>178.2</x:v>
      </x:c>
      <x:c r="J2055" s="3"/>
      <x:c r="K2055" s="3"/>
      <x:c r="L2055" s="3"/>
    </x:row>
    <x:row r="2056" ht="22" customHeight="1">
      <x:c r="A2056" s="3"/>
      <x:c r="B2056" s="3" t="str">
        <x:v>17761</x:v>
      </x:c>
      <x:c r="C2056" s="3" t="n">
        <x:v>1</x:v>
      </x:c>
      <x:c r="D2056" s="51" t="n">
        <x:v>40854</x:v>
      </x:c>
      <x:c r="E2056" s="3" t="str">
        <x:v>Una compra</x:v>
      </x:c>
      <x:c r="F2056" s="13" t="n">
        <x:v>712.78</x:v>
      </x:c>
      <x:c r="G2056" s="13" t="n">
        <x:v>0</x:v>
      </x:c>
      <x:c r="H2056" s="13" t="n">
        <x:f>F2056-G2056</x:f>
        <x:v>712.78</x:v>
      </x:c>
      <x:c r="I2056" s="13" t="n">
        <x:f>IF(C2056=0,"n.a.",F2056/C2056)</x:f>
        <x:v>712.78</x:v>
      </x:c>
      <x:c r="J2056" s="3"/>
      <x:c r="K2056" s="3"/>
      <x:c r="L2056" s="3"/>
    </x:row>
    <x:row r="2057" ht="22" customHeight="1">
      <x:c r="A2057" s="3"/>
      <x:c r="B2057" s="3" t="str">
        <x:v>13416</x:v>
      </x:c>
      <x:c r="C2057" s="3" t="n">
        <x:v>2</x:v>
      </x:c>
      <x:c r="D2057" s="51" t="n">
        <x:v>40843</x:v>
      </x:c>
      <x:c r="E2057" s="3" t="str">
        <x:v>Recurrente</x:v>
      </x:c>
      <x:c r="F2057" s="13" t="n">
        <x:v>712.5</x:v>
      </x:c>
      <x:c r="G2057" s="13" t="n">
        <x:v>0</x:v>
      </x:c>
      <x:c r="H2057" s="13" t="n">
        <x:f>F2057-G2057</x:f>
        <x:v>712.5</x:v>
      </x:c>
      <x:c r="I2057" s="13" t="n">
        <x:f>IF(C2057=0,"n.a.",F2057/C2057)</x:f>
        <x:v>356.25</x:v>
      </x:c>
      <x:c r="J2057" s="3"/>
      <x:c r="K2057" s="3"/>
      <x:c r="L2057" s="3"/>
    </x:row>
    <x:row r="2058" ht="22" customHeight="1">
      <x:c r="A2058" s="3"/>
      <x:c r="B2058" s="3" t="str">
        <x:v>17642</x:v>
      </x:c>
      <x:c r="C2058" s="3" t="n">
        <x:v>2</x:v>
      </x:c>
      <x:c r="D2058" s="51" t="n">
        <x:v>40767</x:v>
      </x:c>
      <x:c r="E2058" s="3" t="str">
        <x:v>Recurrente</x:v>
      </x:c>
      <x:c r="F2058" s="13" t="n">
        <x:v>712.29</x:v>
      </x:c>
      <x:c r="G2058" s="13" t="n">
        <x:v>0</x:v>
      </x:c>
      <x:c r="H2058" s="13" t="n">
        <x:f>F2058-G2058</x:f>
        <x:v>712.29</x:v>
      </x:c>
      <x:c r="I2058" s="13" t="n">
        <x:f>IF(C2058=0,"n.a.",F2058/C2058)</x:f>
        <x:v>356.145</x:v>
      </x:c>
      <x:c r="J2058" s="3"/>
      <x:c r="K2058" s="3"/>
      <x:c r="L2058" s="3"/>
    </x:row>
    <x:row r="2059" ht="22" customHeight="1">
      <x:c r="A2059" s="3"/>
      <x:c r="B2059" s="3" t="str">
        <x:v>15855</x:v>
      </x:c>
      <x:c r="C2059" s="3" t="n">
        <x:v>5</x:v>
      </x:c>
      <x:c r="D2059" s="51" t="n">
        <x:v>40750</x:v>
      </x:c>
      <x:c r="E2059" s="3" t="str">
        <x:v>Recurrente</x:v>
      </x:c>
      <x:c r="F2059" s="13" t="n">
        <x:v>712.24</x:v>
      </x:c>
      <x:c r="G2059" s="13" t="n">
        <x:v>0</x:v>
      </x:c>
      <x:c r="H2059" s="13" t="n">
        <x:f>F2059-G2059</x:f>
        <x:v>712.24</x:v>
      </x:c>
      <x:c r="I2059" s="13" t="n">
        <x:f>IF(C2059=0,"n.a.",F2059/C2059)</x:f>
        <x:v>142.448</x:v>
      </x:c>
      <x:c r="J2059" s="3"/>
      <x:c r="K2059" s="3"/>
      <x:c r="L2059" s="3"/>
    </x:row>
    <x:row r="2060" ht="22" customHeight="1">
      <x:c r="A2060" s="3"/>
      <x:c r="B2060" s="3" t="str">
        <x:v>13705</x:v>
      </x:c>
      <x:c r="C2060" s="3" t="n">
        <x:v>3</x:v>
      </x:c>
      <x:c r="D2060" s="51" t="n">
        <x:v>40879</x:v>
      </x:c>
      <x:c r="E2060" s="3" t="str">
        <x:v>Recurrente</x:v>
      </x:c>
      <x:c r="F2060" s="13" t="n">
        <x:v>711.86</x:v>
      </x:c>
      <x:c r="G2060" s="13" t="n">
        <x:v>0</x:v>
      </x:c>
      <x:c r="H2060" s="13" t="n">
        <x:f>F2060-G2060</x:f>
        <x:v>711.86</x:v>
      </x:c>
      <x:c r="I2060" s="13" t="n">
        <x:f>IF(C2060=0,"n.a.",F2060/C2060)</x:f>
        <x:v>237.28666666666666</x:v>
      </x:c>
      <x:c r="J2060" s="3"/>
      <x:c r="K2060" s="3"/>
      <x:c r="L2060" s="3"/>
    </x:row>
    <x:row r="2061" ht="22" customHeight="1">
      <x:c r="A2061" s="3"/>
      <x:c r="B2061" s="3" t="str">
        <x:v>17179</x:v>
      </x:c>
      <x:c r="C2061" s="3" t="n">
        <x:v>3</x:v>
      </x:c>
      <x:c r="D2061" s="51" t="n">
        <x:v>40708</x:v>
      </x:c>
      <x:c r="E2061" s="3" t="str">
        <x:v>Recurrente</x:v>
      </x:c>
      <x:c r="F2061" s="13" t="n">
        <x:v>711.79</x:v>
      </x:c>
      <x:c r="G2061" s="13" t="n">
        <x:v>0</x:v>
      </x:c>
      <x:c r="H2061" s="13" t="n">
        <x:f>F2061-G2061</x:f>
        <x:v>711.79</x:v>
      </x:c>
      <x:c r="I2061" s="13" t="n">
        <x:f>IF(C2061=0,"n.a.",F2061/C2061)</x:f>
        <x:v>237.26333333333332</x:v>
      </x:c>
      <x:c r="J2061" s="3"/>
      <x:c r="K2061" s="3"/>
      <x:c r="L2061" s="3"/>
    </x:row>
    <x:row r="2062" ht="22" customHeight="1">
      <x:c r="A2062" s="3"/>
      <x:c r="B2062" s="3" t="str">
        <x:v>13249</x:v>
      </x:c>
      <x:c r="C2062" s="3" t="n">
        <x:v>3</x:v>
      </x:c>
      <x:c r="D2062" s="51" t="n">
        <x:v>40794</x:v>
      </x:c>
      <x:c r="E2062" s="3" t="str">
        <x:v>Recurrente</x:v>
      </x:c>
      <x:c r="F2062" s="13" t="n">
        <x:v>711.41</x:v>
      </x:c>
      <x:c r="G2062" s="13" t="n">
        <x:v>0</x:v>
      </x:c>
      <x:c r="H2062" s="13" t="n">
        <x:f>F2062-G2062</x:f>
        <x:v>711.41</x:v>
      </x:c>
      <x:c r="I2062" s="13" t="n">
        <x:f>IF(C2062=0,"n.a.",F2062/C2062)</x:f>
        <x:v>237.13666666666666</x:v>
      </x:c>
      <x:c r="J2062" s="3"/>
      <x:c r="K2062" s="3"/>
      <x:c r="L2062" s="3"/>
    </x:row>
    <x:row r="2063" ht="22" customHeight="1">
      <x:c r="A2063" s="3"/>
      <x:c r="B2063" s="3" t="str">
        <x:v>17472</x:v>
      </x:c>
      <x:c r="C2063" s="3" t="n">
        <x:v>3</x:v>
      </x:c>
      <x:c r="D2063" s="51" t="n">
        <x:v>40695</x:v>
      </x:c>
      <x:c r="E2063" s="3" t="str">
        <x:v>Recurrente</x:v>
      </x:c>
      <x:c r="F2063" s="13" t="n">
        <x:v>710.29</x:v>
      </x:c>
      <x:c r="G2063" s="13" t="n">
        <x:v>0</x:v>
      </x:c>
      <x:c r="H2063" s="13" t="n">
        <x:f>F2063-G2063</x:f>
        <x:v>710.29</x:v>
      </x:c>
      <x:c r="I2063" s="13" t="n">
        <x:f>IF(C2063=0,"n.a.",F2063/C2063)</x:f>
        <x:v>236.76333333333332</x:v>
      </x:c>
      <x:c r="J2063" s="3"/>
      <x:c r="K2063" s="3"/>
      <x:c r="L2063" s="3"/>
    </x:row>
    <x:row r="2064" ht="22" customHeight="1">
      <x:c r="A2064" s="3"/>
      <x:c r="B2064" s="3" t="str">
        <x:v>14127</x:v>
      </x:c>
      <x:c r="C2064" s="3" t="n">
        <x:v>3</x:v>
      </x:c>
      <x:c r="D2064" s="51" t="n">
        <x:v>40764</x:v>
      </x:c>
      <x:c r="E2064" s="3" t="str">
        <x:v>Recurrente</x:v>
      </x:c>
      <x:c r="F2064" s="13" t="n">
        <x:v>709.71</x:v>
      </x:c>
      <x:c r="G2064" s="13" t="n">
        <x:v>0</x:v>
      </x:c>
      <x:c r="H2064" s="13" t="n">
        <x:f>F2064-G2064</x:f>
        <x:v>709.71</x:v>
      </x:c>
      <x:c r="I2064" s="13" t="n">
        <x:f>IF(C2064=0,"n.a.",F2064/C2064)</x:f>
        <x:v>236.57000000000002</x:v>
      </x:c>
      <x:c r="J2064" s="3"/>
      <x:c r="K2064" s="3"/>
      <x:c r="L2064" s="3"/>
    </x:row>
    <x:row r="2065" ht="22" customHeight="1">
      <x:c r="A2065" s="3"/>
      <x:c r="B2065" s="3" t="str">
        <x:v>16136</x:v>
      </x:c>
      <x:c r="C2065" s="3" t="n">
        <x:v>3</x:v>
      </x:c>
      <x:c r="D2065" s="51" t="n">
        <x:v>40827</x:v>
      </x:c>
      <x:c r="E2065" s="3" t="str">
        <x:v>Recurrente</x:v>
      </x:c>
      <x:c r="F2065" s="13" t="n">
        <x:v>709.38</x:v>
      </x:c>
      <x:c r="G2065" s="13" t="n">
        <x:v>0</x:v>
      </x:c>
      <x:c r="H2065" s="13" t="n">
        <x:f>F2065-G2065</x:f>
        <x:v>709.38</x:v>
      </x:c>
      <x:c r="I2065" s="13" t="n">
        <x:f>IF(C2065=0,"n.a.",F2065/C2065)</x:f>
        <x:v>236.46</x:v>
      </x:c>
      <x:c r="J2065" s="3"/>
      <x:c r="K2065" s="3"/>
      <x:c r="L2065" s="3"/>
    </x:row>
    <x:row r="2066" ht="22" customHeight="1">
      <x:c r="A2066" s="3"/>
      <x:c r="B2066" s="3" t="str">
        <x:v>16140</x:v>
      </x:c>
      <x:c r="C2066" s="3" t="n">
        <x:v>2</x:v>
      </x:c>
      <x:c r="D2066" s="51" t="n">
        <x:v>40821</x:v>
      </x:c>
      <x:c r="E2066" s="3" t="str">
        <x:v>Recurrente</x:v>
      </x:c>
      <x:c r="F2066" s="13" t="n">
        <x:v>725.18</x:v>
      </x:c>
      <x:c r="G2066" s="13" t="n">
        <x:v>17</x:v>
      </x:c>
      <x:c r="H2066" s="13" t="n">
        <x:f>F2066-G2066</x:f>
        <x:v>708.18</x:v>
      </x:c>
      <x:c r="I2066" s="13" t="n">
        <x:f>IF(C2066=0,"n.a.",F2066/C2066)</x:f>
        <x:v>362.59</x:v>
      </x:c>
      <x:c r="J2066" s="3"/>
      <x:c r="K2066" s="3"/>
      <x:c r="L2066" s="3"/>
    </x:row>
    <x:row r="2067" ht="22" customHeight="1">
      <x:c r="A2067" s="3"/>
      <x:c r="B2067" s="3" t="str">
        <x:v>12453</x:v>
      </x:c>
      <x:c r="C2067" s="3" t="n">
        <x:v>1</x:v>
      </x:c>
      <x:c r="D2067" s="51" t="n">
        <x:v>40752</x:v>
      </x:c>
      <x:c r="E2067" s="3" t="str">
        <x:v>Una compra</x:v>
      </x:c>
      <x:c r="F2067" s="13" t="n">
        <x:v>707.09</x:v>
      </x:c>
      <x:c r="G2067" s="13" t="n">
        <x:v>0</x:v>
      </x:c>
      <x:c r="H2067" s="13" t="n">
        <x:f>F2067-G2067</x:f>
        <x:v>707.09</x:v>
      </x:c>
      <x:c r="I2067" s="13" t="n">
        <x:f>IF(C2067=0,"n.a.",F2067/C2067)</x:f>
        <x:v>707.09</x:v>
      </x:c>
      <x:c r="J2067" s="3"/>
      <x:c r="K2067" s="3"/>
      <x:c r="L2067" s="3"/>
    </x:row>
    <x:row r="2068" ht="22" customHeight="1">
      <x:c r="A2068" s="3"/>
      <x:c r="B2068" s="3" t="str">
        <x:v>12723</x:v>
      </x:c>
      <x:c r="C2068" s="3" t="n">
        <x:v>5</x:v>
      </x:c>
      <x:c r="D2068" s="51" t="n">
        <x:v>40883</x:v>
      </x:c>
      <x:c r="E2068" s="3" t="str">
        <x:v>Recurrente</x:v>
      </x:c>
      <x:c r="F2068" s="13" t="n">
        <x:v>707.07</x:v>
      </x:c>
      <x:c r="G2068" s="13" t="n">
        <x:v>0</x:v>
      </x:c>
      <x:c r="H2068" s="13" t="n">
        <x:f>F2068-G2068</x:f>
        <x:v>707.07</x:v>
      </x:c>
      <x:c r="I2068" s="13" t="n">
        <x:f>IF(C2068=0,"n.a.",F2068/C2068)</x:f>
        <x:v>141.41400000000002</x:v>
      </x:c>
      <x:c r="J2068" s="3"/>
      <x:c r="K2068" s="3"/>
      <x:c r="L2068" s="3"/>
    </x:row>
    <x:row r="2069" ht="22" customHeight="1">
      <x:c r="A2069" s="3"/>
      <x:c r="B2069" s="3" t="str">
        <x:v>16364</x:v>
      </x:c>
      <x:c r="C2069" s="3" t="n">
        <x:v>2</x:v>
      </x:c>
      <x:c r="D2069" s="51" t="n">
        <x:v>40875</x:v>
      </x:c>
      <x:c r="E2069" s="3" t="str">
        <x:v>Recurrente</x:v>
      </x:c>
      <x:c r="F2069" s="13" t="n">
        <x:v>707.04</x:v>
      </x:c>
      <x:c r="G2069" s="13" t="n">
        <x:v>0</x:v>
      </x:c>
      <x:c r="H2069" s="13" t="n">
        <x:f>F2069-G2069</x:f>
        <x:v>707.04</x:v>
      </x:c>
      <x:c r="I2069" s="13" t="n">
        <x:f>IF(C2069=0,"n.a.",F2069/C2069)</x:f>
        <x:v>353.52</x:v>
      </x:c>
      <x:c r="J2069" s="3"/>
      <x:c r="K2069" s="3"/>
      <x:c r="L2069" s="3"/>
    </x:row>
    <x:row r="2070" ht="22" customHeight="1">
      <x:c r="A2070" s="3"/>
      <x:c r="B2070" s="3" t="str">
        <x:v>17526</x:v>
      </x:c>
      <x:c r="C2070" s="3" t="n">
        <x:v>4</x:v>
      </x:c>
      <x:c r="D2070" s="51" t="n">
        <x:v>40882</x:v>
      </x:c>
      <x:c r="E2070" s="3" t="str">
        <x:v>Recurrente</x:v>
      </x:c>
      <x:c r="F2070" s="13" t="n">
        <x:v>1195.9</x:v>
      </x:c>
      <x:c r="G2070" s="13" t="n">
        <x:v>489.2</x:v>
      </x:c>
      <x:c r="H2070" s="13" t="n">
        <x:f>F2070-G2070</x:f>
        <x:v>706.7</x:v>
      </x:c>
      <x:c r="I2070" s="13" t="n">
        <x:f>IF(C2070=0,"n.a.",F2070/C2070)</x:f>
        <x:v>298.975</x:v>
      </x:c>
      <x:c r="J2070" s="3"/>
      <x:c r="K2070" s="3"/>
      <x:c r="L2070" s="3"/>
    </x:row>
    <x:row r="2071" ht="22" customHeight="1">
      <x:c r="A2071" s="3"/>
      <x:c r="B2071" s="3" t="str">
        <x:v>14880</x:v>
      </x:c>
      <x:c r="C2071" s="3" t="n">
        <x:v>3</x:v>
      </x:c>
      <x:c r="D2071" s="51" t="n">
        <x:v>40809</x:v>
      </x:c>
      <x:c r="E2071" s="3" t="str">
        <x:v>Recurrente</x:v>
      </x:c>
      <x:c r="F2071" s="13" t="n">
        <x:v>706.19</x:v>
      </x:c>
      <x:c r="G2071" s="13" t="n">
        <x:v>0</x:v>
      </x:c>
      <x:c r="H2071" s="13" t="n">
        <x:f>F2071-G2071</x:f>
        <x:v>706.19</x:v>
      </x:c>
      <x:c r="I2071" s="13" t="n">
        <x:f>IF(C2071=0,"n.a.",F2071/C2071)</x:f>
        <x:v>235.39666666666668</x:v>
      </x:c>
      <x:c r="J2071" s="3"/>
      <x:c r="K2071" s="3"/>
      <x:c r="L2071" s="3"/>
    </x:row>
    <x:row r="2072" ht="22" customHeight="1">
      <x:c r="A2072" s="3"/>
      <x:c r="B2072" s="3" t="str">
        <x:v>16882</x:v>
      </x:c>
      <x:c r="C2072" s="3" t="n">
        <x:v>3</x:v>
      </x:c>
      <x:c r="D2072" s="51" t="n">
        <x:v>40820</x:v>
      </x:c>
      <x:c r="E2072" s="3" t="str">
        <x:v>Recurrente</x:v>
      </x:c>
      <x:c r="F2072" s="13" t="n">
        <x:v>705.12</x:v>
      </x:c>
      <x:c r="G2072" s="13" t="n">
        <x:v>0</x:v>
      </x:c>
      <x:c r="H2072" s="13" t="n">
        <x:f>F2072-G2072</x:f>
        <x:v>705.12</x:v>
      </x:c>
      <x:c r="I2072" s="13" t="n">
        <x:f>IF(C2072=0,"n.a.",F2072/C2072)</x:f>
        <x:v>235.04</x:v>
      </x:c>
      <x:c r="J2072" s="3"/>
      <x:c r="K2072" s="3"/>
      <x:c r="L2072" s="3"/>
    </x:row>
    <x:row r="2073" ht="22" customHeight="1">
      <x:c r="A2073" s="3"/>
      <x:c r="B2073" s="3" t="str">
        <x:v>17934</x:v>
      </x:c>
      <x:c r="C2073" s="3" t="n">
        <x:v>2</x:v>
      </x:c>
      <x:c r="D2073" s="51" t="n">
        <x:v>40835</x:v>
      </x:c>
      <x:c r="E2073" s="3" t="str">
        <x:v>Recurrente</x:v>
      </x:c>
      <x:c r="F2073" s="13" t="n">
        <x:v>704.25</x:v>
      </x:c>
      <x:c r="G2073" s="13" t="n">
        <x:v>0</x:v>
      </x:c>
      <x:c r="H2073" s="13" t="n">
        <x:f>F2073-G2073</x:f>
        <x:v>704.25</x:v>
      </x:c>
      <x:c r="I2073" s="13" t="n">
        <x:f>IF(C2073=0,"n.a.",F2073/C2073)</x:f>
        <x:v>352.125</x:v>
      </x:c>
      <x:c r="J2073" s="3"/>
      <x:c r="K2073" s="3"/>
      <x:c r="L2073" s="3"/>
    </x:row>
    <x:row r="2074" ht="22" customHeight="1">
      <x:c r="A2074" s="3"/>
      <x:c r="B2074" s="3" t="str">
        <x:v>12883</x:v>
      </x:c>
      <x:c r="C2074" s="3" t="n">
        <x:v>4</x:v>
      </x:c>
      <x:c r="D2074" s="51" t="n">
        <x:v>40862</x:v>
      </x:c>
      <x:c r="E2074" s="3" t="str">
        <x:v>Recurrente</x:v>
      </x:c>
      <x:c r="F2074" s="13" t="n">
        <x:v>703.47</x:v>
      </x:c>
      <x:c r="G2074" s="13" t="n">
        <x:v>0</x:v>
      </x:c>
      <x:c r="H2074" s="13" t="n">
        <x:f>F2074-G2074</x:f>
        <x:v>703.47</x:v>
      </x:c>
      <x:c r="I2074" s="13" t="n">
        <x:f>IF(C2074=0,"n.a.",F2074/C2074)</x:f>
        <x:v>175.8675</x:v>
      </x:c>
      <x:c r="J2074" s="3"/>
      <x:c r="K2074" s="3"/>
      <x:c r="L2074" s="3"/>
    </x:row>
    <x:row r="2075" ht="22" customHeight="1">
      <x:c r="A2075" s="3"/>
      <x:c r="B2075" s="3" t="str">
        <x:v>18082</x:v>
      </x:c>
      <x:c r="C2075" s="3" t="n">
        <x:v>1</x:v>
      </x:c>
      <x:c r="D2075" s="51" t="n">
        <x:v>40861</x:v>
      </x:c>
      <x:c r="E2075" s="3" t="str">
        <x:v>Una compra</x:v>
      </x:c>
      <x:c r="F2075" s="13" t="n">
        <x:v>703.37</x:v>
      </x:c>
      <x:c r="G2075" s="13" t="n">
        <x:v>0</x:v>
      </x:c>
      <x:c r="H2075" s="13" t="n">
        <x:f>F2075-G2075</x:f>
        <x:v>703.37</x:v>
      </x:c>
      <x:c r="I2075" s="13" t="n">
        <x:f>IF(C2075=0,"n.a.",F2075/C2075)</x:f>
        <x:v>703.37</x:v>
      </x:c>
      <x:c r="J2075" s="3"/>
      <x:c r="K2075" s="3"/>
      <x:c r="L2075" s="3"/>
    </x:row>
    <x:row r="2076" ht="22" customHeight="1">
      <x:c r="A2076" s="3"/>
      <x:c r="B2076" s="3" t="str">
        <x:v>15103</x:v>
      </x:c>
      <x:c r="C2076" s="3" t="n">
        <x:v>2</x:v>
      </x:c>
      <x:c r="D2076" s="51" t="n">
        <x:v>40855</x:v>
      </x:c>
      <x:c r="E2076" s="3" t="str">
        <x:v>Recurrente</x:v>
      </x:c>
      <x:c r="F2076" s="13" t="n">
        <x:v>703.36</x:v>
      </x:c>
      <x:c r="G2076" s="13" t="n">
        <x:v>0</x:v>
      </x:c>
      <x:c r="H2076" s="13" t="n">
        <x:f>F2076-G2076</x:f>
        <x:v>703.36</x:v>
      </x:c>
      <x:c r="I2076" s="13" t="n">
        <x:f>IF(C2076=0,"n.a.",F2076/C2076)</x:f>
        <x:v>351.68</x:v>
      </x:c>
      <x:c r="J2076" s="3"/>
      <x:c r="K2076" s="3"/>
      <x:c r="L2076" s="3"/>
    </x:row>
    <x:row r="2077" ht="22" customHeight="1">
      <x:c r="A2077" s="3"/>
      <x:c r="B2077" s="3" t="str">
        <x:v>16730</x:v>
      </x:c>
      <x:c r="C2077" s="3" t="n">
        <x:v>3</x:v>
      </x:c>
      <x:c r="D2077" s="51" t="n">
        <x:v>40834</x:v>
      </x:c>
      <x:c r="E2077" s="3" t="str">
        <x:v>Recurrente</x:v>
      </x:c>
      <x:c r="F2077" s="13" t="n">
        <x:v>743.11</x:v>
      </x:c>
      <x:c r="G2077" s="13" t="n">
        <x:v>40.32</x:v>
      </x:c>
      <x:c r="H2077" s="13" t="n">
        <x:f>F2077-G2077</x:f>
        <x:v>702.79</x:v>
      </x:c>
      <x:c r="I2077" s="13" t="n">
        <x:f>IF(C2077=0,"n.a.",F2077/C2077)</x:f>
        <x:v>247.70333333333335</x:v>
      </x:c>
      <x:c r="J2077" s="3"/>
      <x:c r="K2077" s="3"/>
      <x:c r="L2077" s="3"/>
    </x:row>
    <x:row r="2078" ht="22" customHeight="1">
      <x:c r="A2078" s="3"/>
      <x:c r="B2078" s="3" t="str">
        <x:v>15574</x:v>
      </x:c>
      <x:c r="C2078" s="3" t="n">
        <x:v>4</x:v>
      </x:c>
      <x:c r="D2078" s="51" t="n">
        <x:v>40709</x:v>
      </x:c>
      <x:c r="E2078" s="3" t="str">
        <x:v>Recurrente</x:v>
      </x:c>
      <x:c r="F2078" s="13" t="n">
        <x:v>702.25</x:v>
      </x:c>
      <x:c r="G2078" s="13" t="n">
        <x:v>0</x:v>
      </x:c>
      <x:c r="H2078" s="13" t="n">
        <x:f>F2078-G2078</x:f>
        <x:v>702.25</x:v>
      </x:c>
      <x:c r="I2078" s="13" t="n">
        <x:f>IF(C2078=0,"n.a.",F2078/C2078)</x:f>
        <x:v>175.5625</x:v>
      </x:c>
      <x:c r="J2078" s="3"/>
      <x:c r="K2078" s="3"/>
      <x:c r="L2078" s="3"/>
    </x:row>
    <x:row r="2079" ht="22" customHeight="1">
      <x:c r="A2079" s="3"/>
      <x:c r="B2079" s="3" t="str">
        <x:v>16997</x:v>
      </x:c>
      <x:c r="C2079" s="3" t="n">
        <x:v>3</x:v>
      </x:c>
      <x:c r="D2079" s="51" t="n">
        <x:v>40598</x:v>
      </x:c>
      <x:c r="E2079" s="3" t="str">
        <x:v>Recurrente</x:v>
      </x:c>
      <x:c r="F2079" s="13" t="n">
        <x:v>702</x:v>
      </x:c>
      <x:c r="G2079" s="13" t="n">
        <x:v>0</x:v>
      </x:c>
      <x:c r="H2079" s="13" t="n">
        <x:f>F2079-G2079</x:f>
        <x:v>702</x:v>
      </x:c>
      <x:c r="I2079" s="13" t="n">
        <x:f>IF(C2079=0,"n.a.",F2079/C2079)</x:f>
        <x:v>234</x:v>
      </x:c>
      <x:c r="J2079" s="3"/>
      <x:c r="K2079" s="3"/>
      <x:c r="L2079" s="3"/>
    </x:row>
    <x:row r="2080" ht="22" customHeight="1">
      <x:c r="A2080" s="3"/>
      <x:c r="B2080" s="3" t="str">
        <x:v>14867</x:v>
      </x:c>
      <x:c r="C2080" s="3" t="n">
        <x:v>3</x:v>
      </x:c>
      <x:c r="D2080" s="51" t="n">
        <x:v>40701</x:v>
      </x:c>
      <x:c r="E2080" s="3" t="str">
        <x:v>Recurrente</x:v>
      </x:c>
      <x:c r="F2080" s="13" t="n">
        <x:v>710.28</x:v>
      </x:c>
      <x:c r="G2080" s="13" t="n">
        <x:v>8.95</x:v>
      </x:c>
      <x:c r="H2080" s="13" t="n">
        <x:f>F2080-G2080</x:f>
        <x:v>701.3299999999999</x:v>
      </x:c>
      <x:c r="I2080" s="13" t="n">
        <x:f>IF(C2080=0,"n.a.",F2080/C2080)</x:f>
        <x:v>236.76</x:v>
      </x:c>
      <x:c r="J2080" s="3"/>
      <x:c r="K2080" s="3"/>
      <x:c r="L2080" s="3"/>
    </x:row>
    <x:row r="2081" ht="22" customHeight="1">
      <x:c r="A2081" s="3"/>
      <x:c r="B2081" s="3" t="str">
        <x:v>17321</x:v>
      </x:c>
      <x:c r="C2081" s="3" t="n">
        <x:v>2</x:v>
      </x:c>
      <x:c r="D2081" s="51" t="n">
        <x:v>40878</x:v>
      </x:c>
      <x:c r="E2081" s="3" t="str">
        <x:v>Recurrente</x:v>
      </x:c>
      <x:c r="F2081" s="13" t="n">
        <x:v>700.86</x:v>
      </x:c>
      <x:c r="G2081" s="13" t="n">
        <x:v>0</x:v>
      </x:c>
      <x:c r="H2081" s="13" t="n">
        <x:f>F2081-G2081</x:f>
        <x:v>700.86</x:v>
      </x:c>
      <x:c r="I2081" s="13" t="n">
        <x:f>IF(C2081=0,"n.a.",F2081/C2081)</x:f>
        <x:v>350.43</x:v>
      </x:c>
      <x:c r="J2081" s="3"/>
      <x:c r="K2081" s="3"/>
      <x:c r="L2081" s="3"/>
    </x:row>
    <x:row r="2082" ht="22" customHeight="1">
      <x:c r="A2082" s="3"/>
      <x:c r="B2082" s="3" t="str">
        <x:v>17734</x:v>
      </x:c>
      <x:c r="C2082" s="3" t="n">
        <x:v>3</x:v>
      </x:c>
      <x:c r="D2082" s="51" t="n">
        <x:v>40833</x:v>
      </x:c>
      <x:c r="E2082" s="3" t="str">
        <x:v>Recurrente</x:v>
      </x:c>
      <x:c r="F2082" s="13" t="n">
        <x:v>700.63</x:v>
      </x:c>
      <x:c r="G2082" s="13" t="n">
        <x:v>0</x:v>
      </x:c>
      <x:c r="H2082" s="13" t="n">
        <x:f>F2082-G2082</x:f>
        <x:v>700.63</x:v>
      </x:c>
      <x:c r="I2082" s="13" t="n">
        <x:f>IF(C2082=0,"n.a.",F2082/C2082)</x:f>
        <x:v>233.54333333333332</x:v>
      </x:c>
      <x:c r="J2082" s="3"/>
      <x:c r="K2082" s="3"/>
      <x:c r="L2082" s="3"/>
    </x:row>
    <x:row r="2083" ht="22" customHeight="1">
      <x:c r="A2083" s="3"/>
      <x:c r="B2083" s="3" t="str">
        <x:v>15800</x:v>
      </x:c>
      <x:c r="C2083" s="3" t="n">
        <x:v>2</x:v>
      </x:c>
      <x:c r="D2083" s="51" t="n">
        <x:v>40779</x:v>
      </x:c>
      <x:c r="E2083" s="3" t="str">
        <x:v>Recurrente</x:v>
      </x:c>
      <x:c r="F2083" s="13" t="n">
        <x:v>699.08</x:v>
      </x:c>
      <x:c r="G2083" s="13" t="n">
        <x:v>0</x:v>
      </x:c>
      <x:c r="H2083" s="13" t="n">
        <x:f>F2083-G2083</x:f>
        <x:v>699.08</x:v>
      </x:c>
      <x:c r="I2083" s="13" t="n">
        <x:f>IF(C2083=0,"n.a.",F2083/C2083)</x:f>
        <x:v>349.54</x:v>
      </x:c>
      <x:c r="J2083" s="3"/>
      <x:c r="K2083" s="3"/>
      <x:c r="L2083" s="3"/>
    </x:row>
    <x:row r="2084" ht="22" customHeight="1">
      <x:c r="A2084" s="3"/>
      <x:c r="B2084" s="3" t="str">
        <x:v>13258</x:v>
      </x:c>
      <x:c r="C2084" s="3" t="n">
        <x:v>3</x:v>
      </x:c>
      <x:c r="D2084" s="51" t="n">
        <x:v>40875</x:v>
      </x:c>
      <x:c r="E2084" s="3" t="str">
        <x:v>Recurrente</x:v>
      </x:c>
      <x:c r="F2084" s="13" t="n">
        <x:v>698.58</x:v>
      </x:c>
      <x:c r="G2084" s="13" t="n">
        <x:v>0</x:v>
      </x:c>
      <x:c r="H2084" s="13" t="n">
        <x:f>F2084-G2084</x:f>
        <x:v>698.58</x:v>
      </x:c>
      <x:c r="I2084" s="13" t="n">
        <x:f>IF(C2084=0,"n.a.",F2084/C2084)</x:f>
        <x:v>232.86</x:v>
      </x:c>
      <x:c r="J2084" s="3"/>
      <x:c r="K2084" s="3"/>
      <x:c r="L2084" s="3"/>
    </x:row>
    <x:row r="2085" ht="22" customHeight="1">
      <x:c r="A2085" s="3"/>
      <x:c r="B2085" s="3" t="str">
        <x:v>17796</x:v>
      </x:c>
      <x:c r="C2085" s="3" t="n">
        <x:v>4</x:v>
      </x:c>
      <x:c r="D2085" s="51" t="n">
        <x:v>40846</x:v>
      </x:c>
      <x:c r="E2085" s="3" t="str">
        <x:v>Recurrente</x:v>
      </x:c>
      <x:c r="F2085" s="13" t="n">
        <x:v>697.9</x:v>
      </x:c>
      <x:c r="G2085" s="13" t="n">
        <x:v>0</x:v>
      </x:c>
      <x:c r="H2085" s="13" t="n">
        <x:f>F2085-G2085</x:f>
        <x:v>697.9</x:v>
      </x:c>
      <x:c r="I2085" s="13" t="n">
        <x:f>IF(C2085=0,"n.a.",F2085/C2085)</x:f>
        <x:v>174.475</x:v>
      </x:c>
      <x:c r="J2085" s="3"/>
      <x:c r="K2085" s="3"/>
      <x:c r="L2085" s="3"/>
    </x:row>
    <x:row r="2086" ht="22" customHeight="1">
      <x:c r="A2086" s="3"/>
      <x:c r="B2086" s="3" t="str">
        <x:v>15053</x:v>
      </x:c>
      <x:c r="C2086" s="3" t="n">
        <x:v>3</x:v>
      </x:c>
      <x:c r="D2086" s="51" t="n">
        <x:v>40882</x:v>
      </x:c>
      <x:c r="E2086" s="3" t="str">
        <x:v>Recurrente</x:v>
      </x:c>
      <x:c r="F2086" s="13" t="n">
        <x:v>697.79</x:v>
      </x:c>
      <x:c r="G2086" s="13" t="n">
        <x:v>0</x:v>
      </x:c>
      <x:c r="H2086" s="13" t="n">
        <x:f>F2086-G2086</x:f>
        <x:v>697.79</x:v>
      </x:c>
      <x:c r="I2086" s="13" t="n">
        <x:f>IF(C2086=0,"n.a.",F2086/C2086)</x:f>
        <x:v>232.59666666666666</x:v>
      </x:c>
      <x:c r="J2086" s="3"/>
      <x:c r="K2086" s="3"/>
      <x:c r="L2086" s="3"/>
    </x:row>
    <x:row r="2087" ht="22" customHeight="1">
      <x:c r="A2087" s="3"/>
      <x:c r="B2087" s="3" t="str">
        <x:v>13596</x:v>
      </x:c>
      <x:c r="C2087" s="3" t="n">
        <x:v>2</x:v>
      </x:c>
      <x:c r="D2087" s="51" t="n">
        <x:v>40881</x:v>
      </x:c>
      <x:c r="E2087" s="3" t="str">
        <x:v>Recurrente</x:v>
      </x:c>
      <x:c r="F2087" s="13" t="n">
        <x:v>697.04</x:v>
      </x:c>
      <x:c r="G2087" s="13" t="n">
        <x:v>0</x:v>
      </x:c>
      <x:c r="H2087" s="13" t="n">
        <x:f>F2087-G2087</x:f>
        <x:v>697.04</x:v>
      </x:c>
      <x:c r="I2087" s="13" t="n">
        <x:f>IF(C2087=0,"n.a.",F2087/C2087)</x:f>
        <x:v>348.52</x:v>
      </x:c>
      <x:c r="J2087" s="3"/>
      <x:c r="K2087" s="3"/>
      <x:c r="L2087" s="3"/>
    </x:row>
    <x:row r="2088" ht="22" customHeight="1">
      <x:c r="A2088" s="3"/>
      <x:c r="B2088" s="3" t="str">
        <x:v>17397</x:v>
      </x:c>
      <x:c r="C2088" s="3" t="n">
        <x:v>2</x:v>
      </x:c>
      <x:c r="D2088" s="51" t="n">
        <x:v>40864</x:v>
      </x:c>
      <x:c r="E2088" s="3" t="str">
        <x:v>Recurrente</x:v>
      </x:c>
      <x:c r="F2088" s="13" t="n">
        <x:v>696.41</x:v>
      </x:c>
      <x:c r="G2088" s="13" t="n">
        <x:v>0</x:v>
      </x:c>
      <x:c r="H2088" s="13" t="n">
        <x:f>F2088-G2088</x:f>
        <x:v>696.41</x:v>
      </x:c>
      <x:c r="I2088" s="13" t="n">
        <x:f>IF(C2088=0,"n.a.",F2088/C2088)</x:f>
        <x:v>348.205</x:v>
      </x:c>
      <x:c r="J2088" s="3"/>
      <x:c r="K2088" s="3"/>
      <x:c r="L2088" s="3"/>
    </x:row>
    <x:row r="2089" ht="22" customHeight="1">
      <x:c r="A2089" s="3"/>
      <x:c r="B2089" s="3" t="str">
        <x:v>12925</x:v>
      </x:c>
      <x:c r="C2089" s="3" t="n">
        <x:v>2</x:v>
      </x:c>
      <x:c r="D2089" s="51" t="n">
        <x:v>40882</x:v>
      </x:c>
      <x:c r="E2089" s="3" t="str">
        <x:v>Recurrente</x:v>
      </x:c>
      <x:c r="F2089" s="13" t="n">
        <x:v>694.05</x:v>
      </x:c>
      <x:c r="G2089" s="13" t="n">
        <x:v>0</x:v>
      </x:c>
      <x:c r="H2089" s="13" t="n">
        <x:f>F2089-G2089</x:f>
        <x:v>694.05</x:v>
      </x:c>
      <x:c r="I2089" s="13" t="n">
        <x:f>IF(C2089=0,"n.a.",F2089/C2089)</x:f>
        <x:v>347.025</x:v>
      </x:c>
      <x:c r="J2089" s="3"/>
      <x:c r="K2089" s="3"/>
      <x:c r="L2089" s="3"/>
    </x:row>
    <x:row r="2090" ht="22" customHeight="1">
      <x:c r="A2090" s="3"/>
      <x:c r="B2090" s="3" t="str">
        <x:v>13601</x:v>
      </x:c>
      <x:c r="C2090" s="3" t="n">
        <x:v>2</x:v>
      </x:c>
      <x:c r="D2090" s="51" t="n">
        <x:v>40841</x:v>
      </x:c>
      <x:c r="E2090" s="3" t="str">
        <x:v>Recurrente</x:v>
      </x:c>
      <x:c r="F2090" s="13" t="n">
        <x:v>693.32</x:v>
      </x:c>
      <x:c r="G2090" s="13" t="n">
        <x:v>0</x:v>
      </x:c>
      <x:c r="H2090" s="13" t="n">
        <x:f>F2090-G2090</x:f>
        <x:v>693.32</x:v>
      </x:c>
      <x:c r="I2090" s="13" t="n">
        <x:f>IF(C2090=0,"n.a.",F2090/C2090)</x:f>
        <x:v>346.66</x:v>
      </x:c>
      <x:c r="J2090" s="3"/>
      <x:c r="K2090" s="3"/>
      <x:c r="L2090" s="3"/>
    </x:row>
    <x:row r="2091" ht="22" customHeight="1">
      <x:c r="A2091" s="3"/>
      <x:c r="B2091" s="3" t="str">
        <x:v>12778</x:v>
      </x:c>
      <x:c r="C2091" s="3" t="n">
        <x:v>6</x:v>
      </x:c>
      <x:c r="D2091" s="51" t="n">
        <x:v>40867</x:v>
      </x:c>
      <x:c r="E2091" s="3" t="str">
        <x:v>Recurrente</x:v>
      </x:c>
      <x:c r="F2091" s="13" t="n">
        <x:v>693.23</x:v>
      </x:c>
      <x:c r="G2091" s="13" t="n">
        <x:v>0</x:v>
      </x:c>
      <x:c r="H2091" s="13" t="n">
        <x:f>F2091-G2091</x:f>
        <x:v>693.23</x:v>
      </x:c>
      <x:c r="I2091" s="13" t="n">
        <x:f>IF(C2091=0,"n.a.",F2091/C2091)</x:f>
        <x:v>115.53833333333334</x:v>
      </x:c>
      <x:c r="J2091" s="3"/>
      <x:c r="K2091" s="3"/>
      <x:c r="L2091" s="3"/>
    </x:row>
    <x:row r="2092" ht="22" customHeight="1">
      <x:c r="A2092" s="3"/>
      <x:c r="B2092" s="3" t="str">
        <x:v>17198</x:v>
      </x:c>
      <x:c r="C2092" s="3" t="n">
        <x:v>3</x:v>
      </x:c>
      <x:c r="D2092" s="51" t="n">
        <x:v>40863</x:v>
      </x:c>
      <x:c r="E2092" s="3" t="str">
        <x:v>Recurrente</x:v>
      </x:c>
      <x:c r="F2092" s="13" t="n">
        <x:v>692.22</x:v>
      </x:c>
      <x:c r="G2092" s="13" t="n">
        <x:v>0</x:v>
      </x:c>
      <x:c r="H2092" s="13" t="n">
        <x:f>F2092-G2092</x:f>
        <x:v>692.22</x:v>
      </x:c>
      <x:c r="I2092" s="13" t="n">
        <x:f>IF(C2092=0,"n.a.",F2092/C2092)</x:f>
        <x:v>230.74</x:v>
      </x:c>
      <x:c r="J2092" s="3"/>
      <x:c r="K2092" s="3"/>
      <x:c r="L2092" s="3"/>
    </x:row>
    <x:row r="2093" ht="22" customHeight="1">
      <x:c r="A2093" s="3"/>
      <x:c r="B2093" s="3" t="str">
        <x:v>17733</x:v>
      </x:c>
      <x:c r="C2093" s="3" t="n">
        <x:v>2</x:v>
      </x:c>
      <x:c r="D2093" s="51" t="n">
        <x:v>40848</x:v>
      </x:c>
      <x:c r="E2093" s="3" t="str">
        <x:v>Recurrente</x:v>
      </x:c>
      <x:c r="F2093" s="13" t="n">
        <x:v>692.19</x:v>
      </x:c>
      <x:c r="G2093" s="13" t="n">
        <x:v>0</x:v>
      </x:c>
      <x:c r="H2093" s="13" t="n">
        <x:f>F2093-G2093</x:f>
        <x:v>692.19</x:v>
      </x:c>
      <x:c r="I2093" s="13" t="n">
        <x:f>IF(C2093=0,"n.a.",F2093/C2093)</x:f>
        <x:v>346.095</x:v>
      </x:c>
      <x:c r="J2093" s="3"/>
      <x:c r="K2093" s="3"/>
      <x:c r="L2093" s="3"/>
    </x:row>
    <x:row r="2094" ht="22" customHeight="1">
      <x:c r="A2094" s="3"/>
      <x:c r="B2094" s="3" t="str">
        <x:v>13838</x:v>
      </x:c>
      <x:c r="C2094" s="3" t="n">
        <x:v>4</x:v>
      </x:c>
      <x:c r="D2094" s="51" t="n">
        <x:v>40881</x:v>
      </x:c>
      <x:c r="E2094" s="3" t="str">
        <x:v>Recurrente</x:v>
      </x:c>
      <x:c r="F2094" s="13" t="n">
        <x:v>691.73</x:v>
      </x:c>
      <x:c r="G2094" s="13" t="n">
        <x:v>0</x:v>
      </x:c>
      <x:c r="H2094" s="13" t="n">
        <x:f>F2094-G2094</x:f>
        <x:v>691.73</x:v>
      </x:c>
      <x:c r="I2094" s="13" t="n">
        <x:f>IF(C2094=0,"n.a.",F2094/C2094)</x:f>
        <x:v>172.9325</x:v>
      </x:c>
      <x:c r="J2094" s="3"/>
      <x:c r="K2094" s="3"/>
      <x:c r="L2094" s="3"/>
    </x:row>
    <x:row r="2095" ht="22" customHeight="1">
      <x:c r="A2095" s="3"/>
      <x:c r="B2095" s="3" t="str">
        <x:v>16015</x:v>
      </x:c>
      <x:c r="C2095" s="3" t="n">
        <x:v>3</x:v>
      </x:c>
      <x:c r="D2095" s="51" t="n">
        <x:v>40883</x:v>
      </x:c>
      <x:c r="E2095" s="3" t="str">
        <x:v>Recurrente</x:v>
      </x:c>
      <x:c r="F2095" s="13" t="n">
        <x:v>705.1</x:v>
      </x:c>
      <x:c r="G2095" s="13" t="n">
        <x:v>14.85</x:v>
      </x:c>
      <x:c r="H2095" s="13" t="n">
        <x:f>F2095-G2095</x:f>
        <x:v>690.25</x:v>
      </x:c>
      <x:c r="I2095" s="13" t="n">
        <x:f>IF(C2095=0,"n.a.",F2095/C2095)</x:f>
        <x:v>235.03333333333333</x:v>
      </x:c>
      <x:c r="J2095" s="3"/>
      <x:c r="K2095" s="3"/>
      <x:c r="L2095" s="3"/>
    </x:row>
    <x:row r="2096" ht="22" customHeight="1">
      <x:c r="A2096" s="3"/>
      <x:c r="B2096" s="3" t="str">
        <x:v>18085</x:v>
      </x:c>
      <x:c r="C2096" s="3" t="n">
        <x:v>2</x:v>
      </x:c>
      <x:c r="D2096" s="51" t="n">
        <x:v>40556</x:v>
      </x:c>
      <x:c r="E2096" s="3" t="str">
        <x:v>Recurrente</x:v>
      </x:c>
      <x:c r="F2096" s="13" t="n">
        <x:v>689.95</x:v>
      </x:c>
      <x:c r="G2096" s="13" t="n">
        <x:v>0</x:v>
      </x:c>
      <x:c r="H2096" s="13" t="n">
        <x:f>F2096-G2096</x:f>
        <x:v>689.95</x:v>
      </x:c>
      <x:c r="I2096" s="13" t="n">
        <x:f>IF(C2096=0,"n.a.",F2096/C2096)</x:f>
        <x:v>344.975</x:v>
      </x:c>
      <x:c r="J2096" s="3"/>
      <x:c r="K2096" s="3"/>
      <x:c r="L2096" s="3"/>
    </x:row>
    <x:row r="2097" ht="22" customHeight="1">
      <x:c r="A2097" s="3"/>
      <x:c r="B2097" s="3" t="str">
        <x:v>12735</x:v>
      </x:c>
      <x:c r="C2097" s="3" t="n">
        <x:v>2</x:v>
      </x:c>
      <x:c r="D2097" s="51" t="n">
        <x:v>40571</x:v>
      </x:c>
      <x:c r="E2097" s="3" t="str">
        <x:v>Recurrente</x:v>
      </x:c>
      <x:c r="F2097" s="13" t="n">
        <x:v>689.57</x:v>
      </x:c>
      <x:c r="G2097" s="13" t="n">
        <x:v>0</x:v>
      </x:c>
      <x:c r="H2097" s="13" t="n">
        <x:f>F2097-G2097</x:f>
        <x:v>689.57</x:v>
      </x:c>
      <x:c r="I2097" s="13" t="n">
        <x:f>IF(C2097=0,"n.a.",F2097/C2097)</x:f>
        <x:v>344.785</x:v>
      </x:c>
      <x:c r="J2097" s="3"/>
      <x:c r="K2097" s="3"/>
      <x:c r="L2097" s="3"/>
    </x:row>
    <x:row r="2098" ht="22" customHeight="1">
      <x:c r="A2098" s="3"/>
      <x:c r="B2098" s="3" t="str">
        <x:v>18196</x:v>
      </x:c>
      <x:c r="C2098" s="3" t="n">
        <x:v>2</x:v>
      </x:c>
      <x:c r="D2098" s="51" t="n">
        <x:v>40791</x:v>
      </x:c>
      <x:c r="E2098" s="3" t="str">
        <x:v>Recurrente</x:v>
      </x:c>
      <x:c r="F2098" s="13" t="n">
        <x:v>689.13</x:v>
      </x:c>
      <x:c r="G2098" s="13" t="n">
        <x:v>0</x:v>
      </x:c>
      <x:c r="H2098" s="13" t="n">
        <x:f>F2098-G2098</x:f>
        <x:v>689.13</x:v>
      </x:c>
      <x:c r="I2098" s="13" t="n">
        <x:f>IF(C2098=0,"n.a.",F2098/C2098)</x:f>
        <x:v>344.565</x:v>
      </x:c>
      <x:c r="J2098" s="3"/>
      <x:c r="K2098" s="3"/>
      <x:c r="L2098" s="3"/>
    </x:row>
    <x:row r="2099" ht="22" customHeight="1">
      <x:c r="A2099" s="3"/>
      <x:c r="B2099" s="3" t="str">
        <x:v>17502</x:v>
      </x:c>
      <x:c r="C2099" s="3" t="n">
        <x:v>4</x:v>
      </x:c>
      <x:c r="D2099" s="51" t="n">
        <x:v>40877</x:v>
      </x:c>
      <x:c r="E2099" s="3" t="str">
        <x:v>Recurrente</x:v>
      </x:c>
      <x:c r="F2099" s="13" t="n">
        <x:v>689.1</x:v>
      </x:c>
      <x:c r="G2099" s="13" t="n">
        <x:v>0</x:v>
      </x:c>
      <x:c r="H2099" s="13" t="n">
        <x:f>F2099-G2099</x:f>
        <x:v>689.1</x:v>
      </x:c>
      <x:c r="I2099" s="13" t="n">
        <x:f>IF(C2099=0,"n.a.",F2099/C2099)</x:f>
        <x:v>172.275</x:v>
      </x:c>
      <x:c r="J2099" s="3"/>
      <x:c r="K2099" s="3"/>
      <x:c r="L2099" s="3"/>
    </x:row>
    <x:row r="2100" ht="22" customHeight="1">
      <x:c r="A2100" s="3"/>
      <x:c r="B2100" s="3" t="str">
        <x:v>13799</x:v>
      </x:c>
      <x:c r="C2100" s="3" t="n">
        <x:v>2</x:v>
      </x:c>
      <x:c r="D2100" s="51" t="n">
        <x:v>40770</x:v>
      </x:c>
      <x:c r="E2100" s="3" t="str">
        <x:v>Recurrente</x:v>
      </x:c>
      <x:c r="F2100" s="13" t="n">
        <x:v>688.86</x:v>
      </x:c>
      <x:c r="G2100" s="13" t="n">
        <x:v>0</x:v>
      </x:c>
      <x:c r="H2100" s="13" t="n">
        <x:f>F2100-G2100</x:f>
        <x:v>688.86</x:v>
      </x:c>
      <x:c r="I2100" s="13" t="n">
        <x:f>IF(C2100=0,"n.a.",F2100/C2100)</x:f>
        <x:v>344.43</x:v>
      </x:c>
      <x:c r="J2100" s="3"/>
      <x:c r="K2100" s="3"/>
      <x:c r="L2100" s="3"/>
    </x:row>
    <x:row r="2101" ht="22" customHeight="1">
      <x:c r="A2101" s="3"/>
      <x:c r="B2101" s="3" t="str">
        <x:v>14111</x:v>
      </x:c>
      <x:c r="C2101" s="3" t="n">
        <x:v>4</x:v>
      </x:c>
      <x:c r="D2101" s="51" t="n">
        <x:v>40872</x:v>
      </x:c>
      <x:c r="E2101" s="3" t="str">
        <x:v>Recurrente</x:v>
      </x:c>
      <x:c r="F2101" s="13" t="n">
        <x:v>692.85</x:v>
      </x:c>
      <x:c r="G2101" s="13" t="n">
        <x:v>4.25</x:v>
      </x:c>
      <x:c r="H2101" s="13" t="n">
        <x:f>F2101-G2101</x:f>
        <x:v>688.6</x:v>
      </x:c>
      <x:c r="I2101" s="13" t="n">
        <x:f>IF(C2101=0,"n.a.",F2101/C2101)</x:f>
        <x:v>173.2125</x:v>
      </x:c>
      <x:c r="J2101" s="3"/>
      <x:c r="K2101" s="3"/>
      <x:c r="L2101" s="3"/>
    </x:row>
    <x:row r="2102" ht="22" customHeight="1">
      <x:c r="A2102" s="3"/>
      <x:c r="B2102" s="3" t="str">
        <x:v>14201</x:v>
      </x:c>
      <x:c r="C2102" s="3" t="n">
        <x:v>7</x:v>
      </x:c>
      <x:c r="D2102" s="51" t="n">
        <x:v>40826</x:v>
      </x:c>
      <x:c r="E2102" s="3" t="str">
        <x:v>Recurrente</x:v>
      </x:c>
      <x:c r="F2102" s="13" t="n">
        <x:v>747.44</x:v>
      </x:c>
      <x:c r="G2102" s="13" t="n">
        <x:v>59.4</x:v>
      </x:c>
      <x:c r="H2102" s="13" t="n">
        <x:f>F2102-G2102</x:f>
        <x:v>688.0400000000001</x:v>
      </x:c>
      <x:c r="I2102" s="13" t="n">
        <x:f>IF(C2102=0,"n.a.",F2102/C2102)</x:f>
        <x:v>106.77714285714286</x:v>
      </x:c>
      <x:c r="J2102" s="3"/>
      <x:c r="K2102" s="3"/>
      <x:c r="L2102" s="3"/>
    </x:row>
    <x:row r="2103" ht="22" customHeight="1">
      <x:c r="A2103" s="3"/>
      <x:c r="B2103" s="3" t="str">
        <x:v>12693</x:v>
      </x:c>
      <x:c r="C2103" s="3" t="n">
        <x:v>4</x:v>
      </x:c>
      <x:c r="D2103" s="51" t="n">
        <x:v>40759</x:v>
      </x:c>
      <x:c r="E2103" s="3" t="str">
        <x:v>Recurrente</x:v>
      </x:c>
      <x:c r="F2103" s="13" t="n">
        <x:v>711.91</x:v>
      </x:c>
      <x:c r="G2103" s="13" t="n">
        <x:v>24.95</x:v>
      </x:c>
      <x:c r="H2103" s="13" t="n">
        <x:f>F2103-G2103</x:f>
        <x:v>686.9599999999999</x:v>
      </x:c>
      <x:c r="I2103" s="13" t="n">
        <x:f>IF(C2103=0,"n.a.",F2103/C2103)</x:f>
        <x:v>177.9775</x:v>
      </x:c>
      <x:c r="J2103" s="3"/>
      <x:c r="K2103" s="3"/>
      <x:c r="L2103" s="3"/>
    </x:row>
    <x:row r="2104" ht="22" customHeight="1">
      <x:c r="A2104" s="3"/>
      <x:c r="B2104" s="3" t="str">
        <x:v>16309</x:v>
      </x:c>
      <x:c r="C2104" s="3" t="n">
        <x:v>2</x:v>
      </x:c>
      <x:c r="D2104" s="51" t="n">
        <x:v>40780</x:v>
      </x:c>
      <x:c r="E2104" s="3" t="str">
        <x:v>Recurrente</x:v>
      </x:c>
      <x:c r="F2104" s="13" t="n">
        <x:v>706.57</x:v>
      </x:c>
      <x:c r="G2104" s="13" t="n">
        <x:v>19.9</x:v>
      </x:c>
      <x:c r="H2104" s="13" t="n">
        <x:f>F2104-G2104</x:f>
        <x:v>686.6700000000001</x:v>
      </x:c>
      <x:c r="I2104" s="13" t="n">
        <x:f>IF(C2104=0,"n.a.",F2104/C2104)</x:f>
        <x:v>353.285</x:v>
      </x:c>
      <x:c r="J2104" s="3"/>
      <x:c r="K2104" s="3"/>
      <x:c r="L2104" s="3"/>
    </x:row>
    <x:row r="2105" ht="22" customHeight="1">
      <x:c r="A2105" s="3"/>
      <x:c r="B2105" s="3" t="str">
        <x:v>14009</x:v>
      </x:c>
      <x:c r="C2105" s="3" t="n">
        <x:v>2</x:v>
      </x:c>
      <x:c r="D2105" s="51" t="n">
        <x:v>40688</x:v>
      </x:c>
      <x:c r="E2105" s="3" t="str">
        <x:v>Recurrente</x:v>
      </x:c>
      <x:c r="F2105" s="13" t="n">
        <x:v>695.61</x:v>
      </x:c>
      <x:c r="G2105" s="13" t="n">
        <x:v>9.68</x:v>
      </x:c>
      <x:c r="H2105" s="13" t="n">
        <x:f>F2105-G2105</x:f>
        <x:v>685.9300000000001</x:v>
      </x:c>
      <x:c r="I2105" s="13" t="n">
        <x:f>IF(C2105=0,"n.a.",F2105/C2105)</x:f>
        <x:v>347.805</x:v>
      </x:c>
      <x:c r="J2105" s="3"/>
      <x:c r="K2105" s="3"/>
      <x:c r="L2105" s="3"/>
    </x:row>
    <x:row r="2106" ht="22" customHeight="1">
      <x:c r="A2106" s="3"/>
      <x:c r="B2106" s="3" t="str">
        <x:v>14959</x:v>
      </x:c>
      <x:c r="C2106" s="3" t="n">
        <x:v>4</x:v>
      </x:c>
      <x:c r="D2106" s="51" t="n">
        <x:v>40822</x:v>
      </x:c>
      <x:c r="E2106" s="3" t="str">
        <x:v>Recurrente</x:v>
      </x:c>
      <x:c r="F2106" s="13" t="n">
        <x:v>695.42</x:v>
      </x:c>
      <x:c r="G2106" s="13" t="n">
        <x:v>10.45</x:v>
      </x:c>
      <x:c r="H2106" s="13" t="n">
        <x:f>F2106-G2106</x:f>
        <x:v>684.9699999999999</x:v>
      </x:c>
      <x:c r="I2106" s="13" t="n">
        <x:f>IF(C2106=0,"n.a.",F2106/C2106)</x:f>
        <x:v>173.855</x:v>
      </x:c>
      <x:c r="J2106" s="3"/>
      <x:c r="K2106" s="3"/>
      <x:c r="L2106" s="3"/>
    </x:row>
    <x:row r="2107" ht="22" customHeight="1">
      <x:c r="A2107" s="3"/>
      <x:c r="B2107" s="3" t="str">
        <x:v>15181</x:v>
      </x:c>
      <x:c r="C2107" s="3" t="n">
        <x:v>3</x:v>
      </x:c>
      <x:c r="D2107" s="51" t="n">
        <x:v>40820</x:v>
      </x:c>
      <x:c r="E2107" s="3" t="str">
        <x:v>Recurrente</x:v>
      </x:c>
      <x:c r="F2107" s="13" t="n">
        <x:v>689.48</x:v>
      </x:c>
      <x:c r="G2107" s="13" t="n">
        <x:v>4.95</x:v>
      </x:c>
      <x:c r="H2107" s="13" t="n">
        <x:f>F2107-G2107</x:f>
        <x:v>684.53</x:v>
      </x:c>
      <x:c r="I2107" s="13" t="n">
        <x:f>IF(C2107=0,"n.a.",F2107/C2107)</x:f>
        <x:v>229.82666666666668</x:v>
      </x:c>
      <x:c r="J2107" s="3"/>
      <x:c r="K2107" s="3"/>
      <x:c r="L2107" s="3"/>
    </x:row>
    <x:row r="2108" ht="22" customHeight="1">
      <x:c r="A2108" s="3"/>
      <x:c r="B2108" s="3" t="str">
        <x:v>16122</x:v>
      </x:c>
      <x:c r="C2108" s="3" t="n">
        <x:v>4</x:v>
      </x:c>
      <x:c r="D2108" s="51" t="n">
        <x:v>40813</x:v>
      </x:c>
      <x:c r="E2108" s="3" t="str">
        <x:v>Recurrente</x:v>
      </x:c>
      <x:c r="F2108" s="13" t="n">
        <x:v>684.42</x:v>
      </x:c>
      <x:c r="G2108" s="13" t="n">
        <x:v>0</x:v>
      </x:c>
      <x:c r="H2108" s="13" t="n">
        <x:f>F2108-G2108</x:f>
        <x:v>684.42</x:v>
      </x:c>
      <x:c r="I2108" s="13" t="n">
        <x:f>IF(C2108=0,"n.a.",F2108/C2108)</x:f>
        <x:v>171.105</x:v>
      </x:c>
      <x:c r="J2108" s="3"/>
      <x:c r="K2108" s="3"/>
      <x:c r="L2108" s="3"/>
    </x:row>
    <x:row r="2109" ht="22" customHeight="1">
      <x:c r="A2109" s="3"/>
      <x:c r="B2109" s="3" t="str">
        <x:v>16495</x:v>
      </x:c>
      <x:c r="C2109" s="3" t="n">
        <x:v>3</x:v>
      </x:c>
      <x:c r="D2109" s="51" t="n">
        <x:v>40883</x:v>
      </x:c>
      <x:c r="E2109" s="3" t="str">
        <x:v>Recurrente</x:v>
      </x:c>
      <x:c r="F2109" s="13" t="n">
        <x:v>684.41</x:v>
      </x:c>
      <x:c r="G2109" s="13" t="n">
        <x:v>0</x:v>
      </x:c>
      <x:c r="H2109" s="13" t="n">
        <x:f>F2109-G2109</x:f>
        <x:v>684.41</x:v>
      </x:c>
      <x:c r="I2109" s="13" t="n">
        <x:f>IF(C2109=0,"n.a.",F2109/C2109)</x:f>
        <x:v>228.13666666666666</x:v>
      </x:c>
      <x:c r="J2109" s="3"/>
      <x:c r="K2109" s="3"/>
      <x:c r="L2109" s="3"/>
    </x:row>
    <x:row r="2110" ht="22" customHeight="1">
      <x:c r="A2110" s="3"/>
      <x:c r="B2110" s="3" t="str">
        <x:v>12942</x:v>
      </x:c>
      <x:c r="C2110" s="3" t="n">
        <x:v>3</x:v>
      </x:c>
      <x:c r="D2110" s="51" t="n">
        <x:v>40755</x:v>
      </x:c>
      <x:c r="E2110" s="3" t="str">
        <x:v>Recurrente</x:v>
      </x:c>
      <x:c r="F2110" s="13" t="n">
        <x:v>683.9</x:v>
      </x:c>
      <x:c r="G2110" s="13" t="n">
        <x:v>0</x:v>
      </x:c>
      <x:c r="H2110" s="13" t="n">
        <x:f>F2110-G2110</x:f>
        <x:v>683.9</x:v>
      </x:c>
      <x:c r="I2110" s="13" t="n">
        <x:f>IF(C2110=0,"n.a.",F2110/C2110)</x:f>
        <x:v>227.96666666666667</x:v>
      </x:c>
      <x:c r="J2110" s="3"/>
      <x:c r="K2110" s="3"/>
      <x:c r="L2110" s="3"/>
    </x:row>
    <x:row r="2111" ht="22" customHeight="1">
      <x:c r="A2111" s="3"/>
      <x:c r="B2111" s="3" t="str">
        <x:v>12422</x:v>
      </x:c>
      <x:c r="C2111" s="3" t="n">
        <x:v>3</x:v>
      </x:c>
      <x:c r="D2111" s="51" t="n">
        <x:v>40791</x:v>
      </x:c>
      <x:c r="E2111" s="3" t="str">
        <x:v>Recurrente</x:v>
      </x:c>
      <x:c r="F2111" s="13" t="n">
        <x:v>683.56</x:v>
      </x:c>
      <x:c r="G2111" s="13" t="n">
        <x:v>0</x:v>
      </x:c>
      <x:c r="H2111" s="13" t="n">
        <x:f>F2111-G2111</x:f>
        <x:v>683.56</x:v>
      </x:c>
      <x:c r="I2111" s="13" t="n">
        <x:f>IF(C2111=0,"n.a.",F2111/C2111)</x:f>
        <x:v>227.85333333333332</x:v>
      </x:c>
      <x:c r="J2111" s="3"/>
      <x:c r="K2111" s="3"/>
      <x:c r="L2111" s="3"/>
    </x:row>
    <x:row r="2112" ht="22" customHeight="1">
      <x:c r="A2112" s="3"/>
      <x:c r="B2112" s="3" t="str">
        <x:v>14222</x:v>
      </x:c>
      <x:c r="C2112" s="3" t="n">
        <x:v>1</x:v>
      </x:c>
      <x:c r="D2112" s="51" t="n">
        <x:v>40709</x:v>
      </x:c>
      <x:c r="E2112" s="3" t="str">
        <x:v>Una compra</x:v>
      </x:c>
      <x:c r="F2112" s="13" t="n">
        <x:v>683.17</x:v>
      </x:c>
      <x:c r="G2112" s="13" t="n">
        <x:v>0</x:v>
      </x:c>
      <x:c r="H2112" s="13" t="n">
        <x:f>F2112-G2112</x:f>
        <x:v>683.17</x:v>
      </x:c>
      <x:c r="I2112" s="13" t="n">
        <x:f>IF(C2112=0,"n.a.",F2112/C2112)</x:f>
        <x:v>683.17</x:v>
      </x:c>
      <x:c r="J2112" s="3"/>
      <x:c r="K2112" s="3"/>
      <x:c r="L2112" s="3"/>
    </x:row>
    <x:row r="2113" ht="22" customHeight="1">
      <x:c r="A2113" s="3"/>
      <x:c r="B2113" s="3" t="str">
        <x:v>12838</x:v>
      </x:c>
      <x:c r="C2113" s="3" t="n">
        <x:v>2</x:v>
      </x:c>
      <x:c r="D2113" s="51" t="n">
        <x:v>40853</x:v>
      </x:c>
      <x:c r="E2113" s="3" t="str">
        <x:v>Recurrente</x:v>
      </x:c>
      <x:c r="F2113" s="13" t="n">
        <x:v>683.13</x:v>
      </x:c>
      <x:c r="G2113" s="13" t="n">
        <x:v>0</x:v>
      </x:c>
      <x:c r="H2113" s="13" t="n">
        <x:f>F2113-G2113</x:f>
        <x:v>683.13</x:v>
      </x:c>
      <x:c r="I2113" s="13" t="n">
        <x:f>IF(C2113=0,"n.a.",F2113/C2113)</x:f>
        <x:v>341.565</x:v>
      </x:c>
      <x:c r="J2113" s="3"/>
      <x:c r="K2113" s="3"/>
      <x:c r="L2113" s="3"/>
    </x:row>
    <x:row r="2114" ht="22" customHeight="1">
      <x:c r="A2114" s="3"/>
      <x:c r="B2114" s="3" t="str">
        <x:v>15582</x:v>
      </x:c>
      <x:c r="C2114" s="3" t="n">
        <x:v>3</x:v>
      </x:c>
      <x:c r="D2114" s="51" t="n">
        <x:v>40862</x:v>
      </x:c>
      <x:c r="E2114" s="3" t="str">
        <x:v>Recurrente</x:v>
      </x:c>
      <x:c r="F2114" s="13" t="n">
        <x:v>682.91</x:v>
      </x:c>
      <x:c r="G2114" s="13" t="n">
        <x:v>0</x:v>
      </x:c>
      <x:c r="H2114" s="13" t="n">
        <x:f>F2114-G2114</x:f>
        <x:v>682.91</x:v>
      </x:c>
      <x:c r="I2114" s="13" t="n">
        <x:f>IF(C2114=0,"n.a.",F2114/C2114)</x:f>
        <x:v>227.63666666666666</x:v>
      </x:c>
      <x:c r="J2114" s="3"/>
      <x:c r="K2114" s="3"/>
      <x:c r="L2114" s="3"/>
    </x:row>
    <x:row r="2115" ht="22" customHeight="1">
      <x:c r="A2115" s="3"/>
      <x:c r="B2115" s="3" t="str">
        <x:v>13548</x:v>
      </x:c>
      <x:c r="C2115" s="3" t="n">
        <x:v>2</x:v>
      </x:c>
      <x:c r="D2115" s="51" t="n">
        <x:v>40790</x:v>
      </x:c>
      <x:c r="E2115" s="3" t="str">
        <x:v>Recurrente</x:v>
      </x:c>
      <x:c r="F2115" s="13" t="n">
        <x:v>682.41</x:v>
      </x:c>
      <x:c r="G2115" s="13" t="n">
        <x:v>0</x:v>
      </x:c>
      <x:c r="H2115" s="13" t="n">
        <x:f>F2115-G2115</x:f>
        <x:v>682.41</x:v>
      </x:c>
      <x:c r="I2115" s="13" t="n">
        <x:f>IF(C2115=0,"n.a.",F2115/C2115)</x:f>
        <x:v>341.205</x:v>
      </x:c>
      <x:c r="J2115" s="3"/>
      <x:c r="K2115" s="3"/>
      <x:c r="L2115" s="3"/>
    </x:row>
    <x:row r="2116" ht="22" customHeight="1">
      <x:c r="A2116" s="3"/>
      <x:c r="B2116" s="3" t="str">
        <x:v>18135</x:v>
      </x:c>
      <x:c r="C2116" s="3" t="n">
        <x:v>5</x:v>
      </x:c>
      <x:c r="D2116" s="51" t="n">
        <x:v>40857</x:v>
      </x:c>
      <x:c r="E2116" s="3" t="str">
        <x:v>Recurrente</x:v>
      </x:c>
      <x:c r="F2116" s="13" t="n">
        <x:v>681.91</x:v>
      </x:c>
      <x:c r="G2116" s="13" t="n">
        <x:v>0</x:v>
      </x:c>
      <x:c r="H2116" s="13" t="n">
        <x:f>F2116-G2116</x:f>
        <x:v>681.91</x:v>
      </x:c>
      <x:c r="I2116" s="13" t="n">
        <x:f>IF(C2116=0,"n.a.",F2116/C2116)</x:f>
        <x:v>136.382</x:v>
      </x:c>
      <x:c r="J2116" s="3"/>
      <x:c r="K2116" s="3"/>
      <x:c r="L2116" s="3"/>
    </x:row>
    <x:row r="2117" ht="22" customHeight="1">
      <x:c r="A2117" s="3"/>
      <x:c r="B2117" s="3" t="str">
        <x:v>16212</x:v>
      </x:c>
      <x:c r="C2117" s="3" t="n">
        <x:v>2</x:v>
      </x:c>
      <x:c r="D2117" s="51" t="n">
        <x:v>40867</x:v>
      </x:c>
      <x:c r="E2117" s="3" t="str">
        <x:v>Recurrente</x:v>
      </x:c>
      <x:c r="F2117" s="13" t="n">
        <x:v>690.34</x:v>
      </x:c>
      <x:c r="G2117" s="13" t="n">
        <x:v>9.15</x:v>
      </x:c>
      <x:c r="H2117" s="13" t="n">
        <x:f>F2117-G2117</x:f>
        <x:v>681.19</x:v>
      </x:c>
      <x:c r="I2117" s="13" t="n">
        <x:f>IF(C2117=0,"n.a.",F2117/C2117)</x:f>
        <x:v>345.17</x:v>
      </x:c>
      <x:c r="J2117" s="3"/>
      <x:c r="K2117" s="3"/>
      <x:c r="L2117" s="3"/>
    </x:row>
    <x:row r="2118" ht="22" customHeight="1">
      <x:c r="A2118" s="3"/>
      <x:c r="B2118" s="3" t="str">
        <x:v>13238</x:v>
      </x:c>
      <x:c r="C2118" s="3" t="n">
        <x:v>4</x:v>
      </x:c>
      <x:c r="D2118" s="51" t="n">
        <x:v>40869</x:v>
      </x:c>
      <x:c r="E2118" s="3" t="str">
        <x:v>Recurrente</x:v>
      </x:c>
      <x:c r="F2118" s="13" t="n">
        <x:v>700.73</x:v>
      </x:c>
      <x:c r="G2118" s="13" t="n">
        <x:v>19.9</x:v>
      </x:c>
      <x:c r="H2118" s="13" t="n">
        <x:f>F2118-G2118</x:f>
        <x:v>680.83</x:v>
      </x:c>
      <x:c r="I2118" s="13" t="n">
        <x:f>IF(C2118=0,"n.a.",F2118/C2118)</x:f>
        <x:v>175.1825</x:v>
      </x:c>
      <x:c r="J2118" s="3"/>
      <x:c r="K2118" s="3"/>
      <x:c r="L2118" s="3"/>
    </x:row>
    <x:row r="2119" ht="22" customHeight="1">
      <x:c r="A2119" s="3"/>
      <x:c r="B2119" s="3" t="str">
        <x:v>15304</x:v>
      </x:c>
      <x:c r="C2119" s="3" t="n">
        <x:v>8</x:v>
      </x:c>
      <x:c r="D2119" s="51" t="n">
        <x:v>40826</x:v>
      </x:c>
      <x:c r="E2119" s="3" t="str">
        <x:v>Recurrente</x:v>
      </x:c>
      <x:c r="F2119" s="13" t="n">
        <x:v>694.4</x:v>
      </x:c>
      <x:c r="G2119" s="13" t="n">
        <x:v>14.1</x:v>
      </x:c>
      <x:c r="H2119" s="13" t="n">
        <x:f>F2119-G2119</x:f>
        <x:v>680.3</x:v>
      </x:c>
      <x:c r="I2119" s="13" t="n">
        <x:f>IF(C2119=0,"n.a.",F2119/C2119)</x:f>
        <x:v>86.8</x:v>
      </x:c>
      <x:c r="J2119" s="3"/>
      <x:c r="K2119" s="3"/>
      <x:c r="L2119" s="3"/>
    </x:row>
    <x:row r="2120" ht="22" customHeight="1">
      <x:c r="A2120" s="3"/>
      <x:c r="B2120" s="3" t="str">
        <x:v>13524</x:v>
      </x:c>
      <x:c r="C2120" s="3" t="n">
        <x:v>5</x:v>
      </x:c>
      <x:c r="D2120" s="51" t="n">
        <x:v>40846</x:v>
      </x:c>
      <x:c r="E2120" s="3" t="str">
        <x:v>Recurrente</x:v>
      </x:c>
      <x:c r="F2120" s="13" t="n">
        <x:v>680.18</x:v>
      </x:c>
      <x:c r="G2120" s="13" t="n">
        <x:v>0</x:v>
      </x:c>
      <x:c r="H2120" s="13" t="n">
        <x:f>F2120-G2120</x:f>
        <x:v>680.18</x:v>
      </x:c>
      <x:c r="I2120" s="13" t="n">
        <x:f>IF(C2120=0,"n.a.",F2120/C2120)</x:f>
        <x:v>136.036</x:v>
      </x:c>
      <x:c r="J2120" s="3"/>
      <x:c r="K2120" s="3"/>
      <x:c r="L2120" s="3"/>
    </x:row>
    <x:row r="2121" ht="22" customHeight="1">
      <x:c r="A2121" s="3"/>
      <x:c r="B2121" s="3" t="str">
        <x:v>16872</x:v>
      </x:c>
      <x:c r="C2121" s="3" t="n">
        <x:v>3</x:v>
      </x:c>
      <x:c r="D2121" s="51" t="n">
        <x:v>40809</x:v>
      </x:c>
      <x:c r="E2121" s="3" t="str">
        <x:v>Recurrente</x:v>
      </x:c>
      <x:c r="F2121" s="13" t="n">
        <x:v>680.02</x:v>
      </x:c>
      <x:c r="G2121" s="13" t="n">
        <x:v>0</x:v>
      </x:c>
      <x:c r="H2121" s="13" t="n">
        <x:f>F2121-G2121</x:f>
        <x:v>680.02</x:v>
      </x:c>
      <x:c r="I2121" s="13" t="n">
        <x:f>IF(C2121=0,"n.a.",F2121/C2121)</x:f>
        <x:v>226.67333333333332</x:v>
      </x:c>
      <x:c r="J2121" s="3"/>
      <x:c r="K2121" s="3"/>
      <x:c r="L2121" s="3"/>
    </x:row>
    <x:row r="2122" ht="22" customHeight="1">
      <x:c r="A2122" s="3"/>
      <x:c r="B2122" s="3" t="str">
        <x:v>16642</x:v>
      </x:c>
      <x:c r="C2122" s="3" t="n">
        <x:v>2</x:v>
      </x:c>
      <x:c r="D2122" s="51" t="n">
        <x:v>40882</x:v>
      </x:c>
      <x:c r="E2122" s="3" t="str">
        <x:v>Recurrente</x:v>
      </x:c>
      <x:c r="F2122" s="13" t="n">
        <x:v>688.33</x:v>
      </x:c>
      <x:c r="G2122" s="13" t="n">
        <x:v>8.5</x:v>
      </x:c>
      <x:c r="H2122" s="13" t="n">
        <x:f>F2122-G2122</x:f>
        <x:v>679.83</x:v>
      </x:c>
      <x:c r="I2122" s="13" t="n">
        <x:f>IF(C2122=0,"n.a.",F2122/C2122)</x:f>
        <x:v>344.165</x:v>
      </x:c>
      <x:c r="J2122" s="3"/>
      <x:c r="K2122" s="3"/>
      <x:c r="L2122" s="3"/>
    </x:row>
    <x:row r="2123" ht="22" customHeight="1">
      <x:c r="A2123" s="3"/>
      <x:c r="B2123" s="3" t="str">
        <x:v>14788</x:v>
      </x:c>
      <x:c r="C2123" s="3" t="n">
        <x:v>2</x:v>
      </x:c>
      <x:c r="D2123" s="51" t="n">
        <x:v>40879</x:v>
      </x:c>
      <x:c r="E2123" s="3" t="str">
        <x:v>Recurrente</x:v>
      </x:c>
      <x:c r="F2123" s="13" t="n">
        <x:v>679.44</x:v>
      </x:c>
      <x:c r="G2123" s="13" t="n">
        <x:v>0</x:v>
      </x:c>
      <x:c r="H2123" s="13" t="n">
        <x:f>F2123-G2123</x:f>
        <x:v>679.44</x:v>
      </x:c>
      <x:c r="I2123" s="13" t="n">
        <x:f>IF(C2123=0,"n.a.",F2123/C2123)</x:f>
        <x:v>339.72</x:v>
      </x:c>
      <x:c r="J2123" s="3"/>
      <x:c r="K2123" s="3"/>
      <x:c r="L2123" s="3"/>
    </x:row>
    <x:row r="2124" ht="22" customHeight="1">
      <x:c r="A2124" s="3"/>
      <x:c r="B2124" s="3" t="str">
        <x:v>13607</x:v>
      </x:c>
      <x:c r="C2124" s="3" t="n">
        <x:v>1</x:v>
      </x:c>
      <x:c r="D2124" s="51" t="n">
        <x:v>40846</x:v>
      </x:c>
      <x:c r="E2124" s="3" t="str">
        <x:v>Una compra</x:v>
      </x:c>
      <x:c r="F2124" s="13" t="n">
        <x:v>678.01</x:v>
      </x:c>
      <x:c r="G2124" s="13" t="n">
        <x:v>0</x:v>
      </x:c>
      <x:c r="H2124" s="13" t="n">
        <x:f>F2124-G2124</x:f>
        <x:v>678.01</x:v>
      </x:c>
      <x:c r="I2124" s="13" t="n">
        <x:f>IF(C2124=0,"n.a.",F2124/C2124)</x:f>
        <x:v>678.01</x:v>
      </x:c>
      <x:c r="J2124" s="3"/>
      <x:c r="K2124" s="3"/>
      <x:c r="L2124" s="3"/>
    </x:row>
    <x:row r="2125" ht="22" customHeight="1">
      <x:c r="A2125" s="3"/>
      <x:c r="B2125" s="3" t="str">
        <x:v>15669</x:v>
      </x:c>
      <x:c r="C2125" s="3" t="n">
        <x:v>4</x:v>
      </x:c>
      <x:c r="D2125" s="51" t="n">
        <x:v>40846</x:v>
      </x:c>
      <x:c r="E2125" s="3" t="str">
        <x:v>Recurrente</x:v>
      </x:c>
      <x:c r="F2125" s="13" t="n">
        <x:v>684.34</x:v>
      </x:c>
      <x:c r="G2125" s="13" t="n">
        <x:v>6.65</x:v>
      </x:c>
      <x:c r="H2125" s="13" t="n">
        <x:f>F2125-G2125</x:f>
        <x:v>677.69</x:v>
      </x:c>
      <x:c r="I2125" s="13" t="n">
        <x:f>IF(C2125=0,"n.a.",F2125/C2125)</x:f>
        <x:v>171.085</x:v>
      </x:c>
      <x:c r="J2125" s="3"/>
      <x:c r="K2125" s="3"/>
      <x:c r="L2125" s="3"/>
    </x:row>
    <x:row r="2126" ht="22" customHeight="1">
      <x:c r="A2126" s="3"/>
      <x:c r="B2126" s="3" t="str">
        <x:v>13040</x:v>
      </x:c>
      <x:c r="C2126" s="3" t="n">
        <x:v>2</x:v>
      </x:c>
      <x:c r="D2126" s="51" t="n">
        <x:v>40878</x:v>
      </x:c>
      <x:c r="E2126" s="3" t="str">
        <x:v>Recurrente</x:v>
      </x:c>
      <x:c r="F2126" s="13" t="n">
        <x:v>676.99</x:v>
      </x:c>
      <x:c r="G2126" s="13" t="n">
        <x:v>0</x:v>
      </x:c>
      <x:c r="H2126" s="13" t="n">
        <x:f>F2126-G2126</x:f>
        <x:v>676.99</x:v>
      </x:c>
      <x:c r="I2126" s="13" t="n">
        <x:f>IF(C2126=0,"n.a.",F2126/C2126)</x:f>
        <x:v>338.495</x:v>
      </x:c>
      <x:c r="J2126" s="3"/>
      <x:c r="K2126" s="3"/>
      <x:c r="L2126" s="3"/>
    </x:row>
    <x:row r="2127" ht="22" customHeight="1">
      <x:c r="A2127" s="3"/>
      <x:c r="B2127" s="3" t="str">
        <x:v>16377</x:v>
      </x:c>
      <x:c r="C2127" s="3" t="n">
        <x:v>1</x:v>
      </x:c>
      <x:c r="D2127" s="51" t="n">
        <x:v>40619</x:v>
      </x:c>
      <x:c r="E2127" s="3" t="str">
        <x:v>Una compra</x:v>
      </x:c>
      <x:c r="F2127" s="13" t="n">
        <x:v>676.2</x:v>
      </x:c>
      <x:c r="G2127" s="13" t="n">
        <x:v>0</x:v>
      </x:c>
      <x:c r="H2127" s="13" t="n">
        <x:f>F2127-G2127</x:f>
        <x:v>676.2</x:v>
      </x:c>
      <x:c r="I2127" s="13" t="n">
        <x:f>IF(C2127=0,"n.a.",F2127/C2127)</x:f>
        <x:v>676.2</x:v>
      </x:c>
      <x:c r="J2127" s="3"/>
      <x:c r="K2127" s="3"/>
      <x:c r="L2127" s="3"/>
    </x:row>
    <x:row r="2128" ht="22" customHeight="1">
      <x:c r="A2128" s="3"/>
      <x:c r="B2128" s="3" t="str">
        <x:v>12413</x:v>
      </x:c>
      <x:c r="C2128" s="3" t="n">
        <x:v>3</x:v>
      </x:c>
      <x:c r="D2128" s="51" t="n">
        <x:v>40820</x:v>
      </x:c>
      <x:c r="E2128" s="3" t="str">
        <x:v>Recurrente</x:v>
      </x:c>
      <x:c r="F2128" s="13" t="n">
        <x:v>686.1</x:v>
      </x:c>
      <x:c r="G2128" s="13" t="n">
        <x:v>9.95</x:v>
      </x:c>
      <x:c r="H2128" s="13" t="n">
        <x:f>F2128-G2128</x:f>
        <x:v>676.15</x:v>
      </x:c>
      <x:c r="I2128" s="13" t="n">
        <x:f>IF(C2128=0,"n.a.",F2128/C2128)</x:f>
        <x:v>228.70000000000002</x:v>
      </x:c>
      <x:c r="J2128" s="3"/>
      <x:c r="K2128" s="3"/>
      <x:c r="L2128" s="3"/>
    </x:row>
    <x:row r="2129" ht="22" customHeight="1">
      <x:c r="A2129" s="3"/>
      <x:c r="B2129" s="3" t="str">
        <x:v>15626</x:v>
      </x:c>
      <x:c r="C2129" s="3" t="n">
        <x:v>2</x:v>
      </x:c>
      <x:c r="D2129" s="51" t="n">
        <x:v>40812</x:v>
      </x:c>
      <x:c r="E2129" s="3" t="str">
        <x:v>Recurrente</x:v>
      </x:c>
      <x:c r="F2129" s="13" t="n">
        <x:v>675.8</x:v>
      </x:c>
      <x:c r="G2129" s="13" t="n">
        <x:v>0</x:v>
      </x:c>
      <x:c r="H2129" s="13" t="n">
        <x:f>F2129-G2129</x:f>
        <x:v>675.8</x:v>
      </x:c>
      <x:c r="I2129" s="13" t="n">
        <x:f>IF(C2129=0,"n.a.",F2129/C2129)</x:f>
        <x:v>337.9</x:v>
      </x:c>
      <x:c r="J2129" s="3"/>
      <x:c r="K2129" s="3"/>
      <x:c r="L2129" s="3"/>
    </x:row>
    <x:row r="2130" ht="22" customHeight="1">
      <x:c r="A2130" s="3"/>
      <x:c r="B2130" s="3" t="str">
        <x:v>13325</x:v>
      </x:c>
      <x:c r="C2130" s="3" t="n">
        <x:v>1</x:v>
      </x:c>
      <x:c r="D2130" s="51" t="n">
        <x:v>40805</x:v>
      </x:c>
      <x:c r="E2130" s="3" t="str">
        <x:v>Una compra</x:v>
      </x:c>
      <x:c r="F2130" s="13" t="n">
        <x:v>675.3</x:v>
      </x:c>
      <x:c r="G2130" s="13" t="n">
        <x:v>0</x:v>
      </x:c>
      <x:c r="H2130" s="13" t="n">
        <x:f>F2130-G2130</x:f>
        <x:v>675.3</x:v>
      </x:c>
      <x:c r="I2130" s="13" t="n">
        <x:f>IF(C2130=0,"n.a.",F2130/C2130)</x:f>
        <x:v>675.3</x:v>
      </x:c>
      <x:c r="J2130" s="3"/>
      <x:c r="K2130" s="3"/>
      <x:c r="L2130" s="3"/>
    </x:row>
    <x:row r="2131" ht="22" customHeight="1">
      <x:c r="A2131" s="3"/>
      <x:c r="B2131" s="3" t="str">
        <x:v>16418</x:v>
      </x:c>
      <x:c r="C2131" s="3" t="n">
        <x:v>3</x:v>
      </x:c>
      <x:c r="D2131" s="51" t="n">
        <x:v>40842</x:v>
      </x:c>
      <x:c r="E2131" s="3" t="str">
        <x:v>Recurrente</x:v>
      </x:c>
      <x:c r="F2131" s="13" t="n">
        <x:v>675.27</x:v>
      </x:c>
      <x:c r="G2131" s="13" t="n">
        <x:v>0</x:v>
      </x:c>
      <x:c r="H2131" s="13" t="n">
        <x:f>F2131-G2131</x:f>
        <x:v>675.27</x:v>
      </x:c>
      <x:c r="I2131" s="13" t="n">
        <x:f>IF(C2131=0,"n.a.",F2131/C2131)</x:f>
        <x:v>225.09</x:v>
      </x:c>
      <x:c r="J2131" s="3"/>
      <x:c r="K2131" s="3"/>
      <x:c r="L2131" s="3"/>
    </x:row>
    <x:row r="2132" ht="22" customHeight="1">
      <x:c r="A2132" s="3"/>
      <x:c r="B2132" s="3" t="str">
        <x:v>13355</x:v>
      </x:c>
      <x:c r="C2132" s="3" t="n">
        <x:v>1</x:v>
      </x:c>
      <x:c r="D2132" s="51" t="n">
        <x:v>40764</x:v>
      </x:c>
      <x:c r="E2132" s="3" t="str">
        <x:v>Una compra</x:v>
      </x:c>
      <x:c r="F2132" s="13" t="n">
        <x:v>674.7</x:v>
      </x:c>
      <x:c r="G2132" s="13" t="n">
        <x:v>0</x:v>
      </x:c>
      <x:c r="H2132" s="13" t="n">
        <x:f>F2132-G2132</x:f>
        <x:v>674.7</x:v>
      </x:c>
      <x:c r="I2132" s="13" t="n">
        <x:f>IF(C2132=0,"n.a.",F2132/C2132)</x:f>
        <x:v>674.7</x:v>
      </x:c>
      <x:c r="J2132" s="3"/>
      <x:c r="K2132" s="3"/>
      <x:c r="L2132" s="3"/>
    </x:row>
    <x:row r="2133" ht="22" customHeight="1">
      <x:c r="A2133" s="3"/>
      <x:c r="B2133" s="3" t="str">
        <x:v>16449</x:v>
      </x:c>
      <x:c r="C2133" s="3" t="n">
        <x:v>2</x:v>
      </x:c>
      <x:c r="D2133" s="51" t="n">
        <x:v>40689</x:v>
      </x:c>
      <x:c r="E2133" s="3" t="str">
        <x:v>Recurrente</x:v>
      </x:c>
      <x:c r="F2133" s="13" t="n">
        <x:v>707.69</x:v>
      </x:c>
      <x:c r="G2133" s="13" t="n">
        <x:v>33</x:v>
      </x:c>
      <x:c r="H2133" s="13" t="n">
        <x:f>F2133-G2133</x:f>
        <x:v>674.69</x:v>
      </x:c>
      <x:c r="I2133" s="13" t="n">
        <x:f>IF(C2133=0,"n.a.",F2133/C2133)</x:f>
        <x:v>353.845</x:v>
      </x:c>
      <x:c r="J2133" s="3"/>
      <x:c r="K2133" s="3"/>
      <x:c r="L2133" s="3"/>
    </x:row>
    <x:row r="2134" ht="22" customHeight="1">
      <x:c r="A2134" s="3"/>
      <x:c r="B2134" s="3" t="str">
        <x:v>13464</x:v>
      </x:c>
      <x:c r="C2134" s="3" t="n">
        <x:v>1</x:v>
      </x:c>
      <x:c r="D2134" s="51" t="n">
        <x:v>40828</x:v>
      </x:c>
      <x:c r="E2134" s="3" t="str">
        <x:v>Una compra</x:v>
      </x:c>
      <x:c r="F2134" s="13" t="n">
        <x:v>674.68</x:v>
      </x:c>
      <x:c r="G2134" s="13" t="n">
        <x:v>0</x:v>
      </x:c>
      <x:c r="H2134" s="13" t="n">
        <x:f>F2134-G2134</x:f>
        <x:v>674.68</x:v>
      </x:c>
      <x:c r="I2134" s="13" t="n">
        <x:f>IF(C2134=0,"n.a.",F2134/C2134)</x:f>
        <x:v>674.68</x:v>
      </x:c>
      <x:c r="J2134" s="3"/>
      <x:c r="K2134" s="3"/>
      <x:c r="L2134" s="3"/>
    </x:row>
    <x:row r="2135" ht="22" customHeight="1">
      <x:c r="A2135" s="3"/>
      <x:c r="B2135" s="3" t="str">
        <x:v>17749</x:v>
      </x:c>
      <x:c r="C2135" s="3" t="n">
        <x:v>2</x:v>
      </x:c>
      <x:c r="D2135" s="51" t="n">
        <x:v>40708</x:v>
      </x:c>
      <x:c r="E2135" s="3" t="str">
        <x:v>Recurrente</x:v>
      </x:c>
      <x:c r="F2135" s="13" t="n">
        <x:v>674.52</x:v>
      </x:c>
      <x:c r="G2135" s="13" t="n">
        <x:v>0</x:v>
      </x:c>
      <x:c r="H2135" s="13" t="n">
        <x:f>F2135-G2135</x:f>
        <x:v>674.52</x:v>
      </x:c>
      <x:c r="I2135" s="13" t="n">
        <x:f>IF(C2135=0,"n.a.",F2135/C2135)</x:f>
        <x:v>337.26</x:v>
      </x:c>
      <x:c r="J2135" s="3"/>
      <x:c r="K2135" s="3"/>
      <x:c r="L2135" s="3"/>
    </x:row>
    <x:row r="2136" ht="22" customHeight="1">
      <x:c r="A2136" s="3"/>
      <x:c r="B2136" s="3" t="str">
        <x:v>13951</x:v>
      </x:c>
      <x:c r="C2136" s="3" t="n">
        <x:v>3</x:v>
      </x:c>
      <x:c r="D2136" s="51" t="n">
        <x:v>40710</x:v>
      </x:c>
      <x:c r="E2136" s="3" t="str">
        <x:v>Recurrente</x:v>
      </x:c>
      <x:c r="F2136" s="13" t="n">
        <x:v>674.45</x:v>
      </x:c>
      <x:c r="G2136" s="13" t="n">
        <x:v>0</x:v>
      </x:c>
      <x:c r="H2136" s="13" t="n">
        <x:f>F2136-G2136</x:f>
        <x:v>674.45</x:v>
      </x:c>
      <x:c r="I2136" s="13" t="n">
        <x:f>IF(C2136=0,"n.a.",F2136/C2136)</x:f>
        <x:v>224.8166666666667</x:v>
      </x:c>
      <x:c r="J2136" s="3"/>
      <x:c r="K2136" s="3"/>
      <x:c r="L2136" s="3"/>
    </x:row>
    <x:row r="2137" ht="22" customHeight="1">
      <x:c r="A2137" s="3"/>
      <x:c r="B2137" s="3" t="str">
        <x:v>12465</x:v>
      </x:c>
      <x:c r="C2137" s="3" t="n">
        <x:v>2</x:v>
      </x:c>
      <x:c r="D2137" s="51" t="n">
        <x:v>40869</x:v>
      </x:c>
      <x:c r="E2137" s="3" t="str">
        <x:v>Recurrente</x:v>
      </x:c>
      <x:c r="F2137" s="13" t="n">
        <x:v>682.19</x:v>
      </x:c>
      <x:c r="G2137" s="13" t="n">
        <x:v>8.3</x:v>
      </x:c>
      <x:c r="H2137" s="13" t="n">
        <x:f>F2137-G2137</x:f>
        <x:v>673.8900000000001</x:v>
      </x:c>
      <x:c r="I2137" s="13" t="n">
        <x:f>IF(C2137=0,"n.a.",F2137/C2137)</x:f>
        <x:v>341.095</x:v>
      </x:c>
      <x:c r="J2137" s="3"/>
      <x:c r="K2137" s="3"/>
      <x:c r="L2137" s="3"/>
    </x:row>
    <x:row r="2138" ht="22" customHeight="1">
      <x:c r="A2138" s="3"/>
      <x:c r="B2138" s="3" t="str">
        <x:v>14504</x:v>
      </x:c>
      <x:c r="C2138" s="3" t="n">
        <x:v>4</x:v>
      </x:c>
      <x:c r="D2138" s="51" t="n">
        <x:v>40839</x:v>
      </x:c>
      <x:c r="E2138" s="3" t="str">
        <x:v>Recurrente</x:v>
      </x:c>
      <x:c r="F2138" s="13" t="n">
        <x:v>673.26</x:v>
      </x:c>
      <x:c r="G2138" s="13" t="n">
        <x:v>0</x:v>
      </x:c>
      <x:c r="H2138" s="13" t="n">
        <x:f>F2138-G2138</x:f>
        <x:v>673.26</x:v>
      </x:c>
      <x:c r="I2138" s="13" t="n">
        <x:f>IF(C2138=0,"n.a.",F2138/C2138)</x:f>
        <x:v>168.315</x:v>
      </x:c>
      <x:c r="J2138" s="3"/>
      <x:c r="K2138" s="3"/>
      <x:c r="L2138" s="3"/>
    </x:row>
    <x:row r="2139" ht="22" customHeight="1">
      <x:c r="A2139" s="3"/>
      <x:c r="B2139" s="3" t="str">
        <x:v>18121</x:v>
      </x:c>
      <x:c r="C2139" s="3" t="n">
        <x:v>2</x:v>
      </x:c>
      <x:c r="D2139" s="51" t="n">
        <x:v>40737</x:v>
      </x:c>
      <x:c r="E2139" s="3" t="str">
        <x:v>Recurrente</x:v>
      </x:c>
      <x:c r="F2139" s="13" t="n">
        <x:v>673.1</x:v>
      </x:c>
      <x:c r="G2139" s="13" t="n">
        <x:v>0</x:v>
      </x:c>
      <x:c r="H2139" s="13" t="n">
        <x:f>F2139-G2139</x:f>
        <x:v>673.1</x:v>
      </x:c>
      <x:c r="I2139" s="13" t="n">
        <x:f>IF(C2139=0,"n.a.",F2139/C2139)</x:f>
        <x:v>336.55</x:v>
      </x:c>
      <x:c r="J2139" s="3"/>
      <x:c r="K2139" s="3"/>
      <x:c r="L2139" s="3"/>
    </x:row>
    <x:row r="2140" ht="22" customHeight="1">
      <x:c r="A2140" s="3"/>
      <x:c r="B2140" s="3" t="str">
        <x:v>14628</x:v>
      </x:c>
      <x:c r="C2140" s="3" t="n">
        <x:v>2</x:v>
      </x:c>
      <x:c r="D2140" s="51" t="n">
        <x:v>40795</x:v>
      </x:c>
      <x:c r="E2140" s="3" t="str">
        <x:v>Recurrente</x:v>
      </x:c>
      <x:c r="F2140" s="13" t="n">
        <x:v>671.96</x:v>
      </x:c>
      <x:c r="G2140" s="13" t="n">
        <x:v>0</x:v>
      </x:c>
      <x:c r="H2140" s="13" t="n">
        <x:f>F2140-G2140</x:f>
        <x:v>671.96</x:v>
      </x:c>
      <x:c r="I2140" s="13" t="n">
        <x:f>IF(C2140=0,"n.a.",F2140/C2140)</x:f>
        <x:v>335.98</x:v>
      </x:c>
      <x:c r="J2140" s="3"/>
      <x:c r="K2140" s="3"/>
      <x:c r="L2140" s="3"/>
    </x:row>
    <x:row r="2141" ht="22" customHeight="1">
      <x:c r="A2141" s="3"/>
      <x:c r="B2141" s="3" t="str">
        <x:v>17883</x:v>
      </x:c>
      <x:c r="C2141" s="3" t="n">
        <x:v>4</x:v>
      </x:c>
      <x:c r="D2141" s="51" t="n">
        <x:v>40883</x:v>
      </x:c>
      <x:c r="E2141" s="3" t="str">
        <x:v>Recurrente</x:v>
      </x:c>
      <x:c r="F2141" s="13" t="n">
        <x:v>671.77</x:v>
      </x:c>
      <x:c r="G2141" s="13" t="n">
        <x:v>0</x:v>
      </x:c>
      <x:c r="H2141" s="13" t="n">
        <x:f>F2141-G2141</x:f>
        <x:v>671.77</x:v>
      </x:c>
      <x:c r="I2141" s="13" t="n">
        <x:f>IF(C2141=0,"n.a.",F2141/C2141)</x:f>
        <x:v>167.9425</x:v>
      </x:c>
      <x:c r="J2141" s="3"/>
      <x:c r="K2141" s="3"/>
      <x:c r="L2141" s="3"/>
    </x:row>
    <x:row r="2142" ht="22" customHeight="1">
      <x:c r="A2142" s="3"/>
      <x:c r="B2142" s="3" t="str">
        <x:v>12781</x:v>
      </x:c>
      <x:c r="C2142" s="3" t="n">
        <x:v>2</x:v>
      </x:c>
      <x:c r="D2142" s="51" t="n">
        <x:v>40823</x:v>
      </x:c>
      <x:c r="E2142" s="3" t="str">
        <x:v>Recurrente</x:v>
      </x:c>
      <x:c r="F2142" s="13" t="n">
        <x:v>786.74</x:v>
      </x:c>
      <x:c r="G2142" s="13" t="n">
        <x:v>115.02</x:v>
      </x:c>
      <x:c r="H2142" s="13" t="n">
        <x:f>F2142-G2142</x:f>
        <x:v>671.72</x:v>
      </x:c>
      <x:c r="I2142" s="13" t="n">
        <x:f>IF(C2142=0,"n.a.",F2142/C2142)</x:f>
        <x:v>393.37</x:v>
      </x:c>
      <x:c r="J2142" s="3"/>
      <x:c r="K2142" s="3"/>
      <x:c r="L2142" s="3"/>
    </x:row>
    <x:row r="2143" ht="22" customHeight="1">
      <x:c r="A2143" s="3"/>
      <x:c r="B2143" s="3" t="str">
        <x:v>15951</x:v>
      </x:c>
      <x:c r="C2143" s="3" t="n">
        <x:v>2</x:v>
      </x:c>
      <x:c r="D2143" s="51" t="n">
        <x:v>40878</x:v>
      </x:c>
      <x:c r="E2143" s="3" t="str">
        <x:v>Recurrente</x:v>
      </x:c>
      <x:c r="F2143" s="13" t="n">
        <x:v>708.22</x:v>
      </x:c>
      <x:c r="G2143" s="13" t="n">
        <x:v>38.65</x:v>
      </x:c>
      <x:c r="H2143" s="13" t="n">
        <x:f>F2143-G2143</x:f>
        <x:v>669.57</x:v>
      </x:c>
      <x:c r="I2143" s="13" t="n">
        <x:f>IF(C2143=0,"n.a.",F2143/C2143)</x:f>
        <x:v>354.11</x:v>
      </x:c>
      <x:c r="J2143" s="3"/>
      <x:c r="K2143" s="3"/>
      <x:c r="L2143" s="3"/>
    </x:row>
    <x:row r="2144" ht="22" customHeight="1">
      <x:c r="A2144" s="3"/>
      <x:c r="B2144" s="3" t="str">
        <x:v>12475</x:v>
      </x:c>
      <x:c r="C2144" s="3" t="n">
        <x:v>1</x:v>
      </x:c>
      <x:c r="D2144" s="51" t="n">
        <x:v>40833</x:v>
      </x:c>
      <x:c r="E2144" s="3" t="str">
        <x:v>Una compra</x:v>
      </x:c>
      <x:c r="F2144" s="13" t="n">
        <x:v>669.38</x:v>
      </x:c>
      <x:c r="G2144" s="13" t="n">
        <x:v>0</x:v>
      </x:c>
      <x:c r="H2144" s="13" t="n">
        <x:f>F2144-G2144</x:f>
        <x:v>669.38</x:v>
      </x:c>
      <x:c r="I2144" s="13" t="n">
        <x:f>IF(C2144=0,"n.a.",F2144/C2144)</x:f>
        <x:v>669.38</x:v>
      </x:c>
      <x:c r="J2144" s="3"/>
      <x:c r="K2144" s="3"/>
      <x:c r="L2144" s="3"/>
    </x:row>
    <x:row r="2145" ht="22" customHeight="1">
      <x:c r="A2145" s="3"/>
      <x:c r="B2145" s="3" t="str">
        <x:v>17299</x:v>
      </x:c>
      <x:c r="C2145" s="3" t="n">
        <x:v>4</x:v>
      </x:c>
      <x:c r="D2145" s="51" t="n">
        <x:v>40875</x:v>
      </x:c>
      <x:c r="E2145" s="3" t="str">
        <x:v>Recurrente</x:v>
      </x:c>
      <x:c r="F2145" s="13" t="n">
        <x:v>669.11</x:v>
      </x:c>
      <x:c r="G2145" s="13" t="n">
        <x:v>0</x:v>
      </x:c>
      <x:c r="H2145" s="13" t="n">
        <x:f>F2145-G2145</x:f>
        <x:v>669.11</x:v>
      </x:c>
      <x:c r="I2145" s="13" t="n">
        <x:f>IF(C2145=0,"n.a.",F2145/C2145)</x:f>
        <x:v>167.2775</x:v>
      </x:c>
      <x:c r="J2145" s="3"/>
      <x:c r="K2145" s="3"/>
      <x:c r="L2145" s="3"/>
    </x:row>
    <x:row r="2146" ht="22" customHeight="1">
      <x:c r="A2146" s="3"/>
      <x:c r="B2146" s="3" t="str">
        <x:v>14643</x:v>
      </x:c>
      <x:c r="C2146" s="3" t="n">
        <x:v>2</x:v>
      </x:c>
      <x:c r="D2146" s="51" t="n">
        <x:v>40716</x:v>
      </x:c>
      <x:c r="E2146" s="3" t="str">
        <x:v>Recurrente</x:v>
      </x:c>
      <x:c r="F2146" s="13" t="n">
        <x:v>693.81</x:v>
      </x:c>
      <x:c r="G2146" s="13" t="n">
        <x:v>25.2</x:v>
      </x:c>
      <x:c r="H2146" s="13" t="n">
        <x:f>F2146-G2146</x:f>
        <x:v>668.6099999999999</x:v>
      </x:c>
      <x:c r="I2146" s="13" t="n">
        <x:f>IF(C2146=0,"n.a.",F2146/C2146)</x:f>
        <x:v>346.905</x:v>
      </x:c>
      <x:c r="J2146" s="3"/>
      <x:c r="K2146" s="3"/>
      <x:c r="L2146" s="3"/>
    </x:row>
    <x:row r="2147" ht="22" customHeight="1">
      <x:c r="A2147" s="3"/>
      <x:c r="B2147" s="3" t="str">
        <x:v>12418</x:v>
      </x:c>
      <x:c r="C2147" s="3" t="n">
        <x:v>1</x:v>
      </x:c>
      <x:c r="D2147" s="51" t="n">
        <x:v>40774</x:v>
      </x:c>
      <x:c r="E2147" s="3" t="str">
        <x:v>Una compra</x:v>
      </x:c>
      <x:c r="F2147" s="13" t="n">
        <x:v>668.58</x:v>
      </x:c>
      <x:c r="G2147" s="13" t="n">
        <x:v>0</x:v>
      </x:c>
      <x:c r="H2147" s="13" t="n">
        <x:f>F2147-G2147</x:f>
        <x:v>668.58</x:v>
      </x:c>
      <x:c r="I2147" s="13" t="n">
        <x:f>IF(C2147=0,"n.a.",F2147/C2147)</x:f>
        <x:v>668.58</x:v>
      </x:c>
      <x:c r="J2147" s="3"/>
      <x:c r="K2147" s="3"/>
      <x:c r="L2147" s="3"/>
    </x:row>
    <x:row r="2148" ht="22" customHeight="1">
      <x:c r="A2148" s="3"/>
      <x:c r="B2148" s="3" t="str">
        <x:v>16383</x:v>
      </x:c>
      <x:c r="C2148" s="3" t="n">
        <x:v>2</x:v>
      </x:c>
      <x:c r="D2148" s="51" t="n">
        <x:v>40812</x:v>
      </x:c>
      <x:c r="E2148" s="3" t="str">
        <x:v>Recurrente</x:v>
      </x:c>
      <x:c r="F2148" s="13" t="n">
        <x:v>668.36</x:v>
      </x:c>
      <x:c r="G2148" s="13" t="n">
        <x:v>0</x:v>
      </x:c>
      <x:c r="H2148" s="13" t="n">
        <x:f>F2148-G2148</x:f>
        <x:v>668.36</x:v>
      </x:c>
      <x:c r="I2148" s="13" t="n">
        <x:f>IF(C2148=0,"n.a.",F2148/C2148)</x:f>
        <x:v>334.18</x:v>
      </x:c>
      <x:c r="J2148" s="3"/>
      <x:c r="K2148" s="3"/>
      <x:c r="L2148" s="3"/>
    </x:row>
    <x:row r="2149" ht="22" customHeight="1">
      <x:c r="A2149" s="3"/>
      <x:c r="B2149" s="3" t="str">
        <x:v>15031</x:v>
      </x:c>
      <x:c r="C2149" s="3" t="n">
        <x:v>4</x:v>
      </x:c>
      <x:c r="D2149" s="51" t="n">
        <x:v>40882</x:v>
      </x:c>
      <x:c r="E2149" s="3" t="str">
        <x:v>Recurrente</x:v>
      </x:c>
      <x:c r="F2149" s="13" t="n">
        <x:v>668.14</x:v>
      </x:c>
      <x:c r="G2149" s="13" t="n">
        <x:v>0</x:v>
      </x:c>
      <x:c r="H2149" s="13" t="n">
        <x:f>F2149-G2149</x:f>
        <x:v>668.14</x:v>
      </x:c>
      <x:c r="I2149" s="13" t="n">
        <x:f>IF(C2149=0,"n.a.",F2149/C2149)</x:f>
        <x:v>167.035</x:v>
      </x:c>
      <x:c r="J2149" s="3"/>
      <x:c r="K2149" s="3"/>
      <x:c r="L2149" s="3"/>
    </x:row>
    <x:row r="2150" ht="22" customHeight="1">
      <x:c r="A2150" s="3"/>
      <x:c r="B2150" s="3" t="str">
        <x:v>18022</x:v>
      </x:c>
      <x:c r="C2150" s="3" t="n">
        <x:v>1</x:v>
      </x:c>
      <x:c r="D2150" s="51" t="n">
        <x:v>40851</x:v>
      </x:c>
      <x:c r="E2150" s="3" t="str">
        <x:v>Una compra</x:v>
      </x:c>
      <x:c r="F2150" s="13" t="n">
        <x:v>668.11</x:v>
      </x:c>
      <x:c r="G2150" s="13" t="n">
        <x:v>0</x:v>
      </x:c>
      <x:c r="H2150" s="13" t="n">
        <x:f>F2150-G2150</x:f>
        <x:v>668.11</x:v>
      </x:c>
      <x:c r="I2150" s="13" t="n">
        <x:f>IF(C2150=0,"n.a.",F2150/C2150)</x:f>
        <x:v>668.11</x:v>
      </x:c>
      <x:c r="J2150" s="3"/>
      <x:c r="K2150" s="3"/>
      <x:c r="L2150" s="3"/>
    </x:row>
    <x:row r="2151" ht="22" customHeight="1">
      <x:c r="A2151" s="3"/>
      <x:c r="B2151" s="3" t="str">
        <x:v>14356</x:v>
      </x:c>
      <x:c r="C2151" s="3" t="n">
        <x:v>2</x:v>
      </x:c>
      <x:c r="D2151" s="51" t="n">
        <x:v>40807</x:v>
      </x:c>
      <x:c r="E2151" s="3" t="str">
        <x:v>Recurrente</x:v>
      </x:c>
      <x:c r="F2151" s="13" t="n">
        <x:v>701.23</x:v>
      </x:c>
      <x:c r="G2151" s="13" t="n">
        <x:v>34.29</x:v>
      </x:c>
      <x:c r="H2151" s="13" t="n">
        <x:f>F2151-G2151</x:f>
        <x:v>666.94</x:v>
      </x:c>
      <x:c r="I2151" s="13" t="n">
        <x:f>IF(C2151=0,"n.a.",F2151/C2151)</x:f>
        <x:v>350.615</x:v>
      </x:c>
      <x:c r="J2151" s="3"/>
      <x:c r="K2151" s="3"/>
      <x:c r="L2151" s="3"/>
    </x:row>
    <x:row r="2152" ht="22" customHeight="1">
      <x:c r="A2152" s="3"/>
      <x:c r="B2152" s="3" t="str">
        <x:v>15400</x:v>
      </x:c>
      <x:c r="C2152" s="3" t="n">
        <x:v>5</x:v>
      </x:c>
      <x:c r="D2152" s="51" t="n">
        <x:v>40794</x:v>
      </x:c>
      <x:c r="E2152" s="3" t="str">
        <x:v>Recurrente</x:v>
      </x:c>
      <x:c r="F2152" s="13" t="n">
        <x:v>716.2</x:v>
      </x:c>
      <x:c r="G2152" s="13" t="n">
        <x:v>49.5</x:v>
      </x:c>
      <x:c r="H2152" s="13" t="n">
        <x:f>F2152-G2152</x:f>
        <x:v>666.7</x:v>
      </x:c>
      <x:c r="I2152" s="13" t="n">
        <x:f>IF(C2152=0,"n.a.",F2152/C2152)</x:f>
        <x:v>143.24</x:v>
      </x:c>
      <x:c r="J2152" s="3"/>
      <x:c r="K2152" s="3"/>
      <x:c r="L2152" s="3"/>
    </x:row>
    <x:row r="2153" ht="22" customHeight="1">
      <x:c r="A2153" s="3"/>
      <x:c r="B2153" s="3" t="str">
        <x:v>13741</x:v>
      </x:c>
      <x:c r="C2153" s="3" t="n">
        <x:v>3</x:v>
      </x:c>
      <x:c r="D2153" s="51" t="n">
        <x:v>40815</x:v>
      </x:c>
      <x:c r="E2153" s="3" t="str">
        <x:v>Recurrente</x:v>
      </x:c>
      <x:c r="F2153" s="13" t="n">
        <x:v>668.43</x:v>
      </x:c>
      <x:c r="G2153" s="13" t="n">
        <x:v>2.1</x:v>
      </x:c>
      <x:c r="H2153" s="13" t="n">
        <x:f>F2153-G2153</x:f>
        <x:v>666.3299999999999</x:v>
      </x:c>
      <x:c r="I2153" s="13" t="n">
        <x:f>IF(C2153=0,"n.a.",F2153/C2153)</x:f>
        <x:v>222.80999999999997</x:v>
      </x:c>
      <x:c r="J2153" s="3"/>
      <x:c r="K2153" s="3"/>
      <x:c r="L2153" s="3"/>
    </x:row>
    <x:row r="2154" ht="22" customHeight="1">
      <x:c r="A2154" s="3"/>
      <x:c r="B2154" s="3" t="str">
        <x:v>17777</x:v>
      </x:c>
      <x:c r="C2154" s="3" t="n">
        <x:v>3</x:v>
      </x:c>
      <x:c r="D2154" s="51" t="n">
        <x:v>40862</x:v>
      </x:c>
      <x:c r="E2154" s="3" t="str">
        <x:v>Recurrente</x:v>
      </x:c>
      <x:c r="F2154" s="13" t="n">
        <x:v>665.86</x:v>
      </x:c>
      <x:c r="G2154" s="13" t="n">
        <x:v>0</x:v>
      </x:c>
      <x:c r="H2154" s="13" t="n">
        <x:f>F2154-G2154</x:f>
        <x:v>665.86</x:v>
      </x:c>
      <x:c r="I2154" s="13" t="n">
        <x:f>IF(C2154=0,"n.a.",F2154/C2154)</x:f>
        <x:v>221.95333333333335</x:v>
      </x:c>
      <x:c r="J2154" s="3"/>
      <x:c r="K2154" s="3"/>
      <x:c r="L2154" s="3"/>
    </x:row>
    <x:row r="2155" ht="22" customHeight="1">
      <x:c r="A2155" s="3"/>
      <x:c r="B2155" s="3" t="str">
        <x:v>17105</x:v>
      </x:c>
      <x:c r="C2155" s="3" t="n">
        <x:v>2</x:v>
      </x:c>
      <x:c r="D2155" s="51" t="n">
        <x:v>40727</x:v>
      </x:c>
      <x:c r="E2155" s="3" t="str">
        <x:v>Recurrente</x:v>
      </x:c>
      <x:c r="F2155" s="13" t="n">
        <x:v>665.78</x:v>
      </x:c>
      <x:c r="G2155" s="13" t="n">
        <x:v>0</x:v>
      </x:c>
      <x:c r="H2155" s="13" t="n">
        <x:f>F2155-G2155</x:f>
        <x:v>665.78</x:v>
      </x:c>
      <x:c r="I2155" s="13" t="n">
        <x:f>IF(C2155=0,"n.a.",F2155/C2155)</x:f>
        <x:v>332.89</x:v>
      </x:c>
      <x:c r="J2155" s="3"/>
      <x:c r="K2155" s="3"/>
      <x:c r="L2155" s="3"/>
    </x:row>
    <x:row r="2156" ht="22" customHeight="1">
      <x:c r="A2156" s="3"/>
      <x:c r="B2156" s="3" t="str">
        <x:v>15038</x:v>
      </x:c>
      <x:c r="C2156" s="3" t="n">
        <x:v>6</x:v>
      </x:c>
      <x:c r="D2156" s="51" t="n">
        <x:v>40828</x:v>
      </x:c>
      <x:c r="E2156" s="3" t="str">
        <x:v>Recurrente</x:v>
      </x:c>
      <x:c r="F2156" s="13" t="n">
        <x:v>705.49</x:v>
      </x:c>
      <x:c r="G2156" s="13" t="n">
        <x:v>39.9</x:v>
      </x:c>
      <x:c r="H2156" s="13" t="n">
        <x:f>F2156-G2156</x:f>
        <x:v>665.59</x:v>
      </x:c>
      <x:c r="I2156" s="13" t="n">
        <x:f>IF(C2156=0,"n.a.",F2156/C2156)</x:f>
        <x:v>117.58166666666666</x:v>
      </x:c>
      <x:c r="J2156" s="3"/>
      <x:c r="K2156" s="3"/>
      <x:c r="L2156" s="3"/>
    </x:row>
    <x:row r="2157" ht="22" customHeight="1">
      <x:c r="A2157" s="3"/>
      <x:c r="B2157" s="3" t="str">
        <x:v>16056</x:v>
      </x:c>
      <x:c r="C2157" s="3" t="n">
        <x:v>1</x:v>
      </x:c>
      <x:c r="D2157" s="51" t="n">
        <x:v>40841</x:v>
      </x:c>
      <x:c r="E2157" s="3" t="str">
        <x:v>Una compra</x:v>
      </x:c>
      <x:c r="F2157" s="13" t="n">
        <x:v>664.85</x:v>
      </x:c>
      <x:c r="G2157" s="13" t="n">
        <x:v>0</x:v>
      </x:c>
      <x:c r="H2157" s="13" t="n">
        <x:f>F2157-G2157</x:f>
        <x:v>664.85</x:v>
      </x:c>
      <x:c r="I2157" s="13" t="n">
        <x:f>IF(C2157=0,"n.a.",F2157/C2157)</x:f>
        <x:v>664.85</x:v>
      </x:c>
      <x:c r="J2157" s="3"/>
      <x:c r="K2157" s="3"/>
      <x:c r="L2157" s="3"/>
    </x:row>
    <x:row r="2158" ht="22" customHeight="1">
      <x:c r="A2158" s="3"/>
      <x:c r="B2158" s="3" t="str">
        <x:v>13963</x:v>
      </x:c>
      <x:c r="C2158" s="3" t="n">
        <x:v>4</x:v>
      </x:c>
      <x:c r="D2158" s="51" t="n">
        <x:v>40578</x:v>
      </x:c>
      <x:c r="E2158" s="3" t="str">
        <x:v>Recurrente</x:v>
      </x:c>
      <x:c r="F2158" s="13" t="n">
        <x:v>664.54</x:v>
      </x:c>
      <x:c r="G2158" s="13" t="n">
        <x:v>0</x:v>
      </x:c>
      <x:c r="H2158" s="13" t="n">
        <x:f>F2158-G2158</x:f>
        <x:v>664.54</x:v>
      </x:c>
      <x:c r="I2158" s="13" t="n">
        <x:f>IF(C2158=0,"n.a.",F2158/C2158)</x:f>
        <x:v>166.135</x:v>
      </x:c>
      <x:c r="J2158" s="3"/>
      <x:c r="K2158" s="3"/>
      <x:c r="L2158" s="3"/>
    </x:row>
    <x:row r="2159" ht="22" customHeight="1">
      <x:c r="A2159" s="3"/>
      <x:c r="B2159" s="3" t="str">
        <x:v>16208</x:v>
      </x:c>
      <x:c r="C2159" s="3" t="n">
        <x:v>2</x:v>
      </x:c>
      <x:c r="D2159" s="51" t="n">
        <x:v>40842</x:v>
      </x:c>
      <x:c r="E2159" s="3" t="str">
        <x:v>Recurrente</x:v>
      </x:c>
      <x:c r="F2159" s="13" t="n">
        <x:v>664.26</x:v>
      </x:c>
      <x:c r="G2159" s="13" t="n">
        <x:v>0</x:v>
      </x:c>
      <x:c r="H2159" s="13" t="n">
        <x:f>F2159-G2159</x:f>
        <x:v>664.26</x:v>
      </x:c>
      <x:c r="I2159" s="13" t="n">
        <x:f>IF(C2159=0,"n.a.",F2159/C2159)</x:f>
        <x:v>332.13</x:v>
      </x:c>
      <x:c r="J2159" s="3"/>
      <x:c r="K2159" s="3"/>
      <x:c r="L2159" s="3"/>
    </x:row>
    <x:row r="2160" ht="22" customHeight="1">
      <x:c r="A2160" s="3"/>
      <x:c r="B2160" s="3" t="str">
        <x:v>15700</x:v>
      </x:c>
      <x:c r="C2160" s="3" t="n">
        <x:v>2</x:v>
      </x:c>
      <x:c r="D2160" s="51" t="n">
        <x:v>40714</x:v>
      </x:c>
      <x:c r="E2160" s="3" t="str">
        <x:v>Recurrente</x:v>
      </x:c>
      <x:c r="F2160" s="13" t="n">
        <x:v>696.68</x:v>
      </x:c>
      <x:c r="G2160" s="13" t="n">
        <x:v>32.65</x:v>
      </x:c>
      <x:c r="H2160" s="13" t="n">
        <x:f>F2160-G2160</x:f>
        <x:v>664.03</x:v>
      </x:c>
      <x:c r="I2160" s="13" t="n">
        <x:f>IF(C2160=0,"n.a.",F2160/C2160)</x:f>
        <x:v>348.34</x:v>
      </x:c>
      <x:c r="J2160" s="3"/>
      <x:c r="K2160" s="3"/>
      <x:c r="L2160" s="3"/>
    </x:row>
    <x:row r="2161" ht="22" customHeight="1">
      <x:c r="A2161" s="3"/>
      <x:c r="B2161" s="3" t="str">
        <x:v>14720</x:v>
      </x:c>
      <x:c r="C2161" s="3" t="n">
        <x:v>3</x:v>
      </x:c>
      <x:c r="D2161" s="51" t="n">
        <x:v>40881</x:v>
      </x:c>
      <x:c r="E2161" s="3" t="str">
        <x:v>Recurrente</x:v>
      </x:c>
      <x:c r="F2161" s="13" t="n">
        <x:v>663.81</x:v>
      </x:c>
      <x:c r="G2161" s="13" t="n">
        <x:v>0</x:v>
      </x:c>
      <x:c r="H2161" s="13" t="n">
        <x:f>F2161-G2161</x:f>
        <x:v>663.81</x:v>
      </x:c>
      <x:c r="I2161" s="13" t="n">
        <x:f>IF(C2161=0,"n.a.",F2161/C2161)</x:f>
        <x:v>221.26999999999998</x:v>
      </x:c>
      <x:c r="J2161" s="3"/>
      <x:c r="K2161" s="3"/>
      <x:c r="L2161" s="3"/>
    </x:row>
    <x:row r="2162" ht="22" customHeight="1">
      <x:c r="A2162" s="3"/>
      <x:c r="B2162" s="3" t="str">
        <x:v>17423</x:v>
      </x:c>
      <x:c r="C2162" s="3" t="n">
        <x:v>2</x:v>
      </x:c>
      <x:c r="D2162" s="51" t="n">
        <x:v>40840</x:v>
      </x:c>
      <x:c r="E2162" s="3" t="str">
        <x:v>Recurrente</x:v>
      </x:c>
      <x:c r="F2162" s="13" t="n">
        <x:v>698.41</x:v>
      </x:c>
      <x:c r="G2162" s="13" t="n">
        <x:v>34.78</x:v>
      </x:c>
      <x:c r="H2162" s="13" t="n">
        <x:f>F2162-G2162</x:f>
        <x:v>663.63</x:v>
      </x:c>
      <x:c r="I2162" s="13" t="n">
        <x:f>IF(C2162=0,"n.a.",F2162/C2162)</x:f>
        <x:v>349.205</x:v>
      </x:c>
      <x:c r="J2162" s="3"/>
      <x:c r="K2162" s="3"/>
      <x:c r="L2162" s="3"/>
    </x:row>
    <x:row r="2163" ht="22" customHeight="1">
      <x:c r="A2163" s="3"/>
      <x:c r="B2163" s="3" t="str">
        <x:v>14198</x:v>
      </x:c>
      <x:c r="C2163" s="3" t="n">
        <x:v>4</x:v>
      </x:c>
      <x:c r="D2163" s="51" t="n">
        <x:v>40868</x:v>
      </x:c>
      <x:c r="E2163" s="3" t="str">
        <x:v>Recurrente</x:v>
      </x:c>
      <x:c r="F2163" s="13" t="n">
        <x:v>701.4</x:v>
      </x:c>
      <x:c r="G2163" s="13" t="n">
        <x:v>37.9</x:v>
      </x:c>
      <x:c r="H2163" s="13" t="n">
        <x:f>F2163-G2163</x:f>
        <x:v>663.5</x:v>
      </x:c>
      <x:c r="I2163" s="13" t="n">
        <x:f>IF(C2163=0,"n.a.",F2163/C2163)</x:f>
        <x:v>175.35</x:v>
      </x:c>
      <x:c r="J2163" s="3"/>
      <x:c r="K2163" s="3"/>
      <x:c r="L2163" s="3"/>
    </x:row>
    <x:row r="2164" ht="22" customHeight="1">
      <x:c r="A2164" s="3"/>
      <x:c r="B2164" s="3" t="str">
        <x:v>17462</x:v>
      </x:c>
      <x:c r="C2164" s="3" t="n">
        <x:v>2</x:v>
      </x:c>
      <x:c r="D2164" s="51" t="n">
        <x:v>40826</x:v>
      </x:c>
      <x:c r="E2164" s="3" t="str">
        <x:v>Recurrente</x:v>
      </x:c>
      <x:c r="F2164" s="13" t="n">
        <x:v>675.69</x:v>
      </x:c>
      <x:c r="G2164" s="13" t="n">
        <x:v>12.75</x:v>
      </x:c>
      <x:c r="H2164" s="13" t="n">
        <x:f>F2164-G2164</x:f>
        <x:v>662.94</x:v>
      </x:c>
      <x:c r="I2164" s="13" t="n">
        <x:f>IF(C2164=0,"n.a.",F2164/C2164)</x:f>
        <x:v>337.845</x:v>
      </x:c>
      <x:c r="J2164" s="3"/>
      <x:c r="K2164" s="3"/>
      <x:c r="L2164" s="3"/>
    </x:row>
    <x:row r="2165" ht="22" customHeight="1">
      <x:c r="A2165" s="3"/>
      <x:c r="B2165" s="3" t="str">
        <x:v>14451</x:v>
      </x:c>
      <x:c r="C2165" s="3" t="n">
        <x:v>2</x:v>
      </x:c>
      <x:c r="D2165" s="51" t="n">
        <x:v>40826</x:v>
      </x:c>
      <x:c r="E2165" s="3" t="str">
        <x:v>Recurrente</x:v>
      </x:c>
      <x:c r="F2165" s="13" t="n">
        <x:v>662.59</x:v>
      </x:c>
      <x:c r="G2165" s="13" t="n">
        <x:v>0</x:v>
      </x:c>
      <x:c r="H2165" s="13" t="n">
        <x:f>F2165-G2165</x:f>
        <x:v>662.59</x:v>
      </x:c>
      <x:c r="I2165" s="13" t="n">
        <x:f>IF(C2165=0,"n.a.",F2165/C2165)</x:f>
        <x:v>331.295</x:v>
      </x:c>
      <x:c r="J2165" s="3"/>
      <x:c r="K2165" s="3"/>
      <x:c r="L2165" s="3"/>
    </x:row>
    <x:row r="2166" ht="22" customHeight="1">
      <x:c r="A2166" s="3"/>
      <x:c r="B2166" s="3" t="str">
        <x:v>14603</x:v>
      </x:c>
      <x:c r="C2166" s="3" t="n">
        <x:v>1</x:v>
      </x:c>
      <x:c r="D2166" s="51" t="n">
        <x:v>40612</x:v>
      </x:c>
      <x:c r="E2166" s="3" t="str">
        <x:v>Una compra</x:v>
      </x:c>
      <x:c r="F2166" s="13" t="n">
        <x:v>660</x:v>
      </x:c>
      <x:c r="G2166" s="13" t="n">
        <x:v>0</x:v>
      </x:c>
      <x:c r="H2166" s="13" t="n">
        <x:f>F2166-G2166</x:f>
        <x:v>660</x:v>
      </x:c>
      <x:c r="I2166" s="13" t="n">
        <x:f>IF(C2166=0,"n.a.",F2166/C2166)</x:f>
        <x:v>660</x:v>
      </x:c>
      <x:c r="J2166" s="3"/>
      <x:c r="K2166" s="3"/>
      <x:c r="L2166" s="3"/>
    </x:row>
    <x:row r="2167" ht="22" customHeight="1">
      <x:c r="A2167" s="3"/>
      <x:c r="B2167" s="3" t="str">
        <x:v>13028</x:v>
      </x:c>
      <x:c r="C2167" s="3" t="n">
        <x:v>2</x:v>
      </x:c>
      <x:c r="D2167" s="51" t="n">
        <x:v>40864</x:v>
      </x:c>
      <x:c r="E2167" s="3" t="str">
        <x:v>Recurrente</x:v>
      </x:c>
      <x:c r="F2167" s="13" t="n">
        <x:v>661.32</x:v>
      </x:c>
      <x:c r="G2167" s="13" t="n">
        <x:v>1.64</x:v>
      </x:c>
      <x:c r="H2167" s="13" t="n">
        <x:f>F2167-G2167</x:f>
        <x:v>659.6800000000001</x:v>
      </x:c>
      <x:c r="I2167" s="13" t="n">
        <x:f>IF(C2167=0,"n.a.",F2167/C2167)</x:f>
        <x:v>330.66</x:v>
      </x:c>
      <x:c r="J2167" s="3"/>
      <x:c r="K2167" s="3"/>
      <x:c r="L2167" s="3"/>
    </x:row>
    <x:row r="2168" ht="22" customHeight="1">
      <x:c r="A2168" s="3"/>
      <x:c r="B2168" s="3" t="str">
        <x:v>15492</x:v>
      </x:c>
      <x:c r="C2168" s="3" t="n">
        <x:v>2</x:v>
      </x:c>
      <x:c r="D2168" s="51" t="n">
        <x:v>40858</x:v>
      </x:c>
      <x:c r="E2168" s="3" t="str">
        <x:v>Recurrente</x:v>
      </x:c>
      <x:c r="F2168" s="13" t="n">
        <x:v>659.46</x:v>
      </x:c>
      <x:c r="G2168" s="13" t="n">
        <x:v>0</x:v>
      </x:c>
      <x:c r="H2168" s="13" t="n">
        <x:f>F2168-G2168</x:f>
        <x:v>659.46</x:v>
      </x:c>
      <x:c r="I2168" s="13" t="n">
        <x:f>IF(C2168=0,"n.a.",F2168/C2168)</x:f>
        <x:v>329.73</x:v>
      </x:c>
      <x:c r="J2168" s="3"/>
      <x:c r="K2168" s="3"/>
      <x:c r="L2168" s="3"/>
    </x:row>
    <x:row r="2169" ht="22" customHeight="1">
      <x:c r="A2169" s="3"/>
      <x:c r="B2169" s="3" t="str">
        <x:v>13518</x:v>
      </x:c>
      <x:c r="C2169" s="3" t="n">
        <x:v>1</x:v>
      </x:c>
      <x:c r="D2169" s="51" t="n">
        <x:v>40801</x:v>
      </x:c>
      <x:c r="E2169" s="3" t="str">
        <x:v>Una compra</x:v>
      </x:c>
      <x:c r="F2169" s="13" t="n">
        <x:v>659.44</x:v>
      </x:c>
      <x:c r="G2169" s="13" t="n">
        <x:v>0</x:v>
      </x:c>
      <x:c r="H2169" s="13" t="n">
        <x:f>F2169-G2169</x:f>
        <x:v>659.44</x:v>
      </x:c>
      <x:c r="I2169" s="13" t="n">
        <x:f>IF(C2169=0,"n.a.",F2169/C2169)</x:f>
        <x:v>659.44</x:v>
      </x:c>
      <x:c r="J2169" s="3"/>
      <x:c r="K2169" s="3"/>
      <x:c r="L2169" s="3"/>
    </x:row>
    <x:row r="2170" ht="22" customHeight="1">
      <x:c r="A2170" s="3"/>
      <x:c r="B2170" s="3" t="str">
        <x:v>13759</x:v>
      </x:c>
      <x:c r="C2170" s="3" t="n">
        <x:v>2</x:v>
      </x:c>
      <x:c r="D2170" s="51" t="n">
        <x:v>40853</x:v>
      </x:c>
      <x:c r="E2170" s="3" t="str">
        <x:v>Recurrente</x:v>
      </x:c>
      <x:c r="F2170" s="13" t="n">
        <x:v>659.41</x:v>
      </x:c>
      <x:c r="G2170" s="13" t="n">
        <x:v>0</x:v>
      </x:c>
      <x:c r="H2170" s="13" t="n">
        <x:f>F2170-G2170</x:f>
        <x:v>659.41</x:v>
      </x:c>
      <x:c r="I2170" s="13" t="n">
        <x:f>IF(C2170=0,"n.a.",F2170/C2170)</x:f>
        <x:v>329.705</x:v>
      </x:c>
      <x:c r="J2170" s="3"/>
      <x:c r="K2170" s="3"/>
      <x:c r="L2170" s="3"/>
    </x:row>
    <x:row r="2171" ht="22" customHeight="1">
      <x:c r="A2171" s="3"/>
      <x:c r="B2171" s="3" t="str">
        <x:v>16357</x:v>
      </x:c>
      <x:c r="C2171" s="3" t="n">
        <x:v>3</x:v>
      </x:c>
      <x:c r="D2171" s="51" t="n">
        <x:v>40853</x:v>
      </x:c>
      <x:c r="E2171" s="3" t="str">
        <x:v>Recurrente</x:v>
      </x:c>
      <x:c r="F2171" s="13" t="n">
        <x:v>658.88</x:v>
      </x:c>
      <x:c r="G2171" s="13" t="n">
        <x:v>0</x:v>
      </x:c>
      <x:c r="H2171" s="13" t="n">
        <x:f>F2171-G2171</x:f>
        <x:v>658.88</x:v>
      </x:c>
      <x:c r="I2171" s="13" t="n">
        <x:f>IF(C2171=0,"n.a.",F2171/C2171)</x:f>
        <x:v>219.62666666666667</x:v>
      </x:c>
      <x:c r="J2171" s="3"/>
      <x:c r="K2171" s="3"/>
      <x:c r="L2171" s="3"/>
    </x:row>
    <x:row r="2172" ht="22" customHeight="1">
      <x:c r="A2172" s="3"/>
      <x:c r="B2172" s="3" t="str">
        <x:v>14150</x:v>
      </x:c>
      <x:c r="C2172" s="3" t="n">
        <x:v>2</x:v>
      </x:c>
      <x:c r="D2172" s="51" t="n">
        <x:v>40851</x:v>
      </x:c>
      <x:c r="E2172" s="3" t="str">
        <x:v>Recurrente</x:v>
      </x:c>
      <x:c r="F2172" s="13" t="n">
        <x:v>658.64</x:v>
      </x:c>
      <x:c r="G2172" s="13" t="n">
        <x:v>0</x:v>
      </x:c>
      <x:c r="H2172" s="13" t="n">
        <x:f>F2172-G2172</x:f>
        <x:v>658.64</x:v>
      </x:c>
      <x:c r="I2172" s="13" t="n">
        <x:f>IF(C2172=0,"n.a.",F2172/C2172)</x:f>
        <x:v>329.32</x:v>
      </x:c>
      <x:c r="J2172" s="3"/>
      <x:c r="K2172" s="3"/>
      <x:c r="L2172" s="3"/>
    </x:row>
    <x:row r="2173" ht="22" customHeight="1">
      <x:c r="A2173" s="3"/>
      <x:c r="B2173" s="3" t="str">
        <x:v>17874</x:v>
      </x:c>
      <x:c r="C2173" s="3" t="n">
        <x:v>6</x:v>
      </x:c>
      <x:c r="D2173" s="51" t="n">
        <x:v>40701</x:v>
      </x:c>
      <x:c r="E2173" s="3" t="str">
        <x:v>Recurrente</x:v>
      </x:c>
      <x:c r="F2173" s="13" t="n">
        <x:v>683.46</x:v>
      </x:c>
      <x:c r="G2173" s="13" t="n">
        <x:v>25.2</x:v>
      </x:c>
      <x:c r="H2173" s="13" t="n">
        <x:f>F2173-G2173</x:f>
        <x:v>658.26</x:v>
      </x:c>
      <x:c r="I2173" s="13" t="n">
        <x:f>IF(C2173=0,"n.a.",F2173/C2173)</x:f>
        <x:v>113.91000000000001</x:v>
      </x:c>
      <x:c r="J2173" s="3"/>
      <x:c r="K2173" s="3"/>
      <x:c r="L2173" s="3"/>
    </x:row>
    <x:row r="2174" ht="22" customHeight="1">
      <x:c r="A2174" s="3"/>
      <x:c r="B2174" s="3" t="str">
        <x:v>16696</x:v>
      </x:c>
      <x:c r="C2174" s="3" t="n">
        <x:v>4</x:v>
      </x:c>
      <x:c r="D2174" s="51" t="n">
        <x:v>40751</x:v>
      </x:c>
      <x:c r="E2174" s="3" t="str">
        <x:v>Recurrente</x:v>
      </x:c>
      <x:c r="F2174" s="13" t="n">
        <x:v>657.9</x:v>
      </x:c>
      <x:c r="G2174" s="13" t="n">
        <x:v>0</x:v>
      </x:c>
      <x:c r="H2174" s="13" t="n">
        <x:f>F2174-G2174</x:f>
        <x:v>657.9</x:v>
      </x:c>
      <x:c r="I2174" s="13" t="n">
        <x:f>IF(C2174=0,"n.a.",F2174/C2174)</x:f>
        <x:v>164.475</x:v>
      </x:c>
      <x:c r="J2174" s="3"/>
      <x:c r="K2174" s="3"/>
      <x:c r="L2174" s="3"/>
    </x:row>
    <x:row r="2175" ht="22" customHeight="1">
      <x:c r="A2175" s="3"/>
      <x:c r="B2175" s="3" t="str">
        <x:v>14818</x:v>
      </x:c>
      <x:c r="C2175" s="3" t="n">
        <x:v>3</x:v>
      </x:c>
      <x:c r="D2175" s="51" t="n">
        <x:v>40813</x:v>
      </x:c>
      <x:c r="E2175" s="3" t="str">
        <x:v>Recurrente</x:v>
      </x:c>
      <x:c r="F2175" s="13" t="n">
        <x:v>657.8</x:v>
      </x:c>
      <x:c r="G2175" s="13" t="n">
        <x:v>0</x:v>
      </x:c>
      <x:c r="H2175" s="13" t="n">
        <x:f>F2175-G2175</x:f>
        <x:v>657.8</x:v>
      </x:c>
      <x:c r="I2175" s="13" t="n">
        <x:f>IF(C2175=0,"n.a.",F2175/C2175)</x:f>
        <x:v>219.26666666666665</x:v>
      </x:c>
      <x:c r="J2175" s="3"/>
      <x:c r="K2175" s="3"/>
      <x:c r="L2175" s="3"/>
    </x:row>
    <x:row r="2176" ht="22" customHeight="1">
      <x:c r="A2176" s="3"/>
      <x:c r="B2176" s="3" t="str">
        <x:v>17459</x:v>
      </x:c>
      <x:c r="C2176" s="3" t="n">
        <x:v>2</x:v>
      </x:c>
      <x:c r="D2176" s="51" t="n">
        <x:v>40843</x:v>
      </x:c>
      <x:c r="E2176" s="3" t="str">
        <x:v>Recurrente</x:v>
      </x:c>
      <x:c r="F2176" s="13" t="n">
        <x:v>657.3</x:v>
      </x:c>
      <x:c r="G2176" s="13" t="n">
        <x:v>0</x:v>
      </x:c>
      <x:c r="H2176" s="13" t="n">
        <x:f>F2176-G2176</x:f>
        <x:v>657.3</x:v>
      </x:c>
      <x:c r="I2176" s="13" t="n">
        <x:f>IF(C2176=0,"n.a.",F2176/C2176)</x:f>
        <x:v>328.65</x:v>
      </x:c>
      <x:c r="J2176" s="3"/>
      <x:c r="K2176" s="3"/>
      <x:c r="L2176" s="3"/>
    </x:row>
    <x:row r="2177" ht="22" customHeight="1">
      <x:c r="A2177" s="3"/>
      <x:c r="B2177" s="3" t="str">
        <x:v>15677</x:v>
      </x:c>
      <x:c r="C2177" s="3" t="n">
        <x:v>1</x:v>
      </x:c>
      <x:c r="D2177" s="51" t="n">
        <x:v>40837</x:v>
      </x:c>
      <x:c r="E2177" s="3" t="str">
        <x:v>Una compra</x:v>
      </x:c>
      <x:c r="F2177" s="13" t="n">
        <x:v>657.23</x:v>
      </x:c>
      <x:c r="G2177" s="13" t="n">
        <x:v>0</x:v>
      </x:c>
      <x:c r="H2177" s="13" t="n">
        <x:f>F2177-G2177</x:f>
        <x:v>657.23</x:v>
      </x:c>
      <x:c r="I2177" s="13" t="n">
        <x:f>IF(C2177=0,"n.a.",F2177/C2177)</x:f>
        <x:v>657.23</x:v>
      </x:c>
      <x:c r="J2177" s="3"/>
      <x:c r="K2177" s="3"/>
      <x:c r="L2177" s="3"/>
    </x:row>
    <x:row r="2178" ht="22" customHeight="1">
      <x:c r="A2178" s="3"/>
      <x:c r="B2178" s="3" t="str">
        <x:v>13049</x:v>
      </x:c>
      <x:c r="C2178" s="3" t="n">
        <x:v>2</x:v>
      </x:c>
      <x:c r="D2178" s="51" t="n">
        <x:v>40822</x:v>
      </x:c>
      <x:c r="E2178" s="3" t="str">
        <x:v>Recurrente</x:v>
      </x:c>
      <x:c r="F2178" s="13" t="n">
        <x:v>656.68</x:v>
      </x:c>
      <x:c r="G2178" s="13" t="n">
        <x:v>0</x:v>
      </x:c>
      <x:c r="H2178" s="13" t="n">
        <x:f>F2178-G2178</x:f>
        <x:v>656.68</x:v>
      </x:c>
      <x:c r="I2178" s="13" t="n">
        <x:f>IF(C2178=0,"n.a.",F2178/C2178)</x:f>
        <x:v>328.34</x:v>
      </x:c>
      <x:c r="J2178" s="3"/>
      <x:c r="K2178" s="3"/>
      <x:c r="L2178" s="3"/>
    </x:row>
    <x:row r="2179" ht="22" customHeight="1">
      <x:c r="A2179" s="3"/>
      <x:c r="B2179" s="3" t="str">
        <x:v>16708</x:v>
      </x:c>
      <x:c r="C2179" s="3" t="n">
        <x:v>1</x:v>
      </x:c>
      <x:c r="D2179" s="51" t="n">
        <x:v>40841</x:v>
      </x:c>
      <x:c r="E2179" s="3" t="str">
        <x:v>Una compra</x:v>
      </x:c>
      <x:c r="F2179" s="13" t="n">
        <x:v>656.63</x:v>
      </x:c>
      <x:c r="G2179" s="13" t="n">
        <x:v>0</x:v>
      </x:c>
      <x:c r="H2179" s="13" t="n">
        <x:f>F2179-G2179</x:f>
        <x:v>656.63</x:v>
      </x:c>
      <x:c r="I2179" s="13" t="n">
        <x:f>IF(C2179=0,"n.a.",F2179/C2179)</x:f>
        <x:v>656.63</x:v>
      </x:c>
      <x:c r="J2179" s="3"/>
      <x:c r="K2179" s="3"/>
      <x:c r="L2179" s="3"/>
    </x:row>
    <x:row r="2180" ht="22" customHeight="1">
      <x:c r="A2180" s="3"/>
      <x:c r="B2180" s="3" t="str">
        <x:v>15197</x:v>
      </x:c>
      <x:c r="C2180" s="3" t="n">
        <x:v>3</x:v>
      </x:c>
      <x:c r="D2180" s="51" t="n">
        <x:v>40876</x:v>
      </x:c>
      <x:c r="E2180" s="3" t="str">
        <x:v>Recurrente</x:v>
      </x:c>
      <x:c r="F2180" s="13" t="n">
        <x:v>1079.61</x:v>
      </x:c>
      <x:c r="G2180" s="13" t="n">
        <x:v>423.17</x:v>
      </x:c>
      <x:c r="H2180" s="13" t="n">
        <x:f>F2180-G2180</x:f>
        <x:v>656.4399999999998</x:v>
      </x:c>
      <x:c r="I2180" s="13" t="n">
        <x:f>IF(C2180=0,"n.a.",F2180/C2180)</x:f>
        <x:v>359.86999999999995</x:v>
      </x:c>
      <x:c r="J2180" s="3"/>
      <x:c r="K2180" s="3"/>
      <x:c r="L2180" s="3"/>
    </x:row>
    <x:row r="2181" ht="22" customHeight="1">
      <x:c r="A2181" s="3"/>
      <x:c r="B2181" s="3" t="str">
        <x:v>16127</x:v>
      </x:c>
      <x:c r="C2181" s="3" t="n">
        <x:v>1</x:v>
      </x:c>
      <x:c r="D2181" s="51" t="n">
        <x:v>40847</x:v>
      </x:c>
      <x:c r="E2181" s="3" t="str">
        <x:v>Una compra</x:v>
      </x:c>
      <x:c r="F2181" s="13" t="n">
        <x:v>656.25</x:v>
      </x:c>
      <x:c r="G2181" s="13" t="n">
        <x:v>0</x:v>
      </x:c>
      <x:c r="H2181" s="13" t="n">
        <x:f>F2181-G2181</x:f>
        <x:v>656.25</x:v>
      </x:c>
      <x:c r="I2181" s="13" t="n">
        <x:f>IF(C2181=0,"n.a.",F2181/C2181)</x:f>
        <x:v>656.25</x:v>
      </x:c>
      <x:c r="J2181" s="3"/>
      <x:c r="K2181" s="3"/>
      <x:c r="L2181" s="3"/>
    </x:row>
    <x:row r="2182" ht="22" customHeight="1">
      <x:c r="A2182" s="3"/>
      <x:c r="B2182" s="3" t="str">
        <x:v>14894</x:v>
      </x:c>
      <x:c r="C2182" s="3" t="n">
        <x:v>1</x:v>
      </x:c>
      <x:c r="D2182" s="51" t="n">
        <x:v>40801</x:v>
      </x:c>
      <x:c r="E2182" s="3" t="str">
        <x:v>Una compra</x:v>
      </x:c>
      <x:c r="F2182" s="13" t="n">
        <x:v>655.75</x:v>
      </x:c>
      <x:c r="G2182" s="13" t="n">
        <x:v>0</x:v>
      </x:c>
      <x:c r="H2182" s="13" t="n">
        <x:f>F2182-G2182</x:f>
        <x:v>655.75</x:v>
      </x:c>
      <x:c r="I2182" s="13" t="n">
        <x:f>IF(C2182=0,"n.a.",F2182/C2182)</x:f>
        <x:v>655.75</x:v>
      </x:c>
      <x:c r="J2182" s="3"/>
      <x:c r="K2182" s="3"/>
      <x:c r="L2182" s="3"/>
    </x:row>
    <x:row r="2183" ht="22" customHeight="1">
      <x:c r="A2183" s="3"/>
      <x:c r="B2183" s="3" t="str">
        <x:v>16774</x:v>
      </x:c>
      <x:c r="C2183" s="3" t="n">
        <x:v>4</x:v>
      </x:c>
      <x:c r="D2183" s="51" t="n">
        <x:v>40819</x:v>
      </x:c>
      <x:c r="E2183" s="3" t="str">
        <x:v>Recurrente</x:v>
      </x:c>
      <x:c r="F2183" s="13" t="n">
        <x:v>661.52</x:v>
      </x:c>
      <x:c r="G2183" s="13" t="n">
        <x:v>6.6</x:v>
      </x:c>
      <x:c r="H2183" s="13" t="n">
        <x:f>F2183-G2183</x:f>
        <x:v>654.92</x:v>
      </x:c>
      <x:c r="I2183" s="13" t="n">
        <x:f>IF(C2183=0,"n.a.",F2183/C2183)</x:f>
        <x:v>165.38</x:v>
      </x:c>
      <x:c r="J2183" s="3"/>
      <x:c r="K2183" s="3"/>
      <x:c r="L2183" s="3"/>
    </x:row>
    <x:row r="2184" ht="22" customHeight="1">
      <x:c r="A2184" s="3"/>
      <x:c r="B2184" s="3" t="str">
        <x:v>14651</x:v>
      </x:c>
      <x:c r="C2184" s="3" t="n">
        <x:v>2</x:v>
      </x:c>
      <x:c r="D2184" s="51" t="n">
        <x:v>40819</x:v>
      </x:c>
      <x:c r="E2184" s="3" t="str">
        <x:v>Recurrente</x:v>
      </x:c>
      <x:c r="F2184" s="13" t="n">
        <x:v>654.6</x:v>
      </x:c>
      <x:c r="G2184" s="13" t="n">
        <x:v>0</x:v>
      </x:c>
      <x:c r="H2184" s="13" t="n">
        <x:f>F2184-G2184</x:f>
        <x:v>654.6</x:v>
      </x:c>
      <x:c r="I2184" s="13" t="n">
        <x:f>IF(C2184=0,"n.a.",F2184/C2184)</x:f>
        <x:v>327.3</x:v>
      </x:c>
      <x:c r="J2184" s="3"/>
      <x:c r="K2184" s="3"/>
      <x:c r="L2184" s="3"/>
    </x:row>
    <x:row r="2185" ht="22" customHeight="1">
      <x:c r="A2185" s="3"/>
      <x:c r="B2185" s="3" t="str">
        <x:v>17398</x:v>
      </x:c>
      <x:c r="C2185" s="3" t="n">
        <x:v>3</x:v>
      </x:c>
      <x:c r="D2185" s="51" t="n">
        <x:v>40772</x:v>
      </x:c>
      <x:c r="E2185" s="3" t="str">
        <x:v>Recurrente</x:v>
      </x:c>
      <x:c r="F2185" s="13" t="n">
        <x:v>653.38</x:v>
      </x:c>
      <x:c r="G2185" s="13" t="n">
        <x:v>0</x:v>
      </x:c>
      <x:c r="H2185" s="13" t="n">
        <x:f>F2185-G2185</x:f>
        <x:v>653.38</x:v>
      </x:c>
      <x:c r="I2185" s="13" t="n">
        <x:f>IF(C2185=0,"n.a.",F2185/C2185)</x:f>
        <x:v>217.79333333333332</x:v>
      </x:c>
      <x:c r="J2185" s="3"/>
      <x:c r="K2185" s="3"/>
      <x:c r="L2185" s="3"/>
    </x:row>
    <x:row r="2186" ht="22" customHeight="1">
      <x:c r="A2186" s="3"/>
      <x:c r="B2186" s="3" t="str">
        <x:v>18151</x:v>
      </x:c>
      <x:c r="C2186" s="3" t="n">
        <x:v>2</x:v>
      </x:c>
      <x:c r="D2186" s="51" t="n">
        <x:v>40752</x:v>
      </x:c>
      <x:c r="E2186" s="3" t="str">
        <x:v>Recurrente</x:v>
      </x:c>
      <x:c r="F2186" s="13" t="n">
        <x:v>653.35</x:v>
      </x:c>
      <x:c r="G2186" s="13" t="n">
        <x:v>0</x:v>
      </x:c>
      <x:c r="H2186" s="13" t="n">
        <x:f>F2186-G2186</x:f>
        <x:v>653.35</x:v>
      </x:c>
      <x:c r="I2186" s="13" t="n">
        <x:f>IF(C2186=0,"n.a.",F2186/C2186)</x:f>
        <x:v>326.675</x:v>
      </x:c>
      <x:c r="J2186" s="3"/>
      <x:c r="K2186" s="3"/>
      <x:c r="L2186" s="3"/>
    </x:row>
    <x:row r="2187" ht="22" customHeight="1">
      <x:c r="A2187" s="3"/>
      <x:c r="B2187" s="3" t="str">
        <x:v>15205</x:v>
      </x:c>
      <x:c r="C2187" s="3" t="n">
        <x:v>2</x:v>
      </x:c>
      <x:c r="D2187" s="51" t="n">
        <x:v>40801</x:v>
      </x:c>
      <x:c r="E2187" s="3" t="str">
        <x:v>Recurrente</x:v>
      </x:c>
      <x:c r="F2187" s="13" t="n">
        <x:v>653.24</x:v>
      </x:c>
      <x:c r="G2187" s="13" t="n">
        <x:v>0</x:v>
      </x:c>
      <x:c r="H2187" s="13" t="n">
        <x:f>F2187-G2187</x:f>
        <x:v>653.24</x:v>
      </x:c>
      <x:c r="I2187" s="13" t="n">
        <x:f>IF(C2187=0,"n.a.",F2187/C2187)</x:f>
        <x:v>326.62</x:v>
      </x:c>
      <x:c r="J2187" s="3"/>
      <x:c r="K2187" s="3"/>
      <x:c r="L2187" s="3"/>
    </x:row>
    <x:row r="2188" ht="22" customHeight="1">
      <x:c r="A2188" s="3"/>
      <x:c r="B2188" s="3" t="str">
        <x:v>16014</x:v>
      </x:c>
      <x:c r="C2188" s="3" t="n">
        <x:v>3</x:v>
      </x:c>
      <x:c r="D2188" s="51" t="n">
        <x:v>40849</x:v>
      </x:c>
      <x:c r="E2188" s="3" t="str">
        <x:v>Recurrente</x:v>
      </x:c>
      <x:c r="F2188" s="13" t="n">
        <x:v>662.38</x:v>
      </x:c>
      <x:c r="G2188" s="13" t="n">
        <x:v>9.25</x:v>
      </x:c>
      <x:c r="H2188" s="13" t="n">
        <x:f>F2188-G2188</x:f>
        <x:v>653.13</x:v>
      </x:c>
      <x:c r="I2188" s="13" t="n">
        <x:f>IF(C2188=0,"n.a.",F2188/C2188)</x:f>
        <x:v>220.79333333333332</x:v>
      </x:c>
      <x:c r="J2188" s="3"/>
      <x:c r="K2188" s="3"/>
      <x:c r="L2188" s="3"/>
    </x:row>
    <x:row r="2189" ht="22" customHeight="1">
      <x:c r="A2189" s="3"/>
      <x:c r="B2189" s="3" t="str">
        <x:v>14044</x:v>
      </x:c>
      <x:c r="C2189" s="3" t="n">
        <x:v>4</x:v>
      </x:c>
      <x:c r="D2189" s="51" t="n">
        <x:v>40860</x:v>
      </x:c>
      <x:c r="E2189" s="3" t="str">
        <x:v>Recurrente</x:v>
      </x:c>
      <x:c r="F2189" s="13" t="n">
        <x:v>652.82</x:v>
      </x:c>
      <x:c r="G2189" s="13" t="n">
        <x:v>0</x:v>
      </x:c>
      <x:c r="H2189" s="13" t="n">
        <x:f>F2189-G2189</x:f>
        <x:v>652.82</x:v>
      </x:c>
      <x:c r="I2189" s="13" t="n">
        <x:f>IF(C2189=0,"n.a.",F2189/C2189)</x:f>
        <x:v>163.205</x:v>
      </x:c>
      <x:c r="J2189" s="3"/>
      <x:c r="K2189" s="3"/>
      <x:c r="L2189" s="3"/>
    </x:row>
    <x:row r="2190" ht="22" customHeight="1">
      <x:c r="A2190" s="3"/>
      <x:c r="B2190" s="3" t="str">
        <x:v>14548</x:v>
      </x:c>
      <x:c r="C2190" s="3" t="n">
        <x:v>2</x:v>
      </x:c>
      <x:c r="D2190" s="51" t="n">
        <x:v>40736</x:v>
      </x:c>
      <x:c r="E2190" s="3" t="str">
        <x:v>Recurrente</x:v>
      </x:c>
      <x:c r="F2190" s="13" t="n">
        <x:v>652.8</x:v>
      </x:c>
      <x:c r="G2190" s="13" t="n">
        <x:v>0</x:v>
      </x:c>
      <x:c r="H2190" s="13" t="n">
        <x:f>F2190-G2190</x:f>
        <x:v>652.8</x:v>
      </x:c>
      <x:c r="I2190" s="13" t="n">
        <x:f>IF(C2190=0,"n.a.",F2190/C2190)</x:f>
        <x:v>326.4</x:v>
      </x:c>
      <x:c r="J2190" s="3"/>
      <x:c r="K2190" s="3"/>
      <x:c r="L2190" s="3"/>
    </x:row>
    <x:row r="2191" ht="22" customHeight="1">
      <x:c r="A2191" s="3"/>
      <x:c r="B2191" s="3" t="str">
        <x:v>17523</x:v>
      </x:c>
      <x:c r="C2191" s="3" t="n">
        <x:v>4</x:v>
      </x:c>
      <x:c r="D2191" s="51" t="n">
        <x:v>40875</x:v>
      </x:c>
      <x:c r="E2191" s="3" t="str">
        <x:v>Recurrente</x:v>
      </x:c>
      <x:c r="F2191" s="13" t="n">
        <x:v>652.74</x:v>
      </x:c>
      <x:c r="G2191" s="13" t="n">
        <x:v>0</x:v>
      </x:c>
      <x:c r="H2191" s="13" t="n">
        <x:f>F2191-G2191</x:f>
        <x:v>652.74</x:v>
      </x:c>
      <x:c r="I2191" s="13" t="n">
        <x:f>IF(C2191=0,"n.a.",F2191/C2191)</x:f>
        <x:v>163.185</x:v>
      </x:c>
      <x:c r="J2191" s="3"/>
      <x:c r="K2191" s="3"/>
      <x:c r="L2191" s="3"/>
    </x:row>
    <x:row r="2192" ht="22" customHeight="1">
      <x:c r="A2192" s="3"/>
      <x:c r="B2192" s="3" t="str">
        <x:v>13430</x:v>
      </x:c>
      <x:c r="C2192" s="3" t="n">
        <x:v>2</x:v>
      </x:c>
      <x:c r="D2192" s="51" t="n">
        <x:v>40868</x:v>
      </x:c>
      <x:c r="E2192" s="3" t="str">
        <x:v>Recurrente</x:v>
      </x:c>
      <x:c r="F2192" s="13" t="n">
        <x:v>679.45</x:v>
      </x:c>
      <x:c r="G2192" s="13" t="n">
        <x:v>27.38</x:v>
      </x:c>
      <x:c r="H2192" s="13" t="n">
        <x:f>F2192-G2192</x:f>
        <x:v>652.07</x:v>
      </x:c>
      <x:c r="I2192" s="13" t="n">
        <x:f>IF(C2192=0,"n.a.",F2192/C2192)</x:f>
        <x:v>339.725</x:v>
      </x:c>
      <x:c r="J2192" s="3"/>
      <x:c r="K2192" s="3"/>
      <x:c r="L2192" s="3"/>
    </x:row>
    <x:row r="2193" ht="22" customHeight="1">
      <x:c r="A2193" s="3"/>
      <x:c r="B2193" s="3" t="str">
        <x:v>16362</x:v>
      </x:c>
      <x:c r="C2193" s="3" t="n">
        <x:v>5</x:v>
      </x:c>
      <x:c r="D2193" s="51" t="n">
        <x:v>40854</x:v>
      </x:c>
      <x:c r="E2193" s="3" t="str">
        <x:v>Recurrente</x:v>
      </x:c>
      <x:c r="F2193" s="13" t="n">
        <x:v>734.77</x:v>
      </x:c>
      <x:c r="G2193" s="13" t="n">
        <x:v>82.7</x:v>
      </x:c>
      <x:c r="H2193" s="13" t="n">
        <x:f>F2193-G2193</x:f>
        <x:v>652.0699999999999</x:v>
      </x:c>
      <x:c r="I2193" s="13" t="n">
        <x:f>IF(C2193=0,"n.a.",F2193/C2193)</x:f>
        <x:v>146.954</x:v>
      </x:c>
      <x:c r="J2193" s="3"/>
      <x:c r="K2193" s="3"/>
      <x:c r="L2193" s="3"/>
    </x:row>
    <x:row r="2194" ht="22" customHeight="1">
      <x:c r="A2194" s="3"/>
      <x:c r="B2194" s="3" t="str">
        <x:v>12468</x:v>
      </x:c>
      <x:c r="C2194" s="3" t="n">
        <x:v>2</x:v>
      </x:c>
      <x:c r="D2194" s="51" t="n">
        <x:v>40699</x:v>
      </x:c>
      <x:c r="E2194" s="3" t="str">
        <x:v>Recurrente</x:v>
      </x:c>
      <x:c r="F2194" s="13" t="n">
        <x:v>657.54</x:v>
      </x:c>
      <x:c r="G2194" s="13" t="n">
        <x:v>5.5</x:v>
      </x:c>
      <x:c r="H2194" s="13" t="n">
        <x:f>F2194-G2194</x:f>
        <x:v>652.04</x:v>
      </x:c>
      <x:c r="I2194" s="13" t="n">
        <x:f>IF(C2194=0,"n.a.",F2194/C2194)</x:f>
        <x:v>328.77</x:v>
      </x:c>
      <x:c r="J2194" s="3"/>
      <x:c r="K2194" s="3"/>
      <x:c r="L2194" s="3"/>
    </x:row>
    <x:row r="2195" ht="22" customHeight="1">
      <x:c r="A2195" s="3"/>
      <x:c r="B2195" s="3" t="str">
        <x:v>16734</x:v>
      </x:c>
      <x:c r="C2195" s="3" t="n">
        <x:v>3</x:v>
      </x:c>
      <x:c r="D2195" s="51" t="n">
        <x:v>40834</x:v>
      </x:c>
      <x:c r="E2195" s="3" t="str">
        <x:v>Recurrente</x:v>
      </x:c>
      <x:c r="F2195" s="13" t="n">
        <x:v>650.51</x:v>
      </x:c>
      <x:c r="G2195" s="13" t="n">
        <x:v>0</x:v>
      </x:c>
      <x:c r="H2195" s="13" t="n">
        <x:f>F2195-G2195</x:f>
        <x:v>650.51</x:v>
      </x:c>
      <x:c r="I2195" s="13" t="n">
        <x:f>IF(C2195=0,"n.a.",F2195/C2195)</x:f>
        <x:v>216.83666666666667</x:v>
      </x:c>
      <x:c r="J2195" s="3"/>
      <x:c r="K2195" s="3"/>
      <x:c r="L2195" s="3"/>
    </x:row>
    <x:row r="2196" ht="22" customHeight="1">
      <x:c r="A2196" s="3"/>
      <x:c r="B2196" s="3" t="str">
        <x:v>15571</x:v>
      </x:c>
      <x:c r="C2196" s="3" t="n">
        <x:v>4</x:v>
      </x:c>
      <x:c r="D2196" s="51" t="n">
        <x:v>40875</x:v>
      </x:c>
      <x:c r="E2196" s="3" t="str">
        <x:v>Recurrente</x:v>
      </x:c>
      <x:c r="F2196" s="13" t="n">
        <x:v>650.43</x:v>
      </x:c>
      <x:c r="G2196" s="13" t="n">
        <x:v>0</x:v>
      </x:c>
      <x:c r="H2196" s="13" t="n">
        <x:f>F2196-G2196</x:f>
        <x:v>650.43</x:v>
      </x:c>
      <x:c r="I2196" s="13" t="n">
        <x:f>IF(C2196=0,"n.a.",F2196/C2196)</x:f>
        <x:v>162.6075</x:v>
      </x:c>
      <x:c r="J2196" s="3"/>
      <x:c r="K2196" s="3"/>
      <x:c r="L2196" s="3"/>
    </x:row>
    <x:row r="2197" ht="22" customHeight="1">
      <x:c r="A2197" s="3"/>
      <x:c r="B2197" s="3" t="str">
        <x:v>16469</x:v>
      </x:c>
      <x:c r="C2197" s="3" t="n">
        <x:v>4</x:v>
      </x:c>
      <x:c r="D2197" s="51" t="n">
        <x:v>40863</x:v>
      </x:c>
      <x:c r="E2197" s="3" t="str">
        <x:v>Recurrente</x:v>
      </x:c>
      <x:c r="F2197" s="13" t="n">
        <x:v>650.43</x:v>
      </x:c>
      <x:c r="G2197" s="13" t="n">
        <x:v>0</x:v>
      </x:c>
      <x:c r="H2197" s="13" t="n">
        <x:f>F2197-G2197</x:f>
        <x:v>650.43</x:v>
      </x:c>
      <x:c r="I2197" s="13" t="n">
        <x:f>IF(C2197=0,"n.a.",F2197/C2197)</x:f>
        <x:v>162.6075</x:v>
      </x:c>
      <x:c r="J2197" s="3"/>
      <x:c r="K2197" s="3"/>
      <x:c r="L2197" s="3"/>
    </x:row>
    <x:row r="2198" ht="22" customHeight="1">
      <x:c r="A2198" s="3"/>
      <x:c r="B2198" s="3" t="str">
        <x:v>16969</x:v>
      </x:c>
      <x:c r="C2198" s="3" t="n">
        <x:v>3</x:v>
      </x:c>
      <x:c r="D2198" s="51" t="n">
        <x:v>40847</x:v>
      </x:c>
      <x:c r="E2198" s="3" t="str">
        <x:v>Recurrente</x:v>
      </x:c>
      <x:c r="F2198" s="13" t="n">
        <x:v>650.41</x:v>
      </x:c>
      <x:c r="G2198" s="13" t="n">
        <x:v>0</x:v>
      </x:c>
      <x:c r="H2198" s="13" t="n">
        <x:f>F2198-G2198</x:f>
        <x:v>650.41</x:v>
      </x:c>
      <x:c r="I2198" s="13" t="n">
        <x:f>IF(C2198=0,"n.a.",F2198/C2198)</x:f>
        <x:v>216.8033333333333</x:v>
      </x:c>
      <x:c r="J2198" s="3"/>
      <x:c r="K2198" s="3"/>
      <x:c r="L2198" s="3"/>
    </x:row>
    <x:row r="2199" ht="22" customHeight="1">
      <x:c r="A2199" s="3"/>
      <x:c r="B2199" s="3" t="str">
        <x:v>13240</x:v>
      </x:c>
      <x:c r="C2199" s="3" t="n">
        <x:v>4</x:v>
      </x:c>
      <x:c r="D2199" s="51" t="n">
        <x:v>40790</x:v>
      </x:c>
      <x:c r="E2199" s="3" t="str">
        <x:v>Recurrente</x:v>
      </x:c>
      <x:c r="F2199" s="13" t="n">
        <x:v>648.7</x:v>
      </x:c>
      <x:c r="G2199" s="13" t="n">
        <x:v>0</x:v>
      </x:c>
      <x:c r="H2199" s="13" t="n">
        <x:f>F2199-G2199</x:f>
        <x:v>648.7</x:v>
      </x:c>
      <x:c r="I2199" s="13" t="n">
        <x:f>IF(C2199=0,"n.a.",F2199/C2199)</x:f>
        <x:v>162.175</x:v>
      </x:c>
      <x:c r="J2199" s="3"/>
      <x:c r="K2199" s="3"/>
      <x:c r="L2199" s="3"/>
    </x:row>
    <x:row r="2200" ht="22" customHeight="1">
      <x:c r="A2200" s="3"/>
      <x:c r="B2200" s="3" t="str">
        <x:v>16573</x:v>
      </x:c>
      <x:c r="C2200" s="3" t="n">
        <x:v>2</x:v>
      </x:c>
      <x:c r="D2200" s="51" t="n">
        <x:v>40802</x:v>
      </x:c>
      <x:c r="E2200" s="3" t="str">
        <x:v>Recurrente</x:v>
      </x:c>
      <x:c r="F2200" s="13" t="n">
        <x:v>663.61</x:v>
      </x:c>
      <x:c r="G2200" s="13" t="n">
        <x:v>15.2</x:v>
      </x:c>
      <x:c r="H2200" s="13" t="n">
        <x:f>F2200-G2200</x:f>
        <x:v>648.41</x:v>
      </x:c>
      <x:c r="I2200" s="13" t="n">
        <x:f>IF(C2200=0,"n.a.",F2200/C2200)</x:f>
        <x:v>331.805</x:v>
      </x:c>
      <x:c r="J2200" s="3"/>
      <x:c r="K2200" s="3"/>
      <x:c r="L2200" s="3"/>
    </x:row>
    <x:row r="2201" ht="22" customHeight="1">
      <x:c r="A2201" s="3"/>
      <x:c r="B2201" s="3" t="str">
        <x:v>15643</x:v>
      </x:c>
      <x:c r="C2201" s="3" t="n">
        <x:v>3</x:v>
      </x:c>
      <x:c r="D2201" s="51" t="n">
        <x:v>40695</x:v>
      </x:c>
      <x:c r="E2201" s="3" t="str">
        <x:v>Recurrente</x:v>
      </x:c>
      <x:c r="F2201" s="13" t="n">
        <x:v>664</x:v>
      </x:c>
      <x:c r="G2201" s="13" t="n">
        <x:v>16.6</x:v>
      </x:c>
      <x:c r="H2201" s="13" t="n">
        <x:f>F2201-G2201</x:f>
        <x:v>647.4</x:v>
      </x:c>
      <x:c r="I2201" s="13" t="n">
        <x:f>IF(C2201=0,"n.a.",F2201/C2201)</x:f>
        <x:v>221.33333333333334</x:v>
      </x:c>
      <x:c r="J2201" s="3"/>
      <x:c r="K2201" s="3"/>
      <x:c r="L2201" s="3"/>
    </x:row>
    <x:row r="2202" ht="22" customHeight="1">
      <x:c r="A2202" s="3"/>
      <x:c r="B2202" s="3" t="str">
        <x:v>17373</x:v>
      </x:c>
      <x:c r="C2202" s="3" t="n">
        <x:v>4</x:v>
      </x:c>
      <x:c r="D2202" s="51" t="n">
        <x:v>40846</x:v>
      </x:c>
      <x:c r="E2202" s="3" t="str">
        <x:v>Recurrente</x:v>
      </x:c>
      <x:c r="F2202" s="13" t="n">
        <x:v>646.92</x:v>
      </x:c>
      <x:c r="G2202" s="13" t="n">
        <x:v>0</x:v>
      </x:c>
      <x:c r="H2202" s="13" t="n">
        <x:f>F2202-G2202</x:f>
        <x:v>646.92</x:v>
      </x:c>
      <x:c r="I2202" s="13" t="n">
        <x:f>IF(C2202=0,"n.a.",F2202/C2202)</x:f>
        <x:v>161.73</x:v>
      </x:c>
      <x:c r="J2202" s="3"/>
      <x:c r="K2202" s="3"/>
      <x:c r="L2202" s="3"/>
    </x:row>
    <x:row r="2203" ht="22" customHeight="1">
      <x:c r="A2203" s="3"/>
      <x:c r="B2203" s="3" t="str">
        <x:v>15651</x:v>
      </x:c>
      <x:c r="C2203" s="3" t="n">
        <x:v>3</x:v>
      </x:c>
      <x:c r="D2203" s="51" t="n">
        <x:v>40850</x:v>
      </x:c>
      <x:c r="E2203" s="3" t="str">
        <x:v>Recurrente</x:v>
      </x:c>
      <x:c r="F2203" s="13" t="n">
        <x:v>646.3</x:v>
      </x:c>
      <x:c r="G2203" s="13" t="n">
        <x:v>0</x:v>
      </x:c>
      <x:c r="H2203" s="13" t="n">
        <x:f>F2203-G2203</x:f>
        <x:v>646.3</x:v>
      </x:c>
      <x:c r="I2203" s="13" t="n">
        <x:f>IF(C2203=0,"n.a.",F2203/C2203)</x:f>
        <x:v>215.4333333333333</x:v>
      </x:c>
      <x:c r="J2203" s="3"/>
      <x:c r="K2203" s="3"/>
      <x:c r="L2203" s="3"/>
    </x:row>
    <x:row r="2204" ht="22" customHeight="1">
      <x:c r="A2204" s="3"/>
      <x:c r="B2204" s="3" t="str">
        <x:v>17545</x:v>
      </x:c>
      <x:c r="C2204" s="3" t="n">
        <x:v>3</x:v>
      </x:c>
      <x:c r="D2204" s="51" t="n">
        <x:v>40843</x:v>
      </x:c>
      <x:c r="E2204" s="3" t="str">
        <x:v>Recurrente</x:v>
      </x:c>
      <x:c r="F2204" s="13" t="n">
        <x:v>645.96</x:v>
      </x:c>
      <x:c r="G2204" s="13" t="n">
        <x:v>0</x:v>
      </x:c>
      <x:c r="H2204" s="13" t="n">
        <x:f>F2204-G2204</x:f>
        <x:v>645.96</x:v>
      </x:c>
      <x:c r="I2204" s="13" t="n">
        <x:f>IF(C2204=0,"n.a.",F2204/C2204)</x:f>
        <x:v>215.32000000000002</x:v>
      </x:c>
      <x:c r="J2204" s="3"/>
      <x:c r="K2204" s="3"/>
      <x:c r="L2204" s="3"/>
    </x:row>
    <x:row r="2205" ht="22" customHeight="1">
      <x:c r="A2205" s="3"/>
      <x:c r="B2205" s="3" t="str">
        <x:v>16444</x:v>
      </x:c>
      <x:c r="C2205" s="3" t="n">
        <x:v>4</x:v>
      </x:c>
      <x:c r="D2205" s="51" t="n">
        <x:v>40840</x:v>
      </x:c>
      <x:c r="E2205" s="3" t="str">
        <x:v>Recurrente</x:v>
      </x:c>
      <x:c r="F2205" s="13" t="n">
        <x:v>654.67</x:v>
      </x:c>
      <x:c r="G2205" s="13" t="n">
        <x:v>8.95</x:v>
      </x:c>
      <x:c r="H2205" s="13" t="n">
        <x:f>F2205-G2205</x:f>
        <x:v>645.7199999999999</x:v>
      </x:c>
      <x:c r="I2205" s="13" t="n">
        <x:f>IF(C2205=0,"n.a.",F2205/C2205)</x:f>
        <x:v>163.6675</x:v>
      </x:c>
      <x:c r="J2205" s="3"/>
      <x:c r="K2205" s="3"/>
      <x:c r="L2205" s="3"/>
    </x:row>
    <x:row r="2206" ht="22" customHeight="1">
      <x:c r="A2206" s="3"/>
      <x:c r="B2206" s="3" t="str">
        <x:v>14855</x:v>
      </x:c>
      <x:c r="C2206" s="3" t="n">
        <x:v>2</x:v>
      </x:c>
      <x:c r="D2206" s="51" t="n">
        <x:v>40767</x:v>
      </x:c>
      <x:c r="E2206" s="3" t="str">
        <x:v>Recurrente</x:v>
      </x:c>
      <x:c r="F2206" s="13" t="n">
        <x:v>645.65</x:v>
      </x:c>
      <x:c r="G2206" s="13" t="n">
        <x:v>0</x:v>
      </x:c>
      <x:c r="H2206" s="13" t="n">
        <x:f>F2206-G2206</x:f>
        <x:v>645.65</x:v>
      </x:c>
      <x:c r="I2206" s="13" t="n">
        <x:f>IF(C2206=0,"n.a.",F2206/C2206)</x:f>
        <x:v>322.825</x:v>
      </x:c>
      <x:c r="J2206" s="3"/>
      <x:c r="K2206" s="3"/>
      <x:c r="L2206" s="3"/>
    </x:row>
    <x:row r="2207" ht="22" customHeight="1">
      <x:c r="A2207" s="3"/>
      <x:c r="B2207" s="3" t="str">
        <x:v>14829</x:v>
      </x:c>
      <x:c r="C2207" s="3" t="n">
        <x:v>4</x:v>
      </x:c>
      <x:c r="D2207" s="51" t="n">
        <x:v>40857</x:v>
      </x:c>
      <x:c r="E2207" s="3" t="str">
        <x:v>Recurrente</x:v>
      </x:c>
      <x:c r="F2207" s="13" t="n">
        <x:v>697.55</x:v>
      </x:c>
      <x:c r="G2207" s="13" t="n">
        <x:v>52.9</x:v>
      </x:c>
      <x:c r="H2207" s="13" t="n">
        <x:f>F2207-G2207</x:f>
        <x:v>644.65</x:v>
      </x:c>
      <x:c r="I2207" s="13" t="n">
        <x:f>IF(C2207=0,"n.a.",F2207/C2207)</x:f>
        <x:v>174.3875</x:v>
      </x:c>
      <x:c r="J2207" s="3"/>
      <x:c r="K2207" s="3"/>
      <x:c r="L2207" s="3"/>
    </x:row>
    <x:row r="2208" ht="22" customHeight="1">
      <x:c r="A2208" s="3"/>
      <x:c r="B2208" s="3" t="str">
        <x:v>17312</x:v>
      </x:c>
      <x:c r="C2208" s="3" t="n">
        <x:v>3</x:v>
      </x:c>
      <x:c r="D2208" s="51" t="n">
        <x:v>40748</x:v>
      </x:c>
      <x:c r="E2208" s="3" t="str">
        <x:v>Recurrente</x:v>
      </x:c>
      <x:c r="F2208" s="13" t="n">
        <x:v>644.3</x:v>
      </x:c>
      <x:c r="G2208" s="13" t="n">
        <x:v>0</x:v>
      </x:c>
      <x:c r="H2208" s="13" t="n">
        <x:f>F2208-G2208</x:f>
        <x:v>644.3</x:v>
      </x:c>
      <x:c r="I2208" s="13" t="n">
        <x:f>IF(C2208=0,"n.a.",F2208/C2208)</x:f>
        <x:v>214.76666666666665</x:v>
      </x:c>
      <x:c r="J2208" s="3"/>
      <x:c r="K2208" s="3"/>
      <x:c r="L2208" s="3"/>
    </x:row>
    <x:row r="2209" ht="22" customHeight="1">
      <x:c r="A2209" s="3"/>
      <x:c r="B2209" s="3" t="str">
        <x:v>16157</x:v>
      </x:c>
      <x:c r="C2209" s="3" t="n">
        <x:v>3</x:v>
      </x:c>
      <x:c r="D2209" s="51" t="n">
        <x:v>40871</x:v>
      </x:c>
      <x:c r="E2209" s="3" t="str">
        <x:v>Recurrente</x:v>
      </x:c>
      <x:c r="F2209" s="13" t="n">
        <x:v>656.69</x:v>
      </x:c>
      <x:c r="G2209" s="13" t="n">
        <x:v>12.45</x:v>
      </x:c>
      <x:c r="H2209" s="13" t="n">
        <x:f>F2209-G2209</x:f>
        <x:v>644.24</x:v>
      </x:c>
      <x:c r="I2209" s="13" t="n">
        <x:f>IF(C2209=0,"n.a.",F2209/C2209)</x:f>
        <x:v>218.89666666666668</x:v>
      </x:c>
      <x:c r="J2209" s="3"/>
      <x:c r="K2209" s="3"/>
      <x:c r="L2209" s="3"/>
    </x:row>
    <x:row r="2210" ht="22" customHeight="1">
      <x:c r="A2210" s="3"/>
      <x:c r="B2210" s="3" t="str">
        <x:v>14126</x:v>
      </x:c>
      <x:c r="C2210" s="3" t="n">
        <x:v>3</x:v>
      </x:c>
      <x:c r="D2210" s="51" t="n">
        <x:v>40879</x:v>
      </x:c>
      <x:c r="E2210" s="3" t="str">
        <x:v>Recurrente</x:v>
      </x:c>
      <x:c r="F2210" s="13" t="n">
        <x:v>706.13</x:v>
      </x:c>
      <x:c r="G2210" s="13" t="n">
        <x:v>62.5</x:v>
      </x:c>
      <x:c r="H2210" s="13" t="n">
        <x:f>F2210-G2210</x:f>
        <x:v>643.63</x:v>
      </x:c>
      <x:c r="I2210" s="13" t="n">
        <x:f>IF(C2210=0,"n.a.",F2210/C2210)</x:f>
        <x:v>235.37666666666667</x:v>
      </x:c>
      <x:c r="J2210" s="3"/>
      <x:c r="K2210" s="3"/>
      <x:c r="L2210" s="3"/>
    </x:row>
    <x:row r="2211" ht="22" customHeight="1">
      <x:c r="A2211" s="3"/>
      <x:c r="B2211" s="3" t="str">
        <x:v>16431</x:v>
      </x:c>
      <x:c r="C2211" s="3" t="n">
        <x:v>3</x:v>
      </x:c>
      <x:c r="D2211" s="51" t="n">
        <x:v>40673</x:v>
      </x:c>
      <x:c r="E2211" s="3" t="str">
        <x:v>Recurrente</x:v>
      </x:c>
      <x:c r="F2211" s="13" t="n">
        <x:v>642.81</x:v>
      </x:c>
      <x:c r="G2211" s="13" t="n">
        <x:v>0</x:v>
      </x:c>
      <x:c r="H2211" s="13" t="n">
        <x:f>F2211-G2211</x:f>
        <x:v>642.81</x:v>
      </x:c>
      <x:c r="I2211" s="13" t="n">
        <x:f>IF(C2211=0,"n.a.",F2211/C2211)</x:f>
        <x:v>214.26999999999998</x:v>
      </x:c>
      <x:c r="J2211" s="3"/>
      <x:c r="K2211" s="3"/>
      <x:c r="L2211" s="3"/>
    </x:row>
    <x:row r="2212" ht="22" customHeight="1">
      <x:c r="A2212" s="3"/>
      <x:c r="B2212" s="3" t="str">
        <x:v>14020</x:v>
      </x:c>
      <x:c r="C2212" s="3" t="n">
        <x:v>2</x:v>
      </x:c>
      <x:c r="D2212" s="51" t="n">
        <x:v>40870</x:v>
      </x:c>
      <x:c r="E2212" s="3" t="str">
        <x:v>Recurrente</x:v>
      </x:c>
      <x:c r="F2212" s="13" t="n">
        <x:v>642.8</x:v>
      </x:c>
      <x:c r="G2212" s="13" t="n">
        <x:v>0</x:v>
      </x:c>
      <x:c r="H2212" s="13" t="n">
        <x:f>F2212-G2212</x:f>
        <x:v>642.8</x:v>
      </x:c>
      <x:c r="I2212" s="13" t="n">
        <x:f>IF(C2212=0,"n.a.",F2212/C2212)</x:f>
        <x:v>321.4</x:v>
      </x:c>
      <x:c r="J2212" s="3"/>
      <x:c r="K2212" s="3"/>
      <x:c r="L2212" s="3"/>
    </x:row>
    <x:row r="2213" ht="22" customHeight="1">
      <x:c r="A2213" s="3"/>
      <x:c r="B2213" s="3" t="str">
        <x:v>13034</x:v>
      </x:c>
      <x:c r="C2213" s="3" t="n">
        <x:v>2</x:v>
      </x:c>
      <x:c r="D2213" s="51" t="n">
        <x:v>40832</x:v>
      </x:c>
      <x:c r="E2213" s="3" t="str">
        <x:v>Recurrente</x:v>
      </x:c>
      <x:c r="F2213" s="13" t="n">
        <x:v>642.77</x:v>
      </x:c>
      <x:c r="G2213" s="13" t="n">
        <x:v>0</x:v>
      </x:c>
      <x:c r="H2213" s="13" t="n">
        <x:f>F2213-G2213</x:f>
        <x:v>642.77</x:v>
      </x:c>
      <x:c r="I2213" s="13" t="n">
        <x:f>IF(C2213=0,"n.a.",F2213/C2213)</x:f>
        <x:v>321.385</x:v>
      </x:c>
      <x:c r="J2213" s="3"/>
      <x:c r="K2213" s="3"/>
      <x:c r="L2213" s="3"/>
    </x:row>
    <x:row r="2214" ht="22" customHeight="1">
      <x:c r="A2214" s="3"/>
      <x:c r="B2214" s="3" t="str">
        <x:v>17779</x:v>
      </x:c>
      <x:c r="C2214" s="3" t="n">
        <x:v>3</x:v>
      </x:c>
      <x:c r="D2214" s="51" t="n">
        <x:v>40865</x:v>
      </x:c>
      <x:c r="E2214" s="3" t="str">
        <x:v>Recurrente</x:v>
      </x:c>
      <x:c r="F2214" s="13" t="n">
        <x:v>658.57</x:v>
      </x:c>
      <x:c r="G2214" s="13" t="n">
        <x:v>16.4</x:v>
      </x:c>
      <x:c r="H2214" s="13" t="n">
        <x:f>F2214-G2214</x:f>
        <x:v>642.1700000000001</x:v>
      </x:c>
      <x:c r="I2214" s="13" t="n">
        <x:f>IF(C2214=0,"n.a.",F2214/C2214)</x:f>
        <x:v>219.52333333333334</x:v>
      </x:c>
      <x:c r="J2214" s="3"/>
      <x:c r="K2214" s="3"/>
      <x:c r="L2214" s="3"/>
    </x:row>
    <x:row r="2215" ht="22" customHeight="1">
      <x:c r="A2215" s="3"/>
      <x:c r="B2215" s="3" t="str">
        <x:v>17046</x:v>
      </x:c>
      <x:c r="C2215" s="3" t="n">
        <x:v>1</x:v>
      </x:c>
      <x:c r="D2215" s="51" t="n">
        <x:v>40729</x:v>
      </x:c>
      <x:c r="E2215" s="3" t="str">
        <x:v>Una compra</x:v>
      </x:c>
      <x:c r="F2215" s="13" t="n">
        <x:v>642.02</x:v>
      </x:c>
      <x:c r="G2215" s="13" t="n">
        <x:v>0</x:v>
      </x:c>
      <x:c r="H2215" s="13" t="n">
        <x:f>F2215-G2215</x:f>
        <x:v>642.02</x:v>
      </x:c>
      <x:c r="I2215" s="13" t="n">
        <x:f>IF(C2215=0,"n.a.",F2215/C2215)</x:f>
        <x:v>642.02</x:v>
      </x:c>
      <x:c r="J2215" s="3"/>
      <x:c r="K2215" s="3"/>
      <x:c r="L2215" s="3"/>
    </x:row>
    <x:row r="2216" ht="22" customHeight="1">
      <x:c r="A2216" s="3"/>
      <x:c r="B2216" s="3" t="str">
        <x:v>16554</x:v>
      </x:c>
      <x:c r="C2216" s="3" t="n">
        <x:v>3</x:v>
      </x:c>
      <x:c r="D2216" s="51" t="n">
        <x:v>40844</x:v>
      </x:c>
      <x:c r="E2216" s="3" t="str">
        <x:v>Recurrente</x:v>
      </x:c>
      <x:c r="F2216" s="13" t="n">
        <x:v>837.1</x:v>
      </x:c>
      <x:c r="G2216" s="13" t="n">
        <x:v>195.55</x:v>
      </x:c>
      <x:c r="H2216" s="13" t="n">
        <x:f>F2216-G2216</x:f>
        <x:v>641.55</x:v>
      </x:c>
      <x:c r="I2216" s="13" t="n">
        <x:f>IF(C2216=0,"n.a.",F2216/C2216)</x:f>
        <x:v>279.03333333333336</x:v>
      </x:c>
      <x:c r="J2216" s="3"/>
      <x:c r="K2216" s="3"/>
      <x:c r="L2216" s="3"/>
    </x:row>
    <x:row r="2217" ht="22" customHeight="1">
      <x:c r="A2217" s="3"/>
      <x:c r="B2217" s="3" t="str">
        <x:v>13417</x:v>
      </x:c>
      <x:c r="C2217" s="3" t="n">
        <x:v>2</x:v>
      </x:c>
      <x:c r="D2217" s="51" t="n">
        <x:v>40882</x:v>
      </x:c>
      <x:c r="E2217" s="3" t="str">
        <x:v>Recurrente</x:v>
      </x:c>
      <x:c r="F2217" s="13" t="n">
        <x:v>640.83</x:v>
      </x:c>
      <x:c r="G2217" s="13" t="n">
        <x:v>0</x:v>
      </x:c>
      <x:c r="H2217" s="13" t="n">
        <x:f>F2217-G2217</x:f>
        <x:v>640.83</x:v>
      </x:c>
      <x:c r="I2217" s="13" t="n">
        <x:f>IF(C2217=0,"n.a.",F2217/C2217)</x:f>
        <x:v>320.415</x:v>
      </x:c>
      <x:c r="J2217" s="3"/>
      <x:c r="K2217" s="3"/>
      <x:c r="L2217" s="3"/>
    </x:row>
    <x:row r="2218" ht="22" customHeight="1">
      <x:c r="A2218" s="3"/>
      <x:c r="B2218" s="3" t="str">
        <x:v>13318</x:v>
      </x:c>
      <x:c r="C2218" s="3" t="n">
        <x:v>3</x:v>
      </x:c>
      <x:c r="D2218" s="51" t="n">
        <x:v>40885</x:v>
      </x:c>
      <x:c r="E2218" s="3" t="str">
        <x:v>Recurrente</x:v>
      </x:c>
      <x:c r="F2218" s="13" t="n">
        <x:v>640.76</x:v>
      </x:c>
      <x:c r="G2218" s="13" t="n">
        <x:v>0</x:v>
      </x:c>
      <x:c r="H2218" s="13" t="n">
        <x:f>F2218-G2218</x:f>
        <x:v>640.76</x:v>
      </x:c>
      <x:c r="I2218" s="13" t="n">
        <x:f>IF(C2218=0,"n.a.",F2218/C2218)</x:f>
        <x:v>213.58666666666667</x:v>
      </x:c>
      <x:c r="J2218" s="3"/>
      <x:c r="K2218" s="3"/>
      <x:c r="L2218" s="3"/>
    </x:row>
    <x:row r="2219" ht="22" customHeight="1">
      <x:c r="A2219" s="3"/>
      <x:c r="B2219" s="3" t="str">
        <x:v>15919</x:v>
      </x:c>
      <x:c r="C2219" s="3" t="n">
        <x:v>2</x:v>
      </x:c>
      <x:c r="D2219" s="51" t="n">
        <x:v>40867</x:v>
      </x:c>
      <x:c r="E2219" s="3" t="str">
        <x:v>Recurrente</x:v>
      </x:c>
      <x:c r="F2219" s="13" t="n">
        <x:v>639.89</x:v>
      </x:c>
      <x:c r="G2219" s="13" t="n">
        <x:v>0</x:v>
      </x:c>
      <x:c r="H2219" s="13" t="n">
        <x:f>F2219-G2219</x:f>
        <x:v>639.89</x:v>
      </x:c>
      <x:c r="I2219" s="13" t="n">
        <x:f>IF(C2219=0,"n.a.",F2219/C2219)</x:f>
        <x:v>319.945</x:v>
      </x:c>
      <x:c r="J2219" s="3"/>
      <x:c r="K2219" s="3"/>
      <x:c r="L2219" s="3"/>
    </x:row>
    <x:row r="2220" ht="22" customHeight="1">
      <x:c r="A2220" s="3"/>
      <x:c r="B2220" s="3" t="str">
        <x:v>12421</x:v>
      </x:c>
      <x:c r="C2220" s="3" t="n">
        <x:v>4</x:v>
      </x:c>
      <x:c r="D2220" s="51" t="n">
        <x:v>40871</x:v>
      </x:c>
      <x:c r="E2220" s="3" t="str">
        <x:v>Recurrente</x:v>
      </x:c>
      <x:c r="F2220" s="13" t="n">
        <x:v>639.04</x:v>
      </x:c>
      <x:c r="G2220" s="13" t="n">
        <x:v>0</x:v>
      </x:c>
      <x:c r="H2220" s="13" t="n">
        <x:f>F2220-G2220</x:f>
        <x:v>639.04</x:v>
      </x:c>
      <x:c r="I2220" s="13" t="n">
        <x:f>IF(C2220=0,"n.a.",F2220/C2220)</x:f>
        <x:v>159.76</x:v>
      </x:c>
      <x:c r="J2220" s="3"/>
      <x:c r="K2220" s="3"/>
      <x:c r="L2220" s="3"/>
    </x:row>
    <x:row r="2221" ht="22" customHeight="1">
      <x:c r="A2221" s="3"/>
      <x:c r="B2221" s="3" t="str">
        <x:v>17515</x:v>
      </x:c>
      <x:c r="C2221" s="3" t="n">
        <x:v>4</x:v>
      </x:c>
      <x:c r="D2221" s="51" t="n">
        <x:v>40855</x:v>
      </x:c>
      <x:c r="E2221" s="3" t="str">
        <x:v>Recurrente</x:v>
      </x:c>
      <x:c r="F2221" s="13" t="n">
        <x:v>639.02</x:v>
      </x:c>
      <x:c r="G2221" s="13" t="n">
        <x:v>0</x:v>
      </x:c>
      <x:c r="H2221" s="13" t="n">
        <x:f>F2221-G2221</x:f>
        <x:v>639.02</x:v>
      </x:c>
      <x:c r="I2221" s="13" t="n">
        <x:f>IF(C2221=0,"n.a.",F2221/C2221)</x:f>
        <x:v>159.755</x:v>
      </x:c>
      <x:c r="J2221" s="3"/>
      <x:c r="K2221" s="3"/>
      <x:c r="L2221" s="3"/>
    </x:row>
    <x:row r="2222" ht="22" customHeight="1">
      <x:c r="A2222" s="3"/>
      <x:c r="B2222" s="3" t="str">
        <x:v>18160</x:v>
      </x:c>
      <x:c r="C2222" s="3" t="n">
        <x:v>2</x:v>
      </x:c>
      <x:c r="D2222" s="51" t="n">
        <x:v>40829</x:v>
      </x:c>
      <x:c r="E2222" s="3" t="str">
        <x:v>Recurrente</x:v>
      </x:c>
      <x:c r="F2222" s="13" t="n">
        <x:v>638.06</x:v>
      </x:c>
      <x:c r="G2222" s="13" t="n">
        <x:v>0</x:v>
      </x:c>
      <x:c r="H2222" s="13" t="n">
        <x:f>F2222-G2222</x:f>
        <x:v>638.06</x:v>
      </x:c>
      <x:c r="I2222" s="13" t="n">
        <x:f>IF(C2222=0,"n.a.",F2222/C2222)</x:f>
        <x:v>319.03</x:v>
      </x:c>
      <x:c r="J2222" s="3"/>
      <x:c r="K2222" s="3"/>
      <x:c r="L2222" s="3"/>
    </x:row>
    <x:row r="2223" ht="22" customHeight="1">
      <x:c r="A2223" s="3"/>
      <x:c r="B2223" s="3" t="str">
        <x:v>14754</x:v>
      </x:c>
      <x:c r="C2223" s="3" t="n">
        <x:v>2</x:v>
      </x:c>
      <x:c r="D2223" s="51" t="n">
        <x:v>40842</x:v>
      </x:c>
      <x:c r="E2223" s="3" t="str">
        <x:v>Recurrente</x:v>
      </x:c>
      <x:c r="F2223" s="13" t="n">
        <x:v>638.05</x:v>
      </x:c>
      <x:c r="G2223" s="13" t="n">
        <x:v>0</x:v>
      </x:c>
      <x:c r="H2223" s="13" t="n">
        <x:f>F2223-G2223</x:f>
        <x:v>638.05</x:v>
      </x:c>
      <x:c r="I2223" s="13" t="n">
        <x:f>IF(C2223=0,"n.a.",F2223/C2223)</x:f>
        <x:v>319.025</x:v>
      </x:c>
      <x:c r="J2223" s="3"/>
      <x:c r="K2223" s="3"/>
      <x:c r="L2223" s="3"/>
    </x:row>
    <x:row r="2224" ht="22" customHeight="1">
      <x:c r="A2224" s="3"/>
      <x:c r="B2224" s="3" t="str">
        <x:v>14664</x:v>
      </x:c>
      <x:c r="C2224" s="3" t="n">
        <x:v>2</x:v>
      </x:c>
      <x:c r="D2224" s="51" t="n">
        <x:v>40867</x:v>
      </x:c>
      <x:c r="E2224" s="3" t="str">
        <x:v>Recurrente</x:v>
      </x:c>
      <x:c r="F2224" s="13" t="n">
        <x:v>637.89</x:v>
      </x:c>
      <x:c r="G2224" s="13" t="n">
        <x:v>0</x:v>
      </x:c>
      <x:c r="H2224" s="13" t="n">
        <x:f>F2224-G2224</x:f>
        <x:v>637.89</x:v>
      </x:c>
      <x:c r="I2224" s="13" t="n">
        <x:f>IF(C2224=0,"n.a.",F2224/C2224)</x:f>
        <x:v>318.945</x:v>
      </x:c>
      <x:c r="J2224" s="3"/>
      <x:c r="K2224" s="3"/>
      <x:c r="L2224" s="3"/>
    </x:row>
    <x:row r="2225" ht="22" customHeight="1">
      <x:c r="A2225" s="3"/>
      <x:c r="B2225" s="3" t="str">
        <x:v>14128</x:v>
      </x:c>
      <x:c r="C2225" s="3" t="n">
        <x:v>2</x:v>
      </x:c>
      <x:c r="D2225" s="51" t="n">
        <x:v>40826</x:v>
      </x:c>
      <x:c r="E2225" s="3" t="str">
        <x:v>Recurrente</x:v>
      </x:c>
      <x:c r="F2225" s="13" t="n">
        <x:v>637.5</x:v>
      </x:c>
      <x:c r="G2225" s="13" t="n">
        <x:v>0</x:v>
      </x:c>
      <x:c r="H2225" s="13" t="n">
        <x:f>F2225-G2225</x:f>
        <x:v>637.5</x:v>
      </x:c>
      <x:c r="I2225" s="13" t="n">
        <x:f>IF(C2225=0,"n.a.",F2225/C2225)</x:f>
        <x:v>318.75</x:v>
      </x:c>
      <x:c r="J2225" s="3"/>
      <x:c r="K2225" s="3"/>
      <x:c r="L2225" s="3"/>
    </x:row>
    <x:row r="2226" ht="22" customHeight="1">
      <x:c r="A2226" s="3"/>
      <x:c r="B2226" s="3" t="str">
        <x:v>14481</x:v>
      </x:c>
      <x:c r="C2226" s="3" t="n">
        <x:v>2</x:v>
      </x:c>
      <x:c r="D2226" s="51" t="n">
        <x:v>40722</x:v>
      </x:c>
      <x:c r="E2226" s="3" t="str">
        <x:v>Recurrente</x:v>
      </x:c>
      <x:c r="F2226" s="13" t="n">
        <x:v>636.51</x:v>
      </x:c>
      <x:c r="G2226" s="13" t="n">
        <x:v>0</x:v>
      </x:c>
      <x:c r="H2226" s="13" t="n">
        <x:f>F2226-G2226</x:f>
        <x:v>636.51</x:v>
      </x:c>
      <x:c r="I2226" s="13" t="n">
        <x:f>IF(C2226=0,"n.a.",F2226/C2226)</x:f>
        <x:v>318.255</x:v>
      </x:c>
      <x:c r="J2226" s="3"/>
      <x:c r="K2226" s="3"/>
      <x:c r="L2226" s="3"/>
    </x:row>
    <x:row r="2227" ht="22" customHeight="1">
      <x:c r="A2227" s="3"/>
      <x:c r="B2227" s="3" t="str">
        <x:v>15829</x:v>
      </x:c>
      <x:c r="C2227" s="3" t="n">
        <x:v>2</x:v>
      </x:c>
      <x:c r="D2227" s="51" t="n">
        <x:v>40787</x:v>
      </x:c>
      <x:c r="E2227" s="3" t="str">
        <x:v>Recurrente</x:v>
      </x:c>
      <x:c r="F2227" s="13" t="n">
        <x:v>636.14</x:v>
      </x:c>
      <x:c r="G2227" s="13" t="n">
        <x:v>0</x:v>
      </x:c>
      <x:c r="H2227" s="13" t="n">
        <x:f>F2227-G2227</x:f>
        <x:v>636.14</x:v>
      </x:c>
      <x:c r="I2227" s="13" t="n">
        <x:f>IF(C2227=0,"n.a.",F2227/C2227)</x:f>
        <x:v>318.07</x:v>
      </x:c>
      <x:c r="J2227" s="3"/>
      <x:c r="K2227" s="3"/>
      <x:c r="L2227" s="3"/>
    </x:row>
    <x:row r="2228" ht="22" customHeight="1">
      <x:c r="A2228" s="3"/>
      <x:c r="B2228" s="3" t="str">
        <x:v>15384</x:v>
      </x:c>
      <x:c r="C2228" s="3" t="n">
        <x:v>2</x:v>
      </x:c>
      <x:c r="D2228" s="51" t="n">
        <x:v>40717</x:v>
      </x:c>
      <x:c r="E2228" s="3" t="str">
        <x:v>Recurrente</x:v>
      </x:c>
      <x:c r="F2228" s="13" t="n">
        <x:v>642.41</x:v>
      </x:c>
      <x:c r="G2228" s="13" t="n">
        <x:v>6.65</x:v>
      </x:c>
      <x:c r="H2228" s="13" t="n">
        <x:f>F2228-G2228</x:f>
        <x:v>635.76</x:v>
      </x:c>
      <x:c r="I2228" s="13" t="n">
        <x:f>IF(C2228=0,"n.a.",F2228/C2228)</x:f>
        <x:v>321.205</x:v>
      </x:c>
      <x:c r="J2228" s="3"/>
      <x:c r="K2228" s="3"/>
      <x:c r="L2228" s="3"/>
    </x:row>
    <x:row r="2229" ht="22" customHeight="1">
      <x:c r="A2229" s="3"/>
      <x:c r="B2229" s="3" t="str">
        <x:v>15773</x:v>
      </x:c>
      <x:c r="C2229" s="3" t="n">
        <x:v>1</x:v>
      </x:c>
      <x:c r="D2229" s="51" t="n">
        <x:v>40881</x:v>
      </x:c>
      <x:c r="E2229" s="3" t="str">
        <x:v>Una compra</x:v>
      </x:c>
      <x:c r="F2229" s="13" t="n">
        <x:v>635.68</x:v>
      </x:c>
      <x:c r="G2229" s="13" t="n">
        <x:v>0</x:v>
      </x:c>
      <x:c r="H2229" s="13" t="n">
        <x:f>F2229-G2229</x:f>
        <x:v>635.68</x:v>
      </x:c>
      <x:c r="I2229" s="13" t="n">
        <x:f>IF(C2229=0,"n.a.",F2229/C2229)</x:f>
        <x:v>635.68</x:v>
      </x:c>
      <x:c r="J2229" s="3"/>
      <x:c r="K2229" s="3"/>
      <x:c r="L2229" s="3"/>
    </x:row>
    <x:row r="2230" ht="22" customHeight="1">
      <x:c r="A2230" s="3"/>
      <x:c r="B2230" s="3" t="str">
        <x:v>16139</x:v>
      </x:c>
      <x:c r="C2230" s="3" t="n">
        <x:v>3</x:v>
      </x:c>
      <x:c r="D2230" s="51" t="n">
        <x:v>40868</x:v>
      </x:c>
      <x:c r="E2230" s="3" t="str">
        <x:v>Recurrente</x:v>
      </x:c>
      <x:c r="F2230" s="13" t="n">
        <x:v>635.41</x:v>
      </x:c>
      <x:c r="G2230" s="13" t="n">
        <x:v>0</x:v>
      </x:c>
      <x:c r="H2230" s="13" t="n">
        <x:f>F2230-G2230</x:f>
        <x:v>635.41</x:v>
      </x:c>
      <x:c r="I2230" s="13" t="n">
        <x:f>IF(C2230=0,"n.a.",F2230/C2230)</x:f>
        <x:v>211.8033333333333</x:v>
      </x:c>
      <x:c r="J2230" s="3"/>
      <x:c r="K2230" s="3"/>
      <x:c r="L2230" s="3"/>
    </x:row>
    <x:row r="2231" ht="22" customHeight="1">
      <x:c r="A2231" s="3"/>
      <x:c r="B2231" s="3" t="str">
        <x:v>15100</x:v>
      </x:c>
      <x:c r="C2231" s="3" t="n">
        <x:v>3</x:v>
      </x:c>
      <x:c r="D2231" s="51" t="n">
        <x:v>40553</x:v>
      </x:c>
      <x:c r="E2231" s="3" t="str">
        <x:v>Recurrente</x:v>
      </x:c>
      <x:c r="F2231" s="13" t="n">
        <x:v>876</x:v>
      </x:c>
      <x:c r="G2231" s="13" t="n">
        <x:v>240.9</x:v>
      </x:c>
      <x:c r="H2231" s="13" t="n">
        <x:f>F2231-G2231</x:f>
        <x:v>635.1</x:v>
      </x:c>
      <x:c r="I2231" s="13" t="n">
        <x:f>IF(C2231=0,"n.a.",F2231/C2231)</x:f>
        <x:v>292</x:v>
      </x:c>
      <x:c r="J2231" s="3"/>
      <x:c r="K2231" s="3"/>
      <x:c r="L2231" s="3"/>
    </x:row>
    <x:row r="2232" ht="22" customHeight="1">
      <x:c r="A2232" s="3"/>
      <x:c r="B2232" s="3" t="str">
        <x:v>15297</x:v>
      </x:c>
      <x:c r="C2232" s="3" t="n">
        <x:v>3</x:v>
      </x:c>
      <x:c r="D2232" s="51" t="n">
        <x:v>40876</x:v>
      </x:c>
      <x:c r="E2232" s="3" t="str">
        <x:v>Recurrente</x:v>
      </x:c>
      <x:c r="F2232" s="13" t="n">
        <x:v>641.94</x:v>
      </x:c>
      <x:c r="G2232" s="13" t="n">
        <x:v>6.9</x:v>
      </x:c>
      <x:c r="H2232" s="13" t="n">
        <x:f>F2232-G2232</x:f>
        <x:v>635.0400000000001</x:v>
      </x:c>
      <x:c r="I2232" s="13" t="n">
        <x:f>IF(C2232=0,"n.a.",F2232/C2232)</x:f>
        <x:v>213.98000000000002</x:v>
      </x:c>
      <x:c r="J2232" s="3"/>
      <x:c r="K2232" s="3"/>
      <x:c r="L2232" s="3"/>
    </x:row>
    <x:row r="2233" ht="22" customHeight="1">
      <x:c r="A2233" s="3"/>
      <x:c r="B2233" s="3" t="str">
        <x:v>17985</x:v>
      </x:c>
      <x:c r="C2233" s="3" t="n">
        <x:v>1</x:v>
      </x:c>
      <x:c r="D2233" s="51" t="n">
        <x:v>40864</x:v>
      </x:c>
      <x:c r="E2233" s="3" t="str">
        <x:v>Una compra</x:v>
      </x:c>
      <x:c r="F2233" s="13" t="n">
        <x:v>634.95</x:v>
      </x:c>
      <x:c r="G2233" s="13" t="n">
        <x:v>0</x:v>
      </x:c>
      <x:c r="H2233" s="13" t="n">
        <x:f>F2233-G2233</x:f>
        <x:v>634.95</x:v>
      </x:c>
      <x:c r="I2233" s="13" t="n">
        <x:f>IF(C2233=0,"n.a.",F2233/C2233)</x:f>
        <x:v>634.95</x:v>
      </x:c>
      <x:c r="J2233" s="3"/>
      <x:c r="K2233" s="3"/>
      <x:c r="L2233" s="3"/>
    </x:row>
    <x:row r="2234" ht="22" customHeight="1">
      <x:c r="A2234" s="3"/>
      <x:c r="B2234" s="3" t="str">
        <x:v>14000</x:v>
      </x:c>
      <x:c r="C2234" s="3" t="n">
        <x:v>1</x:v>
      </x:c>
      <x:c r="D2234" s="51" t="n">
        <x:v>40675</x:v>
      </x:c>
      <x:c r="E2234" s="3" t="str">
        <x:v>Una compra</x:v>
      </x:c>
      <x:c r="F2234" s="13" t="n">
        <x:v>635.66</x:v>
      </x:c>
      <x:c r="G2234" s="13" t="n">
        <x:v>1.95</x:v>
      </x:c>
      <x:c r="H2234" s="13" t="n">
        <x:f>F2234-G2234</x:f>
        <x:v>633.7099999999999</x:v>
      </x:c>
      <x:c r="I2234" s="13" t="n">
        <x:f>IF(C2234=0,"n.a.",F2234/C2234)</x:f>
        <x:v>635.66</x:v>
      </x:c>
      <x:c r="J2234" s="3"/>
      <x:c r="K2234" s="3"/>
      <x:c r="L2234" s="3"/>
    </x:row>
    <x:row r="2235" ht="22" customHeight="1">
      <x:c r="A2235" s="3"/>
      <x:c r="B2235" s="3" t="str">
        <x:v>15045</x:v>
      </x:c>
      <x:c r="C2235" s="3" t="n">
        <x:v>2</x:v>
      </x:c>
      <x:c r="D2235" s="51" t="n">
        <x:v>40735</x:v>
      </x:c>
      <x:c r="E2235" s="3" t="str">
        <x:v>Recurrente</x:v>
      </x:c>
      <x:c r="F2235" s="13" t="n">
        <x:v>735.66</x:v>
      </x:c>
      <x:c r="G2235" s="13" t="n">
        <x:v>102</x:v>
      </x:c>
      <x:c r="H2235" s="13" t="n">
        <x:f>F2235-G2235</x:f>
        <x:v>633.66</x:v>
      </x:c>
      <x:c r="I2235" s="13" t="n">
        <x:f>IF(C2235=0,"n.a.",F2235/C2235)</x:f>
        <x:v>367.83</x:v>
      </x:c>
      <x:c r="J2235" s="3"/>
      <x:c r="K2235" s="3"/>
      <x:c r="L2235" s="3"/>
    </x:row>
    <x:row r="2236" ht="22" customHeight="1">
      <x:c r="A2236" s="3"/>
      <x:c r="B2236" s="3" t="str">
        <x:v>13892</x:v>
      </x:c>
      <x:c r="C2236" s="3" t="n">
        <x:v>4</x:v>
      </x:c>
      <x:c r="D2236" s="51" t="n">
        <x:v>40860</x:v>
      </x:c>
      <x:c r="E2236" s="3" t="str">
        <x:v>Recurrente</x:v>
      </x:c>
      <x:c r="F2236" s="13" t="n">
        <x:v>632.97</x:v>
      </x:c>
      <x:c r="G2236" s="13" t="n">
        <x:v>0</x:v>
      </x:c>
      <x:c r="H2236" s="13" t="n">
        <x:f>F2236-G2236</x:f>
        <x:v>632.97</x:v>
      </x:c>
      <x:c r="I2236" s="13" t="n">
        <x:f>IF(C2236=0,"n.a.",F2236/C2236)</x:f>
        <x:v>158.2425</x:v>
      </x:c>
      <x:c r="J2236" s="3"/>
      <x:c r="K2236" s="3"/>
      <x:c r="L2236" s="3"/>
    </x:row>
    <x:row r="2237" ht="22" customHeight="1">
      <x:c r="A2237" s="3"/>
      <x:c r="B2237" s="3" t="str">
        <x:v>14220</x:v>
      </x:c>
      <x:c r="C2237" s="3" t="n">
        <x:v>2</x:v>
      </x:c>
      <x:c r="D2237" s="51" t="n">
        <x:v>40639</x:v>
      </x:c>
      <x:c r="E2237" s="3" t="str">
        <x:v>Recurrente</x:v>
      </x:c>
      <x:c r="F2237" s="13" t="n">
        <x:v>632.4</x:v>
      </x:c>
      <x:c r="G2237" s="13" t="n">
        <x:v>0</x:v>
      </x:c>
      <x:c r="H2237" s="13" t="n">
        <x:f>F2237-G2237</x:f>
        <x:v>632.4</x:v>
      </x:c>
      <x:c r="I2237" s="13" t="n">
        <x:f>IF(C2237=0,"n.a.",F2237/C2237)</x:f>
        <x:v>316.2</x:v>
      </x:c>
      <x:c r="J2237" s="3"/>
      <x:c r="K2237" s="3"/>
      <x:c r="L2237" s="3"/>
    </x:row>
    <x:row r="2238" ht="22" customHeight="1">
      <x:c r="A2238" s="3"/>
      <x:c r="B2238" s="3" t="str">
        <x:v>12658</x:v>
      </x:c>
      <x:c r="C2238" s="3" t="n">
        <x:v>1</x:v>
      </x:c>
      <x:c r="D2238" s="51" t="n">
        <x:v>40868</x:v>
      </x:c>
      <x:c r="E2238" s="3" t="str">
        <x:v>Una compra</x:v>
      </x:c>
      <x:c r="F2238" s="13" t="n">
        <x:v>632.05</x:v>
      </x:c>
      <x:c r="G2238" s="13" t="n">
        <x:v>0</x:v>
      </x:c>
      <x:c r="H2238" s="13" t="n">
        <x:f>F2238-G2238</x:f>
        <x:v>632.05</x:v>
      </x:c>
      <x:c r="I2238" s="13" t="n">
        <x:f>IF(C2238=0,"n.a.",F2238/C2238)</x:f>
        <x:v>632.05</x:v>
      </x:c>
      <x:c r="J2238" s="3"/>
      <x:c r="K2238" s="3"/>
      <x:c r="L2238" s="3"/>
    </x:row>
    <x:row r="2239" ht="22" customHeight="1">
      <x:c r="A2239" s="3"/>
      <x:c r="B2239" s="3" t="str">
        <x:v>14301</x:v>
      </x:c>
      <x:c r="C2239" s="3" t="n">
        <x:v>1</x:v>
      </x:c>
      <x:c r="D2239" s="51" t="n">
        <x:v>40769</x:v>
      </x:c>
      <x:c r="E2239" s="3" t="str">
        <x:v>Una compra</x:v>
      </x:c>
      <x:c r="F2239" s="13" t="n">
        <x:v>640.14</x:v>
      </x:c>
      <x:c r="G2239" s="13" t="n">
        <x:v>8.1</x:v>
      </x:c>
      <x:c r="H2239" s="13" t="n">
        <x:f>F2239-G2239</x:f>
        <x:v>632.04</x:v>
      </x:c>
      <x:c r="I2239" s="13" t="n">
        <x:f>IF(C2239=0,"n.a.",F2239/C2239)</x:f>
        <x:v>640.14</x:v>
      </x:c>
      <x:c r="J2239" s="3"/>
      <x:c r="K2239" s="3"/>
      <x:c r="L2239" s="3"/>
    </x:row>
    <x:row r="2240" ht="22" customHeight="1">
      <x:c r="A2240" s="3"/>
      <x:c r="B2240" s="3" t="str">
        <x:v>13822</x:v>
      </x:c>
      <x:c r="C2240" s="3" t="n">
        <x:v>2</x:v>
      </x:c>
      <x:c r="D2240" s="51" t="n">
        <x:v>40881</x:v>
      </x:c>
      <x:c r="E2240" s="3" t="str">
        <x:v>Recurrente</x:v>
      </x:c>
      <x:c r="F2240" s="13" t="n">
        <x:v>632</x:v>
      </x:c>
      <x:c r="G2240" s="13" t="n">
        <x:v>0</x:v>
      </x:c>
      <x:c r="H2240" s="13" t="n">
        <x:f>F2240-G2240</x:f>
        <x:v>632</x:v>
      </x:c>
      <x:c r="I2240" s="13" t="n">
        <x:f>IF(C2240=0,"n.a.",F2240/C2240)</x:f>
        <x:v>316</x:v>
      </x:c>
      <x:c r="J2240" s="3"/>
      <x:c r="K2240" s="3"/>
      <x:c r="L2240" s="3"/>
    </x:row>
    <x:row r="2241" ht="22" customHeight="1">
      <x:c r="A2241" s="3"/>
      <x:c r="B2241" s="3" t="str">
        <x:v>14021</x:v>
      </x:c>
      <x:c r="C2241" s="3" t="n">
        <x:v>3</x:v>
      </x:c>
      <x:c r="D2241" s="51" t="n">
        <x:v>40731</x:v>
      </x:c>
      <x:c r="E2241" s="3" t="str">
        <x:v>Recurrente</x:v>
      </x:c>
      <x:c r="F2241" s="13" t="n">
        <x:v>631.9</x:v>
      </x:c>
      <x:c r="G2241" s="13" t="n">
        <x:v>0</x:v>
      </x:c>
      <x:c r="H2241" s="13" t="n">
        <x:f>F2241-G2241</x:f>
        <x:v>631.9</x:v>
      </x:c>
      <x:c r="I2241" s="13" t="n">
        <x:f>IF(C2241=0,"n.a.",F2241/C2241)</x:f>
        <x:v>210.63333333333333</x:v>
      </x:c>
      <x:c r="J2241" s="3"/>
      <x:c r="K2241" s="3"/>
      <x:c r="L2241" s="3"/>
    </x:row>
    <x:row r="2242" ht="22" customHeight="1">
      <x:c r="A2242" s="3"/>
      <x:c r="B2242" s="3" t="str">
        <x:v>15244</x:v>
      </x:c>
      <x:c r="C2242" s="3" t="n">
        <x:v>2</x:v>
      </x:c>
      <x:c r="D2242" s="51" t="n">
        <x:v>40821</x:v>
      </x:c>
      <x:c r="E2242" s="3" t="str">
        <x:v>Recurrente</x:v>
      </x:c>
      <x:c r="F2242" s="13" t="n">
        <x:v>631.57</x:v>
      </x:c>
      <x:c r="G2242" s="13" t="n">
        <x:v>0</x:v>
      </x:c>
      <x:c r="H2242" s="13" t="n">
        <x:f>F2242-G2242</x:f>
        <x:v>631.57</x:v>
      </x:c>
      <x:c r="I2242" s="13" t="n">
        <x:f>IF(C2242=0,"n.a.",F2242/C2242)</x:f>
        <x:v>315.785</x:v>
      </x:c>
      <x:c r="J2242" s="3"/>
      <x:c r="K2242" s="3"/>
      <x:c r="L2242" s="3"/>
    </x:row>
    <x:row r="2243" ht="22" customHeight="1">
      <x:c r="A2243" s="3"/>
      <x:c r="B2243" s="3" t="str">
        <x:v>17990</x:v>
      </x:c>
      <x:c r="C2243" s="3" t="n">
        <x:v>3</x:v>
      </x:c>
      <x:c r="D2243" s="51" t="n">
        <x:v>40650</x:v>
      </x:c>
      <x:c r="E2243" s="3" t="str">
        <x:v>Recurrente</x:v>
      </x:c>
      <x:c r="F2243" s="13" t="n">
        <x:v>630.84</x:v>
      </x:c>
      <x:c r="G2243" s="13" t="n">
        <x:v>0</x:v>
      </x:c>
      <x:c r="H2243" s="13" t="n">
        <x:f>F2243-G2243</x:f>
        <x:v>630.84</x:v>
      </x:c>
      <x:c r="I2243" s="13" t="n">
        <x:f>IF(C2243=0,"n.a.",F2243/C2243)</x:f>
        <x:v>210.28</x:v>
      </x:c>
      <x:c r="J2243" s="3"/>
      <x:c r="K2243" s="3"/>
      <x:c r="L2243" s="3"/>
    </x:row>
    <x:row r="2244" ht="22" customHeight="1">
      <x:c r="A2244" s="3"/>
      <x:c r="B2244" s="3" t="str">
        <x:v>17994</x:v>
      </x:c>
      <x:c r="C2244" s="3" t="n">
        <x:v>4</x:v>
      </x:c>
      <x:c r="D2244" s="51" t="n">
        <x:v>40765</x:v>
      </x:c>
      <x:c r="E2244" s="3" t="str">
        <x:v>Recurrente</x:v>
      </x:c>
      <x:c r="F2244" s="13" t="n">
        <x:v>678.49</x:v>
      </x:c>
      <x:c r="G2244" s="13" t="n">
        <x:v>48.8</x:v>
      </x:c>
      <x:c r="H2244" s="13" t="n">
        <x:f>F2244-G2244</x:f>
        <x:v>629.69</x:v>
      </x:c>
      <x:c r="I2244" s="13" t="n">
        <x:f>IF(C2244=0,"n.a.",F2244/C2244)</x:f>
        <x:v>169.6225</x:v>
      </x:c>
      <x:c r="J2244" s="3"/>
      <x:c r="K2244" s="3"/>
      <x:c r="L2244" s="3"/>
    </x:row>
    <x:row r="2245" ht="22" customHeight="1">
      <x:c r="A2245" s="3"/>
      <x:c r="B2245" s="3" t="str">
        <x:v>13046</x:v>
      </x:c>
      <x:c r="C2245" s="3" t="n">
        <x:v>2</x:v>
      </x:c>
      <x:c r="D2245" s="51" t="n">
        <x:v>40856</x:v>
      </x:c>
      <x:c r="E2245" s="3" t="str">
        <x:v>Recurrente</x:v>
      </x:c>
      <x:c r="F2245" s="13" t="n">
        <x:v>629.31</x:v>
      </x:c>
      <x:c r="G2245" s="13" t="n">
        <x:v>0</x:v>
      </x:c>
      <x:c r="H2245" s="13" t="n">
        <x:f>F2245-G2245</x:f>
        <x:v>629.31</x:v>
      </x:c>
      <x:c r="I2245" s="13" t="n">
        <x:f>IF(C2245=0,"n.a.",F2245/C2245)</x:f>
        <x:v>314.655</x:v>
      </x:c>
      <x:c r="J2245" s="3"/>
      <x:c r="K2245" s="3"/>
      <x:c r="L2245" s="3"/>
    </x:row>
    <x:row r="2246" ht="22" customHeight="1">
      <x:c r="A2246" s="3"/>
      <x:c r="B2246" s="3" t="str">
        <x:v>13525</x:v>
      </x:c>
      <x:c r="C2246" s="3" t="n">
        <x:v>2</x:v>
      </x:c>
      <x:c r="D2246" s="51" t="n">
        <x:v>40872</x:v>
      </x:c>
      <x:c r="E2246" s="3" t="str">
        <x:v>Recurrente</x:v>
      </x:c>
      <x:c r="F2246" s="13" t="n">
        <x:v>628.78</x:v>
      </x:c>
      <x:c r="G2246" s="13" t="n">
        <x:v>0</x:v>
      </x:c>
      <x:c r="H2246" s="13" t="n">
        <x:f>F2246-G2246</x:f>
        <x:v>628.78</x:v>
      </x:c>
      <x:c r="I2246" s="13" t="n">
        <x:f>IF(C2246=0,"n.a.",F2246/C2246)</x:f>
        <x:v>314.39</x:v>
      </x:c>
      <x:c r="J2246" s="3"/>
      <x:c r="K2246" s="3"/>
      <x:c r="L2246" s="3"/>
    </x:row>
    <x:row r="2247" ht="22" customHeight="1">
      <x:c r="A2247" s="3"/>
      <x:c r="B2247" s="3" t="str">
        <x:v>14687</x:v>
      </x:c>
      <x:c r="C2247" s="3" t="n">
        <x:v>1</x:v>
      </x:c>
      <x:c r="D2247" s="51" t="n">
        <x:v>40780</x:v>
      </x:c>
      <x:c r="E2247" s="3" t="str">
        <x:v>Una compra</x:v>
      </x:c>
      <x:c r="F2247" s="13" t="n">
        <x:v>628.38</x:v>
      </x:c>
      <x:c r="G2247" s="13" t="n">
        <x:v>0</x:v>
      </x:c>
      <x:c r="H2247" s="13" t="n">
        <x:f>F2247-G2247</x:f>
        <x:v>628.38</x:v>
      </x:c>
      <x:c r="I2247" s="13" t="n">
        <x:f>IF(C2247=0,"n.a.",F2247/C2247)</x:f>
        <x:v>628.38</x:v>
      </x:c>
      <x:c r="J2247" s="3"/>
      <x:c r="K2247" s="3"/>
      <x:c r="L2247" s="3"/>
    </x:row>
    <x:row r="2248" ht="22" customHeight="1">
      <x:c r="A2248" s="3"/>
      <x:c r="B2248" s="3" t="str">
        <x:v>16022</x:v>
      </x:c>
      <x:c r="C2248" s="3" t="n">
        <x:v>1</x:v>
      </x:c>
      <x:c r="D2248" s="51" t="n">
        <x:v>40626</x:v>
      </x:c>
      <x:c r="E2248" s="3" t="str">
        <x:v>Una compra</x:v>
      </x:c>
      <x:c r="F2248" s="13" t="n">
        <x:v>628.28</x:v>
      </x:c>
      <x:c r="G2248" s="13" t="n">
        <x:v>0</x:v>
      </x:c>
      <x:c r="H2248" s="13" t="n">
        <x:f>F2248-G2248</x:f>
        <x:v>628.28</x:v>
      </x:c>
      <x:c r="I2248" s="13" t="n">
        <x:f>IF(C2248=0,"n.a.",F2248/C2248)</x:f>
        <x:v>628.28</x:v>
      </x:c>
      <x:c r="J2248" s="3"/>
      <x:c r="K2248" s="3"/>
      <x:c r="L2248" s="3"/>
    </x:row>
    <x:row r="2249" ht="22" customHeight="1">
      <x:c r="A2249" s="3"/>
      <x:c r="B2249" s="3" t="str">
        <x:v>13388</x:v>
      </x:c>
      <x:c r="C2249" s="3" t="n">
        <x:v>2</x:v>
      </x:c>
      <x:c r="D2249" s="51" t="n">
        <x:v>40755</x:v>
      </x:c>
      <x:c r="E2249" s="3" t="str">
        <x:v>Recurrente</x:v>
      </x:c>
      <x:c r="F2249" s="13" t="n">
        <x:v>677.1</x:v>
      </x:c>
      <x:c r="G2249" s="13" t="n">
        <x:v>49.95</x:v>
      </x:c>
      <x:c r="H2249" s="13" t="n">
        <x:f>F2249-G2249</x:f>
        <x:v>627.15</x:v>
      </x:c>
      <x:c r="I2249" s="13" t="n">
        <x:f>IF(C2249=0,"n.a.",F2249/C2249)</x:f>
        <x:v>338.55</x:v>
      </x:c>
      <x:c r="J2249" s="3"/>
      <x:c r="K2249" s="3"/>
      <x:c r="L2249" s="3"/>
    </x:row>
    <x:row r="2250" ht="22" customHeight="1">
      <x:c r="A2250" s="3"/>
      <x:c r="B2250" s="3" t="str">
        <x:v>15028</x:v>
      </x:c>
      <x:c r="C2250" s="3" t="n">
        <x:v>4</x:v>
      </x:c>
      <x:c r="D2250" s="51" t="n">
        <x:v>40878</x:v>
      </x:c>
      <x:c r="E2250" s="3" t="str">
        <x:v>Recurrente</x:v>
      </x:c>
      <x:c r="F2250" s="13" t="n">
        <x:v>627.13</x:v>
      </x:c>
      <x:c r="G2250" s="13" t="n">
        <x:v>0</x:v>
      </x:c>
      <x:c r="H2250" s="13" t="n">
        <x:f>F2250-G2250</x:f>
        <x:v>627.13</x:v>
      </x:c>
      <x:c r="I2250" s="13" t="n">
        <x:f>IF(C2250=0,"n.a.",F2250/C2250)</x:f>
        <x:v>156.7825</x:v>
      </x:c>
      <x:c r="J2250" s="3"/>
      <x:c r="K2250" s="3"/>
      <x:c r="L2250" s="3"/>
    </x:row>
    <x:row r="2251" ht="22" customHeight="1">
      <x:c r="A2251" s="3"/>
      <x:c r="B2251" s="3" t="str">
        <x:v>13546</x:v>
      </x:c>
      <x:c r="C2251" s="3" t="n">
        <x:v>3</x:v>
      </x:c>
      <x:c r="D2251" s="51" t="n">
        <x:v>40874</x:v>
      </x:c>
      <x:c r="E2251" s="3" t="str">
        <x:v>Recurrente</x:v>
      </x:c>
      <x:c r="F2251" s="13" t="n">
        <x:v>626.99</x:v>
      </x:c>
      <x:c r="G2251" s="13" t="n">
        <x:v>0</x:v>
      </x:c>
      <x:c r="H2251" s="13" t="n">
        <x:f>F2251-G2251</x:f>
        <x:v>626.99</x:v>
      </x:c>
      <x:c r="I2251" s="13" t="n">
        <x:f>IF(C2251=0,"n.a.",F2251/C2251)</x:f>
        <x:v>208.99666666666667</x:v>
      </x:c>
      <x:c r="J2251" s="3"/>
      <x:c r="K2251" s="3"/>
      <x:c r="L2251" s="3"/>
    </x:row>
    <x:row r="2252" ht="22" customHeight="1">
      <x:c r="A2252" s="3"/>
      <x:c r="B2252" s="3" t="str">
        <x:v>12461</x:v>
      </x:c>
      <x:c r="C2252" s="3" t="n">
        <x:v>1</x:v>
      </x:c>
      <x:c r="D2252" s="51" t="n">
        <x:v>40732</x:v>
      </x:c>
      <x:c r="E2252" s="3" t="str">
        <x:v>Una compra</x:v>
      </x:c>
      <x:c r="F2252" s="13" t="n">
        <x:v>626.88</x:v>
      </x:c>
      <x:c r="G2252" s="13" t="n">
        <x:v>0</x:v>
      </x:c>
      <x:c r="H2252" s="13" t="n">
        <x:f>F2252-G2252</x:f>
        <x:v>626.88</x:v>
      </x:c>
      <x:c r="I2252" s="13" t="n">
        <x:f>IF(C2252=0,"n.a.",F2252/C2252)</x:f>
        <x:v>626.88</x:v>
      </x:c>
      <x:c r="J2252" s="3"/>
      <x:c r="K2252" s="3"/>
      <x:c r="L2252" s="3"/>
    </x:row>
    <x:row r="2253" ht="22" customHeight="1">
      <x:c r="A2253" s="3"/>
      <x:c r="B2253" s="3" t="str">
        <x:v>14036</x:v>
      </x:c>
      <x:c r="C2253" s="3" t="n">
        <x:v>1</x:v>
      </x:c>
      <x:c r="D2253" s="51" t="n">
        <x:v>40602</x:v>
      </x:c>
      <x:c r="E2253" s="3" t="str">
        <x:v>Una compra</x:v>
      </x:c>
      <x:c r="F2253" s="13" t="n">
        <x:v>626.65</x:v>
      </x:c>
      <x:c r="G2253" s="13" t="n">
        <x:v>0</x:v>
      </x:c>
      <x:c r="H2253" s="13" t="n">
        <x:f>F2253-G2253</x:f>
        <x:v>626.65</x:v>
      </x:c>
      <x:c r="I2253" s="13" t="n">
        <x:f>IF(C2253=0,"n.a.",F2253/C2253)</x:f>
        <x:v>626.65</x:v>
      </x:c>
      <x:c r="J2253" s="3"/>
      <x:c r="K2253" s="3"/>
      <x:c r="L2253" s="3"/>
    </x:row>
    <x:row r="2254" ht="22" customHeight="1">
      <x:c r="A2254" s="3"/>
      <x:c r="B2254" s="3" t="str">
        <x:v>18218</x:v>
      </x:c>
      <x:c r="C2254" s="3" t="n">
        <x:v>2</x:v>
      </x:c>
      <x:c r="D2254" s="51" t="n">
        <x:v>40675</x:v>
      </x:c>
      <x:c r="E2254" s="3" t="str">
        <x:v>Recurrente</x:v>
      </x:c>
      <x:c r="F2254" s="13" t="n">
        <x:v>662.08</x:v>
      </x:c>
      <x:c r="G2254" s="13" t="n">
        <x:v>35.7</x:v>
      </x:c>
      <x:c r="H2254" s="13" t="n">
        <x:f>F2254-G2254</x:f>
        <x:v>626.38</x:v>
      </x:c>
      <x:c r="I2254" s="13" t="n">
        <x:f>IF(C2254=0,"n.a.",F2254/C2254)</x:f>
        <x:v>331.04</x:v>
      </x:c>
      <x:c r="J2254" s="3"/>
      <x:c r="K2254" s="3"/>
      <x:c r="L2254" s="3"/>
    </x:row>
    <x:row r="2255" ht="22" customHeight="1">
      <x:c r="A2255" s="3"/>
      <x:c r="B2255" s="3" t="str">
        <x:v>15402</x:v>
      </x:c>
      <x:c r="C2255" s="3" t="n">
        <x:v>2</x:v>
      </x:c>
      <x:c r="D2255" s="51" t="n">
        <x:v>40738</x:v>
      </x:c>
      <x:c r="E2255" s="3" t="str">
        <x:v>Recurrente</x:v>
      </x:c>
      <x:c r="F2255" s="13" t="n">
        <x:v>626.35</x:v>
      </x:c>
      <x:c r="G2255" s="13" t="n">
        <x:v>0</x:v>
      </x:c>
      <x:c r="H2255" s="13" t="n">
        <x:f>F2255-G2255</x:f>
        <x:v>626.35</x:v>
      </x:c>
      <x:c r="I2255" s="13" t="n">
        <x:f>IF(C2255=0,"n.a.",F2255/C2255)</x:f>
        <x:v>313.175</x:v>
      </x:c>
      <x:c r="J2255" s="3"/>
      <x:c r="K2255" s="3"/>
      <x:c r="L2255" s="3"/>
    </x:row>
    <x:row r="2256" ht="22" customHeight="1">
      <x:c r="A2256" s="3"/>
      <x:c r="B2256" s="3" t="str">
        <x:v>14382</x:v>
      </x:c>
      <x:c r="C2256" s="3" t="n">
        <x:v>1</x:v>
      </x:c>
      <x:c r="D2256" s="51" t="n">
        <x:v>40860</x:v>
      </x:c>
      <x:c r="E2256" s="3" t="str">
        <x:v>Una compra</x:v>
      </x:c>
      <x:c r="F2256" s="13" t="n">
        <x:v>626.07</x:v>
      </x:c>
      <x:c r="G2256" s="13" t="n">
        <x:v>0</x:v>
      </x:c>
      <x:c r="H2256" s="13" t="n">
        <x:f>F2256-G2256</x:f>
        <x:v>626.07</x:v>
      </x:c>
      <x:c r="I2256" s="13" t="n">
        <x:f>IF(C2256=0,"n.a.",F2256/C2256)</x:f>
        <x:v>626.07</x:v>
      </x:c>
      <x:c r="J2256" s="3"/>
      <x:c r="K2256" s="3"/>
      <x:c r="L2256" s="3"/>
    </x:row>
    <x:row r="2257" ht="22" customHeight="1">
      <x:c r="A2257" s="3"/>
      <x:c r="B2257" s="3" t="str">
        <x:v>16750</x:v>
      </x:c>
      <x:c r="C2257" s="3" t="n">
        <x:v>5</x:v>
      </x:c>
      <x:c r="D2257" s="51" t="n">
        <x:v>40842</x:v>
      </x:c>
      <x:c r="E2257" s="3" t="str">
        <x:v>Recurrente</x:v>
      </x:c>
      <x:c r="F2257" s="13" t="n">
        <x:v>623.93</x:v>
      </x:c>
      <x:c r="G2257" s="13" t="n">
        <x:v>0</x:v>
      </x:c>
      <x:c r="H2257" s="13" t="n">
        <x:f>F2257-G2257</x:f>
        <x:v>623.93</x:v>
      </x:c>
      <x:c r="I2257" s="13" t="n">
        <x:f>IF(C2257=0,"n.a.",F2257/C2257)</x:f>
        <x:v>124.78599999999999</x:v>
      </x:c>
      <x:c r="J2257" s="3"/>
      <x:c r="K2257" s="3"/>
      <x:c r="L2257" s="3"/>
    </x:row>
    <x:row r="2258" ht="22" customHeight="1">
      <x:c r="A2258" s="3"/>
      <x:c r="B2258" s="3" t="str">
        <x:v>16718</x:v>
      </x:c>
      <x:c r="C2258" s="3" t="n">
        <x:v>1</x:v>
      </x:c>
      <x:c r="D2258" s="51" t="n">
        <x:v>40517</x:v>
      </x:c>
      <x:c r="E2258" s="3" t="str">
        <x:v>Una compra</x:v>
      </x:c>
      <x:c r="F2258" s="13" t="n">
        <x:v>623.75</x:v>
      </x:c>
      <x:c r="G2258" s="13" t="n">
        <x:v>0</x:v>
      </x:c>
      <x:c r="H2258" s="13" t="n">
        <x:f>F2258-G2258</x:f>
        <x:v>623.75</x:v>
      </x:c>
      <x:c r="I2258" s="13" t="n">
        <x:f>IF(C2258=0,"n.a.",F2258/C2258)</x:f>
        <x:v>623.75</x:v>
      </x:c>
      <x:c r="J2258" s="3"/>
      <x:c r="K2258" s="3"/>
      <x:c r="L2258" s="3"/>
    </x:row>
    <x:row r="2259" ht="22" customHeight="1">
      <x:c r="A2259" s="3"/>
      <x:c r="B2259" s="3" t="str">
        <x:v>15258</x:v>
      </x:c>
      <x:c r="C2259" s="3" t="n">
        <x:v>2</x:v>
      </x:c>
      <x:c r="D2259" s="51" t="n">
        <x:v>40718</x:v>
      </x:c>
      <x:c r="E2259" s="3" t="str">
        <x:v>Recurrente</x:v>
      </x:c>
      <x:c r="F2259" s="13" t="n">
        <x:v>623.16</x:v>
      </x:c>
      <x:c r="G2259" s="13" t="n">
        <x:v>0</x:v>
      </x:c>
      <x:c r="H2259" s="13" t="n">
        <x:f>F2259-G2259</x:f>
        <x:v>623.16</x:v>
      </x:c>
      <x:c r="I2259" s="13" t="n">
        <x:f>IF(C2259=0,"n.a.",F2259/C2259)</x:f>
        <x:v>311.58</x:v>
      </x:c>
      <x:c r="J2259" s="3"/>
      <x:c r="K2259" s="3"/>
      <x:c r="L2259" s="3"/>
    </x:row>
    <x:row r="2260" ht="22" customHeight="1">
      <x:c r="A2260" s="3"/>
      <x:c r="B2260" s="3" t="str">
        <x:v>12374</x:v>
      </x:c>
      <x:c r="C2260" s="3" t="n">
        <x:v>1</x:v>
      </x:c>
      <x:c r="D2260" s="51" t="n">
        <x:v>40861</x:v>
      </x:c>
      <x:c r="E2260" s="3" t="str">
        <x:v>Una compra</x:v>
      </x:c>
      <x:c r="F2260" s="13" t="n">
        <x:v>622.93</x:v>
      </x:c>
      <x:c r="G2260" s="13" t="n">
        <x:v>0</x:v>
      </x:c>
      <x:c r="H2260" s="13" t="n">
        <x:f>F2260-G2260</x:f>
        <x:v>622.93</x:v>
      </x:c>
      <x:c r="I2260" s="13" t="n">
        <x:f>IF(C2260=0,"n.a.",F2260/C2260)</x:f>
        <x:v>622.93</x:v>
      </x:c>
      <x:c r="J2260" s="3"/>
      <x:c r="K2260" s="3"/>
      <x:c r="L2260" s="3"/>
    </x:row>
    <x:row r="2261" ht="22" customHeight="1">
      <x:c r="A2261" s="3"/>
      <x:c r="B2261" s="3" t="str">
        <x:v>17499</x:v>
      </x:c>
      <x:c r="C2261" s="3" t="n">
        <x:v>1</x:v>
      </x:c>
      <x:c r="D2261" s="51" t="n">
        <x:v>40597</x:v>
      </x:c>
      <x:c r="E2261" s="3" t="str">
        <x:v>Una compra</x:v>
      </x:c>
      <x:c r="F2261" s="13" t="n">
        <x:v>622.88</x:v>
      </x:c>
      <x:c r="G2261" s="13" t="n">
        <x:v>0</x:v>
      </x:c>
      <x:c r="H2261" s="13" t="n">
        <x:f>F2261-G2261</x:f>
        <x:v>622.88</x:v>
      </x:c>
      <x:c r="I2261" s="13" t="n">
        <x:f>IF(C2261=0,"n.a.",F2261/C2261)</x:f>
        <x:v>622.88</x:v>
      </x:c>
      <x:c r="J2261" s="3"/>
      <x:c r="K2261" s="3"/>
      <x:c r="L2261" s="3"/>
    </x:row>
    <x:row r="2262" ht="22" customHeight="1">
      <x:c r="A2262" s="3"/>
      <x:c r="B2262" s="3" t="str">
        <x:v>15182</x:v>
      </x:c>
      <x:c r="C2262" s="3" t="n">
        <x:v>2</x:v>
      </x:c>
      <x:c r="D2262" s="51" t="n">
        <x:v>40732</x:v>
      </x:c>
      <x:c r="E2262" s="3" t="str">
        <x:v>Recurrente</x:v>
      </x:c>
      <x:c r="F2262" s="13" t="n">
        <x:v>622.85</x:v>
      </x:c>
      <x:c r="G2262" s="13" t="n">
        <x:v>0</x:v>
      </x:c>
      <x:c r="H2262" s="13" t="n">
        <x:f>F2262-G2262</x:f>
        <x:v>622.85</x:v>
      </x:c>
      <x:c r="I2262" s="13" t="n">
        <x:f>IF(C2262=0,"n.a.",F2262/C2262)</x:f>
        <x:v>311.425</x:v>
      </x:c>
      <x:c r="J2262" s="3"/>
      <x:c r="K2262" s="3"/>
      <x:c r="L2262" s="3"/>
    </x:row>
    <x:row r="2263" ht="22" customHeight="1">
      <x:c r="A2263" s="3"/>
      <x:c r="B2263" s="3" t="str">
        <x:v>17867</x:v>
      </x:c>
      <x:c r="C2263" s="3" t="n">
        <x:v>6</x:v>
      </x:c>
      <x:c r="D2263" s="51" t="n">
        <x:v>40856</x:v>
      </x:c>
      <x:c r="E2263" s="3" t="str">
        <x:v>Recurrente</x:v>
      </x:c>
      <x:c r="F2263" s="13" t="n">
        <x:v>1197.1</x:v>
      </x:c>
      <x:c r="G2263" s="13" t="n">
        <x:v>574.35</x:v>
      </x:c>
      <x:c r="H2263" s="13" t="n">
        <x:f>F2263-G2263</x:f>
        <x:v>622.7499999999999</x:v>
      </x:c>
      <x:c r="I2263" s="13" t="n">
        <x:f>IF(C2263=0,"n.a.",F2263/C2263)</x:f>
        <x:v>199.51666666666665</x:v>
      </x:c>
      <x:c r="J2263" s="3"/>
      <x:c r="K2263" s="3"/>
      <x:c r="L2263" s="3"/>
    </x:row>
    <x:row r="2264" ht="22" customHeight="1">
      <x:c r="A2264" s="3"/>
      <x:c r="B2264" s="3" t="str">
        <x:v>15768</x:v>
      </x:c>
      <x:c r="C2264" s="3" t="n">
        <x:v>3</x:v>
      </x:c>
      <x:c r="D2264" s="51" t="n">
        <x:v>40771</x:v>
      </x:c>
      <x:c r="E2264" s="3" t="str">
        <x:v>Recurrente</x:v>
      </x:c>
      <x:c r="F2264" s="13" t="n">
        <x:v>621.83</x:v>
      </x:c>
      <x:c r="G2264" s="13" t="n">
        <x:v>0</x:v>
      </x:c>
      <x:c r="H2264" s="13" t="n">
        <x:f>F2264-G2264</x:f>
        <x:v>621.83</x:v>
      </x:c>
      <x:c r="I2264" s="13" t="n">
        <x:f>IF(C2264=0,"n.a.",F2264/C2264)</x:f>
        <x:v>207.27666666666667</x:v>
      </x:c>
      <x:c r="J2264" s="3"/>
      <x:c r="K2264" s="3"/>
      <x:c r="L2264" s="3"/>
    </x:row>
    <x:row r="2265" ht="22" customHeight="1">
      <x:c r="A2265" s="3"/>
      <x:c r="B2265" s="3" t="str">
        <x:v>18217</x:v>
      </x:c>
      <x:c r="C2265" s="3" t="n">
        <x:v>2</x:v>
      </x:c>
      <x:c r="D2265" s="51" t="n">
        <x:v>40857</x:v>
      </x:c>
      <x:c r="E2265" s="3" t="str">
        <x:v>Recurrente</x:v>
      </x:c>
      <x:c r="F2265" s="13" t="n">
        <x:v>621.75</x:v>
      </x:c>
      <x:c r="G2265" s="13" t="n">
        <x:v>0</x:v>
      </x:c>
      <x:c r="H2265" s="13" t="n">
        <x:f>F2265-G2265</x:f>
        <x:v>621.75</x:v>
      </x:c>
      <x:c r="I2265" s="13" t="n">
        <x:f>IF(C2265=0,"n.a.",F2265/C2265)</x:f>
        <x:v>310.875</x:v>
      </x:c>
      <x:c r="J2265" s="3"/>
      <x:c r="K2265" s="3"/>
      <x:c r="L2265" s="3"/>
    </x:row>
    <x:row r="2266" ht="22" customHeight="1">
      <x:c r="A2266" s="3"/>
      <x:c r="B2266" s="3" t="str">
        <x:v>16915</x:v>
      </x:c>
      <x:c r="C2266" s="3" t="n">
        <x:v>6</x:v>
      </x:c>
      <x:c r="D2266" s="51" t="n">
        <x:v>40877</x:v>
      </x:c>
      <x:c r="E2266" s="3" t="str">
        <x:v>Recurrente</x:v>
      </x:c>
      <x:c r="F2266" s="13" t="n">
        <x:v>621.68</x:v>
      </x:c>
      <x:c r="G2266" s="13" t="n">
        <x:v>0</x:v>
      </x:c>
      <x:c r="H2266" s="13" t="n">
        <x:f>F2266-G2266</x:f>
        <x:v>621.68</x:v>
      </x:c>
      <x:c r="I2266" s="13" t="n">
        <x:f>IF(C2266=0,"n.a.",F2266/C2266)</x:f>
        <x:v>103.61333333333333</x:v>
      </x:c>
      <x:c r="J2266" s="3"/>
      <x:c r="K2266" s="3"/>
      <x:c r="L2266" s="3"/>
    </x:row>
    <x:row r="2267" ht="22" customHeight="1">
      <x:c r="A2267" s="3"/>
      <x:c r="B2267" s="3" t="str">
        <x:v>17640</x:v>
      </x:c>
      <x:c r="C2267" s="3" t="n">
        <x:v>1</x:v>
      </x:c>
      <x:c r="D2267" s="51" t="n">
        <x:v>40800</x:v>
      </x:c>
      <x:c r="E2267" s="3" t="str">
        <x:v>Una compra</x:v>
      </x:c>
      <x:c r="F2267" s="13" t="n">
        <x:v>621.66</x:v>
      </x:c>
      <x:c r="G2267" s="13" t="n">
        <x:v>0</x:v>
      </x:c>
      <x:c r="H2267" s="13" t="n">
        <x:f>F2267-G2267</x:f>
        <x:v>621.66</x:v>
      </x:c>
      <x:c r="I2267" s="13" t="n">
        <x:f>IF(C2267=0,"n.a.",F2267/C2267)</x:f>
        <x:v>621.66</x:v>
      </x:c>
      <x:c r="J2267" s="3"/>
      <x:c r="K2267" s="3"/>
      <x:c r="L2267" s="3"/>
    </x:row>
    <x:row r="2268" ht="22" customHeight="1">
      <x:c r="A2268" s="3"/>
      <x:c r="B2268" s="3" t="str">
        <x:v>13402</x:v>
      </x:c>
      <x:c r="C2268" s="3" t="n">
        <x:v>2</x:v>
      </x:c>
      <x:c r="D2268" s="51" t="n">
        <x:v>40759</x:v>
      </x:c>
      <x:c r="E2268" s="3" t="str">
        <x:v>Recurrente</x:v>
      </x:c>
      <x:c r="F2268" s="13" t="n">
        <x:v>621.23</x:v>
      </x:c>
      <x:c r="G2268" s="13" t="n">
        <x:v>0</x:v>
      </x:c>
      <x:c r="H2268" s="13" t="n">
        <x:f>F2268-G2268</x:f>
        <x:v>621.23</x:v>
      </x:c>
      <x:c r="I2268" s="13" t="n">
        <x:f>IF(C2268=0,"n.a.",F2268/C2268)</x:f>
        <x:v>310.615</x:v>
      </x:c>
      <x:c r="J2268" s="3"/>
      <x:c r="K2268" s="3"/>
      <x:c r="L2268" s="3"/>
    </x:row>
    <x:row r="2269" ht="22" customHeight="1">
      <x:c r="A2269" s="3"/>
      <x:c r="B2269" s="3" t="str">
        <x:v>16141</x:v>
      </x:c>
      <x:c r="C2269" s="3" t="n">
        <x:v>1</x:v>
      </x:c>
      <x:c r="D2269" s="51" t="n">
        <x:v>40798</x:v>
      </x:c>
      <x:c r="E2269" s="3" t="str">
        <x:v>Una compra</x:v>
      </x:c>
      <x:c r="F2269" s="13" t="n">
        <x:v>620.4</x:v>
      </x:c>
      <x:c r="G2269" s="13" t="n">
        <x:v>0</x:v>
      </x:c>
      <x:c r="H2269" s="13" t="n">
        <x:f>F2269-G2269</x:f>
        <x:v>620.4</x:v>
      </x:c>
      <x:c r="I2269" s="13" t="n">
        <x:f>IF(C2269=0,"n.a.",F2269/C2269)</x:f>
        <x:v>620.4</x:v>
      </x:c>
      <x:c r="J2269" s="3"/>
      <x:c r="K2269" s="3"/>
      <x:c r="L2269" s="3"/>
    </x:row>
    <x:row r="2270" ht="22" customHeight="1">
      <x:c r="A2270" s="3"/>
      <x:c r="B2270" s="3" t="str">
        <x:v>14529</x:v>
      </x:c>
      <x:c r="C2270" s="3" t="n">
        <x:v>3</x:v>
      </x:c>
      <x:c r="D2270" s="51" t="n">
        <x:v>40826</x:v>
      </x:c>
      <x:c r="E2270" s="3" t="str">
        <x:v>Recurrente</x:v>
      </x:c>
      <x:c r="F2270" s="13" t="n">
        <x:v>620.04</x:v>
      </x:c>
      <x:c r="G2270" s="13" t="n">
        <x:v>0</x:v>
      </x:c>
      <x:c r="H2270" s="13" t="n">
        <x:f>F2270-G2270</x:f>
        <x:v>620.04</x:v>
      </x:c>
      <x:c r="I2270" s="13" t="n">
        <x:f>IF(C2270=0,"n.a.",F2270/C2270)</x:f>
        <x:v>206.67999999999998</x:v>
      </x:c>
      <x:c r="J2270" s="3"/>
      <x:c r="K2270" s="3"/>
      <x:c r="L2270" s="3"/>
    </x:row>
    <x:row r="2271" ht="22" customHeight="1">
      <x:c r="A2271" s="3"/>
      <x:c r="B2271" s="3" t="str">
        <x:v>16613</x:v>
      </x:c>
      <x:c r="C2271" s="3" t="n">
        <x:v>1</x:v>
      </x:c>
      <x:c r="D2271" s="51" t="n">
        <x:v>40816</x:v>
      </x:c>
      <x:c r="E2271" s="3" t="str">
        <x:v>Una compra</x:v>
      </x:c>
      <x:c r="F2271" s="13" t="n">
        <x:v>618.59</x:v>
      </x:c>
      <x:c r="G2271" s="13" t="n">
        <x:v>0</x:v>
      </x:c>
      <x:c r="H2271" s="13" t="n">
        <x:f>F2271-G2271</x:f>
        <x:v>618.59</x:v>
      </x:c>
      <x:c r="I2271" s="13" t="n">
        <x:f>IF(C2271=0,"n.a.",F2271/C2271)</x:f>
        <x:v>618.59</x:v>
      </x:c>
      <x:c r="J2271" s="3"/>
      <x:c r="K2271" s="3"/>
      <x:c r="L2271" s="3"/>
    </x:row>
    <x:row r="2272" ht="22" customHeight="1">
      <x:c r="A2272" s="3"/>
      <x:c r="B2272" s="3" t="str">
        <x:v>14593</x:v>
      </x:c>
      <x:c r="C2272" s="3" t="n">
        <x:v>3</x:v>
      </x:c>
      <x:c r="D2272" s="51" t="n">
        <x:v>40865</x:v>
      </x:c>
      <x:c r="E2272" s="3" t="str">
        <x:v>Recurrente</x:v>
      </x:c>
      <x:c r="F2272" s="13" t="n">
        <x:v>617.99</x:v>
      </x:c>
      <x:c r="G2272" s="13" t="n">
        <x:v>0</x:v>
      </x:c>
      <x:c r="H2272" s="13" t="n">
        <x:f>F2272-G2272</x:f>
        <x:v>617.99</x:v>
      </x:c>
      <x:c r="I2272" s="13" t="n">
        <x:f>IF(C2272=0,"n.a.",F2272/C2272)</x:f>
        <x:v>205.99666666666667</x:v>
      </x:c>
      <x:c r="J2272" s="3"/>
      <x:c r="K2272" s="3"/>
      <x:c r="L2272" s="3"/>
    </x:row>
    <x:row r="2273" ht="22" customHeight="1">
      <x:c r="A2273" s="3"/>
      <x:c r="B2273" s="3" t="str">
        <x:v>13496</x:v>
      </x:c>
      <x:c r="C2273" s="3" t="n">
        <x:v>2</x:v>
      </x:c>
      <x:c r="D2273" s="51" t="n">
        <x:v>40876</x:v>
      </x:c>
      <x:c r="E2273" s="3" t="str">
        <x:v>Recurrente</x:v>
      </x:c>
      <x:c r="F2273" s="13" t="n">
        <x:v>653.33</x:v>
      </x:c>
      <x:c r="G2273" s="13" t="n">
        <x:v>35.4</x:v>
      </x:c>
      <x:c r="H2273" s="13" t="n">
        <x:f>F2273-G2273</x:f>
        <x:v>617.9300000000001</x:v>
      </x:c>
      <x:c r="I2273" s="13" t="n">
        <x:f>IF(C2273=0,"n.a.",F2273/C2273)</x:f>
        <x:v>326.665</x:v>
      </x:c>
      <x:c r="J2273" s="3"/>
      <x:c r="K2273" s="3"/>
      <x:c r="L2273" s="3"/>
    </x:row>
    <x:row r="2274" ht="22" customHeight="1">
      <x:c r="A2274" s="3"/>
      <x:c r="B2274" s="3" t="str">
        <x:v>16268</x:v>
      </x:c>
      <x:c r="C2274" s="3" t="n">
        <x:v>2</x:v>
      </x:c>
      <x:c r="D2274" s="51" t="n">
        <x:v>40815</x:v>
      </x:c>
      <x:c r="E2274" s="3" t="str">
        <x:v>Recurrente</x:v>
      </x:c>
      <x:c r="F2274" s="13" t="n">
        <x:v>617.65</x:v>
      </x:c>
      <x:c r="G2274" s="13" t="n">
        <x:v>0</x:v>
      </x:c>
      <x:c r="H2274" s="13" t="n">
        <x:f>F2274-G2274</x:f>
        <x:v>617.65</x:v>
      </x:c>
      <x:c r="I2274" s="13" t="n">
        <x:f>IF(C2274=0,"n.a.",F2274/C2274)</x:f>
        <x:v>308.825</x:v>
      </x:c>
      <x:c r="J2274" s="3"/>
      <x:c r="K2274" s="3"/>
      <x:c r="L2274" s="3"/>
    </x:row>
    <x:row r="2275" ht="22" customHeight="1">
      <x:c r="A2275" s="3"/>
      <x:c r="B2275" s="3" t="str">
        <x:v>14377</x:v>
      </x:c>
      <x:c r="C2275" s="3" t="n">
        <x:v>2</x:v>
      </x:c>
      <x:c r="D2275" s="51" t="n">
        <x:v>40695</x:v>
      </x:c>
      <x:c r="E2275" s="3" t="str">
        <x:v>Recurrente</x:v>
      </x:c>
      <x:c r="F2275" s="13" t="n">
        <x:v>617.05</x:v>
      </x:c>
      <x:c r="G2275" s="13" t="n">
        <x:v>0</x:v>
      </x:c>
      <x:c r="H2275" s="13" t="n">
        <x:f>F2275-G2275</x:f>
        <x:v>617.05</x:v>
      </x:c>
      <x:c r="I2275" s="13" t="n">
        <x:f>IF(C2275=0,"n.a.",F2275/C2275)</x:f>
        <x:v>308.525</x:v>
      </x:c>
      <x:c r="J2275" s="3"/>
      <x:c r="K2275" s="3"/>
      <x:c r="L2275" s="3"/>
    </x:row>
    <x:row r="2276" ht="22" customHeight="1">
      <x:c r="A2276" s="3"/>
      <x:c r="B2276" s="3" t="str">
        <x:v>16442</x:v>
      </x:c>
      <x:c r="C2276" s="3" t="n">
        <x:v>3</x:v>
      </x:c>
      <x:c r="D2276" s="51" t="n">
        <x:v>40885</x:v>
      </x:c>
      <x:c r="E2276" s="3" t="str">
        <x:v>Recurrente</x:v>
      </x:c>
      <x:c r="F2276" s="13" t="n">
        <x:v>616.79</x:v>
      </x:c>
      <x:c r="G2276" s="13" t="n">
        <x:v>0</x:v>
      </x:c>
      <x:c r="H2276" s="13" t="n">
        <x:f>F2276-G2276</x:f>
        <x:v>616.79</x:v>
      </x:c>
      <x:c r="I2276" s="13" t="n">
        <x:f>IF(C2276=0,"n.a.",F2276/C2276)</x:f>
        <x:v>205.59666666666666</x:v>
      </x:c>
      <x:c r="J2276" s="3"/>
      <x:c r="K2276" s="3"/>
      <x:c r="L2276" s="3"/>
    </x:row>
    <x:row r="2277" ht="22" customHeight="1">
      <x:c r="A2277" s="3"/>
      <x:c r="B2277" s="3" t="str">
        <x:v>13925</x:v>
      </x:c>
      <x:c r="C2277" s="3" t="n">
        <x:v>4</x:v>
      </x:c>
      <x:c r="D2277" s="51" t="n">
        <x:v>40794</x:v>
      </x:c>
      <x:c r="E2277" s="3" t="str">
        <x:v>Recurrente</x:v>
      </x:c>
      <x:c r="F2277" s="13" t="n">
        <x:v>678.25</x:v>
      </x:c>
      <x:c r="G2277" s="13" t="n">
        <x:v>61.6</x:v>
      </x:c>
      <x:c r="H2277" s="13" t="n">
        <x:f>F2277-G2277</x:f>
        <x:v>616.65</x:v>
      </x:c>
      <x:c r="I2277" s="13" t="n">
        <x:f>IF(C2277=0,"n.a.",F2277/C2277)</x:f>
        <x:v>169.5625</x:v>
      </x:c>
      <x:c r="J2277" s="3"/>
      <x:c r="K2277" s="3"/>
      <x:c r="L2277" s="3"/>
    </x:row>
    <x:row r="2278" ht="22" customHeight="1">
      <x:c r="A2278" s="3"/>
      <x:c r="B2278" s="3" t="str">
        <x:v>16311</x:v>
      </x:c>
      <x:c r="C2278" s="3" t="n">
        <x:v>2</x:v>
      </x:c>
      <x:c r="D2278" s="51" t="n">
        <x:v>40869</x:v>
      </x:c>
      <x:c r="E2278" s="3" t="str">
        <x:v>Recurrente</x:v>
      </x:c>
      <x:c r="F2278" s="13" t="n">
        <x:v>616.26</x:v>
      </x:c>
      <x:c r="G2278" s="13" t="n">
        <x:v>0</x:v>
      </x:c>
      <x:c r="H2278" s="13" t="n">
        <x:f>F2278-G2278</x:f>
        <x:v>616.26</x:v>
      </x:c>
      <x:c r="I2278" s="13" t="n">
        <x:f>IF(C2278=0,"n.a.",F2278/C2278)</x:f>
        <x:v>308.13</x:v>
      </x:c>
      <x:c r="J2278" s="3"/>
      <x:c r="K2278" s="3"/>
      <x:c r="L2278" s="3"/>
    </x:row>
    <x:row r="2279" ht="22" customHeight="1">
      <x:c r="A2279" s="3"/>
      <x:c r="B2279" s="3" t="str">
        <x:v>15215</x:v>
      </x:c>
      <x:c r="C2279" s="3" t="n">
        <x:v>3</x:v>
      </x:c>
      <x:c r="D2279" s="51" t="n">
        <x:v>40840</x:v>
      </x:c>
      <x:c r="E2279" s="3" t="str">
        <x:v>Recurrente</x:v>
      </x:c>
      <x:c r="F2279" s="13" t="n">
        <x:v>734.94</x:v>
      </x:c>
      <x:c r="G2279" s="13" t="n">
        <x:v>118.95</x:v>
      </x:c>
      <x:c r="H2279" s="13" t="n">
        <x:f>F2279-G2279</x:f>
        <x:v>615.99</x:v>
      </x:c>
      <x:c r="I2279" s="13" t="n">
        <x:f>IF(C2279=0,"n.a.",F2279/C2279)</x:f>
        <x:v>244.98000000000002</x:v>
      </x:c>
      <x:c r="J2279" s="3"/>
      <x:c r="K2279" s="3"/>
      <x:c r="L2279" s="3"/>
    </x:row>
    <x:row r="2280" ht="22" customHeight="1">
      <x:c r="A2280" s="3"/>
      <x:c r="B2280" s="3" t="str">
        <x:v>16005</x:v>
      </x:c>
      <x:c r="C2280" s="3" t="n">
        <x:v>4</x:v>
      </x:c>
      <x:c r="D2280" s="51" t="n">
        <x:v>40874</x:v>
      </x:c>
      <x:c r="E2280" s="3" t="str">
        <x:v>Recurrente</x:v>
      </x:c>
      <x:c r="F2280" s="13" t="n">
        <x:v>615.39</x:v>
      </x:c>
      <x:c r="G2280" s="13" t="n">
        <x:v>0</x:v>
      </x:c>
      <x:c r="H2280" s="13" t="n">
        <x:f>F2280-G2280</x:f>
        <x:v>615.39</x:v>
      </x:c>
      <x:c r="I2280" s="13" t="n">
        <x:f>IF(C2280=0,"n.a.",F2280/C2280)</x:f>
        <x:v>153.8475</x:v>
      </x:c>
      <x:c r="J2280" s="3"/>
      <x:c r="K2280" s="3"/>
      <x:c r="L2280" s="3"/>
    </x:row>
    <x:row r="2281" ht="22" customHeight="1">
      <x:c r="A2281" s="3"/>
      <x:c r="B2281" s="3" t="str">
        <x:v>13145</x:v>
      </x:c>
      <x:c r="C2281" s="3" t="n">
        <x:v>4</x:v>
      </x:c>
      <x:c r="D2281" s="51" t="n">
        <x:v>40847</x:v>
      </x:c>
      <x:c r="E2281" s="3" t="str">
        <x:v>Recurrente</x:v>
      </x:c>
      <x:c r="F2281" s="13" t="n">
        <x:v>618.52</x:v>
      </x:c>
      <x:c r="G2281" s="13" t="n">
        <x:v>3.75</x:v>
      </x:c>
      <x:c r="H2281" s="13" t="n">
        <x:f>F2281-G2281</x:f>
        <x:v>614.77</x:v>
      </x:c>
      <x:c r="I2281" s="13" t="n">
        <x:f>IF(C2281=0,"n.a.",F2281/C2281)</x:f>
        <x:v>154.63</x:v>
      </x:c>
      <x:c r="J2281" s="3"/>
      <x:c r="K2281" s="3"/>
      <x:c r="L2281" s="3"/>
    </x:row>
    <x:row r="2282" ht="22" customHeight="1">
      <x:c r="A2282" s="3"/>
      <x:c r="B2282" s="3" t="str">
        <x:v>16566</x:v>
      </x:c>
      <x:c r="C2282" s="3" t="n">
        <x:v>5</x:v>
      </x:c>
      <x:c r="D2282" s="51" t="n">
        <x:v>40871</x:v>
      </x:c>
      <x:c r="E2282" s="3" t="str">
        <x:v>Recurrente</x:v>
      </x:c>
      <x:c r="F2282" s="13" t="n">
        <x:v>614.66</x:v>
      </x:c>
      <x:c r="G2282" s="13" t="n">
        <x:v>0.65</x:v>
      </x:c>
      <x:c r="H2282" s="13" t="n">
        <x:f>F2282-G2282</x:f>
        <x:v>614.01</x:v>
      </x:c>
      <x:c r="I2282" s="13" t="n">
        <x:f>IF(C2282=0,"n.a.",F2282/C2282)</x:f>
        <x:v>122.93199999999999</x:v>
      </x:c>
      <x:c r="J2282" s="3"/>
      <x:c r="K2282" s="3"/>
      <x:c r="L2282" s="3"/>
    </x:row>
    <x:row r="2283" ht="22" customHeight="1">
      <x:c r="A2283" s="3"/>
      <x:c r="B2283" s="3" t="str">
        <x:v>13914</x:v>
      </x:c>
      <x:c r="C2283" s="3" t="n">
        <x:v>2</x:v>
      </x:c>
      <x:c r="D2283" s="51" t="n">
        <x:v>40875</x:v>
      </x:c>
      <x:c r="E2283" s="3" t="str">
        <x:v>Recurrente</x:v>
      </x:c>
      <x:c r="F2283" s="13" t="n">
        <x:v>626.45</x:v>
      </x:c>
      <x:c r="G2283" s="13" t="n">
        <x:v>12.5</x:v>
      </x:c>
      <x:c r="H2283" s="13" t="n">
        <x:f>F2283-G2283</x:f>
        <x:v>613.95</x:v>
      </x:c>
      <x:c r="I2283" s="13" t="n">
        <x:f>IF(C2283=0,"n.a.",F2283/C2283)</x:f>
        <x:v>313.225</x:v>
      </x:c>
      <x:c r="J2283" s="3"/>
      <x:c r="K2283" s="3"/>
      <x:c r="L2283" s="3"/>
    </x:row>
    <x:row r="2284" ht="22" customHeight="1">
      <x:c r="A2284" s="3"/>
      <x:c r="B2284" s="3" t="str">
        <x:v>12603</x:v>
      </x:c>
      <x:c r="C2284" s="3" t="n">
        <x:v>1</x:v>
      </x:c>
      <x:c r="D2284" s="51" t="n">
        <x:v>40865</x:v>
      </x:c>
      <x:c r="E2284" s="3" t="str">
        <x:v>Una compra</x:v>
      </x:c>
      <x:c r="F2284" s="13" t="n">
        <x:v>613.2</x:v>
      </x:c>
      <x:c r="G2284" s="13" t="n">
        <x:v>0</x:v>
      </x:c>
      <x:c r="H2284" s="13" t="n">
        <x:f>F2284-G2284</x:f>
        <x:v>613.2</x:v>
      </x:c>
      <x:c r="I2284" s="13" t="n">
        <x:f>IF(C2284=0,"n.a.",F2284/C2284)</x:f>
        <x:v>613.2</x:v>
      </x:c>
      <x:c r="J2284" s="3"/>
      <x:c r="K2284" s="3"/>
      <x:c r="L2284" s="3"/>
    </x:row>
    <x:row r="2285" ht="22" customHeight="1">
      <x:c r="A2285" s="3"/>
      <x:c r="B2285" s="3" t="str">
        <x:v>15073</x:v>
      </x:c>
      <x:c r="C2285" s="3" t="n">
        <x:v>3</x:v>
      </x:c>
      <x:c r="D2285" s="51" t="n">
        <x:v>40877</x:v>
      </x:c>
      <x:c r="E2285" s="3" t="str">
        <x:v>Recurrente</x:v>
      </x:c>
      <x:c r="F2285" s="13" t="n">
        <x:v>1043.41</x:v>
      </x:c>
      <x:c r="G2285" s="13" t="n">
        <x:v>430.98</x:v>
      </x:c>
      <x:c r="H2285" s="13" t="n">
        <x:f>F2285-G2285</x:f>
        <x:v>612.4300000000001</x:v>
      </x:c>
      <x:c r="I2285" s="13" t="n">
        <x:f>IF(C2285=0,"n.a.",F2285/C2285)</x:f>
        <x:v>347.80333333333334</x:v>
      </x:c>
      <x:c r="J2285" s="3"/>
      <x:c r="K2285" s="3"/>
      <x:c r="L2285" s="3"/>
    </x:row>
    <x:row r="2286" ht="22" customHeight="1">
      <x:c r="A2286" s="3"/>
      <x:c r="B2286" s="3" t="str">
        <x:v>18149</x:v>
      </x:c>
      <x:c r="C2286" s="3" t="n">
        <x:v>3</x:v>
      </x:c>
      <x:c r="D2286" s="51" t="n">
        <x:v>40836</x:v>
      </x:c>
      <x:c r="E2286" s="3" t="str">
        <x:v>Recurrente</x:v>
      </x:c>
      <x:c r="F2286" s="13" t="n">
        <x:v>612.08</x:v>
      </x:c>
      <x:c r="G2286" s="13" t="n">
        <x:v>0</x:v>
      </x:c>
      <x:c r="H2286" s="13" t="n">
        <x:f>F2286-G2286</x:f>
        <x:v>612.08</x:v>
      </x:c>
      <x:c r="I2286" s="13" t="n">
        <x:f>IF(C2286=0,"n.a.",F2286/C2286)</x:f>
        <x:v>204.02666666666667</x:v>
      </x:c>
      <x:c r="J2286" s="3"/>
      <x:c r="K2286" s="3"/>
      <x:c r="L2286" s="3"/>
    </x:row>
    <x:row r="2287" ht="22" customHeight="1">
      <x:c r="A2287" s="3"/>
      <x:c r="B2287" s="3" t="str">
        <x:v>15232</x:v>
      </x:c>
      <x:c r="C2287" s="3" t="n">
        <x:v>2</x:v>
      </x:c>
      <x:c r="D2287" s="51" t="n">
        <x:v>40773</x:v>
      </x:c>
      <x:c r="E2287" s="3" t="str">
        <x:v>Recurrente</x:v>
      </x:c>
      <x:c r="F2287" s="13" t="n">
        <x:v>612.06</x:v>
      </x:c>
      <x:c r="G2287" s="13" t="n">
        <x:v>0</x:v>
      </x:c>
      <x:c r="H2287" s="13" t="n">
        <x:f>F2287-G2287</x:f>
        <x:v>612.06</x:v>
      </x:c>
      <x:c r="I2287" s="13" t="n">
        <x:f>IF(C2287=0,"n.a.",F2287/C2287)</x:f>
        <x:v>306.03</x:v>
      </x:c>
      <x:c r="J2287" s="3"/>
      <x:c r="K2287" s="3"/>
      <x:c r="L2287" s="3"/>
    </x:row>
    <x:row r="2288" ht="22" customHeight="1">
      <x:c r="A2288" s="3"/>
      <x:c r="B2288" s="3" t="str">
        <x:v>16109</x:v>
      </x:c>
      <x:c r="C2288" s="3" t="n">
        <x:v>2</x:v>
      </x:c>
      <x:c r="D2288" s="51" t="n">
        <x:v>40668</x:v>
      </x:c>
      <x:c r="E2288" s="3" t="str">
        <x:v>Recurrente</x:v>
      </x:c>
      <x:c r="F2288" s="13" t="n">
        <x:v>611.88</x:v>
      </x:c>
      <x:c r="G2288" s="13" t="n">
        <x:v>0</x:v>
      </x:c>
      <x:c r="H2288" s="13" t="n">
        <x:f>F2288-G2288</x:f>
        <x:v>611.88</x:v>
      </x:c>
      <x:c r="I2288" s="13" t="n">
        <x:f>IF(C2288=0,"n.a.",F2288/C2288)</x:f>
        <x:v>305.94</x:v>
      </x:c>
      <x:c r="J2288" s="3"/>
      <x:c r="K2288" s="3"/>
      <x:c r="L2288" s="3"/>
    </x:row>
    <x:row r="2289" ht="22" customHeight="1">
      <x:c r="A2289" s="3"/>
      <x:c r="B2289" s="3" t="str">
        <x:v>15645</x:v>
      </x:c>
      <x:c r="C2289" s="3" t="n">
        <x:v>1</x:v>
      </x:c>
      <x:c r="D2289" s="51" t="n">
        <x:v>40868</x:v>
      </x:c>
      <x:c r="E2289" s="3" t="str">
        <x:v>Una compra</x:v>
      </x:c>
      <x:c r="F2289" s="13" t="n">
        <x:v>611.59</x:v>
      </x:c>
      <x:c r="G2289" s="13" t="n">
        <x:v>0</x:v>
      </x:c>
      <x:c r="H2289" s="13" t="n">
        <x:f>F2289-G2289</x:f>
        <x:v>611.59</x:v>
      </x:c>
      <x:c r="I2289" s="13" t="n">
        <x:f>IF(C2289=0,"n.a.",F2289/C2289)</x:f>
        <x:v>611.59</x:v>
      </x:c>
      <x:c r="J2289" s="3"/>
      <x:c r="K2289" s="3"/>
      <x:c r="L2289" s="3"/>
    </x:row>
    <x:row r="2290" ht="22" customHeight="1">
      <x:c r="A2290" s="3"/>
      <x:c r="B2290" s="3" t="str">
        <x:v>14152</x:v>
      </x:c>
      <x:c r="C2290" s="3" t="n">
        <x:v>2</x:v>
      </x:c>
      <x:c r="D2290" s="51" t="n">
        <x:v>40811</x:v>
      </x:c>
      <x:c r="E2290" s="3" t="str">
        <x:v>Recurrente</x:v>
      </x:c>
      <x:c r="F2290" s="13" t="n">
        <x:v>621.29</x:v>
      </x:c>
      <x:c r="G2290" s="13" t="n">
        <x:v>10.2</x:v>
      </x:c>
      <x:c r="H2290" s="13" t="n">
        <x:f>F2290-G2290</x:f>
        <x:v>611.0899999999999</x:v>
      </x:c>
      <x:c r="I2290" s="13" t="n">
        <x:f>IF(C2290=0,"n.a.",F2290/C2290)</x:f>
        <x:v>310.645</x:v>
      </x:c>
      <x:c r="J2290" s="3"/>
      <x:c r="K2290" s="3"/>
      <x:c r="L2290" s="3"/>
    </x:row>
    <x:row r="2291" ht="22" customHeight="1">
      <x:c r="A2291" s="3"/>
      <x:c r="B2291" s="3" t="str">
        <x:v>13731</x:v>
      </x:c>
      <x:c r="C2291" s="3" t="n">
        <x:v>2</x:v>
      </x:c>
      <x:c r="D2291" s="51" t="n">
        <x:v>40667</x:v>
      </x:c>
      <x:c r="E2291" s="3" t="str">
        <x:v>Recurrente</x:v>
      </x:c>
      <x:c r="F2291" s="13" t="n">
        <x:v>610.59</x:v>
      </x:c>
      <x:c r="G2291" s="13" t="n">
        <x:v>0</x:v>
      </x:c>
      <x:c r="H2291" s="13" t="n">
        <x:f>F2291-G2291</x:f>
        <x:v>610.59</x:v>
      </x:c>
      <x:c r="I2291" s="13" t="n">
        <x:f>IF(C2291=0,"n.a.",F2291/C2291)</x:f>
        <x:v>305.295</x:v>
      </x:c>
      <x:c r="J2291" s="3"/>
      <x:c r="K2291" s="3"/>
      <x:c r="L2291" s="3"/>
    </x:row>
    <x:row r="2292" ht="22" customHeight="1">
      <x:c r="A2292" s="3"/>
      <x:c r="B2292" s="3" t="str">
        <x:v>15795</x:v>
      </x:c>
      <x:c r="C2292" s="3" t="n">
        <x:v>1</x:v>
      </x:c>
      <x:c r="D2292" s="51" t="n">
        <x:v>40737</x:v>
      </x:c>
      <x:c r="E2292" s="3" t="str">
        <x:v>Una compra</x:v>
      </x:c>
      <x:c r="F2292" s="13" t="n">
        <x:v>610.01</x:v>
      </x:c>
      <x:c r="G2292" s="13" t="n">
        <x:v>0</x:v>
      </x:c>
      <x:c r="H2292" s="13" t="n">
        <x:f>F2292-G2292</x:f>
        <x:v>610.01</x:v>
      </x:c>
      <x:c r="I2292" s="13" t="n">
        <x:f>IF(C2292=0,"n.a.",F2292/C2292)</x:f>
        <x:v>610.01</x:v>
      </x:c>
      <x:c r="J2292" s="3"/>
      <x:c r="K2292" s="3"/>
      <x:c r="L2292" s="3"/>
    </x:row>
    <x:row r="2293" ht="22" customHeight="1">
      <x:c r="A2293" s="3"/>
      <x:c r="B2293" s="3" t="str">
        <x:v>13357</x:v>
      </x:c>
      <x:c r="C2293" s="3" t="n">
        <x:v>1</x:v>
      </x:c>
      <x:c r="D2293" s="51" t="n">
        <x:v>40629</x:v>
      </x:c>
      <x:c r="E2293" s="3" t="str">
        <x:v>Una compra</x:v>
      </x:c>
      <x:c r="F2293" s="13" t="n">
        <x:v>609.95</x:v>
      </x:c>
      <x:c r="G2293" s="13" t="n">
        <x:v>0</x:v>
      </x:c>
      <x:c r="H2293" s="13" t="n">
        <x:f>F2293-G2293</x:f>
        <x:v>609.95</x:v>
      </x:c>
      <x:c r="I2293" s="13" t="n">
        <x:f>IF(C2293=0,"n.a.",F2293/C2293)</x:f>
        <x:v>609.95</x:v>
      </x:c>
      <x:c r="J2293" s="3"/>
      <x:c r="K2293" s="3"/>
      <x:c r="L2293" s="3"/>
    </x:row>
    <x:row r="2294" ht="22" customHeight="1">
      <x:c r="A2294" s="3"/>
      <x:c r="B2294" s="3" t="str">
        <x:v>14636</x:v>
      </x:c>
      <x:c r="C2294" s="3" t="n">
        <x:v>2</x:v>
      </x:c>
      <x:c r="D2294" s="51" t="n">
        <x:v>40850</x:v>
      </x:c>
      <x:c r="E2294" s="3" t="str">
        <x:v>Recurrente</x:v>
      </x:c>
      <x:c r="F2294" s="13" t="n">
        <x:v>609.85</x:v>
      </x:c>
      <x:c r="G2294" s="13" t="n">
        <x:v>0</x:v>
      </x:c>
      <x:c r="H2294" s="13" t="n">
        <x:f>F2294-G2294</x:f>
        <x:v>609.85</x:v>
      </x:c>
      <x:c r="I2294" s="13" t="n">
        <x:f>IF(C2294=0,"n.a.",F2294/C2294)</x:f>
        <x:v>304.925</x:v>
      </x:c>
      <x:c r="J2294" s="3"/>
      <x:c r="K2294" s="3"/>
      <x:c r="L2294" s="3"/>
    </x:row>
    <x:row r="2295" ht="22" customHeight="1">
      <x:c r="A2295" s="3"/>
      <x:c r="B2295" s="3" t="str">
        <x:v>15275</x:v>
      </x:c>
      <x:c r="C2295" s="3" t="n">
        <x:v>1</x:v>
      </x:c>
      <x:c r="D2295" s="51" t="n">
        <x:v>40849</x:v>
      </x:c>
      <x:c r="E2295" s="3" t="str">
        <x:v>Una compra</x:v>
      </x:c>
      <x:c r="F2295" s="13" t="n">
        <x:v>615.14</x:v>
      </x:c>
      <x:c r="G2295" s="13" t="n">
        <x:v>5.95</x:v>
      </x:c>
      <x:c r="H2295" s="13" t="n">
        <x:f>F2295-G2295</x:f>
        <x:v>609.1899999999999</x:v>
      </x:c>
      <x:c r="I2295" s="13" t="n">
        <x:f>IF(C2295=0,"n.a.",F2295/C2295)</x:f>
        <x:v>615.14</x:v>
      </x:c>
      <x:c r="J2295" s="3"/>
      <x:c r="K2295" s="3"/>
      <x:c r="L2295" s="3"/>
    </x:row>
    <x:row r="2296" ht="22" customHeight="1">
      <x:c r="A2296" s="3"/>
      <x:c r="B2296" s="3" t="str">
        <x:v>13933</x:v>
      </x:c>
      <x:c r="C2296" s="3" t="n">
        <x:v>2</x:v>
      </x:c>
      <x:c r="D2296" s="51" t="n">
        <x:v>40777</x:v>
      </x:c>
      <x:c r="E2296" s="3" t="str">
        <x:v>Recurrente</x:v>
      </x:c>
      <x:c r="F2296" s="13" t="n">
        <x:v>608.79</x:v>
      </x:c>
      <x:c r="G2296" s="13" t="n">
        <x:v>0</x:v>
      </x:c>
      <x:c r="H2296" s="13" t="n">
        <x:f>F2296-G2296</x:f>
        <x:v>608.79</x:v>
      </x:c>
      <x:c r="I2296" s="13" t="n">
        <x:f>IF(C2296=0,"n.a.",F2296/C2296)</x:f>
        <x:v>304.395</x:v>
      </x:c>
      <x:c r="J2296" s="3"/>
      <x:c r="K2296" s="3"/>
      <x:c r="L2296" s="3"/>
    </x:row>
    <x:row r="2297" ht="22" customHeight="1">
      <x:c r="A2297" s="3"/>
      <x:c r="B2297" s="3" t="str">
        <x:v>14342</x:v>
      </x:c>
      <x:c r="C2297" s="3" t="n">
        <x:v>4</x:v>
      </x:c>
      <x:c r="D2297" s="51" t="n">
        <x:v>40865</x:v>
      </x:c>
      <x:c r="E2297" s="3" t="str">
        <x:v>Recurrente</x:v>
      </x:c>
      <x:c r="F2297" s="13" t="n">
        <x:v>668.56</x:v>
      </x:c>
      <x:c r="G2297" s="13" t="n">
        <x:v>59.85</x:v>
      </x:c>
      <x:c r="H2297" s="13" t="n">
        <x:f>F2297-G2297</x:f>
        <x:v>608.7099999999999</x:v>
      </x:c>
      <x:c r="I2297" s="13" t="n">
        <x:f>IF(C2297=0,"n.a.",F2297/C2297)</x:f>
        <x:v>167.14</x:v>
      </x:c>
      <x:c r="J2297" s="3"/>
      <x:c r="K2297" s="3"/>
      <x:c r="L2297" s="3"/>
    </x:row>
    <x:row r="2298" ht="22" customHeight="1">
      <x:c r="A2298" s="3"/>
      <x:c r="B2298" s="3" t="str">
        <x:v>15147</x:v>
      </x:c>
      <x:c r="C2298" s="3" t="n">
        <x:v>1</x:v>
      </x:c>
      <x:c r="D2298" s="51" t="n">
        <x:v>40646</x:v>
      </x:c>
      <x:c r="E2298" s="3" t="str">
        <x:v>Una compra</x:v>
      </x:c>
      <x:c r="F2298" s="13" t="n">
        <x:v>623.5</x:v>
      </x:c>
      <x:c r="G2298" s="13" t="n">
        <x:v>14.85</x:v>
      </x:c>
      <x:c r="H2298" s="13" t="n">
        <x:f>F2298-G2298</x:f>
        <x:v>608.65</x:v>
      </x:c>
      <x:c r="I2298" s="13" t="n">
        <x:f>IF(C2298=0,"n.a.",F2298/C2298)</x:f>
        <x:v>623.5</x:v>
      </x:c>
      <x:c r="J2298" s="3"/>
      <x:c r="K2298" s="3"/>
      <x:c r="L2298" s="3"/>
    </x:row>
    <x:row r="2299" ht="22" customHeight="1">
      <x:c r="A2299" s="3"/>
      <x:c r="B2299" s="3" t="str">
        <x:v>12612</x:v>
      </x:c>
      <x:c r="C2299" s="3" t="n">
        <x:v>1</x:v>
      </x:c>
      <x:c r="D2299" s="51" t="n">
        <x:v>40812</x:v>
      </x:c>
      <x:c r="E2299" s="3" t="str">
        <x:v>Una compra</x:v>
      </x:c>
      <x:c r="F2299" s="13" t="n">
        <x:v>668.04</x:v>
      </x:c>
      <x:c r="G2299" s="13" t="n">
        <x:v>60.45</x:v>
      </x:c>
      <x:c r="H2299" s="13" t="n">
        <x:f>F2299-G2299</x:f>
        <x:v>607.5899999999999</x:v>
      </x:c>
      <x:c r="I2299" s="13" t="n">
        <x:f>IF(C2299=0,"n.a.",F2299/C2299)</x:f>
        <x:v>668.04</x:v>
      </x:c>
      <x:c r="J2299" s="3"/>
      <x:c r="K2299" s="3"/>
      <x:c r="L2299" s="3"/>
    </x:row>
    <x:row r="2300" ht="22" customHeight="1">
      <x:c r="A2300" s="3"/>
      <x:c r="B2300" s="3" t="str">
        <x:v>12933</x:v>
      </x:c>
      <x:c r="C2300" s="3" t="n">
        <x:v>3</x:v>
      </x:c>
      <x:c r="D2300" s="51" t="n">
        <x:v>40862</x:v>
      </x:c>
      <x:c r="E2300" s="3" t="str">
        <x:v>Recurrente</x:v>
      </x:c>
      <x:c r="F2300" s="13" t="n">
        <x:v>607.53</x:v>
      </x:c>
      <x:c r="G2300" s="13" t="n">
        <x:v>1.25</x:v>
      </x:c>
      <x:c r="H2300" s="13" t="n">
        <x:f>F2300-G2300</x:f>
        <x:v>606.28</x:v>
      </x:c>
      <x:c r="I2300" s="13" t="n">
        <x:f>IF(C2300=0,"n.a.",F2300/C2300)</x:f>
        <x:v>202.51</x:v>
      </x:c>
      <x:c r="J2300" s="3"/>
      <x:c r="K2300" s="3"/>
      <x:c r="L2300" s="3"/>
    </x:row>
    <x:row r="2301" ht="22" customHeight="1">
      <x:c r="A2301" s="3"/>
      <x:c r="B2301" s="3" t="str">
        <x:v>14710</x:v>
      </x:c>
      <x:c r="C2301" s="3" t="n">
        <x:v>4</x:v>
      </x:c>
      <x:c r="D2301" s="51" t="n">
        <x:v>40872</x:v>
      </x:c>
      <x:c r="E2301" s="3" t="str">
        <x:v>Recurrente</x:v>
      </x:c>
      <x:c r="F2301" s="13" t="n">
        <x:v>606.13</x:v>
      </x:c>
      <x:c r="G2301" s="13" t="n">
        <x:v>0</x:v>
      </x:c>
      <x:c r="H2301" s="13" t="n">
        <x:f>F2301-G2301</x:f>
        <x:v>606.13</x:v>
      </x:c>
      <x:c r="I2301" s="13" t="n">
        <x:f>IF(C2301=0,"n.a.",F2301/C2301)</x:f>
        <x:v>151.5325</x:v>
      </x:c>
      <x:c r="J2301" s="3"/>
      <x:c r="K2301" s="3"/>
      <x:c r="L2301" s="3"/>
    </x:row>
    <x:row r="2302" ht="22" customHeight="1">
      <x:c r="A2302" s="3"/>
      <x:c r="B2302" s="3" t="str">
        <x:v>13539</x:v>
      </x:c>
      <x:c r="C2302" s="3" t="n">
        <x:v>3</x:v>
      </x:c>
      <x:c r="D2302" s="51" t="n">
        <x:v>40801</x:v>
      </x:c>
      <x:c r="E2302" s="3" t="str">
        <x:v>Recurrente</x:v>
      </x:c>
      <x:c r="F2302" s="13" t="n">
        <x:v>631.34</x:v>
      </x:c>
      <x:c r="G2302" s="13" t="n">
        <x:v>25.5</x:v>
      </x:c>
      <x:c r="H2302" s="13" t="n">
        <x:f>F2302-G2302</x:f>
        <x:v>605.84</x:v>
      </x:c>
      <x:c r="I2302" s="13" t="n">
        <x:f>IF(C2302=0,"n.a.",F2302/C2302)</x:f>
        <x:v>210.4466666666667</x:v>
      </x:c>
      <x:c r="J2302" s="3"/>
      <x:c r="K2302" s="3"/>
      <x:c r="L2302" s="3"/>
    </x:row>
    <x:row r="2303" ht="22" customHeight="1">
      <x:c r="A2303" s="3"/>
      <x:c r="B2303" s="3" t="str">
        <x:v>17849</x:v>
      </x:c>
      <x:c r="C2303" s="3" t="n">
        <x:v>4</x:v>
      </x:c>
      <x:c r="D2303" s="51" t="n">
        <x:v>40668</x:v>
      </x:c>
      <x:c r="E2303" s="3" t="str">
        <x:v>Recurrente</x:v>
      </x:c>
      <x:c r="F2303" s="13" t="n">
        <x:v>605.8</x:v>
      </x:c>
      <x:c r="G2303" s="13" t="n">
        <x:v>0</x:v>
      </x:c>
      <x:c r="H2303" s="13" t="n">
        <x:f>F2303-G2303</x:f>
        <x:v>605.8</x:v>
      </x:c>
      <x:c r="I2303" s="13" t="n">
        <x:f>IF(C2303=0,"n.a.",F2303/C2303)</x:f>
        <x:v>151.45</x:v>
      </x:c>
      <x:c r="J2303" s="3"/>
      <x:c r="K2303" s="3"/>
      <x:c r="L2303" s="3"/>
    </x:row>
    <x:row r="2304" ht="22" customHeight="1">
      <x:c r="A2304" s="3"/>
      <x:c r="B2304" s="3" t="str">
        <x:v>13888</x:v>
      </x:c>
      <x:c r="C2304" s="3" t="n">
        <x:v>2</x:v>
      </x:c>
      <x:c r="D2304" s="51" t="n">
        <x:v>40767</x:v>
      </x:c>
      <x:c r="E2304" s="3" t="str">
        <x:v>Recurrente</x:v>
      </x:c>
      <x:c r="F2304" s="13" t="n">
        <x:v>605.63</x:v>
      </x:c>
      <x:c r="G2304" s="13" t="n">
        <x:v>0</x:v>
      </x:c>
      <x:c r="H2304" s="13" t="n">
        <x:f>F2304-G2304</x:f>
        <x:v>605.63</x:v>
      </x:c>
      <x:c r="I2304" s="13" t="n">
        <x:f>IF(C2304=0,"n.a.",F2304/C2304)</x:f>
        <x:v>302.815</x:v>
      </x:c>
      <x:c r="J2304" s="3"/>
      <x:c r="K2304" s="3"/>
      <x:c r="L2304" s="3"/>
    </x:row>
    <x:row r="2305" ht="22" customHeight="1">
      <x:c r="A2305" s="3"/>
      <x:c r="B2305" s="3" t="str">
        <x:v>17507</x:v>
      </x:c>
      <x:c r="C2305" s="3" t="n">
        <x:v>2</x:v>
      </x:c>
      <x:c r="D2305" s="51" t="n">
        <x:v>40625</x:v>
      </x:c>
      <x:c r="E2305" s="3" t="str">
        <x:v>Recurrente</x:v>
      </x:c>
      <x:c r="F2305" s="13" t="n">
        <x:v>605.58</x:v>
      </x:c>
      <x:c r="G2305" s="13" t="n">
        <x:v>0</x:v>
      </x:c>
      <x:c r="H2305" s="13" t="n">
        <x:f>F2305-G2305</x:f>
        <x:v>605.58</x:v>
      </x:c>
      <x:c r="I2305" s="13" t="n">
        <x:f>IF(C2305=0,"n.a.",F2305/C2305)</x:f>
        <x:v>302.79</x:v>
      </x:c>
      <x:c r="J2305" s="3"/>
      <x:c r="K2305" s="3"/>
      <x:c r="L2305" s="3"/>
    </x:row>
    <x:row r="2306" ht="22" customHeight="1">
      <x:c r="A2306" s="3"/>
      <x:c r="B2306" s="3" t="str">
        <x:v>13233</x:v>
      </x:c>
      <x:c r="C2306" s="3" t="n">
        <x:v>2</x:v>
      </x:c>
      <x:c r="D2306" s="51" t="n">
        <x:v>40812</x:v>
      </x:c>
      <x:c r="E2306" s="3" t="str">
        <x:v>Recurrente</x:v>
      </x:c>
      <x:c r="F2306" s="13" t="n">
        <x:v>605.12</x:v>
      </x:c>
      <x:c r="G2306" s="13" t="n">
        <x:v>0</x:v>
      </x:c>
      <x:c r="H2306" s="13" t="n">
        <x:f>F2306-G2306</x:f>
        <x:v>605.12</x:v>
      </x:c>
      <x:c r="I2306" s="13" t="n">
        <x:f>IF(C2306=0,"n.a.",F2306/C2306)</x:f>
        <x:v>302.56</x:v>
      </x:c>
      <x:c r="J2306" s="3"/>
      <x:c r="K2306" s="3"/>
      <x:c r="L2306" s="3"/>
    </x:row>
    <x:row r="2307" ht="22" customHeight="1">
      <x:c r="A2307" s="3"/>
      <x:c r="B2307" s="3" t="str">
        <x:v>13558</x:v>
      </x:c>
      <x:c r="C2307" s="3" t="n">
        <x:v>4</x:v>
      </x:c>
      <x:c r="D2307" s="51" t="n">
        <x:v>40881</x:v>
      </x:c>
      <x:c r="E2307" s="3" t="str">
        <x:v>Recurrente</x:v>
      </x:c>
      <x:c r="F2307" s="13" t="n">
        <x:v>605.06</x:v>
      </x:c>
      <x:c r="G2307" s="13" t="n">
        <x:v>0</x:v>
      </x:c>
      <x:c r="H2307" s="13" t="n">
        <x:f>F2307-G2307</x:f>
        <x:v>605.06</x:v>
      </x:c>
      <x:c r="I2307" s="13" t="n">
        <x:f>IF(C2307=0,"n.a.",F2307/C2307)</x:f>
        <x:v>151.265</x:v>
      </x:c>
      <x:c r="J2307" s="3"/>
      <x:c r="K2307" s="3"/>
      <x:c r="L2307" s="3"/>
    </x:row>
    <x:row r="2308" ht="22" customHeight="1">
      <x:c r="A2308" s="3"/>
      <x:c r="B2308" s="3" t="str">
        <x:v>14675</x:v>
      </x:c>
      <x:c r="C2308" s="3" t="n">
        <x:v>1</x:v>
      </x:c>
      <x:c r="D2308" s="51" t="n">
        <x:v>40870</x:v>
      </x:c>
      <x:c r="E2308" s="3" t="str">
        <x:v>Una compra</x:v>
      </x:c>
      <x:c r="F2308" s="13" t="n">
        <x:v>604.75</x:v>
      </x:c>
      <x:c r="G2308" s="13" t="n">
        <x:v>0</x:v>
      </x:c>
      <x:c r="H2308" s="13" t="n">
        <x:f>F2308-G2308</x:f>
        <x:v>604.75</x:v>
      </x:c>
      <x:c r="I2308" s="13" t="n">
        <x:f>IF(C2308=0,"n.a.",F2308/C2308)</x:f>
        <x:v>604.75</x:v>
      </x:c>
      <x:c r="J2308" s="3"/>
      <x:c r="K2308" s="3"/>
      <x:c r="L2308" s="3"/>
    </x:row>
    <x:row r="2309" ht="22" customHeight="1">
      <x:c r="A2309" s="3"/>
      <x:c r="B2309" s="3" t="str">
        <x:v>17664</x:v>
      </x:c>
      <x:c r="C2309" s="3" t="n">
        <x:v>2</x:v>
      </x:c>
      <x:c r="D2309" s="51" t="n">
        <x:v>40868</x:v>
      </x:c>
      <x:c r="E2309" s="3" t="str">
        <x:v>Recurrente</x:v>
      </x:c>
      <x:c r="F2309" s="13" t="n">
        <x:v>604.64</x:v>
      </x:c>
      <x:c r="G2309" s="13" t="n">
        <x:v>0</x:v>
      </x:c>
      <x:c r="H2309" s="13" t="n">
        <x:f>F2309-G2309</x:f>
        <x:v>604.64</x:v>
      </x:c>
      <x:c r="I2309" s="13" t="n">
        <x:f>IF(C2309=0,"n.a.",F2309/C2309)</x:f>
        <x:v>302.32</x:v>
      </x:c>
      <x:c r="J2309" s="3"/>
      <x:c r="K2309" s="3"/>
      <x:c r="L2309" s="3"/>
    </x:row>
    <x:row r="2310" ht="22" customHeight="1">
      <x:c r="A2310" s="3"/>
      <x:c r="B2310" s="3" t="str">
        <x:v>12944</x:v>
      </x:c>
      <x:c r="C2310" s="3" t="n">
        <x:v>2</x:v>
      </x:c>
      <x:c r="D2310" s="51" t="n">
        <x:v>40851</x:v>
      </x:c>
      <x:c r="E2310" s="3" t="str">
        <x:v>Recurrente</x:v>
      </x:c>
      <x:c r="F2310" s="13" t="n">
        <x:v>604.51</x:v>
      </x:c>
      <x:c r="G2310" s="13" t="n">
        <x:v>0</x:v>
      </x:c>
      <x:c r="H2310" s="13" t="n">
        <x:f>F2310-G2310</x:f>
        <x:v>604.51</x:v>
      </x:c>
      <x:c r="I2310" s="13" t="n">
        <x:f>IF(C2310=0,"n.a.",F2310/C2310)</x:f>
        <x:v>302.255</x:v>
      </x:c>
      <x:c r="J2310" s="3"/>
      <x:c r="K2310" s="3"/>
      <x:c r="L2310" s="3"/>
    </x:row>
    <x:row r="2311" ht="22" customHeight="1">
      <x:c r="A2311" s="3"/>
      <x:c r="B2311" s="3" t="str">
        <x:v>16732</x:v>
      </x:c>
      <x:c r="C2311" s="3" t="n">
        <x:v>1</x:v>
      </x:c>
      <x:c r="D2311" s="51" t="n">
        <x:v>40855</x:v>
      </x:c>
      <x:c r="E2311" s="3" t="str">
        <x:v>Una compra</x:v>
      </x:c>
      <x:c r="F2311" s="13" t="n">
        <x:v>603.75</x:v>
      </x:c>
      <x:c r="G2311" s="13" t="n">
        <x:v>0</x:v>
      </x:c>
      <x:c r="H2311" s="13" t="n">
        <x:f>F2311-G2311</x:f>
        <x:v>603.75</x:v>
      </x:c>
      <x:c r="I2311" s="13" t="n">
        <x:f>IF(C2311=0,"n.a.",F2311/C2311)</x:f>
        <x:v>603.75</x:v>
      </x:c>
      <x:c r="J2311" s="3"/>
      <x:c r="K2311" s="3"/>
      <x:c r="L2311" s="3"/>
    </x:row>
    <x:row r="2312" ht="22" customHeight="1">
      <x:c r="A2312" s="3"/>
      <x:c r="B2312" s="3" t="str">
        <x:v>12556</x:v>
      </x:c>
      <x:c r="C2312" s="3" t="n">
        <x:v>2</x:v>
      </x:c>
      <x:c r="D2312" s="51" t="n">
        <x:v>40836</x:v>
      </x:c>
      <x:c r="E2312" s="3" t="str">
        <x:v>Recurrente</x:v>
      </x:c>
      <x:c r="F2312" s="13" t="n">
        <x:v>603.71</x:v>
      </x:c>
      <x:c r="G2312" s="13" t="n">
        <x:v>0</x:v>
      </x:c>
      <x:c r="H2312" s="13" t="n">
        <x:f>F2312-G2312</x:f>
        <x:v>603.71</x:v>
      </x:c>
      <x:c r="I2312" s="13" t="n">
        <x:f>IF(C2312=0,"n.a.",F2312/C2312)</x:f>
        <x:v>301.855</x:v>
      </x:c>
      <x:c r="J2312" s="3"/>
      <x:c r="K2312" s="3"/>
      <x:c r="L2312" s="3"/>
    </x:row>
    <x:row r="2313" ht="22" customHeight="1">
      <x:c r="A2313" s="3"/>
      <x:c r="B2313" s="3" t="str">
        <x:v>16134</x:v>
      </x:c>
      <x:c r="C2313" s="3" t="n">
        <x:v>2</x:v>
      </x:c>
      <x:c r="D2313" s="51" t="n">
        <x:v>40865</x:v>
      </x:c>
      <x:c r="E2313" s="3" t="str">
        <x:v>Recurrente</x:v>
      </x:c>
      <x:c r="F2313" s="13" t="n">
        <x:v>618.09</x:v>
      </x:c>
      <x:c r="G2313" s="13" t="n">
        <x:v>14.4</x:v>
      </x:c>
      <x:c r="H2313" s="13" t="n">
        <x:f>F2313-G2313</x:f>
        <x:v>603.69</x:v>
      </x:c>
      <x:c r="I2313" s="13" t="n">
        <x:f>IF(C2313=0,"n.a.",F2313/C2313)</x:f>
        <x:v>309.045</x:v>
      </x:c>
      <x:c r="J2313" s="3"/>
      <x:c r="K2313" s="3"/>
      <x:c r="L2313" s="3"/>
    </x:row>
    <x:row r="2314" ht="22" customHeight="1">
      <x:c r="A2314" s="3"/>
      <x:c r="B2314" s="3" t="str">
        <x:v>12707</x:v>
      </x:c>
      <x:c r="C2314" s="3" t="n">
        <x:v>1</x:v>
      </x:c>
      <x:c r="D2314" s="51" t="n">
        <x:v>40595</x:v>
      </x:c>
      <x:c r="E2314" s="3" t="str">
        <x:v>Una compra</x:v>
      </x:c>
      <x:c r="F2314" s="13" t="n">
        <x:v>603.42</x:v>
      </x:c>
      <x:c r="G2314" s="13" t="n">
        <x:v>0</x:v>
      </x:c>
      <x:c r="H2314" s="13" t="n">
        <x:f>F2314-G2314</x:f>
        <x:v>603.42</x:v>
      </x:c>
      <x:c r="I2314" s="13" t="n">
        <x:f>IF(C2314=0,"n.a.",F2314/C2314)</x:f>
        <x:v>603.42</x:v>
      </x:c>
      <x:c r="J2314" s="3"/>
      <x:c r="K2314" s="3"/>
      <x:c r="L2314" s="3"/>
    </x:row>
    <x:row r="2315" ht="22" customHeight="1">
      <x:c r="A2315" s="3"/>
      <x:c r="B2315" s="3" t="str">
        <x:v>17259</x:v>
      </x:c>
      <x:c r="C2315" s="3" t="n">
        <x:v>2</x:v>
      </x:c>
      <x:c r="D2315" s="51" t="n">
        <x:v>40738</x:v>
      </x:c>
      <x:c r="E2315" s="3" t="str">
        <x:v>Recurrente</x:v>
      </x:c>
      <x:c r="F2315" s="13" t="n">
        <x:v>603.37</x:v>
      </x:c>
      <x:c r="G2315" s="13" t="n">
        <x:v>0</x:v>
      </x:c>
      <x:c r="H2315" s="13" t="n">
        <x:f>F2315-G2315</x:f>
        <x:v>603.37</x:v>
      </x:c>
      <x:c r="I2315" s="13" t="n">
        <x:f>IF(C2315=0,"n.a.",F2315/C2315)</x:f>
        <x:v>301.685</x:v>
      </x:c>
      <x:c r="J2315" s="3"/>
      <x:c r="K2315" s="3"/>
      <x:c r="L2315" s="3"/>
    </x:row>
    <x:row r="2316" ht="22" customHeight="1">
      <x:c r="A2316" s="3"/>
      <x:c r="B2316" s="3" t="str">
        <x:v>15322</x:v>
      </x:c>
      <x:c r="C2316" s="3" t="n">
        <x:v>1</x:v>
      </x:c>
      <x:c r="D2316" s="51" t="n">
        <x:v>40801</x:v>
      </x:c>
      <x:c r="E2316" s="3" t="str">
        <x:v>Una compra</x:v>
      </x:c>
      <x:c r="F2316" s="13" t="n">
        <x:v>679.68</x:v>
      </x:c>
      <x:c r="G2316" s="13" t="n">
        <x:v>76.71</x:v>
      </x:c>
      <x:c r="H2316" s="13" t="n">
        <x:f>F2316-G2316</x:f>
        <x:v>602.9699999999999</x:v>
      </x:c>
      <x:c r="I2316" s="13" t="n">
        <x:f>IF(C2316=0,"n.a.",F2316/C2316)</x:f>
        <x:v>679.68</x:v>
      </x:c>
      <x:c r="J2316" s="3"/>
      <x:c r="K2316" s="3"/>
      <x:c r="L2316" s="3"/>
    </x:row>
    <x:row r="2317" ht="22" customHeight="1">
      <x:c r="A2317" s="3"/>
      <x:c r="B2317" s="3" t="str">
        <x:v>15648</x:v>
      </x:c>
      <x:c r="C2317" s="3" t="n">
        <x:v>2</x:v>
      </x:c>
      <x:c r="D2317" s="51" t="n">
        <x:v>40682</x:v>
      </x:c>
      <x:c r="E2317" s="3" t="str">
        <x:v>Recurrente</x:v>
      </x:c>
      <x:c r="F2317" s="13" t="n">
        <x:v>657.35</x:v>
      </x:c>
      <x:c r="G2317" s="13" t="n">
        <x:v>54.75</x:v>
      </x:c>
      <x:c r="H2317" s="13" t="n">
        <x:f>F2317-G2317</x:f>
        <x:v>602.6</x:v>
      </x:c>
      <x:c r="I2317" s="13" t="n">
        <x:f>IF(C2317=0,"n.a.",F2317/C2317)</x:f>
        <x:v>328.675</x:v>
      </x:c>
      <x:c r="J2317" s="3"/>
      <x:c r="K2317" s="3"/>
      <x:c r="L2317" s="3"/>
    </x:row>
    <x:row r="2318" ht="22" customHeight="1">
      <x:c r="A2318" s="3"/>
      <x:c r="B2318" s="3" t="str">
        <x:v>15366</x:v>
      </x:c>
      <x:c r="C2318" s="3" t="n">
        <x:v>2</x:v>
      </x:c>
      <x:c r="D2318" s="51" t="n">
        <x:v>40811</x:v>
      </x:c>
      <x:c r="E2318" s="3" t="str">
        <x:v>Recurrente</x:v>
      </x:c>
      <x:c r="F2318" s="13" t="n">
        <x:v>602.51</x:v>
      </x:c>
      <x:c r="G2318" s="13" t="n">
        <x:v>0</x:v>
      </x:c>
      <x:c r="H2318" s="13" t="n">
        <x:f>F2318-G2318</x:f>
        <x:v>602.51</x:v>
      </x:c>
      <x:c r="I2318" s="13" t="n">
        <x:f>IF(C2318=0,"n.a.",F2318/C2318)</x:f>
        <x:v>301.255</x:v>
      </x:c>
      <x:c r="J2318" s="3"/>
      <x:c r="K2318" s="3"/>
      <x:c r="L2318" s="3"/>
    </x:row>
    <x:row r="2319" ht="22" customHeight="1">
      <x:c r="A2319" s="3"/>
      <x:c r="B2319" s="3" t="str">
        <x:v>16306</x:v>
      </x:c>
      <x:c r="C2319" s="3" t="n">
        <x:v>6</x:v>
      </x:c>
      <x:c r="D2319" s="51" t="n">
        <x:v>40673</x:v>
      </x:c>
      <x:c r="E2319" s="3" t="str">
        <x:v>Recurrente</x:v>
      </x:c>
      <x:c r="F2319" s="13" t="n">
        <x:v>632.27</x:v>
      </x:c>
      <x:c r="G2319" s="13" t="n">
        <x:v>30</x:v>
      </x:c>
      <x:c r="H2319" s="13" t="n">
        <x:f>F2319-G2319</x:f>
        <x:v>602.27</x:v>
      </x:c>
      <x:c r="I2319" s="13" t="n">
        <x:f>IF(C2319=0,"n.a.",F2319/C2319)</x:f>
        <x:v>105.37833333333333</x:v>
      </x:c>
      <x:c r="J2319" s="3"/>
      <x:c r="K2319" s="3"/>
      <x:c r="L2319" s="3"/>
    </x:row>
    <x:row r="2320" ht="22" customHeight="1">
      <x:c r="A2320" s="3"/>
      <x:c r="B2320" s="3" t="str">
        <x:v>17890</x:v>
      </x:c>
      <x:c r="C2320" s="3" t="n">
        <x:v>2</x:v>
      </x:c>
      <x:c r="D2320" s="51" t="n">
        <x:v>40564</x:v>
      </x:c>
      <x:c r="E2320" s="3" t="str">
        <x:v>Recurrente</x:v>
      </x:c>
      <x:c r="F2320" s="13" t="n">
        <x:v>602.09</x:v>
      </x:c>
      <x:c r="G2320" s="13" t="n">
        <x:v>0</x:v>
      </x:c>
      <x:c r="H2320" s="13" t="n">
        <x:f>F2320-G2320</x:f>
        <x:v>602.09</x:v>
      </x:c>
      <x:c r="I2320" s="13" t="n">
        <x:f>IF(C2320=0,"n.a.",F2320/C2320)</x:f>
        <x:v>301.045</x:v>
      </x:c>
      <x:c r="J2320" s="3"/>
      <x:c r="K2320" s="3"/>
      <x:c r="L2320" s="3"/>
    </x:row>
    <x:row r="2321" ht="22" customHeight="1">
      <x:c r="A2321" s="3"/>
      <x:c r="B2321" s="3" t="str">
        <x:v>14609</x:v>
      </x:c>
      <x:c r="C2321" s="3" t="n">
        <x:v>4</x:v>
      </x:c>
      <x:c r="D2321" s="51" t="n">
        <x:v>40814</x:v>
      </x:c>
      <x:c r="E2321" s="3" t="str">
        <x:v>Recurrente</x:v>
      </x:c>
      <x:c r="F2321" s="13" t="n">
        <x:v>601.56</x:v>
      </x:c>
      <x:c r="G2321" s="13" t="n">
        <x:v>0</x:v>
      </x:c>
      <x:c r="H2321" s="13" t="n">
        <x:f>F2321-G2321</x:f>
        <x:v>601.56</x:v>
      </x:c>
      <x:c r="I2321" s="13" t="n">
        <x:f>IF(C2321=0,"n.a.",F2321/C2321)</x:f>
        <x:v>150.39</x:v>
      </x:c>
      <x:c r="J2321" s="3"/>
      <x:c r="K2321" s="3"/>
      <x:c r="L2321" s="3"/>
    </x:row>
    <x:row r="2322" ht="22" customHeight="1">
      <x:c r="A2322" s="3"/>
      <x:c r="B2322" s="3" t="str">
        <x:v>18183</x:v>
      </x:c>
      <x:c r="C2322" s="3" t="n">
        <x:v>2</x:v>
      </x:c>
      <x:c r="D2322" s="51" t="n">
        <x:v>40659</x:v>
      </x:c>
      <x:c r="E2322" s="3" t="str">
        <x:v>Recurrente</x:v>
      </x:c>
      <x:c r="F2322" s="13" t="n">
        <x:v>632.07</x:v>
      </x:c>
      <x:c r="G2322" s="13" t="n">
        <x:v>31.55</x:v>
      </x:c>
      <x:c r="H2322" s="13" t="n">
        <x:f>F2322-G2322</x:f>
        <x:v>600.5200000000001</x:v>
      </x:c>
      <x:c r="I2322" s="13" t="n">
        <x:f>IF(C2322=0,"n.a.",F2322/C2322)</x:f>
        <x:v>316.035</x:v>
      </x:c>
      <x:c r="J2322" s="3"/>
      <x:c r="K2322" s="3"/>
      <x:c r="L2322" s="3"/>
    </x:row>
    <x:row r="2323" ht="22" customHeight="1">
      <x:c r="A2323" s="3"/>
      <x:c r="B2323" s="3" t="str">
        <x:v>12420</x:v>
      </x:c>
      <x:c r="C2323" s="3" t="n">
        <x:v>1</x:v>
      </x:c>
      <x:c r="D2323" s="51" t="n">
        <x:v>40823</x:v>
      </x:c>
      <x:c r="E2323" s="3" t="str">
        <x:v>Una compra</x:v>
      </x:c>
      <x:c r="F2323" s="13" t="n">
        <x:v>600.39</x:v>
      </x:c>
      <x:c r="G2323" s="13" t="n">
        <x:v>0</x:v>
      </x:c>
      <x:c r="H2323" s="13" t="n">
        <x:f>F2323-G2323</x:f>
        <x:v>600.39</x:v>
      </x:c>
      <x:c r="I2323" s="13" t="n">
        <x:f>IF(C2323=0,"n.a.",F2323/C2323)</x:f>
        <x:v>600.39</x:v>
      </x:c>
      <x:c r="J2323" s="3"/>
      <x:c r="K2323" s="3"/>
      <x:c r="L2323" s="3"/>
    </x:row>
    <x:row r="2324" ht="22" customHeight="1">
      <x:c r="A2324" s="3"/>
      <x:c r="B2324" s="3" t="str">
        <x:v>13301</x:v>
      </x:c>
      <x:c r="C2324" s="3" t="n">
        <x:v>4</x:v>
      </x:c>
      <x:c r="D2324" s="51" t="n">
        <x:v>40783</x:v>
      </x:c>
      <x:c r="E2324" s="3" t="str">
        <x:v>Recurrente</x:v>
      </x:c>
      <x:c r="F2324" s="13" t="n">
        <x:v>600.19</x:v>
      </x:c>
      <x:c r="G2324" s="13" t="n">
        <x:v>0</x:v>
      </x:c>
      <x:c r="H2324" s="13" t="n">
        <x:f>F2324-G2324</x:f>
        <x:v>600.19</x:v>
      </x:c>
      <x:c r="I2324" s="13" t="n">
        <x:f>IF(C2324=0,"n.a.",F2324/C2324)</x:f>
        <x:v>150.0475</x:v>
      </x:c>
      <x:c r="J2324" s="3"/>
      <x:c r="K2324" s="3"/>
      <x:c r="L2324" s="3"/>
    </x:row>
    <x:row r="2325" ht="22" customHeight="1">
      <x:c r="A2325" s="3"/>
      <x:c r="B2325" s="3" t="str">
        <x:v>13243</x:v>
      </x:c>
      <x:c r="C2325" s="3" t="n">
        <x:v>1</x:v>
      </x:c>
      <x:c r="D2325" s="51" t="n">
        <x:v>40683</x:v>
      </x:c>
      <x:c r="E2325" s="3" t="str">
        <x:v>Una compra</x:v>
      </x:c>
      <x:c r="F2325" s="13" t="n">
        <x:v>600.07</x:v>
      </x:c>
      <x:c r="G2325" s="13" t="n">
        <x:v>0</x:v>
      </x:c>
      <x:c r="H2325" s="13" t="n">
        <x:f>F2325-G2325</x:f>
        <x:v>600.07</x:v>
      </x:c>
      <x:c r="I2325" s="13" t="n">
        <x:f>IF(C2325=0,"n.a.",F2325/C2325)</x:f>
        <x:v>600.07</x:v>
      </x:c>
      <x:c r="J2325" s="3"/>
      <x:c r="K2325" s="3"/>
      <x:c r="L2325" s="3"/>
    </x:row>
    <x:row r="2326" ht="22" customHeight="1">
      <x:c r="A2326" s="3"/>
      <x:c r="B2326" s="3" t="str">
        <x:v>18211</x:v>
      </x:c>
      <x:c r="C2326" s="3" t="n">
        <x:v>5</x:v>
      </x:c>
      <x:c r="D2326" s="51" t="n">
        <x:v>40861</x:v>
      </x:c>
      <x:c r="E2326" s="3" t="str">
        <x:v>Recurrente</x:v>
      </x:c>
      <x:c r="F2326" s="13" t="n">
        <x:v>600.07</x:v>
      </x:c>
      <x:c r="G2326" s="13" t="n">
        <x:v>0</x:v>
      </x:c>
      <x:c r="H2326" s="13" t="n">
        <x:f>F2326-G2326</x:f>
        <x:v>600.07</x:v>
      </x:c>
      <x:c r="I2326" s="13" t="n">
        <x:f>IF(C2326=0,"n.a.",F2326/C2326)</x:f>
        <x:v>120.01400000000001</x:v>
      </x:c>
      <x:c r="J2326" s="3"/>
      <x:c r="K2326" s="3"/>
      <x:c r="L2326" s="3"/>
    </x:row>
    <x:row r="2327" ht="22" customHeight="1">
      <x:c r="A2327" s="3"/>
      <x:c r="B2327" s="3" t="str">
        <x:v>12872</x:v>
      </x:c>
      <x:c r="C2327" s="3" t="n">
        <x:v>2</x:v>
      </x:c>
      <x:c r="D2327" s="51" t="n">
        <x:v>40560</x:v>
      </x:c>
      <x:c r="E2327" s="3" t="str">
        <x:v>Recurrente</x:v>
      </x:c>
      <x:c r="F2327" s="13" t="n">
        <x:v>599.97</x:v>
      </x:c>
      <x:c r="G2327" s="13" t="n">
        <x:v>0</x:v>
      </x:c>
      <x:c r="H2327" s="13" t="n">
        <x:f>F2327-G2327</x:f>
        <x:v>599.97</x:v>
      </x:c>
      <x:c r="I2327" s="13" t="n">
        <x:f>IF(C2327=0,"n.a.",F2327/C2327)</x:f>
        <x:v>299.985</x:v>
      </x:c>
      <x:c r="J2327" s="3"/>
      <x:c r="K2327" s="3"/>
      <x:c r="L2327" s="3"/>
    </x:row>
    <x:row r="2328" ht="22" customHeight="1">
      <x:c r="A2328" s="3"/>
      <x:c r="B2328" s="3" t="str">
        <x:v>13023</x:v>
      </x:c>
      <x:c r="C2328" s="3" t="n">
        <x:v>2</x:v>
      </x:c>
      <x:c r="D2328" s="51" t="n">
        <x:v>40822</x:v>
      </x:c>
      <x:c r="E2328" s="3" t="str">
        <x:v>Recurrente</x:v>
      </x:c>
      <x:c r="F2328" s="13" t="n">
        <x:v>599.9</x:v>
      </x:c>
      <x:c r="G2328" s="13" t="n">
        <x:v>0</x:v>
      </x:c>
      <x:c r="H2328" s="13" t="n">
        <x:f>F2328-G2328</x:f>
        <x:v>599.9</x:v>
      </x:c>
      <x:c r="I2328" s="13" t="n">
        <x:f>IF(C2328=0,"n.a.",F2328/C2328)</x:f>
        <x:v>299.95</x:v>
      </x:c>
      <x:c r="J2328" s="3"/>
      <x:c r="K2328" s="3"/>
      <x:c r="L2328" s="3"/>
    </x:row>
    <x:row r="2329" ht="22" customHeight="1">
      <x:c r="A2329" s="3"/>
      <x:c r="B2329" s="3" t="str">
        <x:v>14905</x:v>
      </x:c>
      <x:c r="C2329" s="3" t="n">
        <x:v>2</x:v>
      </x:c>
      <x:c r="D2329" s="51" t="n">
        <x:v>40729</x:v>
      </x:c>
      <x:c r="E2329" s="3" t="str">
        <x:v>Recurrente</x:v>
      </x:c>
      <x:c r="F2329" s="13" t="n">
        <x:v>616.15</x:v>
      </x:c>
      <x:c r="G2329" s="13" t="n">
        <x:v>16.25</x:v>
      </x:c>
      <x:c r="H2329" s="13" t="n">
        <x:f>F2329-G2329</x:f>
        <x:v>599.9</x:v>
      </x:c>
      <x:c r="I2329" s="13" t="n">
        <x:f>IF(C2329=0,"n.a.",F2329/C2329)</x:f>
        <x:v>308.075</x:v>
      </x:c>
      <x:c r="J2329" s="3"/>
      <x:c r="K2329" s="3"/>
      <x:c r="L2329" s="3"/>
    </x:row>
    <x:row r="2330" ht="22" customHeight="1">
      <x:c r="A2330" s="3"/>
      <x:c r="B2330" s="3" t="str">
        <x:v>15573</x:v>
      </x:c>
      <x:c r="C2330" s="3" t="n">
        <x:v>2</x:v>
      </x:c>
      <x:c r="D2330" s="51" t="n">
        <x:v>40855</x:v>
      </x:c>
      <x:c r="E2330" s="3" t="str">
        <x:v>Recurrente</x:v>
      </x:c>
      <x:c r="F2330" s="13" t="n">
        <x:v>599.5</x:v>
      </x:c>
      <x:c r="G2330" s="13" t="n">
        <x:v>0</x:v>
      </x:c>
      <x:c r="H2330" s="13" t="n">
        <x:f>F2330-G2330</x:f>
        <x:v>599.5</x:v>
      </x:c>
      <x:c r="I2330" s="13" t="n">
        <x:f>IF(C2330=0,"n.a.",F2330/C2330)</x:f>
        <x:v>299.75</x:v>
      </x:c>
      <x:c r="J2330" s="3"/>
      <x:c r="K2330" s="3"/>
      <x:c r="L2330" s="3"/>
    </x:row>
    <x:row r="2331" ht="22" customHeight="1">
      <x:c r="A2331" s="3"/>
      <x:c r="B2331" s="3" t="str">
        <x:v>14965</x:v>
      </x:c>
      <x:c r="C2331" s="3" t="n">
        <x:v>2</x:v>
      </x:c>
      <x:c r="D2331" s="51" t="n">
        <x:v>40790</x:v>
      </x:c>
      <x:c r="E2331" s="3" t="str">
        <x:v>Recurrente</x:v>
      </x:c>
      <x:c r="F2331" s="13" t="n">
        <x:v>599</x:v>
      </x:c>
      <x:c r="G2331" s="13" t="n">
        <x:v>0</x:v>
      </x:c>
      <x:c r="H2331" s="13" t="n">
        <x:f>F2331-G2331</x:f>
        <x:v>599</x:v>
      </x:c>
      <x:c r="I2331" s="13" t="n">
        <x:f>IF(C2331=0,"n.a.",F2331/C2331)</x:f>
        <x:v>299.5</x:v>
      </x:c>
      <x:c r="J2331" s="3"/>
      <x:c r="K2331" s="3"/>
      <x:c r="L2331" s="3"/>
    </x:row>
    <x:row r="2332" ht="22" customHeight="1">
      <x:c r="A2332" s="3"/>
      <x:c r="B2332" s="3" t="str">
        <x:v>17420</x:v>
      </x:c>
      <x:c r="C2332" s="3" t="n">
        <x:v>3</x:v>
      </x:c>
      <x:c r="D2332" s="51" t="n">
        <x:v>40836</x:v>
      </x:c>
      <x:c r="E2332" s="3" t="str">
        <x:v>Recurrente</x:v>
      </x:c>
      <x:c r="F2332" s="13" t="n">
        <x:v>598.83</x:v>
      </x:c>
      <x:c r="G2332" s="13" t="n">
        <x:v>0</x:v>
      </x:c>
      <x:c r="H2332" s="13" t="n">
        <x:f>F2332-G2332</x:f>
        <x:v>598.83</x:v>
      </x:c>
      <x:c r="I2332" s="13" t="n">
        <x:f>IF(C2332=0,"n.a.",F2332/C2332)</x:f>
        <x:v>199.61</x:v>
      </x:c>
      <x:c r="J2332" s="3"/>
      <x:c r="K2332" s="3"/>
      <x:c r="L2332" s="3"/>
    </x:row>
    <x:row r="2333" ht="22" customHeight="1">
      <x:c r="A2333" s="3"/>
      <x:c r="B2333" s="3" t="str">
        <x:v>14467</x:v>
      </x:c>
      <x:c r="C2333" s="3" t="n">
        <x:v>4</x:v>
      </x:c>
      <x:c r="D2333" s="51" t="n">
        <x:v>40869</x:v>
      </x:c>
      <x:c r="E2333" s="3" t="str">
        <x:v>Recurrente</x:v>
      </x:c>
      <x:c r="F2333" s="13" t="n">
        <x:v>598.76</x:v>
      </x:c>
      <x:c r="G2333" s="13" t="n">
        <x:v>0</x:v>
      </x:c>
      <x:c r="H2333" s="13" t="n">
        <x:f>F2333-G2333</x:f>
        <x:v>598.76</x:v>
      </x:c>
      <x:c r="I2333" s="13" t="n">
        <x:f>IF(C2333=0,"n.a.",F2333/C2333)</x:f>
        <x:v>149.69</x:v>
      </x:c>
      <x:c r="J2333" s="3"/>
      <x:c r="K2333" s="3"/>
      <x:c r="L2333" s="3"/>
    </x:row>
    <x:row r="2334" ht="22" customHeight="1">
      <x:c r="A2334" s="3"/>
      <x:c r="B2334" s="3" t="str">
        <x:v>15720</x:v>
      </x:c>
      <x:c r="C2334" s="3" t="n">
        <x:v>1</x:v>
      </x:c>
      <x:c r="D2334" s="51" t="n">
        <x:v>40862</x:v>
      </x:c>
      <x:c r="E2334" s="3" t="str">
        <x:v>Una compra</x:v>
      </x:c>
      <x:c r="F2334" s="13" t="n">
        <x:v>598.73</x:v>
      </x:c>
      <x:c r="G2334" s="13" t="n">
        <x:v>0</x:v>
      </x:c>
      <x:c r="H2334" s="13" t="n">
        <x:f>F2334-G2334</x:f>
        <x:v>598.73</x:v>
      </x:c>
      <x:c r="I2334" s="13" t="n">
        <x:f>IF(C2334=0,"n.a.",F2334/C2334)</x:f>
        <x:v>598.73</x:v>
      </x:c>
      <x:c r="J2334" s="3"/>
      <x:c r="K2334" s="3"/>
      <x:c r="L2334" s="3"/>
    </x:row>
    <x:row r="2335" ht="22" customHeight="1">
      <x:c r="A2335" s="3"/>
      <x:c r="B2335" s="3" t="str">
        <x:v>13311</x:v>
      </x:c>
      <x:c r="C2335" s="3" t="n">
        <x:v>2</x:v>
      </x:c>
      <x:c r="D2335" s="51" t="n">
        <x:v>40882</x:v>
      </x:c>
      <x:c r="E2335" s="3" t="str">
        <x:v>Recurrente</x:v>
      </x:c>
      <x:c r="F2335" s="13" t="n">
        <x:v>598.57</x:v>
      </x:c>
      <x:c r="G2335" s="13" t="n">
        <x:v>0</x:v>
      </x:c>
      <x:c r="H2335" s="13" t="n">
        <x:f>F2335-G2335</x:f>
        <x:v>598.57</x:v>
      </x:c>
      <x:c r="I2335" s="13" t="n">
        <x:f>IF(C2335=0,"n.a.",F2335/C2335)</x:f>
        <x:v>299.285</x:v>
      </x:c>
      <x:c r="J2335" s="3"/>
      <x:c r="K2335" s="3"/>
      <x:c r="L2335" s="3"/>
    </x:row>
    <x:row r="2336" ht="22" customHeight="1">
      <x:c r="A2336" s="3"/>
      <x:c r="B2336" s="3" t="str">
        <x:v>13959</x:v>
      </x:c>
      <x:c r="C2336" s="3" t="n">
        <x:v>3</x:v>
      </x:c>
      <x:c r="D2336" s="51" t="n">
        <x:v>40807</x:v>
      </x:c>
      <x:c r="E2336" s="3" t="str">
        <x:v>Recurrente</x:v>
      </x:c>
      <x:c r="F2336" s="13" t="n">
        <x:v>598.2</x:v>
      </x:c>
      <x:c r="G2336" s="13" t="n">
        <x:v>0</x:v>
      </x:c>
      <x:c r="H2336" s="13" t="n">
        <x:f>F2336-G2336</x:f>
        <x:v>598.2</x:v>
      </x:c>
      <x:c r="I2336" s="13" t="n">
        <x:f>IF(C2336=0,"n.a.",F2336/C2336)</x:f>
        <x:v>199.4</x:v>
      </x:c>
      <x:c r="J2336" s="3"/>
      <x:c r="K2336" s="3"/>
      <x:c r="L2336" s="3"/>
    </x:row>
    <x:row r="2337" ht="22" customHeight="1">
      <x:c r="A2337" s="3"/>
      <x:c r="B2337" s="3" t="str">
        <x:v>16298</x:v>
      </x:c>
      <x:c r="C2337" s="3" t="n">
        <x:v>3</x:v>
      </x:c>
      <x:c r="D2337" s="51" t="n">
        <x:v>40864</x:v>
      </x:c>
      <x:c r="E2337" s="3" t="str">
        <x:v>Recurrente</x:v>
      </x:c>
      <x:c r="F2337" s="13" t="n">
        <x:v>598.2</x:v>
      </x:c>
      <x:c r="G2337" s="13" t="n">
        <x:v>0</x:v>
      </x:c>
      <x:c r="H2337" s="13" t="n">
        <x:f>F2337-G2337</x:f>
        <x:v>598.2</x:v>
      </x:c>
      <x:c r="I2337" s="13" t="n">
        <x:f>IF(C2337=0,"n.a.",F2337/C2337)</x:f>
        <x:v>199.4</x:v>
      </x:c>
      <x:c r="J2337" s="3"/>
      <x:c r="K2337" s="3"/>
      <x:c r="L2337" s="3"/>
    </x:row>
    <x:row r="2338" ht="22" customHeight="1">
      <x:c r="A2338" s="3"/>
      <x:c r="B2338" s="3" t="str">
        <x:v>17864</x:v>
      </x:c>
      <x:c r="C2338" s="3" t="n">
        <x:v>3</x:v>
      </x:c>
      <x:c r="D2338" s="51" t="n">
        <x:v>40874</x:v>
      </x:c>
      <x:c r="E2338" s="3" t="str">
        <x:v>Recurrente</x:v>
      </x:c>
      <x:c r="F2338" s="13" t="n">
        <x:v>597.5</x:v>
      </x:c>
      <x:c r="G2338" s="13" t="n">
        <x:v>0</x:v>
      </x:c>
      <x:c r="H2338" s="13" t="n">
        <x:f>F2338-G2338</x:f>
        <x:v>597.5</x:v>
      </x:c>
      <x:c r="I2338" s="13" t="n">
        <x:f>IF(C2338=0,"n.a.",F2338/C2338)</x:f>
        <x:v>199.16666666666666</x:v>
      </x:c>
      <x:c r="J2338" s="3"/>
      <x:c r="K2338" s="3"/>
      <x:c r="L2338" s="3"/>
    </x:row>
    <x:row r="2339" ht="22" customHeight="1">
      <x:c r="A2339" s="3"/>
      <x:c r="B2339" s="3" t="str">
        <x:v>14645</x:v>
      </x:c>
      <x:c r="C2339" s="3" t="n">
        <x:v>2</x:v>
      </x:c>
      <x:c r="D2339" s="51" t="n">
        <x:v>40730</x:v>
      </x:c>
      <x:c r="E2339" s="3" t="str">
        <x:v>Recurrente</x:v>
      </x:c>
      <x:c r="F2339" s="13" t="n">
        <x:v>597.09</x:v>
      </x:c>
      <x:c r="G2339" s="13" t="n">
        <x:v>0</x:v>
      </x:c>
      <x:c r="H2339" s="13" t="n">
        <x:f>F2339-G2339</x:f>
        <x:v>597.09</x:v>
      </x:c>
      <x:c r="I2339" s="13" t="n">
        <x:f>IF(C2339=0,"n.a.",F2339/C2339)</x:f>
        <x:v>298.545</x:v>
      </x:c>
      <x:c r="J2339" s="3"/>
      <x:c r="K2339" s="3"/>
      <x:c r="L2339" s="3"/>
    </x:row>
    <x:row r="2340" ht="22" customHeight="1">
      <x:c r="A2340" s="3"/>
      <x:c r="B2340" s="3" t="str">
        <x:v>15381</x:v>
      </x:c>
      <x:c r="C2340" s="3" t="n">
        <x:v>2</x:v>
      </x:c>
      <x:c r="D2340" s="51" t="n">
        <x:v>40673</x:v>
      </x:c>
      <x:c r="E2340" s="3" t="str">
        <x:v>Recurrente</x:v>
      </x:c>
      <x:c r="F2340" s="13" t="n">
        <x:v>596.85</x:v>
      </x:c>
      <x:c r="G2340" s="13" t="n">
        <x:v>0</x:v>
      </x:c>
      <x:c r="H2340" s="13" t="n">
        <x:f>F2340-G2340</x:f>
        <x:v>596.85</x:v>
      </x:c>
      <x:c r="I2340" s="13" t="n">
        <x:f>IF(C2340=0,"n.a.",F2340/C2340)</x:f>
        <x:v>298.425</x:v>
      </x:c>
      <x:c r="J2340" s="3"/>
      <x:c r="K2340" s="3"/>
      <x:c r="L2340" s="3"/>
    </x:row>
    <x:row r="2341" ht="22" customHeight="1">
      <x:c r="A2341" s="3"/>
      <x:c r="B2341" s="3" t="str">
        <x:v>18246</x:v>
      </x:c>
      <x:c r="C2341" s="3" t="n">
        <x:v>2</x:v>
      </x:c>
      <x:c r="D2341" s="51" t="n">
        <x:v>40863</x:v>
      </x:c>
      <x:c r="E2341" s="3" t="str">
        <x:v>Recurrente</x:v>
      </x:c>
      <x:c r="F2341" s="13" t="n">
        <x:v>596.1</x:v>
      </x:c>
      <x:c r="G2341" s="13" t="n">
        <x:v>0</x:v>
      </x:c>
      <x:c r="H2341" s="13" t="n">
        <x:f>F2341-G2341</x:f>
        <x:v>596.1</x:v>
      </x:c>
      <x:c r="I2341" s="13" t="n">
        <x:f>IF(C2341=0,"n.a.",F2341/C2341)</x:f>
        <x:v>298.05</x:v>
      </x:c>
      <x:c r="J2341" s="3"/>
      <x:c r="K2341" s="3"/>
      <x:c r="L2341" s="3"/>
    </x:row>
    <x:row r="2342" ht="22" customHeight="1">
      <x:c r="A2342" s="3"/>
      <x:c r="B2342" s="3" t="str">
        <x:v>16788</x:v>
      </x:c>
      <x:c r="C2342" s="3" t="n">
        <x:v>2</x:v>
      </x:c>
      <x:c r="D2342" s="51" t="n">
        <x:v>40763</x:v>
      </x:c>
      <x:c r="E2342" s="3" t="str">
        <x:v>Recurrente</x:v>
      </x:c>
      <x:c r="F2342" s="13" t="n">
        <x:v>595.83</x:v>
      </x:c>
      <x:c r="G2342" s="13" t="n">
        <x:v>0</x:v>
      </x:c>
      <x:c r="H2342" s="13" t="n">
        <x:f>F2342-G2342</x:f>
        <x:v>595.83</x:v>
      </x:c>
      <x:c r="I2342" s="13" t="n">
        <x:f>IF(C2342=0,"n.a.",F2342/C2342)</x:f>
        <x:v>297.915</x:v>
      </x:c>
      <x:c r="J2342" s="3"/>
      <x:c r="K2342" s="3"/>
      <x:c r="L2342" s="3"/>
    </x:row>
    <x:row r="2343" ht="22" customHeight="1">
      <x:c r="A2343" s="3"/>
      <x:c r="B2343" s="3" t="str">
        <x:v>16654</x:v>
      </x:c>
      <x:c r="C2343" s="3" t="n">
        <x:v>4</x:v>
      </x:c>
      <x:c r="D2343" s="51" t="n">
        <x:v>40745</x:v>
      </x:c>
      <x:c r="E2343" s="3" t="str">
        <x:v>Recurrente</x:v>
      </x:c>
      <x:c r="F2343" s="13" t="n">
        <x:v>601.27</x:v>
      </x:c>
      <x:c r="G2343" s="13" t="n">
        <x:v>6.3</x:v>
      </x:c>
      <x:c r="H2343" s="13" t="n">
        <x:f>F2343-G2343</x:f>
        <x:v>594.97</x:v>
      </x:c>
      <x:c r="I2343" s="13" t="n">
        <x:f>IF(C2343=0,"n.a.",F2343/C2343)</x:f>
        <x:v>150.3175</x:v>
      </x:c>
      <x:c r="J2343" s="3"/>
      <x:c r="K2343" s="3"/>
      <x:c r="L2343" s="3"/>
    </x:row>
    <x:row r="2344" ht="22" customHeight="1">
      <x:c r="A2344" s="3"/>
      <x:c r="B2344" s="3" t="str">
        <x:v>16763</x:v>
      </x:c>
      <x:c r="C2344" s="3" t="n">
        <x:v>1</x:v>
      </x:c>
      <x:c r="D2344" s="51" t="n">
        <x:v>40688</x:v>
      </x:c>
      <x:c r="E2344" s="3" t="str">
        <x:v>Una compra</x:v>
      </x:c>
      <x:c r="F2344" s="13" t="n">
        <x:v>611.85</x:v>
      </x:c>
      <x:c r="G2344" s="13" t="n">
        <x:v>16.95</x:v>
      </x:c>
      <x:c r="H2344" s="13" t="n">
        <x:f>F2344-G2344</x:f>
        <x:v>594.9</x:v>
      </x:c>
      <x:c r="I2344" s="13" t="n">
        <x:f>IF(C2344=0,"n.a.",F2344/C2344)</x:f>
        <x:v>611.85</x:v>
      </x:c>
      <x:c r="J2344" s="3"/>
      <x:c r="K2344" s="3"/>
      <x:c r="L2344" s="3"/>
    </x:row>
    <x:row r="2345" ht="22" customHeight="1">
      <x:c r="A2345" s="3"/>
      <x:c r="B2345" s="3" t="str">
        <x:v>14108</x:v>
      </x:c>
      <x:c r="C2345" s="3" t="n">
        <x:v>2</x:v>
      </x:c>
      <x:c r="D2345" s="51" t="n">
        <x:v>40856</x:v>
      </x:c>
      <x:c r="E2345" s="3" t="str">
        <x:v>Recurrente</x:v>
      </x:c>
      <x:c r="F2345" s="13" t="n">
        <x:v>597.91</x:v>
      </x:c>
      <x:c r="G2345" s="13" t="n">
        <x:v>3.75</x:v>
      </x:c>
      <x:c r="H2345" s="13" t="n">
        <x:f>F2345-G2345</x:f>
        <x:v>594.16</x:v>
      </x:c>
      <x:c r="I2345" s="13" t="n">
        <x:f>IF(C2345=0,"n.a.",F2345/C2345)</x:f>
        <x:v>298.955</x:v>
      </x:c>
      <x:c r="J2345" s="3"/>
      <x:c r="K2345" s="3"/>
      <x:c r="L2345" s="3"/>
    </x:row>
    <x:row r="2346" ht="22" customHeight="1">
      <x:c r="A2346" s="3"/>
      <x:c r="B2346" s="3" t="str">
        <x:v>12917</x:v>
      </x:c>
      <x:c r="C2346" s="3" t="n">
        <x:v>1</x:v>
      </x:c>
      <x:c r="D2346" s="51" t="n">
        <x:v>40758</x:v>
      </x:c>
      <x:c r="E2346" s="3" t="str">
        <x:v>Una compra</x:v>
      </x:c>
      <x:c r="F2346" s="13" t="n">
        <x:v>594</x:v>
      </x:c>
      <x:c r="G2346" s="13" t="n">
        <x:v>0</x:v>
      </x:c>
      <x:c r="H2346" s="13" t="n">
        <x:f>F2346-G2346</x:f>
        <x:v>594</x:v>
      </x:c>
      <x:c r="I2346" s="13" t="n">
        <x:f>IF(C2346=0,"n.a.",F2346/C2346)</x:f>
        <x:v>594</x:v>
      </x:c>
      <x:c r="J2346" s="3"/>
      <x:c r="K2346" s="3"/>
      <x:c r="L2346" s="3"/>
    </x:row>
    <x:row r="2347" ht="22" customHeight="1">
      <x:c r="A2347" s="3"/>
      <x:c r="B2347" s="3" t="str">
        <x:v>15442</x:v>
      </x:c>
      <x:c r="C2347" s="3" t="n">
        <x:v>1</x:v>
      </x:c>
      <x:c r="D2347" s="51" t="n">
        <x:v>40638</x:v>
      </x:c>
      <x:c r="E2347" s="3" t="str">
        <x:v>Una compra</x:v>
      </x:c>
      <x:c r="F2347" s="13" t="n">
        <x:v>594</x:v>
      </x:c>
      <x:c r="G2347" s="13" t="n">
        <x:v>0</x:v>
      </x:c>
      <x:c r="H2347" s="13" t="n">
        <x:f>F2347-G2347</x:f>
        <x:v>594</x:v>
      </x:c>
      <x:c r="I2347" s="13" t="n">
        <x:f>IF(C2347=0,"n.a.",F2347/C2347)</x:f>
        <x:v>594</x:v>
      </x:c>
      <x:c r="J2347" s="3"/>
      <x:c r="K2347" s="3"/>
      <x:c r="L2347" s="3"/>
    </x:row>
    <x:row r="2348" ht="22" customHeight="1">
      <x:c r="A2348" s="3"/>
      <x:c r="B2348" s="3" t="str">
        <x:v>16535</x:v>
      </x:c>
      <x:c r="C2348" s="3" t="n">
        <x:v>1</x:v>
      </x:c>
      <x:c r="D2348" s="51" t="n">
        <x:v>40881</x:v>
      </x:c>
      <x:c r="E2348" s="3" t="str">
        <x:v>Una compra</x:v>
      </x:c>
      <x:c r="F2348" s="13" t="n">
        <x:v>593.75</x:v>
      </x:c>
      <x:c r="G2348" s="13" t="n">
        <x:v>0</x:v>
      </x:c>
      <x:c r="H2348" s="13" t="n">
        <x:f>F2348-G2348</x:f>
        <x:v>593.75</x:v>
      </x:c>
      <x:c r="I2348" s="13" t="n">
        <x:f>IF(C2348=0,"n.a.",F2348/C2348)</x:f>
        <x:v>593.75</x:v>
      </x:c>
      <x:c r="J2348" s="3"/>
      <x:c r="K2348" s="3"/>
      <x:c r="L2348" s="3"/>
    </x:row>
    <x:row r="2349" ht="22" customHeight="1">
      <x:c r="A2349" s="3"/>
      <x:c r="B2349" s="3" t="str">
        <x:v>17119</x:v>
      </x:c>
      <x:c r="C2349" s="3" t="n">
        <x:v>2</x:v>
      </x:c>
      <x:c r="D2349" s="51" t="n">
        <x:v>40883</x:v>
      </x:c>
      <x:c r="E2349" s="3" t="str">
        <x:v>Recurrente</x:v>
      </x:c>
      <x:c r="F2349" s="13" t="n">
        <x:v>606.91</x:v>
      </x:c>
      <x:c r="G2349" s="13" t="n">
        <x:v>13.3</x:v>
      </x:c>
      <x:c r="H2349" s="13" t="n">
        <x:f>F2349-G2349</x:f>
        <x:v>593.61</x:v>
      </x:c>
      <x:c r="I2349" s="13" t="n">
        <x:f>IF(C2349=0,"n.a.",F2349/C2349)</x:f>
        <x:v>303.455</x:v>
      </x:c>
      <x:c r="J2349" s="3"/>
      <x:c r="K2349" s="3"/>
      <x:c r="L2349" s="3"/>
    </x:row>
    <x:row r="2350" ht="22" customHeight="1">
      <x:c r="A2350" s="3"/>
      <x:c r="B2350" s="3" t="str">
        <x:v>16116</x:v>
      </x:c>
      <x:c r="C2350" s="3" t="n">
        <x:v>1</x:v>
      </x:c>
      <x:c r="D2350" s="51" t="n">
        <x:v>40675</x:v>
      </x:c>
      <x:c r="E2350" s="3" t="str">
        <x:v>Una compra</x:v>
      </x:c>
      <x:c r="F2350" s="13" t="n">
        <x:v>612.78</x:v>
      </x:c>
      <x:c r="G2350" s="13" t="n">
        <x:v>19.9</x:v>
      </x:c>
      <x:c r="H2350" s="13" t="n">
        <x:f>F2350-G2350</x:f>
        <x:v>592.88</x:v>
      </x:c>
      <x:c r="I2350" s="13" t="n">
        <x:f>IF(C2350=0,"n.a.",F2350/C2350)</x:f>
        <x:v>612.78</x:v>
      </x:c>
      <x:c r="J2350" s="3"/>
      <x:c r="K2350" s="3"/>
      <x:c r="L2350" s="3"/>
    </x:row>
    <x:row r="2351" ht="22" customHeight="1">
      <x:c r="A2351" s="3"/>
      <x:c r="B2351" s="3" t="str">
        <x:v>12577</x:v>
      </x:c>
      <x:c r="C2351" s="3" t="n">
        <x:v>3</x:v>
      </x:c>
      <x:c r="D2351" s="51" t="n">
        <x:v>40851</x:v>
      </x:c>
      <x:c r="E2351" s="3" t="str">
        <x:v>Recurrente</x:v>
      </x:c>
      <x:c r="F2351" s="13" t="n">
        <x:v>653.85</x:v>
      </x:c>
      <x:c r="G2351" s="13" t="n">
        <x:v>62.4</x:v>
      </x:c>
      <x:c r="H2351" s="13" t="n">
        <x:f>F2351-G2351</x:f>
        <x:v>591.45</x:v>
      </x:c>
      <x:c r="I2351" s="13" t="n">
        <x:f>IF(C2351=0,"n.a.",F2351/C2351)</x:f>
        <x:v>217.95000000000002</x:v>
      </x:c>
      <x:c r="J2351" s="3"/>
      <x:c r="K2351" s="3"/>
      <x:c r="L2351" s="3"/>
    </x:row>
    <x:row r="2352" ht="22" customHeight="1">
      <x:c r="A2352" s="3"/>
      <x:c r="B2352" s="3" t="str">
        <x:v>13276</x:v>
      </x:c>
      <x:c r="C2352" s="3" t="n">
        <x:v>2</x:v>
      </x:c>
      <x:c r="D2352" s="51" t="n">
        <x:v>40823</x:v>
      </x:c>
      <x:c r="E2352" s="3" t="str">
        <x:v>Recurrente</x:v>
      </x:c>
      <x:c r="F2352" s="13" t="n">
        <x:v>590.93</x:v>
      </x:c>
      <x:c r="G2352" s="13" t="n">
        <x:v>0</x:v>
      </x:c>
      <x:c r="H2352" s="13" t="n">
        <x:f>F2352-G2352</x:f>
        <x:v>590.93</x:v>
      </x:c>
      <x:c r="I2352" s="13" t="n">
        <x:f>IF(C2352=0,"n.a.",F2352/C2352)</x:f>
        <x:v>295.465</x:v>
      </x:c>
      <x:c r="J2352" s="3"/>
      <x:c r="K2352" s="3"/>
      <x:c r="L2352" s="3"/>
    </x:row>
    <x:row r="2353" ht="22" customHeight="1">
      <x:c r="A2353" s="3"/>
      <x:c r="B2353" s="3" t="str">
        <x:v>14133</x:v>
      </x:c>
      <x:c r="C2353" s="3" t="n">
        <x:v>3</x:v>
      </x:c>
      <x:c r="D2353" s="51" t="n">
        <x:v>40757</x:v>
      </x:c>
      <x:c r="E2353" s="3" t="str">
        <x:v>Recurrente</x:v>
      </x:c>
      <x:c r="F2353" s="13" t="n">
        <x:v>605.64</x:v>
      </x:c>
      <x:c r="G2353" s="13" t="n">
        <x:v>15.3</x:v>
      </x:c>
      <x:c r="H2353" s="13" t="n">
        <x:f>F2353-G2353</x:f>
        <x:v>590.34</x:v>
      </x:c>
      <x:c r="I2353" s="13" t="n">
        <x:f>IF(C2353=0,"n.a.",F2353/C2353)</x:f>
        <x:v>201.88</x:v>
      </x:c>
      <x:c r="J2353" s="3"/>
      <x:c r="K2353" s="3"/>
      <x:c r="L2353" s="3"/>
    </x:row>
    <x:row r="2354" ht="22" customHeight="1">
      <x:c r="A2354" s="3"/>
      <x:c r="B2354" s="3" t="str">
        <x:v>14410</x:v>
      </x:c>
      <x:c r="C2354" s="3" t="n">
        <x:v>9</x:v>
      </x:c>
      <x:c r="D2354" s="51" t="n">
        <x:v>40794</x:v>
      </x:c>
      <x:c r="E2354" s="3" t="str">
        <x:v>Recurrente</x:v>
      </x:c>
      <x:c r="F2354" s="13" t="n">
        <x:v>1104.07</x:v>
      </x:c>
      <x:c r="G2354" s="13" t="n">
        <x:v>513.77</x:v>
      </x:c>
      <x:c r="H2354" s="13" t="n">
        <x:f>F2354-G2354</x:f>
        <x:v>590.3</x:v>
      </x:c>
      <x:c r="I2354" s="13" t="n">
        <x:f>IF(C2354=0,"n.a.",F2354/C2354)</x:f>
        <x:v>122.67444444444443</x:v>
      </x:c>
      <x:c r="J2354" s="3"/>
      <x:c r="K2354" s="3"/>
      <x:c r="L2354" s="3"/>
    </x:row>
    <x:row r="2355" ht="22" customHeight="1">
      <x:c r="A2355" s="3"/>
      <x:c r="B2355" s="3" t="str">
        <x:v>13270</x:v>
      </x:c>
      <x:c r="C2355" s="3" t="n">
        <x:v>1</x:v>
      </x:c>
      <x:c r="D2355" s="51" t="n">
        <x:v>40520</x:v>
      </x:c>
      <x:c r="E2355" s="3" t="str">
        <x:v>Una compra</x:v>
      </x:c>
      <x:c r="F2355" s="13" t="n">
        <x:v>590</x:v>
      </x:c>
      <x:c r="G2355" s="13" t="n">
        <x:v>0</x:v>
      </x:c>
      <x:c r="H2355" s="13" t="n">
        <x:f>F2355-G2355</x:f>
        <x:v>590</x:v>
      </x:c>
      <x:c r="I2355" s="13" t="n">
        <x:f>IF(C2355=0,"n.a.",F2355/C2355)</x:f>
        <x:v>590</x:v>
      </x:c>
      <x:c r="J2355" s="3"/>
      <x:c r="K2355" s="3"/>
      <x:c r="L2355" s="3"/>
    </x:row>
    <x:row r="2356" ht="22" customHeight="1">
      <x:c r="A2356" s="3"/>
      <x:c r="B2356" s="3" t="str">
        <x:v>13452</x:v>
      </x:c>
      <x:c r="C2356" s="3" t="n">
        <x:v>2</x:v>
      </x:c>
      <x:c r="D2356" s="51" t="n">
        <x:v>40627</x:v>
      </x:c>
      <x:c r="E2356" s="3" t="str">
        <x:v>Recurrente</x:v>
      </x:c>
      <x:c r="F2356" s="13" t="n">
        <x:v>590</x:v>
      </x:c>
      <x:c r="G2356" s="13" t="n">
        <x:v>0</x:v>
      </x:c>
      <x:c r="H2356" s="13" t="n">
        <x:f>F2356-G2356</x:f>
        <x:v>590</x:v>
      </x:c>
      <x:c r="I2356" s="13" t="n">
        <x:f>IF(C2356=0,"n.a.",F2356/C2356)</x:f>
        <x:v>295</x:v>
      </x:c>
      <x:c r="J2356" s="3"/>
      <x:c r="K2356" s="3"/>
      <x:c r="L2356" s="3"/>
    </x:row>
    <x:row r="2357" ht="22" customHeight="1">
      <x:c r="A2357" s="3"/>
      <x:c r="B2357" s="3" t="str">
        <x:v>14882</x:v>
      </x:c>
      <x:c r="C2357" s="3" t="n">
        <x:v>2</x:v>
      </x:c>
      <x:c r="D2357" s="51" t="n">
        <x:v>40860</x:v>
      </x:c>
      <x:c r="E2357" s="3" t="str">
        <x:v>Recurrente</x:v>
      </x:c>
      <x:c r="F2357" s="13" t="n">
        <x:v>589.7</x:v>
      </x:c>
      <x:c r="G2357" s="13" t="n">
        <x:v>0</x:v>
      </x:c>
      <x:c r="H2357" s="13" t="n">
        <x:f>F2357-G2357</x:f>
        <x:v>589.7</x:v>
      </x:c>
      <x:c r="I2357" s="13" t="n">
        <x:f>IF(C2357=0,"n.a.",F2357/C2357)</x:f>
        <x:v>294.85</x:v>
      </x:c>
      <x:c r="J2357" s="3"/>
      <x:c r="K2357" s="3"/>
      <x:c r="L2357" s="3"/>
    </x:row>
    <x:row r="2358" ht="22" customHeight="1">
      <x:c r="A2358" s="3"/>
      <x:c r="B2358" s="3" t="str">
        <x:v>18123</x:v>
      </x:c>
      <x:c r="C2358" s="3" t="n">
        <x:v>2</x:v>
      </x:c>
      <x:c r="D2358" s="51" t="n">
        <x:v>40862</x:v>
      </x:c>
      <x:c r="E2358" s="3" t="str">
        <x:v>Recurrente</x:v>
      </x:c>
      <x:c r="F2358" s="13" t="n">
        <x:v>589.44</x:v>
      </x:c>
      <x:c r="G2358" s="13" t="n">
        <x:v>0</x:v>
      </x:c>
      <x:c r="H2358" s="13" t="n">
        <x:f>F2358-G2358</x:f>
        <x:v>589.44</x:v>
      </x:c>
      <x:c r="I2358" s="13" t="n">
        <x:f>IF(C2358=0,"n.a.",F2358/C2358)</x:f>
        <x:v>294.72</x:v>
      </x:c>
      <x:c r="J2358" s="3"/>
      <x:c r="K2358" s="3"/>
      <x:c r="L2358" s="3"/>
    </x:row>
    <x:row r="2359" ht="22" customHeight="1">
      <x:c r="A2359" s="3"/>
      <x:c r="B2359" s="3" t="str">
        <x:v>16203</x:v>
      </x:c>
      <x:c r="C2359" s="3" t="n">
        <x:v>4</x:v>
      </x:c>
      <x:c r="D2359" s="51" t="n">
        <x:v>40828</x:v>
      </x:c>
      <x:c r="E2359" s="3" t="str">
        <x:v>Recurrente</x:v>
      </x:c>
      <x:c r="F2359" s="13" t="n">
        <x:v>592.9</x:v>
      </x:c>
      <x:c r="G2359" s="13" t="n">
        <x:v>3.75</x:v>
      </x:c>
      <x:c r="H2359" s="13" t="n">
        <x:f>F2359-G2359</x:f>
        <x:v>589.15</x:v>
      </x:c>
      <x:c r="I2359" s="13" t="n">
        <x:f>IF(C2359=0,"n.a.",F2359/C2359)</x:f>
        <x:v>148.225</x:v>
      </x:c>
      <x:c r="J2359" s="3"/>
      <x:c r="K2359" s="3"/>
      <x:c r="L2359" s="3"/>
    </x:row>
    <x:row r="2360" ht="22" customHeight="1">
      <x:c r="A2360" s="3"/>
      <x:c r="B2360" s="3" t="str">
        <x:v>16723</x:v>
      </x:c>
      <x:c r="C2360" s="3" t="n">
        <x:v>2</x:v>
      </x:c>
      <x:c r="D2360" s="51" t="n">
        <x:v>40795</x:v>
      </x:c>
      <x:c r="E2360" s="3" t="str">
        <x:v>Recurrente</x:v>
      </x:c>
      <x:c r="F2360" s="13" t="n">
        <x:v>589.15</x:v>
      </x:c>
      <x:c r="G2360" s="13" t="n">
        <x:v>0</x:v>
      </x:c>
      <x:c r="H2360" s="13" t="n">
        <x:f>F2360-G2360</x:f>
        <x:v>589.15</x:v>
      </x:c>
      <x:c r="I2360" s="13" t="n">
        <x:f>IF(C2360=0,"n.a.",F2360/C2360)</x:f>
        <x:v>294.575</x:v>
      </x:c>
      <x:c r="J2360" s="3"/>
      <x:c r="K2360" s="3"/>
      <x:c r="L2360" s="3"/>
    </x:row>
    <x:row r="2361" ht="22" customHeight="1">
      <x:c r="A2361" s="3"/>
      <x:c r="B2361" s="3" t="str">
        <x:v>15624</x:v>
      </x:c>
      <x:c r="C2361" s="3" t="n">
        <x:v>4</x:v>
      </x:c>
      <x:c r="D2361" s="51" t="n">
        <x:v>40770</x:v>
      </x:c>
      <x:c r="E2361" s="3" t="str">
        <x:v>Recurrente</x:v>
      </x:c>
      <x:c r="F2361" s="13" t="n">
        <x:v>588.13</x:v>
      </x:c>
      <x:c r="G2361" s="13" t="n">
        <x:v>0</x:v>
      </x:c>
      <x:c r="H2361" s="13" t="n">
        <x:f>F2361-G2361</x:f>
        <x:v>588.13</x:v>
      </x:c>
      <x:c r="I2361" s="13" t="n">
        <x:f>IF(C2361=0,"n.a.",F2361/C2361)</x:f>
        <x:v>147.0325</x:v>
      </x:c>
      <x:c r="J2361" s="3"/>
      <x:c r="K2361" s="3"/>
      <x:c r="L2361" s="3"/>
    </x:row>
    <x:row r="2362" ht="22" customHeight="1">
      <x:c r="A2362" s="3"/>
      <x:c r="B2362" s="3" t="str">
        <x:v>17351</x:v>
      </x:c>
      <x:c r="C2362" s="3" t="n">
        <x:v>3</x:v>
      </x:c>
      <x:c r="D2362" s="51" t="n">
        <x:v>40850</x:v>
      </x:c>
      <x:c r="E2362" s="3" t="str">
        <x:v>Recurrente</x:v>
      </x:c>
      <x:c r="F2362" s="13" t="n">
        <x:v>587.15</x:v>
      </x:c>
      <x:c r="G2362" s="13" t="n">
        <x:v>0</x:v>
      </x:c>
      <x:c r="H2362" s="13" t="n">
        <x:f>F2362-G2362</x:f>
        <x:v>587.15</x:v>
      </x:c>
      <x:c r="I2362" s="13" t="n">
        <x:f>IF(C2362=0,"n.a.",F2362/C2362)</x:f>
        <x:v>195.71666666666667</x:v>
      </x:c>
      <x:c r="J2362" s="3"/>
      <x:c r="K2362" s="3"/>
      <x:c r="L2362" s="3"/>
    </x:row>
    <x:row r="2363" ht="22" customHeight="1">
      <x:c r="A2363" s="3"/>
      <x:c r="B2363" s="3" t="str">
        <x:v>17360</x:v>
      </x:c>
      <x:c r="C2363" s="3" t="n">
        <x:v>3</x:v>
      </x:c>
      <x:c r="D2363" s="51" t="n">
        <x:v>40869</x:v>
      </x:c>
      <x:c r="E2363" s="3" t="str">
        <x:v>Recurrente</x:v>
      </x:c>
      <x:c r="F2363" s="13" t="n">
        <x:v>585.79</x:v>
      </x:c>
      <x:c r="G2363" s="13" t="n">
        <x:v>0</x:v>
      </x:c>
      <x:c r="H2363" s="13" t="n">
        <x:f>F2363-G2363</x:f>
        <x:v>585.79</x:v>
      </x:c>
      <x:c r="I2363" s="13" t="n">
        <x:f>IF(C2363=0,"n.a.",F2363/C2363)</x:f>
        <x:v>195.26333333333332</x:v>
      </x:c>
      <x:c r="J2363" s="3"/>
      <x:c r="K2363" s="3"/>
      <x:c r="L2363" s="3"/>
    </x:row>
    <x:row r="2364" ht="22" customHeight="1">
      <x:c r="A2364" s="3"/>
      <x:c r="B2364" s="3" t="str">
        <x:v>12616</x:v>
      </x:c>
      <x:c r="C2364" s="3" t="n">
        <x:v>2</x:v>
      </x:c>
      <x:c r="D2364" s="51" t="n">
        <x:v>40791</x:v>
      </x:c>
      <x:c r="E2364" s="3" t="str">
        <x:v>Recurrente</x:v>
      </x:c>
      <x:c r="F2364" s="13" t="n">
        <x:v>641.3</x:v>
      </x:c>
      <x:c r="G2364" s="13" t="n">
        <x:v>56.05</x:v>
      </x:c>
      <x:c r="H2364" s="13" t="n">
        <x:f>F2364-G2364</x:f>
        <x:v>585.25</x:v>
      </x:c>
      <x:c r="I2364" s="13" t="n">
        <x:f>IF(C2364=0,"n.a.",F2364/C2364)</x:f>
        <x:v>320.65</x:v>
      </x:c>
      <x:c r="J2364" s="3"/>
      <x:c r="K2364" s="3"/>
      <x:c r="L2364" s="3"/>
    </x:row>
    <x:row r="2365" ht="22" customHeight="1">
      <x:c r="A2365" s="3"/>
      <x:c r="B2365" s="3" t="str">
        <x:v>15222</x:v>
      </x:c>
      <x:c r="C2365" s="3" t="n">
        <x:v>1</x:v>
      </x:c>
      <x:c r="D2365" s="51" t="n">
        <x:v>40568</x:v>
      </x:c>
      <x:c r="E2365" s="3" t="str">
        <x:v>Una compra</x:v>
      </x:c>
      <x:c r="F2365" s="13" t="n">
        <x:v>585</x:v>
      </x:c>
      <x:c r="G2365" s="13" t="n">
        <x:v>0</x:v>
      </x:c>
      <x:c r="H2365" s="13" t="n">
        <x:f>F2365-G2365</x:f>
        <x:v>585</x:v>
      </x:c>
      <x:c r="I2365" s="13" t="n">
        <x:f>IF(C2365=0,"n.a.",F2365/C2365)</x:f>
        <x:v>585</x:v>
      </x:c>
      <x:c r="J2365" s="3"/>
      <x:c r="K2365" s="3"/>
      <x:c r="L2365" s="3"/>
    </x:row>
    <x:row r="2366" ht="22" customHeight="1">
      <x:c r="A2366" s="3"/>
      <x:c r="B2366" s="3" t="str">
        <x:v>16384</x:v>
      </x:c>
      <x:c r="C2366" s="3" t="n">
        <x:v>2</x:v>
      </x:c>
      <x:c r="D2366" s="51" t="n">
        <x:v>40797</x:v>
      </x:c>
      <x:c r="E2366" s="3" t="str">
        <x:v>Recurrente</x:v>
      </x:c>
      <x:c r="F2366" s="13" t="n">
        <x:v>584.5</x:v>
      </x:c>
      <x:c r="G2366" s="13" t="n">
        <x:v>0</x:v>
      </x:c>
      <x:c r="H2366" s="13" t="n">
        <x:f>F2366-G2366</x:f>
        <x:v>584.5</x:v>
      </x:c>
      <x:c r="I2366" s="13" t="n">
        <x:f>IF(C2366=0,"n.a.",F2366/C2366)</x:f>
        <x:v>292.25</x:v>
      </x:c>
      <x:c r="J2366" s="3"/>
      <x:c r="K2366" s="3"/>
      <x:c r="L2366" s="3"/>
    </x:row>
    <x:row r="2367" ht="22" customHeight="1">
      <x:c r="A2367" s="3"/>
      <x:c r="B2367" s="3" t="str">
        <x:v>16072</x:v>
      </x:c>
      <x:c r="C2367" s="3" t="n">
        <x:v>1</x:v>
      </x:c>
      <x:c r="D2367" s="51" t="n">
        <x:v>40598</x:v>
      </x:c>
      <x:c r="E2367" s="3" t="str">
        <x:v>Una compra</x:v>
      </x:c>
      <x:c r="F2367" s="13" t="n">
        <x:v>584.32</x:v>
      </x:c>
      <x:c r="G2367" s="13" t="n">
        <x:v>0</x:v>
      </x:c>
      <x:c r="H2367" s="13" t="n">
        <x:f>F2367-G2367</x:f>
        <x:v>584.32</x:v>
      </x:c>
      <x:c r="I2367" s="13" t="n">
        <x:f>IF(C2367=0,"n.a.",F2367/C2367)</x:f>
        <x:v>584.32</x:v>
      </x:c>
      <x:c r="J2367" s="3"/>
      <x:c r="K2367" s="3"/>
      <x:c r="L2367" s="3"/>
    </x:row>
    <x:row r="2368" ht="22" customHeight="1">
      <x:c r="A2368" s="3"/>
      <x:c r="B2368" s="3" t="str">
        <x:v>14023</x:v>
      </x:c>
      <x:c r="C2368" s="3" t="n">
        <x:v>2</x:v>
      </x:c>
      <x:c r="D2368" s="51" t="n">
        <x:v>40879</x:v>
      </x:c>
      <x:c r="E2368" s="3" t="str">
        <x:v>Recurrente</x:v>
      </x:c>
      <x:c r="F2368" s="13" t="n">
        <x:v>584.07</x:v>
      </x:c>
      <x:c r="G2368" s="13" t="n">
        <x:v>0</x:v>
      </x:c>
      <x:c r="H2368" s="13" t="n">
        <x:f>F2368-G2368</x:f>
        <x:v>584.07</x:v>
      </x:c>
      <x:c r="I2368" s="13" t="n">
        <x:f>IF(C2368=0,"n.a.",F2368/C2368)</x:f>
        <x:v>292.035</x:v>
      </x:c>
      <x:c r="J2368" s="3"/>
      <x:c r="K2368" s="3"/>
      <x:c r="L2368" s="3"/>
    </x:row>
    <x:row r="2369" ht="22" customHeight="1">
      <x:c r="A2369" s="3"/>
      <x:c r="B2369" s="3" t="str">
        <x:v>13557</x:v>
      </x:c>
      <x:c r="C2369" s="3" t="n">
        <x:v>2</x:v>
      </x:c>
      <x:c r="D2369" s="51" t="n">
        <x:v>40858</x:v>
      </x:c>
      <x:c r="E2369" s="3" t="str">
        <x:v>Recurrente</x:v>
      </x:c>
      <x:c r="F2369" s="13" t="n">
        <x:v>584.06</x:v>
      </x:c>
      <x:c r="G2369" s="13" t="n">
        <x:v>0</x:v>
      </x:c>
      <x:c r="H2369" s="13" t="n">
        <x:f>F2369-G2369</x:f>
        <x:v>584.06</x:v>
      </x:c>
      <x:c r="I2369" s="13" t="n">
        <x:f>IF(C2369=0,"n.a.",F2369/C2369)</x:f>
        <x:v>292.03</x:v>
      </x:c>
      <x:c r="J2369" s="3"/>
      <x:c r="K2369" s="3"/>
      <x:c r="L2369" s="3"/>
    </x:row>
    <x:row r="2370" ht="22" customHeight="1">
      <x:c r="A2370" s="3"/>
      <x:c r="B2370" s="3" t="str">
        <x:v>15762</x:v>
      </x:c>
      <x:c r="C2370" s="3" t="n">
        <x:v>2</x:v>
      </x:c>
      <x:c r="D2370" s="51" t="n">
        <x:v>40821</x:v>
      </x:c>
      <x:c r="E2370" s="3" t="str">
        <x:v>Recurrente</x:v>
      </x:c>
      <x:c r="F2370" s="13" t="n">
        <x:v>583.75</x:v>
      </x:c>
      <x:c r="G2370" s="13" t="n">
        <x:v>0</x:v>
      </x:c>
      <x:c r="H2370" s="13" t="n">
        <x:f>F2370-G2370</x:f>
        <x:v>583.75</x:v>
      </x:c>
      <x:c r="I2370" s="13" t="n">
        <x:f>IF(C2370=0,"n.a.",F2370/C2370)</x:f>
        <x:v>291.875</x:v>
      </x:c>
      <x:c r="J2370" s="3"/>
      <x:c r="K2370" s="3"/>
      <x:c r="L2370" s="3"/>
    </x:row>
    <x:row r="2371" ht="22" customHeight="1">
      <x:c r="A2371" s="3"/>
      <x:c r="B2371" s="3" t="str">
        <x:v>15969</x:v>
      </x:c>
      <x:c r="C2371" s="3" t="n">
        <x:v>3</x:v>
      </x:c>
      <x:c r="D2371" s="51" t="n">
        <x:v>40884</x:v>
      </x:c>
      <x:c r="E2371" s="3" t="str">
        <x:v>Recurrente</x:v>
      </x:c>
      <x:c r="F2371" s="13" t="n">
        <x:v>666.1</x:v>
      </x:c>
      <x:c r="G2371" s="13" t="n">
        <x:v>83.2</x:v>
      </x:c>
      <x:c r="H2371" s="13" t="n">
        <x:f>F2371-G2371</x:f>
        <x:v>582.9</x:v>
      </x:c>
      <x:c r="I2371" s="13" t="n">
        <x:f>IF(C2371=0,"n.a.",F2371/C2371)</x:f>
        <x:v>222.03333333333333</x:v>
      </x:c>
      <x:c r="J2371" s="3"/>
      <x:c r="K2371" s="3"/>
      <x:c r="L2371" s="3"/>
    </x:row>
    <x:row r="2372" ht="22" customHeight="1">
      <x:c r="A2372" s="3"/>
      <x:c r="B2372" s="3" t="str">
        <x:v>16838</x:v>
      </x:c>
      <x:c r="C2372" s="3" t="n">
        <x:v>2</x:v>
      </x:c>
      <x:c r="D2372" s="51" t="n">
        <x:v>40689</x:v>
      </x:c>
      <x:c r="E2372" s="3" t="str">
        <x:v>Recurrente</x:v>
      </x:c>
      <x:c r="F2372" s="13" t="n">
        <x:v>588.85</x:v>
      </x:c>
      <x:c r="G2372" s="13" t="n">
        <x:v>5.95</x:v>
      </x:c>
      <x:c r="H2372" s="13" t="n">
        <x:f>F2372-G2372</x:f>
        <x:v>582.9</x:v>
      </x:c>
      <x:c r="I2372" s="13" t="n">
        <x:f>IF(C2372=0,"n.a.",F2372/C2372)</x:f>
        <x:v>294.425</x:v>
      </x:c>
      <x:c r="J2372" s="3"/>
      <x:c r="K2372" s="3"/>
      <x:c r="L2372" s="3"/>
    </x:row>
    <x:row r="2373" ht="22" customHeight="1">
      <x:c r="A2373" s="3"/>
      <x:c r="B2373" s="3" t="str">
        <x:v>13427</x:v>
      </x:c>
      <x:c r="C2373" s="3" t="n">
        <x:v>3</x:v>
      </x:c>
      <x:c r="D2373" s="51" t="n">
        <x:v>40867</x:v>
      </x:c>
      <x:c r="E2373" s="3" t="str">
        <x:v>Recurrente</x:v>
      </x:c>
      <x:c r="F2373" s="13" t="n">
        <x:v>582.6</x:v>
      </x:c>
      <x:c r="G2373" s="13" t="n">
        <x:v>0</x:v>
      </x:c>
      <x:c r="H2373" s="13" t="n">
        <x:f>F2373-G2373</x:f>
        <x:v>582.6</x:v>
      </x:c>
      <x:c r="I2373" s="13" t="n">
        <x:f>IF(C2373=0,"n.a.",F2373/C2373)</x:f>
        <x:v>194.20000000000002</x:v>
      </x:c>
      <x:c r="J2373" s="3"/>
      <x:c r="K2373" s="3"/>
      <x:c r="L2373" s="3"/>
    </x:row>
    <x:row r="2374" ht="22" customHeight="1">
      <x:c r="A2374" s="3"/>
      <x:c r="B2374" s="3" t="str">
        <x:v>17970</x:v>
      </x:c>
      <x:c r="C2374" s="3" t="n">
        <x:v>1</x:v>
      </x:c>
      <x:c r="D2374" s="51" t="n">
        <x:v>40675</x:v>
      </x:c>
      <x:c r="E2374" s="3" t="str">
        <x:v>Una compra</x:v>
      </x:c>
      <x:c r="F2374" s="13" t="n">
        <x:v>582.59</x:v>
      </x:c>
      <x:c r="G2374" s="13" t="n">
        <x:v>0</x:v>
      </x:c>
      <x:c r="H2374" s="13" t="n">
        <x:f>F2374-G2374</x:f>
        <x:v>582.59</x:v>
      </x:c>
      <x:c r="I2374" s="13" t="n">
        <x:f>IF(C2374=0,"n.a.",F2374/C2374)</x:f>
        <x:v>582.59</x:v>
      </x:c>
      <x:c r="J2374" s="3"/>
      <x:c r="K2374" s="3"/>
      <x:c r="L2374" s="3"/>
    </x:row>
    <x:row r="2375" ht="22" customHeight="1">
      <x:c r="A2375" s="3"/>
      <x:c r="B2375" s="3" t="str">
        <x:v>18232</x:v>
      </x:c>
      <x:c r="C2375" s="3" t="n">
        <x:v>4</x:v>
      </x:c>
      <x:c r="D2375" s="51" t="n">
        <x:v>40805</x:v>
      </x:c>
      <x:c r="E2375" s="3" t="str">
        <x:v>Recurrente</x:v>
      </x:c>
      <x:c r="F2375" s="13" t="n">
        <x:v>592.97</x:v>
      </x:c>
      <x:c r="G2375" s="13" t="n">
        <x:v>10.5</x:v>
      </x:c>
      <x:c r="H2375" s="13" t="n">
        <x:f>F2375-G2375</x:f>
        <x:v>582.47</x:v>
      </x:c>
      <x:c r="I2375" s="13" t="n">
        <x:f>IF(C2375=0,"n.a.",F2375/C2375)</x:f>
        <x:v>148.2425</x:v>
      </x:c>
      <x:c r="J2375" s="3"/>
      <x:c r="K2375" s="3"/>
      <x:c r="L2375" s="3"/>
    </x:row>
    <x:row r="2376" ht="22" customHeight="1">
      <x:c r="A2376" s="3"/>
      <x:c r="B2376" s="3" t="str">
        <x:v>12427</x:v>
      </x:c>
      <x:c r="C2376" s="3" t="n">
        <x:v>3</x:v>
      </x:c>
      <x:c r="D2376" s="51" t="n">
        <x:v>40865</x:v>
      </x:c>
      <x:c r="E2376" s="3" t="str">
        <x:v>Recurrente</x:v>
      </x:c>
      <x:c r="F2376" s="13" t="n">
        <x:v>699.8</x:v>
      </x:c>
      <x:c r="G2376" s="13" t="n">
        <x:v>117.43</x:v>
      </x:c>
      <x:c r="H2376" s="13" t="n">
        <x:f>F2376-G2376</x:f>
        <x:v>582.3699999999999</x:v>
      </x:c>
      <x:c r="I2376" s="13" t="n">
        <x:f>IF(C2376=0,"n.a.",F2376/C2376)</x:f>
        <x:v>233.26666666666665</x:v>
      </x:c>
      <x:c r="J2376" s="3"/>
      <x:c r="K2376" s="3"/>
      <x:c r="L2376" s="3"/>
    </x:row>
    <x:row r="2377" ht="22" customHeight="1">
      <x:c r="A2377" s="3"/>
      <x:c r="B2377" s="3" t="str">
        <x:v>12695</x:v>
      </x:c>
      <x:c r="C2377" s="3" t="n">
        <x:v>4</x:v>
      </x:c>
      <x:c r="D2377" s="51" t="n">
        <x:v>40879</x:v>
      </x:c>
      <x:c r="E2377" s="3" t="str">
        <x:v>Recurrente</x:v>
      </x:c>
      <x:c r="F2377" s="13" t="n">
        <x:v>582.1</x:v>
      </x:c>
      <x:c r="G2377" s="13" t="n">
        <x:v>0</x:v>
      </x:c>
      <x:c r="H2377" s="13" t="n">
        <x:f>F2377-G2377</x:f>
        <x:v>582.1</x:v>
      </x:c>
      <x:c r="I2377" s="13" t="n">
        <x:f>IF(C2377=0,"n.a.",F2377/C2377)</x:f>
        <x:v>145.525</x:v>
      </x:c>
      <x:c r="J2377" s="3"/>
      <x:c r="K2377" s="3"/>
      <x:c r="L2377" s="3"/>
    </x:row>
    <x:row r="2378" ht="22" customHeight="1">
      <x:c r="A2378" s="3"/>
      <x:c r="B2378" s="3" t="str">
        <x:v>14692</x:v>
      </x:c>
      <x:c r="C2378" s="3" t="n">
        <x:v>4</x:v>
      </x:c>
      <x:c r="D2378" s="51" t="n">
        <x:v>40749</x:v>
      </x:c>
      <x:c r="E2378" s="3" t="str">
        <x:v>Recurrente</x:v>
      </x:c>
      <x:c r="F2378" s="13" t="n">
        <x:v>591.55</x:v>
      </x:c>
      <x:c r="G2378" s="13" t="n">
        <x:v>9.5</x:v>
      </x:c>
      <x:c r="H2378" s="13" t="n">
        <x:f>F2378-G2378</x:f>
        <x:v>582.05</x:v>
      </x:c>
      <x:c r="I2378" s="13" t="n">
        <x:f>IF(C2378=0,"n.a.",F2378/C2378)</x:f>
        <x:v>147.8875</x:v>
      </x:c>
      <x:c r="J2378" s="3"/>
      <x:c r="K2378" s="3"/>
      <x:c r="L2378" s="3"/>
    </x:row>
    <x:row r="2379" ht="22" customHeight="1">
      <x:c r="A2379" s="3"/>
      <x:c r="B2379" s="3" t="str">
        <x:v>18095</x:v>
      </x:c>
      <x:c r="C2379" s="3" t="n">
        <x:v>2</x:v>
      </x:c>
      <x:c r="D2379" s="51" t="n">
        <x:v>40574</x:v>
      </x:c>
      <x:c r="E2379" s="3" t="str">
        <x:v>Recurrente</x:v>
      </x:c>
      <x:c r="F2379" s="13" t="n">
        <x:v>580.05</x:v>
      </x:c>
      <x:c r="G2379" s="13" t="n">
        <x:v>0</x:v>
      </x:c>
      <x:c r="H2379" s="13" t="n">
        <x:f>F2379-G2379</x:f>
        <x:v>580.05</x:v>
      </x:c>
      <x:c r="I2379" s="13" t="n">
        <x:f>IF(C2379=0,"n.a.",F2379/C2379)</x:f>
        <x:v>290.025</x:v>
      </x:c>
      <x:c r="J2379" s="3"/>
      <x:c r="K2379" s="3"/>
      <x:c r="L2379" s="3"/>
    </x:row>
    <x:row r="2380" ht="22" customHeight="1">
      <x:c r="A2380" s="3"/>
      <x:c r="B2380" s="3" t="str">
        <x:v>16906</x:v>
      </x:c>
      <x:c r="C2380" s="3" t="n">
        <x:v>4</x:v>
      </x:c>
      <x:c r="D2380" s="51" t="n">
        <x:v>40805</x:v>
      </x:c>
      <x:c r="E2380" s="3" t="str">
        <x:v>Recurrente</x:v>
      </x:c>
      <x:c r="F2380" s="13" t="n">
        <x:v>579.77</x:v>
      </x:c>
      <x:c r="G2380" s="13" t="n">
        <x:v>0</x:v>
      </x:c>
      <x:c r="H2380" s="13" t="n">
        <x:f>F2380-G2380</x:f>
        <x:v>579.77</x:v>
      </x:c>
      <x:c r="I2380" s="13" t="n">
        <x:f>IF(C2380=0,"n.a.",F2380/C2380)</x:f>
        <x:v>144.9425</x:v>
      </x:c>
      <x:c r="J2380" s="3"/>
      <x:c r="K2380" s="3"/>
      <x:c r="L2380" s="3"/>
    </x:row>
    <x:row r="2381" ht="22" customHeight="1">
      <x:c r="A2381" s="3"/>
      <x:c r="B2381" s="3" t="str">
        <x:v>17142</x:v>
      </x:c>
      <x:c r="C2381" s="3" t="n">
        <x:v>1</x:v>
      </x:c>
      <x:c r="D2381" s="51" t="n">
        <x:v>40647</x:v>
      </x:c>
      <x:c r="E2381" s="3" t="str">
        <x:v>Una compra</x:v>
      </x:c>
      <x:c r="F2381" s="13" t="n">
        <x:v>579</x:v>
      </x:c>
      <x:c r="G2381" s="13" t="n">
        <x:v>0</x:v>
      </x:c>
      <x:c r="H2381" s="13" t="n">
        <x:f>F2381-G2381</x:f>
        <x:v>579</x:v>
      </x:c>
      <x:c r="I2381" s="13" t="n">
        <x:f>IF(C2381=0,"n.a.",F2381/C2381)</x:f>
        <x:v>579</x:v>
      </x:c>
      <x:c r="J2381" s="3"/>
      <x:c r="K2381" s="3"/>
      <x:c r="L2381" s="3"/>
    </x:row>
    <x:row r="2382" ht="22" customHeight="1">
      <x:c r="A2382" s="3"/>
      <x:c r="B2382" s="3" t="str">
        <x:v>13292</x:v>
      </x:c>
      <x:c r="C2382" s="3" t="n">
        <x:v>2</x:v>
      </x:c>
      <x:c r="D2382" s="51" t="n">
        <x:v>40848</x:v>
      </x:c>
      <x:c r="E2382" s="3" t="str">
        <x:v>Recurrente</x:v>
      </x:c>
      <x:c r="F2382" s="13" t="n">
        <x:v>578.94</x:v>
      </x:c>
      <x:c r="G2382" s="13" t="n">
        <x:v>0</x:v>
      </x:c>
      <x:c r="H2382" s="13" t="n">
        <x:f>F2382-G2382</x:f>
        <x:v>578.94</x:v>
      </x:c>
      <x:c r="I2382" s="13" t="n">
        <x:f>IF(C2382=0,"n.a.",F2382/C2382)</x:f>
        <x:v>289.47</x:v>
      </x:c>
      <x:c r="J2382" s="3"/>
      <x:c r="K2382" s="3"/>
      <x:c r="L2382" s="3"/>
    </x:row>
    <x:row r="2383" ht="22" customHeight="1">
      <x:c r="A2383" s="3"/>
      <x:c r="B2383" s="3" t="str">
        <x:v>13314</x:v>
      </x:c>
      <x:c r="C2383" s="3" t="n">
        <x:v>3</x:v>
      </x:c>
      <x:c r="D2383" s="51" t="n">
        <x:v>40885</x:v>
      </x:c>
      <x:c r="E2383" s="3" t="str">
        <x:v>Recurrente</x:v>
      </x:c>
      <x:c r="F2383" s="13" t="n">
        <x:v>775.94</x:v>
      </x:c>
      <x:c r="G2383" s="13" t="n">
        <x:v>197.28</x:v>
      </x:c>
      <x:c r="H2383" s="13" t="n">
        <x:f>F2383-G2383</x:f>
        <x:v>578.6600000000001</x:v>
      </x:c>
      <x:c r="I2383" s="13" t="n">
        <x:f>IF(C2383=0,"n.a.",F2383/C2383)</x:f>
        <x:v>258.6466666666667</x:v>
      </x:c>
      <x:c r="J2383" s="3"/>
      <x:c r="K2383" s="3"/>
      <x:c r="L2383" s="3"/>
    </x:row>
    <x:row r="2384" ht="22" customHeight="1">
      <x:c r="A2384" s="3"/>
      <x:c r="B2384" s="3" t="str">
        <x:v>14284</x:v>
      </x:c>
      <x:c r="C2384" s="3" t="n">
        <x:v>2</x:v>
      </x:c>
      <x:c r="D2384" s="51" t="n">
        <x:v>40856</x:v>
      </x:c>
      <x:c r="E2384" s="3" t="str">
        <x:v>Recurrente</x:v>
      </x:c>
      <x:c r="F2384" s="13" t="n">
        <x:v>595.25</x:v>
      </x:c>
      <x:c r="G2384" s="13" t="n">
        <x:v>16.8</x:v>
      </x:c>
      <x:c r="H2384" s="13" t="n">
        <x:f>F2384-G2384</x:f>
        <x:v>578.45</x:v>
      </x:c>
      <x:c r="I2384" s="13" t="n">
        <x:f>IF(C2384=0,"n.a.",F2384/C2384)</x:f>
        <x:v>297.625</x:v>
      </x:c>
      <x:c r="J2384" s="3"/>
      <x:c r="K2384" s="3"/>
      <x:c r="L2384" s="3"/>
    </x:row>
    <x:row r="2385" ht="22" customHeight="1">
      <x:c r="A2385" s="3"/>
      <x:c r="B2385" s="3" t="str">
        <x:v>16916</x:v>
      </x:c>
      <x:c r="C2385" s="3" t="n">
        <x:v>2</x:v>
      </x:c>
      <x:c r="D2385" s="51" t="n">
        <x:v>40863</x:v>
      </x:c>
      <x:c r="E2385" s="3" t="str">
        <x:v>Recurrente</x:v>
      </x:c>
      <x:c r="F2385" s="13" t="n">
        <x:v>576.26</x:v>
      </x:c>
      <x:c r="G2385" s="13" t="n">
        <x:v>0</x:v>
      </x:c>
      <x:c r="H2385" s="13" t="n">
        <x:f>F2385-G2385</x:f>
        <x:v>576.26</x:v>
      </x:c>
      <x:c r="I2385" s="13" t="n">
        <x:f>IF(C2385=0,"n.a.",F2385/C2385)</x:f>
        <x:v>288.13</x:v>
      </x:c>
      <x:c r="J2385" s="3"/>
      <x:c r="K2385" s="3"/>
      <x:c r="L2385" s="3"/>
    </x:row>
    <x:row r="2386" ht="22" customHeight="1">
      <x:c r="A2386" s="3"/>
      <x:c r="B2386" s="3" t="str">
        <x:v>15550</x:v>
      </x:c>
      <x:c r="C2386" s="3" t="n">
        <x:v>4</x:v>
      </x:c>
      <x:c r="D2386" s="51" t="n">
        <x:v>40882</x:v>
      </x:c>
      <x:c r="E2386" s="3" t="str">
        <x:v>Recurrente</x:v>
      </x:c>
      <x:c r="F2386" s="13" t="n">
        <x:v>575.63</x:v>
      </x:c>
      <x:c r="G2386" s="13" t="n">
        <x:v>0</x:v>
      </x:c>
      <x:c r="H2386" s="13" t="n">
        <x:f>F2386-G2386</x:f>
        <x:v>575.63</x:v>
      </x:c>
      <x:c r="I2386" s="13" t="n">
        <x:f>IF(C2386=0,"n.a.",F2386/C2386)</x:f>
        <x:v>143.9075</x:v>
      </x:c>
      <x:c r="J2386" s="3"/>
      <x:c r="K2386" s="3"/>
      <x:c r="L2386" s="3"/>
    </x:row>
    <x:row r="2387" ht="22" customHeight="1">
      <x:c r="A2387" s="3"/>
      <x:c r="B2387" s="3" t="str">
        <x:v>16345</x:v>
      </x:c>
      <x:c r="C2387" s="3" t="n">
        <x:v>1</x:v>
      </x:c>
      <x:c r="D2387" s="51" t="n">
        <x:v>40842</x:v>
      </x:c>
      <x:c r="E2387" s="3" t="str">
        <x:v>Una compra</x:v>
      </x:c>
      <x:c r="F2387" s="13" t="n">
        <x:v>575.41</x:v>
      </x:c>
      <x:c r="G2387" s="13" t="n">
        <x:v>0</x:v>
      </x:c>
      <x:c r="H2387" s="13" t="n">
        <x:f>F2387-G2387</x:f>
        <x:v>575.41</x:v>
      </x:c>
      <x:c r="I2387" s="13" t="n">
        <x:f>IF(C2387=0,"n.a.",F2387/C2387)</x:f>
        <x:v>575.41</x:v>
      </x:c>
      <x:c r="J2387" s="3"/>
      <x:c r="K2387" s="3"/>
      <x:c r="L2387" s="3"/>
    </x:row>
    <x:row r="2388" ht="22" customHeight="1">
      <x:c r="A2388" s="3"/>
      <x:c r="B2388" s="3" t="str">
        <x:v>13487</x:v>
      </x:c>
      <x:c r="C2388" s="3" t="n">
        <x:v>3</x:v>
      </x:c>
      <x:c r="D2388" s="51" t="n">
        <x:v>40829</x:v>
      </x:c>
      <x:c r="E2388" s="3" t="str">
        <x:v>Recurrente</x:v>
      </x:c>
      <x:c r="F2388" s="13" t="n">
        <x:v>575.4</x:v>
      </x:c>
      <x:c r="G2388" s="13" t="n">
        <x:v>0</x:v>
      </x:c>
      <x:c r="H2388" s="13" t="n">
        <x:f>F2388-G2388</x:f>
        <x:v>575.4</x:v>
      </x:c>
      <x:c r="I2388" s="13" t="n">
        <x:f>IF(C2388=0,"n.a.",F2388/C2388)</x:f>
        <x:v>191.79999999999998</x:v>
      </x:c>
      <x:c r="J2388" s="3"/>
      <x:c r="K2388" s="3"/>
      <x:c r="L2388" s="3"/>
    </x:row>
    <x:row r="2389" ht="22" customHeight="1">
      <x:c r="A2389" s="3"/>
      <x:c r="B2389" s="3" t="str">
        <x:v>14167</x:v>
      </x:c>
      <x:c r="C2389" s="3" t="n">
        <x:v>4</x:v>
      </x:c>
      <x:c r="D2389" s="51" t="n">
        <x:v>40847</x:v>
      </x:c>
      <x:c r="E2389" s="3" t="str">
        <x:v>Recurrente</x:v>
      </x:c>
      <x:c r="F2389" s="13" t="n">
        <x:v>574.84</x:v>
      </x:c>
      <x:c r="G2389" s="13" t="n">
        <x:v>0</x:v>
      </x:c>
      <x:c r="H2389" s="13" t="n">
        <x:f>F2389-G2389</x:f>
        <x:v>574.84</x:v>
      </x:c>
      <x:c r="I2389" s="13" t="n">
        <x:f>IF(C2389=0,"n.a.",F2389/C2389)</x:f>
        <x:v>143.71</x:v>
      </x:c>
      <x:c r="J2389" s="3"/>
      <x:c r="K2389" s="3"/>
      <x:c r="L2389" s="3"/>
    </x:row>
    <x:row r="2390" ht="22" customHeight="1">
      <x:c r="A2390" s="3"/>
      <x:c r="B2390" s="3" t="str">
        <x:v>12589</x:v>
      </x:c>
      <x:c r="C2390" s="3" t="n">
        <x:v>2</x:v>
      </x:c>
      <x:c r="D2390" s="51" t="n">
        <x:v>40858</x:v>
      </x:c>
      <x:c r="E2390" s="3" t="str">
        <x:v>Recurrente</x:v>
      </x:c>
      <x:c r="F2390" s="13" t="n">
        <x:v>574.68</x:v>
      </x:c>
      <x:c r="G2390" s="13" t="n">
        <x:v>0</x:v>
      </x:c>
      <x:c r="H2390" s="13" t="n">
        <x:f>F2390-G2390</x:f>
        <x:v>574.68</x:v>
      </x:c>
      <x:c r="I2390" s="13" t="n">
        <x:f>IF(C2390=0,"n.a.",F2390/C2390)</x:f>
        <x:v>287.34</x:v>
      </x:c>
      <x:c r="J2390" s="3"/>
      <x:c r="K2390" s="3"/>
      <x:c r="L2390" s="3"/>
    </x:row>
    <x:row r="2391" ht="22" customHeight="1">
      <x:c r="A2391" s="3"/>
      <x:c r="B2391" s="3" t="str">
        <x:v>12673</x:v>
      </x:c>
      <x:c r="C2391" s="3" t="n">
        <x:v>2</x:v>
      </x:c>
      <x:c r="D2391" s="51" t="n">
        <x:v>40881</x:v>
      </x:c>
      <x:c r="E2391" s="3" t="str">
        <x:v>Recurrente</x:v>
      </x:c>
      <x:c r="F2391" s="13" t="n">
        <x:v>574.52</x:v>
      </x:c>
      <x:c r="G2391" s="13" t="n">
        <x:v>0</x:v>
      </x:c>
      <x:c r="H2391" s="13" t="n">
        <x:f>F2391-G2391</x:f>
        <x:v>574.52</x:v>
      </x:c>
      <x:c r="I2391" s="13" t="n">
        <x:f>IF(C2391=0,"n.a.",F2391/C2391)</x:f>
        <x:v>287.26</x:v>
      </x:c>
      <x:c r="J2391" s="3"/>
      <x:c r="K2391" s="3"/>
      <x:c r="L2391" s="3"/>
    </x:row>
    <x:row r="2392" ht="22" customHeight="1">
      <x:c r="A2392" s="3"/>
      <x:c r="B2392" s="3" t="str">
        <x:v>14323</x:v>
      </x:c>
      <x:c r="C2392" s="3" t="n">
        <x:v>2</x:v>
      </x:c>
      <x:c r="D2392" s="51" t="n">
        <x:v>40772</x:v>
      </x:c>
      <x:c r="E2392" s="3" t="str">
        <x:v>Recurrente</x:v>
      </x:c>
      <x:c r="F2392" s="13" t="n">
        <x:v>605.06</x:v>
      </x:c>
      <x:c r="G2392" s="13" t="n">
        <x:v>30.8</x:v>
      </x:c>
      <x:c r="H2392" s="13" t="n">
        <x:f>F2392-G2392</x:f>
        <x:v>574.26</x:v>
      </x:c>
      <x:c r="I2392" s="13" t="n">
        <x:f>IF(C2392=0,"n.a.",F2392/C2392)</x:f>
        <x:v>302.53</x:v>
      </x:c>
      <x:c r="J2392" s="3"/>
      <x:c r="K2392" s="3"/>
      <x:c r="L2392" s="3"/>
    </x:row>
    <x:row r="2393" ht="22" customHeight="1">
      <x:c r="A2393" s="3"/>
      <x:c r="B2393" s="3" t="str">
        <x:v>15303</x:v>
      </x:c>
      <x:c r="C2393" s="3" t="n">
        <x:v>1</x:v>
      </x:c>
      <x:c r="D2393" s="51" t="n">
        <x:v>40596</x:v>
      </x:c>
      <x:c r="E2393" s="3" t="str">
        <x:v>Una compra</x:v>
      </x:c>
      <x:c r="F2393" s="13" t="n">
        <x:v>574.02</x:v>
      </x:c>
      <x:c r="G2393" s="13" t="n">
        <x:v>0</x:v>
      </x:c>
      <x:c r="H2393" s="13" t="n">
        <x:f>F2393-G2393</x:f>
        <x:v>574.02</x:v>
      </x:c>
      <x:c r="I2393" s="13" t="n">
        <x:f>IF(C2393=0,"n.a.",F2393/C2393)</x:f>
        <x:v>574.02</x:v>
      </x:c>
      <x:c r="J2393" s="3"/>
      <x:c r="K2393" s="3"/>
      <x:c r="L2393" s="3"/>
    </x:row>
    <x:row r="2394" ht="22" customHeight="1">
      <x:c r="A2394" s="3"/>
      <x:c r="B2394" s="3" t="str">
        <x:v>14176</x:v>
      </x:c>
      <x:c r="C2394" s="3" t="n">
        <x:v>4</x:v>
      </x:c>
      <x:c r="D2394" s="51" t="n">
        <x:v>40589</x:v>
      </x:c>
      <x:c r="E2394" s="3" t="str">
        <x:v>Recurrente</x:v>
      </x:c>
      <x:c r="F2394" s="13" t="n">
        <x:v>576.9</x:v>
      </x:c>
      <x:c r="G2394" s="13" t="n">
        <x:v>2.9</x:v>
      </x:c>
      <x:c r="H2394" s="13" t="n">
        <x:f>F2394-G2394</x:f>
        <x:v>574</x:v>
      </x:c>
      <x:c r="I2394" s="13" t="n">
        <x:f>IF(C2394=0,"n.a.",F2394/C2394)</x:f>
        <x:v>144.225</x:v>
      </x:c>
      <x:c r="J2394" s="3"/>
      <x:c r="K2394" s="3"/>
      <x:c r="L2394" s="3"/>
    </x:row>
    <x:row r="2395" ht="22" customHeight="1">
      <x:c r="A2395" s="3"/>
      <x:c r="B2395" s="3" t="str">
        <x:v>13368</x:v>
      </x:c>
      <x:c r="C2395" s="3" t="n">
        <x:v>2</x:v>
      </x:c>
      <x:c r="D2395" s="51" t="n">
        <x:v>40630</x:v>
      </x:c>
      <x:c r="E2395" s="3" t="str">
        <x:v>Recurrente</x:v>
      </x:c>
      <x:c r="F2395" s="13" t="n">
        <x:v>573.4</x:v>
      </x:c>
      <x:c r="G2395" s="13" t="n">
        <x:v>0</x:v>
      </x:c>
      <x:c r="H2395" s="13" t="n">
        <x:f>F2395-G2395</x:f>
        <x:v>573.4</x:v>
      </x:c>
      <x:c r="I2395" s="13" t="n">
        <x:f>IF(C2395=0,"n.a.",F2395/C2395)</x:f>
        <x:v>286.7</x:v>
      </x:c>
      <x:c r="J2395" s="3"/>
      <x:c r="K2395" s="3"/>
      <x:c r="L2395" s="3"/>
    </x:row>
    <x:row r="2396" ht="22" customHeight="1">
      <x:c r="A2396" s="3"/>
      <x:c r="B2396" s="3" t="str">
        <x:v>15415</x:v>
      </x:c>
      <x:c r="C2396" s="3" t="n">
        <x:v>1</x:v>
      </x:c>
      <x:c r="D2396" s="51" t="n">
        <x:v>40573</x:v>
      </x:c>
      <x:c r="E2396" s="3" t="str">
        <x:v>Una compra</x:v>
      </x:c>
      <x:c r="F2396" s="13" t="n">
        <x:v>572.81</x:v>
      </x:c>
      <x:c r="G2396" s="13" t="n">
        <x:v>0</x:v>
      </x:c>
      <x:c r="H2396" s="13" t="n">
        <x:f>F2396-G2396</x:f>
        <x:v>572.81</x:v>
      </x:c>
      <x:c r="I2396" s="13" t="n">
        <x:f>IF(C2396=0,"n.a.",F2396/C2396)</x:f>
        <x:v>572.81</x:v>
      </x:c>
      <x:c r="J2396" s="3"/>
      <x:c r="K2396" s="3"/>
      <x:c r="L2396" s="3"/>
    </x:row>
    <x:row r="2397" ht="22" customHeight="1">
      <x:c r="A2397" s="3"/>
      <x:c r="B2397" s="3" t="str">
        <x:v>13379</x:v>
      </x:c>
      <x:c r="C2397" s="3" t="n">
        <x:v>3</x:v>
      </x:c>
      <x:c r="D2397" s="51" t="n">
        <x:v>40860</x:v>
      </x:c>
      <x:c r="E2397" s="3" t="str">
        <x:v>Recurrente</x:v>
      </x:c>
      <x:c r="F2397" s="13" t="n">
        <x:v>572.56</x:v>
      </x:c>
      <x:c r="G2397" s="13" t="n">
        <x:v>0</x:v>
      </x:c>
      <x:c r="H2397" s="13" t="n">
        <x:f>F2397-G2397</x:f>
        <x:v>572.56</x:v>
      </x:c>
      <x:c r="I2397" s="13" t="n">
        <x:f>IF(C2397=0,"n.a.",F2397/C2397)</x:f>
        <x:v>190.85333333333332</x:v>
      </x:c>
      <x:c r="J2397" s="3"/>
      <x:c r="K2397" s="3"/>
      <x:c r="L2397" s="3"/>
    </x:row>
    <x:row r="2398" ht="22" customHeight="1">
      <x:c r="A2398" s="3"/>
      <x:c r="B2398" s="3" t="str">
        <x:v>17616</x:v>
      </x:c>
      <x:c r="C2398" s="3" t="n">
        <x:v>3</x:v>
      </x:c>
      <x:c r="D2398" s="51" t="n">
        <x:v>40713</x:v>
      </x:c>
      <x:c r="E2398" s="3" t="str">
        <x:v>Recurrente</x:v>
      </x:c>
      <x:c r="F2398" s="13" t="n">
        <x:v>571.2</x:v>
      </x:c>
      <x:c r="G2398" s="13" t="n">
        <x:v>0</x:v>
      </x:c>
      <x:c r="H2398" s="13" t="n">
        <x:f>F2398-G2398</x:f>
        <x:v>571.2</x:v>
      </x:c>
      <x:c r="I2398" s="13" t="n">
        <x:f>IF(C2398=0,"n.a.",F2398/C2398)</x:f>
        <x:v>190.4</x:v>
      </x:c>
      <x:c r="J2398" s="3"/>
      <x:c r="K2398" s="3"/>
      <x:c r="L2398" s="3"/>
    </x:row>
    <x:row r="2399" ht="22" customHeight="1">
      <x:c r="A2399" s="3"/>
      <x:c r="B2399" s="3" t="str">
        <x:v>15821</x:v>
      </x:c>
      <x:c r="C2399" s="3" t="n">
        <x:v>2</x:v>
      </x:c>
      <x:c r="D2399" s="51" t="n">
        <x:v>40842</x:v>
      </x:c>
      <x:c r="E2399" s="3" t="str">
        <x:v>Recurrente</x:v>
      </x:c>
      <x:c r="F2399" s="13" t="n">
        <x:v>570.96</x:v>
      </x:c>
      <x:c r="G2399" s="13" t="n">
        <x:v>0</x:v>
      </x:c>
      <x:c r="H2399" s="13" t="n">
        <x:f>F2399-G2399</x:f>
        <x:v>570.96</x:v>
      </x:c>
      <x:c r="I2399" s="13" t="n">
        <x:f>IF(C2399=0,"n.a.",F2399/C2399)</x:f>
        <x:v>285.48</x:v>
      </x:c>
      <x:c r="J2399" s="3"/>
      <x:c r="K2399" s="3"/>
      <x:c r="L2399" s="3"/>
    </x:row>
    <x:row r="2400" ht="22" customHeight="1">
      <x:c r="A2400" s="3"/>
      <x:c r="B2400" s="3" t="str">
        <x:v>14592</x:v>
      </x:c>
      <x:c r="C2400" s="3" t="n">
        <x:v>3</x:v>
      </x:c>
      <x:c r="D2400" s="51" t="n">
        <x:v>40851</x:v>
      </x:c>
      <x:c r="E2400" s="3" t="str">
        <x:v>Recurrente</x:v>
      </x:c>
      <x:c r="F2400" s="13" t="n">
        <x:v>570.46</x:v>
      </x:c>
      <x:c r="G2400" s="13" t="n">
        <x:v>0</x:v>
      </x:c>
      <x:c r="H2400" s="13" t="n">
        <x:f>F2400-G2400</x:f>
        <x:v>570.46</x:v>
      </x:c>
      <x:c r="I2400" s="13" t="n">
        <x:f>IF(C2400=0,"n.a.",F2400/C2400)</x:f>
        <x:v>190.15333333333334</x:v>
      </x:c>
      <x:c r="J2400" s="3"/>
      <x:c r="K2400" s="3"/>
      <x:c r="L2400" s="3"/>
    </x:row>
    <x:row r="2401" ht="22" customHeight="1">
      <x:c r="A2401" s="3"/>
      <x:c r="B2401" s="3" t="str">
        <x:v>17540</x:v>
      </x:c>
      <x:c r="C2401" s="3" t="n">
        <x:v>2</x:v>
      </x:c>
      <x:c r="D2401" s="51" t="n">
        <x:v>40862</x:v>
      </x:c>
      <x:c r="E2401" s="3" t="str">
        <x:v>Recurrente</x:v>
      </x:c>
      <x:c r="F2401" s="13" t="n">
        <x:v>578.9</x:v>
      </x:c>
      <x:c r="G2401" s="13" t="n">
        <x:v>8.5</x:v>
      </x:c>
      <x:c r="H2401" s="13" t="n">
        <x:f>F2401-G2401</x:f>
        <x:v>570.4</x:v>
      </x:c>
      <x:c r="I2401" s="13" t="n">
        <x:f>IF(C2401=0,"n.a.",F2401/C2401)</x:f>
        <x:v>289.45</x:v>
      </x:c>
      <x:c r="J2401" s="3"/>
      <x:c r="K2401" s="3"/>
      <x:c r="L2401" s="3"/>
    </x:row>
    <x:row r="2402" ht="22" customHeight="1">
      <x:c r="A2402" s="3"/>
      <x:c r="B2402" s="3" t="str">
        <x:v>16667</x:v>
      </x:c>
      <x:c r="C2402" s="3" t="n">
        <x:v>2</x:v>
      </x:c>
      <x:c r="D2402" s="51" t="n">
        <x:v>40818</x:v>
      </x:c>
      <x:c r="E2402" s="3" t="str">
        <x:v>Recurrente</x:v>
      </x:c>
      <x:c r="F2402" s="13" t="n">
        <x:v>570.13</x:v>
      </x:c>
      <x:c r="G2402" s="13" t="n">
        <x:v>0</x:v>
      </x:c>
      <x:c r="H2402" s="13" t="n">
        <x:f>F2402-G2402</x:f>
        <x:v>570.13</x:v>
      </x:c>
      <x:c r="I2402" s="13" t="n">
        <x:f>IF(C2402=0,"n.a.",F2402/C2402)</x:f>
        <x:v>285.065</x:v>
      </x:c>
      <x:c r="J2402" s="3"/>
      <x:c r="K2402" s="3"/>
      <x:c r="L2402" s="3"/>
    </x:row>
    <x:row r="2403" ht="22" customHeight="1">
      <x:c r="A2403" s="3"/>
      <x:c r="B2403" s="3" t="str">
        <x:v>12624</x:v>
      </x:c>
      <x:c r="C2403" s="3" t="n">
        <x:v>2</x:v>
      </x:c>
      <x:c r="D2403" s="51" t="n">
        <x:v>40780</x:v>
      </x:c>
      <x:c r="E2403" s="3" t="str">
        <x:v>Recurrente</x:v>
      </x:c>
      <x:c r="F2403" s="13" t="n">
        <x:v>569.13</x:v>
      </x:c>
      <x:c r="G2403" s="13" t="n">
        <x:v>0</x:v>
      </x:c>
      <x:c r="H2403" s="13" t="n">
        <x:f>F2403-G2403</x:f>
        <x:v>569.13</x:v>
      </x:c>
      <x:c r="I2403" s="13" t="n">
        <x:f>IF(C2403=0,"n.a.",F2403/C2403)</x:f>
        <x:v>284.565</x:v>
      </x:c>
      <x:c r="J2403" s="3"/>
      <x:c r="K2403" s="3"/>
      <x:c r="L2403" s="3"/>
    </x:row>
    <x:row r="2404" ht="22" customHeight="1">
      <x:c r="A2404" s="3"/>
      <x:c r="B2404" s="3" t="str">
        <x:v>13321</x:v>
      </x:c>
      <x:c r="C2404" s="3" t="n">
        <x:v>2</x:v>
      </x:c>
      <x:c r="D2404" s="51" t="n">
        <x:v>40814</x:v>
      </x:c>
      <x:c r="E2404" s="3" t="str">
        <x:v>Recurrente</x:v>
      </x:c>
      <x:c r="F2404" s="13" t="n">
        <x:v>567.36</x:v>
      </x:c>
      <x:c r="G2404" s="13" t="n">
        <x:v>0</x:v>
      </x:c>
      <x:c r="H2404" s="13" t="n">
        <x:f>F2404-G2404</x:f>
        <x:v>567.36</x:v>
      </x:c>
      <x:c r="I2404" s="13" t="n">
        <x:f>IF(C2404=0,"n.a.",F2404/C2404)</x:f>
        <x:v>283.68</x:v>
      </x:c>
      <x:c r="J2404" s="3"/>
      <x:c r="K2404" s="3"/>
      <x:c r="L2404" s="3"/>
    </x:row>
    <x:row r="2405" ht="22" customHeight="1">
      <x:c r="A2405" s="3"/>
      <x:c r="B2405" s="3" t="str">
        <x:v>18150</x:v>
      </x:c>
      <x:c r="C2405" s="3" t="n">
        <x:v>3</x:v>
      </x:c>
      <x:c r="D2405" s="51" t="n">
        <x:v>40854</x:v>
      </x:c>
      <x:c r="E2405" s="3" t="str">
        <x:v>Recurrente</x:v>
      </x:c>
      <x:c r="F2405" s="13" t="n">
        <x:v>566.58</x:v>
      </x:c>
      <x:c r="G2405" s="13" t="n">
        <x:v>0</x:v>
      </x:c>
      <x:c r="H2405" s="13" t="n">
        <x:f>F2405-G2405</x:f>
        <x:v>566.58</x:v>
      </x:c>
      <x:c r="I2405" s="13" t="n">
        <x:f>IF(C2405=0,"n.a.",F2405/C2405)</x:f>
        <x:v>188.86</x:v>
      </x:c>
      <x:c r="J2405" s="3"/>
      <x:c r="K2405" s="3"/>
      <x:c r="L2405" s="3"/>
    </x:row>
    <x:row r="2406" ht="22" customHeight="1">
      <x:c r="A2406" s="3"/>
      <x:c r="B2406" s="3" t="str">
        <x:v>17014</x:v>
      </x:c>
      <x:c r="C2406" s="3" t="n">
        <x:v>3</x:v>
      </x:c>
      <x:c r="D2406" s="51" t="n">
        <x:v>40878</x:v>
      </x:c>
      <x:c r="E2406" s="3" t="str">
        <x:v>Recurrente</x:v>
      </x:c>
      <x:c r="F2406" s="13" t="n">
        <x:v>586.33</x:v>
      </x:c>
      <x:c r="G2406" s="13" t="n">
        <x:v>20.75</x:v>
      </x:c>
      <x:c r="H2406" s="13" t="n">
        <x:f>F2406-G2406</x:f>
        <x:v>565.58</x:v>
      </x:c>
      <x:c r="I2406" s="13" t="n">
        <x:f>IF(C2406=0,"n.a.",F2406/C2406)</x:f>
        <x:v>195.44333333333336</x:v>
      </x:c>
      <x:c r="J2406" s="3"/>
      <x:c r="K2406" s="3"/>
      <x:c r="L2406" s="3"/>
    </x:row>
    <x:row r="2407" ht="22" customHeight="1">
      <x:c r="A2407" s="3"/>
      <x:c r="B2407" s="3" t="str">
        <x:v>14753</x:v>
      </x:c>
      <x:c r="C2407" s="3" t="n">
        <x:v>1</x:v>
      </x:c>
      <x:c r="D2407" s="51" t="n">
        <x:v>40799</x:v>
      </x:c>
      <x:c r="E2407" s="3" t="str">
        <x:v>Una compra</x:v>
      </x:c>
      <x:c r="F2407" s="13" t="n">
        <x:v>563.15</x:v>
      </x:c>
      <x:c r="G2407" s="13" t="n">
        <x:v>0</x:v>
      </x:c>
      <x:c r="H2407" s="13" t="n">
        <x:f>F2407-G2407</x:f>
        <x:v>563.15</x:v>
      </x:c>
      <x:c r="I2407" s="13" t="n">
        <x:f>IF(C2407=0,"n.a.",F2407/C2407)</x:f>
        <x:v>563.15</x:v>
      </x:c>
      <x:c r="J2407" s="3"/>
      <x:c r="K2407" s="3"/>
      <x:c r="L2407" s="3"/>
    </x:row>
    <x:row r="2408" ht="22" customHeight="1">
      <x:c r="A2408" s="3"/>
      <x:c r="B2408" s="3" t="str">
        <x:v>17265</x:v>
      </x:c>
      <x:c r="C2408" s="3" t="n">
        <x:v>2</x:v>
      </x:c>
      <x:c r="D2408" s="51" t="n">
        <x:v>40748</x:v>
      </x:c>
      <x:c r="E2408" s="3" t="str">
        <x:v>Recurrente</x:v>
      </x:c>
      <x:c r="F2408" s="13" t="n">
        <x:v>562.9</x:v>
      </x:c>
      <x:c r="G2408" s="13" t="n">
        <x:v>0</x:v>
      </x:c>
      <x:c r="H2408" s="13" t="n">
        <x:f>F2408-G2408</x:f>
        <x:v>562.9</x:v>
      </x:c>
      <x:c r="I2408" s="13" t="n">
        <x:f>IF(C2408=0,"n.a.",F2408/C2408)</x:f>
        <x:v>281.45</x:v>
      </x:c>
      <x:c r="J2408" s="3"/>
      <x:c r="K2408" s="3"/>
      <x:c r="L2408" s="3"/>
    </x:row>
    <x:row r="2409" ht="22" customHeight="1">
      <x:c r="A2409" s="3"/>
      <x:c r="B2409" s="3" t="str">
        <x:v>13946</x:v>
      </x:c>
      <x:c r="C2409" s="3" t="n">
        <x:v>3</x:v>
      </x:c>
      <x:c r="D2409" s="51" t="n">
        <x:v>40807</x:v>
      </x:c>
      <x:c r="E2409" s="3" t="str">
        <x:v>Recurrente</x:v>
      </x:c>
      <x:c r="F2409" s="13" t="n">
        <x:v>561.57</x:v>
      </x:c>
      <x:c r="G2409" s="13" t="n">
        <x:v>0</x:v>
      </x:c>
      <x:c r="H2409" s="13" t="n">
        <x:f>F2409-G2409</x:f>
        <x:v>561.57</x:v>
      </x:c>
      <x:c r="I2409" s="13" t="n">
        <x:f>IF(C2409=0,"n.a.",F2409/C2409)</x:f>
        <x:v>187.19000000000003</x:v>
      </x:c>
      <x:c r="J2409" s="3"/>
      <x:c r="K2409" s="3"/>
      <x:c r="L2409" s="3"/>
    </x:row>
    <x:row r="2410" ht="22" customHeight="1">
      <x:c r="A2410" s="3"/>
      <x:c r="B2410" s="3" t="str">
        <x:v>13044</x:v>
      </x:c>
      <x:c r="C2410" s="3" t="n">
        <x:v>1</x:v>
      </x:c>
      <x:c r="D2410" s="51" t="n">
        <x:v>40595</x:v>
      </x:c>
      <x:c r="E2410" s="3" t="str">
        <x:v>Una compra</x:v>
      </x:c>
      <x:c r="F2410" s="13" t="n">
        <x:v>560.47</x:v>
      </x:c>
      <x:c r="G2410" s="13" t="n">
        <x:v>0</x:v>
      </x:c>
      <x:c r="H2410" s="13" t="n">
        <x:f>F2410-G2410</x:f>
        <x:v>560.47</x:v>
      </x:c>
      <x:c r="I2410" s="13" t="n">
        <x:f>IF(C2410=0,"n.a.",F2410/C2410)</x:f>
        <x:v>560.47</x:v>
      </x:c>
      <x:c r="J2410" s="3"/>
      <x:c r="K2410" s="3"/>
      <x:c r="L2410" s="3"/>
    </x:row>
    <x:row r="2411" ht="22" customHeight="1">
      <x:c r="A2411" s="3"/>
      <x:c r="B2411" s="3" t="str">
        <x:v>14273</x:v>
      </x:c>
      <x:c r="C2411" s="3" t="n">
        <x:v>4</x:v>
      </x:c>
      <x:c r="D2411" s="51" t="n">
        <x:v>40835</x:v>
      </x:c>
      <x:c r="E2411" s="3" t="str">
        <x:v>Recurrente</x:v>
      </x:c>
      <x:c r="F2411" s="13" t="n">
        <x:v>559.97</x:v>
      </x:c>
      <x:c r="G2411" s="13" t="n">
        <x:v>0</x:v>
      </x:c>
      <x:c r="H2411" s="13" t="n">
        <x:f>F2411-G2411</x:f>
        <x:v>559.97</x:v>
      </x:c>
      <x:c r="I2411" s="13" t="n">
        <x:f>IF(C2411=0,"n.a.",F2411/C2411)</x:f>
        <x:v>139.9925</x:v>
      </x:c>
      <x:c r="J2411" s="3"/>
      <x:c r="K2411" s="3"/>
      <x:c r="L2411" s="3"/>
    </x:row>
    <x:row r="2412" ht="22" customHeight="1">
      <x:c r="A2412" s="3"/>
      <x:c r="B2412" s="3" t="str">
        <x:v>16275</x:v>
      </x:c>
      <x:c r="C2412" s="3" t="n">
        <x:v>1</x:v>
      </x:c>
      <x:c r="D2412" s="51" t="n">
        <x:v>40690</x:v>
      </x:c>
      <x:c r="E2412" s="3" t="str">
        <x:v>Una compra</x:v>
      </x:c>
      <x:c r="F2412" s="13" t="n">
        <x:v>559.87</x:v>
      </x:c>
      <x:c r="G2412" s="13" t="n">
        <x:v>0</x:v>
      </x:c>
      <x:c r="H2412" s="13" t="n">
        <x:f>F2412-G2412</x:f>
        <x:v>559.87</x:v>
      </x:c>
      <x:c r="I2412" s="13" t="n">
        <x:f>IF(C2412=0,"n.a.",F2412/C2412)</x:f>
        <x:v>559.87</x:v>
      </x:c>
      <x:c r="J2412" s="3"/>
      <x:c r="K2412" s="3"/>
      <x:c r="L2412" s="3"/>
    </x:row>
    <x:row r="2413" ht="22" customHeight="1">
      <x:c r="A2413" s="3"/>
      <x:c r="B2413" s="3" t="str">
        <x:v>14400</x:v>
      </x:c>
      <x:c r="C2413" s="3" t="n">
        <x:v>1</x:v>
      </x:c>
      <x:c r="D2413" s="51" t="n">
        <x:v>40737</x:v>
      </x:c>
      <x:c r="E2413" s="3" t="str">
        <x:v>Una compra</x:v>
      </x:c>
      <x:c r="F2413" s="13" t="n">
        <x:v>574.7</x:v>
      </x:c>
      <x:c r="G2413" s="13" t="n">
        <x:v>15</x:v>
      </x:c>
      <x:c r="H2413" s="13" t="n">
        <x:f>F2413-G2413</x:f>
        <x:v>559.7</x:v>
      </x:c>
      <x:c r="I2413" s="13" t="n">
        <x:f>IF(C2413=0,"n.a.",F2413/C2413)</x:f>
        <x:v>574.7</x:v>
      </x:c>
      <x:c r="J2413" s="3"/>
      <x:c r="K2413" s="3"/>
      <x:c r="L2413" s="3"/>
    </x:row>
    <x:row r="2414" ht="22" customHeight="1">
      <x:c r="A2414" s="3"/>
      <x:c r="B2414" s="3" t="str">
        <x:v>18043</x:v>
      </x:c>
      <x:c r="C2414" s="3" t="n">
        <x:v>3</x:v>
      </x:c>
      <x:c r="D2414" s="51" t="n">
        <x:v>40862</x:v>
      </x:c>
      <x:c r="E2414" s="3" t="str">
        <x:v>Recurrente</x:v>
      </x:c>
      <x:c r="F2414" s="13" t="n">
        <x:v>559.51</x:v>
      </x:c>
      <x:c r="G2414" s="13" t="n">
        <x:v>0</x:v>
      </x:c>
      <x:c r="H2414" s="13" t="n">
        <x:f>F2414-G2414</x:f>
        <x:v>559.51</x:v>
      </x:c>
      <x:c r="I2414" s="13" t="n">
        <x:f>IF(C2414=0,"n.a.",F2414/C2414)</x:f>
        <x:v>186.50333333333333</x:v>
      </x:c>
      <x:c r="J2414" s="3"/>
      <x:c r="K2414" s="3"/>
      <x:c r="L2414" s="3"/>
    </x:row>
    <x:row r="2415" ht="22" customHeight="1">
      <x:c r="A2415" s="3"/>
      <x:c r="B2415" s="3" t="str">
        <x:v>17503</x:v>
      </x:c>
      <x:c r="C2415" s="3" t="n">
        <x:v>2</x:v>
      </x:c>
      <x:c r="D2415" s="51" t="n">
        <x:v>40884</x:v>
      </x:c>
      <x:c r="E2415" s="3" t="str">
        <x:v>Recurrente</x:v>
      </x:c>
      <x:c r="F2415" s="13" t="n">
        <x:v>558.96</x:v>
      </x:c>
      <x:c r="G2415" s="13" t="n">
        <x:v>0</x:v>
      </x:c>
      <x:c r="H2415" s="13" t="n">
        <x:f>F2415-G2415</x:f>
        <x:v>558.96</x:v>
      </x:c>
      <x:c r="I2415" s="13" t="n">
        <x:f>IF(C2415=0,"n.a.",F2415/C2415)</x:f>
        <x:v>279.48</x:v>
      </x:c>
      <x:c r="J2415" s="3"/>
      <x:c r="K2415" s="3"/>
      <x:c r="L2415" s="3"/>
    </x:row>
    <x:row r="2416" ht="22" customHeight="1">
      <x:c r="A2416" s="3"/>
      <x:c r="B2416" s="3" t="str">
        <x:v>13800</x:v>
      </x:c>
      <x:c r="C2416" s="3" t="n">
        <x:v>1</x:v>
      </x:c>
      <x:c r="D2416" s="51" t="n">
        <x:v>40577</x:v>
      </x:c>
      <x:c r="E2416" s="3" t="str">
        <x:v>Una compra</x:v>
      </x:c>
      <x:c r="F2416" s="13" t="n">
        <x:v>558.32</x:v>
      </x:c>
      <x:c r="G2416" s="13" t="n">
        <x:v>0</x:v>
      </x:c>
      <x:c r="H2416" s="13" t="n">
        <x:f>F2416-G2416</x:f>
        <x:v>558.32</x:v>
      </x:c>
      <x:c r="I2416" s="13" t="n">
        <x:f>IF(C2416=0,"n.a.",F2416/C2416)</x:f>
        <x:v>558.32</x:v>
      </x:c>
      <x:c r="J2416" s="3"/>
      <x:c r="K2416" s="3"/>
      <x:c r="L2416" s="3"/>
    </x:row>
    <x:row r="2417" ht="22" customHeight="1">
      <x:c r="A2417" s="3"/>
      <x:c r="B2417" s="3" t="str">
        <x:v>13260</x:v>
      </x:c>
      <x:c r="C2417" s="3" t="n">
        <x:v>1</x:v>
      </x:c>
      <x:c r="D2417" s="51" t="n">
        <x:v>40825</x:v>
      </x:c>
      <x:c r="E2417" s="3" t="str">
        <x:v>Una compra</x:v>
      </x:c>
      <x:c r="F2417" s="13" t="n">
        <x:v>557.62</x:v>
      </x:c>
      <x:c r="G2417" s="13" t="n">
        <x:v>0</x:v>
      </x:c>
      <x:c r="H2417" s="13" t="n">
        <x:f>F2417-G2417</x:f>
        <x:v>557.62</x:v>
      </x:c>
      <x:c r="I2417" s="13" t="n">
        <x:f>IF(C2417=0,"n.a.",F2417/C2417)</x:f>
        <x:v>557.62</x:v>
      </x:c>
      <x:c r="J2417" s="3"/>
      <x:c r="K2417" s="3"/>
      <x:c r="L2417" s="3"/>
    </x:row>
    <x:row r="2418" ht="22" customHeight="1">
      <x:c r="A2418" s="3"/>
      <x:c r="B2418" s="3" t="str">
        <x:v>15339</x:v>
      </x:c>
      <x:c r="C2418" s="3" t="n">
        <x:v>2</x:v>
      </x:c>
      <x:c r="D2418" s="51" t="n">
        <x:v>40820</x:v>
      </x:c>
      <x:c r="E2418" s="3" t="str">
        <x:v>Recurrente</x:v>
      </x:c>
      <x:c r="F2418" s="13" t="n">
        <x:v>574.07</x:v>
      </x:c>
      <x:c r="G2418" s="13" t="n">
        <x:v>16.5</x:v>
      </x:c>
      <x:c r="H2418" s="13" t="n">
        <x:f>F2418-G2418</x:f>
        <x:v>557.57</x:v>
      </x:c>
      <x:c r="I2418" s="13" t="n">
        <x:f>IF(C2418=0,"n.a.",F2418/C2418)</x:f>
        <x:v>287.035</x:v>
      </x:c>
      <x:c r="J2418" s="3"/>
      <x:c r="K2418" s="3"/>
      <x:c r="L2418" s="3"/>
    </x:row>
    <x:row r="2419" ht="22" customHeight="1">
      <x:c r="A2419" s="3"/>
      <x:c r="B2419" s="3" t="str">
        <x:v>13405</x:v>
      </x:c>
      <x:c r="C2419" s="3" t="n">
        <x:v>2</x:v>
      </x:c>
      <x:c r="D2419" s="51" t="n">
        <x:v>40682</x:v>
      </x:c>
      <x:c r="E2419" s="3" t="str">
        <x:v>Recurrente</x:v>
      </x:c>
      <x:c r="F2419" s="13" t="n">
        <x:v>557.45</x:v>
      </x:c>
      <x:c r="G2419" s="13" t="n">
        <x:v>0</x:v>
      </x:c>
      <x:c r="H2419" s="13" t="n">
        <x:f>F2419-G2419</x:f>
        <x:v>557.45</x:v>
      </x:c>
      <x:c r="I2419" s="13" t="n">
        <x:f>IF(C2419=0,"n.a.",F2419/C2419)</x:f>
        <x:v>278.725</x:v>
      </x:c>
      <x:c r="J2419" s="3"/>
      <x:c r="K2419" s="3"/>
      <x:c r="L2419" s="3"/>
    </x:row>
    <x:row r="2420" ht="22" customHeight="1">
      <x:c r="A2420" s="3"/>
      <x:c r="B2420" s="3" t="str">
        <x:v>17955</x:v>
      </x:c>
      <x:c r="C2420" s="3" t="n">
        <x:v>4</x:v>
      </x:c>
      <x:c r="D2420" s="51" t="n">
        <x:v>40688</x:v>
      </x:c>
      <x:c r="E2420" s="3" t="str">
        <x:v>Recurrente</x:v>
      </x:c>
      <x:c r="F2420" s="13" t="n">
        <x:v>557.3</x:v>
      </x:c>
      <x:c r="G2420" s="13" t="n">
        <x:v>0</x:v>
      </x:c>
      <x:c r="H2420" s="13" t="n">
        <x:f>F2420-G2420</x:f>
        <x:v>557.3</x:v>
      </x:c>
      <x:c r="I2420" s="13" t="n">
        <x:f>IF(C2420=0,"n.a.",F2420/C2420)</x:f>
        <x:v>139.325</x:v>
      </x:c>
      <x:c r="J2420" s="3"/>
      <x:c r="K2420" s="3"/>
      <x:c r="L2420" s="3"/>
    </x:row>
    <x:row r="2421" ht="22" customHeight="1">
      <x:c r="A2421" s="3"/>
      <x:c r="B2421" s="3" t="str">
        <x:v>17295</x:v>
      </x:c>
      <x:c r="C2421" s="3" t="n">
        <x:v>3</x:v>
      </x:c>
      <x:c r="D2421" s="51" t="n">
        <x:v>40858</x:v>
      </x:c>
      <x:c r="E2421" s="3" t="str">
        <x:v>Recurrente</x:v>
      </x:c>
      <x:c r="F2421" s="13" t="n">
        <x:v>556.95</x:v>
      </x:c>
      <x:c r="G2421" s="13" t="n">
        <x:v>0</x:v>
      </x:c>
      <x:c r="H2421" s="13" t="n">
        <x:f>F2421-G2421</x:f>
        <x:v>556.95</x:v>
      </x:c>
      <x:c r="I2421" s="13" t="n">
        <x:f>IF(C2421=0,"n.a.",F2421/C2421)</x:f>
        <x:v>185.65</x:v>
      </x:c>
      <x:c r="J2421" s="3"/>
      <x:c r="K2421" s="3"/>
      <x:c r="L2421" s="3"/>
    </x:row>
    <x:row r="2422" ht="22" customHeight="1">
      <x:c r="A2422" s="3"/>
      <x:c r="B2422" s="3" t="str">
        <x:v>13939</x:v>
      </x:c>
      <x:c r="C2422" s="3" t="n">
        <x:v>3</x:v>
      </x:c>
      <x:c r="D2422" s="51" t="n">
        <x:v>40863</x:v>
      </x:c>
      <x:c r="E2422" s="3" t="str">
        <x:v>Recurrente</x:v>
      </x:c>
      <x:c r="F2422" s="13" t="n">
        <x:v>568.55</x:v>
      </x:c>
      <x:c r="G2422" s="13" t="n">
        <x:v>11.8</x:v>
      </x:c>
      <x:c r="H2422" s="13" t="n">
        <x:f>F2422-G2422</x:f>
        <x:v>556.75</x:v>
      </x:c>
      <x:c r="I2422" s="13" t="n">
        <x:f>IF(C2422=0,"n.a.",F2422/C2422)</x:f>
        <x:v>189.51666666666665</x:v>
      </x:c>
      <x:c r="J2422" s="3"/>
      <x:c r="K2422" s="3"/>
      <x:c r="L2422" s="3"/>
    </x:row>
    <x:row r="2423" ht="22" customHeight="1">
      <x:c r="A2423" s="3"/>
      <x:c r="B2423" s="3" t="str">
        <x:v>16385</x:v>
      </x:c>
      <x:c r="C2423" s="3" t="n">
        <x:v>3</x:v>
      </x:c>
      <x:c r="D2423" s="51" t="n">
        <x:v>40826</x:v>
      </x:c>
      <x:c r="E2423" s="3" t="str">
        <x:v>Recurrente</x:v>
      </x:c>
      <x:c r="F2423" s="13" t="n">
        <x:v>555.89</x:v>
      </x:c>
      <x:c r="G2423" s="13" t="n">
        <x:v>0</x:v>
      </x:c>
      <x:c r="H2423" s="13" t="n">
        <x:f>F2423-G2423</x:f>
        <x:v>555.89</x:v>
      </x:c>
      <x:c r="I2423" s="13" t="n">
        <x:f>IF(C2423=0,"n.a.",F2423/C2423)</x:f>
        <x:v>185.29666666666665</x:v>
      </x:c>
      <x:c r="J2423" s="3"/>
      <x:c r="K2423" s="3"/>
      <x:c r="L2423" s="3"/>
    </x:row>
    <x:row r="2424" ht="22" customHeight="1">
      <x:c r="A2424" s="3"/>
      <x:c r="B2424" s="3" t="str">
        <x:v>14805</x:v>
      </x:c>
      <x:c r="C2424" s="3" t="n">
        <x:v>4</x:v>
      </x:c>
      <x:c r="D2424" s="51" t="n">
        <x:v>40871</x:v>
      </x:c>
      <x:c r="E2424" s="3" t="str">
        <x:v>Recurrente</x:v>
      </x:c>
      <x:c r="F2424" s="13" t="n">
        <x:v>554.65</x:v>
      </x:c>
      <x:c r="G2424" s="13" t="n">
        <x:v>0</x:v>
      </x:c>
      <x:c r="H2424" s="13" t="n">
        <x:f>F2424-G2424</x:f>
        <x:v>554.65</x:v>
      </x:c>
      <x:c r="I2424" s="13" t="n">
        <x:f>IF(C2424=0,"n.a.",F2424/C2424)</x:f>
        <x:v>138.6625</x:v>
      </x:c>
      <x:c r="J2424" s="3"/>
      <x:c r="K2424" s="3"/>
      <x:c r="L2424" s="3"/>
    </x:row>
    <x:row r="2425" ht="22" customHeight="1">
      <x:c r="A2425" s="3"/>
      <x:c r="B2425" s="3" t="str">
        <x:v>14177</x:v>
      </x:c>
      <x:c r="C2425" s="3" t="n">
        <x:v>4</x:v>
      </x:c>
      <x:c r="D2425" s="51" t="n">
        <x:v>40800</x:v>
      </x:c>
      <x:c r="E2425" s="3" t="str">
        <x:v>Recurrente</x:v>
      </x:c>
      <x:c r="F2425" s="13" t="n">
        <x:v>559.41</x:v>
      </x:c>
      <x:c r="G2425" s="13" t="n">
        <x:v>4.95</x:v>
      </x:c>
      <x:c r="H2425" s="13" t="n">
        <x:f>F2425-G2425</x:f>
        <x:v>554.4599999999999</x:v>
      </x:c>
      <x:c r="I2425" s="13" t="n">
        <x:f>IF(C2425=0,"n.a.",F2425/C2425)</x:f>
        <x:v>139.8525</x:v>
      </x:c>
      <x:c r="J2425" s="3"/>
      <x:c r="K2425" s="3"/>
      <x:c r="L2425" s="3"/>
    </x:row>
    <x:row r="2426" ht="22" customHeight="1">
      <x:c r="A2426" s="3"/>
      <x:c r="B2426" s="3" t="str">
        <x:v>14891</x:v>
      </x:c>
      <x:c r="C2426" s="3" t="n">
        <x:v>2</x:v>
      </x:c>
      <x:c r="D2426" s="51" t="n">
        <x:v>40738</x:v>
      </x:c>
      <x:c r="E2426" s="3" t="str">
        <x:v>Recurrente</x:v>
      </x:c>
      <x:c r="F2426" s="13" t="n">
        <x:v>554.38</x:v>
      </x:c>
      <x:c r="G2426" s="13" t="n">
        <x:v>0</x:v>
      </x:c>
      <x:c r="H2426" s="13" t="n">
        <x:f>F2426-G2426</x:f>
        <x:v>554.38</x:v>
      </x:c>
      <x:c r="I2426" s="13" t="n">
        <x:f>IF(C2426=0,"n.a.",F2426/C2426)</x:f>
        <x:v>277.19</x:v>
      </x:c>
      <x:c r="J2426" s="3"/>
      <x:c r="K2426" s="3"/>
      <x:c r="L2426" s="3"/>
    </x:row>
    <x:row r="2427" ht="22" customHeight="1">
      <x:c r="A2427" s="3"/>
      <x:c r="B2427" s="3" t="str">
        <x:v>14338</x:v>
      </x:c>
      <x:c r="C2427" s="3" t="n">
        <x:v>2</x:v>
      </x:c>
      <x:c r="D2427" s="51" t="n">
        <x:v>40725</x:v>
      </x:c>
      <x:c r="E2427" s="3" t="str">
        <x:v>Recurrente</x:v>
      </x:c>
      <x:c r="F2427" s="13" t="n">
        <x:v>588.22</x:v>
      </x:c>
      <x:c r="G2427" s="13" t="n">
        <x:v>34</x:v>
      </x:c>
      <x:c r="H2427" s="13" t="n">
        <x:f>F2427-G2427</x:f>
        <x:v>554.22</x:v>
      </x:c>
      <x:c r="I2427" s="13" t="n">
        <x:f>IF(C2427=0,"n.a.",F2427/C2427)</x:f>
        <x:v>294.11</x:v>
      </x:c>
      <x:c r="J2427" s="3"/>
      <x:c r="K2427" s="3"/>
      <x:c r="L2427" s="3"/>
    </x:row>
    <x:row r="2428" ht="22" customHeight="1">
      <x:c r="A2428" s="3"/>
      <x:c r="B2428" s="3" t="str">
        <x:v>15068</x:v>
      </x:c>
      <x:c r="C2428" s="3" t="n">
        <x:v>2</x:v>
      </x:c>
      <x:c r="D2428" s="51" t="n">
        <x:v>40840</x:v>
      </x:c>
      <x:c r="E2428" s="3" t="str">
        <x:v>Recurrente</x:v>
      </x:c>
      <x:c r="F2428" s="13" t="n">
        <x:v>553.36</x:v>
      </x:c>
      <x:c r="G2428" s="13" t="n">
        <x:v>0</x:v>
      </x:c>
      <x:c r="H2428" s="13" t="n">
        <x:f>F2428-G2428</x:f>
        <x:v>553.36</x:v>
      </x:c>
      <x:c r="I2428" s="13" t="n">
        <x:f>IF(C2428=0,"n.a.",F2428/C2428)</x:f>
        <x:v>276.68</x:v>
      </x:c>
      <x:c r="J2428" s="3"/>
      <x:c r="K2428" s="3"/>
      <x:c r="L2428" s="3"/>
    </x:row>
    <x:row r="2429" ht="22" customHeight="1">
      <x:c r="A2429" s="3"/>
      <x:c r="B2429" s="3" t="str">
        <x:v>12879</x:v>
      </x:c>
      <x:c r="C2429" s="3" t="n">
        <x:v>3</x:v>
      </x:c>
      <x:c r="D2429" s="51" t="n">
        <x:v>40842</x:v>
      </x:c>
      <x:c r="E2429" s="3" t="str">
        <x:v>Recurrente</x:v>
      </x:c>
      <x:c r="F2429" s="13" t="n">
        <x:v>573.22</x:v>
      </x:c>
      <x:c r="G2429" s="13" t="n">
        <x:v>20.65</x:v>
      </x:c>
      <x:c r="H2429" s="13" t="n">
        <x:f>F2429-G2429</x:f>
        <x:v>552.57</x:v>
      </x:c>
      <x:c r="I2429" s="13" t="n">
        <x:f>IF(C2429=0,"n.a.",F2429/C2429)</x:f>
        <x:v>191.07333333333335</x:v>
      </x:c>
      <x:c r="J2429" s="3"/>
      <x:c r="K2429" s="3"/>
      <x:c r="L2429" s="3"/>
    </x:row>
    <x:row r="2430" ht="22" customHeight="1">
      <x:c r="A2430" s="3"/>
      <x:c r="B2430" s="3" t="str">
        <x:v>12363</x:v>
      </x:c>
      <x:c r="C2430" s="3" t="n">
        <x:v>2</x:v>
      </x:c>
      <x:c r="D2430" s="51" t="n">
        <x:v>40777</x:v>
      </x:c>
      <x:c r="E2430" s="3" t="str">
        <x:v>Recurrente</x:v>
      </x:c>
      <x:c r="F2430" s="13" t="n">
        <x:v>552</x:v>
      </x:c>
      <x:c r="G2430" s="13" t="n">
        <x:v>0</x:v>
      </x:c>
      <x:c r="H2430" s="13" t="n">
        <x:f>F2430-G2430</x:f>
        <x:v>552</x:v>
      </x:c>
      <x:c r="I2430" s="13" t="n">
        <x:f>IF(C2430=0,"n.a.",F2430/C2430)</x:f>
        <x:v>276</x:v>
      </x:c>
      <x:c r="J2430" s="3"/>
      <x:c r="K2430" s="3"/>
      <x:c r="L2430" s="3"/>
    </x:row>
    <x:row r="2431" ht="22" customHeight="1">
      <x:c r="A2431" s="3"/>
      <x:c r="B2431" s="3" t="str">
        <x:v>15315</x:v>
      </x:c>
      <x:c r="C2431" s="3" t="n">
        <x:v>2</x:v>
      </x:c>
      <x:c r="D2431" s="51" t="n">
        <x:v>40822</x:v>
      </x:c>
      <x:c r="E2431" s="3" t="str">
        <x:v>Recurrente</x:v>
      </x:c>
      <x:c r="F2431" s="13" t="n">
        <x:v>570.5</x:v>
      </x:c>
      <x:c r="G2431" s="13" t="n">
        <x:v>18.96</x:v>
      </x:c>
      <x:c r="H2431" s="13" t="n">
        <x:f>F2431-G2431</x:f>
        <x:v>551.54</x:v>
      </x:c>
      <x:c r="I2431" s="13" t="n">
        <x:f>IF(C2431=0,"n.a.",F2431/C2431)</x:f>
        <x:v>285.25</x:v>
      </x:c>
      <x:c r="J2431" s="3"/>
      <x:c r="K2431" s="3"/>
      <x:c r="L2431" s="3"/>
    </x:row>
    <x:row r="2432" ht="22" customHeight="1">
      <x:c r="A2432" s="3"/>
      <x:c r="B2432" s="3" t="str">
        <x:v>17674</x:v>
      </x:c>
      <x:c r="C2432" s="3" t="n">
        <x:v>2</x:v>
      </x:c>
      <x:c r="D2432" s="51" t="n">
        <x:v>40812</x:v>
      </x:c>
      <x:c r="E2432" s="3" t="str">
        <x:v>Recurrente</x:v>
      </x:c>
      <x:c r="F2432" s="13" t="n">
        <x:v>551.04</x:v>
      </x:c>
      <x:c r="G2432" s="13" t="n">
        <x:v>0</x:v>
      </x:c>
      <x:c r="H2432" s="13" t="n">
        <x:f>F2432-G2432</x:f>
        <x:v>551.04</x:v>
      </x:c>
      <x:c r="I2432" s="13" t="n">
        <x:f>IF(C2432=0,"n.a.",F2432/C2432)</x:f>
        <x:v>275.52</x:v>
      </x:c>
      <x:c r="J2432" s="3"/>
      <x:c r="K2432" s="3"/>
      <x:c r="L2432" s="3"/>
    </x:row>
    <x:row r="2433" ht="22" customHeight="1">
      <x:c r="A2433" s="3"/>
      <x:c r="B2433" s="3" t="str">
        <x:v>17291</x:v>
      </x:c>
      <x:c r="C2433" s="3" t="n">
        <x:v>1</x:v>
      </x:c>
      <x:c r="D2433" s="51" t="n">
        <x:v>40578</x:v>
      </x:c>
      <x:c r="E2433" s="3" t="str">
        <x:v>Una compra</x:v>
      </x:c>
      <x:c r="F2433" s="13" t="n">
        <x:v>550.8</x:v>
      </x:c>
      <x:c r="G2433" s="13" t="n">
        <x:v>0</x:v>
      </x:c>
      <x:c r="H2433" s="13" t="n">
        <x:f>F2433-G2433</x:f>
        <x:v>550.8</x:v>
      </x:c>
      <x:c r="I2433" s="13" t="n">
        <x:f>IF(C2433=0,"n.a.",F2433/C2433)</x:f>
        <x:v>550.8</x:v>
      </x:c>
      <x:c r="J2433" s="3"/>
      <x:c r="K2433" s="3"/>
      <x:c r="L2433" s="3"/>
    </x:row>
    <x:row r="2434" ht="22" customHeight="1">
      <x:c r="A2434" s="3"/>
      <x:c r="B2434" s="3" t="str">
        <x:v>17235</x:v>
      </x:c>
      <x:c r="C2434" s="3" t="n">
        <x:v>2</x:v>
      </x:c>
      <x:c r="D2434" s="51" t="n">
        <x:v>40861</x:v>
      </x:c>
      <x:c r="E2434" s="3" t="str">
        <x:v>Recurrente</x:v>
      </x:c>
      <x:c r="F2434" s="13" t="n">
        <x:v>550.06</x:v>
      </x:c>
      <x:c r="G2434" s="13" t="n">
        <x:v>0</x:v>
      </x:c>
      <x:c r="H2434" s="13" t="n">
        <x:f>F2434-G2434</x:f>
        <x:v>550.06</x:v>
      </x:c>
      <x:c r="I2434" s="13" t="n">
        <x:f>IF(C2434=0,"n.a.",F2434/C2434)</x:f>
        <x:v>275.03</x:v>
      </x:c>
      <x:c r="J2434" s="3"/>
      <x:c r="K2434" s="3"/>
      <x:c r="L2434" s="3"/>
    </x:row>
    <x:row r="2435" ht="22" customHeight="1">
      <x:c r="A2435" s="3"/>
      <x:c r="B2435" s="3" t="str">
        <x:v>12649</x:v>
      </x:c>
      <x:c r="C2435" s="3" t="n">
        <x:v>3</x:v>
      </x:c>
      <x:c r="D2435" s="51" t="n">
        <x:v>40779</x:v>
      </x:c>
      <x:c r="E2435" s="3" t="str">
        <x:v>Recurrente</x:v>
      </x:c>
      <x:c r="F2435" s="13" t="n">
        <x:v>569.51</x:v>
      </x:c>
      <x:c r="G2435" s="13" t="n">
        <x:v>19.8</x:v>
      </x:c>
      <x:c r="H2435" s="13" t="n">
        <x:f>F2435-G2435</x:f>
        <x:v>549.71</x:v>
      </x:c>
      <x:c r="I2435" s="13" t="n">
        <x:f>IF(C2435=0,"n.a.",F2435/C2435)</x:f>
        <x:v>189.83666666666667</x:v>
      </x:c>
      <x:c r="J2435" s="3"/>
      <x:c r="K2435" s="3"/>
      <x:c r="L2435" s="3"/>
    </x:row>
    <x:row r="2436" ht="22" customHeight="1">
      <x:c r="A2436" s="3"/>
      <x:c r="B2436" s="3" t="str">
        <x:v>16340</x:v>
      </x:c>
      <x:c r="C2436" s="3" t="n">
        <x:v>1</x:v>
      </x:c>
      <x:c r="D2436" s="51" t="n">
        <x:v>40779</x:v>
      </x:c>
      <x:c r="E2436" s="3" t="str">
        <x:v>Una compra</x:v>
      </x:c>
      <x:c r="F2436" s="13" t="n">
        <x:v>549.07</x:v>
      </x:c>
      <x:c r="G2436" s="13" t="n">
        <x:v>0</x:v>
      </x:c>
      <x:c r="H2436" s="13" t="n">
        <x:f>F2436-G2436</x:f>
        <x:v>549.07</x:v>
      </x:c>
      <x:c r="I2436" s="13" t="n">
        <x:f>IF(C2436=0,"n.a.",F2436/C2436)</x:f>
        <x:v>549.07</x:v>
      </x:c>
      <x:c r="J2436" s="3"/>
      <x:c r="K2436" s="3"/>
      <x:c r="L2436" s="3"/>
    </x:row>
    <x:row r="2437" ht="22" customHeight="1">
      <x:c r="A2437" s="3"/>
      <x:c r="B2437" s="3" t="str">
        <x:v>16031</x:v>
      </x:c>
      <x:c r="C2437" s="3" t="n">
        <x:v>2</x:v>
      </x:c>
      <x:c r="D2437" s="51" t="n">
        <x:v>40794</x:v>
      </x:c>
      <x:c r="E2437" s="3" t="str">
        <x:v>Recurrente</x:v>
      </x:c>
      <x:c r="F2437" s="13" t="n">
        <x:v>548.94</x:v>
      </x:c>
      <x:c r="G2437" s="13" t="n">
        <x:v>0</x:v>
      </x:c>
      <x:c r="H2437" s="13" t="n">
        <x:f>F2437-G2437</x:f>
        <x:v>548.94</x:v>
      </x:c>
      <x:c r="I2437" s="13" t="n">
        <x:f>IF(C2437=0,"n.a.",F2437/C2437)</x:f>
        <x:v>274.47</x:v>
      </x:c>
      <x:c r="J2437" s="3"/>
      <x:c r="K2437" s="3"/>
      <x:c r="L2437" s="3"/>
    </x:row>
    <x:row r="2438" ht="22" customHeight="1">
      <x:c r="A2438" s="3"/>
      <x:c r="B2438" s="3" t="str">
        <x:v>15830</x:v>
      </x:c>
      <x:c r="C2438" s="3" t="n">
        <x:v>1</x:v>
      </x:c>
      <x:c r="D2438" s="51" t="n">
        <x:v>40849</x:v>
      </x:c>
      <x:c r="E2438" s="3" t="str">
        <x:v>Una compra</x:v>
      </x:c>
      <x:c r="F2438" s="13" t="n">
        <x:v>576</x:v>
      </x:c>
      <x:c r="G2438" s="13" t="n">
        <x:v>28.3</x:v>
      </x:c>
      <x:c r="H2438" s="13" t="n">
        <x:f>F2438-G2438</x:f>
        <x:v>547.7</x:v>
      </x:c>
      <x:c r="I2438" s="13" t="n">
        <x:f>IF(C2438=0,"n.a.",F2438/C2438)</x:f>
        <x:v>576</x:v>
      </x:c>
      <x:c r="J2438" s="3"/>
      <x:c r="K2438" s="3"/>
      <x:c r="L2438" s="3"/>
    </x:row>
    <x:row r="2439" ht="22" customHeight="1">
      <x:c r="A2439" s="3"/>
      <x:c r="B2439" s="3" t="str">
        <x:v>16811</x:v>
      </x:c>
      <x:c r="C2439" s="3" t="n">
        <x:v>2</x:v>
      </x:c>
      <x:c r="D2439" s="51" t="n">
        <x:v>40882</x:v>
      </x:c>
      <x:c r="E2439" s="3" t="str">
        <x:v>Recurrente</x:v>
      </x:c>
      <x:c r="F2439" s="13" t="n">
        <x:v>547.07</x:v>
      </x:c>
      <x:c r="G2439" s="13" t="n">
        <x:v>0</x:v>
      </x:c>
      <x:c r="H2439" s="13" t="n">
        <x:f>F2439-G2439</x:f>
        <x:v>547.07</x:v>
      </x:c>
      <x:c r="I2439" s="13" t="n">
        <x:f>IF(C2439=0,"n.a.",F2439/C2439)</x:f>
        <x:v>273.535</x:v>
      </x:c>
      <x:c r="J2439" s="3"/>
      <x:c r="K2439" s="3"/>
      <x:c r="L2439" s="3"/>
    </x:row>
    <x:row r="2440" ht="22" customHeight="1">
      <x:c r="A2440" s="3"/>
      <x:c r="B2440" s="3" t="str">
        <x:v>17637</x:v>
      </x:c>
      <x:c r="C2440" s="3" t="n">
        <x:v>2</x:v>
      </x:c>
      <x:c r="D2440" s="51" t="n">
        <x:v>40855</x:v>
      </x:c>
      <x:c r="E2440" s="3" t="str">
        <x:v>Recurrente</x:v>
      </x:c>
      <x:c r="F2440" s="13" t="n">
        <x:v>547.06</x:v>
      </x:c>
      <x:c r="G2440" s="13" t="n">
        <x:v>0</x:v>
      </x:c>
      <x:c r="H2440" s="13" t="n">
        <x:f>F2440-G2440</x:f>
        <x:v>547.06</x:v>
      </x:c>
      <x:c r="I2440" s="13" t="n">
        <x:f>IF(C2440=0,"n.a.",F2440/C2440)</x:f>
        <x:v>273.53</x:v>
      </x:c>
      <x:c r="J2440" s="3"/>
      <x:c r="K2440" s="3"/>
      <x:c r="L2440" s="3"/>
    </x:row>
    <x:row r="2441" ht="22" customHeight="1">
      <x:c r="A2441" s="3"/>
      <x:c r="B2441" s="3" t="str">
        <x:v>17520</x:v>
      </x:c>
      <x:c r="C2441" s="3" t="n">
        <x:v>1</x:v>
      </x:c>
      <x:c r="D2441" s="51" t="n">
        <x:v>40833</x:v>
      </x:c>
      <x:c r="E2441" s="3" t="str">
        <x:v>Una compra</x:v>
      </x:c>
      <x:c r="F2441" s="13" t="n">
        <x:v>546.81</x:v>
      </x:c>
      <x:c r="G2441" s="13" t="n">
        <x:v>0</x:v>
      </x:c>
      <x:c r="H2441" s="13" t="n">
        <x:f>F2441-G2441</x:f>
        <x:v>546.81</x:v>
      </x:c>
      <x:c r="I2441" s="13" t="n">
        <x:f>IF(C2441=0,"n.a.",F2441/C2441)</x:f>
        <x:v>546.81</x:v>
      </x:c>
      <x:c r="J2441" s="3"/>
      <x:c r="K2441" s="3"/>
      <x:c r="L2441" s="3"/>
    </x:row>
    <x:row r="2442" ht="22" customHeight="1">
      <x:c r="A2442" s="3"/>
      <x:c r="B2442" s="3" t="str">
        <x:v>12743</x:v>
      </x:c>
      <x:c r="C2442" s="3" t="n">
        <x:v>2</x:v>
      </x:c>
      <x:c r="D2442" s="51" t="n">
        <x:v>40752</x:v>
      </x:c>
      <x:c r="E2442" s="3" t="str">
        <x:v>Recurrente</x:v>
      </x:c>
      <x:c r="F2442" s="13" t="n">
        <x:v>546.43</x:v>
      </x:c>
      <x:c r="G2442" s="13" t="n">
        <x:v>0</x:v>
      </x:c>
      <x:c r="H2442" s="13" t="n">
        <x:f>F2442-G2442</x:f>
        <x:v>546.43</x:v>
      </x:c>
      <x:c r="I2442" s="13" t="n">
        <x:f>IF(C2442=0,"n.a.",F2442/C2442)</x:f>
        <x:v>273.215</x:v>
      </x:c>
      <x:c r="J2442" s="3"/>
      <x:c r="K2442" s="3"/>
      <x:c r="L2442" s="3"/>
    </x:row>
    <x:row r="2443" ht="22" customHeight="1">
      <x:c r="A2443" s="3"/>
      <x:c r="B2443" s="3" t="str">
        <x:v>17806</x:v>
      </x:c>
      <x:c r="C2443" s="3" t="n">
        <x:v>1</x:v>
      </x:c>
      <x:c r="D2443" s="51" t="n">
        <x:v>40875</x:v>
      </x:c>
      <x:c r="E2443" s="3" t="str">
        <x:v>Una compra</x:v>
      </x:c>
      <x:c r="F2443" s="13" t="n">
        <x:v>546.04</x:v>
      </x:c>
      <x:c r="G2443" s="13" t="n">
        <x:v>0</x:v>
      </x:c>
      <x:c r="H2443" s="13" t="n">
        <x:f>F2443-G2443</x:f>
        <x:v>546.04</x:v>
      </x:c>
      <x:c r="I2443" s="13" t="n">
        <x:f>IF(C2443=0,"n.a.",F2443/C2443)</x:f>
        <x:v>546.04</x:v>
      </x:c>
      <x:c r="J2443" s="3"/>
      <x:c r="K2443" s="3"/>
      <x:c r="L2443" s="3"/>
    </x:row>
    <x:row r="2444" ht="22" customHeight="1">
      <x:c r="A2444" s="3"/>
      <x:c r="B2444" s="3" t="str">
        <x:v>12478</x:v>
      </x:c>
      <x:c r="C2444" s="3" t="n">
        <x:v>1</x:v>
      </x:c>
      <x:c r="D2444" s="51" t="n">
        <x:v>40883</x:v>
      </x:c>
      <x:c r="E2444" s="3" t="str">
        <x:v>Una compra</x:v>
      </x:c>
      <x:c r="F2444" s="13" t="n">
        <x:v>545.99</x:v>
      </x:c>
      <x:c r="G2444" s="13" t="n">
        <x:v>0</x:v>
      </x:c>
      <x:c r="H2444" s="13" t="n">
        <x:f>F2444-G2444</x:f>
        <x:v>545.99</x:v>
      </x:c>
      <x:c r="I2444" s="13" t="n">
        <x:f>IF(C2444=0,"n.a.",F2444/C2444)</x:f>
        <x:v>545.99</x:v>
      </x:c>
      <x:c r="J2444" s="3"/>
      <x:c r="K2444" s="3"/>
      <x:c r="L2444" s="3"/>
    </x:row>
    <x:row r="2445" ht="22" customHeight="1">
      <x:c r="A2445" s="3"/>
      <x:c r="B2445" s="3" t="str">
        <x:v>12521</x:v>
      </x:c>
      <x:c r="C2445" s="3" t="n">
        <x:v>1</x:v>
      </x:c>
      <x:c r="D2445" s="51" t="n">
        <x:v>40744</x:v>
      </x:c>
      <x:c r="E2445" s="3" t="str">
        <x:v>Una compra</x:v>
      </x:c>
      <x:c r="F2445" s="13" t="n">
        <x:v>545.68</x:v>
      </x:c>
      <x:c r="G2445" s="13" t="n">
        <x:v>0</x:v>
      </x:c>
      <x:c r="H2445" s="13" t="n">
        <x:f>F2445-G2445</x:f>
        <x:v>545.68</x:v>
      </x:c>
      <x:c r="I2445" s="13" t="n">
        <x:f>IF(C2445=0,"n.a.",F2445/C2445)</x:f>
        <x:v>545.68</x:v>
      </x:c>
      <x:c r="J2445" s="3"/>
      <x:c r="K2445" s="3"/>
      <x:c r="L2445" s="3"/>
    </x:row>
    <x:row r="2446" ht="22" customHeight="1">
      <x:c r="A2446" s="3"/>
      <x:c r="B2446" s="3" t="str">
        <x:v>12987</x:v>
      </x:c>
      <x:c r="C2446" s="3" t="n">
        <x:v>2</x:v>
      </x:c>
      <x:c r="D2446" s="51" t="n">
        <x:v>40813</x:v>
      </x:c>
      <x:c r="E2446" s="3" t="str">
        <x:v>Recurrente</x:v>
      </x:c>
      <x:c r="F2446" s="13" t="n">
        <x:v>558.7</x:v>
      </x:c>
      <x:c r="G2446" s="13" t="n">
        <x:v>13.7</x:v>
      </x:c>
      <x:c r="H2446" s="13" t="n">
        <x:f>F2446-G2446</x:f>
        <x:v>545</x:v>
      </x:c>
      <x:c r="I2446" s="13" t="n">
        <x:f>IF(C2446=0,"n.a.",F2446/C2446)</x:f>
        <x:v>279.35</x:v>
      </x:c>
      <x:c r="J2446" s="3"/>
      <x:c r="K2446" s="3"/>
      <x:c r="L2446" s="3"/>
    </x:row>
    <x:row r="2447" ht="22" customHeight="1">
      <x:c r="A2447" s="3"/>
      <x:c r="B2447" s="3" t="str">
        <x:v>16475</x:v>
      </x:c>
      <x:c r="C2447" s="3" t="n">
        <x:v>4</x:v>
      </x:c>
      <x:c r="D2447" s="51" t="n">
        <x:v>40798</x:v>
      </x:c>
      <x:c r="E2447" s="3" t="str">
        <x:v>Recurrente</x:v>
      </x:c>
      <x:c r="F2447" s="13" t="n">
        <x:v>544.3</x:v>
      </x:c>
      <x:c r="G2447" s="13" t="n">
        <x:v>0</x:v>
      </x:c>
      <x:c r="H2447" s="13" t="n">
        <x:f>F2447-G2447</x:f>
        <x:v>544.3</x:v>
      </x:c>
      <x:c r="I2447" s="13" t="n">
        <x:f>IF(C2447=0,"n.a.",F2447/C2447)</x:f>
        <x:v>136.075</x:v>
      </x:c>
      <x:c r="J2447" s="3"/>
      <x:c r="K2447" s="3"/>
      <x:c r="L2447" s="3"/>
    </x:row>
    <x:row r="2448" ht="22" customHeight="1">
      <x:c r="A2448" s="3"/>
      <x:c r="B2448" s="3" t="str">
        <x:v>13617</x:v>
      </x:c>
      <x:c r="C2448" s="3" t="n">
        <x:v>3</x:v>
      </x:c>
      <x:c r="D2448" s="51" t="n">
        <x:v>40846</x:v>
      </x:c>
      <x:c r="E2448" s="3" t="str">
        <x:v>Recurrente</x:v>
      </x:c>
      <x:c r="F2448" s="13" t="n">
        <x:v>544.18</x:v>
      </x:c>
      <x:c r="G2448" s="13" t="n">
        <x:v>0</x:v>
      </x:c>
      <x:c r="H2448" s="13" t="n">
        <x:f>F2448-G2448</x:f>
        <x:v>544.18</x:v>
      </x:c>
      <x:c r="I2448" s="13" t="n">
        <x:f>IF(C2448=0,"n.a.",F2448/C2448)</x:f>
        <x:v>181.39333333333332</x:v>
      </x:c>
      <x:c r="J2448" s="3"/>
      <x:c r="K2448" s="3"/>
      <x:c r="L2448" s="3"/>
    </x:row>
    <x:row r="2449" ht="22" customHeight="1">
      <x:c r="A2449" s="3"/>
      <x:c r="B2449" s="3" t="str">
        <x:v>13390</x:v>
      </x:c>
      <x:c r="C2449" s="3" t="n">
        <x:v>1</x:v>
      </x:c>
      <x:c r="D2449" s="51" t="n">
        <x:v>40812</x:v>
      </x:c>
      <x:c r="E2449" s="3" t="str">
        <x:v>Una compra</x:v>
      </x:c>
      <x:c r="F2449" s="13" t="n">
        <x:v>544.08</x:v>
      </x:c>
      <x:c r="G2449" s="13" t="n">
        <x:v>0</x:v>
      </x:c>
      <x:c r="H2449" s="13" t="n">
        <x:f>F2449-G2449</x:f>
        <x:v>544.08</x:v>
      </x:c>
      <x:c r="I2449" s="13" t="n">
        <x:f>IF(C2449=0,"n.a.",F2449/C2449)</x:f>
        <x:v>544.08</x:v>
      </x:c>
      <x:c r="J2449" s="3"/>
      <x:c r="K2449" s="3"/>
      <x:c r="L2449" s="3"/>
    </x:row>
    <x:row r="2450" ht="22" customHeight="1">
      <x:c r="A2450" s="3"/>
      <x:c r="B2450" s="3" t="str">
        <x:v>16927</x:v>
      </x:c>
      <x:c r="C2450" s="3" t="n">
        <x:v>3</x:v>
      </x:c>
      <x:c r="D2450" s="51" t="n">
        <x:v>40771</x:v>
      </x:c>
      <x:c r="E2450" s="3" t="str">
        <x:v>Recurrente</x:v>
      </x:c>
      <x:c r="F2450" s="13" t="n">
        <x:v>543.05</x:v>
      </x:c>
      <x:c r="G2450" s="13" t="n">
        <x:v>0</x:v>
      </x:c>
      <x:c r="H2450" s="13" t="n">
        <x:f>F2450-G2450</x:f>
        <x:v>543.05</x:v>
      </x:c>
      <x:c r="I2450" s="13" t="n">
        <x:f>IF(C2450=0,"n.a.",F2450/C2450)</x:f>
        <x:v>181.01666666666665</x:v>
      </x:c>
      <x:c r="J2450" s="3"/>
      <x:c r="K2450" s="3"/>
      <x:c r="L2450" s="3"/>
    </x:row>
    <x:row r="2451" ht="22" customHeight="1">
      <x:c r="A2451" s="3"/>
      <x:c r="B2451" s="3" t="str">
        <x:v>16211</x:v>
      </x:c>
      <x:c r="C2451" s="3" t="n">
        <x:v>1</x:v>
      </x:c>
      <x:c r="D2451" s="51" t="n">
        <x:v>40798</x:v>
      </x:c>
      <x:c r="E2451" s="3" t="str">
        <x:v>Una compra</x:v>
      </x:c>
      <x:c r="F2451" s="13" t="n">
        <x:v>547.02</x:v>
      </x:c>
      <x:c r="G2451" s="13" t="n">
        <x:v>4.25</x:v>
      </x:c>
      <x:c r="H2451" s="13" t="n">
        <x:f>F2451-G2451</x:f>
        <x:v>542.77</x:v>
      </x:c>
      <x:c r="I2451" s="13" t="n">
        <x:f>IF(C2451=0,"n.a.",F2451/C2451)</x:f>
        <x:v>547.02</x:v>
      </x:c>
      <x:c r="J2451" s="3"/>
      <x:c r="K2451" s="3"/>
      <x:c r="L2451" s="3"/>
    </x:row>
    <x:row r="2452" ht="22" customHeight="1">
      <x:c r="A2452" s="3"/>
      <x:c r="B2452" s="3" t="str">
        <x:v>13278</x:v>
      </x:c>
      <x:c r="C2452" s="3" t="n">
        <x:v>1</x:v>
      </x:c>
      <x:c r="D2452" s="51" t="n">
        <x:v>40846</x:v>
      </x:c>
      <x:c r="E2452" s="3" t="str">
        <x:v>Una compra</x:v>
      </x:c>
      <x:c r="F2452" s="13" t="n">
        <x:v>542.73</x:v>
      </x:c>
      <x:c r="G2452" s="13" t="n">
        <x:v>0</x:v>
      </x:c>
      <x:c r="H2452" s="13" t="n">
        <x:f>F2452-G2452</x:f>
        <x:v>542.73</x:v>
      </x:c>
      <x:c r="I2452" s="13" t="n">
        <x:f>IF(C2452=0,"n.a.",F2452/C2452)</x:f>
        <x:v>542.73</x:v>
      </x:c>
      <x:c r="J2452" s="3"/>
      <x:c r="K2452" s="3"/>
      <x:c r="L2452" s="3"/>
    </x:row>
    <x:row r="2453" ht="22" customHeight="1">
      <x:c r="A2453" s="3"/>
      <x:c r="B2453" s="3" t="str">
        <x:v>16230</x:v>
      </x:c>
      <x:c r="C2453" s="3" t="n">
        <x:v>2</x:v>
      </x:c>
      <x:c r="D2453" s="51" t="n">
        <x:v>40697</x:v>
      </x:c>
      <x:c r="E2453" s="3" t="str">
        <x:v>Recurrente</x:v>
      </x:c>
      <x:c r="F2453" s="13" t="n">
        <x:v>542.03</x:v>
      </x:c>
      <x:c r="G2453" s="13" t="n">
        <x:v>0</x:v>
      </x:c>
      <x:c r="H2453" s="13" t="n">
        <x:f>F2453-G2453</x:f>
        <x:v>542.03</x:v>
      </x:c>
      <x:c r="I2453" s="13" t="n">
        <x:f>IF(C2453=0,"n.a.",F2453/C2453)</x:f>
        <x:v>271.015</x:v>
      </x:c>
      <x:c r="J2453" s="3"/>
      <x:c r="K2453" s="3"/>
      <x:c r="L2453" s="3"/>
    </x:row>
    <x:row r="2454" ht="22" customHeight="1">
      <x:c r="A2454" s="3"/>
      <x:c r="B2454" s="3" t="str">
        <x:v>17447</x:v>
      </x:c>
      <x:c r="C2454" s="3" t="n">
        <x:v>2</x:v>
      </x:c>
      <x:c r="D2454" s="51" t="n">
        <x:v>40846</x:v>
      </x:c>
      <x:c r="E2454" s="3" t="str">
        <x:v>Recurrente</x:v>
      </x:c>
      <x:c r="F2454" s="13" t="n">
        <x:v>541.53</x:v>
      </x:c>
      <x:c r="G2454" s="13" t="n">
        <x:v>0</x:v>
      </x:c>
      <x:c r="H2454" s="13" t="n">
        <x:f>F2454-G2454</x:f>
        <x:v>541.53</x:v>
      </x:c>
      <x:c r="I2454" s="13" t="n">
        <x:f>IF(C2454=0,"n.a.",F2454/C2454)</x:f>
        <x:v>270.765</x:v>
      </x:c>
      <x:c r="J2454" s="3"/>
      <x:c r="K2454" s="3"/>
      <x:c r="L2454" s="3"/>
    </x:row>
    <x:row r="2455" ht="22" customHeight="1">
      <x:c r="A2455" s="3"/>
      <x:c r="B2455" s="3" t="str">
        <x:v>17557</x:v>
      </x:c>
      <x:c r="C2455" s="3" t="n">
        <x:v>3</x:v>
      </x:c>
      <x:c r="D2455" s="51" t="n">
        <x:v>40872</x:v>
      </x:c>
      <x:c r="E2455" s="3" t="str">
        <x:v>Recurrente</x:v>
      </x:c>
      <x:c r="F2455" s="13" t="n">
        <x:v>541.46</x:v>
      </x:c>
      <x:c r="G2455" s="13" t="n">
        <x:v>0</x:v>
      </x:c>
      <x:c r="H2455" s="13" t="n">
        <x:f>F2455-G2455</x:f>
        <x:v>541.46</x:v>
      </x:c>
      <x:c r="I2455" s="13" t="n">
        <x:f>IF(C2455=0,"n.a.",F2455/C2455)</x:f>
        <x:v>180.48666666666668</x:v>
      </x:c>
      <x:c r="J2455" s="3"/>
      <x:c r="K2455" s="3"/>
      <x:c r="L2455" s="3"/>
    </x:row>
    <x:row r="2456" ht="22" customHeight="1">
      <x:c r="A2456" s="3"/>
      <x:c r="B2456" s="3" t="str">
        <x:v>17897</x:v>
      </x:c>
      <x:c r="C2456" s="3" t="n">
        <x:v>3</x:v>
      </x:c>
      <x:c r="D2456" s="51" t="n">
        <x:v>40714</x:v>
      </x:c>
      <x:c r="E2456" s="3" t="str">
        <x:v>Recurrente</x:v>
      </x:c>
      <x:c r="F2456" s="13" t="n">
        <x:v>566.6</x:v>
      </x:c>
      <x:c r="G2456" s="13" t="n">
        <x:v>25.5</x:v>
      </x:c>
      <x:c r="H2456" s="13" t="n">
        <x:f>F2456-G2456</x:f>
        <x:v>541.1</x:v>
      </x:c>
      <x:c r="I2456" s="13" t="n">
        <x:f>IF(C2456=0,"n.a.",F2456/C2456)</x:f>
        <x:v>188.86666666666667</x:v>
      </x:c>
      <x:c r="J2456" s="3"/>
      <x:c r="K2456" s="3"/>
      <x:c r="L2456" s="3"/>
    </x:row>
    <x:row r="2457" ht="22" customHeight="1">
      <x:c r="A2457" s="3"/>
      <x:c r="B2457" s="3" t="str">
        <x:v>14997</x:v>
      </x:c>
      <x:c r="C2457" s="3" t="n">
        <x:v>3</x:v>
      </x:c>
      <x:c r="D2457" s="51" t="n">
        <x:v>40840</x:v>
      </x:c>
      <x:c r="E2457" s="3" t="str">
        <x:v>Recurrente</x:v>
      </x:c>
      <x:c r="F2457" s="13" t="n">
        <x:v>546.2</x:v>
      </x:c>
      <x:c r="G2457" s="13" t="n">
        <x:v>5.22</x:v>
      </x:c>
      <x:c r="H2457" s="13" t="n">
        <x:f>F2457-G2457</x:f>
        <x:v>540.98</x:v>
      </x:c>
      <x:c r="I2457" s="13" t="n">
        <x:f>IF(C2457=0,"n.a.",F2457/C2457)</x:f>
        <x:v>182.0666666666667</x:v>
      </x:c>
      <x:c r="J2457" s="3"/>
      <x:c r="K2457" s="3"/>
      <x:c r="L2457" s="3"/>
    </x:row>
    <x:row r="2458" ht="22" customHeight="1">
      <x:c r="A2458" s="3"/>
      <x:c r="B2458" s="3" t="str">
        <x:v>13874</x:v>
      </x:c>
      <x:c r="C2458" s="3" t="n">
        <x:v>1</x:v>
      </x:c>
      <x:c r="D2458" s="51" t="n">
        <x:v>40528</x:v>
      </x:c>
      <x:c r="E2458" s="3" t="str">
        <x:v>Una compra</x:v>
      </x:c>
      <x:c r="F2458" s="13" t="n">
        <x:v>540.45</x:v>
      </x:c>
      <x:c r="G2458" s="13" t="n">
        <x:v>0</x:v>
      </x:c>
      <x:c r="H2458" s="13" t="n">
        <x:f>F2458-G2458</x:f>
        <x:v>540.45</x:v>
      </x:c>
      <x:c r="I2458" s="13" t="n">
        <x:f>IF(C2458=0,"n.a.",F2458/C2458)</x:f>
        <x:v>540.45</x:v>
      </x:c>
      <x:c r="J2458" s="3"/>
      <x:c r="K2458" s="3"/>
      <x:c r="L2458" s="3"/>
    </x:row>
    <x:row r="2459" ht="22" customHeight="1">
      <x:c r="A2459" s="3"/>
      <x:c r="B2459" s="3" t="str">
        <x:v>16536</x:v>
      </x:c>
      <x:c r="C2459" s="3" t="n">
        <x:v>1</x:v>
      </x:c>
      <x:c r="D2459" s="51" t="n">
        <x:v>40776</x:v>
      </x:c>
      <x:c r="E2459" s="3" t="str">
        <x:v>Una compra</x:v>
      </x:c>
      <x:c r="F2459" s="13" t="n">
        <x:v>548.97</x:v>
      </x:c>
      <x:c r="G2459" s="13" t="n">
        <x:v>9.95</x:v>
      </x:c>
      <x:c r="H2459" s="13" t="n">
        <x:f>F2459-G2459</x:f>
        <x:v>539.02</x:v>
      </x:c>
      <x:c r="I2459" s="13" t="n">
        <x:f>IF(C2459=0,"n.a.",F2459/C2459)</x:f>
        <x:v>548.97</x:v>
      </x:c>
      <x:c r="J2459" s="3"/>
      <x:c r="K2459" s="3"/>
      <x:c r="L2459" s="3"/>
    </x:row>
    <x:row r="2460" ht="22" customHeight="1">
      <x:c r="A2460" s="3"/>
      <x:c r="B2460" s="3" t="str">
        <x:v>14496</x:v>
      </x:c>
      <x:c r="C2460" s="3" t="n">
        <x:v>2</x:v>
      </x:c>
      <x:c r="D2460" s="51" t="n">
        <x:v>40575</x:v>
      </x:c>
      <x:c r="E2460" s="3" t="str">
        <x:v>Recurrente</x:v>
      </x:c>
      <x:c r="F2460" s="13" t="n">
        <x:v>538.81</x:v>
      </x:c>
      <x:c r="G2460" s="13" t="n">
        <x:v>0</x:v>
      </x:c>
      <x:c r="H2460" s="13" t="n">
        <x:f>F2460-G2460</x:f>
        <x:v>538.81</x:v>
      </x:c>
      <x:c r="I2460" s="13" t="n">
        <x:f>IF(C2460=0,"n.a.",F2460/C2460)</x:f>
        <x:v>269.405</x:v>
      </x:c>
      <x:c r="J2460" s="3"/>
      <x:c r="K2460" s="3"/>
      <x:c r="L2460" s="3"/>
    </x:row>
    <x:row r="2461" ht="22" customHeight="1">
      <x:c r="A2461" s="3"/>
      <x:c r="B2461" s="3" t="str">
        <x:v>15452</x:v>
      </x:c>
      <x:c r="C2461" s="3" t="n">
        <x:v>3</x:v>
      </x:c>
      <x:c r="D2461" s="51" t="n">
        <x:v>40857</x:v>
      </x:c>
      <x:c r="E2461" s="3" t="str">
        <x:v>Recurrente</x:v>
      </x:c>
      <x:c r="F2461" s="13" t="n">
        <x:v>538.73</x:v>
      </x:c>
      <x:c r="G2461" s="13" t="n">
        <x:v>0</x:v>
      </x:c>
      <x:c r="H2461" s="13" t="n">
        <x:f>F2461-G2461</x:f>
        <x:v>538.73</x:v>
      </x:c>
      <x:c r="I2461" s="13" t="n">
        <x:f>IF(C2461=0,"n.a.",F2461/C2461)</x:f>
        <x:v>179.57666666666668</x:v>
      </x:c>
      <x:c r="J2461" s="3"/>
      <x:c r="K2461" s="3"/>
      <x:c r="L2461" s="3"/>
    </x:row>
    <x:row r="2462" ht="22" customHeight="1">
      <x:c r="A2462" s="3"/>
      <x:c r="B2462" s="3" t="str">
        <x:v>14618</x:v>
      </x:c>
      <x:c r="C2462" s="3" t="n">
        <x:v>3</x:v>
      </x:c>
      <x:c r="D2462" s="51" t="n">
        <x:v>40877</x:v>
      </x:c>
      <x:c r="E2462" s="3" t="str">
        <x:v>Recurrente</x:v>
      </x:c>
      <x:c r="F2462" s="13" t="n">
        <x:v>553.44</x:v>
      </x:c>
      <x:c r="G2462" s="13" t="n">
        <x:v>14.85</x:v>
      </x:c>
      <x:c r="H2462" s="13" t="n">
        <x:f>F2462-G2462</x:f>
        <x:v>538.59</x:v>
      </x:c>
      <x:c r="I2462" s="13" t="n">
        <x:f>IF(C2462=0,"n.a.",F2462/C2462)</x:f>
        <x:v>184.48000000000002</x:v>
      </x:c>
      <x:c r="J2462" s="3"/>
      <x:c r="K2462" s="3"/>
      <x:c r="L2462" s="3"/>
    </x:row>
    <x:row r="2463" ht="22" customHeight="1">
      <x:c r="A2463" s="3"/>
      <x:c r="B2463" s="3" t="str">
        <x:v>15539</x:v>
      </x:c>
      <x:c r="C2463" s="3" t="n">
        <x:v>1</x:v>
      </x:c>
      <x:c r="D2463" s="51" t="n">
        <x:v>40879</x:v>
      </x:c>
      <x:c r="E2463" s="3" t="str">
        <x:v>Una compra</x:v>
      </x:c>
      <x:c r="F2463" s="13" t="n">
        <x:v>538.46</x:v>
      </x:c>
      <x:c r="G2463" s="13" t="n">
        <x:v>0</x:v>
      </x:c>
      <x:c r="H2463" s="13" t="n">
        <x:f>F2463-G2463</x:f>
        <x:v>538.46</x:v>
      </x:c>
      <x:c r="I2463" s="13" t="n">
        <x:f>IF(C2463=0,"n.a.",F2463/C2463)</x:f>
        <x:v>538.46</x:v>
      </x:c>
      <x:c r="J2463" s="3"/>
      <x:c r="K2463" s="3"/>
      <x:c r="L2463" s="3"/>
    </x:row>
    <x:row r="2464" ht="22" customHeight="1">
      <x:c r="A2464" s="3"/>
      <x:c r="B2464" s="3" t="str">
        <x:v>16278</x:v>
      </x:c>
      <x:c r="C2464" s="3" t="n">
        <x:v>1</x:v>
      </x:c>
      <x:c r="D2464" s="51" t="n">
        <x:v>40786</x:v>
      </x:c>
      <x:c r="E2464" s="3" t="str">
        <x:v>Una compra</x:v>
      </x:c>
      <x:c r="F2464" s="13" t="n">
        <x:v>566.38</x:v>
      </x:c>
      <x:c r="G2464" s="13" t="n">
        <x:v>28.55</x:v>
      </x:c>
      <x:c r="H2464" s="13" t="n">
        <x:f>F2464-G2464</x:f>
        <x:v>537.83</x:v>
      </x:c>
      <x:c r="I2464" s="13" t="n">
        <x:f>IF(C2464=0,"n.a.",F2464/C2464)</x:f>
        <x:v>566.38</x:v>
      </x:c>
      <x:c r="J2464" s="3"/>
      <x:c r="K2464" s="3"/>
      <x:c r="L2464" s="3"/>
    </x:row>
    <x:row r="2465" ht="22" customHeight="1">
      <x:c r="A2465" s="3"/>
      <x:c r="B2465" s="3" t="str">
        <x:v>17345</x:v>
      </x:c>
      <x:c r="C2465" s="3" t="n">
        <x:v>4</x:v>
      </x:c>
      <x:c r="D2465" s="51" t="n">
        <x:v>40871</x:v>
      </x:c>
      <x:c r="E2465" s="3" t="str">
        <x:v>Recurrente</x:v>
      </x:c>
      <x:c r="F2465" s="13" t="n">
        <x:v>537.74</x:v>
      </x:c>
      <x:c r="G2465" s="13" t="n">
        <x:v>0</x:v>
      </x:c>
      <x:c r="H2465" s="13" t="n">
        <x:f>F2465-G2465</x:f>
        <x:v>537.74</x:v>
      </x:c>
      <x:c r="I2465" s="13" t="n">
        <x:f>IF(C2465=0,"n.a.",F2465/C2465)</x:f>
        <x:v>134.435</x:v>
      </x:c>
      <x:c r="J2465" s="3"/>
      <x:c r="K2465" s="3"/>
      <x:c r="L2465" s="3"/>
    </x:row>
    <x:row r="2466" ht="22" customHeight="1">
      <x:c r="A2466" s="3"/>
      <x:c r="B2466" s="3" t="str">
        <x:v>14474</x:v>
      </x:c>
      <x:c r="C2466" s="3" t="n">
        <x:v>1</x:v>
      </x:c>
      <x:c r="D2466" s="51" t="n">
        <x:v>40840</x:v>
      </x:c>
      <x:c r="E2466" s="3" t="str">
        <x:v>Una compra</x:v>
      </x:c>
      <x:c r="F2466" s="13" t="n">
        <x:v>547.66</x:v>
      </x:c>
      <x:c r="G2466" s="13" t="n">
        <x:v>9.95</x:v>
      </x:c>
      <x:c r="H2466" s="13" t="n">
        <x:f>F2466-G2466</x:f>
        <x:v>537.7099999999999</x:v>
      </x:c>
      <x:c r="I2466" s="13" t="n">
        <x:f>IF(C2466=0,"n.a.",F2466/C2466)</x:f>
        <x:v>547.66</x:v>
      </x:c>
      <x:c r="J2466" s="3"/>
      <x:c r="K2466" s="3"/>
      <x:c r="L2466" s="3"/>
    </x:row>
    <x:row r="2467" ht="22" customHeight="1">
      <x:c r="A2467" s="3"/>
      <x:c r="B2467" s="3" t="str">
        <x:v>14539</x:v>
      </x:c>
      <x:c r="C2467" s="3" t="n">
        <x:v>2</x:v>
      </x:c>
      <x:c r="D2467" s="51" t="n">
        <x:v>40871</x:v>
      </x:c>
      <x:c r="E2467" s="3" t="str">
        <x:v>Recurrente</x:v>
      </x:c>
      <x:c r="F2467" s="13" t="n">
        <x:v>537.48</x:v>
      </x:c>
      <x:c r="G2467" s="13" t="n">
        <x:v>0</x:v>
      </x:c>
      <x:c r="H2467" s="13" t="n">
        <x:f>F2467-G2467</x:f>
        <x:v>537.48</x:v>
      </x:c>
      <x:c r="I2467" s="13" t="n">
        <x:f>IF(C2467=0,"n.a.",F2467/C2467)</x:f>
        <x:v>268.74</x:v>
      </x:c>
      <x:c r="J2467" s="3"/>
      <x:c r="K2467" s="3"/>
      <x:c r="L2467" s="3"/>
    </x:row>
    <x:row r="2468" ht="22" customHeight="1">
      <x:c r="A2468" s="3"/>
      <x:c r="B2468" s="3" t="str">
        <x:v>16206</x:v>
      </x:c>
      <x:c r="C2468" s="3" t="n">
        <x:v>4</x:v>
      </x:c>
      <x:c r="D2468" s="51" t="n">
        <x:v>40832</x:v>
      </x:c>
      <x:c r="E2468" s="3" t="str">
        <x:v>Recurrente</x:v>
      </x:c>
      <x:c r="F2468" s="13" t="n">
        <x:v>537.06</x:v>
      </x:c>
      <x:c r="G2468" s="13" t="n">
        <x:v>0</x:v>
      </x:c>
      <x:c r="H2468" s="13" t="n">
        <x:f>F2468-G2468</x:f>
        <x:v>537.06</x:v>
      </x:c>
      <x:c r="I2468" s="13" t="n">
        <x:f>IF(C2468=0,"n.a.",F2468/C2468)</x:f>
        <x:v>134.265</x:v>
      </x:c>
      <x:c r="J2468" s="3"/>
      <x:c r="K2468" s="3"/>
      <x:c r="L2468" s="3"/>
    </x:row>
    <x:row r="2469" ht="22" customHeight="1">
      <x:c r="A2469" s="3"/>
      <x:c r="B2469" s="3" t="str">
        <x:v>15043</x:v>
      </x:c>
      <x:c r="C2469" s="3" t="n">
        <x:v>1</x:v>
      </x:c>
      <x:c r="D2469" s="51" t="n">
        <x:v>40855</x:v>
      </x:c>
      <x:c r="E2469" s="3" t="str">
        <x:v>Una compra</x:v>
      </x:c>
      <x:c r="F2469" s="13" t="n">
        <x:v>537</x:v>
      </x:c>
      <x:c r="G2469" s="13" t="n">
        <x:v>0</x:v>
      </x:c>
      <x:c r="H2469" s="13" t="n">
        <x:f>F2469-G2469</x:f>
        <x:v>537</x:v>
      </x:c>
      <x:c r="I2469" s="13" t="n">
        <x:f>IF(C2469=0,"n.a.",F2469/C2469)</x:f>
        <x:v>537</x:v>
      </x:c>
      <x:c r="J2469" s="3"/>
      <x:c r="K2469" s="3"/>
      <x:c r="L2469" s="3"/>
    </x:row>
    <x:row r="2470" ht="22" customHeight="1">
      <x:c r="A2470" s="3"/>
      <x:c r="B2470" s="3" t="str">
        <x:v>16804</x:v>
      </x:c>
      <x:c r="C2470" s="3" t="n">
        <x:v>3</x:v>
      </x:c>
      <x:c r="D2470" s="51" t="n">
        <x:v>40863</x:v>
      </x:c>
      <x:c r="E2470" s="3" t="str">
        <x:v>Recurrente</x:v>
      </x:c>
      <x:c r="F2470" s="13" t="n">
        <x:v>536.99</x:v>
      </x:c>
      <x:c r="G2470" s="13" t="n">
        <x:v>0</x:v>
      </x:c>
      <x:c r="H2470" s="13" t="n">
        <x:f>F2470-G2470</x:f>
        <x:v>536.99</x:v>
      </x:c>
      <x:c r="I2470" s="13" t="n">
        <x:f>IF(C2470=0,"n.a.",F2470/C2470)</x:f>
        <x:v>178.99666666666667</x:v>
      </x:c>
      <x:c r="J2470" s="3"/>
      <x:c r="K2470" s="3"/>
      <x:c r="L2470" s="3"/>
    </x:row>
    <x:row r="2471" ht="22" customHeight="1">
      <x:c r="A2471" s="3"/>
      <x:c r="B2471" s="3" t="str">
        <x:v>12719</x:v>
      </x:c>
      <x:c r="C2471" s="3" t="n">
        <x:v>2</x:v>
      </x:c>
      <x:c r="D2471" s="51" t="n">
        <x:v>40881</x:v>
      </x:c>
      <x:c r="E2471" s="3" t="str">
        <x:v>Recurrente</x:v>
      </x:c>
      <x:c r="F2471" s="13" t="n">
        <x:v>572.95</x:v>
      </x:c>
      <x:c r="G2471" s="13" t="n">
        <x:v>36.85</x:v>
      </x:c>
      <x:c r="H2471" s="13" t="n">
        <x:f>F2471-G2471</x:f>
        <x:v>536.1</x:v>
      </x:c>
      <x:c r="I2471" s="13" t="n">
        <x:f>IF(C2471=0,"n.a.",F2471/C2471)</x:f>
        <x:v>286.475</x:v>
      </x:c>
      <x:c r="J2471" s="3"/>
      <x:c r="K2471" s="3"/>
      <x:c r="L2471" s="3"/>
    </x:row>
    <x:row r="2472" ht="22" customHeight="1">
      <x:c r="A2472" s="3"/>
      <x:c r="B2472" s="3" t="str">
        <x:v>13894</x:v>
      </x:c>
      <x:c r="C2472" s="3" t="n">
        <x:v>3</x:v>
      </x:c>
      <x:c r="D2472" s="51" t="n">
        <x:v>40863</x:v>
      </x:c>
      <x:c r="E2472" s="3" t="str">
        <x:v>Recurrente</x:v>
      </x:c>
      <x:c r="F2472" s="13" t="n">
        <x:v>564.62</x:v>
      </x:c>
      <x:c r="G2472" s="13" t="n">
        <x:v>28.65</x:v>
      </x:c>
      <x:c r="H2472" s="13" t="n">
        <x:f>F2472-G2472</x:f>
        <x:v>535.97</x:v>
      </x:c>
      <x:c r="I2472" s="13" t="n">
        <x:f>IF(C2472=0,"n.a.",F2472/C2472)</x:f>
        <x:v>188.20666666666668</x:v>
      </x:c>
      <x:c r="J2472" s="3"/>
      <x:c r="K2472" s="3"/>
      <x:c r="L2472" s="3"/>
    </x:row>
    <x:row r="2473" ht="22" customHeight="1">
      <x:c r="A2473" s="3"/>
      <x:c r="B2473" s="3" t="str">
        <x:v>16142</x:v>
      </x:c>
      <x:c r="C2473" s="3" t="n">
        <x:v>1</x:v>
      </x:c>
      <x:c r="D2473" s="51" t="n">
        <x:v>40637</x:v>
      </x:c>
      <x:c r="E2473" s="3" t="str">
        <x:v>Una compra</x:v>
      </x:c>
      <x:c r="F2473" s="13" t="n">
        <x:v>535.34</x:v>
      </x:c>
      <x:c r="G2473" s="13" t="n">
        <x:v>0</x:v>
      </x:c>
      <x:c r="H2473" s="13" t="n">
        <x:f>F2473-G2473</x:f>
        <x:v>535.34</x:v>
      </x:c>
      <x:c r="I2473" s="13" t="n">
        <x:f>IF(C2473=0,"n.a.",F2473/C2473)</x:f>
        <x:v>535.34</x:v>
      </x:c>
      <x:c r="J2473" s="3"/>
      <x:c r="K2473" s="3"/>
      <x:c r="L2473" s="3"/>
    </x:row>
    <x:row r="2474" ht="22" customHeight="1">
      <x:c r="A2474" s="3"/>
      <x:c r="B2474" s="3" t="str">
        <x:v>12988</x:v>
      </x:c>
      <x:c r="C2474" s="3" t="n">
        <x:v>1</x:v>
      </x:c>
      <x:c r="D2474" s="51" t="n">
        <x:v>40594</x:v>
      </x:c>
      <x:c r="E2474" s="3" t="str">
        <x:v>Una compra</x:v>
      </x:c>
      <x:c r="F2474" s="13" t="n">
        <x:v>535.32</x:v>
      </x:c>
      <x:c r="G2474" s="13" t="n">
        <x:v>0</x:v>
      </x:c>
      <x:c r="H2474" s="13" t="n">
        <x:f>F2474-G2474</x:f>
        <x:v>535.32</x:v>
      </x:c>
      <x:c r="I2474" s="13" t="n">
        <x:f>IF(C2474=0,"n.a.",F2474/C2474)</x:f>
        <x:v>535.32</x:v>
      </x:c>
      <x:c r="J2474" s="3"/>
      <x:c r="K2474" s="3"/>
      <x:c r="L2474" s="3"/>
    </x:row>
    <x:row r="2475" ht="22" customHeight="1">
      <x:c r="A2475" s="3"/>
      <x:c r="B2475" s="3" t="str">
        <x:v>13000</x:v>
      </x:c>
      <x:c r="C2475" s="3" t="n">
        <x:v>3</x:v>
      </x:c>
      <x:c r="D2475" s="51" t="n">
        <x:v>40780</x:v>
      </x:c>
      <x:c r="E2475" s="3" t="str">
        <x:v>Recurrente</x:v>
      </x:c>
      <x:c r="F2475" s="13" t="n">
        <x:v>534.85</x:v>
      </x:c>
      <x:c r="G2475" s="13" t="n">
        <x:v>0</x:v>
      </x:c>
      <x:c r="H2475" s="13" t="n">
        <x:f>F2475-G2475</x:f>
        <x:v>534.85</x:v>
      </x:c>
      <x:c r="I2475" s="13" t="n">
        <x:f>IF(C2475=0,"n.a.",F2475/C2475)</x:f>
        <x:v>178.28333333333333</x:v>
      </x:c>
      <x:c r="J2475" s="3"/>
      <x:c r="K2475" s="3"/>
      <x:c r="L2475" s="3"/>
    </x:row>
    <x:row r="2476" ht="22" customHeight="1">
      <x:c r="A2476" s="3"/>
      <x:c r="B2476" s="3" t="str">
        <x:v>13385</x:v>
      </x:c>
      <x:c r="C2476" s="3" t="n">
        <x:v>1</x:v>
      </x:c>
      <x:c r="D2476" s="51" t="n">
        <x:v>40557</x:v>
      </x:c>
      <x:c r="E2476" s="3" t="str">
        <x:v>Una compra</x:v>
      </x:c>
      <x:c r="F2476" s="13" t="n">
        <x:v>534.57</x:v>
      </x:c>
      <x:c r="G2476" s="13" t="n">
        <x:v>0</x:v>
      </x:c>
      <x:c r="H2476" s="13" t="n">
        <x:f>F2476-G2476</x:f>
        <x:v>534.57</x:v>
      </x:c>
      <x:c r="I2476" s="13" t="n">
        <x:f>IF(C2476=0,"n.a.",F2476/C2476)</x:f>
        <x:v>534.57</x:v>
      </x:c>
      <x:c r="J2476" s="3"/>
      <x:c r="K2476" s="3"/>
      <x:c r="L2476" s="3"/>
    </x:row>
    <x:row r="2477" ht="22" customHeight="1">
      <x:c r="A2477" s="3"/>
      <x:c r="B2477" s="3" t="str">
        <x:v>13434</x:v>
      </x:c>
      <x:c r="C2477" s="3" t="n">
        <x:v>2</x:v>
      </x:c>
      <x:c r="D2477" s="51" t="n">
        <x:v>40812</x:v>
      </x:c>
      <x:c r="E2477" s="3" t="str">
        <x:v>Recurrente</x:v>
      </x:c>
      <x:c r="F2477" s="13" t="n">
        <x:v>534.24</x:v>
      </x:c>
      <x:c r="G2477" s="13" t="n">
        <x:v>0</x:v>
      </x:c>
      <x:c r="H2477" s="13" t="n">
        <x:f>F2477-G2477</x:f>
        <x:v>534.24</x:v>
      </x:c>
      <x:c r="I2477" s="13" t="n">
        <x:f>IF(C2477=0,"n.a.",F2477/C2477)</x:f>
        <x:v>267.12</x:v>
      </x:c>
      <x:c r="J2477" s="3"/>
      <x:c r="K2477" s="3"/>
      <x:c r="L2477" s="3"/>
    </x:row>
    <x:row r="2478" ht="22" customHeight="1">
      <x:c r="A2478" s="3"/>
      <x:c r="B2478" s="3" t="str">
        <x:v>17443</x:v>
      </x:c>
      <x:c r="C2478" s="3" t="n">
        <x:v>1</x:v>
      </x:c>
      <x:c r="D2478" s="51" t="n">
        <x:v>40667</x:v>
      </x:c>
      <x:c r="E2478" s="3" t="str">
        <x:v>Una compra</x:v>
      </x:c>
      <x:c r="F2478" s="13" t="n">
        <x:v>534.24</x:v>
      </x:c>
      <x:c r="G2478" s="13" t="n">
        <x:v>0</x:v>
      </x:c>
      <x:c r="H2478" s="13" t="n">
        <x:f>F2478-G2478</x:f>
        <x:v>534.24</x:v>
      </x:c>
      <x:c r="I2478" s="13" t="n">
        <x:f>IF(C2478=0,"n.a.",F2478/C2478)</x:f>
        <x:v>534.24</x:v>
      </x:c>
      <x:c r="J2478" s="3"/>
      <x:c r="K2478" s="3"/>
      <x:c r="L2478" s="3"/>
    </x:row>
    <x:row r="2479" ht="22" customHeight="1">
      <x:c r="A2479" s="3"/>
      <x:c r="B2479" s="3" t="str">
        <x:v>15756</x:v>
      </x:c>
      <x:c r="C2479" s="3" t="n">
        <x:v>4</x:v>
      </x:c>
      <x:c r="D2479" s="51" t="n">
        <x:v>40825</x:v>
      </x:c>
      <x:c r="E2479" s="3" t="str">
        <x:v>Recurrente</x:v>
      </x:c>
      <x:c r="F2479" s="13" t="n">
        <x:v>532.96</x:v>
      </x:c>
      <x:c r="G2479" s="13" t="n">
        <x:v>0</x:v>
      </x:c>
      <x:c r="H2479" s="13" t="n">
        <x:f>F2479-G2479</x:f>
        <x:v>532.96</x:v>
      </x:c>
      <x:c r="I2479" s="13" t="n">
        <x:f>IF(C2479=0,"n.a.",F2479/C2479)</x:f>
        <x:v>133.24</x:v>
      </x:c>
      <x:c r="J2479" s="3"/>
      <x:c r="K2479" s="3"/>
      <x:c r="L2479" s="3"/>
    </x:row>
    <x:row r="2480" ht="22" customHeight="1">
      <x:c r="A2480" s="3"/>
      <x:c r="B2480" s="3" t="str">
        <x:v>15825</x:v>
      </x:c>
      <x:c r="C2480" s="3" t="n">
        <x:v>1</x:v>
      </x:c>
      <x:c r="D2480" s="51" t="n">
        <x:v>40714</x:v>
      </x:c>
      <x:c r="E2480" s="3" t="str">
        <x:v>Una compra</x:v>
      </x:c>
      <x:c r="F2480" s="13" t="n">
        <x:v>532.94</x:v>
      </x:c>
      <x:c r="G2480" s="13" t="n">
        <x:v>0</x:v>
      </x:c>
      <x:c r="H2480" s="13" t="n">
        <x:f>F2480-G2480</x:f>
        <x:v>532.94</x:v>
      </x:c>
      <x:c r="I2480" s="13" t="n">
        <x:f>IF(C2480=0,"n.a.",F2480/C2480)</x:f>
        <x:v>532.94</x:v>
      </x:c>
      <x:c r="J2480" s="3"/>
      <x:c r="K2480" s="3"/>
      <x:c r="L2480" s="3"/>
    </x:row>
    <x:row r="2481" ht="22" customHeight="1">
      <x:c r="A2481" s="3"/>
      <x:c r="B2481" s="3" t="str">
        <x:v>12513</x:v>
      </x:c>
      <x:c r="C2481" s="3" t="n">
        <x:v>1</x:v>
      </x:c>
      <x:c r="D2481" s="51" t="n">
        <x:v>40774</x:v>
      </x:c>
      <x:c r="E2481" s="3" t="str">
        <x:v>Una compra</x:v>
      </x:c>
      <x:c r="F2481" s="13" t="n">
        <x:v>558.29</x:v>
      </x:c>
      <x:c r="G2481" s="13" t="n">
        <x:v>25.5</x:v>
      </x:c>
      <x:c r="H2481" s="13" t="n">
        <x:f>F2481-G2481</x:f>
        <x:v>532.79</x:v>
      </x:c>
      <x:c r="I2481" s="13" t="n">
        <x:f>IF(C2481=0,"n.a.",F2481/C2481)</x:f>
        <x:v>558.29</x:v>
      </x:c>
      <x:c r="J2481" s="3"/>
      <x:c r="K2481" s="3"/>
      <x:c r="L2481" s="3"/>
    </x:row>
    <x:row r="2482" ht="22" customHeight="1">
      <x:c r="A2482" s="3"/>
      <x:c r="B2482" s="3" t="str">
        <x:v>16706</x:v>
      </x:c>
      <x:c r="C2482" s="3" t="n">
        <x:v>3</x:v>
      </x:c>
      <x:c r="D2482" s="51" t="n">
        <x:v>40849</x:v>
      </x:c>
      <x:c r="E2482" s="3" t="str">
        <x:v>Recurrente</x:v>
      </x:c>
      <x:c r="F2482" s="13" t="n">
        <x:v>531.35</x:v>
      </x:c>
      <x:c r="G2482" s="13" t="n">
        <x:v>0</x:v>
      </x:c>
      <x:c r="H2482" s="13" t="n">
        <x:f>F2482-G2482</x:f>
        <x:v>531.35</x:v>
      </x:c>
      <x:c r="I2482" s="13" t="n">
        <x:f>IF(C2482=0,"n.a.",F2482/C2482)</x:f>
        <x:v>177.11666666666667</x:v>
      </x:c>
      <x:c r="J2482" s="3"/>
      <x:c r="K2482" s="3"/>
      <x:c r="L2482" s="3"/>
    </x:row>
    <x:row r="2483" ht="22" customHeight="1">
      <x:c r="A2483" s="3"/>
      <x:c r="B2483" s="3" t="str">
        <x:v>14265</x:v>
      </x:c>
      <x:c r="C2483" s="3" t="n">
        <x:v>2</x:v>
      </x:c>
      <x:c r="D2483" s="51" t="n">
        <x:v>40777</x:v>
      </x:c>
      <x:c r="E2483" s="3" t="str">
        <x:v>Recurrente</x:v>
      </x:c>
      <x:c r="F2483" s="13" t="n">
        <x:v>530.18</x:v>
      </x:c>
      <x:c r="G2483" s="13" t="n">
        <x:v>0</x:v>
      </x:c>
      <x:c r="H2483" s="13" t="n">
        <x:f>F2483-G2483</x:f>
        <x:v>530.18</x:v>
      </x:c>
      <x:c r="I2483" s="13" t="n">
        <x:f>IF(C2483=0,"n.a.",F2483/C2483)</x:f>
        <x:v>265.09</x:v>
      </x:c>
      <x:c r="J2483" s="3"/>
      <x:c r="K2483" s="3"/>
      <x:c r="L2483" s="3"/>
    </x:row>
    <x:row r="2484" ht="22" customHeight="1">
      <x:c r="A2484" s="3"/>
      <x:c r="B2484" s="3" t="str">
        <x:v>18159</x:v>
      </x:c>
      <x:c r="C2484" s="3" t="n">
        <x:v>1</x:v>
      </x:c>
      <x:c r="D2484" s="51" t="n">
        <x:v>40585</x:v>
      </x:c>
      <x:c r="E2484" s="3" t="str">
        <x:v>Una compra</x:v>
      </x:c>
      <x:c r="F2484" s="13" t="n">
        <x:v>530.15</x:v>
      </x:c>
      <x:c r="G2484" s="13" t="n">
        <x:v>0</x:v>
      </x:c>
      <x:c r="H2484" s="13" t="n">
        <x:f>F2484-G2484</x:f>
        <x:v>530.15</x:v>
      </x:c>
      <x:c r="I2484" s="13" t="n">
        <x:f>IF(C2484=0,"n.a.",F2484/C2484)</x:f>
        <x:v>530.15</x:v>
      </x:c>
      <x:c r="J2484" s="3"/>
      <x:c r="K2484" s="3"/>
      <x:c r="L2484" s="3"/>
    </x:row>
    <x:row r="2485" ht="22" customHeight="1">
      <x:c r="A2485" s="3"/>
      <x:c r="B2485" s="3" t="str">
        <x:v>16933</x:v>
      </x:c>
      <x:c r="C2485" s="3" t="n">
        <x:v>2</x:v>
      </x:c>
      <x:c r="D2485" s="51" t="n">
        <x:v>40885</x:v>
      </x:c>
      <x:c r="E2485" s="3" t="str">
        <x:v>Recurrente</x:v>
      </x:c>
      <x:c r="F2485" s="13" t="n">
        <x:v>563.23</x:v>
      </x:c>
      <x:c r="G2485" s="13" t="n">
        <x:v>33.15</x:v>
      </x:c>
      <x:c r="H2485" s="13" t="n">
        <x:f>F2485-G2485</x:f>
        <x:v>530.08</x:v>
      </x:c>
      <x:c r="I2485" s="13" t="n">
        <x:f>IF(C2485=0,"n.a.",F2485/C2485)</x:f>
        <x:v>281.615</x:v>
      </x:c>
      <x:c r="J2485" s="3"/>
      <x:c r="K2485" s="3"/>
      <x:c r="L2485" s="3"/>
    </x:row>
    <x:row r="2486" ht="22" customHeight="1">
      <x:c r="A2486" s="3"/>
      <x:c r="B2486" s="3" t="str">
        <x:v>12654</x:v>
      </x:c>
      <x:c r="C2486" s="3" t="n">
        <x:v>5</x:v>
      </x:c>
      <x:c r="D2486" s="51" t="n">
        <x:v>40876</x:v>
      </x:c>
      <x:c r="E2486" s="3" t="str">
        <x:v>Recurrente</x:v>
      </x:c>
      <x:c r="F2486" s="13" t="n">
        <x:v>529.98</x:v>
      </x:c>
      <x:c r="G2486" s="13" t="n">
        <x:v>0</x:v>
      </x:c>
      <x:c r="H2486" s="13" t="n">
        <x:f>F2486-G2486</x:f>
        <x:v>529.98</x:v>
      </x:c>
      <x:c r="I2486" s="13" t="n">
        <x:f>IF(C2486=0,"n.a.",F2486/C2486)</x:f>
        <x:v>105.99600000000001</x:v>
      </x:c>
      <x:c r="J2486" s="3"/>
      <x:c r="K2486" s="3"/>
      <x:c r="L2486" s="3"/>
    </x:row>
    <x:row r="2487" ht="22" customHeight="1">
      <x:c r="A2487" s="3"/>
      <x:c r="B2487" s="3" t="str">
        <x:v>14002</x:v>
      </x:c>
      <x:c r="C2487" s="3" t="n">
        <x:v>2</x:v>
      </x:c>
      <x:c r="D2487" s="51" t="n">
        <x:v>40752</x:v>
      </x:c>
      <x:c r="E2487" s="3" t="str">
        <x:v>Recurrente</x:v>
      </x:c>
      <x:c r="F2487" s="13" t="n">
        <x:v>529.73</x:v>
      </x:c>
      <x:c r="G2487" s="13" t="n">
        <x:v>0</x:v>
      </x:c>
      <x:c r="H2487" s="13" t="n">
        <x:f>F2487-G2487</x:f>
        <x:v>529.73</x:v>
      </x:c>
      <x:c r="I2487" s="13" t="n">
        <x:f>IF(C2487=0,"n.a.",F2487/C2487)</x:f>
        <x:v>264.865</x:v>
      </x:c>
      <x:c r="J2487" s="3"/>
      <x:c r="K2487" s="3"/>
      <x:c r="L2487" s="3"/>
    </x:row>
    <x:row r="2488" ht="22" customHeight="1">
      <x:c r="A2488" s="3"/>
      <x:c r="B2488" s="3" t="str">
        <x:v>14463</x:v>
      </x:c>
      <x:c r="C2488" s="3" t="n">
        <x:v>3</x:v>
      </x:c>
      <x:c r="D2488" s="51" t="n">
        <x:v>40788</x:v>
      </x:c>
      <x:c r="E2488" s="3" t="str">
        <x:v>Recurrente</x:v>
      </x:c>
      <x:c r="F2488" s="13" t="n">
        <x:v>529.62</x:v>
      </x:c>
      <x:c r="G2488" s="13" t="n">
        <x:v>0</x:v>
      </x:c>
      <x:c r="H2488" s="13" t="n">
        <x:f>F2488-G2488</x:f>
        <x:v>529.62</x:v>
      </x:c>
      <x:c r="I2488" s="13" t="n">
        <x:f>IF(C2488=0,"n.a.",F2488/C2488)</x:f>
        <x:v>176.54</x:v>
      </x:c>
      <x:c r="J2488" s="3"/>
      <x:c r="K2488" s="3"/>
      <x:c r="L2488" s="3"/>
    </x:row>
    <x:row r="2489" ht="22" customHeight="1">
      <x:c r="A2489" s="3"/>
      <x:c r="B2489" s="3" t="str">
        <x:v>17062</x:v>
      </x:c>
      <x:c r="C2489" s="3" t="n">
        <x:v>4</x:v>
      </x:c>
      <x:c r="D2489" s="51" t="n">
        <x:v>40573</x:v>
      </x:c>
      <x:c r="E2489" s="3" t="str">
        <x:v>Recurrente</x:v>
      </x:c>
      <x:c r="F2489" s="13" t="n">
        <x:v>533.33</x:v>
      </x:c>
      <x:c r="G2489" s="13" t="n">
        <x:v>3.9</x:v>
      </x:c>
      <x:c r="H2489" s="13" t="n">
        <x:f>F2489-G2489</x:f>
        <x:v>529.4300000000001</x:v>
      </x:c>
      <x:c r="I2489" s="13" t="n">
        <x:f>IF(C2489=0,"n.a.",F2489/C2489)</x:f>
        <x:v>133.3325</x:v>
      </x:c>
      <x:c r="J2489" s="3"/>
      <x:c r="K2489" s="3"/>
      <x:c r="L2489" s="3"/>
    </x:row>
    <x:row r="2490" ht="22" customHeight="1">
      <x:c r="A2490" s="3"/>
      <x:c r="B2490" s="3" t="str">
        <x:v>16185</x:v>
      </x:c>
      <x:c r="C2490" s="3" t="n">
        <x:v>2</x:v>
      </x:c>
      <x:c r="D2490" s="51" t="n">
        <x:v>40870</x:v>
      </x:c>
      <x:c r="E2490" s="3" t="str">
        <x:v>Recurrente</x:v>
      </x:c>
      <x:c r="F2490" s="13" t="n">
        <x:v>529.41</x:v>
      </x:c>
      <x:c r="G2490" s="13" t="n">
        <x:v>0</x:v>
      </x:c>
      <x:c r="H2490" s="13" t="n">
        <x:f>F2490-G2490</x:f>
        <x:v>529.41</x:v>
      </x:c>
      <x:c r="I2490" s="13" t="n">
        <x:f>IF(C2490=0,"n.a.",F2490/C2490)</x:f>
        <x:v>264.705</x:v>
      </x:c>
      <x:c r="J2490" s="3"/>
      <x:c r="K2490" s="3"/>
      <x:c r="L2490" s="3"/>
    </x:row>
    <x:row r="2491" ht="22" customHeight="1">
      <x:c r="A2491" s="3"/>
      <x:c r="B2491" s="3" t="str">
        <x:v>17631</x:v>
      </x:c>
      <x:c r="C2491" s="3" t="n">
        <x:v>3</x:v>
      </x:c>
      <x:c r="D2491" s="51" t="n">
        <x:v>40885</x:v>
      </x:c>
      <x:c r="E2491" s="3" t="str">
        <x:v>Recurrente</x:v>
      </x:c>
      <x:c r="F2491" s="13" t="n">
        <x:v>528.33</x:v>
      </x:c>
      <x:c r="G2491" s="13" t="n">
        <x:v>0</x:v>
      </x:c>
      <x:c r="H2491" s="13" t="n">
        <x:f>F2491-G2491</x:f>
        <x:v>528.33</x:v>
      </x:c>
      <x:c r="I2491" s="13" t="n">
        <x:f>IF(C2491=0,"n.a.",F2491/C2491)</x:f>
        <x:v>176.11</x:v>
      </x:c>
      <x:c r="J2491" s="3"/>
      <x:c r="K2491" s="3"/>
      <x:c r="L2491" s="3"/>
    </x:row>
    <x:row r="2492" ht="22" customHeight="1">
      <x:c r="A2492" s="3"/>
      <x:c r="B2492" s="3" t="str">
        <x:v>17623</x:v>
      </x:c>
      <x:c r="C2492" s="3" t="n">
        <x:v>1</x:v>
      </x:c>
      <x:c r="D2492" s="51" t="n">
        <x:v>40854</x:v>
      </x:c>
      <x:c r="E2492" s="3" t="str">
        <x:v>Una compra</x:v>
      </x:c>
      <x:c r="F2492" s="13" t="n">
        <x:v>527.05</x:v>
      </x:c>
      <x:c r="G2492" s="13" t="n">
        <x:v>0</x:v>
      </x:c>
      <x:c r="H2492" s="13" t="n">
        <x:f>F2492-G2492</x:f>
        <x:v>527.05</x:v>
      </x:c>
      <x:c r="I2492" s="13" t="n">
        <x:f>IF(C2492=0,"n.a.",F2492/C2492)</x:f>
        <x:v>527.05</x:v>
      </x:c>
      <x:c r="J2492" s="3"/>
      <x:c r="K2492" s="3"/>
      <x:c r="L2492" s="3"/>
    </x:row>
    <x:row r="2493" ht="22" customHeight="1">
      <x:c r="A2493" s="3"/>
      <x:c r="B2493" s="3" t="str">
        <x:v>18252</x:v>
      </x:c>
      <x:c r="C2493" s="3" t="n">
        <x:v>2</x:v>
      </x:c>
      <x:c r="D2493" s="51" t="n">
        <x:v>40836</x:v>
      </x:c>
      <x:c r="E2493" s="3" t="str">
        <x:v>Recurrente</x:v>
      </x:c>
      <x:c r="F2493" s="13" t="n">
        <x:v>526.67</x:v>
      </x:c>
      <x:c r="G2493" s="13" t="n">
        <x:v>0</x:v>
      </x:c>
      <x:c r="H2493" s="13" t="n">
        <x:f>F2493-G2493</x:f>
        <x:v>526.67</x:v>
      </x:c>
      <x:c r="I2493" s="13" t="n">
        <x:f>IF(C2493=0,"n.a.",F2493/C2493)</x:f>
        <x:v>263.335</x:v>
      </x:c>
      <x:c r="J2493" s="3"/>
      <x:c r="K2493" s="3"/>
      <x:c r="L2493" s="3"/>
    </x:row>
    <x:row r="2494" ht="22" customHeight="1">
      <x:c r="A2494" s="3"/>
      <x:c r="B2494" s="3" t="str">
        <x:v>17888</x:v>
      </x:c>
      <x:c r="C2494" s="3" t="n">
        <x:v>8</x:v>
      </x:c>
      <x:c r="D2494" s="51" t="n">
        <x:v>40865</x:v>
      </x:c>
      <x:c r="E2494" s="3" t="str">
        <x:v>Recurrente</x:v>
      </x:c>
      <x:c r="F2494" s="13" t="n">
        <x:v>726.05</x:v>
      </x:c>
      <x:c r="G2494" s="13" t="n">
        <x:v>200.27</x:v>
      </x:c>
      <x:c r="H2494" s="13" t="n">
        <x:f>F2494-G2494</x:f>
        <x:v>525.78</x:v>
      </x:c>
      <x:c r="I2494" s="13" t="n">
        <x:f>IF(C2494=0,"n.a.",F2494/C2494)</x:f>
        <x:v>90.75625</x:v>
      </x:c>
      <x:c r="J2494" s="3"/>
      <x:c r="K2494" s="3"/>
      <x:c r="L2494" s="3"/>
    </x:row>
    <x:row r="2495" ht="22" customHeight="1">
      <x:c r="A2495" s="3"/>
      <x:c r="B2495" s="3" t="str">
        <x:v>17290</x:v>
      </x:c>
      <x:c r="C2495" s="3" t="n">
        <x:v>2</x:v>
      </x:c>
      <x:c r="D2495" s="51" t="n">
        <x:v>40883</x:v>
      </x:c>
      <x:c r="E2495" s="3" t="str">
        <x:v>Recurrente</x:v>
      </x:c>
      <x:c r="F2495" s="13" t="n">
        <x:v>525.24</x:v>
      </x:c>
      <x:c r="G2495" s="13" t="n">
        <x:v>0</x:v>
      </x:c>
      <x:c r="H2495" s="13" t="n">
        <x:f>F2495-G2495</x:f>
        <x:v>525.24</x:v>
      </x:c>
      <x:c r="I2495" s="13" t="n">
        <x:f>IF(C2495=0,"n.a.",F2495/C2495)</x:f>
        <x:v>262.62</x:v>
      </x:c>
      <x:c r="J2495" s="3"/>
      <x:c r="K2495" s="3"/>
      <x:c r="L2495" s="3"/>
    </x:row>
    <x:row r="2496" ht="22" customHeight="1">
      <x:c r="A2496" s="3"/>
      <x:c r="B2496" s="3" t="str">
        <x:v>13721</x:v>
      </x:c>
      <x:c r="C2496" s="3" t="n">
        <x:v>1</x:v>
      </x:c>
      <x:c r="D2496" s="51" t="n">
        <x:v>40850</x:v>
      </x:c>
      <x:c r="E2496" s="3" t="str">
        <x:v>Una compra</x:v>
      </x:c>
      <x:c r="F2496" s="13" t="n">
        <x:v>524.14</x:v>
      </x:c>
      <x:c r="G2496" s="13" t="n">
        <x:v>0</x:v>
      </x:c>
      <x:c r="H2496" s="13" t="n">
        <x:f>F2496-G2496</x:f>
        <x:v>524.14</x:v>
      </x:c>
      <x:c r="I2496" s="13" t="n">
        <x:f>IF(C2496=0,"n.a.",F2496/C2496)</x:f>
        <x:v>524.14</x:v>
      </x:c>
      <x:c r="J2496" s="3"/>
      <x:c r="K2496" s="3"/>
      <x:c r="L2496" s="3"/>
    </x:row>
    <x:row r="2497" ht="22" customHeight="1">
      <x:c r="A2497" s="3"/>
      <x:c r="B2497" s="3" t="str">
        <x:v>17329</x:v>
      </x:c>
      <x:c r="C2497" s="3" t="n">
        <x:v>2</x:v>
      </x:c>
      <x:c r="D2497" s="51" t="n">
        <x:v>40872</x:v>
      </x:c>
      <x:c r="E2497" s="3" t="str">
        <x:v>Recurrente</x:v>
      </x:c>
      <x:c r="F2497" s="13" t="n">
        <x:v>523.11</x:v>
      </x:c>
      <x:c r="G2497" s="13" t="n">
        <x:v>0</x:v>
      </x:c>
      <x:c r="H2497" s="13" t="n">
        <x:f>F2497-G2497</x:f>
        <x:v>523.11</x:v>
      </x:c>
      <x:c r="I2497" s="13" t="n">
        <x:f>IF(C2497=0,"n.a.",F2497/C2497)</x:f>
        <x:v>261.555</x:v>
      </x:c>
      <x:c r="J2497" s="3"/>
      <x:c r="K2497" s="3"/>
      <x:c r="L2497" s="3"/>
    </x:row>
    <x:row r="2498" ht="22" customHeight="1">
      <x:c r="A2498" s="3"/>
      <x:c r="B2498" s="3" t="str">
        <x:v>18017</x:v>
      </x:c>
      <x:c r="C2498" s="3" t="n">
        <x:v>3</x:v>
      </x:c>
      <x:c r="D2498" s="51" t="n">
        <x:v>40805</x:v>
      </x:c>
      <x:c r="E2498" s="3" t="str">
        <x:v>Recurrente</x:v>
      </x:c>
      <x:c r="F2498" s="13" t="n">
        <x:v>523</x:v>
      </x:c>
      <x:c r="G2498" s="13" t="n">
        <x:v>0</x:v>
      </x:c>
      <x:c r="H2498" s="13" t="n">
        <x:f>F2498-G2498</x:f>
        <x:v>523</x:v>
      </x:c>
      <x:c r="I2498" s="13" t="n">
        <x:f>IF(C2498=0,"n.a.",F2498/C2498)</x:f>
        <x:v>174.33333333333334</x:v>
      </x:c>
      <x:c r="J2498" s="3"/>
      <x:c r="K2498" s="3"/>
      <x:c r="L2498" s="3"/>
    </x:row>
    <x:row r="2499" ht="22" customHeight="1">
      <x:c r="A2499" s="3"/>
      <x:c r="B2499" s="3" t="str">
        <x:v>17712</x:v>
      </x:c>
      <x:c r="C2499" s="3" t="n">
        <x:v>1</x:v>
      </x:c>
      <x:c r="D2499" s="51" t="n">
        <x:v>40842</x:v>
      </x:c>
      <x:c r="E2499" s="3" t="str">
        <x:v>Una compra</x:v>
      </x:c>
      <x:c r="F2499" s="13" t="n">
        <x:v>522.91</x:v>
      </x:c>
      <x:c r="G2499" s="13" t="n">
        <x:v>0</x:v>
      </x:c>
      <x:c r="H2499" s="13" t="n">
        <x:f>F2499-G2499</x:f>
        <x:v>522.91</x:v>
      </x:c>
      <x:c r="I2499" s="13" t="n">
        <x:f>IF(C2499=0,"n.a.",F2499/C2499)</x:f>
        <x:v>522.91</x:v>
      </x:c>
      <x:c r="J2499" s="3"/>
      <x:c r="K2499" s="3"/>
      <x:c r="L2499" s="3"/>
    </x:row>
    <x:row r="2500" ht="22" customHeight="1">
      <x:c r="A2500" s="3"/>
      <x:c r="B2500" s="3" t="str">
        <x:v>14871</x:v>
      </x:c>
      <x:c r="C2500" s="3" t="n">
        <x:v>4</x:v>
      </x:c>
      <x:c r="D2500" s="51" t="n">
        <x:v>40883</x:v>
      </x:c>
      <x:c r="E2500" s="3" t="str">
        <x:v>Recurrente</x:v>
      </x:c>
      <x:c r="F2500" s="13" t="n">
        <x:v>522.38</x:v>
      </x:c>
      <x:c r="G2500" s="13" t="n">
        <x:v>0</x:v>
      </x:c>
      <x:c r="H2500" s="13" t="n">
        <x:f>F2500-G2500</x:f>
        <x:v>522.38</x:v>
      </x:c>
      <x:c r="I2500" s="13" t="n">
        <x:f>IF(C2500=0,"n.a.",F2500/C2500)</x:f>
        <x:v>130.595</x:v>
      </x:c>
      <x:c r="J2500" s="3"/>
      <x:c r="K2500" s="3"/>
      <x:c r="L2500" s="3"/>
    </x:row>
    <x:row r="2501" ht="22" customHeight="1">
      <x:c r="A2501" s="3"/>
      <x:c r="B2501" s="3" t="str">
        <x:v>15891</x:v>
      </x:c>
      <x:c r="C2501" s="3" t="n">
        <x:v>1</x:v>
      </x:c>
      <x:c r="D2501" s="51" t="n">
        <x:v>40660</x:v>
      </x:c>
      <x:c r="E2501" s="3" t="str">
        <x:v>Una compra</x:v>
      </x:c>
      <x:c r="F2501" s="13" t="n">
        <x:v>521.97</x:v>
      </x:c>
      <x:c r="G2501" s="13" t="n">
        <x:v>0</x:v>
      </x:c>
      <x:c r="H2501" s="13" t="n">
        <x:f>F2501-G2501</x:f>
        <x:v>521.97</x:v>
      </x:c>
      <x:c r="I2501" s="13" t="n">
        <x:f>IF(C2501=0,"n.a.",F2501/C2501)</x:f>
        <x:v>521.97</x:v>
      </x:c>
      <x:c r="J2501" s="3"/>
      <x:c r="K2501" s="3"/>
      <x:c r="L2501" s="3"/>
    </x:row>
    <x:row r="2502" ht="22" customHeight="1">
      <x:c r="A2502" s="3"/>
      <x:c r="B2502" s="3" t="str">
        <x:v>12410</x:v>
      </x:c>
      <x:c r="C2502" s="3" t="n">
        <x:v>2</x:v>
      </x:c>
      <x:c r="D2502" s="51" t="n">
        <x:v>40578</x:v>
      </x:c>
      <x:c r="E2502" s="3" t="str">
        <x:v>Recurrente</x:v>
      </x:c>
      <x:c r="F2502" s="13" t="n">
        <x:v>533.33</x:v>
      </x:c>
      <x:c r="G2502" s="13" t="n">
        <x:v>12.25</x:v>
      </x:c>
      <x:c r="H2502" s="13" t="n">
        <x:f>F2502-G2502</x:f>
        <x:v>521.08</x:v>
      </x:c>
      <x:c r="I2502" s="13" t="n">
        <x:f>IF(C2502=0,"n.a.",F2502/C2502)</x:f>
        <x:v>266.665</x:v>
      </x:c>
      <x:c r="J2502" s="3"/>
      <x:c r="K2502" s="3"/>
      <x:c r="L2502" s="3"/>
    </x:row>
    <x:row r="2503" ht="22" customHeight="1">
      <x:c r="A2503" s="3"/>
      <x:c r="B2503" s="3" t="str">
        <x:v>15149</x:v>
      </x:c>
      <x:c r="C2503" s="3" t="n">
        <x:v>1</x:v>
      </x:c>
      <x:c r="D2503" s="51" t="n">
        <x:v>40753</x:v>
      </x:c>
      <x:c r="E2503" s="3" t="str">
        <x:v>Una compra</x:v>
      </x:c>
      <x:c r="F2503" s="13" t="n">
        <x:v>520.8</x:v>
      </x:c>
      <x:c r="G2503" s="13" t="n">
        <x:v>0</x:v>
      </x:c>
      <x:c r="H2503" s="13" t="n">
        <x:f>F2503-G2503</x:f>
        <x:v>520.8</x:v>
      </x:c>
      <x:c r="I2503" s="13" t="n">
        <x:f>IF(C2503=0,"n.a.",F2503/C2503)</x:f>
        <x:v>520.8</x:v>
      </x:c>
      <x:c r="J2503" s="3"/>
      <x:c r="K2503" s="3"/>
      <x:c r="L2503" s="3"/>
    </x:row>
    <x:row r="2504" ht="22" customHeight="1">
      <x:c r="A2504" s="3"/>
      <x:c r="B2504" s="3" t="str">
        <x:v>13811</x:v>
      </x:c>
      <x:c r="C2504" s="3" t="n">
        <x:v>2</x:v>
      </x:c>
      <x:c r="D2504" s="51" t="n">
        <x:v>40703</x:v>
      </x:c>
      <x:c r="E2504" s="3" t="str">
        <x:v>Recurrente</x:v>
      </x:c>
      <x:c r="F2504" s="13" t="n">
        <x:v>519.75</x:v>
      </x:c>
      <x:c r="G2504" s="13" t="n">
        <x:v>0</x:v>
      </x:c>
      <x:c r="H2504" s="13" t="n">
        <x:f>F2504-G2504</x:f>
        <x:v>519.75</x:v>
      </x:c>
      <x:c r="I2504" s="13" t="n">
        <x:f>IF(C2504=0,"n.a.",F2504/C2504)</x:f>
        <x:v>259.875</x:v>
      </x:c>
      <x:c r="J2504" s="3"/>
      <x:c r="K2504" s="3"/>
      <x:c r="L2504" s="3"/>
    </x:row>
    <x:row r="2505" ht="22" customHeight="1">
      <x:c r="A2505" s="3"/>
      <x:c r="B2505" s="3" t="str">
        <x:v>14873</x:v>
      </x:c>
      <x:c r="C2505" s="3" t="n">
        <x:v>1</x:v>
      </x:c>
      <x:c r="D2505" s="51" t="n">
        <x:v>40676</x:v>
      </x:c>
      <x:c r="E2505" s="3" t="str">
        <x:v>Una compra</x:v>
      </x:c>
      <x:c r="F2505" s="13" t="n">
        <x:v>519.68</x:v>
      </x:c>
      <x:c r="G2505" s="13" t="n">
        <x:v>0</x:v>
      </x:c>
      <x:c r="H2505" s="13" t="n">
        <x:f>F2505-G2505</x:f>
        <x:v>519.68</x:v>
      </x:c>
      <x:c r="I2505" s="13" t="n">
        <x:f>IF(C2505=0,"n.a.",F2505/C2505)</x:f>
        <x:v>519.68</x:v>
      </x:c>
      <x:c r="J2505" s="3"/>
      <x:c r="K2505" s="3"/>
      <x:c r="L2505" s="3"/>
    </x:row>
    <x:row r="2506" ht="22" customHeight="1">
      <x:c r="A2506" s="3"/>
      <x:c r="B2506" s="3" t="str">
        <x:v>12571</x:v>
      </x:c>
      <x:c r="C2506" s="3" t="n">
        <x:v>2</x:v>
      </x:c>
      <x:c r="D2506" s="51" t="n">
        <x:v>40847</x:v>
      </x:c>
      <x:c r="E2506" s="3" t="str">
        <x:v>Recurrente</x:v>
      </x:c>
      <x:c r="F2506" s="13" t="n">
        <x:v>519.61</x:v>
      </x:c>
      <x:c r="G2506" s="13" t="n">
        <x:v>0</x:v>
      </x:c>
      <x:c r="H2506" s="13" t="n">
        <x:f>F2506-G2506</x:f>
        <x:v>519.61</x:v>
      </x:c>
      <x:c r="I2506" s="13" t="n">
        <x:f>IF(C2506=0,"n.a.",F2506/C2506)</x:f>
        <x:v>259.805</x:v>
      </x:c>
      <x:c r="J2506" s="3"/>
      <x:c r="K2506" s="3"/>
      <x:c r="L2506" s="3"/>
    </x:row>
    <x:row r="2507" ht="22" customHeight="1">
      <x:c r="A2507" s="3"/>
      <x:c r="B2507" s="3" t="str">
        <x:v>13643</x:v>
      </x:c>
      <x:c r="C2507" s="3" t="n">
        <x:v>3</x:v>
      </x:c>
      <x:c r="D2507" s="51" t="n">
        <x:v>40855</x:v>
      </x:c>
      <x:c r="E2507" s="3" t="str">
        <x:v>Recurrente</x:v>
      </x:c>
      <x:c r="F2507" s="13" t="n">
        <x:v>519.44</x:v>
      </x:c>
      <x:c r="G2507" s="13" t="n">
        <x:v>0</x:v>
      </x:c>
      <x:c r="H2507" s="13" t="n">
        <x:f>F2507-G2507</x:f>
        <x:v>519.44</x:v>
      </x:c>
      <x:c r="I2507" s="13" t="n">
        <x:f>IF(C2507=0,"n.a.",F2507/C2507)</x:f>
        <x:v>173.14666666666668</x:v>
      </x:c>
      <x:c r="J2507" s="3"/>
      <x:c r="K2507" s="3"/>
      <x:c r="L2507" s="3"/>
    </x:row>
    <x:row r="2508" ht="22" customHeight="1">
      <x:c r="A2508" s="3"/>
      <x:c r="B2508" s="3" t="str">
        <x:v>12784</x:v>
      </x:c>
      <x:c r="C2508" s="3" t="n">
        <x:v>1</x:v>
      </x:c>
      <x:c r="D2508" s="51" t="n">
        <x:v>40871</x:v>
      </x:c>
      <x:c r="E2508" s="3" t="str">
        <x:v>Una compra</x:v>
      </x:c>
      <x:c r="F2508" s="13" t="n">
        <x:v>518.42</x:v>
      </x:c>
      <x:c r="G2508" s="13" t="n">
        <x:v>0</x:v>
      </x:c>
      <x:c r="H2508" s="13" t="n">
        <x:f>F2508-G2508</x:f>
        <x:v>518.42</x:v>
      </x:c>
      <x:c r="I2508" s="13" t="n">
        <x:f>IF(C2508=0,"n.a.",F2508/C2508)</x:f>
        <x:v>518.42</x:v>
      </x:c>
      <x:c r="J2508" s="3"/>
      <x:c r="K2508" s="3"/>
      <x:c r="L2508" s="3"/>
    </x:row>
    <x:row r="2509" ht="22" customHeight="1">
      <x:c r="A2509" s="3"/>
      <x:c r="B2509" s="3" t="str">
        <x:v>16650</x:v>
      </x:c>
      <x:c r="C2509" s="3" t="n">
        <x:v>1</x:v>
      </x:c>
      <x:c r="D2509" s="51" t="n">
        <x:v>40815</x:v>
      </x:c>
      <x:c r="E2509" s="3" t="str">
        <x:v>Una compra</x:v>
      </x:c>
      <x:c r="F2509" s="13" t="n">
        <x:v>518.42</x:v>
      </x:c>
      <x:c r="G2509" s="13" t="n">
        <x:v>0</x:v>
      </x:c>
      <x:c r="H2509" s="13" t="n">
        <x:f>F2509-G2509</x:f>
        <x:v>518.42</x:v>
      </x:c>
      <x:c r="I2509" s="13" t="n">
        <x:f>IF(C2509=0,"n.a.",F2509/C2509)</x:f>
        <x:v>518.42</x:v>
      </x:c>
      <x:c r="J2509" s="3"/>
      <x:c r="K2509" s="3"/>
      <x:c r="L2509" s="3"/>
    </x:row>
    <x:row r="2510" ht="22" customHeight="1">
      <x:c r="A2510" s="3"/>
      <x:c r="B2510" s="3" t="str">
        <x:v>15030</x:v>
      </x:c>
      <x:c r="C2510" s="3" t="n">
        <x:v>2</x:v>
      </x:c>
      <x:c r="D2510" s="51" t="n">
        <x:v>40815</x:v>
      </x:c>
      <x:c r="E2510" s="3" t="str">
        <x:v>Recurrente</x:v>
      </x:c>
      <x:c r="F2510" s="13" t="n">
        <x:v>518.28</x:v>
      </x:c>
      <x:c r="G2510" s="13" t="n">
        <x:v>0</x:v>
      </x:c>
      <x:c r="H2510" s="13" t="n">
        <x:f>F2510-G2510</x:f>
        <x:v>518.28</x:v>
      </x:c>
      <x:c r="I2510" s="13" t="n">
        <x:f>IF(C2510=0,"n.a.",F2510/C2510)</x:f>
        <x:v>259.14</x:v>
      </x:c>
      <x:c r="J2510" s="3"/>
      <x:c r="K2510" s="3"/>
      <x:c r="L2510" s="3"/>
    </x:row>
    <x:row r="2511" ht="22" customHeight="1">
      <x:c r="A2511" s="3"/>
      <x:c r="B2511" s="3" t="str">
        <x:v>16135</x:v>
      </x:c>
      <x:c r="C2511" s="3" t="n">
        <x:v>1</x:v>
      </x:c>
      <x:c r="D2511" s="51" t="n">
        <x:v>40624</x:v>
      </x:c>
      <x:c r="E2511" s="3" t="str">
        <x:v>Una compra</x:v>
      </x:c>
      <x:c r="F2511" s="13" t="n">
        <x:v>517.55</x:v>
      </x:c>
      <x:c r="G2511" s="13" t="n">
        <x:v>0</x:v>
      </x:c>
      <x:c r="H2511" s="13" t="n">
        <x:f>F2511-G2511</x:f>
        <x:v>517.55</x:v>
      </x:c>
      <x:c r="I2511" s="13" t="n">
        <x:f>IF(C2511=0,"n.a.",F2511/C2511)</x:f>
        <x:v>517.55</x:v>
      </x:c>
      <x:c r="J2511" s="3"/>
      <x:c r="K2511" s="3"/>
      <x:c r="L2511" s="3"/>
    </x:row>
    <x:row r="2512" ht="22" customHeight="1">
      <x:c r="A2512" s="3"/>
      <x:c r="B2512" s="3" t="str">
        <x:v>17454</x:v>
      </x:c>
      <x:c r="C2512" s="3" t="n">
        <x:v>4</x:v>
      </x:c>
      <x:c r="D2512" s="51" t="n">
        <x:v>40694</x:v>
      </x:c>
      <x:c r="E2512" s="3" t="str">
        <x:v>Recurrente</x:v>
      </x:c>
      <x:c r="F2512" s="13" t="n">
        <x:v>517.53</x:v>
      </x:c>
      <x:c r="G2512" s="13" t="n">
        <x:v>0</x:v>
      </x:c>
      <x:c r="H2512" s="13" t="n">
        <x:f>F2512-G2512</x:f>
        <x:v>517.53</x:v>
      </x:c>
      <x:c r="I2512" s="13" t="n">
        <x:f>IF(C2512=0,"n.a.",F2512/C2512)</x:f>
        <x:v>129.3825</x:v>
      </x:c>
      <x:c r="J2512" s="3"/>
      <x:c r="K2512" s="3"/>
      <x:c r="L2512" s="3"/>
    </x:row>
    <x:row r="2513" ht="22" customHeight="1">
      <x:c r="A2513" s="3"/>
      <x:c r="B2513" s="3" t="str">
        <x:v>18205</x:v>
      </x:c>
      <x:c r="C2513" s="3" t="n">
        <x:v>2</x:v>
      </x:c>
      <x:c r="D2513" s="51" t="n">
        <x:v>40850</x:v>
      </x:c>
      <x:c r="E2513" s="3" t="str">
        <x:v>Recurrente</x:v>
      </x:c>
      <x:c r="F2513" s="13" t="n">
        <x:v>517.36</x:v>
      </x:c>
      <x:c r="G2513" s="13" t="n">
        <x:v>0</x:v>
      </x:c>
      <x:c r="H2513" s="13" t="n">
        <x:f>F2513-G2513</x:f>
        <x:v>517.36</x:v>
      </x:c>
      <x:c r="I2513" s="13" t="n">
        <x:f>IF(C2513=0,"n.a.",F2513/C2513)</x:f>
        <x:v>258.68</x:v>
      </x:c>
      <x:c r="J2513" s="3"/>
      <x:c r="K2513" s="3"/>
      <x:c r="L2513" s="3"/>
    </x:row>
    <x:row r="2514" ht="22" customHeight="1">
      <x:c r="A2514" s="3"/>
      <x:c r="B2514" s="3" t="str">
        <x:v>15246</x:v>
      </x:c>
      <x:c r="C2514" s="3" t="n">
        <x:v>2</x:v>
      </x:c>
      <x:c r="D2514" s="51" t="n">
        <x:v>40648</x:v>
      </x:c>
      <x:c r="E2514" s="3" t="str">
        <x:v>Recurrente</x:v>
      </x:c>
      <x:c r="F2514" s="13" t="n">
        <x:v>514.15</x:v>
      </x:c>
      <x:c r="G2514" s="13" t="n">
        <x:v>0</x:v>
      </x:c>
      <x:c r="H2514" s="13" t="n">
        <x:f>F2514-G2514</x:f>
        <x:v>514.15</x:v>
      </x:c>
      <x:c r="I2514" s="13" t="n">
        <x:f>IF(C2514=0,"n.a.",F2514/C2514)</x:f>
        <x:v>257.075</x:v>
      </x:c>
      <x:c r="J2514" s="3"/>
      <x:c r="K2514" s="3"/>
      <x:c r="L2514" s="3"/>
    </x:row>
    <x:row r="2515" ht="22" customHeight="1">
      <x:c r="A2515" s="3"/>
      <x:c r="B2515" s="3" t="str">
        <x:v>17513</x:v>
      </x:c>
      <x:c r="C2515" s="3" t="n">
        <x:v>1</x:v>
      </x:c>
      <x:c r="D2515" s="51" t="n">
        <x:v>40814</x:v>
      </x:c>
      <x:c r="E2515" s="3" t="str">
        <x:v>Una compra</x:v>
      </x:c>
      <x:c r="F2515" s="13" t="n">
        <x:v>513.2</x:v>
      </x:c>
      <x:c r="G2515" s="13" t="n">
        <x:v>0</x:v>
      </x:c>
      <x:c r="H2515" s="13" t="n">
        <x:f>F2515-G2515</x:f>
        <x:v>513.2</x:v>
      </x:c>
      <x:c r="I2515" s="13" t="n">
        <x:f>IF(C2515=0,"n.a.",F2515/C2515)</x:f>
        <x:v>513.2</x:v>
      </x:c>
      <x:c r="J2515" s="3"/>
      <x:c r="K2515" s="3"/>
      <x:c r="L2515" s="3"/>
    </x:row>
    <x:row r="2516" ht="22" customHeight="1">
      <x:c r="A2516" s="3"/>
      <x:c r="B2516" s="3" t="str">
        <x:v>17805</x:v>
      </x:c>
      <x:c r="C2516" s="3" t="n">
        <x:v>1</x:v>
      </x:c>
      <x:c r="D2516" s="51" t="n">
        <x:v>40813</x:v>
      </x:c>
      <x:c r="E2516" s="3" t="str">
        <x:v>Una compra</x:v>
      </x:c>
      <x:c r="F2516" s="13" t="n">
        <x:v>512.31</x:v>
      </x:c>
      <x:c r="G2516" s="13" t="n">
        <x:v>0</x:v>
      </x:c>
      <x:c r="H2516" s="13" t="n">
        <x:f>F2516-G2516</x:f>
        <x:v>512.31</x:v>
      </x:c>
      <x:c r="I2516" s="13" t="n">
        <x:f>IF(C2516=0,"n.a.",F2516/C2516)</x:f>
        <x:v>512.31</x:v>
      </x:c>
      <x:c r="J2516" s="3"/>
      <x:c r="K2516" s="3"/>
      <x:c r="L2516" s="3"/>
    </x:row>
    <x:row r="2517" ht="22" customHeight="1">
      <x:c r="A2517" s="3"/>
      <x:c r="B2517" s="3" t="str">
        <x:v>17429</x:v>
      </x:c>
      <x:c r="C2517" s="3" t="n">
        <x:v>3</x:v>
      </x:c>
      <x:c r="D2517" s="51" t="n">
        <x:v>40758</x:v>
      </x:c>
      <x:c r="E2517" s="3" t="str">
        <x:v>Recurrente</x:v>
      </x:c>
      <x:c r="F2517" s="13" t="n">
        <x:v>524.92</x:v>
      </x:c>
      <x:c r="G2517" s="13" t="n">
        <x:v>12.8</x:v>
      </x:c>
      <x:c r="H2517" s="13" t="n">
        <x:f>F2517-G2517</x:f>
        <x:v>512.12</x:v>
      </x:c>
      <x:c r="I2517" s="13" t="n">
        <x:f>IF(C2517=0,"n.a.",F2517/C2517)</x:f>
        <x:v>174.97333333333333</x:v>
      </x:c>
      <x:c r="J2517" s="3"/>
      <x:c r="K2517" s="3"/>
      <x:c r="L2517" s="3"/>
    </x:row>
    <x:row r="2518" ht="22" customHeight="1">
      <x:c r="A2518" s="3"/>
      <x:c r="B2518" s="3" t="str">
        <x:v>14034</x:v>
      </x:c>
      <x:c r="C2518" s="3" t="n">
        <x:v>3</x:v>
      </x:c>
      <x:c r="D2518" s="51" t="n">
        <x:v>40864</x:v>
      </x:c>
      <x:c r="E2518" s="3" t="str">
        <x:v>Recurrente</x:v>
      </x:c>
      <x:c r="F2518" s="13" t="n">
        <x:v>651.82</x:v>
      </x:c>
      <x:c r="G2518" s="13" t="n">
        <x:v>139.8</x:v>
      </x:c>
      <x:c r="H2518" s="13" t="n">
        <x:f>F2518-G2518</x:f>
        <x:v>512.02</x:v>
      </x:c>
      <x:c r="I2518" s="13" t="n">
        <x:f>IF(C2518=0,"n.a.",F2518/C2518)</x:f>
        <x:v>217.27333333333334</x:v>
      </x:c>
      <x:c r="J2518" s="3"/>
      <x:c r="K2518" s="3"/>
      <x:c r="L2518" s="3"/>
    </x:row>
    <x:row r="2519" ht="22" customHeight="1">
      <x:c r="A2519" s="3"/>
      <x:c r="B2519" s="3" t="str">
        <x:v>15467</x:v>
      </x:c>
      <x:c r="C2519" s="3" t="n">
        <x:v>3</x:v>
      </x:c>
      <x:c r="D2519" s="51" t="n">
        <x:v>40877</x:v>
      </x:c>
      <x:c r="E2519" s="3" t="str">
        <x:v>Recurrente</x:v>
      </x:c>
      <x:c r="F2519" s="13" t="n">
        <x:v>524.88</x:v>
      </x:c>
      <x:c r="G2519" s="13" t="n">
        <x:v>13</x:v>
      </x:c>
      <x:c r="H2519" s="13" t="n">
        <x:f>F2519-G2519</x:f>
        <x:v>511.88</x:v>
      </x:c>
      <x:c r="I2519" s="13" t="n">
        <x:f>IF(C2519=0,"n.a.",F2519/C2519)</x:f>
        <x:v>174.96</x:v>
      </x:c>
      <x:c r="J2519" s="3"/>
      <x:c r="K2519" s="3"/>
      <x:c r="L2519" s="3"/>
    </x:row>
    <x:row r="2520" ht="22" customHeight="1">
      <x:c r="A2520" s="3"/>
      <x:c r="B2520" s="3" t="str">
        <x:v>12638</x:v>
      </x:c>
      <x:c r="C2520" s="3" t="n">
        <x:v>1</x:v>
      </x:c>
      <x:c r="D2520" s="51" t="n">
        <x:v>40853</x:v>
      </x:c>
      <x:c r="E2520" s="3" t="str">
        <x:v>Una compra</x:v>
      </x:c>
      <x:c r="F2520" s="13" t="n">
        <x:v>511.69</x:v>
      </x:c>
      <x:c r="G2520" s="13" t="n">
        <x:v>0</x:v>
      </x:c>
      <x:c r="H2520" s="13" t="n">
        <x:f>F2520-G2520</x:f>
        <x:v>511.69</x:v>
      </x:c>
      <x:c r="I2520" s="13" t="n">
        <x:f>IF(C2520=0,"n.a.",F2520/C2520)</x:f>
        <x:v>511.69</x:v>
      </x:c>
      <x:c r="J2520" s="3"/>
      <x:c r="K2520" s="3"/>
      <x:c r="L2520" s="3"/>
    </x:row>
    <x:row r="2521" ht="22" customHeight="1">
      <x:c r="A2521" s="3"/>
      <x:c r="B2521" s="3" t="str">
        <x:v>14851</x:v>
      </x:c>
      <x:c r="C2521" s="3" t="n">
        <x:v>2</x:v>
      </x:c>
      <x:c r="D2521" s="51" t="n">
        <x:v>40863</x:v>
      </x:c>
      <x:c r="E2521" s="3" t="str">
        <x:v>Recurrente</x:v>
      </x:c>
      <x:c r="F2521" s="13" t="n">
        <x:v>511.35</x:v>
      </x:c>
      <x:c r="G2521" s="13" t="n">
        <x:v>0</x:v>
      </x:c>
      <x:c r="H2521" s="13" t="n">
        <x:f>F2521-G2521</x:f>
        <x:v>511.35</x:v>
      </x:c>
      <x:c r="I2521" s="13" t="n">
        <x:f>IF(C2521=0,"n.a.",F2521/C2521)</x:f>
        <x:v>255.675</x:v>
      </x:c>
      <x:c r="J2521" s="3"/>
      <x:c r="K2521" s="3"/>
      <x:c r="L2521" s="3"/>
    </x:row>
    <x:row r="2522" ht="22" customHeight="1">
      <x:c r="A2522" s="3"/>
      <x:c r="B2522" s="3" t="str">
        <x:v>15655</x:v>
      </x:c>
      <x:c r="C2522" s="3" t="n">
        <x:v>1</x:v>
      </x:c>
      <x:c r="D2522" s="51" t="n">
        <x:v>40643</x:v>
      </x:c>
      <x:c r="E2522" s="3" t="str">
        <x:v>Una compra</x:v>
      </x:c>
      <x:c r="F2522" s="13" t="n">
        <x:v>560.67</x:v>
      </x:c>
      <x:c r="G2522" s="13" t="n">
        <x:v>49.35</x:v>
      </x:c>
      <x:c r="H2522" s="13" t="n">
        <x:f>F2522-G2522</x:f>
        <x:v>511.31999999999994</x:v>
      </x:c>
      <x:c r="I2522" s="13" t="n">
        <x:f>IF(C2522=0,"n.a.",F2522/C2522)</x:f>
        <x:v>560.67</x:v>
      </x:c>
      <x:c r="J2522" s="3"/>
      <x:c r="K2522" s="3"/>
      <x:c r="L2522" s="3"/>
    </x:row>
    <x:row r="2523" ht="22" customHeight="1">
      <x:c r="A2523" s="3"/>
      <x:c r="B2523" s="3" t="str">
        <x:v>16561</x:v>
      </x:c>
      <x:c r="C2523" s="3" t="n">
        <x:v>2</x:v>
      </x:c>
      <x:c r="D2523" s="51" t="n">
        <x:v>40881</x:v>
      </x:c>
      <x:c r="E2523" s="3" t="str">
        <x:v>Recurrente</x:v>
      </x:c>
      <x:c r="F2523" s="13" t="n">
        <x:v>511.12</x:v>
      </x:c>
      <x:c r="G2523" s="13" t="n">
        <x:v>0</x:v>
      </x:c>
      <x:c r="H2523" s="13" t="n">
        <x:f>F2523-G2523</x:f>
        <x:v>511.12</x:v>
      </x:c>
      <x:c r="I2523" s="13" t="n">
        <x:f>IF(C2523=0,"n.a.",F2523/C2523)</x:f>
        <x:v>255.56</x:v>
      </x:c>
      <x:c r="J2523" s="3"/>
      <x:c r="K2523" s="3"/>
      <x:c r="L2523" s="3"/>
    </x:row>
    <x:row r="2524" ht="22" customHeight="1">
      <x:c r="A2524" s="3"/>
      <x:c r="B2524" s="3" t="str">
        <x:v>12426</x:v>
      </x:c>
      <x:c r="C2524" s="3" t="n">
        <x:v>1</x:v>
      </x:c>
      <x:c r="D2524" s="51" t="n">
        <x:v>40692</x:v>
      </x:c>
      <x:c r="E2524" s="3" t="str">
        <x:v>Una compra</x:v>
      </x:c>
      <x:c r="F2524" s="13" t="n">
        <x:v>510.73</x:v>
      </x:c>
      <x:c r="G2524" s="13" t="n">
        <x:v>0</x:v>
      </x:c>
      <x:c r="H2524" s="13" t="n">
        <x:f>F2524-G2524</x:f>
        <x:v>510.73</x:v>
      </x:c>
      <x:c r="I2524" s="13" t="n">
        <x:f>IF(C2524=0,"n.a.",F2524/C2524)</x:f>
        <x:v>510.73</x:v>
      </x:c>
      <x:c r="J2524" s="3"/>
      <x:c r="K2524" s="3"/>
      <x:c r="L2524" s="3"/>
    </x:row>
    <x:row r="2525" ht="22" customHeight="1">
      <x:c r="A2525" s="3"/>
      <x:c r="B2525" s="3" t="str">
        <x:v>16325</x:v>
      </x:c>
      <x:c r="C2525" s="3" t="n">
        <x:v>3</x:v>
      </x:c>
      <x:c r="D2525" s="51" t="n">
        <x:v>40840</x:v>
      </x:c>
      <x:c r="E2525" s="3" t="str">
        <x:v>Recurrente</x:v>
      </x:c>
      <x:c r="F2525" s="13" t="n">
        <x:v>594.24</x:v>
      </x:c>
      <x:c r="G2525" s="13" t="n">
        <x:v>83.7</x:v>
      </x:c>
      <x:c r="H2525" s="13" t="n">
        <x:f>F2525-G2525</x:f>
        <x:v>510.54</x:v>
      </x:c>
      <x:c r="I2525" s="13" t="n">
        <x:f>IF(C2525=0,"n.a.",F2525/C2525)</x:f>
        <x:v>198.08</x:v>
      </x:c>
      <x:c r="J2525" s="3"/>
      <x:c r="K2525" s="3"/>
      <x:c r="L2525" s="3"/>
    </x:row>
    <x:row r="2526" ht="22" customHeight="1">
      <x:c r="A2526" s="3"/>
      <x:c r="B2526" s="3" t="str">
        <x:v>12904</x:v>
      </x:c>
      <x:c r="C2526" s="3" t="n">
        <x:v>2</x:v>
      </x:c>
      <x:c r="D2526" s="51" t="n">
        <x:v>40868</x:v>
      </x:c>
      <x:c r="E2526" s="3" t="str">
        <x:v>Recurrente</x:v>
      </x:c>
      <x:c r="F2526" s="13" t="n">
        <x:v>509.58</x:v>
      </x:c>
      <x:c r="G2526" s="13" t="n">
        <x:v>0</x:v>
      </x:c>
      <x:c r="H2526" s="13" t="n">
        <x:f>F2526-G2526</x:f>
        <x:v>509.58</x:v>
      </x:c>
      <x:c r="I2526" s="13" t="n">
        <x:f>IF(C2526=0,"n.a.",F2526/C2526)</x:f>
        <x:v>254.79</x:v>
      </x:c>
      <x:c r="J2526" s="3"/>
      <x:c r="K2526" s="3"/>
      <x:c r="L2526" s="3"/>
    </x:row>
    <x:row r="2527" ht="22" customHeight="1">
      <x:c r="A2527" s="3"/>
      <x:c r="B2527" s="3" t="str">
        <x:v>15417</x:v>
      </x:c>
      <x:c r="C2527" s="3" t="n">
        <x:v>1</x:v>
      </x:c>
      <x:c r="D2527" s="51" t="n">
        <x:v>40801</x:v>
      </x:c>
      <x:c r="E2527" s="3" t="str">
        <x:v>Una compra</x:v>
      </x:c>
      <x:c r="F2527" s="13" t="n">
        <x:v>508.8</x:v>
      </x:c>
      <x:c r="G2527" s="13" t="n">
        <x:v>0</x:v>
      </x:c>
      <x:c r="H2527" s="13" t="n">
        <x:f>F2527-G2527</x:f>
        <x:v>508.8</x:v>
      </x:c>
      <x:c r="I2527" s="13" t="n">
        <x:f>IF(C2527=0,"n.a.",F2527/C2527)</x:f>
        <x:v>508.8</x:v>
      </x:c>
      <x:c r="J2527" s="3"/>
      <x:c r="K2527" s="3"/>
      <x:c r="L2527" s="3"/>
    </x:row>
    <x:row r="2528" ht="22" customHeight="1">
      <x:c r="A2528" s="3"/>
      <x:c r="B2528" s="3" t="str">
        <x:v>17391</x:v>
      </x:c>
      <x:c r="C2528" s="3" t="n">
        <x:v>2</x:v>
      </x:c>
      <x:c r="D2528" s="51" t="n">
        <x:v>40723</x:v>
      </x:c>
      <x:c r="E2528" s="3" t="str">
        <x:v>Recurrente</x:v>
      </x:c>
      <x:c r="F2528" s="13" t="n">
        <x:v>508.8</x:v>
      </x:c>
      <x:c r="G2528" s="13" t="n">
        <x:v>0</x:v>
      </x:c>
      <x:c r="H2528" s="13" t="n">
        <x:f>F2528-G2528</x:f>
        <x:v>508.8</x:v>
      </x:c>
      <x:c r="I2528" s="13" t="n">
        <x:f>IF(C2528=0,"n.a.",F2528/C2528)</x:f>
        <x:v>254.4</x:v>
      </x:c>
      <x:c r="J2528" s="3"/>
      <x:c r="K2528" s="3"/>
      <x:c r="L2528" s="3"/>
    </x:row>
    <x:row r="2529" ht="22" customHeight="1">
      <x:c r="A2529" s="3"/>
      <x:c r="B2529" s="3" t="str">
        <x:v>14317</x:v>
      </x:c>
      <x:c r="C2529" s="3" t="n">
        <x:v>1</x:v>
      </x:c>
      <x:c r="D2529" s="51" t="n">
        <x:v>40822</x:v>
      </x:c>
      <x:c r="E2529" s="3" t="str">
        <x:v>Una compra</x:v>
      </x:c>
      <x:c r="F2529" s="13" t="n">
        <x:v>508.58</x:v>
      </x:c>
      <x:c r="G2529" s="13" t="n">
        <x:v>0</x:v>
      </x:c>
      <x:c r="H2529" s="13" t="n">
        <x:f>F2529-G2529</x:f>
        <x:v>508.58</x:v>
      </x:c>
      <x:c r="I2529" s="13" t="n">
        <x:f>IF(C2529=0,"n.a.",F2529/C2529)</x:f>
        <x:v>508.58</x:v>
      </x:c>
      <x:c r="J2529" s="3"/>
      <x:c r="K2529" s="3"/>
      <x:c r="L2529" s="3"/>
    </x:row>
    <x:row r="2530" ht="22" customHeight="1">
      <x:c r="A2530" s="3"/>
      <x:c r="B2530" s="3" t="str">
        <x:v>17958</x:v>
      </x:c>
      <x:c r="C2530" s="3" t="n">
        <x:v>1</x:v>
      </x:c>
      <x:c r="D2530" s="51" t="n">
        <x:v>40770</x:v>
      </x:c>
      <x:c r="E2530" s="3" t="str">
        <x:v>Una compra</x:v>
      </x:c>
      <x:c r="F2530" s="13" t="n">
        <x:v>508.46</x:v>
      </x:c>
      <x:c r="G2530" s="13" t="n">
        <x:v>0</x:v>
      </x:c>
      <x:c r="H2530" s="13" t="n">
        <x:f>F2530-G2530</x:f>
        <x:v>508.46</x:v>
      </x:c>
      <x:c r="I2530" s="13" t="n">
        <x:f>IF(C2530=0,"n.a.",F2530/C2530)</x:f>
        <x:v>508.46</x:v>
      </x:c>
      <x:c r="J2530" s="3"/>
      <x:c r="K2530" s="3"/>
      <x:c r="L2530" s="3"/>
    </x:row>
    <x:row r="2531" ht="22" customHeight="1">
      <x:c r="A2531" s="3"/>
      <x:c r="B2531" s="3" t="str">
        <x:v>17415</x:v>
      </x:c>
      <x:c r="C2531" s="3" t="n">
        <x:v>1</x:v>
      </x:c>
      <x:c r="D2531" s="51" t="n">
        <x:v>40807</x:v>
      </x:c>
      <x:c r="E2531" s="3" t="str">
        <x:v>Una compra</x:v>
      </x:c>
      <x:c r="F2531" s="13" t="n">
        <x:v>507.84</x:v>
      </x:c>
      <x:c r="G2531" s="13" t="n">
        <x:v>0</x:v>
      </x:c>
      <x:c r="H2531" s="13" t="n">
        <x:f>F2531-G2531</x:f>
        <x:v>507.84</x:v>
      </x:c>
      <x:c r="I2531" s="13" t="n">
        <x:f>IF(C2531=0,"n.a.",F2531/C2531)</x:f>
        <x:v>507.84</x:v>
      </x:c>
      <x:c r="J2531" s="3"/>
      <x:c r="K2531" s="3"/>
      <x:c r="L2531" s="3"/>
    </x:row>
    <x:row r="2532" ht="22" customHeight="1">
      <x:c r="A2532" s="3"/>
      <x:c r="B2532" s="3" t="str">
        <x:v>14158</x:v>
      </x:c>
      <x:c r="C2532" s="3" t="n">
        <x:v>1</x:v>
      </x:c>
      <x:c r="D2532" s="51" t="n">
        <x:v>40846</x:v>
      </x:c>
      <x:c r="E2532" s="3" t="str">
        <x:v>Una compra</x:v>
      </x:c>
      <x:c r="F2532" s="13" t="n">
        <x:v>507.66</x:v>
      </x:c>
      <x:c r="G2532" s="13" t="n">
        <x:v>0</x:v>
      </x:c>
      <x:c r="H2532" s="13" t="n">
        <x:f>F2532-G2532</x:f>
        <x:v>507.66</x:v>
      </x:c>
      <x:c r="I2532" s="13" t="n">
        <x:f>IF(C2532=0,"n.a.",F2532/C2532)</x:f>
        <x:v>507.66</x:v>
      </x:c>
      <x:c r="J2532" s="3"/>
      <x:c r="K2532" s="3"/>
      <x:c r="L2532" s="3"/>
    </x:row>
    <x:row r="2533" ht="22" customHeight="1">
      <x:c r="A2533" s="3"/>
      <x:c r="B2533" s="3" t="str">
        <x:v>14820</x:v>
      </x:c>
      <x:c r="C2533" s="3" t="n">
        <x:v>4</x:v>
      </x:c>
      <x:c r="D2533" s="51" t="n">
        <x:v>40865</x:v>
      </x:c>
      <x:c r="E2533" s="3" t="str">
        <x:v>Recurrente</x:v>
      </x:c>
      <x:c r="F2533" s="13" t="n">
        <x:v>507.29</x:v>
      </x:c>
      <x:c r="G2533" s="13" t="n">
        <x:v>0</x:v>
      </x:c>
      <x:c r="H2533" s="13" t="n">
        <x:f>F2533-G2533</x:f>
        <x:v>507.29</x:v>
      </x:c>
      <x:c r="I2533" s="13" t="n">
        <x:f>IF(C2533=0,"n.a.",F2533/C2533)</x:f>
        <x:v>126.8225</x:v>
      </x:c>
      <x:c r="J2533" s="3"/>
      <x:c r="K2533" s="3"/>
      <x:c r="L2533" s="3"/>
    </x:row>
    <x:row r="2534" ht="22" customHeight="1">
      <x:c r="A2534" s="3"/>
      <x:c r="B2534" s="3" t="str">
        <x:v>15721</x:v>
      </x:c>
      <x:c r="C2534" s="3" t="n">
        <x:v>1</x:v>
      </x:c>
      <x:c r="D2534" s="51" t="n">
        <x:v>40875</x:v>
      </x:c>
      <x:c r="E2534" s="3" t="str">
        <x:v>Una compra</x:v>
      </x:c>
      <x:c r="F2534" s="13" t="n">
        <x:v>507.08</x:v>
      </x:c>
      <x:c r="G2534" s="13" t="n">
        <x:v>0</x:v>
      </x:c>
      <x:c r="H2534" s="13" t="n">
        <x:f>F2534-G2534</x:f>
        <x:v>507.08</x:v>
      </x:c>
      <x:c r="I2534" s="13" t="n">
        <x:f>IF(C2534=0,"n.a.",F2534/C2534)</x:f>
        <x:v>507.08</x:v>
      </x:c>
      <x:c r="J2534" s="3"/>
      <x:c r="K2534" s="3"/>
      <x:c r="L2534" s="3"/>
    </x:row>
    <x:row r="2535" ht="22" customHeight="1">
      <x:c r="A2535" s="3"/>
      <x:c r="B2535" s="3" t="str">
        <x:v>13885</x:v>
      </x:c>
      <x:c r="C2535" s="3" t="n">
        <x:v>2</x:v>
      </x:c>
      <x:c r="D2535" s="51" t="n">
        <x:v>40697</x:v>
      </x:c>
      <x:c r="E2535" s="3" t="str">
        <x:v>Recurrente</x:v>
      </x:c>
      <x:c r="F2535" s="13" t="n">
        <x:v>506.8</x:v>
      </x:c>
      <x:c r="G2535" s="13" t="n">
        <x:v>0</x:v>
      </x:c>
      <x:c r="H2535" s="13" t="n">
        <x:f>F2535-G2535</x:f>
        <x:v>506.8</x:v>
      </x:c>
      <x:c r="I2535" s="13" t="n">
        <x:f>IF(C2535=0,"n.a.",F2535/C2535)</x:f>
        <x:v>253.4</x:v>
      </x:c>
      <x:c r="J2535" s="3"/>
      <x:c r="K2535" s="3"/>
      <x:c r="L2535" s="3"/>
    </x:row>
    <x:row r="2536" ht="22" customHeight="1">
      <x:c r="A2536" s="3"/>
      <x:c r="B2536" s="3" t="str">
        <x:v>17480</x:v>
      </x:c>
      <x:c r="C2536" s="3" t="n">
        <x:v>1</x:v>
      </x:c>
      <x:c r="D2536" s="51" t="n">
        <x:v>40809</x:v>
      </x:c>
      <x:c r="E2536" s="3" t="str">
        <x:v>Una compra</x:v>
      </x:c>
      <x:c r="F2536" s="13" t="n">
        <x:v>511.82</x:v>
      </x:c>
      <x:c r="G2536" s="13" t="n">
        <x:v>5.31</x:v>
      </x:c>
      <x:c r="H2536" s="13" t="n">
        <x:f>F2536-G2536</x:f>
        <x:v>506.51</x:v>
      </x:c>
      <x:c r="I2536" s="13" t="n">
        <x:f>IF(C2536=0,"n.a.",F2536/C2536)</x:f>
        <x:v>511.82</x:v>
      </x:c>
      <x:c r="J2536" s="3"/>
      <x:c r="K2536" s="3"/>
      <x:c r="L2536" s="3"/>
    </x:row>
    <x:row r="2537" ht="22" customHeight="1">
      <x:c r="A2537" s="3"/>
      <x:c r="B2537" s="3" t="str">
        <x:v>16614</x:v>
      </x:c>
      <x:c r="C2537" s="3" t="n">
        <x:v>1</x:v>
      </x:c>
      <x:c r="D2537" s="51" t="n">
        <x:v>40704</x:v>
      </x:c>
      <x:c r="E2537" s="3" t="str">
        <x:v>Una compra</x:v>
      </x:c>
      <x:c r="F2537" s="13" t="n">
        <x:v>506.19</x:v>
      </x:c>
      <x:c r="G2537" s="13" t="n">
        <x:v>0</x:v>
      </x:c>
      <x:c r="H2537" s="13" t="n">
        <x:f>F2537-G2537</x:f>
        <x:v>506.19</x:v>
      </x:c>
      <x:c r="I2537" s="13" t="n">
        <x:f>IF(C2537=0,"n.a.",F2537/C2537)</x:f>
        <x:v>506.19</x:v>
      </x:c>
      <x:c r="J2537" s="3"/>
      <x:c r="K2537" s="3"/>
      <x:c r="L2537" s="3"/>
    </x:row>
    <x:row r="2538" ht="22" customHeight="1">
      <x:c r="A2538" s="3"/>
      <x:c r="B2538" s="3" t="str">
        <x:v>14014</x:v>
      </x:c>
      <x:c r="C2538" s="3" t="n">
        <x:v>1</x:v>
      </x:c>
      <x:c r="D2538" s="51" t="n">
        <x:v>40809</x:v>
      </x:c>
      <x:c r="E2538" s="3" t="str">
        <x:v>Una compra</x:v>
      </x:c>
      <x:c r="F2538" s="13" t="n">
        <x:v>505.18</x:v>
      </x:c>
      <x:c r="G2538" s="13" t="n">
        <x:v>0</x:v>
      </x:c>
      <x:c r="H2538" s="13" t="n">
        <x:f>F2538-G2538</x:f>
        <x:v>505.18</x:v>
      </x:c>
      <x:c r="I2538" s="13" t="n">
        <x:f>IF(C2538=0,"n.a.",F2538/C2538)</x:f>
        <x:v>505.18</x:v>
      </x:c>
      <x:c r="J2538" s="3"/>
      <x:c r="K2538" s="3"/>
      <x:c r="L2538" s="3"/>
    </x:row>
    <x:row r="2539" ht="22" customHeight="1">
      <x:c r="A2539" s="3"/>
      <x:c r="B2539" s="3" t="str">
        <x:v>16960</x:v>
      </x:c>
      <x:c r="C2539" s="3" t="n">
        <x:v>3</x:v>
      </x:c>
      <x:c r="D2539" s="51" t="n">
        <x:v>40848</x:v>
      </x:c>
      <x:c r="E2539" s="3" t="str">
        <x:v>Recurrente</x:v>
      </x:c>
      <x:c r="F2539" s="13" t="n">
        <x:v>505.1</x:v>
      </x:c>
      <x:c r="G2539" s="13" t="n">
        <x:v>0</x:v>
      </x:c>
      <x:c r="H2539" s="13" t="n">
        <x:f>F2539-G2539</x:f>
        <x:v>505.1</x:v>
      </x:c>
      <x:c r="I2539" s="13" t="n">
        <x:f>IF(C2539=0,"n.a.",F2539/C2539)</x:f>
        <x:v>168.36666666666667</x:v>
      </x:c>
      <x:c r="J2539" s="3"/>
      <x:c r="K2539" s="3"/>
      <x:c r="L2539" s="3"/>
    </x:row>
    <x:row r="2540" ht="22" customHeight="1">
      <x:c r="A2540" s="3"/>
      <x:c r="B2540" s="3" t="str">
        <x:v>12390</x:v>
      </x:c>
      <x:c r="C2540" s="3" t="n">
        <x:v>1</x:v>
      </x:c>
      <x:c r="D2540" s="51" t="n">
        <x:v>40807</x:v>
      </x:c>
      <x:c r="E2540" s="3" t="str">
        <x:v>Una compra</x:v>
      </x:c>
      <x:c r="F2540" s="13" t="n">
        <x:v>504.84</x:v>
      </x:c>
      <x:c r="G2540" s="13" t="n">
        <x:v>0</x:v>
      </x:c>
      <x:c r="H2540" s="13" t="n">
        <x:f>F2540-G2540</x:f>
        <x:v>504.84</x:v>
      </x:c>
      <x:c r="I2540" s="13" t="n">
        <x:f>IF(C2540=0,"n.a.",F2540/C2540)</x:f>
        <x:v>504.84</x:v>
      </x:c>
      <x:c r="J2540" s="3"/>
      <x:c r="K2540" s="3"/>
      <x:c r="L2540" s="3"/>
    </x:row>
    <x:row r="2541" ht="22" customHeight="1">
      <x:c r="A2541" s="3"/>
      <x:c r="B2541" s="3" t="str">
        <x:v>15469</x:v>
      </x:c>
      <x:c r="C2541" s="3" t="n">
        <x:v>2</x:v>
      </x:c>
      <x:c r="D2541" s="51" t="n">
        <x:v>40836</x:v>
      </x:c>
      <x:c r="E2541" s="3" t="str">
        <x:v>Recurrente</x:v>
      </x:c>
      <x:c r="F2541" s="13" t="n">
        <x:v>538.55</x:v>
      </x:c>
      <x:c r="G2541" s="13" t="n">
        <x:v>34.05</x:v>
      </x:c>
      <x:c r="H2541" s="13" t="n">
        <x:f>F2541-G2541</x:f>
        <x:v>504.49999999999994</x:v>
      </x:c>
      <x:c r="I2541" s="13" t="n">
        <x:f>IF(C2541=0,"n.a.",F2541/C2541)</x:f>
        <x:v>269.275</x:v>
      </x:c>
      <x:c r="J2541" s="3"/>
      <x:c r="K2541" s="3"/>
      <x:c r="L2541" s="3"/>
    </x:row>
    <x:row r="2542" ht="22" customHeight="1">
      <x:c r="A2542" s="3"/>
      <x:c r="B2542" s="3" t="str">
        <x:v>12863</x:v>
      </x:c>
      <x:c r="C2542" s="3" t="n">
        <x:v>1</x:v>
      </x:c>
      <x:c r="D2542" s="51" t="n">
        <x:v>40834</x:v>
      </x:c>
      <x:c r="E2542" s="3" t="str">
        <x:v>Una compra</x:v>
      </x:c>
      <x:c r="F2542" s="13" t="n">
        <x:v>521.2</x:v>
      </x:c>
      <x:c r="G2542" s="13" t="n">
        <x:v>17</x:v>
      </x:c>
      <x:c r="H2542" s="13" t="n">
        <x:f>F2542-G2542</x:f>
        <x:v>504.20000000000005</x:v>
      </x:c>
      <x:c r="I2542" s="13" t="n">
        <x:f>IF(C2542=0,"n.a.",F2542/C2542)</x:f>
        <x:v>521.2</x:v>
      </x:c>
      <x:c r="J2542" s="3"/>
      <x:c r="K2542" s="3"/>
      <x:c r="L2542" s="3"/>
    </x:row>
    <x:row r="2543" ht="22" customHeight="1">
      <x:c r="A2543" s="3"/>
      <x:c r="B2543" s="3" t="str">
        <x:v>12991</x:v>
      </x:c>
      <x:c r="C2543" s="3" t="n">
        <x:v>2</x:v>
      </x:c>
      <x:c r="D2543" s="51" t="n">
        <x:v>40863</x:v>
      </x:c>
      <x:c r="E2543" s="3" t="str">
        <x:v>Recurrente</x:v>
      </x:c>
      <x:c r="F2543" s="13" t="n">
        <x:v>503.76</x:v>
      </x:c>
      <x:c r="G2543" s="13" t="n">
        <x:v>0</x:v>
      </x:c>
      <x:c r="H2543" s="13" t="n">
        <x:f>F2543-G2543</x:f>
        <x:v>503.76</x:v>
      </x:c>
      <x:c r="I2543" s="13" t="n">
        <x:f>IF(C2543=0,"n.a.",F2543/C2543)</x:f>
        <x:v>251.88</x:v>
      </x:c>
      <x:c r="J2543" s="3"/>
      <x:c r="K2543" s="3"/>
      <x:c r="L2543" s="3"/>
    </x:row>
    <x:row r="2544" ht="22" customHeight="1">
      <x:c r="A2544" s="3"/>
      <x:c r="B2544" s="3" t="str">
        <x:v>17630</x:v>
      </x:c>
      <x:c r="C2544" s="3" t="n">
        <x:v>2</x:v>
      </x:c>
      <x:c r="D2544" s="51" t="n">
        <x:v>40717</x:v>
      </x:c>
      <x:c r="E2544" s="3" t="str">
        <x:v>Recurrente</x:v>
      </x:c>
      <x:c r="F2544" s="13" t="n">
        <x:v>503.6</x:v>
      </x:c>
      <x:c r="G2544" s="13" t="n">
        <x:v>0</x:v>
      </x:c>
      <x:c r="H2544" s="13" t="n">
        <x:f>F2544-G2544</x:f>
        <x:v>503.6</x:v>
      </x:c>
      <x:c r="I2544" s="13" t="n">
        <x:f>IF(C2544=0,"n.a.",F2544/C2544)</x:f>
        <x:v>251.8</x:v>
      </x:c>
      <x:c r="J2544" s="3"/>
      <x:c r="K2544" s="3"/>
      <x:c r="L2544" s="3"/>
    </x:row>
    <x:row r="2545" ht="22" customHeight="1">
      <x:c r="A2545" s="3"/>
      <x:c r="B2545" s="3" t="str">
        <x:v>13865</x:v>
      </x:c>
      <x:c r="C2545" s="3" t="n">
        <x:v>4</x:v>
      </x:c>
      <x:c r="D2545" s="51" t="n">
        <x:v>40828</x:v>
      </x:c>
      <x:c r="E2545" s="3" t="str">
        <x:v>Recurrente</x:v>
      </x:c>
      <x:c r="F2545" s="13" t="n">
        <x:v>501.56</x:v>
      </x:c>
      <x:c r="G2545" s="13" t="n">
        <x:v>0</x:v>
      </x:c>
      <x:c r="H2545" s="13" t="n">
        <x:f>F2545-G2545</x:f>
        <x:v>501.56</x:v>
      </x:c>
      <x:c r="I2545" s="13" t="n">
        <x:f>IF(C2545=0,"n.a.",F2545/C2545)</x:f>
        <x:v>125.39</x:v>
      </x:c>
      <x:c r="J2545" s="3"/>
      <x:c r="K2545" s="3"/>
      <x:c r="L2545" s="3"/>
    </x:row>
    <x:row r="2546" ht="22" customHeight="1">
      <x:c r="A2546" s="3"/>
      <x:c r="B2546" s="3" t="str">
        <x:v>13247</x:v>
      </x:c>
      <x:c r="C2546" s="3" t="n">
        <x:v>4</x:v>
      </x:c>
      <x:c r="D2546" s="51" t="n">
        <x:v>40869</x:v>
      </x:c>
      <x:c r="E2546" s="3" t="str">
        <x:v>Recurrente</x:v>
      </x:c>
      <x:c r="F2546" s="13" t="n">
        <x:v>501.12</x:v>
      </x:c>
      <x:c r="G2546" s="13" t="n">
        <x:v>0</x:v>
      </x:c>
      <x:c r="H2546" s="13" t="n">
        <x:f>F2546-G2546</x:f>
        <x:v>501.12</x:v>
      </x:c>
      <x:c r="I2546" s="13" t="n">
        <x:f>IF(C2546=0,"n.a.",F2546/C2546)</x:f>
        <x:v>125.28</x:v>
      </x:c>
      <x:c r="J2546" s="3"/>
      <x:c r="K2546" s="3"/>
      <x:c r="L2546" s="3"/>
    </x:row>
    <x:row r="2547" ht="22" customHeight="1">
      <x:c r="A2547" s="3"/>
      <x:c r="B2547" s="3" t="str">
        <x:v>16616</x:v>
      </x:c>
      <x:c r="C2547" s="3" t="n">
        <x:v>2</x:v>
      </x:c>
      <x:c r="D2547" s="51" t="n">
        <x:v>40871</x:v>
      </x:c>
      <x:c r="E2547" s="3" t="str">
        <x:v>Recurrente</x:v>
      </x:c>
      <x:c r="F2547" s="13" t="n">
        <x:v>500.42</x:v>
      </x:c>
      <x:c r="G2547" s="13" t="n">
        <x:v>0</x:v>
      </x:c>
      <x:c r="H2547" s="13" t="n">
        <x:f>F2547-G2547</x:f>
        <x:v>500.42</x:v>
      </x:c>
      <x:c r="I2547" s="13" t="n">
        <x:f>IF(C2547=0,"n.a.",F2547/C2547)</x:f>
        <x:v>250.21</x:v>
      </x:c>
      <x:c r="J2547" s="3"/>
      <x:c r="K2547" s="3"/>
      <x:c r="L2547" s="3"/>
    </x:row>
    <x:row r="2548" ht="22" customHeight="1">
      <x:c r="A2548" s="3"/>
      <x:c r="B2548" s="3" t="str">
        <x:v>12559</x:v>
      </x:c>
      <x:c r="C2548" s="3" t="n">
        <x:v>2</x:v>
      </x:c>
      <x:c r="D2548" s="51" t="n">
        <x:v>40576</x:v>
      </x:c>
      <x:c r="E2548" s="3" t="str">
        <x:v>Recurrente</x:v>
      </x:c>
      <x:c r="F2548" s="13" t="n">
        <x:v>525.71</x:v>
      </x:c>
      <x:c r="G2548" s="13" t="n">
        <x:v>25.5</x:v>
      </x:c>
      <x:c r="H2548" s="13" t="n">
        <x:f>F2548-G2548</x:f>
        <x:v>500.21000000000004</x:v>
      </x:c>
      <x:c r="I2548" s="13" t="n">
        <x:f>IF(C2548=0,"n.a.",F2548/C2548)</x:f>
        <x:v>262.855</x:v>
      </x:c>
      <x:c r="J2548" s="3"/>
      <x:c r="K2548" s="3"/>
      <x:c r="L2548" s="3"/>
    </x:row>
    <x:row r="2549" ht="22" customHeight="1">
      <x:c r="A2549" s="3"/>
      <x:c r="B2549" s="3" t="str">
        <x:v>15389</x:v>
      </x:c>
      <x:c r="C2549" s="3" t="n">
        <x:v>1</x:v>
      </x:c>
      <x:c r="D2549" s="51" t="n">
        <x:v>40714</x:v>
      </x:c>
      <x:c r="E2549" s="3" t="str">
        <x:v>Una compra</x:v>
      </x:c>
      <x:c r="F2549" s="13" t="n">
        <x:v>500</x:v>
      </x:c>
      <x:c r="G2549" s="13" t="n">
        <x:v>0</x:v>
      </x:c>
      <x:c r="H2549" s="13" t="n">
        <x:f>F2549-G2549</x:f>
        <x:v>500</x:v>
      </x:c>
      <x:c r="I2549" s="13" t="n">
        <x:f>IF(C2549=0,"n.a.",F2549/C2549)</x:f>
        <x:v>500</x:v>
      </x:c>
      <x:c r="J2549" s="3"/>
      <x:c r="K2549" s="3"/>
      <x:c r="L2549" s="3"/>
    </x:row>
    <x:row r="2550" ht="22" customHeight="1">
      <x:c r="A2550" s="3"/>
      <x:c r="B2550" s="3" t="str">
        <x:v>14958</x:v>
      </x:c>
      <x:c r="C2550" s="3" t="n">
        <x:v>3</x:v>
      </x:c>
      <x:c r="D2550" s="51" t="n">
        <x:v>40739</x:v>
      </x:c>
      <x:c r="E2550" s="3" t="str">
        <x:v>Recurrente</x:v>
      </x:c>
      <x:c r="F2550" s="13" t="n">
        <x:v>499.68</x:v>
      </x:c>
      <x:c r="G2550" s="13" t="n">
        <x:v>0</x:v>
      </x:c>
      <x:c r="H2550" s="13" t="n">
        <x:f>F2550-G2550</x:f>
        <x:v>499.68</x:v>
      </x:c>
      <x:c r="I2550" s="13" t="n">
        <x:f>IF(C2550=0,"n.a.",F2550/C2550)</x:f>
        <x:v>166.56</x:v>
      </x:c>
      <x:c r="J2550" s="3"/>
      <x:c r="K2550" s="3"/>
      <x:c r="L2550" s="3"/>
    </x:row>
    <x:row r="2551" ht="22" customHeight="1">
      <x:c r="A2551" s="3"/>
      <x:c r="B2551" s="3" t="str">
        <x:v>14077</x:v>
      </x:c>
      <x:c r="C2551" s="3" t="n">
        <x:v>5</x:v>
      </x:c>
      <x:c r="D2551" s="51" t="n">
        <x:v>40846</x:v>
      </x:c>
      <x:c r="E2551" s="3" t="str">
        <x:v>Recurrente</x:v>
      </x:c>
      <x:c r="F2551" s="13" t="n">
        <x:v>499.42</x:v>
      </x:c>
      <x:c r="G2551" s="13" t="n">
        <x:v>0</x:v>
      </x:c>
      <x:c r="H2551" s="13" t="n">
        <x:f>F2551-G2551</x:f>
        <x:v>499.42</x:v>
      </x:c>
      <x:c r="I2551" s="13" t="n">
        <x:f>IF(C2551=0,"n.a.",F2551/C2551)</x:f>
        <x:v>99.884</x:v>
      </x:c>
      <x:c r="J2551" s="3"/>
      <x:c r="K2551" s="3"/>
      <x:c r="L2551" s="3"/>
    </x:row>
    <x:row r="2552" ht="22" customHeight="1">
      <x:c r="A2552" s="3"/>
      <x:c r="B2552" s="3" t="str">
        <x:v>15193</x:v>
      </x:c>
      <x:c r="C2552" s="3" t="n">
        <x:v>1</x:v>
      </x:c>
      <x:c r="D2552" s="51" t="n">
        <x:v>40826</x:v>
      </x:c>
      <x:c r="E2552" s="3" t="str">
        <x:v>Una compra</x:v>
      </x:c>
      <x:c r="F2552" s="13" t="n">
        <x:v>499.32</x:v>
      </x:c>
      <x:c r="G2552" s="13" t="n">
        <x:v>0</x:v>
      </x:c>
      <x:c r="H2552" s="13" t="n">
        <x:f>F2552-G2552</x:f>
        <x:v>499.32</x:v>
      </x:c>
      <x:c r="I2552" s="13" t="n">
        <x:f>IF(C2552=0,"n.a.",F2552/C2552)</x:f>
        <x:v>499.32</x:v>
      </x:c>
      <x:c r="J2552" s="3"/>
      <x:c r="K2552" s="3"/>
      <x:c r="L2552" s="3"/>
    </x:row>
    <x:row r="2553" ht="22" customHeight="1">
      <x:c r="A2553" s="3"/>
      <x:c r="B2553" s="3" t="str">
        <x:v>12866</x:v>
      </x:c>
      <x:c r="C2553" s="3" t="n">
        <x:v>1</x:v>
      </x:c>
      <x:c r="D2553" s="51" t="n">
        <x:v>40603</x:v>
      </x:c>
      <x:c r="E2553" s="3" t="str">
        <x:v>Una compra</x:v>
      </x:c>
      <x:c r="F2553" s="13" t="n">
        <x:v>499.12</x:v>
      </x:c>
      <x:c r="G2553" s="13" t="n">
        <x:v>0</x:v>
      </x:c>
      <x:c r="H2553" s="13" t="n">
        <x:f>F2553-G2553</x:f>
        <x:v>499.12</x:v>
      </x:c>
      <x:c r="I2553" s="13" t="n">
        <x:f>IF(C2553=0,"n.a.",F2553/C2553)</x:f>
        <x:v>499.12</x:v>
      </x:c>
      <x:c r="J2553" s="3"/>
      <x:c r="K2553" s="3"/>
      <x:c r="L2553" s="3"/>
    </x:row>
    <x:row r="2554" ht="22" customHeight="1">
      <x:c r="A2554" s="3"/>
      <x:c r="B2554" s="3" t="str">
        <x:v>14681</x:v>
      </x:c>
      <x:c r="C2554" s="3" t="n">
        <x:v>3</x:v>
      </x:c>
      <x:c r="D2554" s="51" t="n">
        <x:v>40815</x:v>
      </x:c>
      <x:c r="E2554" s="3" t="str">
        <x:v>Recurrente</x:v>
      </x:c>
      <x:c r="F2554" s="13" t="n">
        <x:v>498.95</x:v>
      </x:c>
      <x:c r="G2554" s="13" t="n">
        <x:v>0</x:v>
      </x:c>
      <x:c r="H2554" s="13" t="n">
        <x:f>F2554-G2554</x:f>
        <x:v>498.95</x:v>
      </x:c>
      <x:c r="I2554" s="13" t="n">
        <x:f>IF(C2554=0,"n.a.",F2554/C2554)</x:f>
        <x:v>166.31666666666666</x:v>
      </x:c>
      <x:c r="J2554" s="3"/>
      <x:c r="K2554" s="3"/>
      <x:c r="L2554" s="3"/>
    </x:row>
    <x:row r="2555" ht="22" customHeight="1">
      <x:c r="A2555" s="3"/>
      <x:c r="B2555" s="3" t="str">
        <x:v>15142</x:v>
      </x:c>
      <x:c r="C2555" s="3" t="n">
        <x:v>1</x:v>
      </x:c>
      <x:c r="D2555" s="51" t="n">
        <x:v>40840</x:v>
      </x:c>
      <x:c r="E2555" s="3" t="str">
        <x:v>Una compra</x:v>
      </x:c>
      <x:c r="F2555" s="13" t="n">
        <x:v>498.74</x:v>
      </x:c>
      <x:c r="G2555" s="13" t="n">
        <x:v>0</x:v>
      </x:c>
      <x:c r="H2555" s="13" t="n">
        <x:f>F2555-G2555</x:f>
        <x:v>498.74</x:v>
      </x:c>
      <x:c r="I2555" s="13" t="n">
        <x:f>IF(C2555=0,"n.a.",F2555/C2555)</x:f>
        <x:v>498.74</x:v>
      </x:c>
      <x:c r="J2555" s="3"/>
      <x:c r="K2555" s="3"/>
      <x:c r="L2555" s="3"/>
    </x:row>
    <x:row r="2556" ht="22" customHeight="1">
      <x:c r="A2556" s="3"/>
      <x:c r="B2556" s="3" t="str">
        <x:v>13493</x:v>
      </x:c>
      <x:c r="C2556" s="3" t="n">
        <x:v>2</x:v>
      </x:c>
      <x:c r="D2556" s="51" t="n">
        <x:v>40611</x:v>
      </x:c>
      <x:c r="E2556" s="3" t="str">
        <x:v>Recurrente</x:v>
      </x:c>
      <x:c r="F2556" s="13" t="n">
        <x:v>498.63</x:v>
      </x:c>
      <x:c r="G2556" s="13" t="n">
        <x:v>0</x:v>
      </x:c>
      <x:c r="H2556" s="13" t="n">
        <x:f>F2556-G2556</x:f>
        <x:v>498.63</x:v>
      </x:c>
      <x:c r="I2556" s="13" t="n">
        <x:f>IF(C2556=0,"n.a.",F2556/C2556)</x:f>
        <x:v>249.315</x:v>
      </x:c>
      <x:c r="J2556" s="3"/>
      <x:c r="K2556" s="3"/>
      <x:c r="L2556" s="3"/>
    </x:row>
    <x:row r="2557" ht="22" customHeight="1">
      <x:c r="A2557" s="3"/>
      <x:c r="B2557" s="3" t="str">
        <x:v>17298</x:v>
      </x:c>
      <x:c r="C2557" s="3" t="n">
        <x:v>2</x:v>
      </x:c>
      <x:c r="D2557" s="51" t="n">
        <x:v>40785</x:v>
      </x:c>
      <x:c r="E2557" s="3" t="str">
        <x:v>Recurrente</x:v>
      </x:c>
      <x:c r="F2557" s="13" t="n">
        <x:v>498.42</x:v>
      </x:c>
      <x:c r="G2557" s="13" t="n">
        <x:v>0</x:v>
      </x:c>
      <x:c r="H2557" s="13" t="n">
        <x:f>F2557-G2557</x:f>
        <x:v>498.42</x:v>
      </x:c>
      <x:c r="I2557" s="13" t="n">
        <x:f>IF(C2557=0,"n.a.",F2557/C2557)</x:f>
        <x:v>249.21</x:v>
      </x:c>
      <x:c r="J2557" s="3"/>
      <x:c r="K2557" s="3"/>
      <x:c r="L2557" s="3"/>
    </x:row>
    <x:row r="2558" ht="22" customHeight="1">
      <x:c r="A2558" s="3"/>
      <x:c r="B2558" s="3" t="str">
        <x:v>16820</x:v>
      </x:c>
      <x:c r="C2558" s="3" t="n">
        <x:v>1</x:v>
      </x:c>
      <x:c r="D2558" s="51" t="n">
        <x:v>40791</x:v>
      </x:c>
      <x:c r="E2558" s="3" t="str">
        <x:v>Una compra</x:v>
      </x:c>
      <x:c r="F2558" s="13" t="n">
        <x:v>497.61</x:v>
      </x:c>
      <x:c r="G2558" s="13" t="n">
        <x:v>0</x:v>
      </x:c>
      <x:c r="H2558" s="13" t="n">
        <x:f>F2558-G2558</x:f>
        <x:v>497.61</x:v>
      </x:c>
      <x:c r="I2558" s="13" t="n">
        <x:f>IF(C2558=0,"n.a.",F2558/C2558)</x:f>
        <x:v>497.61</x:v>
      </x:c>
      <x:c r="J2558" s="3"/>
      <x:c r="K2558" s="3"/>
      <x:c r="L2558" s="3"/>
    </x:row>
    <x:row r="2559" ht="22" customHeight="1">
      <x:c r="A2559" s="3"/>
      <x:c r="B2559" s="3" t="str">
        <x:v>17495</x:v>
      </x:c>
      <x:c r="C2559" s="3" t="n">
        <x:v>2</x:v>
      </x:c>
      <x:c r="D2559" s="51" t="n">
        <x:v>40879</x:v>
      </x:c>
      <x:c r="E2559" s="3" t="str">
        <x:v>Recurrente</x:v>
      </x:c>
      <x:c r="F2559" s="13" t="n">
        <x:v>497.56</x:v>
      </x:c>
      <x:c r="G2559" s="13" t="n">
        <x:v>0</x:v>
      </x:c>
      <x:c r="H2559" s="13" t="n">
        <x:f>F2559-G2559</x:f>
        <x:v>497.56</x:v>
      </x:c>
      <x:c r="I2559" s="13" t="n">
        <x:f>IF(C2559=0,"n.a.",F2559/C2559)</x:f>
        <x:v>248.78</x:v>
      </x:c>
      <x:c r="J2559" s="3"/>
      <x:c r="K2559" s="3"/>
      <x:c r="L2559" s="3"/>
    </x:row>
    <x:row r="2560" ht="22" customHeight="1">
      <x:c r="A2560" s="3"/>
      <x:c r="B2560" s="3" t="str">
        <x:v>16368</x:v>
      </x:c>
      <x:c r="C2560" s="3" t="n">
        <x:v>2</x:v>
      </x:c>
      <x:c r="D2560" s="51" t="n">
        <x:v>40884</x:v>
      </x:c>
      <x:c r="E2560" s="3" t="str">
        <x:v>Recurrente</x:v>
      </x:c>
      <x:c r="F2560" s="13" t="n">
        <x:v>497.43</x:v>
      </x:c>
      <x:c r="G2560" s="13" t="n">
        <x:v>0</x:v>
      </x:c>
      <x:c r="H2560" s="13" t="n">
        <x:f>F2560-G2560</x:f>
        <x:v>497.43</x:v>
      </x:c>
      <x:c r="I2560" s="13" t="n">
        <x:f>IF(C2560=0,"n.a.",F2560/C2560)</x:f>
        <x:v>248.715</x:v>
      </x:c>
      <x:c r="J2560" s="3"/>
      <x:c r="K2560" s="3"/>
      <x:c r="L2560" s="3"/>
    </x:row>
    <x:row r="2561" ht="22" customHeight="1">
      <x:c r="A2561" s="3"/>
      <x:c r="B2561" s="3" t="str">
        <x:v>15006</x:v>
      </x:c>
      <x:c r="C2561" s="3" t="n">
        <x:v>1</x:v>
      </x:c>
      <x:c r="D2561" s="51" t="n">
        <x:v>40835</x:v>
      </x:c>
      <x:c r="E2561" s="3" t="str">
        <x:v>Una compra</x:v>
      </x:c>
      <x:c r="F2561" s="13" t="n">
        <x:v>497.14</x:v>
      </x:c>
      <x:c r="G2561" s="13" t="n">
        <x:v>0</x:v>
      </x:c>
      <x:c r="H2561" s="13" t="n">
        <x:f>F2561-G2561</x:f>
        <x:v>497.14</x:v>
      </x:c>
      <x:c r="I2561" s="13" t="n">
        <x:f>IF(C2561=0,"n.a.",F2561/C2561)</x:f>
        <x:v>497.14</x:v>
      </x:c>
      <x:c r="J2561" s="3"/>
      <x:c r="K2561" s="3"/>
      <x:c r="L2561" s="3"/>
    </x:row>
    <x:row r="2562" ht="22" customHeight="1">
      <x:c r="A2562" s="3"/>
      <x:c r="B2562" s="3" t="str">
        <x:v>16892</x:v>
      </x:c>
      <x:c r="C2562" s="3" t="n">
        <x:v>5</x:v>
      </x:c>
      <x:c r="D2562" s="51" t="n">
        <x:v>40885</x:v>
      </x:c>
      <x:c r="E2562" s="3" t="str">
        <x:v>Recurrente</x:v>
      </x:c>
      <x:c r="F2562" s="13" t="n">
        <x:v>525.54</x:v>
      </x:c>
      <x:c r="G2562" s="13" t="n">
        <x:v>28.7</x:v>
      </x:c>
      <x:c r="H2562" s="13" t="n">
        <x:f>F2562-G2562</x:f>
        <x:v>496.84</x:v>
      </x:c>
      <x:c r="I2562" s="13" t="n">
        <x:f>IF(C2562=0,"n.a.",F2562/C2562)</x:f>
        <x:v>105.10799999999999</x:v>
      </x:c>
      <x:c r="J2562" s="3"/>
      <x:c r="K2562" s="3"/>
      <x:c r="L2562" s="3"/>
    </x:row>
    <x:row r="2563" ht="22" customHeight="1">
      <x:c r="A2563" s="3"/>
      <x:c r="B2563" s="3" t="str">
        <x:v>15300</x:v>
      </x:c>
      <x:c r="C2563" s="3" t="n">
        <x:v>1</x:v>
      </x:c>
      <x:c r="D2563" s="51" t="n">
        <x:v>40822</x:v>
      </x:c>
      <x:c r="E2563" s="3" t="str">
        <x:v>Una compra</x:v>
      </x:c>
      <x:c r="F2563" s="13" t="n">
        <x:v>496.44</x:v>
      </x:c>
      <x:c r="G2563" s="13" t="n">
        <x:v>0</x:v>
      </x:c>
      <x:c r="H2563" s="13" t="n">
        <x:f>F2563-G2563</x:f>
        <x:v>496.44</x:v>
      </x:c>
      <x:c r="I2563" s="13" t="n">
        <x:f>IF(C2563=0,"n.a.",F2563/C2563)</x:f>
        <x:v>496.44</x:v>
      </x:c>
      <x:c r="J2563" s="3"/>
      <x:c r="K2563" s="3"/>
      <x:c r="L2563" s="3"/>
    </x:row>
    <x:row r="2564" ht="22" customHeight="1">
      <x:c r="A2564" s="3"/>
      <x:c r="B2564" s="3" t="str">
        <x:v>17053</x:v>
      </x:c>
      <x:c r="C2564" s="3" t="n">
        <x:v>1</x:v>
      </x:c>
      <x:c r="D2564" s="51" t="n">
        <x:v>40756</x:v>
      </x:c>
      <x:c r="E2564" s="3" t="str">
        <x:v>Una compra</x:v>
      </x:c>
      <x:c r="F2564" s="13" t="n">
        <x:v>498.48</x:v>
      </x:c>
      <x:c r="G2564" s="13" t="n">
        <x:v>2.1</x:v>
      </x:c>
      <x:c r="H2564" s="13" t="n">
        <x:f>F2564-G2564</x:f>
        <x:v>496.38</x:v>
      </x:c>
      <x:c r="I2564" s="13" t="n">
        <x:f>IF(C2564=0,"n.a.",F2564/C2564)</x:f>
        <x:v>498.48</x:v>
      </x:c>
      <x:c r="J2564" s="3"/>
      <x:c r="K2564" s="3"/>
      <x:c r="L2564" s="3"/>
    </x:row>
    <x:row r="2565" ht="22" customHeight="1">
      <x:c r="A2565" s="3"/>
      <x:c r="B2565" s="3" t="str">
        <x:v>17374</x:v>
      </x:c>
      <x:c r="C2565" s="3" t="n">
        <x:v>2</x:v>
      </x:c>
      <x:c r="D2565" s="51" t="n">
        <x:v>40668</x:v>
      </x:c>
      <x:c r="E2565" s="3" t="str">
        <x:v>Recurrente</x:v>
      </x:c>
      <x:c r="F2565" s="13" t="n">
        <x:v>495.77</x:v>
      </x:c>
      <x:c r="G2565" s="13" t="n">
        <x:v>0</x:v>
      </x:c>
      <x:c r="H2565" s="13" t="n">
        <x:f>F2565-G2565</x:f>
        <x:v>495.77</x:v>
      </x:c>
      <x:c r="I2565" s="13" t="n">
        <x:f>IF(C2565=0,"n.a.",F2565/C2565)</x:f>
        <x:v>247.885</x:v>
      </x:c>
      <x:c r="J2565" s="3"/>
      <x:c r="K2565" s="3"/>
      <x:c r="L2565" s="3"/>
    </x:row>
    <x:row r="2566" ht="22" customHeight="1">
      <x:c r="A2566" s="3"/>
      <x:c r="B2566" s="3" t="str">
        <x:v>16602</x:v>
      </x:c>
      <x:c r="C2566" s="3" t="n">
        <x:v>1</x:v>
      </x:c>
      <x:c r="D2566" s="51" t="n">
        <x:v>40850</x:v>
      </x:c>
      <x:c r="E2566" s="3" t="str">
        <x:v>Una compra</x:v>
      </x:c>
      <x:c r="F2566" s="13" t="n">
        <x:v>528.08</x:v>
      </x:c>
      <x:c r="G2566" s="13" t="n">
        <x:v>33.35</x:v>
      </x:c>
      <x:c r="H2566" s="13" t="n">
        <x:f>F2566-G2566</x:f>
        <x:v>494.73</x:v>
      </x:c>
      <x:c r="I2566" s="13" t="n">
        <x:f>IF(C2566=0,"n.a.",F2566/C2566)</x:f>
        <x:v>528.08</x:v>
      </x:c>
      <x:c r="J2566" s="3"/>
      <x:c r="K2566" s="3"/>
      <x:c r="L2566" s="3"/>
    </x:row>
    <x:row r="2567" ht="22" customHeight="1">
      <x:c r="A2567" s="3"/>
      <x:c r="B2567" s="3" t="str">
        <x:v>15448</x:v>
      </x:c>
      <x:c r="C2567" s="3" t="n">
        <x:v>1</x:v>
      </x:c>
      <x:c r="D2567" s="51" t="n">
        <x:v>40574</x:v>
      </x:c>
      <x:c r="E2567" s="3" t="str">
        <x:v>Una compra</x:v>
      </x:c>
      <x:c r="F2567" s="13" t="n">
        <x:v>494.64</x:v>
      </x:c>
      <x:c r="G2567" s="13" t="n">
        <x:v>0</x:v>
      </x:c>
      <x:c r="H2567" s="13" t="n">
        <x:f>F2567-G2567</x:f>
        <x:v>494.64</x:v>
      </x:c>
      <x:c r="I2567" s="13" t="n">
        <x:f>IF(C2567=0,"n.a.",F2567/C2567)</x:f>
        <x:v>494.64</x:v>
      </x:c>
      <x:c r="J2567" s="3"/>
      <x:c r="K2567" s="3"/>
      <x:c r="L2567" s="3"/>
    </x:row>
    <x:row r="2568" ht="22" customHeight="1">
      <x:c r="A2568" s="3"/>
      <x:c r="B2568" s="3" t="str">
        <x:v>16352</x:v>
      </x:c>
      <x:c r="C2568" s="3" t="n">
        <x:v>2</x:v>
      </x:c>
      <x:c r="D2568" s="51" t="n">
        <x:v>40869</x:v>
      </x:c>
      <x:c r="E2568" s="3" t="str">
        <x:v>Recurrente</x:v>
      </x:c>
      <x:c r="F2568" s="13" t="n">
        <x:v>494.44</x:v>
      </x:c>
      <x:c r="G2568" s="13" t="n">
        <x:v>0</x:v>
      </x:c>
      <x:c r="H2568" s="13" t="n">
        <x:f>F2568-G2568</x:f>
        <x:v>494.44</x:v>
      </x:c>
      <x:c r="I2568" s="13" t="n">
        <x:f>IF(C2568=0,"n.a.",F2568/C2568)</x:f>
        <x:v>247.22</x:v>
      </x:c>
      <x:c r="J2568" s="3"/>
      <x:c r="K2568" s="3"/>
      <x:c r="L2568" s="3"/>
    </x:row>
    <x:row r="2569" ht="22" customHeight="1">
      <x:c r="A2569" s="3"/>
      <x:c r="B2569" s="3" t="str">
        <x:v>17333</x:v>
      </x:c>
      <x:c r="C2569" s="3" t="n">
        <x:v>1</x:v>
      </x:c>
      <x:c r="D2569" s="51" t="n">
        <x:v>40801</x:v>
      </x:c>
      <x:c r="E2569" s="3" t="str">
        <x:v>Una compra</x:v>
      </x:c>
      <x:c r="F2569" s="13" t="n">
        <x:v>494.25</x:v>
      </x:c>
      <x:c r="G2569" s="13" t="n">
        <x:v>0</x:v>
      </x:c>
      <x:c r="H2569" s="13" t="n">
        <x:f>F2569-G2569</x:f>
        <x:v>494.25</x:v>
      </x:c>
      <x:c r="I2569" s="13" t="n">
        <x:f>IF(C2569=0,"n.a.",F2569/C2569)</x:f>
        <x:v>494.25</x:v>
      </x:c>
      <x:c r="J2569" s="3"/>
      <x:c r="K2569" s="3"/>
      <x:c r="L2569" s="3"/>
    </x:row>
    <x:row r="2570" ht="22" customHeight="1">
      <x:c r="A2570" s="3"/>
      <x:c r="B2570" s="3" t="str">
        <x:v>12763</x:v>
      </x:c>
      <x:c r="C2570" s="3" t="n">
        <x:v>2</x:v>
      </x:c>
      <x:c r="D2570" s="51" t="n">
        <x:v>40748</x:v>
      </x:c>
      <x:c r="E2570" s="3" t="str">
        <x:v>Recurrente</x:v>
      </x:c>
      <x:c r="F2570" s="13" t="n">
        <x:v>494.08</x:v>
      </x:c>
      <x:c r="G2570" s="13" t="n">
        <x:v>0</x:v>
      </x:c>
      <x:c r="H2570" s="13" t="n">
        <x:f>F2570-G2570</x:f>
        <x:v>494.08</x:v>
      </x:c>
      <x:c r="I2570" s="13" t="n">
        <x:f>IF(C2570=0,"n.a.",F2570/C2570)</x:f>
        <x:v>247.04</x:v>
      </x:c>
      <x:c r="J2570" s="3"/>
      <x:c r="K2570" s="3"/>
      <x:c r="L2570" s="3"/>
    </x:row>
    <x:row r="2571" ht="22" customHeight="1">
      <x:c r="A2571" s="3"/>
      <x:c r="B2571" s="3" t="str">
        <x:v>16955</x:v>
      </x:c>
      <x:c r="C2571" s="3" t="n">
        <x:v>4</x:v>
      </x:c>
      <x:c r="D2571" s="51" t="n">
        <x:v>40702</x:v>
      </x:c>
      <x:c r="E2571" s="3" t="str">
        <x:v>Recurrente</x:v>
      </x:c>
      <x:c r="F2571" s="13" t="n">
        <x:v>518.67</x:v>
      </x:c>
      <x:c r="G2571" s="13" t="n">
        <x:v>25</x:v>
      </x:c>
      <x:c r="H2571" s="13" t="n">
        <x:f>F2571-G2571</x:f>
        <x:v>493.66999999999996</x:v>
      </x:c>
      <x:c r="I2571" s="13" t="n">
        <x:f>IF(C2571=0,"n.a.",F2571/C2571)</x:f>
        <x:v>129.6675</x:v>
      </x:c>
      <x:c r="J2571" s="3"/>
      <x:c r="K2571" s="3"/>
      <x:c r="L2571" s="3"/>
    </x:row>
    <x:row r="2572" ht="22" customHeight="1">
      <x:c r="A2572" s="3"/>
      <x:c r="B2572" s="3" t="str">
        <x:v>15882</x:v>
      </x:c>
      <x:c r="C2572" s="3" t="n">
        <x:v>4</x:v>
      </x:c>
      <x:c r="D2572" s="51" t="n">
        <x:v>40688</x:v>
      </x:c>
      <x:c r="E2572" s="3" t="str">
        <x:v>Recurrente</x:v>
      </x:c>
      <x:c r="F2572" s="13" t="n">
        <x:v>514.08</x:v>
      </x:c>
      <x:c r="G2572" s="13" t="n">
        <x:v>21</x:v>
      </x:c>
      <x:c r="H2572" s="13" t="n">
        <x:f>F2572-G2572</x:f>
        <x:v>493.08000000000004</x:v>
      </x:c>
      <x:c r="I2572" s="13" t="n">
        <x:f>IF(C2572=0,"n.a.",F2572/C2572)</x:f>
        <x:v>128.52</x:v>
      </x:c>
      <x:c r="J2572" s="3"/>
      <x:c r="K2572" s="3"/>
      <x:c r="L2572" s="3"/>
    </x:row>
    <x:row r="2573" ht="22" customHeight="1">
      <x:c r="A2573" s="3"/>
      <x:c r="B2573" s="3" t="str">
        <x:v>13176</x:v>
      </x:c>
      <x:c r="C2573" s="3" t="n">
        <x:v>1</x:v>
      </x:c>
      <x:c r="D2573" s="51" t="n">
        <x:v>40840</x:v>
      </x:c>
      <x:c r="E2573" s="3" t="str">
        <x:v>Una compra</x:v>
      </x:c>
      <x:c r="F2573" s="13" t="n">
        <x:v>492.84</x:v>
      </x:c>
      <x:c r="G2573" s="13" t="n">
        <x:v>0</x:v>
      </x:c>
      <x:c r="H2573" s="13" t="n">
        <x:f>F2573-G2573</x:f>
        <x:v>492.84</x:v>
      </x:c>
      <x:c r="I2573" s="13" t="n">
        <x:f>IF(C2573=0,"n.a.",F2573/C2573)</x:f>
        <x:v>492.84</x:v>
      </x:c>
      <x:c r="J2573" s="3"/>
      <x:c r="K2573" s="3"/>
      <x:c r="L2573" s="3"/>
    </x:row>
    <x:row r="2574" ht="22" customHeight="1">
      <x:c r="A2574" s="3"/>
      <x:c r="B2574" s="3" t="str">
        <x:v>14270</x:v>
      </x:c>
      <x:c r="C2574" s="3" t="n">
        <x:v>1</x:v>
      </x:c>
      <x:c r="D2574" s="51" t="n">
        <x:v>40555</x:v>
      </x:c>
      <x:c r="E2574" s="3" t="str">
        <x:v>Una compra</x:v>
      </x:c>
      <x:c r="F2574" s="13" t="n">
        <x:v>492.65</x:v>
      </x:c>
      <x:c r="G2574" s="13" t="n">
        <x:v>0</x:v>
      </x:c>
      <x:c r="H2574" s="13" t="n">
        <x:f>F2574-G2574</x:f>
        <x:v>492.65</x:v>
      </x:c>
      <x:c r="I2574" s="13" t="n">
        <x:f>IF(C2574=0,"n.a.",F2574/C2574)</x:f>
        <x:v>492.65</x:v>
      </x:c>
      <x:c r="J2574" s="3"/>
      <x:c r="K2574" s="3"/>
      <x:c r="L2574" s="3"/>
    </x:row>
    <x:row r="2575" ht="22" customHeight="1">
      <x:c r="A2575" s="3"/>
      <x:c r="B2575" s="3" t="str">
        <x:v>15507</x:v>
      </x:c>
      <x:c r="C2575" s="3" t="n">
        <x:v>1</x:v>
      </x:c>
      <x:c r="D2575" s="51" t="n">
        <x:v>40715</x:v>
      </x:c>
      <x:c r="E2575" s="3" t="str">
        <x:v>Una compra</x:v>
      </x:c>
      <x:c r="F2575" s="13" t="n">
        <x:v>492.36</x:v>
      </x:c>
      <x:c r="G2575" s="13" t="n">
        <x:v>0</x:v>
      </x:c>
      <x:c r="H2575" s="13" t="n">
        <x:f>F2575-G2575</x:f>
        <x:v>492.36</x:v>
      </x:c>
      <x:c r="I2575" s="13" t="n">
        <x:f>IF(C2575=0,"n.a.",F2575/C2575)</x:f>
        <x:v>492.36</x:v>
      </x:c>
      <x:c r="J2575" s="3"/>
      <x:c r="K2575" s="3"/>
      <x:c r="L2575" s="3"/>
    </x:row>
    <x:row r="2576" ht="22" customHeight="1">
      <x:c r="A2576" s="3"/>
      <x:c r="B2576" s="3" t="str">
        <x:v>16488</x:v>
      </x:c>
      <x:c r="C2576" s="3" t="n">
        <x:v>3</x:v>
      </x:c>
      <x:c r="D2576" s="51" t="n">
        <x:v>40853</x:v>
      </x:c>
      <x:c r="E2576" s="3" t="str">
        <x:v>Recurrente</x:v>
      </x:c>
      <x:c r="F2576" s="13" t="n">
        <x:v>498.8</x:v>
      </x:c>
      <x:c r="G2576" s="13" t="n">
        <x:v>6.6</x:v>
      </x:c>
      <x:c r="H2576" s="13" t="n">
        <x:f>F2576-G2576</x:f>
        <x:v>492.2</x:v>
      </x:c>
      <x:c r="I2576" s="13" t="n">
        <x:f>IF(C2576=0,"n.a.",F2576/C2576)</x:f>
        <x:v>166.26666666666668</x:v>
      </x:c>
      <x:c r="J2576" s="3"/>
      <x:c r="K2576" s="3"/>
      <x:c r="L2576" s="3"/>
    </x:row>
    <x:row r="2577" ht="22" customHeight="1">
      <x:c r="A2577" s="3"/>
      <x:c r="B2577" s="3" t="str">
        <x:v>13732</x:v>
      </x:c>
      <x:c r="C2577" s="3" t="n">
        <x:v>1</x:v>
      </x:c>
      <x:c r="D2577" s="51" t="n">
        <x:v>40858</x:v>
      </x:c>
      <x:c r="E2577" s="3" t="str">
        <x:v>Una compra</x:v>
      </x:c>
      <x:c r="F2577" s="13" t="n">
        <x:v>491.86</x:v>
      </x:c>
      <x:c r="G2577" s="13" t="n">
        <x:v>0</x:v>
      </x:c>
      <x:c r="H2577" s="13" t="n">
        <x:f>F2577-G2577</x:f>
        <x:v>491.86</x:v>
      </x:c>
      <x:c r="I2577" s="13" t="n">
        <x:f>IF(C2577=0,"n.a.",F2577/C2577)</x:f>
        <x:v>491.86</x:v>
      </x:c>
      <x:c r="J2577" s="3"/>
      <x:c r="K2577" s="3"/>
      <x:c r="L2577" s="3"/>
    </x:row>
    <x:row r="2578" ht="22" customHeight="1">
      <x:c r="A2578" s="3"/>
      <x:c r="B2578" s="3" t="str">
        <x:v>14236</x:v>
      </x:c>
      <x:c r="C2578" s="3" t="n">
        <x:v>2</x:v>
      </x:c>
      <x:c r="D2578" s="51" t="n">
        <x:v>40806</x:v>
      </x:c>
      <x:c r="E2578" s="3" t="str">
        <x:v>Recurrente</x:v>
      </x:c>
      <x:c r="F2578" s="13" t="n">
        <x:v>490.86</x:v>
      </x:c>
      <x:c r="G2578" s="13" t="n">
        <x:v>0</x:v>
      </x:c>
      <x:c r="H2578" s="13" t="n">
        <x:f>F2578-G2578</x:f>
        <x:v>490.86</x:v>
      </x:c>
      <x:c r="I2578" s="13" t="n">
        <x:f>IF(C2578=0,"n.a.",F2578/C2578)</x:f>
        <x:v>245.43</x:v>
      </x:c>
      <x:c r="J2578" s="3"/>
      <x:c r="K2578" s="3"/>
      <x:c r="L2578" s="3"/>
    </x:row>
    <x:row r="2579" ht="22" customHeight="1">
      <x:c r="A2579" s="3"/>
      <x:c r="B2579" s="3" t="str">
        <x:v>15000</x:v>
      </x:c>
      <x:c r="C2579" s="3" t="n">
        <x:v>1</x:v>
      </x:c>
      <x:c r="D2579" s="51" t="n">
        <x:v>40839</x:v>
      </x:c>
      <x:c r="E2579" s="3" t="str">
        <x:v>Una compra</x:v>
      </x:c>
      <x:c r="F2579" s="13" t="n">
        <x:v>490.52</x:v>
      </x:c>
      <x:c r="G2579" s="13" t="n">
        <x:v>0</x:v>
      </x:c>
      <x:c r="H2579" s="13" t="n">
        <x:f>F2579-G2579</x:f>
        <x:v>490.52</x:v>
      </x:c>
      <x:c r="I2579" s="13" t="n">
        <x:f>IF(C2579=0,"n.a.",F2579/C2579)</x:f>
        <x:v>490.52</x:v>
      </x:c>
      <x:c r="J2579" s="3"/>
      <x:c r="K2579" s="3"/>
      <x:c r="L2579" s="3"/>
    </x:row>
    <x:row r="2580" ht="22" customHeight="1">
      <x:c r="A2580" s="3"/>
      <x:c r="B2580" s="3" t="str">
        <x:v>14416</x:v>
      </x:c>
      <x:c r="C2580" s="3" t="n">
        <x:v>2</x:v>
      </x:c>
      <x:c r="D2580" s="51" t="n">
        <x:v>40864</x:v>
      </x:c>
      <x:c r="E2580" s="3" t="str">
        <x:v>Recurrente</x:v>
      </x:c>
      <x:c r="F2580" s="13" t="n">
        <x:v>490.22</x:v>
      </x:c>
      <x:c r="G2580" s="13" t="n">
        <x:v>0</x:v>
      </x:c>
      <x:c r="H2580" s="13" t="n">
        <x:f>F2580-G2580</x:f>
        <x:v>490.22</x:v>
      </x:c>
      <x:c r="I2580" s="13" t="n">
        <x:f>IF(C2580=0,"n.a.",F2580/C2580)</x:f>
        <x:v>245.11</x:v>
      </x:c>
      <x:c r="J2580" s="3"/>
      <x:c r="K2580" s="3"/>
      <x:c r="L2580" s="3"/>
    </x:row>
    <x:row r="2581" ht="22" customHeight="1">
      <x:c r="A2581" s="3"/>
      <x:c r="B2581" s="3" t="str">
        <x:v>18074</x:v>
      </x:c>
      <x:c r="C2581" s="3" t="n">
        <x:v>1</x:v>
      </x:c>
      <x:c r="D2581" s="51" t="n">
        <x:v>40513</x:v>
      </x:c>
      <x:c r="E2581" s="3" t="str">
        <x:v>Una compra</x:v>
      </x:c>
      <x:c r="F2581" s="13" t="n">
        <x:v>489.6</x:v>
      </x:c>
      <x:c r="G2581" s="13" t="n">
        <x:v>0</x:v>
      </x:c>
      <x:c r="H2581" s="13" t="n">
        <x:f>F2581-G2581</x:f>
        <x:v>489.6</x:v>
      </x:c>
      <x:c r="I2581" s="13" t="n">
        <x:f>IF(C2581=0,"n.a.",F2581/C2581)</x:f>
        <x:v>489.6</x:v>
      </x:c>
      <x:c r="J2581" s="3"/>
      <x:c r="K2581" s="3"/>
      <x:c r="L2581" s="3"/>
    </x:row>
    <x:row r="2582" ht="22" customHeight="1">
      <x:c r="A2582" s="3"/>
      <x:c r="B2582" s="3" t="str">
        <x:v>17361</x:v>
      </x:c>
      <x:c r="C2582" s="3" t="n">
        <x:v>3</x:v>
      </x:c>
      <x:c r="D2582" s="51" t="n">
        <x:v>40837</x:v>
      </x:c>
      <x:c r="E2582" s="3" t="str">
        <x:v>Recurrente</x:v>
      </x:c>
      <x:c r="F2582" s="13" t="n">
        <x:v>488.2</x:v>
      </x:c>
      <x:c r="G2582" s="13" t="n">
        <x:v>0</x:v>
      </x:c>
      <x:c r="H2582" s="13" t="n">
        <x:f>F2582-G2582</x:f>
        <x:v>488.2</x:v>
      </x:c>
      <x:c r="I2582" s="13" t="n">
        <x:f>IF(C2582=0,"n.a.",F2582/C2582)</x:f>
        <x:v>162.73333333333332</x:v>
      </x:c>
      <x:c r="J2582" s="3"/>
      <x:c r="K2582" s="3"/>
      <x:c r="L2582" s="3"/>
    </x:row>
    <x:row r="2583" ht="22" customHeight="1">
      <x:c r="A2583" s="3"/>
      <x:c r="B2583" s="3" t="str">
        <x:v>13984</x:v>
      </x:c>
      <x:c r="C2583" s="3" t="n">
        <x:v>5</x:v>
      </x:c>
      <x:c r="D2583" s="51" t="n">
        <x:v>40860</x:v>
      </x:c>
      <x:c r="E2583" s="3" t="str">
        <x:v>Recurrente</x:v>
      </x:c>
      <x:c r="F2583" s="13" t="n">
        <x:v>920.51</x:v>
      </x:c>
      <x:c r="G2583" s="13" t="n">
        <x:v>432.48</x:v>
      </x:c>
      <x:c r="H2583" s="13" t="n">
        <x:f>F2583-G2583</x:f>
        <x:v>488.03</x:v>
      </x:c>
      <x:c r="I2583" s="13" t="n">
        <x:f>IF(C2583=0,"n.a.",F2583/C2583)</x:f>
        <x:v>184.102</x:v>
      </x:c>
      <x:c r="J2583" s="3"/>
      <x:c r="K2583" s="3"/>
      <x:c r="L2583" s="3"/>
    </x:row>
    <x:row r="2584" ht="22" customHeight="1">
      <x:c r="A2584" s="3"/>
      <x:c r="B2584" s="3" t="str">
        <x:v>14396</x:v>
      </x:c>
      <x:c r="C2584" s="3" t="n">
        <x:v>2</x:v>
      </x:c>
      <x:c r="D2584" s="51" t="n">
        <x:v>40821</x:v>
      </x:c>
      <x:c r="E2584" s="3" t="str">
        <x:v>Recurrente</x:v>
      </x:c>
      <x:c r="F2584" s="13" t="n">
        <x:v>487.99</x:v>
      </x:c>
      <x:c r="G2584" s="13" t="n">
        <x:v>0</x:v>
      </x:c>
      <x:c r="H2584" s="13" t="n">
        <x:f>F2584-G2584</x:f>
        <x:v>487.99</x:v>
      </x:c>
      <x:c r="I2584" s="13" t="n">
        <x:f>IF(C2584=0,"n.a.",F2584/C2584)</x:f>
        <x:v>243.995</x:v>
      </x:c>
      <x:c r="J2584" s="3"/>
      <x:c r="K2584" s="3"/>
      <x:c r="L2584" s="3"/>
    </x:row>
    <x:row r="2585" ht="22" customHeight="1">
      <x:c r="A2585" s="3"/>
      <x:c r="B2585" s="3" t="str">
        <x:v>15165</x:v>
      </x:c>
      <x:c r="C2585" s="3" t="n">
        <x:v>1</x:v>
      </x:c>
      <x:c r="D2585" s="51" t="n">
        <x:v>40513</x:v>
      </x:c>
      <x:c r="E2585" s="3" t="str">
        <x:v>Una compra</x:v>
      </x:c>
      <x:c r="F2585" s="13" t="n">
        <x:v>487.75</x:v>
      </x:c>
      <x:c r="G2585" s="13" t="n">
        <x:v>0</x:v>
      </x:c>
      <x:c r="H2585" s="13" t="n">
        <x:f>F2585-G2585</x:f>
        <x:v>487.75</x:v>
      </x:c>
      <x:c r="I2585" s="13" t="n">
        <x:f>IF(C2585=0,"n.a.",F2585/C2585)</x:f>
        <x:v>487.75</x:v>
      </x:c>
      <x:c r="J2585" s="3"/>
      <x:c r="K2585" s="3"/>
      <x:c r="L2585" s="3"/>
    </x:row>
    <x:row r="2586" ht="22" customHeight="1">
      <x:c r="A2586" s="3"/>
      <x:c r="B2586" s="3" t="str">
        <x:v>16643</x:v>
      </x:c>
      <x:c r="C2586" s="3" t="n">
        <x:v>1</x:v>
      </x:c>
      <x:c r="D2586" s="51" t="n">
        <x:v>40641</x:v>
      </x:c>
      <x:c r="E2586" s="3" t="str">
        <x:v>Una compra</x:v>
      </x:c>
      <x:c r="F2586" s="13" t="n">
        <x:v>487.51</x:v>
      </x:c>
      <x:c r="G2586" s="13" t="n">
        <x:v>0</x:v>
      </x:c>
      <x:c r="H2586" s="13" t="n">
        <x:f>F2586-G2586</x:f>
        <x:v>487.51</x:v>
      </x:c>
      <x:c r="I2586" s="13" t="n">
        <x:f>IF(C2586=0,"n.a.",F2586/C2586)</x:f>
        <x:v>487.51</x:v>
      </x:c>
      <x:c r="J2586" s="3"/>
      <x:c r="K2586" s="3"/>
      <x:c r="L2586" s="3"/>
    </x:row>
    <x:row r="2587" ht="22" customHeight="1">
      <x:c r="A2587" s="3"/>
      <x:c r="B2587" s="3" t="str">
        <x:v>15081</x:v>
      </x:c>
      <x:c r="C2587" s="3" t="n">
        <x:v>5</x:v>
      </x:c>
      <x:c r="D2587" s="51" t="n">
        <x:v>40864</x:v>
      </x:c>
      <x:c r="E2587" s="3" t="str">
        <x:v>Recurrente</x:v>
      </x:c>
      <x:c r="F2587" s="13" t="n">
        <x:v>504.8</x:v>
      </x:c>
      <x:c r="G2587" s="13" t="n">
        <x:v>17.45</x:v>
      </x:c>
      <x:c r="H2587" s="13" t="n">
        <x:f>F2587-G2587</x:f>
        <x:v>487.35</x:v>
      </x:c>
      <x:c r="I2587" s="13" t="n">
        <x:f>IF(C2587=0,"n.a.",F2587/C2587)</x:f>
        <x:v>100.96000000000001</x:v>
      </x:c>
      <x:c r="J2587" s="3"/>
      <x:c r="K2587" s="3"/>
      <x:c r="L2587" s="3"/>
    </x:row>
    <x:row r="2588" ht="22" customHeight="1">
      <x:c r="A2588" s="3"/>
      <x:c r="B2588" s="3" t="str">
        <x:v>13675</x:v>
      </x:c>
      <x:c r="C2588" s="3" t="n">
        <x:v>2</x:v>
      </x:c>
      <x:c r="D2588" s="51" t="n">
        <x:v>40735</x:v>
      </x:c>
      <x:c r="E2588" s="3" t="str">
        <x:v>Recurrente</x:v>
      </x:c>
      <x:c r="F2588" s="13" t="n">
        <x:v>486.82</x:v>
      </x:c>
      <x:c r="G2588" s="13" t="n">
        <x:v>0</x:v>
      </x:c>
      <x:c r="H2588" s="13" t="n">
        <x:f>F2588-G2588</x:f>
        <x:v>486.82</x:v>
      </x:c>
      <x:c r="I2588" s="13" t="n">
        <x:f>IF(C2588=0,"n.a.",F2588/C2588)</x:f>
        <x:v>243.41</x:v>
      </x:c>
      <x:c r="J2588" s="3"/>
      <x:c r="K2588" s="3"/>
      <x:c r="L2588" s="3"/>
    </x:row>
    <x:row r="2589" ht="22" customHeight="1">
      <x:c r="A2589" s="3"/>
      <x:c r="B2589" s="3" t="str">
        <x:v>17453</x:v>
      </x:c>
      <x:c r="C2589" s="3" t="n">
        <x:v>2</x:v>
      </x:c>
      <x:c r="D2589" s="51" t="n">
        <x:v>40869</x:v>
      </x:c>
      <x:c r="E2589" s="3" t="str">
        <x:v>Recurrente</x:v>
      </x:c>
      <x:c r="F2589" s="13" t="n">
        <x:v>486.72</x:v>
      </x:c>
      <x:c r="G2589" s="13" t="n">
        <x:v>0</x:v>
      </x:c>
      <x:c r="H2589" s="13" t="n">
        <x:f>F2589-G2589</x:f>
        <x:v>486.72</x:v>
      </x:c>
      <x:c r="I2589" s="13" t="n">
        <x:f>IF(C2589=0,"n.a.",F2589/C2589)</x:f>
        <x:v>243.36</x:v>
      </x:c>
      <x:c r="J2589" s="3"/>
      <x:c r="K2589" s="3"/>
      <x:c r="L2589" s="3"/>
    </x:row>
    <x:row r="2590" ht="22" customHeight="1">
      <x:c r="A2590" s="3"/>
      <x:c r="B2590" s="3" t="str">
        <x:v>13153</x:v>
      </x:c>
      <x:c r="C2590" s="3" t="n">
        <x:v>1</x:v>
      </x:c>
      <x:c r="D2590" s="51" t="n">
        <x:v>40881</x:v>
      </x:c>
      <x:c r="E2590" s="3" t="str">
        <x:v>Una compra</x:v>
      </x:c>
      <x:c r="F2590" s="13" t="n">
        <x:v>486.22</x:v>
      </x:c>
      <x:c r="G2590" s="13" t="n">
        <x:v>0</x:v>
      </x:c>
      <x:c r="H2590" s="13" t="n">
        <x:f>F2590-G2590</x:f>
        <x:v>486.22</x:v>
      </x:c>
      <x:c r="I2590" s="13" t="n">
        <x:f>IF(C2590=0,"n.a.",F2590/C2590)</x:f>
        <x:v>486.22</x:v>
      </x:c>
      <x:c r="J2590" s="3"/>
      <x:c r="K2590" s="3"/>
      <x:c r="L2590" s="3"/>
    </x:row>
    <x:row r="2591" ht="22" customHeight="1">
      <x:c r="A2591" s="3"/>
      <x:c r="B2591" s="3" t="str">
        <x:v>17658</x:v>
      </x:c>
      <x:c r="C2591" s="3" t="n">
        <x:v>2</x:v>
      </x:c>
      <x:c r="D2591" s="51" t="n">
        <x:v>40861</x:v>
      </x:c>
      <x:c r="E2591" s="3" t="str">
        <x:v>Recurrente</x:v>
      </x:c>
      <x:c r="F2591" s="13" t="n">
        <x:v>595.42</x:v>
      </x:c>
      <x:c r="G2591" s="13" t="n">
        <x:v>109.54</x:v>
      </x:c>
      <x:c r="H2591" s="13" t="n">
        <x:f>F2591-G2591</x:f>
        <x:v>485.87999999999994</x:v>
      </x:c>
      <x:c r="I2591" s="13" t="n">
        <x:f>IF(C2591=0,"n.a.",F2591/C2591)</x:f>
        <x:v>297.71</x:v>
      </x:c>
      <x:c r="J2591" s="3"/>
      <x:c r="K2591" s="3"/>
      <x:c r="L2591" s="3"/>
    </x:row>
    <x:row r="2592" ht="22" customHeight="1">
      <x:c r="A2592" s="3"/>
      <x:c r="B2592" s="3" t="str">
        <x:v>15287</x:v>
      </x:c>
      <x:c r="C2592" s="3" t="n">
        <x:v>2</x:v>
      </x:c>
      <x:c r="D2592" s="51" t="n">
        <x:v>40864</x:v>
      </x:c>
      <x:c r="E2592" s="3" t="str">
        <x:v>Recurrente</x:v>
      </x:c>
      <x:c r="F2592" s="13" t="n">
        <x:v>486.69</x:v>
      </x:c>
      <x:c r="G2592" s="13" t="n">
        <x:v>1.45</x:v>
      </x:c>
      <x:c r="H2592" s="13" t="n">
        <x:f>F2592-G2592</x:f>
        <x:v>485.24</x:v>
      </x:c>
      <x:c r="I2592" s="13" t="n">
        <x:f>IF(C2592=0,"n.a.",F2592/C2592)</x:f>
        <x:v>243.345</x:v>
      </x:c>
      <x:c r="J2592" s="3"/>
      <x:c r="K2592" s="3"/>
      <x:c r="L2592" s="3"/>
    </x:row>
    <x:row r="2593" ht="22" customHeight="1">
      <x:c r="A2593" s="3"/>
      <x:c r="B2593" s="3" t="str">
        <x:v>13116</x:v>
      </x:c>
      <x:c r="C2593" s="3" t="n">
        <x:v>1</x:v>
      </x:c>
      <x:c r="D2593" s="51" t="n">
        <x:v>40748</x:v>
      </x:c>
      <x:c r="E2593" s="3" t="str">
        <x:v>Una compra</x:v>
      </x:c>
      <x:c r="F2593" s="13" t="n">
        <x:v>501.14</x:v>
      </x:c>
      <x:c r="G2593" s="13" t="n">
        <x:v>15.95</x:v>
      </x:c>
      <x:c r="H2593" s="13" t="n">
        <x:f>F2593-G2593</x:f>
        <x:v>485.19</x:v>
      </x:c>
      <x:c r="I2593" s="13" t="n">
        <x:f>IF(C2593=0,"n.a.",F2593/C2593)</x:f>
        <x:v>501.14</x:v>
      </x:c>
      <x:c r="J2593" s="3"/>
      <x:c r="K2593" s="3"/>
      <x:c r="L2593" s="3"/>
    </x:row>
    <x:row r="2594" ht="22" customHeight="1">
      <x:c r="A2594" s="3"/>
      <x:c r="B2594" s="3" t="str">
        <x:v>13812</x:v>
      </x:c>
      <x:c r="C2594" s="3" t="n">
        <x:v>3</x:v>
      </x:c>
      <x:c r="D2594" s="51" t="n">
        <x:v>40844</x:v>
      </x:c>
      <x:c r="E2594" s="3" t="str">
        <x:v>Recurrente</x:v>
      </x:c>
      <x:c r="F2594" s="13" t="n">
        <x:v>485</x:v>
      </x:c>
      <x:c r="G2594" s="13" t="n">
        <x:v>0</x:v>
      </x:c>
      <x:c r="H2594" s="13" t="n">
        <x:f>F2594-G2594</x:f>
        <x:v>485</x:v>
      </x:c>
      <x:c r="I2594" s="13" t="n">
        <x:f>IF(C2594=0,"n.a.",F2594/C2594)</x:f>
        <x:v>161.66666666666666</x:v>
      </x:c>
      <x:c r="J2594" s="3"/>
      <x:c r="K2594" s="3"/>
      <x:c r="L2594" s="3"/>
    </x:row>
    <x:row r="2595" ht="22" customHeight="1">
      <x:c r="A2595" s="3"/>
      <x:c r="B2595" s="3" t="str">
        <x:v>16999</x:v>
      </x:c>
      <x:c r="C2595" s="3" t="n">
        <x:v>2</x:v>
      </x:c>
      <x:c r="D2595" s="51" t="n">
        <x:v>40863</x:v>
      </x:c>
      <x:c r="E2595" s="3" t="str">
        <x:v>Recurrente</x:v>
      </x:c>
      <x:c r="F2595" s="13" t="n">
        <x:v>484.82</x:v>
      </x:c>
      <x:c r="G2595" s="13" t="n">
        <x:v>0</x:v>
      </x:c>
      <x:c r="H2595" s="13" t="n">
        <x:f>F2595-G2595</x:f>
        <x:v>484.82</x:v>
      </x:c>
      <x:c r="I2595" s="13" t="n">
        <x:f>IF(C2595=0,"n.a.",F2595/C2595)</x:f>
        <x:v>242.41</x:v>
      </x:c>
      <x:c r="J2595" s="3"/>
      <x:c r="K2595" s="3"/>
      <x:c r="L2595" s="3"/>
    </x:row>
    <x:row r="2596" ht="22" customHeight="1">
      <x:c r="A2596" s="3"/>
      <x:c r="B2596" s="3" t="str">
        <x:v>16504</x:v>
      </x:c>
      <x:c r="C2596" s="3" t="n">
        <x:v>1</x:v>
      </x:c>
      <x:c r="D2596" s="51" t="n">
        <x:v>40861</x:v>
      </x:c>
      <x:c r="E2596" s="3" t="str">
        <x:v>Una compra</x:v>
      </x:c>
      <x:c r="F2596" s="13" t="n">
        <x:v>484.38</x:v>
      </x:c>
      <x:c r="G2596" s="13" t="n">
        <x:v>0</x:v>
      </x:c>
      <x:c r="H2596" s="13" t="n">
        <x:f>F2596-G2596</x:f>
        <x:v>484.38</x:v>
      </x:c>
      <x:c r="I2596" s="13" t="n">
        <x:f>IF(C2596=0,"n.a.",F2596/C2596)</x:f>
        <x:v>484.38</x:v>
      </x:c>
      <x:c r="J2596" s="3"/>
      <x:c r="K2596" s="3"/>
      <x:c r="L2596" s="3"/>
    </x:row>
    <x:row r="2597" ht="22" customHeight="1">
      <x:c r="A2597" s="3"/>
      <x:c r="B2597" s="3" t="str">
        <x:v>14130</x:v>
      </x:c>
      <x:c r="C2597" s="3" t="n">
        <x:v>1</x:v>
      </x:c>
      <x:c r="D2597" s="51" t="n">
        <x:v>40567</x:v>
      </x:c>
      <x:c r="E2597" s="3" t="str">
        <x:v>Una compra</x:v>
      </x:c>
      <x:c r="F2597" s="13" t="n">
        <x:v>483.86</x:v>
      </x:c>
      <x:c r="G2597" s="13" t="n">
        <x:v>0</x:v>
      </x:c>
      <x:c r="H2597" s="13" t="n">
        <x:f>F2597-G2597</x:f>
        <x:v>483.86</x:v>
      </x:c>
      <x:c r="I2597" s="13" t="n">
        <x:f>IF(C2597=0,"n.a.",F2597/C2597)</x:f>
        <x:v>483.86</x:v>
      </x:c>
      <x:c r="J2597" s="3"/>
      <x:c r="K2597" s="3"/>
      <x:c r="L2597" s="3"/>
    </x:row>
    <x:row r="2598" ht="22" customHeight="1">
      <x:c r="A2598" s="3"/>
      <x:c r="B2598" s="3" t="str">
        <x:v>13531</x:v>
      </x:c>
      <x:c r="C2598" s="3" t="n">
        <x:v>2</x:v>
      </x:c>
      <x:c r="D2598" s="51" t="n">
        <x:v>40681</x:v>
      </x:c>
      <x:c r="E2598" s="3" t="str">
        <x:v>Recurrente</x:v>
      </x:c>
      <x:c r="F2598" s="13" t="n">
        <x:v>483.8</x:v>
      </x:c>
      <x:c r="G2598" s="13" t="n">
        <x:v>0</x:v>
      </x:c>
      <x:c r="H2598" s="13" t="n">
        <x:f>F2598-G2598</x:f>
        <x:v>483.8</x:v>
      </x:c>
      <x:c r="I2598" s="13" t="n">
        <x:f>IF(C2598=0,"n.a.",F2598/C2598)</x:f>
        <x:v>241.9</x:v>
      </x:c>
      <x:c r="J2598" s="3"/>
      <x:c r="K2598" s="3"/>
      <x:c r="L2598" s="3"/>
    </x:row>
    <x:row r="2599" ht="22" customHeight="1">
      <x:c r="A2599" s="3"/>
      <x:c r="B2599" s="3" t="str">
        <x:v>17555</x:v>
      </x:c>
      <x:c r="C2599" s="3" t="n">
        <x:v>2</x:v>
      </x:c>
      <x:c r="D2599" s="51" t="n">
        <x:v>40867</x:v>
      </x:c>
      <x:c r="E2599" s="3" t="str">
        <x:v>Recurrente</x:v>
      </x:c>
      <x:c r="F2599" s="13" t="n">
        <x:v>483.26</x:v>
      </x:c>
      <x:c r="G2599" s="13" t="n">
        <x:v>0</x:v>
      </x:c>
      <x:c r="H2599" s="13" t="n">
        <x:f>F2599-G2599</x:f>
        <x:v>483.26</x:v>
      </x:c>
      <x:c r="I2599" s="13" t="n">
        <x:f>IF(C2599=0,"n.a.",F2599/C2599)</x:f>
        <x:v>241.63</x:v>
      </x:c>
      <x:c r="J2599" s="3"/>
      <x:c r="K2599" s="3"/>
      <x:c r="L2599" s="3"/>
    </x:row>
    <x:row r="2600" ht="22" customHeight="1">
      <x:c r="A2600" s="3"/>
      <x:c r="B2600" s="3" t="str">
        <x:v>14450</x:v>
      </x:c>
      <x:c r="C2600" s="3" t="n">
        <x:v>3</x:v>
      </x:c>
      <x:c r="D2600" s="51" t="n">
        <x:v>40706</x:v>
      </x:c>
      <x:c r="E2600" s="3" t="str">
        <x:v>Recurrente</x:v>
      </x:c>
      <x:c r="F2600" s="13" t="n">
        <x:v>483.25</x:v>
      </x:c>
      <x:c r="G2600" s="13" t="n">
        <x:v>0</x:v>
      </x:c>
      <x:c r="H2600" s="13" t="n">
        <x:f>F2600-G2600</x:f>
        <x:v>483.25</x:v>
      </x:c>
      <x:c r="I2600" s="13" t="n">
        <x:f>IF(C2600=0,"n.a.",F2600/C2600)</x:f>
        <x:v>161.08333333333334</x:v>
      </x:c>
      <x:c r="J2600" s="3"/>
      <x:c r="K2600" s="3"/>
      <x:c r="L2600" s="3"/>
    </x:row>
    <x:row r="2601" ht="22" customHeight="1">
      <x:c r="A2601" s="3"/>
      <x:c r="B2601" s="3" t="str">
        <x:v>13816</x:v>
      </x:c>
      <x:c r="C2601" s="3" t="n">
        <x:v>2</x:v>
      </x:c>
      <x:c r="D2601" s="51" t="n">
        <x:v>40863</x:v>
      </x:c>
      <x:c r="E2601" s="3" t="str">
        <x:v>Recurrente</x:v>
      </x:c>
      <x:c r="F2601" s="13" t="n">
        <x:v>499.67</x:v>
      </x:c>
      <x:c r="G2601" s="13" t="n">
        <x:v>16.63</x:v>
      </x:c>
      <x:c r="H2601" s="13" t="n">
        <x:f>F2601-G2601</x:f>
        <x:v>483.04</x:v>
      </x:c>
      <x:c r="I2601" s="13" t="n">
        <x:f>IF(C2601=0,"n.a.",F2601/C2601)</x:f>
        <x:v>249.835</x:v>
      </x:c>
      <x:c r="J2601" s="3"/>
      <x:c r="K2601" s="3"/>
      <x:c r="L2601" s="3"/>
    </x:row>
    <x:row r="2602" ht="22" customHeight="1">
      <x:c r="A2602" s="3"/>
      <x:c r="B2602" s="3" t="str">
        <x:v>16603</x:v>
      </x:c>
      <x:c r="C2602" s="3" t="n">
        <x:v>2</x:v>
      </x:c>
      <x:c r="D2602" s="51" t="n">
        <x:v>40812</x:v>
      </x:c>
      <x:c r="E2602" s="3" t="str">
        <x:v>Recurrente</x:v>
      </x:c>
      <x:c r="F2602" s="13" t="n">
        <x:v>482.47</x:v>
      </x:c>
      <x:c r="G2602" s="13" t="n">
        <x:v>0</x:v>
      </x:c>
      <x:c r="H2602" s="13" t="n">
        <x:f>F2602-G2602</x:f>
        <x:v>482.47</x:v>
      </x:c>
      <x:c r="I2602" s="13" t="n">
        <x:f>IF(C2602=0,"n.a.",F2602/C2602)</x:f>
        <x:v>241.235</x:v>
      </x:c>
      <x:c r="J2602" s="3"/>
      <x:c r="K2602" s="3"/>
      <x:c r="L2602" s="3"/>
    </x:row>
    <x:row r="2603" ht="22" customHeight="1">
      <x:c r="A2603" s="3"/>
      <x:c r="B2603" s="3" t="str">
        <x:v>16693</x:v>
      </x:c>
      <x:c r="C2603" s="3" t="n">
        <x:v>2</x:v>
      </x:c>
      <x:c r="D2603" s="51" t="n">
        <x:v>40818</x:v>
      </x:c>
      <x:c r="E2603" s="3" t="str">
        <x:v>Recurrente</x:v>
      </x:c>
      <x:c r="F2603" s="13" t="n">
        <x:v>482.01</x:v>
      </x:c>
      <x:c r="G2603" s="13" t="n">
        <x:v>0</x:v>
      </x:c>
      <x:c r="H2603" s="13" t="n">
        <x:f>F2603-G2603</x:f>
        <x:v>482.01</x:v>
      </x:c>
      <x:c r="I2603" s="13" t="n">
        <x:f>IF(C2603=0,"n.a.",F2603/C2603)</x:f>
        <x:v>241.005</x:v>
      </x:c>
      <x:c r="J2603" s="3"/>
      <x:c r="K2603" s="3"/>
      <x:c r="L2603" s="3"/>
    </x:row>
    <x:row r="2604" ht="22" customHeight="1">
      <x:c r="A2604" s="3"/>
      <x:c r="B2604" s="3" t="str">
        <x:v>18216</x:v>
      </x:c>
      <x:c r="C2604" s="3" t="n">
        <x:v>1</x:v>
      </x:c>
      <x:c r="D2604" s="51" t="n">
        <x:v>40855</x:v>
      </x:c>
      <x:c r="E2604" s="3" t="str">
        <x:v>Una compra</x:v>
      </x:c>
      <x:c r="F2604" s="13" t="n">
        <x:v>481.75</x:v>
      </x:c>
      <x:c r="G2604" s="13" t="n">
        <x:v>0</x:v>
      </x:c>
      <x:c r="H2604" s="13" t="n">
        <x:f>F2604-G2604</x:f>
        <x:v>481.75</x:v>
      </x:c>
      <x:c r="I2604" s="13" t="n">
        <x:f>IF(C2604=0,"n.a.",F2604/C2604)</x:f>
        <x:v>481.75</x:v>
      </x:c>
      <x:c r="J2604" s="3"/>
      <x:c r="K2604" s="3"/>
      <x:c r="L2604" s="3"/>
    </x:row>
    <x:row r="2605" ht="22" customHeight="1">
      <x:c r="A2605" s="3"/>
      <x:c r="B2605" s="3" t="str">
        <x:v>16863</x:v>
      </x:c>
      <x:c r="C2605" s="3" t="n">
        <x:v>2</x:v>
      </x:c>
      <x:c r="D2605" s="51" t="n">
        <x:v>40855</x:v>
      </x:c>
      <x:c r="E2605" s="3" t="str">
        <x:v>Recurrente</x:v>
      </x:c>
      <x:c r="F2605" s="13" t="n">
        <x:v>502.8</x:v>
      </x:c>
      <x:c r="G2605" s="13" t="n">
        <x:v>21.45</x:v>
      </x:c>
      <x:c r="H2605" s="13" t="n">
        <x:f>F2605-G2605</x:f>
        <x:v>481.35</x:v>
      </x:c>
      <x:c r="I2605" s="13" t="n">
        <x:f>IF(C2605=0,"n.a.",F2605/C2605)</x:f>
        <x:v>251.4</x:v>
      </x:c>
      <x:c r="J2605" s="3"/>
      <x:c r="K2605" s="3"/>
      <x:c r="L2605" s="3"/>
    </x:row>
    <x:row r="2606" ht="22" customHeight="1">
      <x:c r="A2606" s="3"/>
      <x:c r="B2606" s="3" t="str">
        <x:v>16518</x:v>
      </x:c>
      <x:c r="C2606" s="3" t="n">
        <x:v>2</x:v>
      </x:c>
      <x:c r="D2606" s="51" t="n">
        <x:v>40825</x:v>
      </x:c>
      <x:c r="E2606" s="3" t="str">
        <x:v>Recurrente</x:v>
      </x:c>
      <x:c r="F2606" s="13" t="n">
        <x:v>484.32</x:v>
      </x:c>
      <x:c r="G2606" s="13" t="n">
        <x:v>3.4</x:v>
      </x:c>
      <x:c r="H2606" s="13" t="n">
        <x:f>F2606-G2606</x:f>
        <x:v>480.92</x:v>
      </x:c>
      <x:c r="I2606" s="13" t="n">
        <x:f>IF(C2606=0,"n.a.",F2606/C2606)</x:f>
        <x:v>242.16</x:v>
      </x:c>
      <x:c r="J2606" s="3"/>
      <x:c r="K2606" s="3"/>
      <x:c r="L2606" s="3"/>
    </x:row>
    <x:row r="2607" ht="22" customHeight="1">
      <x:c r="A2607" s="3"/>
      <x:c r="B2607" s="3" t="str">
        <x:v>12631</x:v>
      </x:c>
      <x:c r="C2607" s="3" t="n">
        <x:v>1</x:v>
      </x:c>
      <x:c r="D2607" s="51" t="n">
        <x:v>40829</x:v>
      </x:c>
      <x:c r="E2607" s="3" t="str">
        <x:v>Una compra</x:v>
      </x:c>
      <x:c r="F2607" s="13" t="n">
        <x:v>480.5</x:v>
      </x:c>
      <x:c r="G2607" s="13" t="n">
        <x:v>0</x:v>
      </x:c>
      <x:c r="H2607" s="13" t="n">
        <x:f>F2607-G2607</x:f>
        <x:v>480.5</x:v>
      </x:c>
      <x:c r="I2607" s="13" t="n">
        <x:f>IF(C2607=0,"n.a.",F2607/C2607)</x:f>
        <x:v>480.5</x:v>
      </x:c>
      <x:c r="J2607" s="3"/>
      <x:c r="K2607" s="3"/>
      <x:c r="L2607" s="3"/>
    </x:row>
    <x:row r="2608" ht="22" customHeight="1">
      <x:c r="A2608" s="3"/>
      <x:c r="B2608" s="3" t="str">
        <x:v>12601</x:v>
      </x:c>
      <x:c r="C2608" s="3" t="n">
        <x:v>5</x:v>
      </x:c>
      <x:c r="D2608" s="51" t="n">
        <x:v>40697</x:v>
      </x:c>
      <x:c r="E2608" s="3" t="str">
        <x:v>Recurrente</x:v>
      </x:c>
      <x:c r="F2608" s="13" t="n">
        <x:v>487.06</x:v>
      </x:c>
      <x:c r="G2608" s="13" t="n">
        <x:v>7.5</x:v>
      </x:c>
      <x:c r="H2608" s="13" t="n">
        <x:f>F2608-G2608</x:f>
        <x:v>479.56</x:v>
      </x:c>
      <x:c r="I2608" s="13" t="n">
        <x:f>IF(C2608=0,"n.a.",F2608/C2608)</x:f>
        <x:v>97.412</x:v>
      </x:c>
      <x:c r="J2608" s="3"/>
      <x:c r="K2608" s="3"/>
      <x:c r="L2608" s="3"/>
    </x:row>
    <x:row r="2609" ht="22" customHeight="1">
      <x:c r="A2609" s="3"/>
      <x:c r="B2609" s="3" t="str">
        <x:v>16812</x:v>
      </x:c>
      <x:c r="C2609" s="3" t="n">
        <x:v>1</x:v>
      </x:c>
      <x:c r="D2609" s="51" t="n">
        <x:v>40526</x:v>
      </x:c>
      <x:c r="E2609" s="3" t="str">
        <x:v>Una compra</x:v>
      </x:c>
      <x:c r="F2609" s="13" t="n">
        <x:v>479.35</x:v>
      </x:c>
      <x:c r="G2609" s="13" t="n">
        <x:v>0</x:v>
      </x:c>
      <x:c r="H2609" s="13" t="n">
        <x:f>F2609-G2609</x:f>
        <x:v>479.35</x:v>
      </x:c>
      <x:c r="I2609" s="13" t="n">
        <x:f>IF(C2609=0,"n.a.",F2609/C2609)</x:f>
        <x:v>479.35</x:v>
      </x:c>
      <x:c r="J2609" s="3"/>
      <x:c r="K2609" s="3"/>
      <x:c r="L2609" s="3"/>
    </x:row>
    <x:row r="2610" ht="22" customHeight="1">
      <x:c r="A2610" s="3"/>
      <x:c r="B2610" s="3" t="str">
        <x:v>16008</x:v>
      </x:c>
      <x:c r="C2610" s="3" t="n">
        <x:v>3</x:v>
      </x:c>
      <x:c r="D2610" s="51" t="n">
        <x:v>40863</x:v>
      </x:c>
      <x:c r="E2610" s="3" t="str">
        <x:v>Recurrente</x:v>
      </x:c>
      <x:c r="F2610" s="13" t="n">
        <x:v>478.78</x:v>
      </x:c>
      <x:c r="G2610" s="13" t="n">
        <x:v>0</x:v>
      </x:c>
      <x:c r="H2610" s="13" t="n">
        <x:f>F2610-G2610</x:f>
        <x:v>478.78</x:v>
      </x:c>
      <x:c r="I2610" s="13" t="n">
        <x:f>IF(C2610=0,"n.a.",F2610/C2610)</x:f>
        <x:v>159.59333333333333</x:v>
      </x:c>
      <x:c r="J2610" s="3"/>
      <x:c r="K2610" s="3"/>
      <x:c r="L2610" s="3"/>
    </x:row>
    <x:row r="2611" ht="22" customHeight="1">
      <x:c r="A2611" s="3"/>
      <x:c r="B2611" s="3" t="str">
        <x:v>12644</x:v>
      </x:c>
      <x:c r="C2611" s="3" t="n">
        <x:v>1</x:v>
      </x:c>
      <x:c r="D2611" s="51" t="n">
        <x:v>40757</x:v>
      </x:c>
      <x:c r="E2611" s="3" t="str">
        <x:v>Una compra</x:v>
      </x:c>
      <x:c r="F2611" s="13" t="n">
        <x:v>477.91</x:v>
      </x:c>
      <x:c r="G2611" s="13" t="n">
        <x:v>0</x:v>
      </x:c>
      <x:c r="H2611" s="13" t="n">
        <x:f>F2611-G2611</x:f>
        <x:v>477.91</x:v>
      </x:c>
      <x:c r="I2611" s="13" t="n">
        <x:f>IF(C2611=0,"n.a.",F2611/C2611)</x:f>
        <x:v>477.91</x:v>
      </x:c>
      <x:c r="J2611" s="3"/>
      <x:c r="K2611" s="3"/>
      <x:c r="L2611" s="3"/>
    </x:row>
    <x:row r="2612" ht="22" customHeight="1">
      <x:c r="A2612" s="3"/>
      <x:c r="B2612" s="3" t="str">
        <x:v>15091</x:v>
      </x:c>
      <x:c r="C2612" s="3" t="n">
        <x:v>1</x:v>
      </x:c>
      <x:c r="D2612" s="51" t="n">
        <x:v>40819</x:v>
      </x:c>
      <x:c r="E2612" s="3" t="str">
        <x:v>Una compra</x:v>
      </x:c>
      <x:c r="F2612" s="13" t="n">
        <x:v>480.71</x:v>
      </x:c>
      <x:c r="G2612" s="13" t="n">
        <x:v>3.75</x:v>
      </x:c>
      <x:c r="H2612" s="13" t="n">
        <x:f>F2612-G2612</x:f>
        <x:v>476.96</x:v>
      </x:c>
      <x:c r="I2612" s="13" t="n">
        <x:f>IF(C2612=0,"n.a.",F2612/C2612)</x:f>
        <x:v>480.71</x:v>
      </x:c>
      <x:c r="J2612" s="3"/>
      <x:c r="K2612" s="3"/>
      <x:c r="L2612" s="3"/>
    </x:row>
    <x:row r="2613" ht="22" customHeight="1">
      <x:c r="A2613" s="3"/>
      <x:c r="B2613" s="3" t="str">
        <x:v>15344</x:v>
      </x:c>
      <x:c r="C2613" s="3" t="n">
        <x:v>3</x:v>
      </x:c>
      <x:c r="D2613" s="51" t="n">
        <x:v>40886</x:v>
      </x:c>
      <x:c r="E2613" s="3" t="str">
        <x:v>Recurrente</x:v>
      </x:c>
      <x:c r="F2613" s="13" t="n">
        <x:v>563.94</x:v>
      </x:c>
      <x:c r="G2613" s="13" t="n">
        <x:v>87.36</x:v>
      </x:c>
      <x:c r="H2613" s="13" t="n">
        <x:f>F2613-G2613</x:f>
        <x:v>476.58000000000004</x:v>
      </x:c>
      <x:c r="I2613" s="13" t="n">
        <x:f>IF(C2613=0,"n.a.",F2613/C2613)</x:f>
        <x:v>187.98000000000002</x:v>
      </x:c>
      <x:c r="J2613" s="3"/>
      <x:c r="K2613" s="3"/>
      <x:c r="L2613" s="3"/>
    </x:row>
    <x:row r="2614" ht="22" customHeight="1">
      <x:c r="A2614" s="3"/>
      <x:c r="B2614" s="3" t="str">
        <x:v>15780</x:v>
      </x:c>
      <x:c r="C2614" s="3" t="n">
        <x:v>3</x:v>
      </x:c>
      <x:c r="D2614" s="51" t="n">
        <x:v>40703</x:v>
      </x:c>
      <x:c r="E2614" s="3" t="str">
        <x:v>Recurrente</x:v>
      </x:c>
      <x:c r="F2614" s="13" t="n">
        <x:v>475.28</x:v>
      </x:c>
      <x:c r="G2614" s="13" t="n">
        <x:v>0</x:v>
      </x:c>
      <x:c r="H2614" s="13" t="n">
        <x:f>F2614-G2614</x:f>
        <x:v>475.28</x:v>
      </x:c>
      <x:c r="I2614" s="13" t="n">
        <x:f>IF(C2614=0,"n.a.",F2614/C2614)</x:f>
        <x:v>158.42666666666665</x:v>
      </x:c>
      <x:c r="J2614" s="3"/>
      <x:c r="K2614" s="3"/>
      <x:c r="L2614" s="3"/>
    </x:row>
    <x:row r="2615" ht="22" customHeight="1">
      <x:c r="A2615" s="3"/>
      <x:c r="B2615" s="3" t="str">
        <x:v>15349</x:v>
      </x:c>
      <x:c r="C2615" s="3" t="n">
        <x:v>2</x:v>
      </x:c>
      <x:c r="D2615" s="51" t="n">
        <x:v>40728</x:v>
      </x:c>
      <x:c r="E2615" s="3" t="str">
        <x:v>Recurrente</x:v>
      </x:c>
      <x:c r="F2615" s="13" t="n">
        <x:v>473.81</x:v>
      </x:c>
      <x:c r="G2615" s="13" t="n">
        <x:v>0</x:v>
      </x:c>
      <x:c r="H2615" s="13" t="n">
        <x:f>F2615-G2615</x:f>
        <x:v>473.81</x:v>
      </x:c>
      <x:c r="I2615" s="13" t="n">
        <x:f>IF(C2615=0,"n.a.",F2615/C2615)</x:f>
        <x:v>236.905</x:v>
      </x:c>
      <x:c r="J2615" s="3"/>
      <x:c r="K2615" s="3"/>
      <x:c r="L2615" s="3"/>
    </x:row>
    <x:row r="2616" ht="22" customHeight="1">
      <x:c r="A2616" s="3"/>
      <x:c r="B2616" s="3" t="str">
        <x:v>15557</x:v>
      </x:c>
      <x:c r="C2616" s="3" t="n">
        <x:v>1</x:v>
      </x:c>
      <x:c r="D2616" s="51" t="n">
        <x:v>40858</x:v>
      </x:c>
      <x:c r="E2616" s="3" t="str">
        <x:v>Una compra</x:v>
      </x:c>
      <x:c r="F2616" s="13" t="n">
        <x:v>473.65</x:v>
      </x:c>
      <x:c r="G2616" s="13" t="n">
        <x:v>0</x:v>
      </x:c>
      <x:c r="H2616" s="13" t="n">
        <x:f>F2616-G2616</x:f>
        <x:v>473.65</x:v>
      </x:c>
      <x:c r="I2616" s="13" t="n">
        <x:f>IF(C2616=0,"n.a.",F2616/C2616)</x:f>
        <x:v>473.65</x:v>
      </x:c>
      <x:c r="J2616" s="3"/>
      <x:c r="K2616" s="3"/>
      <x:c r="L2616" s="3"/>
    </x:row>
    <x:row r="2617" ht="22" customHeight="1">
      <x:c r="A2617" s="3"/>
      <x:c r="B2617" s="3" t="str">
        <x:v>16859</x:v>
      </x:c>
      <x:c r="C2617" s="3" t="n">
        <x:v>2</x:v>
      </x:c>
      <x:c r="D2617" s="51" t="n">
        <x:v>40742</x:v>
      </x:c>
      <x:c r="E2617" s="3" t="str">
        <x:v>Recurrente</x:v>
      </x:c>
      <x:c r="F2617" s="13" t="n">
        <x:v>747.81</x:v>
      </x:c>
      <x:c r="G2617" s="13" t="n">
        <x:v>274.67</x:v>
      </x:c>
      <x:c r="H2617" s="13" t="n">
        <x:f>F2617-G2617</x:f>
        <x:v>473.13999999999993</x:v>
      </x:c>
      <x:c r="I2617" s="13" t="n">
        <x:f>IF(C2617=0,"n.a.",F2617/C2617)</x:f>
        <x:v>373.905</x:v>
      </x:c>
      <x:c r="J2617" s="3"/>
      <x:c r="K2617" s="3"/>
      <x:c r="L2617" s="3"/>
    </x:row>
    <x:row r="2618" ht="22" customHeight="1">
      <x:c r="A2618" s="3"/>
      <x:c r="B2618" s="3" t="str">
        <x:v>14013</x:v>
      </x:c>
      <x:c r="C2618" s="3" t="n">
        <x:v>3</x:v>
      </x:c>
      <x:c r="D2618" s="51" t="n">
        <x:v>40776</x:v>
      </x:c>
      <x:c r="E2618" s="3" t="str">
        <x:v>Recurrente</x:v>
      </x:c>
      <x:c r="F2618" s="13" t="n">
        <x:v>473.02</x:v>
      </x:c>
      <x:c r="G2618" s="13" t="n">
        <x:v>0</x:v>
      </x:c>
      <x:c r="H2618" s="13" t="n">
        <x:f>F2618-G2618</x:f>
        <x:v>473.02</x:v>
      </x:c>
      <x:c r="I2618" s="13" t="n">
        <x:f>IF(C2618=0,"n.a.",F2618/C2618)</x:f>
        <x:v>157.67333333333332</x:v>
      </x:c>
      <x:c r="J2618" s="3"/>
      <x:c r="K2618" s="3"/>
      <x:c r="L2618" s="3"/>
    </x:row>
    <x:row r="2619" ht="22" customHeight="1">
      <x:c r="A2619" s="3"/>
      <x:c r="B2619" s="3" t="str">
        <x:v>17950</x:v>
      </x:c>
      <x:c r="C2619" s="3" t="n">
        <x:v>3</x:v>
      </x:c>
      <x:c r="D2619" s="51" t="n">
        <x:v>40814</x:v>
      </x:c>
      <x:c r="E2619" s="3" t="str">
        <x:v>Recurrente</x:v>
      </x:c>
      <x:c r="F2619" s="13" t="n">
        <x:v>482.2</x:v>
      </x:c>
      <x:c r="G2619" s="13" t="n">
        <x:v>10.08</x:v>
      </x:c>
      <x:c r="H2619" s="13" t="n">
        <x:f>F2619-G2619</x:f>
        <x:v>472.12</x:v>
      </x:c>
      <x:c r="I2619" s="13" t="n">
        <x:f>IF(C2619=0,"n.a.",F2619/C2619)</x:f>
        <x:v>160.73333333333332</x:v>
      </x:c>
      <x:c r="J2619" s="3"/>
      <x:c r="K2619" s="3"/>
      <x:c r="L2619" s="3"/>
    </x:row>
    <x:row r="2620" ht="22" customHeight="1">
      <x:c r="A2620" s="3"/>
      <x:c r="B2620" s="3" t="str">
        <x:v>17964</x:v>
      </x:c>
      <x:c r="C2620" s="3" t="n">
        <x:v>2</x:v>
      </x:c>
      <x:c r="D2620" s="51" t="n">
        <x:v>40855</x:v>
      </x:c>
      <x:c r="E2620" s="3" t="str">
        <x:v>Recurrente</x:v>
      </x:c>
      <x:c r="F2620" s="13" t="n">
        <x:v>471.7</x:v>
      </x:c>
      <x:c r="G2620" s="13" t="n">
        <x:v>0</x:v>
      </x:c>
      <x:c r="H2620" s="13" t="n">
        <x:f>F2620-G2620</x:f>
        <x:v>471.7</x:v>
      </x:c>
      <x:c r="I2620" s="13" t="n">
        <x:f>IF(C2620=0,"n.a.",F2620/C2620)</x:f>
        <x:v>235.85</x:v>
      </x:c>
      <x:c r="J2620" s="3"/>
      <x:c r="K2620" s="3"/>
      <x:c r="L2620" s="3"/>
    </x:row>
    <x:row r="2621" ht="22" customHeight="1">
      <x:c r="A2621" s="3"/>
      <x:c r="B2621" s="3" t="str">
        <x:v>13043</x:v>
      </x:c>
      <x:c r="C2621" s="3" t="n">
        <x:v>1</x:v>
      </x:c>
      <x:c r="D2621" s="51" t="n">
        <x:v>40613</x:v>
      </x:c>
      <x:c r="E2621" s="3" t="str">
        <x:v>Una compra</x:v>
      </x:c>
      <x:c r="F2621" s="13" t="n">
        <x:v>516.42</x:v>
      </x:c>
      <x:c r="G2621" s="13" t="n">
        <x:v>44.85</x:v>
      </x:c>
      <x:c r="H2621" s="13" t="n">
        <x:f>F2621-G2621</x:f>
        <x:v>471.56999999999994</x:v>
      </x:c>
      <x:c r="I2621" s="13" t="n">
        <x:f>IF(C2621=0,"n.a.",F2621/C2621)</x:f>
        <x:v>516.42</x:v>
      </x:c>
      <x:c r="J2621" s="3"/>
      <x:c r="K2621" s="3"/>
      <x:c r="L2621" s="3"/>
    </x:row>
    <x:row r="2622" ht="22" customHeight="1">
      <x:c r="A2622" s="3"/>
      <x:c r="B2622" s="3" t="str">
        <x:v>16885</x:v>
      </x:c>
      <x:c r="C2622" s="3" t="n">
        <x:v>3</x:v>
      </x:c>
      <x:c r="D2622" s="51" t="n">
        <x:v>40871</x:v>
      </x:c>
      <x:c r="E2622" s="3" t="str">
        <x:v>Recurrente</x:v>
      </x:c>
      <x:c r="F2622" s="13" t="n">
        <x:v>471.51</x:v>
      </x:c>
      <x:c r="G2622" s="13" t="n">
        <x:v>0</x:v>
      </x:c>
      <x:c r="H2622" s="13" t="n">
        <x:f>F2622-G2622</x:f>
        <x:v>471.51</x:v>
      </x:c>
      <x:c r="I2622" s="13" t="n">
        <x:f>IF(C2622=0,"n.a.",F2622/C2622)</x:f>
        <x:v>157.17</x:v>
      </x:c>
      <x:c r="J2622" s="3"/>
      <x:c r="K2622" s="3"/>
      <x:c r="L2622" s="3"/>
    </x:row>
    <x:row r="2623" ht="22" customHeight="1">
      <x:c r="A2623" s="3"/>
      <x:c r="B2623" s="3" t="str">
        <x:v>15963</x:v>
      </x:c>
      <x:c r="C2623" s="3" t="n">
        <x:v>2</x:v>
      </x:c>
      <x:c r="D2623" s="51" t="n">
        <x:v>40867</x:v>
      </x:c>
      <x:c r="E2623" s="3" t="str">
        <x:v>Recurrente</x:v>
      </x:c>
      <x:c r="F2623" s="13" t="n">
        <x:v>470.76</x:v>
      </x:c>
      <x:c r="G2623" s="13" t="n">
        <x:v>0</x:v>
      </x:c>
      <x:c r="H2623" s="13" t="n">
        <x:f>F2623-G2623</x:f>
        <x:v>470.76</x:v>
      </x:c>
      <x:c r="I2623" s="13" t="n">
        <x:f>IF(C2623=0,"n.a.",F2623/C2623)</x:f>
        <x:v>235.38</x:v>
      </x:c>
      <x:c r="J2623" s="3"/>
      <x:c r="K2623" s="3"/>
      <x:c r="L2623" s="3"/>
    </x:row>
    <x:row r="2624" ht="22" customHeight="1">
      <x:c r="A2624" s="3"/>
      <x:c r="B2624" s="3" t="str">
        <x:v>15471</x:v>
      </x:c>
      <x:c r="C2624" s="3" t="n">
        <x:v>1</x:v>
      </x:c>
      <x:c r="D2624" s="51" t="n">
        <x:v>40884</x:v>
      </x:c>
      <x:c r="E2624" s="3" t="str">
        <x:v>Una compra</x:v>
      </x:c>
      <x:c r="F2624" s="13" t="n">
        <x:v>469.48</x:v>
      </x:c>
      <x:c r="G2624" s="13" t="n">
        <x:v>0</x:v>
      </x:c>
      <x:c r="H2624" s="13" t="n">
        <x:f>F2624-G2624</x:f>
        <x:v>469.48</x:v>
      </x:c>
      <x:c r="I2624" s="13" t="n">
        <x:f>IF(C2624=0,"n.a.",F2624/C2624)</x:f>
        <x:v>469.48</x:v>
      </x:c>
      <x:c r="J2624" s="3"/>
      <x:c r="K2624" s="3"/>
      <x:c r="L2624" s="3"/>
    </x:row>
    <x:row r="2625" ht="22" customHeight="1">
      <x:c r="A2625" s="3"/>
      <x:c r="B2625" s="3" t="str">
        <x:v>13005</x:v>
      </x:c>
      <x:c r="C2625" s="3" t="n">
        <x:v>2</x:v>
      </x:c>
      <x:c r="D2625" s="51" t="n">
        <x:v>40713</x:v>
      </x:c>
      <x:c r="E2625" s="3" t="str">
        <x:v>Recurrente</x:v>
      </x:c>
      <x:c r="F2625" s="13" t="n">
        <x:v>513.7</x:v>
      </x:c>
      <x:c r="G2625" s="13" t="n">
        <x:v>44.75</x:v>
      </x:c>
      <x:c r="H2625" s="13" t="n">
        <x:f>F2625-G2625</x:f>
        <x:v>468.95000000000005</x:v>
      </x:c>
      <x:c r="I2625" s="13" t="n">
        <x:f>IF(C2625=0,"n.a.",F2625/C2625)</x:f>
        <x:v>256.85</x:v>
      </x:c>
      <x:c r="J2625" s="3"/>
      <x:c r="K2625" s="3"/>
      <x:c r="L2625" s="3"/>
    </x:row>
    <x:row r="2626" ht="22" customHeight="1">
      <x:c r="A2626" s="3"/>
      <x:c r="B2626" s="3" t="str">
        <x:v>14896</x:v>
      </x:c>
      <x:c r="C2626" s="3" t="n">
        <x:v>2</x:v>
      </x:c>
      <x:c r="D2626" s="51" t="n">
        <x:v>40682</x:v>
      </x:c>
      <x:c r="E2626" s="3" t="str">
        <x:v>Recurrente</x:v>
      </x:c>
      <x:c r="F2626" s="13" t="n">
        <x:v>468.77</x:v>
      </x:c>
      <x:c r="G2626" s="13" t="n">
        <x:v>0</x:v>
      </x:c>
      <x:c r="H2626" s="13" t="n">
        <x:f>F2626-G2626</x:f>
        <x:v>468.77</x:v>
      </x:c>
      <x:c r="I2626" s="13" t="n">
        <x:f>IF(C2626=0,"n.a.",F2626/C2626)</x:f>
        <x:v>234.385</x:v>
      </x:c>
      <x:c r="J2626" s="3"/>
      <x:c r="K2626" s="3"/>
      <x:c r="L2626" s="3"/>
    </x:row>
    <x:row r="2627" ht="22" customHeight="1">
      <x:c r="A2627" s="3"/>
      <x:c r="B2627" s="3" t="str">
        <x:v>14147</x:v>
      </x:c>
      <x:c r="C2627" s="3" t="n">
        <x:v>2</x:v>
      </x:c>
      <x:c r="D2627" s="51" t="n">
        <x:v>40808</x:v>
      </x:c>
      <x:c r="E2627" s="3" t="str">
        <x:v>Recurrente</x:v>
      </x:c>
      <x:c r="F2627" s="13" t="n">
        <x:v>483.4</x:v>
      </x:c>
      <x:c r="G2627" s="13" t="n">
        <x:v>15</x:v>
      </x:c>
      <x:c r="H2627" s="13" t="n">
        <x:f>F2627-G2627</x:f>
        <x:v>468.4</x:v>
      </x:c>
      <x:c r="I2627" s="13" t="n">
        <x:f>IF(C2627=0,"n.a.",F2627/C2627)</x:f>
        <x:v>241.7</x:v>
      </x:c>
      <x:c r="J2627" s="3"/>
      <x:c r="K2627" s="3"/>
      <x:c r="L2627" s="3"/>
    </x:row>
    <x:row r="2628" ht="22" customHeight="1">
      <x:c r="A2628" s="3"/>
      <x:c r="B2628" s="3" t="str">
        <x:v>14335</x:v>
      </x:c>
      <x:c r="C2628" s="3" t="n">
        <x:v>2</x:v>
      </x:c>
      <x:c r="D2628" s="51" t="n">
        <x:v>40870</x:v>
      </x:c>
      <x:c r="E2628" s="3" t="str">
        <x:v>Recurrente</x:v>
      </x:c>
      <x:c r="F2628" s="13" t="n">
        <x:v>468.26</x:v>
      </x:c>
      <x:c r="G2628" s="13" t="n">
        <x:v>0</x:v>
      </x:c>
      <x:c r="H2628" s="13" t="n">
        <x:f>F2628-G2628</x:f>
        <x:v>468.26</x:v>
      </x:c>
      <x:c r="I2628" s="13" t="n">
        <x:f>IF(C2628=0,"n.a.",F2628/C2628)</x:f>
        <x:v>234.13</x:v>
      </x:c>
      <x:c r="J2628" s="3"/>
      <x:c r="K2628" s="3"/>
      <x:c r="L2628" s="3"/>
    </x:row>
    <x:row r="2629" ht="22" customHeight="1">
      <x:c r="A2629" s="3"/>
      <x:c r="B2629" s="3" t="str">
        <x:v>14029</x:v>
      </x:c>
      <x:c r="C2629" s="3" t="n">
        <x:v>2</x:v>
      </x:c>
      <x:c r="D2629" s="51" t="n">
        <x:v>40823</x:v>
      </x:c>
      <x:c r="E2629" s="3" t="str">
        <x:v>Recurrente</x:v>
      </x:c>
      <x:c r="F2629" s="13" t="n">
        <x:v>467.66</x:v>
      </x:c>
      <x:c r="G2629" s="13" t="n">
        <x:v>0</x:v>
      </x:c>
      <x:c r="H2629" s="13" t="n">
        <x:f>F2629-G2629</x:f>
        <x:v>467.66</x:v>
      </x:c>
      <x:c r="I2629" s="13" t="n">
        <x:f>IF(C2629=0,"n.a.",F2629/C2629)</x:f>
        <x:v>233.83</x:v>
      </x:c>
      <x:c r="J2629" s="3"/>
      <x:c r="K2629" s="3"/>
      <x:c r="L2629" s="3"/>
    </x:row>
    <x:row r="2630" ht="22" customHeight="1">
      <x:c r="A2630" s="3"/>
      <x:c r="B2630" s="3" t="str">
        <x:v>13579</x:v>
      </x:c>
      <x:c r="C2630" s="3" t="n">
        <x:v>2</x:v>
      </x:c>
      <x:c r="D2630" s="51" t="n">
        <x:v>40872</x:v>
      </x:c>
      <x:c r="E2630" s="3" t="str">
        <x:v>Recurrente</x:v>
      </x:c>
      <x:c r="F2630" s="13" t="n">
        <x:v>467.04</x:v>
      </x:c>
      <x:c r="G2630" s="13" t="n">
        <x:v>0</x:v>
      </x:c>
      <x:c r="H2630" s="13" t="n">
        <x:f>F2630-G2630</x:f>
        <x:v>467.04</x:v>
      </x:c>
      <x:c r="I2630" s="13" t="n">
        <x:f>IF(C2630=0,"n.a.",F2630/C2630)</x:f>
        <x:v>233.52</x:v>
      </x:c>
      <x:c r="J2630" s="3"/>
      <x:c r="K2630" s="3"/>
      <x:c r="L2630" s="3"/>
    </x:row>
    <x:row r="2631" ht="22" customHeight="1">
      <x:c r="A2631" s="3"/>
      <x:c r="B2631" s="3" t="str">
        <x:v>13248</x:v>
      </x:c>
      <x:c r="C2631" s="3" t="n">
        <x:v>2</x:v>
      </x:c>
      <x:c r="D2631" s="51" t="n">
        <x:v>40762</x:v>
      </x:c>
      <x:c r="E2631" s="3" t="str">
        <x:v>Recurrente</x:v>
      </x:c>
      <x:c r="F2631" s="13" t="n">
        <x:v>465.68</x:v>
      </x:c>
      <x:c r="G2631" s="13" t="n">
        <x:v>0</x:v>
      </x:c>
      <x:c r="H2631" s="13" t="n">
        <x:f>F2631-G2631</x:f>
        <x:v>465.68</x:v>
      </x:c>
      <x:c r="I2631" s="13" t="n">
        <x:f>IF(C2631=0,"n.a.",F2631/C2631)</x:f>
        <x:v>232.84</x:v>
      </x:c>
      <x:c r="J2631" s="3"/>
      <x:c r="K2631" s="3"/>
      <x:c r="L2631" s="3"/>
    </x:row>
    <x:row r="2632" ht="22" customHeight="1">
      <x:c r="A2632" s="3"/>
      <x:c r="B2632" s="3" t="str">
        <x:v>15036</x:v>
      </x:c>
      <x:c r="C2632" s="3" t="n">
        <x:v>3</x:v>
      </x:c>
      <x:c r="D2632" s="51" t="n">
        <x:v>40814</x:v>
      </x:c>
      <x:c r="E2632" s="3" t="str">
        <x:v>Recurrente</x:v>
      </x:c>
      <x:c r="F2632" s="13" t="n">
        <x:v>465.55</x:v>
      </x:c>
      <x:c r="G2632" s="13" t="n">
        <x:v>0</x:v>
      </x:c>
      <x:c r="H2632" s="13" t="n">
        <x:f>F2632-G2632</x:f>
        <x:v>465.55</x:v>
      </x:c>
      <x:c r="I2632" s="13" t="n">
        <x:f>IF(C2632=0,"n.a.",F2632/C2632)</x:f>
        <x:v>155.18333333333334</x:v>
      </x:c>
      <x:c r="J2632" s="3"/>
      <x:c r="K2632" s="3"/>
      <x:c r="L2632" s="3"/>
    </x:row>
    <x:row r="2633" ht="22" customHeight="1">
      <x:c r="A2633" s="3"/>
      <x:c r="B2633" s="3" t="str">
        <x:v>17140</x:v>
      </x:c>
      <x:c r="C2633" s="3" t="n">
        <x:v>1</x:v>
      </x:c>
      <x:c r="D2633" s="51" t="n">
        <x:v>40639</x:v>
      </x:c>
      <x:c r="E2633" s="3" t="str">
        <x:v>Una compra</x:v>
      </x:c>
      <x:c r="F2633" s="13" t="n">
        <x:v>465.32</x:v>
      </x:c>
      <x:c r="G2633" s="13" t="n">
        <x:v>0</x:v>
      </x:c>
      <x:c r="H2633" s="13" t="n">
        <x:f>F2633-G2633</x:f>
        <x:v>465.32</x:v>
      </x:c>
      <x:c r="I2633" s="13" t="n">
        <x:f>IF(C2633=0,"n.a.",F2633/C2633)</x:f>
        <x:v>465.32</x:v>
      </x:c>
      <x:c r="J2633" s="3"/>
      <x:c r="K2633" s="3"/>
      <x:c r="L2633" s="3"/>
    </x:row>
    <x:row r="2634" ht="22" customHeight="1">
      <x:c r="A2634" s="3"/>
      <x:c r="B2634" s="3" t="str">
        <x:v>16374</x:v>
      </x:c>
      <x:c r="C2634" s="3" t="n">
        <x:v>2</x:v>
      </x:c>
      <x:c r="D2634" s="51" t="n">
        <x:v>40820</x:v>
      </x:c>
      <x:c r="E2634" s="3" t="str">
        <x:v>Recurrente</x:v>
      </x:c>
      <x:c r="F2634" s="13" t="n">
        <x:v>465.08</x:v>
      </x:c>
      <x:c r="G2634" s="13" t="n">
        <x:v>0</x:v>
      </x:c>
      <x:c r="H2634" s="13" t="n">
        <x:f>F2634-G2634</x:f>
        <x:v>465.08</x:v>
      </x:c>
      <x:c r="I2634" s="13" t="n">
        <x:f>IF(C2634=0,"n.a.",F2634/C2634)</x:f>
        <x:v>232.54</x:v>
      </x:c>
      <x:c r="J2634" s="3"/>
      <x:c r="K2634" s="3"/>
      <x:c r="L2634" s="3"/>
    </x:row>
    <x:row r="2635" ht="22" customHeight="1">
      <x:c r="A2635" s="3"/>
      <x:c r="B2635" s="3" t="str">
        <x:v>13928</x:v>
      </x:c>
      <x:c r="C2635" s="3" t="n">
        <x:v>4</x:v>
      </x:c>
      <x:c r="D2635" s="51" t="n">
        <x:v>40876</x:v>
      </x:c>
      <x:c r="E2635" s="3" t="str">
        <x:v>Recurrente</x:v>
      </x:c>
      <x:c r="F2635" s="13" t="n">
        <x:v>464.57</x:v>
      </x:c>
      <x:c r="G2635" s="13" t="n">
        <x:v>0</x:v>
      </x:c>
      <x:c r="H2635" s="13" t="n">
        <x:f>F2635-G2635</x:f>
        <x:v>464.57</x:v>
      </x:c>
      <x:c r="I2635" s="13" t="n">
        <x:f>IF(C2635=0,"n.a.",F2635/C2635)</x:f>
        <x:v>116.1425</x:v>
      </x:c>
      <x:c r="J2635" s="3"/>
      <x:c r="K2635" s="3"/>
      <x:c r="L2635" s="3"/>
    </x:row>
    <x:row r="2636" ht="22" customHeight="1">
      <x:c r="A2636" s="3"/>
      <x:c r="B2636" s="3" t="str">
        <x:v>15026</x:v>
      </x:c>
      <x:c r="C2636" s="3" t="n">
        <x:v>3</x:v>
      </x:c>
      <x:c r="D2636" s="51" t="n">
        <x:v>40806</x:v>
      </x:c>
      <x:c r="E2636" s="3" t="str">
        <x:v>Recurrente</x:v>
      </x:c>
      <x:c r="F2636" s="13" t="n">
        <x:v>464.2</x:v>
      </x:c>
      <x:c r="G2636" s="13" t="n">
        <x:v>0</x:v>
      </x:c>
      <x:c r="H2636" s="13" t="n">
        <x:f>F2636-G2636</x:f>
        <x:v>464.2</x:v>
      </x:c>
      <x:c r="I2636" s="13" t="n">
        <x:f>IF(C2636=0,"n.a.",F2636/C2636)</x:f>
        <x:v>154.73333333333332</x:v>
      </x:c>
      <x:c r="J2636" s="3"/>
      <x:c r="K2636" s="3"/>
      <x:c r="L2636" s="3"/>
    </x:row>
    <x:row r="2637" ht="22" customHeight="1">
      <x:c r="A2637" s="3"/>
      <x:c r="B2637" s="3" t="str">
        <x:v>16586</x:v>
      </x:c>
      <x:c r="C2637" s="3" t="n">
        <x:v>1</x:v>
      </x:c>
      <x:c r="D2637" s="51" t="n">
        <x:v>40638</x:v>
      </x:c>
      <x:c r="E2637" s="3" t="str">
        <x:v>Una compra</x:v>
      </x:c>
      <x:c r="F2637" s="13" t="n">
        <x:v>463.95</x:v>
      </x:c>
      <x:c r="G2637" s="13" t="n">
        <x:v>0</x:v>
      </x:c>
      <x:c r="H2637" s="13" t="n">
        <x:f>F2637-G2637</x:f>
        <x:v>463.95</x:v>
      </x:c>
      <x:c r="I2637" s="13" t="n">
        <x:f>IF(C2637=0,"n.a.",F2637/C2637)</x:f>
        <x:v>463.95</x:v>
      </x:c>
      <x:c r="J2637" s="3"/>
      <x:c r="K2637" s="3"/>
      <x:c r="L2637" s="3"/>
    </x:row>
    <x:row r="2638" ht="22" customHeight="1">
      <x:c r="A2638" s="3"/>
      <x:c r="B2638" s="3" t="str">
        <x:v>14967</x:v>
      </x:c>
      <x:c r="C2638" s="3" t="n">
        <x:v>1</x:v>
      </x:c>
      <x:c r="D2638" s="51" t="n">
        <x:v>40837</x:v>
      </x:c>
      <x:c r="E2638" s="3" t="str">
        <x:v>Una compra</x:v>
      </x:c>
      <x:c r="F2638" s="13" t="n">
        <x:v>463.8</x:v>
      </x:c>
      <x:c r="G2638" s="13" t="n">
        <x:v>0</x:v>
      </x:c>
      <x:c r="H2638" s="13" t="n">
        <x:f>F2638-G2638</x:f>
        <x:v>463.8</x:v>
      </x:c>
      <x:c r="I2638" s="13" t="n">
        <x:f>IF(C2638=0,"n.a.",F2638/C2638)</x:f>
        <x:v>463.8</x:v>
      </x:c>
      <x:c r="J2638" s="3"/>
      <x:c r="K2638" s="3"/>
      <x:c r="L2638" s="3"/>
    </x:row>
    <x:row r="2639" ht="22" customHeight="1">
      <x:c r="A2639" s="3"/>
      <x:c r="B2639" s="3" t="str">
        <x:v>15109</x:v>
      </x:c>
      <x:c r="C2639" s="3" t="n">
        <x:v>1</x:v>
      </x:c>
      <x:c r="D2639" s="51" t="n">
        <x:v>40641</x:v>
      </x:c>
      <x:c r="E2639" s="3" t="str">
        <x:v>Una compra</x:v>
      </x:c>
      <x:c r="F2639" s="13" t="n">
        <x:v>484.95</x:v>
      </x:c>
      <x:c r="G2639" s="13" t="n">
        <x:v>21.2</x:v>
      </x:c>
      <x:c r="H2639" s="13" t="n">
        <x:f>F2639-G2639</x:f>
        <x:v>463.75</x:v>
      </x:c>
      <x:c r="I2639" s="13" t="n">
        <x:f>IF(C2639=0,"n.a.",F2639/C2639)</x:f>
        <x:v>484.95</x:v>
      </x:c>
      <x:c r="J2639" s="3"/>
      <x:c r="K2639" s="3"/>
      <x:c r="L2639" s="3"/>
    </x:row>
    <x:row r="2640" ht="22" customHeight="1">
      <x:c r="A2640" s="3"/>
      <x:c r="B2640" s="3" t="str">
        <x:v>17418</x:v>
      </x:c>
      <x:c r="C2640" s="3" t="n">
        <x:v>2</x:v>
      </x:c>
      <x:c r="D2640" s="51" t="n">
        <x:v>40844</x:v>
      </x:c>
      <x:c r="E2640" s="3" t="str">
        <x:v>Recurrente</x:v>
      </x:c>
      <x:c r="F2640" s="13" t="n">
        <x:v>463.46</x:v>
      </x:c>
      <x:c r="G2640" s="13" t="n">
        <x:v>0</x:v>
      </x:c>
      <x:c r="H2640" s="13" t="n">
        <x:f>F2640-G2640</x:f>
        <x:v>463.46</x:v>
      </x:c>
      <x:c r="I2640" s="13" t="n">
        <x:f>IF(C2640=0,"n.a.",F2640/C2640)</x:f>
        <x:v>231.73</x:v>
      </x:c>
      <x:c r="J2640" s="3"/>
      <x:c r="K2640" s="3"/>
      <x:c r="L2640" s="3"/>
    </x:row>
    <x:row r="2641" ht="22" customHeight="1">
      <x:c r="A2641" s="3"/>
      <x:c r="B2641" s="3" t="str">
        <x:v>14489</x:v>
      </x:c>
      <x:c r="C2641" s="3" t="n">
        <x:v>1</x:v>
      </x:c>
      <x:c r="D2641" s="51" t="n">
        <x:v>40679</x:v>
      </x:c>
      <x:c r="E2641" s="3" t="str">
        <x:v>Una compra</x:v>
      </x:c>
      <x:c r="F2641" s="13" t="n">
        <x:v>463.38</x:v>
      </x:c>
      <x:c r="G2641" s="13" t="n">
        <x:v>0</x:v>
      </x:c>
      <x:c r="H2641" s="13" t="n">
        <x:f>F2641-G2641</x:f>
        <x:v>463.38</x:v>
      </x:c>
      <x:c r="I2641" s="13" t="n">
        <x:f>IF(C2641=0,"n.a.",F2641/C2641)</x:f>
        <x:v>463.38</x:v>
      </x:c>
      <x:c r="J2641" s="3"/>
      <x:c r="K2641" s="3"/>
      <x:c r="L2641" s="3"/>
    </x:row>
    <x:row r="2642" ht="22" customHeight="1">
      <x:c r="A2642" s="3"/>
      <x:c r="B2642" s="3" t="str">
        <x:v>14853</x:v>
      </x:c>
      <x:c r="C2642" s="3" t="n">
        <x:v>2</x:v>
      </x:c>
      <x:c r="D2642" s="51" t="n">
        <x:v>40862</x:v>
      </x:c>
      <x:c r="E2642" s="3" t="str">
        <x:v>Recurrente</x:v>
      </x:c>
      <x:c r="F2642" s="13" t="n">
        <x:v>475.8</x:v>
      </x:c>
      <x:c r="G2642" s="13" t="n">
        <x:v>12.75</x:v>
      </x:c>
      <x:c r="H2642" s="13" t="n">
        <x:f>F2642-G2642</x:f>
        <x:v>463.05</x:v>
      </x:c>
      <x:c r="I2642" s="13" t="n">
        <x:f>IF(C2642=0,"n.a.",F2642/C2642)</x:f>
        <x:v>237.9</x:v>
      </x:c>
      <x:c r="J2642" s="3"/>
      <x:c r="K2642" s="3"/>
      <x:c r="L2642" s="3"/>
    </x:row>
    <x:row r="2643" ht="22" customHeight="1">
      <x:c r="A2643" s="3"/>
      <x:c r="B2643" s="3" t="str">
        <x:v>12945</x:v>
      </x:c>
      <x:c r="C2643" s="3" t="n">
        <x:v>1</x:v>
      </x:c>
      <x:c r="D2643" s="51" t="n">
        <x:v>40598</x:v>
      </x:c>
      <x:c r="E2643" s="3" t="str">
        <x:v>Una compra</x:v>
      </x:c>
      <x:c r="F2643" s="13" t="n">
        <x:v>462.95</x:v>
      </x:c>
      <x:c r="G2643" s="13" t="n">
        <x:v>0</x:v>
      </x:c>
      <x:c r="H2643" s="13" t="n">
        <x:f>F2643-G2643</x:f>
        <x:v>462.95</x:v>
      </x:c>
      <x:c r="I2643" s="13" t="n">
        <x:f>IF(C2643=0,"n.a.",F2643/C2643)</x:f>
        <x:v>462.95</x:v>
      </x:c>
      <x:c r="J2643" s="3"/>
      <x:c r="K2643" s="3"/>
      <x:c r="L2643" s="3"/>
    </x:row>
    <x:row r="2644" ht="22" customHeight="1">
      <x:c r="A2644" s="3"/>
      <x:c r="B2644" s="3" t="str">
        <x:v>14331</x:v>
      </x:c>
      <x:c r="C2644" s="3" t="n">
        <x:v>2</x:v>
      </x:c>
      <x:c r="D2644" s="51" t="n">
        <x:v>40762</x:v>
      </x:c>
      <x:c r="E2644" s="3" t="str">
        <x:v>Recurrente</x:v>
      </x:c>
      <x:c r="F2644" s="13" t="n">
        <x:v>462.66</x:v>
      </x:c>
      <x:c r="G2644" s="13" t="n">
        <x:v>0</x:v>
      </x:c>
      <x:c r="H2644" s="13" t="n">
        <x:f>F2644-G2644</x:f>
        <x:v>462.66</x:v>
      </x:c>
      <x:c r="I2644" s="13" t="n">
        <x:f>IF(C2644=0,"n.a.",F2644/C2644)</x:f>
        <x:v>231.33</x:v>
      </x:c>
      <x:c r="J2644" s="3"/>
      <x:c r="K2644" s="3"/>
      <x:c r="L2644" s="3"/>
    </x:row>
    <x:row r="2645" ht="22" customHeight="1">
      <x:c r="A2645" s="3"/>
      <x:c r="B2645" s="3" t="str">
        <x:v>12793</x:v>
      </x:c>
      <x:c r="C2645" s="3" t="n">
        <x:v>2</x:v>
      </x:c>
      <x:c r="D2645" s="51" t="n">
        <x:v>40552</x:v>
      </x:c>
      <x:c r="E2645" s="3" t="str">
        <x:v>Recurrente</x:v>
      </x:c>
      <x:c r="F2645" s="13" t="n">
        <x:v>461.48</x:v>
      </x:c>
      <x:c r="G2645" s="13" t="n">
        <x:v>0</x:v>
      </x:c>
      <x:c r="H2645" s="13" t="n">
        <x:f>F2645-G2645</x:f>
        <x:v>461.48</x:v>
      </x:c>
      <x:c r="I2645" s="13" t="n">
        <x:f>IF(C2645=0,"n.a.",F2645/C2645)</x:f>
        <x:v>230.74</x:v>
      </x:c>
      <x:c r="J2645" s="3"/>
      <x:c r="K2645" s="3"/>
      <x:c r="L2645" s="3"/>
    </x:row>
    <x:row r="2646" ht="22" customHeight="1">
      <x:c r="A2646" s="3"/>
      <x:c r="B2646" s="3" t="str">
        <x:v>14470</x:v>
      </x:c>
      <x:c r="C2646" s="3" t="n">
        <x:v>2</x:v>
      </x:c>
      <x:c r="D2646" s="51" t="n">
        <x:v>40875</x:v>
      </x:c>
      <x:c r="E2646" s="3" t="str">
        <x:v>Recurrente</x:v>
      </x:c>
      <x:c r="F2646" s="13" t="n">
        <x:v>461.19</x:v>
      </x:c>
      <x:c r="G2646" s="13" t="n">
        <x:v>0</x:v>
      </x:c>
      <x:c r="H2646" s="13" t="n">
        <x:f>F2646-G2646</x:f>
        <x:v>461.19</x:v>
      </x:c>
      <x:c r="I2646" s="13" t="n">
        <x:f>IF(C2646=0,"n.a.",F2646/C2646)</x:f>
        <x:v>230.595</x:v>
      </x:c>
      <x:c r="J2646" s="3"/>
      <x:c r="K2646" s="3"/>
      <x:c r="L2646" s="3"/>
    </x:row>
    <x:row r="2647" ht="22" customHeight="1">
      <x:c r="A2647" s="3"/>
      <x:c r="B2647" s="3" t="str">
        <x:v>12391</x:v>
      </x:c>
      <x:c r="C2647" s="3" t="n">
        <x:v>1</x:v>
      </x:c>
      <x:c r="D2647" s="51" t="n">
        <x:v>40865</x:v>
      </x:c>
      <x:c r="E2647" s="3" t="str">
        <x:v>Una compra</x:v>
      </x:c>
      <x:c r="F2647" s="13" t="n">
        <x:v>460.89</x:v>
      </x:c>
      <x:c r="G2647" s="13" t="n">
        <x:v>0</x:v>
      </x:c>
      <x:c r="H2647" s="13" t="n">
        <x:f>F2647-G2647</x:f>
        <x:v>460.89</x:v>
      </x:c>
      <x:c r="I2647" s="13" t="n">
        <x:f>IF(C2647=0,"n.a.",F2647/C2647)</x:f>
        <x:v>460.89</x:v>
      </x:c>
      <x:c r="J2647" s="3"/>
      <x:c r="K2647" s="3"/>
      <x:c r="L2647" s="3"/>
    </x:row>
    <x:row r="2648" ht="22" customHeight="1">
      <x:c r="A2648" s="3"/>
      <x:c r="B2648" s="3" t="str">
        <x:v>16824</x:v>
      </x:c>
      <x:c r="C2648" s="3" t="n">
        <x:v>2</x:v>
      </x:c>
      <x:c r="D2648" s="51" t="n">
        <x:v>40871</x:v>
      </x:c>
      <x:c r="E2648" s="3" t="str">
        <x:v>Recurrente</x:v>
      </x:c>
      <x:c r="F2648" s="13" t="n">
        <x:v>460.64</x:v>
      </x:c>
      <x:c r="G2648" s="13" t="n">
        <x:v>0</x:v>
      </x:c>
      <x:c r="H2648" s="13" t="n">
        <x:f>F2648-G2648</x:f>
        <x:v>460.64</x:v>
      </x:c>
      <x:c r="I2648" s="13" t="n">
        <x:f>IF(C2648=0,"n.a.",F2648/C2648)</x:f>
        <x:v>230.32</x:v>
      </x:c>
      <x:c r="J2648" s="3"/>
      <x:c r="K2648" s="3"/>
      <x:c r="L2648" s="3"/>
    </x:row>
    <x:row r="2649" ht="22" customHeight="1">
      <x:c r="A2649" s="3"/>
      <x:c r="B2649" s="3" t="str">
        <x:v>16805</x:v>
      </x:c>
      <x:c r="C2649" s="3" t="n">
        <x:v>2</x:v>
      </x:c>
      <x:c r="D2649" s="51" t="n">
        <x:v>40713</x:v>
      </x:c>
      <x:c r="E2649" s="3" t="str">
        <x:v>Recurrente</x:v>
      </x:c>
      <x:c r="F2649" s="13" t="n">
        <x:v>460.59</x:v>
      </x:c>
      <x:c r="G2649" s="13" t="n">
        <x:v>0</x:v>
      </x:c>
      <x:c r="H2649" s="13" t="n">
        <x:f>F2649-G2649</x:f>
        <x:v>460.59</x:v>
      </x:c>
      <x:c r="I2649" s="13" t="n">
        <x:f>IF(C2649=0,"n.a.",F2649/C2649)</x:f>
        <x:v>230.295</x:v>
      </x:c>
      <x:c r="J2649" s="3"/>
      <x:c r="K2649" s="3"/>
      <x:c r="L2649" s="3"/>
    </x:row>
    <x:row r="2650" ht="22" customHeight="1">
      <x:c r="A2650" s="3"/>
      <x:c r="B2650" s="3" t="str">
        <x:v>12667</x:v>
      </x:c>
      <x:c r="C2650" s="3" t="n">
        <x:v>1</x:v>
      </x:c>
      <x:c r="D2650" s="51" t="n">
        <x:v>40828</x:v>
      </x:c>
      <x:c r="E2650" s="3" t="str">
        <x:v>Una compra</x:v>
      </x:c>
      <x:c r="F2650" s="13" t="n">
        <x:v>460.13</x:v>
      </x:c>
      <x:c r="G2650" s="13" t="n">
        <x:v>0</x:v>
      </x:c>
      <x:c r="H2650" s="13" t="n">
        <x:f>F2650-G2650</x:f>
        <x:v>460.13</x:v>
      </x:c>
      <x:c r="I2650" s="13" t="n">
        <x:f>IF(C2650=0,"n.a.",F2650/C2650)</x:f>
        <x:v>460.13</x:v>
      </x:c>
      <x:c r="J2650" s="3"/>
      <x:c r="K2650" s="3"/>
      <x:c r="L2650" s="3"/>
    </x:row>
    <x:row r="2651" ht="22" customHeight="1">
      <x:c r="A2651" s="3"/>
      <x:c r="B2651" s="3" t="str">
        <x:v>15535</x:v>
      </x:c>
      <x:c r="C2651" s="3" t="n">
        <x:v>4</x:v>
      </x:c>
      <x:c r="D2651" s="51" t="n">
        <x:v>40713</x:v>
      </x:c>
      <x:c r="E2651" s="3" t="str">
        <x:v>Recurrente</x:v>
      </x:c>
      <x:c r="F2651" s="13" t="n">
        <x:v>536.4</x:v>
      </x:c>
      <x:c r="G2651" s="13" t="n">
        <x:v>76.5</x:v>
      </x:c>
      <x:c r="H2651" s="13" t="n">
        <x:f>F2651-G2651</x:f>
        <x:v>459.9</x:v>
      </x:c>
      <x:c r="I2651" s="13" t="n">
        <x:f>IF(C2651=0,"n.a.",F2651/C2651)</x:f>
        <x:v>134.1</x:v>
      </x:c>
      <x:c r="J2651" s="3"/>
      <x:c r="K2651" s="3"/>
      <x:c r="L2651" s="3"/>
    </x:row>
    <x:row r="2652" ht="22" customHeight="1">
      <x:c r="A2652" s="3"/>
      <x:c r="B2652" s="3" t="str">
        <x:v>13092</x:v>
      </x:c>
      <x:c r="C2652" s="3" t="n">
        <x:v>5</x:v>
      </x:c>
      <x:c r="D2652" s="51" t="n">
        <x:v>40816</x:v>
      </x:c>
      <x:c r="E2652" s="3" t="str">
        <x:v>Recurrente</x:v>
      </x:c>
      <x:c r="F2652" s="13" t="n">
        <x:v>477.83</x:v>
      </x:c>
      <x:c r="G2652" s="13" t="n">
        <x:v>18</x:v>
      </x:c>
      <x:c r="H2652" s="13" t="n">
        <x:f>F2652-G2652</x:f>
        <x:v>459.83</x:v>
      </x:c>
      <x:c r="I2652" s="13" t="n">
        <x:f>IF(C2652=0,"n.a.",F2652/C2652)</x:f>
        <x:v>95.566</x:v>
      </x:c>
      <x:c r="J2652" s="3"/>
      <x:c r="K2652" s="3"/>
      <x:c r="L2652" s="3"/>
    </x:row>
    <x:row r="2653" ht="22" customHeight="1">
      <x:c r="A2653" s="3"/>
      <x:c r="B2653" s="3" t="str">
        <x:v>12355</x:v>
      </x:c>
      <x:c r="C2653" s="3" t="n">
        <x:v>1</x:v>
      </x:c>
      <x:c r="D2653" s="51" t="n">
        <x:v>40672</x:v>
      </x:c>
      <x:c r="E2653" s="3" t="str">
        <x:v>Una compra</x:v>
      </x:c>
      <x:c r="F2653" s="13" t="n">
        <x:v>459.4</x:v>
      </x:c>
      <x:c r="G2653" s="13" t="n">
        <x:v>0</x:v>
      </x:c>
      <x:c r="H2653" s="13" t="n">
        <x:f>F2653-G2653</x:f>
        <x:v>459.4</x:v>
      </x:c>
      <x:c r="I2653" s="13" t="n">
        <x:f>IF(C2653=0,"n.a.",F2653/C2653)</x:f>
        <x:v>459.4</x:v>
      </x:c>
      <x:c r="J2653" s="3"/>
      <x:c r="K2653" s="3"/>
      <x:c r="L2653" s="3"/>
    </x:row>
    <x:row r="2654" ht="22" customHeight="1">
      <x:c r="A2654" s="3"/>
      <x:c r="B2654" s="3" t="str">
        <x:v>16589</x:v>
      </x:c>
      <x:c r="C2654" s="3" t="n">
        <x:v>3</x:v>
      </x:c>
      <x:c r="D2654" s="51" t="n">
        <x:v>40815</x:v>
      </x:c>
      <x:c r="E2654" s="3" t="str">
        <x:v>Recurrente</x:v>
      </x:c>
      <x:c r="F2654" s="13" t="n">
        <x:v>459.24</x:v>
      </x:c>
      <x:c r="G2654" s="13" t="n">
        <x:v>0</x:v>
      </x:c>
      <x:c r="H2654" s="13" t="n">
        <x:f>F2654-G2654</x:f>
        <x:v>459.24</x:v>
      </x:c>
      <x:c r="I2654" s="13" t="n">
        <x:f>IF(C2654=0,"n.a.",F2654/C2654)</x:f>
        <x:v>153.08</x:v>
      </x:c>
      <x:c r="J2654" s="3"/>
      <x:c r="K2654" s="3"/>
      <x:c r="L2654" s="3"/>
    </x:row>
    <x:row r="2655" ht="22" customHeight="1">
      <x:c r="A2655" s="3"/>
      <x:c r="B2655" s="3" t="str">
        <x:v>17880</x:v>
      </x:c>
      <x:c r="C2655" s="3" t="n">
        <x:v>1</x:v>
      </x:c>
      <x:c r="D2655" s="51" t="n">
        <x:v>40522</x:v>
      </x:c>
      <x:c r="E2655" s="3" t="str">
        <x:v>Una compra</x:v>
      </x:c>
      <x:c r="F2655" s="13" t="n">
        <x:v>458.92</x:v>
      </x:c>
      <x:c r="G2655" s="13" t="n">
        <x:v>0</x:v>
      </x:c>
      <x:c r="H2655" s="13" t="n">
        <x:f>F2655-G2655</x:f>
        <x:v>458.92</x:v>
      </x:c>
      <x:c r="I2655" s="13" t="n">
        <x:f>IF(C2655=0,"n.a.",F2655/C2655)</x:f>
        <x:v>458.92</x:v>
      </x:c>
      <x:c r="J2655" s="3"/>
      <x:c r="K2655" s="3"/>
      <x:c r="L2655" s="3"/>
    </x:row>
    <x:row r="2656" ht="22" customHeight="1">
      <x:c r="A2656" s="3"/>
      <x:c r="B2656" s="3" t="str">
        <x:v>12811</x:v>
      </x:c>
      <x:c r="C2656" s="3" t="n">
        <x:v>2</x:v>
      </x:c>
      <x:c r="D2656" s="51" t="n">
        <x:v>40625</x:v>
      </x:c>
      <x:c r="E2656" s="3" t="str">
        <x:v>Recurrente</x:v>
      </x:c>
      <x:c r="F2656" s="13" t="n">
        <x:v>458.85</x:v>
      </x:c>
      <x:c r="G2656" s="13" t="n">
        <x:v>0</x:v>
      </x:c>
      <x:c r="H2656" s="13" t="n">
        <x:f>F2656-G2656</x:f>
        <x:v>458.85</x:v>
      </x:c>
      <x:c r="I2656" s="13" t="n">
        <x:f>IF(C2656=0,"n.a.",F2656/C2656)</x:f>
        <x:v>229.425</x:v>
      </x:c>
      <x:c r="J2656" s="3"/>
      <x:c r="K2656" s="3"/>
      <x:c r="L2656" s="3"/>
    </x:row>
    <x:row r="2657" ht="22" customHeight="1">
      <x:c r="A2657" s="3"/>
      <x:c r="B2657" s="3" t="str">
        <x:v>16768</x:v>
      </x:c>
      <x:c r="C2657" s="3" t="n">
        <x:v>3</x:v>
      </x:c>
      <x:c r="D2657" s="51" t="n">
        <x:v>40839</x:v>
      </x:c>
      <x:c r="E2657" s="3" t="str">
        <x:v>Recurrente</x:v>
      </x:c>
      <x:c r="F2657" s="13" t="n">
        <x:v>478.09</x:v>
      </x:c>
      <x:c r="G2657" s="13" t="n">
        <x:v>20.05</x:v>
      </x:c>
      <x:c r="H2657" s="13" t="n">
        <x:f>F2657-G2657</x:f>
        <x:v>458.03999999999996</x:v>
      </x:c>
      <x:c r="I2657" s="13" t="n">
        <x:f>IF(C2657=0,"n.a.",F2657/C2657)</x:f>
        <x:v>159.36333333333332</x:v>
      </x:c>
      <x:c r="J2657" s="3"/>
      <x:c r="K2657" s="3"/>
      <x:c r="L2657" s="3"/>
    </x:row>
    <x:row r="2658" ht="22" customHeight="1">
      <x:c r="A2658" s="3"/>
      <x:c r="B2658" s="3" t="str">
        <x:v>15092</x:v>
      </x:c>
      <x:c r="C2658" s="3" t="n">
        <x:v>2</x:v>
      </x:c>
      <x:c r="D2658" s="51" t="n">
        <x:v>40671</x:v>
      </x:c>
      <x:c r="E2658" s="3" t="str">
        <x:v>Recurrente</x:v>
      </x:c>
      <x:c r="F2658" s="13" t="n">
        <x:v>457.81</x:v>
      </x:c>
      <x:c r="G2658" s="13" t="n">
        <x:v>0</x:v>
      </x:c>
      <x:c r="H2658" s="13" t="n">
        <x:f>F2658-G2658</x:f>
        <x:v>457.81</x:v>
      </x:c>
      <x:c r="I2658" s="13" t="n">
        <x:f>IF(C2658=0,"n.a.",F2658/C2658)</x:f>
        <x:v>228.905</x:v>
      </x:c>
      <x:c r="J2658" s="3"/>
      <x:c r="K2658" s="3"/>
      <x:c r="L2658" s="3"/>
    </x:row>
    <x:row r="2659" ht="22" customHeight="1">
      <x:c r="A2659" s="3"/>
      <x:c r="B2659" s="3" t="str">
        <x:v>15121</x:v>
      </x:c>
      <x:c r="C2659" s="3" t="n">
        <x:v>2</x:v>
      </x:c>
      <x:c r="D2659" s="51" t="n">
        <x:v>40836</x:v>
      </x:c>
      <x:c r="E2659" s="3" t="str">
        <x:v>Recurrente</x:v>
      </x:c>
      <x:c r="F2659" s="13" t="n">
        <x:v>457.72</x:v>
      </x:c>
      <x:c r="G2659" s="13" t="n">
        <x:v>0</x:v>
      </x:c>
      <x:c r="H2659" s="13" t="n">
        <x:f>F2659-G2659</x:f>
        <x:v>457.72</x:v>
      </x:c>
      <x:c r="I2659" s="13" t="n">
        <x:f>IF(C2659=0,"n.a.",F2659/C2659)</x:f>
        <x:v>228.86</x:v>
      </x:c>
      <x:c r="J2659" s="3"/>
      <x:c r="K2659" s="3"/>
      <x:c r="L2659" s="3"/>
    </x:row>
    <x:row r="2660" ht="22" customHeight="1">
      <x:c r="A2660" s="3"/>
      <x:c r="B2660" s="3" t="str">
        <x:v>14497</x:v>
      </x:c>
      <x:c r="C2660" s="3" t="n">
        <x:v>1</x:v>
      </x:c>
      <x:c r="D2660" s="51" t="n">
        <x:v>40577</x:v>
      </x:c>
      <x:c r="E2660" s="3" t="str">
        <x:v>Una compra</x:v>
      </x:c>
      <x:c r="F2660" s="13" t="n">
        <x:v>475.37</x:v>
      </x:c>
      <x:c r="G2660" s="13" t="n">
        <x:v>17.9</x:v>
      </x:c>
      <x:c r="H2660" s="13" t="n">
        <x:f>F2660-G2660</x:f>
        <x:v>457.47</x:v>
      </x:c>
      <x:c r="I2660" s="13" t="n">
        <x:f>IF(C2660=0,"n.a.",F2660/C2660)</x:f>
        <x:v>475.37</x:v>
      </x:c>
      <x:c r="J2660" s="3"/>
      <x:c r="K2660" s="3"/>
      <x:c r="L2660" s="3"/>
    </x:row>
    <x:row r="2661" ht="22" customHeight="1">
      <x:c r="A2661" s="3"/>
      <x:c r="B2661" s="3" t="str">
        <x:v>13398</x:v>
      </x:c>
      <x:c r="C2661" s="3" t="n">
        <x:v>1</x:v>
      </x:c>
      <x:c r="D2661" s="51" t="n">
        <x:v>40694</x:v>
      </x:c>
      <x:c r="E2661" s="3" t="str">
        <x:v>Una compra</x:v>
      </x:c>
      <x:c r="F2661" s="13" t="n">
        <x:v>457.34</x:v>
      </x:c>
      <x:c r="G2661" s="13" t="n">
        <x:v>0</x:v>
      </x:c>
      <x:c r="H2661" s="13" t="n">
        <x:f>F2661-G2661</x:f>
        <x:v>457.34</x:v>
      </x:c>
      <x:c r="I2661" s="13" t="n">
        <x:f>IF(C2661=0,"n.a.",F2661/C2661)</x:f>
        <x:v>457.34</x:v>
      </x:c>
      <x:c r="J2661" s="3"/>
      <x:c r="K2661" s="3"/>
      <x:c r="L2661" s="3"/>
    </x:row>
    <x:row r="2662" ht="22" customHeight="1">
      <x:c r="A2662" s="3"/>
      <x:c r="B2662" s="3" t="str">
        <x:v>15589</x:v>
      </x:c>
      <x:c r="C2662" s="3" t="n">
        <x:v>3</x:v>
      </x:c>
      <x:c r="D2662" s="51" t="n">
        <x:v>40631</x:v>
      </x:c>
      <x:c r="E2662" s="3" t="str">
        <x:v>Recurrente</x:v>
      </x:c>
      <x:c r="F2662" s="13" t="n">
        <x:v>478.53</x:v>
      </x:c>
      <x:c r="G2662" s="13" t="n">
        <x:v>21.95</x:v>
      </x:c>
      <x:c r="H2662" s="13" t="n">
        <x:f>F2662-G2662</x:f>
        <x:v>456.58</x:v>
      </x:c>
      <x:c r="I2662" s="13" t="n">
        <x:f>IF(C2662=0,"n.a.",F2662/C2662)</x:f>
        <x:v>159.51</x:v>
      </x:c>
      <x:c r="J2662" s="3"/>
      <x:c r="K2662" s="3"/>
      <x:c r="L2662" s="3"/>
    </x:row>
    <x:row r="2663" ht="22" customHeight="1">
      <x:c r="A2663" s="3"/>
      <x:c r="B2663" s="3" t="str">
        <x:v>15018</x:v>
      </x:c>
      <x:c r="C2663" s="3" t="n">
        <x:v>3</x:v>
      </x:c>
      <x:c r="D2663" s="51" t="n">
        <x:v>40848</x:v>
      </x:c>
      <x:c r="E2663" s="3" t="str">
        <x:v>Recurrente</x:v>
      </x:c>
      <x:c r="F2663" s="13" t="n">
        <x:v>496.21</x:v>
      </x:c>
      <x:c r="G2663" s="13" t="n">
        <x:v>39.95</x:v>
      </x:c>
      <x:c r="H2663" s="13" t="n">
        <x:f>F2663-G2663</x:f>
        <x:v>456.26</x:v>
      </x:c>
      <x:c r="I2663" s="13" t="n">
        <x:f>IF(C2663=0,"n.a.",F2663/C2663)</x:f>
        <x:v>165.40333333333334</x:v>
      </x:c>
      <x:c r="J2663" s="3"/>
      <x:c r="K2663" s="3"/>
      <x:c r="L2663" s="3"/>
    </x:row>
    <x:row r="2664" ht="22" customHeight="1">
      <x:c r="A2664" s="3"/>
      <x:c r="B2664" s="3" t="str">
        <x:v>12999</x:v>
      </x:c>
      <x:c r="C2664" s="3" t="n">
        <x:v>3</x:v>
      </x:c>
      <x:c r="D2664" s="51" t="n">
        <x:v>40690</x:v>
      </x:c>
      <x:c r="E2664" s="3" t="str">
        <x:v>Recurrente</x:v>
      </x:c>
      <x:c r="F2664" s="13" t="n">
        <x:v>455.88</x:v>
      </x:c>
      <x:c r="G2664" s="13" t="n">
        <x:v>0</x:v>
      </x:c>
      <x:c r="H2664" s="13" t="n">
        <x:f>F2664-G2664</x:f>
        <x:v>455.88</x:v>
      </x:c>
      <x:c r="I2664" s="13" t="n">
        <x:f>IF(C2664=0,"n.a.",F2664/C2664)</x:f>
        <x:v>151.96</x:v>
      </x:c>
      <x:c r="J2664" s="3"/>
      <x:c r="K2664" s="3"/>
      <x:c r="L2664" s="3"/>
    </x:row>
    <x:row r="2665" ht="22" customHeight="1">
      <x:c r="A2665" s="3"/>
      <x:c r="B2665" s="3" t="str">
        <x:v>15754</x:v>
      </x:c>
      <x:c r="C2665" s="3" t="n">
        <x:v>3</x:v>
      </x:c>
      <x:c r="D2665" s="51" t="n">
        <x:v>40835</x:v>
      </x:c>
      <x:c r="E2665" s="3" t="str">
        <x:v>Recurrente</x:v>
      </x:c>
      <x:c r="F2665" s="13" t="n">
        <x:v>458.57</x:v>
      </x:c>
      <x:c r="G2665" s="13" t="n">
        <x:v>2.9</x:v>
      </x:c>
      <x:c r="H2665" s="13" t="n">
        <x:f>F2665-G2665</x:f>
        <x:v>455.67</x:v>
      </x:c>
      <x:c r="I2665" s="13" t="n">
        <x:f>IF(C2665=0,"n.a.",F2665/C2665)</x:f>
        <x:v>152.85666666666665</x:v>
      </x:c>
      <x:c r="J2665" s="3"/>
      <x:c r="K2665" s="3"/>
      <x:c r="L2665" s="3"/>
    </x:row>
    <x:row r="2666" ht="22" customHeight="1">
      <x:c r="A2666" s="3"/>
      <x:c r="B2666" s="3" t="str">
        <x:v>12808</x:v>
      </x:c>
      <x:c r="C2666" s="3" t="n">
        <x:v>3</x:v>
      </x:c>
      <x:c r="D2666" s="51" t="n">
        <x:v>40850</x:v>
      </x:c>
      <x:c r="E2666" s="3" t="str">
        <x:v>Recurrente</x:v>
      </x:c>
      <x:c r="F2666" s="13" t="n">
        <x:v>455.65</x:v>
      </x:c>
      <x:c r="G2666" s="13" t="n">
        <x:v>0</x:v>
      </x:c>
      <x:c r="H2666" s="13" t="n">
        <x:f>F2666-G2666</x:f>
        <x:v>455.65</x:v>
      </x:c>
      <x:c r="I2666" s="13" t="n">
        <x:f>IF(C2666=0,"n.a.",F2666/C2666)</x:f>
        <x:v>151.88333333333333</x:v>
      </x:c>
      <x:c r="J2666" s="3"/>
      <x:c r="K2666" s="3"/>
      <x:c r="L2666" s="3"/>
    </x:row>
    <x:row r="2667" ht="22" customHeight="1">
      <x:c r="A2667" s="3"/>
      <x:c r="B2667" s="3" t="str">
        <x:v>15585</x:v>
      </x:c>
      <x:c r="C2667" s="3" t="n">
        <x:v>1</x:v>
      </x:c>
      <x:c r="D2667" s="51" t="n">
        <x:v>40710</x:v>
      </x:c>
      <x:c r="E2667" s="3" t="str">
        <x:v>Una compra</x:v>
      </x:c>
      <x:c r="F2667" s="13" t="n">
        <x:v>455.3</x:v>
      </x:c>
      <x:c r="G2667" s="13" t="n">
        <x:v>0</x:v>
      </x:c>
      <x:c r="H2667" s="13" t="n">
        <x:f>F2667-G2667</x:f>
        <x:v>455.3</x:v>
      </x:c>
      <x:c r="I2667" s="13" t="n">
        <x:f>IF(C2667=0,"n.a.",F2667/C2667)</x:f>
        <x:v>455.3</x:v>
      </x:c>
      <x:c r="J2667" s="3"/>
      <x:c r="K2667" s="3"/>
      <x:c r="L2667" s="3"/>
    </x:row>
    <x:row r="2668" ht="22" customHeight="1">
      <x:c r="A2668" s="3"/>
      <x:c r="B2668" s="3" t="str">
        <x:v>16529</x:v>
      </x:c>
      <x:c r="C2668" s="3" t="n">
        <x:v>1</x:v>
      </x:c>
      <x:c r="D2668" s="51" t="n">
        <x:v>40696</x:v>
      </x:c>
      <x:c r="E2668" s="3" t="str">
        <x:v>Una compra</x:v>
      </x:c>
      <x:c r="F2668" s="13" t="n">
        <x:v>455.25</x:v>
      </x:c>
      <x:c r="G2668" s="13" t="n">
        <x:v>0</x:v>
      </x:c>
      <x:c r="H2668" s="13" t="n">
        <x:f>F2668-G2668</x:f>
        <x:v>455.25</x:v>
      </x:c>
      <x:c r="I2668" s="13" t="n">
        <x:f>IF(C2668=0,"n.a.",F2668/C2668)</x:f>
        <x:v>455.25</x:v>
      </x:c>
      <x:c r="J2668" s="3"/>
      <x:c r="K2668" s="3"/>
      <x:c r="L2668" s="3"/>
    </x:row>
    <x:row r="2669" ht="22" customHeight="1">
      <x:c r="A2669" s="3"/>
      <x:c r="B2669" s="3" t="str">
        <x:v>15223</x:v>
      </x:c>
      <x:c r="C2669" s="3" t="n">
        <x:v>2</x:v>
      </x:c>
      <x:c r="D2669" s="51" t="n">
        <x:v>40661</x:v>
      </x:c>
      <x:c r="E2669" s="3" t="str">
        <x:v>Recurrente</x:v>
      </x:c>
      <x:c r="F2669" s="13" t="n">
        <x:v>755.75</x:v>
      </x:c>
      <x:c r="G2669" s="13" t="n">
        <x:v>300.85</x:v>
      </x:c>
      <x:c r="H2669" s="13" t="n">
        <x:f>F2669-G2669</x:f>
        <x:v>454.9</x:v>
      </x:c>
      <x:c r="I2669" s="13" t="n">
        <x:f>IF(C2669=0,"n.a.",F2669/C2669)</x:f>
        <x:v>377.875</x:v>
      </x:c>
      <x:c r="J2669" s="3"/>
      <x:c r="K2669" s="3"/>
      <x:c r="L2669" s="3"/>
    </x:row>
    <x:row r="2670" ht="22" customHeight="1">
      <x:c r="A2670" s="3"/>
      <x:c r="B2670" s="3" t="str">
        <x:v>16038</x:v>
      </x:c>
      <x:c r="C2670" s="3" t="n">
        <x:v>3</x:v>
      </x:c>
      <x:c r="D2670" s="51" t="n">
        <x:v>40879</x:v>
      </x:c>
      <x:c r="E2670" s="3" t="str">
        <x:v>Recurrente</x:v>
      </x:c>
      <x:c r="F2670" s="13" t="n">
        <x:v>471.78</x:v>
      </x:c>
      <x:c r="G2670" s="13" t="n">
        <x:v>17.45</x:v>
      </x:c>
      <x:c r="H2670" s="13" t="n">
        <x:f>F2670-G2670</x:f>
        <x:v>454.33</x:v>
      </x:c>
      <x:c r="I2670" s="13" t="n">
        <x:f>IF(C2670=0,"n.a.",F2670/C2670)</x:f>
        <x:v>157.26</x:v>
      </x:c>
      <x:c r="J2670" s="3"/>
      <x:c r="K2670" s="3"/>
      <x:c r="L2670" s="3"/>
    </x:row>
    <x:row r="2671" ht="22" customHeight="1">
      <x:c r="A2671" s="3"/>
      <x:c r="B2671" s="3" t="str">
        <x:v>13485</x:v>
      </x:c>
      <x:c r="C2671" s="3" t="n">
        <x:v>1</x:v>
      </x:c>
      <x:c r="D2671" s="51" t="n">
        <x:v>40653</x:v>
      </x:c>
      <x:c r="E2671" s="3" t="str">
        <x:v>Una compra</x:v>
      </x:c>
      <x:c r="F2671" s="13" t="n">
        <x:v>454.24</x:v>
      </x:c>
      <x:c r="G2671" s="13" t="n">
        <x:v>0</x:v>
      </x:c>
      <x:c r="H2671" s="13" t="n">
        <x:f>F2671-G2671</x:f>
        <x:v>454.24</x:v>
      </x:c>
      <x:c r="I2671" s="13" t="n">
        <x:f>IF(C2671=0,"n.a.",F2671/C2671)</x:f>
        <x:v>454.24</x:v>
      </x:c>
      <x:c r="J2671" s="3"/>
      <x:c r="K2671" s="3"/>
      <x:c r="L2671" s="3"/>
    </x:row>
    <x:row r="2672" ht="22" customHeight="1">
      <x:c r="A2672" s="3"/>
      <x:c r="B2672" s="3" t="str">
        <x:v>15475</x:v>
      </x:c>
      <x:c r="C2672" s="3" t="n">
        <x:v>1</x:v>
      </x:c>
      <x:c r="D2672" s="51" t="n">
        <x:v>40809</x:v>
      </x:c>
      <x:c r="E2672" s="3" t="str">
        <x:v>Una compra</x:v>
      </x:c>
      <x:c r="F2672" s="13" t="n">
        <x:v>454.11</x:v>
      </x:c>
      <x:c r="G2672" s="13" t="n">
        <x:v>0</x:v>
      </x:c>
      <x:c r="H2672" s="13" t="n">
        <x:f>F2672-G2672</x:f>
        <x:v>454.11</x:v>
      </x:c>
      <x:c r="I2672" s="13" t="n">
        <x:f>IF(C2672=0,"n.a.",F2672/C2672)</x:f>
        <x:v>454.11</x:v>
      </x:c>
      <x:c r="J2672" s="3"/>
      <x:c r="K2672" s="3"/>
      <x:c r="L2672" s="3"/>
    </x:row>
    <x:row r="2673" ht="22" customHeight="1">
      <x:c r="A2673" s="3"/>
      <x:c r="B2673" s="3" t="str">
        <x:v>17564</x:v>
      </x:c>
      <x:c r="C2673" s="3" t="n">
        <x:v>3</x:v>
      </x:c>
      <x:c r="D2673" s="51" t="n">
        <x:v>40862</x:v>
      </x:c>
      <x:c r="E2673" s="3" t="str">
        <x:v>Recurrente</x:v>
      </x:c>
      <x:c r="F2673" s="13" t="n">
        <x:v>454.01</x:v>
      </x:c>
      <x:c r="G2673" s="13" t="n">
        <x:v>0</x:v>
      </x:c>
      <x:c r="H2673" s="13" t="n">
        <x:f>F2673-G2673</x:f>
        <x:v>454.01</x:v>
      </x:c>
      <x:c r="I2673" s="13" t="n">
        <x:f>IF(C2673=0,"n.a.",F2673/C2673)</x:f>
        <x:v>151.33666666666667</x:v>
      </x:c>
      <x:c r="J2673" s="3"/>
      <x:c r="K2673" s="3"/>
      <x:c r="L2673" s="3"/>
    </x:row>
    <x:row r="2674" ht="22" customHeight="1">
      <x:c r="A2674" s="3"/>
      <x:c r="B2674" s="3" t="str">
        <x:v>18071</x:v>
      </x:c>
      <x:c r="C2674" s="3" t="n">
        <x:v>2</x:v>
      </x:c>
      <x:c r="D2674" s="51" t="n">
        <x:v>40629</x:v>
      </x:c>
      <x:c r="E2674" s="3" t="str">
        <x:v>Recurrente</x:v>
      </x:c>
      <x:c r="F2674" s="13" t="n">
        <x:v>453</x:v>
      </x:c>
      <x:c r="G2674" s="13" t="n">
        <x:v>0</x:v>
      </x:c>
      <x:c r="H2674" s="13" t="n">
        <x:f>F2674-G2674</x:f>
        <x:v>453</x:v>
      </x:c>
      <x:c r="I2674" s="13" t="n">
        <x:f>IF(C2674=0,"n.a.",F2674/C2674)</x:f>
        <x:v>226.5</x:v>
      </x:c>
      <x:c r="J2674" s="3"/>
      <x:c r="K2674" s="3"/>
      <x:c r="L2674" s="3"/>
    </x:row>
    <x:row r="2675" ht="22" customHeight="1">
      <x:c r="A2675" s="3"/>
      <x:c r="B2675" s="3" t="str">
        <x:v>14184</x:v>
      </x:c>
      <x:c r="C2675" s="3" t="n">
        <x:v>1</x:v>
      </x:c>
      <x:c r="D2675" s="51" t="n">
        <x:v>40820</x:v>
      </x:c>
      <x:c r="E2675" s="3" t="str">
        <x:v>Una compra</x:v>
      </x:c>
      <x:c r="F2675" s="13" t="n">
        <x:v>452.89</x:v>
      </x:c>
      <x:c r="G2675" s="13" t="n">
        <x:v>0</x:v>
      </x:c>
      <x:c r="H2675" s="13" t="n">
        <x:f>F2675-G2675</x:f>
        <x:v>452.89</x:v>
      </x:c>
      <x:c r="I2675" s="13" t="n">
        <x:f>IF(C2675=0,"n.a.",F2675/C2675)</x:f>
        <x:v>452.89</x:v>
      </x:c>
      <x:c r="J2675" s="3"/>
      <x:c r="K2675" s="3"/>
      <x:c r="L2675" s="3"/>
    </x:row>
    <x:row r="2676" ht="22" customHeight="1">
      <x:c r="A2676" s="3"/>
      <x:c r="B2676" s="3" t="str">
        <x:v>13506</x:v>
      </x:c>
      <x:c r="C2676" s="3" t="n">
        <x:v>2</x:v>
      </x:c>
      <x:c r="D2676" s="51" t="n">
        <x:v>40570</x:v>
      </x:c>
      <x:c r="E2676" s="3" t="str">
        <x:v>Recurrente</x:v>
      </x:c>
      <x:c r="F2676" s="13" t="n">
        <x:v>458.52</x:v>
      </x:c>
      <x:c r="G2676" s="13" t="n">
        <x:v>5.7</x:v>
      </x:c>
      <x:c r="H2676" s="13" t="n">
        <x:f>F2676-G2676</x:f>
        <x:v>452.82</x:v>
      </x:c>
      <x:c r="I2676" s="13" t="n">
        <x:f>IF(C2676=0,"n.a.",F2676/C2676)</x:f>
        <x:v>229.26</x:v>
      </x:c>
      <x:c r="J2676" s="3"/>
      <x:c r="K2676" s="3"/>
      <x:c r="L2676" s="3"/>
    </x:row>
    <x:row r="2677" ht="22" customHeight="1">
      <x:c r="A2677" s="3"/>
      <x:c r="B2677" s="3" t="str">
        <x:v>17460</x:v>
      </x:c>
      <x:c r="C2677" s="3" t="n">
        <x:v>6</x:v>
      </x:c>
      <x:c r="D2677" s="51" t="n">
        <x:v>40792</x:v>
      </x:c>
      <x:c r="E2677" s="3" t="str">
        <x:v>Recurrente</x:v>
      </x:c>
      <x:c r="F2677" s="13" t="n">
        <x:v>622.43</x:v>
      </x:c>
      <x:c r="G2677" s="13" t="n">
        <x:v>169.8</x:v>
      </x:c>
      <x:c r="H2677" s="13" t="n">
        <x:f>F2677-G2677</x:f>
        <x:v>452.62999999999994</x:v>
      </x:c>
      <x:c r="I2677" s="13" t="n">
        <x:f>IF(C2677=0,"n.a.",F2677/C2677)</x:f>
        <x:v>103.73833333333333</x:v>
      </x:c>
      <x:c r="J2677" s="3"/>
      <x:c r="K2677" s="3"/>
      <x:c r="L2677" s="3"/>
    </x:row>
    <x:row r="2678" ht="22" customHeight="1">
      <x:c r="A2678" s="3"/>
      <x:c r="B2678" s="3" t="str">
        <x:v>12970</x:v>
      </x:c>
      <x:c r="C2678" s="3" t="n">
        <x:v>4</x:v>
      </x:c>
      <x:c r="D2678" s="51" t="n">
        <x:v>40879</x:v>
      </x:c>
      <x:c r="E2678" s="3" t="str">
        <x:v>Recurrente</x:v>
      </x:c>
      <x:c r="F2678" s="13" t="n">
        <x:v>452.24</x:v>
      </x:c>
      <x:c r="G2678" s="13" t="n">
        <x:v>0</x:v>
      </x:c>
      <x:c r="H2678" s="13" t="n">
        <x:f>F2678-G2678</x:f>
        <x:v>452.24</x:v>
      </x:c>
      <x:c r="I2678" s="13" t="n">
        <x:f>IF(C2678=0,"n.a.",F2678/C2678)</x:f>
        <x:v>113.06</x:v>
      </x:c>
      <x:c r="J2678" s="3"/>
      <x:c r="K2678" s="3"/>
      <x:c r="L2678" s="3"/>
    </x:row>
    <x:row r="2679" ht="22" customHeight="1">
      <x:c r="A2679" s="3"/>
      <x:c r="B2679" s="3" t="str">
        <x:v>12816</x:v>
      </x:c>
      <x:c r="C2679" s="3" t="n">
        <x:v>2</x:v>
      </x:c>
      <x:c r="D2679" s="51" t="n">
        <x:v>40791</x:v>
      </x:c>
      <x:c r="E2679" s="3" t="str">
        <x:v>Recurrente</x:v>
      </x:c>
      <x:c r="F2679" s="13" t="n">
        <x:v>452.2</x:v>
      </x:c>
      <x:c r="G2679" s="13" t="n">
        <x:v>0</x:v>
      </x:c>
      <x:c r="H2679" s="13" t="n">
        <x:f>F2679-G2679</x:f>
        <x:v>452.2</x:v>
      </x:c>
      <x:c r="I2679" s="13" t="n">
        <x:f>IF(C2679=0,"n.a.",F2679/C2679)</x:f>
        <x:v>226.1</x:v>
      </x:c>
      <x:c r="J2679" s="3"/>
      <x:c r="K2679" s="3"/>
      <x:c r="L2679" s="3"/>
    </x:row>
    <x:row r="2680" ht="22" customHeight="1">
      <x:c r="A2680" s="3"/>
      <x:c r="B2680" s="3" t="str">
        <x:v>17392</x:v>
      </x:c>
      <x:c r="C2680" s="3" t="n">
        <x:v>2</x:v>
      </x:c>
      <x:c r="D2680" s="51" t="n">
        <x:v>40580</x:v>
      </x:c>
      <x:c r="E2680" s="3" t="str">
        <x:v>Recurrente</x:v>
      </x:c>
      <x:c r="F2680" s="13" t="n">
        <x:v>451.91</x:v>
      </x:c>
      <x:c r="G2680" s="13" t="n">
        <x:v>0</x:v>
      </x:c>
      <x:c r="H2680" s="13" t="n">
        <x:f>F2680-G2680</x:f>
        <x:v>451.91</x:v>
      </x:c>
      <x:c r="I2680" s="13" t="n">
        <x:f>IF(C2680=0,"n.a.",F2680/C2680)</x:f>
        <x:v>225.955</x:v>
      </x:c>
      <x:c r="J2680" s="3"/>
      <x:c r="K2680" s="3"/>
      <x:c r="L2680" s="3"/>
    </x:row>
    <x:row r="2681" ht="22" customHeight="1">
      <x:c r="A2681" s="3"/>
      <x:c r="B2681" s="3" t="str">
        <x:v>18158</x:v>
      </x:c>
      <x:c r="C2681" s="3" t="n">
        <x:v>2</x:v>
      </x:c>
      <x:c r="D2681" s="51" t="n">
        <x:v>40877</x:v>
      </x:c>
      <x:c r="E2681" s="3" t="str">
        <x:v>Recurrente</x:v>
      </x:c>
      <x:c r="F2681" s="13" t="n">
        <x:v>453.4</x:v>
      </x:c>
      <x:c r="G2681" s="13" t="n">
        <x:v>1.65</x:v>
      </x:c>
      <x:c r="H2681" s="13" t="n">
        <x:f>F2681-G2681</x:f>
        <x:v>451.75</x:v>
      </x:c>
      <x:c r="I2681" s="13" t="n">
        <x:f>IF(C2681=0,"n.a.",F2681/C2681)</x:f>
        <x:v>226.7</x:v>
      </x:c>
      <x:c r="J2681" s="3"/>
      <x:c r="K2681" s="3"/>
      <x:c r="L2681" s="3"/>
    </x:row>
    <x:row r="2682" ht="22" customHeight="1">
      <x:c r="A2682" s="3"/>
      <x:c r="B2682" s="3" t="str">
        <x:v>16574</x:v>
      </x:c>
      <x:c r="C2682" s="3" t="n">
        <x:v>1</x:v>
      </x:c>
      <x:c r="D2682" s="51" t="n">
        <x:v>40815</x:v>
      </x:c>
      <x:c r="E2682" s="3" t="str">
        <x:v>Una compra</x:v>
      </x:c>
      <x:c r="F2682" s="13" t="n">
        <x:v>451.44</x:v>
      </x:c>
      <x:c r="G2682" s="13" t="n">
        <x:v>0</x:v>
      </x:c>
      <x:c r="H2682" s="13" t="n">
        <x:f>F2682-G2682</x:f>
        <x:v>451.44</x:v>
      </x:c>
      <x:c r="I2682" s="13" t="n">
        <x:f>IF(C2682=0,"n.a.",F2682/C2682)</x:f>
        <x:v>451.44</x:v>
      </x:c>
      <x:c r="J2682" s="3"/>
      <x:c r="K2682" s="3"/>
      <x:c r="L2682" s="3"/>
    </x:row>
    <x:row r="2683" ht="22" customHeight="1">
      <x:c r="A2683" s="3"/>
      <x:c r="B2683" s="3" t="str">
        <x:v>14173</x:v>
      </x:c>
      <x:c r="C2683" s="3" t="n">
        <x:v>4</x:v>
      </x:c>
      <x:c r="D2683" s="51" t="n">
        <x:v>40876</x:v>
      </x:c>
      <x:c r="E2683" s="3" t="str">
        <x:v>Recurrente</x:v>
      </x:c>
      <x:c r="F2683" s="13" t="n">
        <x:v>450.84</x:v>
      </x:c>
      <x:c r="G2683" s="13" t="n">
        <x:v>0</x:v>
      </x:c>
      <x:c r="H2683" s="13" t="n">
        <x:f>F2683-G2683</x:f>
        <x:v>450.84</x:v>
      </x:c>
      <x:c r="I2683" s="13" t="n">
        <x:f>IF(C2683=0,"n.a.",F2683/C2683)</x:f>
        <x:v>112.71</x:v>
      </x:c>
      <x:c r="J2683" s="3"/>
      <x:c r="K2683" s="3"/>
      <x:c r="L2683" s="3"/>
    </x:row>
    <x:row r="2684" ht="22" customHeight="1">
      <x:c r="A2684" s="3"/>
      <x:c r="B2684" s="3" t="str">
        <x:v>12596</x:v>
      </x:c>
      <x:c r="C2684" s="3" t="n">
        <x:v>2</x:v>
      </x:c>
      <x:c r="D2684" s="51" t="n">
        <x:v>40835</x:v>
      </x:c>
      <x:c r="E2684" s="3" t="str">
        <x:v>Recurrente</x:v>
      </x:c>
      <x:c r="F2684" s="13" t="n">
        <x:v>450.27</x:v>
      </x:c>
      <x:c r="G2684" s="13" t="n">
        <x:v>0</x:v>
      </x:c>
      <x:c r="H2684" s="13" t="n">
        <x:f>F2684-G2684</x:f>
        <x:v>450.27</x:v>
      </x:c>
      <x:c r="I2684" s="13" t="n">
        <x:f>IF(C2684=0,"n.a.",F2684/C2684)</x:f>
        <x:v>225.135</x:v>
      </x:c>
      <x:c r="J2684" s="3"/>
      <x:c r="K2684" s="3"/>
      <x:c r="L2684" s="3"/>
    </x:row>
    <x:row r="2685" ht="22" customHeight="1">
      <x:c r="A2685" s="3"/>
      <x:c r="B2685" s="3" t="str">
        <x:v>17040</x:v>
      </x:c>
      <x:c r="C2685" s="3" t="n">
        <x:v>1</x:v>
      </x:c>
      <x:c r="D2685" s="51" t="n">
        <x:v>40749</x:v>
      </x:c>
      <x:c r="E2685" s="3" t="str">
        <x:v>Una compra</x:v>
      </x:c>
      <x:c r="F2685" s="13" t="n">
        <x:v>449.73</x:v>
      </x:c>
      <x:c r="G2685" s="13" t="n">
        <x:v>0</x:v>
      </x:c>
      <x:c r="H2685" s="13" t="n">
        <x:f>F2685-G2685</x:f>
        <x:v>449.73</x:v>
      </x:c>
      <x:c r="I2685" s="13" t="n">
        <x:f>IF(C2685=0,"n.a.",F2685/C2685)</x:f>
        <x:v>449.73</x:v>
      </x:c>
      <x:c r="J2685" s="3"/>
      <x:c r="K2685" s="3"/>
      <x:c r="L2685" s="3"/>
    </x:row>
    <x:row r="2686" ht="22" customHeight="1">
      <x:c r="A2686" s="3"/>
      <x:c r="B2686" s="3" t="str">
        <x:v>13489</x:v>
      </x:c>
      <x:c r="C2686" s="3" t="n">
        <x:v>4</x:v>
      </x:c>
      <x:c r="D2686" s="51" t="n">
        <x:v>40781</x:v>
      </x:c>
      <x:c r="E2686" s="3" t="str">
        <x:v>Recurrente</x:v>
      </x:c>
      <x:c r="F2686" s="13" t="n">
        <x:v>449.52</x:v>
      </x:c>
      <x:c r="G2686" s="13" t="n">
        <x:v>0</x:v>
      </x:c>
      <x:c r="H2686" s="13" t="n">
        <x:f>F2686-G2686</x:f>
        <x:v>449.52</x:v>
      </x:c>
      <x:c r="I2686" s="13" t="n">
        <x:f>IF(C2686=0,"n.a.",F2686/C2686)</x:f>
        <x:v>112.38</x:v>
      </x:c>
      <x:c r="J2686" s="3"/>
      <x:c r="K2686" s="3"/>
      <x:c r="L2686" s="3"/>
    </x:row>
    <x:row r="2687" ht="22" customHeight="1">
      <x:c r="A2687" s="3"/>
      <x:c r="B2687" s="3" t="str">
        <x:v>15739</x:v>
      </x:c>
      <x:c r="C2687" s="3" t="n">
        <x:v>1</x:v>
      </x:c>
      <x:c r="D2687" s="51" t="n">
        <x:v>40820</x:v>
      </x:c>
      <x:c r="E2687" s="3" t="str">
        <x:v>Una compra</x:v>
      </x:c>
      <x:c r="F2687" s="13" t="n">
        <x:v>449.12</x:v>
      </x:c>
      <x:c r="G2687" s="13" t="n">
        <x:v>0</x:v>
      </x:c>
      <x:c r="H2687" s="13" t="n">
        <x:f>F2687-G2687</x:f>
        <x:v>449.12</x:v>
      </x:c>
      <x:c r="I2687" s="13" t="n">
        <x:f>IF(C2687=0,"n.a.",F2687/C2687)</x:f>
        <x:v>449.12</x:v>
      </x:c>
      <x:c r="J2687" s="3"/>
      <x:c r="K2687" s="3"/>
      <x:c r="L2687" s="3"/>
    </x:row>
    <x:row r="2688" ht="22" customHeight="1">
      <x:c r="A2688" s="3"/>
      <x:c r="B2688" s="3" t="str">
        <x:v>18176</x:v>
      </x:c>
      <x:c r="C2688" s="3" t="n">
        <x:v>1</x:v>
      </x:c>
      <x:c r="D2688" s="51" t="n">
        <x:v>40528</x:v>
      </x:c>
      <x:c r="E2688" s="3" t="str">
        <x:v>Una compra</x:v>
      </x:c>
      <x:c r="F2688" s="13" t="n">
        <x:v>476.35</x:v>
      </x:c>
      <x:c r="G2688" s="13" t="n">
        <x:v>27.7</x:v>
      </x:c>
      <x:c r="H2688" s="13" t="n">
        <x:f>F2688-G2688</x:f>
        <x:v>448.65000000000003</x:v>
      </x:c>
      <x:c r="I2688" s="13" t="n">
        <x:f>IF(C2688=0,"n.a.",F2688/C2688)</x:f>
        <x:v>476.35</x:v>
      </x:c>
      <x:c r="J2688" s="3"/>
      <x:c r="K2688" s="3"/>
      <x:c r="L2688" s="3"/>
    </x:row>
    <x:row r="2689" ht="22" customHeight="1">
      <x:c r="A2689" s="3"/>
      <x:c r="B2689" s="3" t="str">
        <x:v>14780</x:v>
      </x:c>
      <x:c r="C2689" s="3" t="n">
        <x:v>2</x:v>
      </x:c>
      <x:c r="D2689" s="51" t="n">
        <x:v>40832</x:v>
      </x:c>
      <x:c r="E2689" s="3" t="str">
        <x:v>Recurrente</x:v>
      </x:c>
      <x:c r="F2689" s="13" t="n">
        <x:v>447.68</x:v>
      </x:c>
      <x:c r="G2689" s="13" t="n">
        <x:v>0</x:v>
      </x:c>
      <x:c r="H2689" s="13" t="n">
        <x:f>F2689-G2689</x:f>
        <x:v>447.68</x:v>
      </x:c>
      <x:c r="I2689" s="13" t="n">
        <x:f>IF(C2689=0,"n.a.",F2689/C2689)</x:f>
        <x:v>223.84</x:v>
      </x:c>
      <x:c r="J2689" s="3"/>
      <x:c r="K2689" s="3"/>
      <x:c r="L2689" s="3"/>
    </x:row>
    <x:row r="2690" ht="22" customHeight="1">
      <x:c r="A2690" s="3"/>
      <x:c r="B2690" s="3" t="str">
        <x:v>15456</x:v>
      </x:c>
      <x:c r="C2690" s="3" t="n">
        <x:v>3</x:v>
      </x:c>
      <x:c r="D2690" s="51" t="n">
        <x:v>40603</x:v>
      </x:c>
      <x:c r="E2690" s="3" t="str">
        <x:v>Recurrente</x:v>
      </x:c>
      <x:c r="F2690" s="13" t="n">
        <x:v>447.22</x:v>
      </x:c>
      <x:c r="G2690" s="13" t="n">
        <x:v>0</x:v>
      </x:c>
      <x:c r="H2690" s="13" t="n">
        <x:f>F2690-G2690</x:f>
        <x:v>447.22</x:v>
      </x:c>
      <x:c r="I2690" s="13" t="n">
        <x:f>IF(C2690=0,"n.a.",F2690/C2690)</x:f>
        <x:v>149.07333333333335</x:v>
      </x:c>
      <x:c r="J2690" s="3"/>
      <x:c r="K2690" s="3"/>
      <x:c r="L2690" s="3"/>
    </x:row>
    <x:row r="2691" ht="22" customHeight="1">
      <x:c r="A2691" s="3"/>
      <x:c r="B2691" s="3" t="str">
        <x:v>15368</x:v>
      </x:c>
      <x:c r="C2691" s="3" t="n">
        <x:v>1</x:v>
      </x:c>
      <x:c r="D2691" s="51" t="n">
        <x:v>40865</x:v>
      </x:c>
      <x:c r="E2691" s="3" t="str">
        <x:v>Una compra</x:v>
      </x:c>
      <x:c r="F2691" s="13" t="n">
        <x:v>446.94</x:v>
      </x:c>
      <x:c r="G2691" s="13" t="n">
        <x:v>0</x:v>
      </x:c>
      <x:c r="H2691" s="13" t="n">
        <x:f>F2691-G2691</x:f>
        <x:v>446.94</x:v>
      </x:c>
      <x:c r="I2691" s="13" t="n">
        <x:f>IF(C2691=0,"n.a.",F2691/C2691)</x:f>
        <x:v>446.94</x:v>
      </x:c>
      <x:c r="J2691" s="3"/>
      <x:c r="K2691" s="3"/>
      <x:c r="L2691" s="3"/>
    </x:row>
    <x:row r="2692" ht="22" customHeight="1">
      <x:c r="A2692" s="3"/>
      <x:c r="B2692" s="3" t="str">
        <x:v>17370</x:v>
      </x:c>
      <x:c r="C2692" s="3" t="n">
        <x:v>4</x:v>
      </x:c>
      <x:c r="D2692" s="51" t="n">
        <x:v>40814</x:v>
      </x:c>
      <x:c r="E2692" s="3" t="str">
        <x:v>Recurrente</x:v>
      </x:c>
      <x:c r="F2692" s="13" t="n">
        <x:v>446.18</x:v>
      </x:c>
      <x:c r="G2692" s="13" t="n">
        <x:v>0</x:v>
      </x:c>
      <x:c r="H2692" s="13" t="n">
        <x:f>F2692-G2692</x:f>
        <x:v>446.18</x:v>
      </x:c>
      <x:c r="I2692" s="13" t="n">
        <x:f>IF(C2692=0,"n.a.",F2692/C2692)</x:f>
        <x:v>111.545</x:v>
      </x:c>
      <x:c r="J2692" s="3"/>
      <x:c r="K2692" s="3"/>
      <x:c r="L2692" s="3"/>
    </x:row>
    <x:row r="2693" ht="22" customHeight="1">
      <x:c r="A2693" s="3"/>
      <x:c r="B2693" s="3" t="str">
        <x:v>18006</x:v>
      </x:c>
      <x:c r="C2693" s="3" t="n">
        <x:v>1</x:v>
      </x:c>
      <x:c r="D2693" s="51" t="n">
        <x:v>40863</x:v>
      </x:c>
      <x:c r="E2693" s="3" t="str">
        <x:v>Una compra</x:v>
      </x:c>
      <x:c r="F2693" s="13" t="n">
        <x:v>444.68</x:v>
      </x:c>
      <x:c r="G2693" s="13" t="n">
        <x:v>0</x:v>
      </x:c>
      <x:c r="H2693" s="13" t="n">
        <x:f>F2693-G2693</x:f>
        <x:v>444.68</x:v>
      </x:c>
      <x:c r="I2693" s="13" t="n">
        <x:f>IF(C2693=0,"n.a.",F2693/C2693)</x:f>
        <x:v>444.68</x:v>
      </x:c>
      <x:c r="J2693" s="3"/>
      <x:c r="K2693" s="3"/>
      <x:c r="L2693" s="3"/>
    </x:row>
    <x:row r="2694" ht="22" customHeight="1">
      <x:c r="A2694" s="3"/>
      <x:c r="B2694" s="3" t="str">
        <x:v>16898</x:v>
      </x:c>
      <x:c r="C2694" s="3" t="n">
        <x:v>3</x:v>
      </x:c>
      <x:c r="D2694" s="51" t="n">
        <x:v>40860</x:v>
      </x:c>
      <x:c r="E2694" s="3" t="str">
        <x:v>Recurrente</x:v>
      </x:c>
      <x:c r="F2694" s="13" t="n">
        <x:v>508.81</x:v>
      </x:c>
      <x:c r="G2694" s="13" t="n">
        <x:v>64.35</x:v>
      </x:c>
      <x:c r="H2694" s="13" t="n">
        <x:f>F2694-G2694</x:f>
        <x:v>444.46000000000004</x:v>
      </x:c>
      <x:c r="I2694" s="13" t="n">
        <x:f>IF(C2694=0,"n.a.",F2694/C2694)</x:f>
        <x:v>169.60333333333332</x:v>
      </x:c>
      <x:c r="J2694" s="3"/>
      <x:c r="K2694" s="3"/>
      <x:c r="L2694" s="3"/>
    </x:row>
    <x:row r="2695" ht="22" customHeight="1">
      <x:c r="A2695" s="3"/>
      <x:c r="B2695" s="3" t="str">
        <x:v>14638</x:v>
      </x:c>
      <x:c r="C2695" s="3" t="n">
        <x:v>1</x:v>
      </x:c>
      <x:c r="D2695" s="51" t="n">
        <x:v>40836</x:v>
      </x:c>
      <x:c r="E2695" s="3" t="str">
        <x:v>Una compra</x:v>
      </x:c>
      <x:c r="F2695" s="13" t="n">
        <x:v>443.6</x:v>
      </x:c>
      <x:c r="G2695" s="13" t="n">
        <x:v>0</x:v>
      </x:c>
      <x:c r="H2695" s="13" t="n">
        <x:f>F2695-G2695</x:f>
        <x:v>443.6</x:v>
      </x:c>
      <x:c r="I2695" s="13" t="n">
        <x:f>IF(C2695=0,"n.a.",F2695/C2695)</x:f>
        <x:v>443.6</x:v>
      </x:c>
      <x:c r="J2695" s="3"/>
      <x:c r="K2695" s="3"/>
      <x:c r="L2695" s="3"/>
    </x:row>
    <x:row r="2696" ht="22" customHeight="1">
      <x:c r="A2696" s="3"/>
      <x:c r="B2696" s="3" t="str">
        <x:v>16404</x:v>
      </x:c>
      <x:c r="C2696" s="3" t="n">
        <x:v>1</x:v>
      </x:c>
      <x:c r="D2696" s="51" t="n">
        <x:v>40816</x:v>
      </x:c>
      <x:c r="E2696" s="3" t="str">
        <x:v>Una compra</x:v>
      </x:c>
      <x:c r="F2696" s="13" t="n">
        <x:v>443.05</x:v>
      </x:c>
      <x:c r="G2696" s="13" t="n">
        <x:v>0</x:v>
      </x:c>
      <x:c r="H2696" s="13" t="n">
        <x:f>F2696-G2696</x:f>
        <x:v>443.05</x:v>
      </x:c>
      <x:c r="I2696" s="13" t="n">
        <x:f>IF(C2696=0,"n.a.",F2696/C2696)</x:f>
        <x:v>443.05</x:v>
      </x:c>
      <x:c r="J2696" s="3"/>
      <x:c r="K2696" s="3"/>
      <x:c r="L2696" s="3"/>
    </x:row>
    <x:row r="2697" ht="22" customHeight="1">
      <x:c r="A2697" s="3"/>
      <x:c r="B2697" s="3" t="str">
        <x:v>18222</x:v>
      </x:c>
      <x:c r="C2697" s="3" t="n">
        <x:v>1</x:v>
      </x:c>
      <x:c r="D2697" s="51" t="n">
        <x:v>40794</x:v>
      </x:c>
      <x:c r="E2697" s="3" t="str">
        <x:v>Una compra</x:v>
      </x:c>
      <x:c r="F2697" s="13" t="n">
        <x:v>443</x:v>
      </x:c>
      <x:c r="G2697" s="13" t="n">
        <x:v>0</x:v>
      </x:c>
      <x:c r="H2697" s="13" t="n">
        <x:f>F2697-G2697</x:f>
        <x:v>443</x:v>
      </x:c>
      <x:c r="I2697" s="13" t="n">
        <x:f>IF(C2697=0,"n.a.",F2697/C2697)</x:f>
        <x:v>443</x:v>
      </x:c>
      <x:c r="J2697" s="3"/>
      <x:c r="K2697" s="3"/>
      <x:c r="L2697" s="3"/>
    </x:row>
    <x:row r="2698" ht="22" customHeight="1">
      <x:c r="A2698" s="3"/>
      <x:c r="B2698" s="3" t="str">
        <x:v>14093</x:v>
      </x:c>
      <x:c r="C2698" s="3" t="n">
        <x:v>1</x:v>
      </x:c>
      <x:c r="D2698" s="51" t="n">
        <x:v>40874</x:v>
      </x:c>
      <x:c r="E2698" s="3" t="str">
        <x:v>Una compra</x:v>
      </x:c>
      <x:c r="F2698" s="13" t="n">
        <x:v>442.85</x:v>
      </x:c>
      <x:c r="G2698" s="13" t="n">
        <x:v>0</x:v>
      </x:c>
      <x:c r="H2698" s="13" t="n">
        <x:f>F2698-G2698</x:f>
        <x:v>442.85</x:v>
      </x:c>
      <x:c r="I2698" s="13" t="n">
        <x:f>IF(C2698=0,"n.a.",F2698/C2698)</x:f>
        <x:v>442.85</x:v>
      </x:c>
      <x:c r="J2698" s="3"/>
      <x:c r="K2698" s="3"/>
      <x:c r="L2698" s="3"/>
    </x:row>
    <x:row r="2699" ht="22" customHeight="1">
      <x:c r="A2699" s="3"/>
      <x:c r="B2699" s="3" t="str">
        <x:v>12414</x:v>
      </x:c>
      <x:c r="C2699" s="3" t="n">
        <x:v>3</x:v>
      </x:c>
      <x:c r="D2699" s="51" t="n">
        <x:v>40669</x:v>
      </x:c>
      <x:c r="E2699" s="3" t="str">
        <x:v>Recurrente</x:v>
      </x:c>
      <x:c r="F2699" s="13" t="n">
        <x:v>442.41</x:v>
      </x:c>
      <x:c r="G2699" s="13" t="n">
        <x:v>0</x:v>
      </x:c>
      <x:c r="H2699" s="13" t="n">
        <x:f>F2699-G2699</x:f>
        <x:v>442.41</x:v>
      </x:c>
      <x:c r="I2699" s="13" t="n">
        <x:f>IF(C2699=0,"n.a.",F2699/C2699)</x:f>
        <x:v>147.47</x:v>
      </x:c>
      <x:c r="J2699" s="3"/>
      <x:c r="K2699" s="3"/>
      <x:c r="L2699" s="3"/>
    </x:row>
    <x:row r="2700" ht="22" customHeight="1">
      <x:c r="A2700" s="3"/>
      <x:c r="B2700" s="3" t="str">
        <x:v>16163</x:v>
      </x:c>
      <x:c r="C2700" s="3" t="n">
        <x:v>2</x:v>
      </x:c>
      <x:c r="D2700" s="51" t="n">
        <x:v>40654</x:v>
      </x:c>
      <x:c r="E2700" s="3" t="str">
        <x:v>Recurrente</x:v>
      </x:c>
      <x:c r="F2700" s="13" t="n">
        <x:v>856.6</x:v>
      </x:c>
      <x:c r="G2700" s="13" t="n">
        <x:v>415</x:v>
      </x:c>
      <x:c r="H2700" s="13" t="n">
        <x:f>F2700-G2700</x:f>
        <x:v>441.6</x:v>
      </x:c>
      <x:c r="I2700" s="13" t="n">
        <x:f>IF(C2700=0,"n.a.",F2700/C2700)</x:f>
        <x:v>428.3</x:v>
      </x:c>
      <x:c r="J2700" s="3"/>
      <x:c r="K2700" s="3"/>
      <x:c r="L2700" s="3"/>
    </x:row>
    <x:row r="2701" ht="22" customHeight="1">
      <x:c r="A2701" s="3"/>
      <x:c r="B2701" s="3" t="str">
        <x:v>15877</x:v>
      </x:c>
      <x:c r="C2701" s="3" t="n">
        <x:v>2</x:v>
      </x:c>
      <x:c r="D2701" s="51" t="n">
        <x:v>40885</x:v>
      </x:c>
      <x:c r="E2701" s="3" t="str">
        <x:v>Recurrente</x:v>
      </x:c>
      <x:c r="F2701" s="13" t="n">
        <x:v>493.28</x:v>
      </x:c>
      <x:c r="G2701" s="13" t="n">
        <x:v>52.5</x:v>
      </x:c>
      <x:c r="H2701" s="13" t="n">
        <x:f>F2701-G2701</x:f>
        <x:v>440.78</x:v>
      </x:c>
      <x:c r="I2701" s="13" t="n">
        <x:f>IF(C2701=0,"n.a.",F2701/C2701)</x:f>
        <x:v>246.64</x:v>
      </x:c>
      <x:c r="J2701" s="3"/>
      <x:c r="K2701" s="3"/>
      <x:c r="L2701" s="3"/>
    </x:row>
    <x:row r="2702" ht="22" customHeight="1">
      <x:c r="A2702" s="3"/>
      <x:c r="B2702" s="3" t="str">
        <x:v>17579</x:v>
      </x:c>
      <x:c r="C2702" s="3" t="n">
        <x:v>3</x:v>
      </x:c>
      <x:c r="D2702" s="51" t="n">
        <x:v>40882</x:v>
      </x:c>
      <x:c r="E2702" s="3" t="str">
        <x:v>Recurrente</x:v>
      </x:c>
      <x:c r="F2702" s="13" t="n">
        <x:v>448.9</x:v>
      </x:c>
      <x:c r="G2702" s="13" t="n">
        <x:v>8.7</x:v>
      </x:c>
      <x:c r="H2702" s="13" t="n">
        <x:f>F2702-G2702</x:f>
        <x:v>440.2</x:v>
      </x:c>
      <x:c r="I2702" s="13" t="n">
        <x:f>IF(C2702=0,"n.a.",F2702/C2702)</x:f>
        <x:v>149.63333333333333</x:v>
      </x:c>
      <x:c r="J2702" s="3"/>
      <x:c r="K2702" s="3"/>
      <x:c r="L2702" s="3"/>
    </x:row>
    <x:row r="2703" ht="22" customHeight="1">
      <x:c r="A2703" s="3"/>
      <x:c r="B2703" s="3" t="str">
        <x:v>14022</x:v>
      </x:c>
      <x:c r="C2703" s="3" t="n">
        <x:v>1</x:v>
      </x:c>
      <x:c r="D2703" s="51" t="n">
        <x:v>40661</x:v>
      </x:c>
      <x:c r="E2703" s="3" t="str">
        <x:v>Una compra</x:v>
      </x:c>
      <x:c r="F2703" s="13" t="n">
        <x:v>440</x:v>
      </x:c>
      <x:c r="G2703" s="13" t="n">
        <x:v>0</x:v>
      </x:c>
      <x:c r="H2703" s="13" t="n">
        <x:f>F2703-G2703</x:f>
        <x:v>440</x:v>
      </x:c>
      <x:c r="I2703" s="13" t="n">
        <x:f>IF(C2703=0,"n.a.",F2703/C2703)</x:f>
        <x:v>440</x:v>
      </x:c>
      <x:c r="J2703" s="3"/>
      <x:c r="K2703" s="3"/>
      <x:c r="L2703" s="3"/>
    </x:row>
    <x:row r="2704" ht="22" customHeight="1">
      <x:c r="A2704" s="3"/>
      <x:c r="B2704" s="3" t="str">
        <x:v>15524</x:v>
      </x:c>
      <x:c r="C2704" s="3" t="n">
        <x:v>1</x:v>
      </x:c>
      <x:c r="D2704" s="51" t="n">
        <x:v>40862</x:v>
      </x:c>
      <x:c r="E2704" s="3" t="str">
        <x:v>Una compra</x:v>
      </x:c>
      <x:c r="F2704" s="13" t="n">
        <x:v>440</x:v>
      </x:c>
      <x:c r="G2704" s="13" t="n">
        <x:v>0</x:v>
      </x:c>
      <x:c r="H2704" s="13" t="n">
        <x:f>F2704-G2704</x:f>
        <x:v>440</x:v>
      </x:c>
      <x:c r="I2704" s="13" t="n">
        <x:f>IF(C2704=0,"n.a.",F2704/C2704)</x:f>
        <x:v>440</x:v>
      </x:c>
      <x:c r="J2704" s="3"/>
      <x:c r="K2704" s="3"/>
      <x:c r="L2704" s="3"/>
    </x:row>
    <x:row r="2705" ht="22" customHeight="1">
      <x:c r="A2705" s="3"/>
      <x:c r="B2705" s="3" t="str">
        <x:v>18233</x:v>
      </x:c>
      <x:c r="C2705" s="3" t="n">
        <x:v>1</x:v>
      </x:c>
      <x:c r="D2705" s="51" t="n">
        <x:v>40561</x:v>
      </x:c>
      <x:c r="E2705" s="3" t="str">
        <x:v>Una compra</x:v>
      </x:c>
      <x:c r="F2705" s="13" t="n">
        <x:v>440</x:v>
      </x:c>
      <x:c r="G2705" s="13" t="n">
        <x:v>0</x:v>
      </x:c>
      <x:c r="H2705" s="13" t="n">
        <x:f>F2705-G2705</x:f>
        <x:v>440</x:v>
      </x:c>
      <x:c r="I2705" s="13" t="n">
        <x:f>IF(C2705=0,"n.a.",F2705/C2705)</x:f>
        <x:v>440</x:v>
      </x:c>
      <x:c r="J2705" s="3"/>
      <x:c r="K2705" s="3"/>
      <x:c r="L2705" s="3"/>
    </x:row>
    <x:row r="2706" ht="22" customHeight="1">
      <x:c r="A2706" s="3"/>
      <x:c r="B2706" s="3" t="str">
        <x:v>16025</x:v>
      </x:c>
      <x:c r="C2706" s="3" t="n">
        <x:v>1</x:v>
      </x:c>
      <x:c r="D2706" s="51" t="n">
        <x:v>40857</x:v>
      </x:c>
      <x:c r="E2706" s="3" t="str">
        <x:v>Una compra</x:v>
      </x:c>
      <x:c r="F2706" s="13" t="n">
        <x:v>439.66</x:v>
      </x:c>
      <x:c r="G2706" s="13" t="n">
        <x:v>0</x:v>
      </x:c>
      <x:c r="H2706" s="13" t="n">
        <x:f>F2706-G2706</x:f>
        <x:v>439.66</x:v>
      </x:c>
      <x:c r="I2706" s="13" t="n">
        <x:f>IF(C2706=0,"n.a.",F2706/C2706)</x:f>
        <x:v>439.66</x:v>
      </x:c>
      <x:c r="J2706" s="3"/>
      <x:c r="K2706" s="3"/>
      <x:c r="L2706" s="3"/>
    </x:row>
    <x:row r="2707" ht="22" customHeight="1">
      <x:c r="A2707" s="3"/>
      <x:c r="B2707" s="3" t="str">
        <x:v>16968</x:v>
      </x:c>
      <x:c r="C2707" s="3" t="n">
        <x:v>2</x:v>
      </x:c>
      <x:c r="D2707" s="51" t="n">
        <x:v>40882</x:v>
      </x:c>
      <x:c r="E2707" s="3" t="str">
        <x:v>Recurrente</x:v>
      </x:c>
      <x:c r="F2707" s="13" t="n">
        <x:v>439.43</x:v>
      </x:c>
      <x:c r="G2707" s="13" t="n">
        <x:v>0</x:v>
      </x:c>
      <x:c r="H2707" s="13" t="n">
        <x:f>F2707-G2707</x:f>
        <x:v>439.43</x:v>
      </x:c>
      <x:c r="I2707" s="13" t="n">
        <x:f>IF(C2707=0,"n.a.",F2707/C2707)</x:f>
        <x:v>219.715</x:v>
      </x:c>
      <x:c r="J2707" s="3"/>
      <x:c r="K2707" s="3"/>
      <x:c r="L2707" s="3"/>
    </x:row>
    <x:row r="2708" ht="22" customHeight="1">
      <x:c r="A2708" s="3"/>
      <x:c r="B2708" s="3" t="str">
        <x:v>14513</x:v>
      </x:c>
      <x:c r="C2708" s="3" t="n">
        <x:v>3</x:v>
      </x:c>
      <x:c r="D2708" s="51" t="n">
        <x:v>40786</x:v>
      </x:c>
      <x:c r="E2708" s="3" t="str">
        <x:v>Recurrente</x:v>
      </x:c>
      <x:c r="F2708" s="13" t="n">
        <x:v>455.59</x:v>
      </x:c>
      <x:c r="G2708" s="13" t="n">
        <x:v>17.1</x:v>
      </x:c>
      <x:c r="H2708" s="13" t="n">
        <x:f>F2708-G2708</x:f>
        <x:v>438.48999999999995</x:v>
      </x:c>
      <x:c r="I2708" s="13" t="n">
        <x:f>IF(C2708=0,"n.a.",F2708/C2708)</x:f>
        <x:v>151.86333333333332</x:v>
      </x:c>
      <x:c r="J2708" s="3"/>
      <x:c r="K2708" s="3"/>
      <x:c r="L2708" s="3"/>
    </x:row>
    <x:row r="2709" ht="22" customHeight="1">
      <x:c r="A2709" s="3"/>
      <x:c r="B2709" s="3" t="str">
        <x:v>15468</x:v>
      </x:c>
      <x:c r="C2709" s="3" t="n">
        <x:v>2</x:v>
      </x:c>
      <x:c r="D2709" s="51" t="n">
        <x:v>40835</x:v>
      </x:c>
      <x:c r="E2709" s="3" t="str">
        <x:v>Recurrente</x:v>
      </x:c>
      <x:c r="F2709" s="13" t="n">
        <x:v>467.51</x:v>
      </x:c>
      <x:c r="G2709" s="13" t="n">
        <x:v>29.05</x:v>
      </x:c>
      <x:c r="H2709" s="13" t="n">
        <x:f>F2709-G2709</x:f>
        <x:v>438.46</x:v>
      </x:c>
      <x:c r="I2709" s="13" t="n">
        <x:f>IF(C2709=0,"n.a.",F2709/C2709)</x:f>
        <x:v>233.755</x:v>
      </x:c>
      <x:c r="J2709" s="3"/>
      <x:c r="K2709" s="3"/>
      <x:c r="L2709" s="3"/>
    </x:row>
    <x:row r="2710" ht="22" customHeight="1">
      <x:c r="A2710" s="3"/>
      <x:c r="B2710" s="3" t="str">
        <x:v>15881</x:v>
      </x:c>
      <x:c r="C2710" s="3" t="n">
        <x:v>5</x:v>
      </x:c>
      <x:c r="D2710" s="51" t="n">
        <x:v>40574</x:v>
      </x:c>
      <x:c r="E2710" s="3" t="str">
        <x:v>Recurrente</x:v>
      </x:c>
      <x:c r="F2710" s="13" t="n">
        <x:v>501.39</x:v>
      </x:c>
      <x:c r="G2710" s="13" t="n">
        <x:v>63.15</x:v>
      </x:c>
      <x:c r="H2710" s="13" t="n">
        <x:f>F2710-G2710</x:f>
        <x:v>438.24</x:v>
      </x:c>
      <x:c r="I2710" s="13" t="n">
        <x:f>IF(C2710=0,"n.a.",F2710/C2710)</x:f>
        <x:v>100.27799999999999</x:v>
      </x:c>
      <x:c r="J2710" s="3"/>
      <x:c r="K2710" s="3"/>
      <x:c r="L2710" s="3"/>
    </x:row>
    <x:row r="2711" ht="22" customHeight="1">
      <x:c r="A2711" s="3"/>
      <x:c r="B2711" s="3" t="str">
        <x:v>14272</x:v>
      </x:c>
      <x:c r="C2711" s="3" t="n">
        <x:v>2</x:v>
      </x:c>
      <x:c r="D2711" s="51" t="n">
        <x:v>40813</x:v>
      </x:c>
      <x:c r="E2711" s="3" t="str">
        <x:v>Recurrente</x:v>
      </x:c>
      <x:c r="F2711" s="13" t="n">
        <x:v>437.96</x:v>
      </x:c>
      <x:c r="G2711" s="13" t="n">
        <x:v>0</x:v>
      </x:c>
      <x:c r="H2711" s="13" t="n">
        <x:f>F2711-G2711</x:f>
        <x:v>437.96</x:v>
      </x:c>
      <x:c r="I2711" s="13" t="n">
        <x:f>IF(C2711=0,"n.a.",F2711/C2711)</x:f>
        <x:v>218.98</x:v>
      </x:c>
      <x:c r="J2711" s="3"/>
      <x:c r="K2711" s="3"/>
      <x:c r="L2711" s="3"/>
    </x:row>
    <x:row r="2712" ht="22" customHeight="1">
      <x:c r="A2712" s="3"/>
      <x:c r="B2712" s="3" t="str">
        <x:v>16034</x:v>
      </x:c>
      <x:c r="C2712" s="3" t="n">
        <x:v>3</x:v>
      </x:c>
      <x:c r="D2712" s="51" t="n">
        <x:v>40690</x:v>
      </x:c>
      <x:c r="E2712" s="3" t="str">
        <x:v>Recurrente</x:v>
      </x:c>
      <x:c r="F2712" s="13" t="n">
        <x:v>437.7</x:v>
      </x:c>
      <x:c r="G2712" s="13" t="n">
        <x:v>0</x:v>
      </x:c>
      <x:c r="H2712" s="13" t="n">
        <x:f>F2712-G2712</x:f>
        <x:v>437.7</x:v>
      </x:c>
      <x:c r="I2712" s="13" t="n">
        <x:f>IF(C2712=0,"n.a.",F2712/C2712)</x:f>
        <x:v>145.9</x:v>
      </x:c>
      <x:c r="J2712" s="3"/>
      <x:c r="K2712" s="3"/>
      <x:c r="L2712" s="3"/>
    </x:row>
    <x:row r="2713" ht="22" customHeight="1">
      <x:c r="A2713" s="3"/>
      <x:c r="B2713" s="3" t="str">
        <x:v>15553</x:v>
      </x:c>
      <x:c r="C2713" s="3" t="n">
        <x:v>1</x:v>
      </x:c>
      <x:c r="D2713" s="51" t="n">
        <x:v>40826</x:v>
      </x:c>
      <x:c r="E2713" s="3" t="str">
        <x:v>Una compra</x:v>
      </x:c>
      <x:c r="F2713" s="13" t="n">
        <x:v>437.23</x:v>
      </x:c>
      <x:c r="G2713" s="13" t="n">
        <x:v>0</x:v>
      </x:c>
      <x:c r="H2713" s="13" t="n">
        <x:f>F2713-G2713</x:f>
        <x:v>437.23</x:v>
      </x:c>
      <x:c r="I2713" s="13" t="n">
        <x:f>IF(C2713=0,"n.a.",F2713/C2713)</x:f>
        <x:v>437.23</x:v>
      </x:c>
      <x:c r="J2713" s="3"/>
      <x:c r="K2713" s="3"/>
      <x:c r="L2713" s="3"/>
    </x:row>
    <x:row r="2714" ht="22" customHeight="1">
      <x:c r="A2714" s="3"/>
      <x:c r="B2714" s="3" t="str">
        <x:v>16084</x:v>
      </x:c>
      <x:c r="C2714" s="3" t="n">
        <x:v>1</x:v>
      </x:c>
      <x:c r="D2714" s="51" t="n">
        <x:v>40587</x:v>
      </x:c>
      <x:c r="E2714" s="3" t="str">
        <x:v>Una compra</x:v>
      </x:c>
      <x:c r="F2714" s="13" t="n">
        <x:v>436.18</x:v>
      </x:c>
      <x:c r="G2714" s="13" t="n">
        <x:v>0</x:v>
      </x:c>
      <x:c r="H2714" s="13" t="n">
        <x:f>F2714-G2714</x:f>
        <x:v>436.18</x:v>
      </x:c>
      <x:c r="I2714" s="13" t="n">
        <x:f>IF(C2714=0,"n.a.",F2714/C2714)</x:f>
        <x:v>436.18</x:v>
      </x:c>
      <x:c r="J2714" s="3"/>
      <x:c r="K2714" s="3"/>
      <x:c r="L2714" s="3"/>
    </x:row>
    <x:row r="2715" ht="22" customHeight="1">
      <x:c r="A2715" s="3"/>
      <x:c r="B2715" s="3" t="str">
        <x:v>15551</x:v>
      </x:c>
      <x:c r="C2715" s="3" t="n">
        <x:v>1</x:v>
      </x:c>
      <x:c r="D2715" s="51" t="n">
        <x:v>40850</x:v>
      </x:c>
      <x:c r="E2715" s="3" t="str">
        <x:v>Una compra</x:v>
      </x:c>
      <x:c r="F2715" s="13" t="n">
        <x:v>436.06</x:v>
      </x:c>
      <x:c r="G2715" s="13" t="n">
        <x:v>0</x:v>
      </x:c>
      <x:c r="H2715" s="13" t="n">
        <x:f>F2715-G2715</x:f>
        <x:v>436.06</x:v>
      </x:c>
      <x:c r="I2715" s="13" t="n">
        <x:f>IF(C2715=0,"n.a.",F2715/C2715)</x:f>
        <x:v>436.06</x:v>
      </x:c>
      <x:c r="J2715" s="3"/>
      <x:c r="K2715" s="3"/>
      <x:c r="L2715" s="3"/>
    </x:row>
    <x:row r="2716" ht="22" customHeight="1">
      <x:c r="A2716" s="3"/>
      <x:c r="B2716" s="3" t="str">
        <x:v>16948</x:v>
      </x:c>
      <x:c r="C2716" s="3" t="n">
        <x:v>3</x:v>
      </x:c>
      <x:c r="D2716" s="51" t="n">
        <x:v>40748</x:v>
      </x:c>
      <x:c r="E2716" s="3" t="str">
        <x:v>Recurrente</x:v>
      </x:c>
      <x:c r="F2716" s="13" t="n">
        <x:v>435.02</x:v>
      </x:c>
      <x:c r="G2716" s="13" t="n">
        <x:v>0</x:v>
      </x:c>
      <x:c r="H2716" s="13" t="n">
        <x:f>F2716-G2716</x:f>
        <x:v>435.02</x:v>
      </x:c>
      <x:c r="I2716" s="13" t="n">
        <x:f>IF(C2716=0,"n.a.",F2716/C2716)</x:f>
        <x:v>145.00666666666666</x:v>
      </x:c>
      <x:c r="J2716" s="3"/>
      <x:c r="K2716" s="3"/>
      <x:c r="L2716" s="3"/>
    </x:row>
    <x:row r="2717" ht="22" customHeight="1">
      <x:c r="A2717" s="3"/>
      <x:c r="B2717" s="3" t="str">
        <x:v>16236</x:v>
      </x:c>
      <x:c r="C2717" s="3" t="n">
        <x:v>1</x:v>
      </x:c>
      <x:c r="D2717" s="51" t="n">
        <x:v>40808</x:v>
      </x:c>
      <x:c r="E2717" s="3" t="str">
        <x:v>Una compra</x:v>
      </x:c>
      <x:c r="F2717" s="13" t="n">
        <x:v>432.2</x:v>
      </x:c>
      <x:c r="G2717" s="13" t="n">
        <x:v>0</x:v>
      </x:c>
      <x:c r="H2717" s="13" t="n">
        <x:f>F2717-G2717</x:f>
        <x:v>432.2</x:v>
      </x:c>
      <x:c r="I2717" s="13" t="n">
        <x:f>IF(C2717=0,"n.a.",F2717/C2717)</x:f>
        <x:v>432.2</x:v>
      </x:c>
      <x:c r="J2717" s="3"/>
      <x:c r="K2717" s="3"/>
      <x:c r="L2717" s="3"/>
    </x:row>
    <x:row r="2718" ht="22" customHeight="1">
      <x:c r="A2718" s="3"/>
      <x:c r="B2718" s="3" t="str">
        <x:v>16881</x:v>
      </x:c>
      <x:c r="C2718" s="3" t="n">
        <x:v>1</x:v>
      </x:c>
      <x:c r="D2718" s="51" t="n">
        <x:v>40820</x:v>
      </x:c>
      <x:c r="E2718" s="3" t="str">
        <x:v>Una compra</x:v>
      </x:c>
      <x:c r="F2718" s="13" t="n">
        <x:v>432</x:v>
      </x:c>
      <x:c r="G2718" s="13" t="n">
        <x:v>0</x:v>
      </x:c>
      <x:c r="H2718" s="13" t="n">
        <x:f>F2718-G2718</x:f>
        <x:v>432</x:v>
      </x:c>
      <x:c r="I2718" s="13" t="n">
        <x:f>IF(C2718=0,"n.a.",F2718/C2718)</x:f>
        <x:v>432</x:v>
      </x:c>
      <x:c r="J2718" s="3"/>
      <x:c r="K2718" s="3"/>
      <x:c r="L2718" s="3"/>
    </x:row>
    <x:row r="2719" ht="22" customHeight="1">
      <x:c r="A2719" s="3"/>
      <x:c r="B2719" s="3" t="str">
        <x:v>12447</x:v>
      </x:c>
      <x:c r="C2719" s="3" t="n">
        <x:v>1</x:v>
      </x:c>
      <x:c r="D2719" s="51" t="n">
        <x:v>40643</x:v>
      </x:c>
      <x:c r="E2719" s="3" t="str">
        <x:v>Una compra</x:v>
      </x:c>
      <x:c r="F2719" s="13" t="n">
        <x:v>431.49</x:v>
      </x:c>
      <x:c r="G2719" s="13" t="n">
        <x:v>0</x:v>
      </x:c>
      <x:c r="H2719" s="13" t="n">
        <x:f>F2719-G2719</x:f>
        <x:v>431.49</x:v>
      </x:c>
      <x:c r="I2719" s="13" t="n">
        <x:f>IF(C2719=0,"n.a.",F2719/C2719)</x:f>
        <x:v>431.49</x:v>
      </x:c>
      <x:c r="J2719" s="3"/>
      <x:c r="K2719" s="3"/>
      <x:c r="L2719" s="3"/>
    </x:row>
    <x:row r="2720" ht="22" customHeight="1">
      <x:c r="A2720" s="3"/>
      <x:c r="B2720" s="3" t="str">
        <x:v>15976</x:v>
      </x:c>
      <x:c r="C2720" s="3" t="n">
        <x:v>2</x:v>
      </x:c>
      <x:c r="D2720" s="51" t="n">
        <x:v>40721</x:v>
      </x:c>
      <x:c r="E2720" s="3" t="str">
        <x:v>Recurrente</x:v>
      </x:c>
      <x:c r="F2720" s="13" t="n">
        <x:v>430.94</x:v>
      </x:c>
      <x:c r="G2720" s="13" t="n">
        <x:v>0</x:v>
      </x:c>
      <x:c r="H2720" s="13" t="n">
        <x:f>F2720-G2720</x:f>
        <x:v>430.94</x:v>
      </x:c>
      <x:c r="I2720" s="13" t="n">
        <x:f>IF(C2720=0,"n.a.",F2720/C2720)</x:f>
        <x:v>215.47</x:v>
      </x:c>
      <x:c r="J2720" s="3"/>
      <x:c r="K2720" s="3"/>
      <x:c r="L2720" s="3"/>
    </x:row>
    <x:row r="2721" ht="22" customHeight="1">
      <x:c r="A2721" s="3"/>
      <x:c r="B2721" s="3" t="str">
        <x:v>13066</x:v>
      </x:c>
      <x:c r="C2721" s="3" t="n">
        <x:v>2</x:v>
      </x:c>
      <x:c r="D2721" s="51" t="n">
        <x:v>40862</x:v>
      </x:c>
      <x:c r="E2721" s="3" t="str">
        <x:v>Recurrente</x:v>
      </x:c>
      <x:c r="F2721" s="13" t="n">
        <x:v>470.8</x:v>
      </x:c>
      <x:c r="G2721" s="13" t="n">
        <x:v>39.9</x:v>
      </x:c>
      <x:c r="H2721" s="13" t="n">
        <x:f>F2721-G2721</x:f>
        <x:v>430.90000000000003</x:v>
      </x:c>
      <x:c r="I2721" s="13" t="n">
        <x:f>IF(C2721=0,"n.a.",F2721/C2721)</x:f>
        <x:v>235.4</x:v>
      </x:c>
      <x:c r="J2721" s="3"/>
      <x:c r="K2721" s="3"/>
      <x:c r="L2721" s="3"/>
    </x:row>
    <x:row r="2722" ht="22" customHeight="1">
      <x:c r="A2722" s="3"/>
      <x:c r="B2722" s="3" t="str">
        <x:v>18106</x:v>
      </x:c>
      <x:c r="C2722" s="3" t="n">
        <x:v>1</x:v>
      </x:c>
      <x:c r="D2722" s="51" t="n">
        <x:v>40557</x:v>
      </x:c>
      <x:c r="E2722" s="3" t="str">
        <x:v>Una compra</x:v>
      </x:c>
      <x:c r="F2722" s="13" t="n">
        <x:v>430.7</x:v>
      </x:c>
      <x:c r="G2722" s="13" t="n">
        <x:v>0</x:v>
      </x:c>
      <x:c r="H2722" s="13" t="n">
        <x:f>F2722-G2722</x:f>
        <x:v>430.7</x:v>
      </x:c>
      <x:c r="I2722" s="13" t="n">
        <x:f>IF(C2722=0,"n.a.",F2722/C2722)</x:f>
        <x:v>430.7</x:v>
      </x:c>
      <x:c r="J2722" s="3"/>
      <x:c r="K2722" s="3"/>
      <x:c r="L2722" s="3"/>
    </x:row>
    <x:row r="2723" ht="22" customHeight="1">
      <x:c r="A2723" s="3"/>
      <x:c r="B2723" s="3" t="str">
        <x:v>13245</x:v>
      </x:c>
      <x:c r="C2723" s="3" t="n">
        <x:v>1</x:v>
      </x:c>
      <x:c r="D2723" s="51" t="n">
        <x:v>40836</x:v>
      </x:c>
      <x:c r="E2723" s="3" t="str">
        <x:v>Una compra</x:v>
      </x:c>
      <x:c r="F2723" s="13" t="n">
        <x:v>430.5</x:v>
      </x:c>
      <x:c r="G2723" s="13" t="n">
        <x:v>0</x:v>
      </x:c>
      <x:c r="H2723" s="13" t="n">
        <x:f>F2723-G2723</x:f>
        <x:v>430.5</x:v>
      </x:c>
      <x:c r="I2723" s="13" t="n">
        <x:f>IF(C2723=0,"n.a.",F2723/C2723)</x:f>
        <x:v>430.5</x:v>
      </x:c>
      <x:c r="J2723" s="3"/>
      <x:c r="K2723" s="3"/>
      <x:c r="L2723" s="3"/>
    </x:row>
    <x:row r="2724" ht="22" customHeight="1">
      <x:c r="A2724" s="3"/>
      <x:c r="B2724" s="3" t="str">
        <x:v>12827</x:v>
      </x:c>
      <x:c r="C2724" s="3" t="n">
        <x:v>3</x:v>
      </x:c>
      <x:c r="D2724" s="51" t="n">
        <x:v>40881</x:v>
      </x:c>
      <x:c r="E2724" s="3" t="str">
        <x:v>Recurrente</x:v>
      </x:c>
      <x:c r="F2724" s="13" t="n">
        <x:v>430.15</x:v>
      </x:c>
      <x:c r="G2724" s="13" t="n">
        <x:v>0</x:v>
      </x:c>
      <x:c r="H2724" s="13" t="n">
        <x:f>F2724-G2724</x:f>
        <x:v>430.15</x:v>
      </x:c>
      <x:c r="I2724" s="13" t="n">
        <x:f>IF(C2724=0,"n.a.",F2724/C2724)</x:f>
        <x:v>143.38333333333333</x:v>
      </x:c>
      <x:c r="J2724" s="3"/>
      <x:c r="K2724" s="3"/>
      <x:c r="L2724" s="3"/>
    </x:row>
    <x:row r="2725" ht="22" customHeight="1">
      <x:c r="A2725" s="3"/>
      <x:c r="B2725" s="3" t="str">
        <x:v>14998</x:v>
      </x:c>
      <x:c r="C2725" s="3" t="n">
        <x:v>2</x:v>
      </x:c>
      <x:c r="D2725" s="51" t="n">
        <x:v>40716</x:v>
      </x:c>
      <x:c r="E2725" s="3" t="str">
        <x:v>Recurrente</x:v>
      </x:c>
      <x:c r="F2725" s="13" t="n">
        <x:v>429.87</x:v>
      </x:c>
      <x:c r="G2725" s="13" t="n">
        <x:v>0</x:v>
      </x:c>
      <x:c r="H2725" s="13" t="n">
        <x:f>F2725-G2725</x:f>
        <x:v>429.87</x:v>
      </x:c>
      <x:c r="I2725" s="13" t="n">
        <x:f>IF(C2725=0,"n.a.",F2725/C2725)</x:f>
        <x:v>214.935</x:v>
      </x:c>
      <x:c r="J2725" s="3"/>
      <x:c r="K2725" s="3"/>
      <x:c r="L2725" s="3"/>
    </x:row>
    <x:row r="2726" ht="22" customHeight="1">
      <x:c r="A2726" s="3"/>
      <x:c r="B2726" s="3" t="str">
        <x:v>15450</x:v>
      </x:c>
      <x:c r="C2726" s="3" t="n">
        <x:v>1</x:v>
      </x:c>
      <x:c r="D2726" s="51" t="n">
        <x:v>40856</x:v>
      </x:c>
      <x:c r="E2726" s="3" t="str">
        <x:v>Una compra</x:v>
      </x:c>
      <x:c r="F2726" s="13" t="n">
        <x:v>429.84</x:v>
      </x:c>
      <x:c r="G2726" s="13" t="n">
        <x:v>0</x:v>
      </x:c>
      <x:c r="H2726" s="13" t="n">
        <x:f>F2726-G2726</x:f>
        <x:v>429.84</x:v>
      </x:c>
      <x:c r="I2726" s="13" t="n">
        <x:f>IF(C2726=0,"n.a.",F2726/C2726)</x:f>
        <x:v>429.84</x:v>
      </x:c>
      <x:c r="J2726" s="3"/>
      <x:c r="K2726" s="3"/>
      <x:c r="L2726" s="3"/>
    </x:row>
    <x:row r="2727" ht="22" customHeight="1">
      <x:c r="A2727" s="3"/>
      <x:c r="B2727" s="3" t="str">
        <x:v>16884</x:v>
      </x:c>
      <x:c r="C2727" s="3" t="n">
        <x:v>2</x:v>
      </x:c>
      <x:c r="D2727" s="51" t="n">
        <x:v>40849</x:v>
      </x:c>
      <x:c r="E2727" s="3" t="str">
        <x:v>Recurrente</x:v>
      </x:c>
      <x:c r="F2727" s="13" t="n">
        <x:v>429.84</x:v>
      </x:c>
      <x:c r="G2727" s="13" t="n">
        <x:v>0</x:v>
      </x:c>
      <x:c r="H2727" s="13" t="n">
        <x:f>F2727-G2727</x:f>
        <x:v>429.84</x:v>
      </x:c>
      <x:c r="I2727" s="13" t="n">
        <x:f>IF(C2727=0,"n.a.",F2727/C2727)</x:f>
        <x:v>214.92</x:v>
      </x:c>
      <x:c r="J2727" s="3"/>
      <x:c r="K2727" s="3"/>
      <x:c r="L2727" s="3"/>
    </x:row>
    <x:row r="2728" ht="22" customHeight="1">
      <x:c r="A2728" s="3"/>
      <x:c r="B2728" s="3" t="str">
        <x:v>15230</x:v>
      </x:c>
      <x:c r="C2728" s="3" t="n">
        <x:v>2</x:v>
      </x:c>
      <x:c r="D2728" s="51" t="n">
        <x:v>40647</x:v>
      </x:c>
      <x:c r="E2728" s="3" t="str">
        <x:v>Recurrente</x:v>
      </x:c>
      <x:c r="F2728" s="13" t="n">
        <x:v>429.6</x:v>
      </x:c>
      <x:c r="G2728" s="13" t="n">
        <x:v>0</x:v>
      </x:c>
      <x:c r="H2728" s="13" t="n">
        <x:f>F2728-G2728</x:f>
        <x:v>429.6</x:v>
      </x:c>
      <x:c r="I2728" s="13" t="n">
        <x:f>IF(C2728=0,"n.a.",F2728/C2728)</x:f>
        <x:v>214.8</x:v>
      </x:c>
      <x:c r="J2728" s="3"/>
      <x:c r="K2728" s="3"/>
      <x:c r="L2728" s="3"/>
    </x:row>
    <x:row r="2729" ht="22" customHeight="1">
      <x:c r="A2729" s="3"/>
      <x:c r="B2729" s="3" t="str">
        <x:v>12436</x:v>
      </x:c>
      <x:c r="C2729" s="3" t="n">
        <x:v>1</x:v>
      </x:c>
      <x:c r="D2729" s="51" t="n">
        <x:v>40787</x:v>
      </x:c>
      <x:c r="E2729" s="3" t="str">
        <x:v>Una compra</x:v>
      </x:c>
      <x:c r="F2729" s="13" t="n">
        <x:v>429.01</x:v>
      </x:c>
      <x:c r="G2729" s="13" t="n">
        <x:v>0</x:v>
      </x:c>
      <x:c r="H2729" s="13" t="n">
        <x:f>F2729-G2729</x:f>
        <x:v>429.01</x:v>
      </x:c>
      <x:c r="I2729" s="13" t="n">
        <x:f>IF(C2729=0,"n.a.",F2729/C2729)</x:f>
        <x:v>429.01</x:v>
      </x:c>
      <x:c r="J2729" s="3"/>
      <x:c r="K2729" s="3"/>
      <x:c r="L2729" s="3"/>
    </x:row>
    <x:row r="2730" ht="22" customHeight="1">
      <x:c r="A2730" s="3"/>
      <x:c r="B2730" s="3" t="str">
        <x:v>13602</x:v>
      </x:c>
      <x:c r="C2730" s="3" t="n">
        <x:v>1</x:v>
      </x:c>
      <x:c r="D2730" s="51" t="n">
        <x:v>40822</x:v>
      </x:c>
      <x:c r="E2730" s="3" t="str">
        <x:v>Una compra</x:v>
      </x:c>
      <x:c r="F2730" s="13" t="n">
        <x:v>428.89</x:v>
      </x:c>
      <x:c r="G2730" s="13" t="n">
        <x:v>0</x:v>
      </x:c>
      <x:c r="H2730" s="13" t="n">
        <x:f>F2730-G2730</x:f>
        <x:v>428.89</x:v>
      </x:c>
      <x:c r="I2730" s="13" t="n">
        <x:f>IF(C2730=0,"n.a.",F2730/C2730)</x:f>
        <x:v>428.89</x:v>
      </x:c>
      <x:c r="J2730" s="3"/>
      <x:c r="K2730" s="3"/>
      <x:c r="L2730" s="3"/>
    </x:row>
    <x:row r="2731" ht="22" customHeight="1">
      <x:c r="A2731" s="3"/>
      <x:c r="B2731" s="3" t="str">
        <x:v>15957</x:v>
      </x:c>
      <x:c r="C2731" s="3" t="n">
        <x:v>1</x:v>
      </x:c>
      <x:c r="D2731" s="51" t="n">
        <x:v>40855</x:v>
      </x:c>
      <x:c r="E2731" s="3" t="str">
        <x:v>Una compra</x:v>
      </x:c>
      <x:c r="F2731" s="13" t="n">
        <x:v>428.89</x:v>
      </x:c>
      <x:c r="G2731" s="13" t="n">
        <x:v>0</x:v>
      </x:c>
      <x:c r="H2731" s="13" t="n">
        <x:f>F2731-G2731</x:f>
        <x:v>428.89</x:v>
      </x:c>
      <x:c r="I2731" s="13" t="n">
        <x:f>IF(C2731=0,"n.a.",F2731/C2731)</x:f>
        <x:v>428.89</x:v>
      </x:c>
      <x:c r="J2731" s="3"/>
      <x:c r="K2731" s="3"/>
      <x:c r="L2731" s="3"/>
    </x:row>
    <x:row r="2732" ht="22" customHeight="1">
      <x:c r="A2732" s="3"/>
      <x:c r="B2732" s="3" t="str">
        <x:v>16324</x:v>
      </x:c>
      <x:c r="C2732" s="3" t="n">
        <x:v>3</x:v>
      </x:c>
      <x:c r="D2732" s="51" t="n">
        <x:v>40758</x:v>
      </x:c>
      <x:c r="E2732" s="3" t="str">
        <x:v>Recurrente</x:v>
      </x:c>
      <x:c r="F2732" s="13" t="n">
        <x:v>428.68</x:v>
      </x:c>
      <x:c r="G2732" s="13" t="n">
        <x:v>0</x:v>
      </x:c>
      <x:c r="H2732" s="13" t="n">
        <x:f>F2732-G2732</x:f>
        <x:v>428.68</x:v>
      </x:c>
      <x:c r="I2732" s="13" t="n">
        <x:f>IF(C2732=0,"n.a.",F2732/C2732)</x:f>
        <x:v>142.89333333333335</x:v>
      </x:c>
      <x:c r="J2732" s="3"/>
      <x:c r="K2732" s="3"/>
      <x:c r="L2732" s="3"/>
    </x:row>
    <x:row r="2733" ht="22" customHeight="1">
      <x:c r="A2733" s="3"/>
      <x:c r="B2733" s="3" t="str">
        <x:v>17869</x:v>
      </x:c>
      <x:c r="C2733" s="3" t="n">
        <x:v>5</x:v>
      </x:c>
      <x:c r="D2733" s="51" t="n">
        <x:v>40779</x:v>
      </x:c>
      <x:c r="E2733" s="3" t="str">
        <x:v>Recurrente</x:v>
      </x:c>
      <x:c r="F2733" s="13" t="n">
        <x:v>428.18</x:v>
      </x:c>
      <x:c r="G2733" s="13" t="n">
        <x:v>0</x:v>
      </x:c>
      <x:c r="H2733" s="13" t="n">
        <x:f>F2733-G2733</x:f>
        <x:v>428.18</x:v>
      </x:c>
      <x:c r="I2733" s="13" t="n">
        <x:f>IF(C2733=0,"n.a.",F2733/C2733)</x:f>
        <x:v>85.636</x:v>
      </x:c>
      <x:c r="J2733" s="3"/>
      <x:c r="K2733" s="3"/>
      <x:c r="L2733" s="3"/>
    </x:row>
    <x:row r="2734" ht="22" customHeight="1">
      <x:c r="A2734" s="3"/>
      <x:c r="B2734" s="3" t="str">
        <x:v>15360</x:v>
      </x:c>
      <x:c r="C2734" s="3" t="n">
        <x:v>1</x:v>
      </x:c>
      <x:c r="D2734" s="51" t="n">
        <x:v>40847</x:v>
      </x:c>
      <x:c r="E2734" s="3" t="str">
        <x:v>Una compra</x:v>
      </x:c>
      <x:c r="F2734" s="13" t="n">
        <x:v>427.93</x:v>
      </x:c>
      <x:c r="G2734" s="13" t="n">
        <x:v>0</x:v>
      </x:c>
      <x:c r="H2734" s="13" t="n">
        <x:f>F2734-G2734</x:f>
        <x:v>427.93</x:v>
      </x:c>
      <x:c r="I2734" s="13" t="n">
        <x:f>IF(C2734=0,"n.a.",F2734/C2734)</x:f>
        <x:v>427.93</x:v>
      </x:c>
      <x:c r="J2734" s="3"/>
      <x:c r="K2734" s="3"/>
      <x:c r="L2734" s="3"/>
    </x:row>
    <x:row r="2735" ht="22" customHeight="1">
      <x:c r="A2735" s="3"/>
      <x:c r="B2735" s="3" t="str">
        <x:v>12740</x:v>
      </x:c>
      <x:c r="C2735" s="3" t="n">
        <x:v>1</x:v>
      </x:c>
      <x:c r="D2735" s="51" t="n">
        <x:v>40823</x:v>
      </x:c>
      <x:c r="E2735" s="3" t="str">
        <x:v>Una compra</x:v>
      </x:c>
      <x:c r="F2735" s="13" t="n">
        <x:v>427.6</x:v>
      </x:c>
      <x:c r="G2735" s="13" t="n">
        <x:v>0</x:v>
      </x:c>
      <x:c r="H2735" s="13" t="n">
        <x:f>F2735-G2735</x:f>
        <x:v>427.6</x:v>
      </x:c>
      <x:c r="I2735" s="13" t="n">
        <x:f>IF(C2735=0,"n.a.",F2735/C2735)</x:f>
        <x:v>427.6</x:v>
      </x:c>
      <x:c r="J2735" s="3"/>
      <x:c r="K2735" s="3"/>
      <x:c r="L2735" s="3"/>
    </x:row>
    <x:row r="2736" ht="22" customHeight="1">
      <x:c r="A2736" s="3"/>
      <x:c r="B2736" s="3" t="str">
        <x:v>15889</x:v>
      </x:c>
      <x:c r="C2736" s="3" t="n">
        <x:v>2</x:v>
      </x:c>
      <x:c r="D2736" s="51" t="n">
        <x:v>40730</x:v>
      </x:c>
      <x:c r="E2736" s="3" t="str">
        <x:v>Recurrente</x:v>
      </x:c>
      <x:c r="F2736" s="13" t="n">
        <x:v>427.57</x:v>
      </x:c>
      <x:c r="G2736" s="13" t="n">
        <x:v>0</x:v>
      </x:c>
      <x:c r="H2736" s="13" t="n">
        <x:f>F2736-G2736</x:f>
        <x:v>427.57</x:v>
      </x:c>
      <x:c r="I2736" s="13" t="n">
        <x:f>IF(C2736=0,"n.a.",F2736/C2736)</x:f>
        <x:v>213.785</x:v>
      </x:c>
      <x:c r="J2736" s="3"/>
      <x:c r="K2736" s="3"/>
      <x:c r="L2736" s="3"/>
    </x:row>
    <x:row r="2737" ht="22" customHeight="1">
      <x:c r="A2737" s="3"/>
      <x:c r="B2737" s="3" t="str">
        <x:v>15994</x:v>
      </x:c>
      <x:c r="C2737" s="3" t="n">
        <x:v>1</x:v>
      </x:c>
      <x:c r="D2737" s="51" t="n">
        <x:v>40832</x:v>
      </x:c>
      <x:c r="E2737" s="3" t="str">
        <x:v>Una compra</x:v>
      </x:c>
      <x:c r="F2737" s="13" t="n">
        <x:v>427.07</x:v>
      </x:c>
      <x:c r="G2737" s="13" t="n">
        <x:v>0</x:v>
      </x:c>
      <x:c r="H2737" s="13" t="n">
        <x:f>F2737-G2737</x:f>
        <x:v>427.07</x:v>
      </x:c>
      <x:c r="I2737" s="13" t="n">
        <x:f>IF(C2737=0,"n.a.",F2737/C2737)</x:f>
        <x:v>427.07</x:v>
      </x:c>
      <x:c r="J2737" s="3"/>
      <x:c r="K2737" s="3"/>
      <x:c r="L2737" s="3"/>
    </x:row>
    <x:row r="2738" ht="22" customHeight="1">
      <x:c r="A2738" s="3"/>
      <x:c r="B2738" s="3" t="str">
        <x:v>13171</x:v>
      </x:c>
      <x:c r="C2738" s="3" t="n">
        <x:v>3</x:v>
      </x:c>
      <x:c r="D2738" s="51" t="n">
        <x:v>40865</x:v>
      </x:c>
      <x:c r="E2738" s="3" t="str">
        <x:v>Recurrente</x:v>
      </x:c>
      <x:c r="F2738" s="13" t="n">
        <x:v>468.41</x:v>
      </x:c>
      <x:c r="G2738" s="13" t="n">
        <x:v>41.6</x:v>
      </x:c>
      <x:c r="H2738" s="13" t="n">
        <x:f>F2738-G2738</x:f>
        <x:v>426.81</x:v>
      </x:c>
      <x:c r="I2738" s="13" t="n">
        <x:f>IF(C2738=0,"n.a.",F2738/C2738)</x:f>
        <x:v>156.13666666666668</x:v>
      </x:c>
      <x:c r="J2738" s="3"/>
      <x:c r="K2738" s="3"/>
      <x:c r="L2738" s="3"/>
    </x:row>
    <x:row r="2739" ht="22" customHeight="1">
      <x:c r="A2739" s="3"/>
      <x:c r="B2739" s="3" t="str">
        <x:v>15930</x:v>
      </x:c>
      <x:c r="C2739" s="3" t="n">
        <x:v>1</x:v>
      </x:c>
      <x:c r="D2739" s="51" t="n">
        <x:v>40819</x:v>
      </x:c>
      <x:c r="E2739" s="3" t="str">
        <x:v>Una compra</x:v>
      </x:c>
      <x:c r="F2739" s="13" t="n">
        <x:v>426.63</x:v>
      </x:c>
      <x:c r="G2739" s="13" t="n">
        <x:v>0</x:v>
      </x:c>
      <x:c r="H2739" s="13" t="n">
        <x:f>F2739-G2739</x:f>
        <x:v>426.63</x:v>
      </x:c>
      <x:c r="I2739" s="13" t="n">
        <x:f>IF(C2739=0,"n.a.",F2739/C2739)</x:f>
        <x:v>426.63</x:v>
      </x:c>
      <x:c r="J2739" s="3"/>
      <x:c r="K2739" s="3"/>
      <x:c r="L2739" s="3"/>
    </x:row>
    <x:row r="2740" ht="22" customHeight="1">
      <x:c r="A2740" s="3"/>
      <x:c r="B2740" s="3" t="str">
        <x:v>15406</x:v>
      </x:c>
      <x:c r="C2740" s="3" t="n">
        <x:v>2</x:v>
      </x:c>
      <x:c r="D2740" s="51" t="n">
        <x:v>40855</x:v>
      </x:c>
      <x:c r="E2740" s="3" t="str">
        <x:v>Recurrente</x:v>
      </x:c>
      <x:c r="F2740" s="13" t="n">
        <x:v>510.71</x:v>
      </x:c>
      <x:c r="G2740" s="13" t="n">
        <x:v>84.1</x:v>
      </x:c>
      <x:c r="H2740" s="13" t="n">
        <x:f>F2740-G2740</x:f>
        <x:v>426.61</x:v>
      </x:c>
      <x:c r="I2740" s="13" t="n">
        <x:f>IF(C2740=0,"n.a.",F2740/C2740)</x:f>
        <x:v>255.355</x:v>
      </x:c>
      <x:c r="J2740" s="3"/>
      <x:c r="K2740" s="3"/>
      <x:c r="L2740" s="3"/>
    </x:row>
    <x:row r="2741" ht="22" customHeight="1">
      <x:c r="A2741" s="3"/>
      <x:c r="B2741" s="3" t="str">
        <x:v>15639</x:v>
      </x:c>
      <x:c r="C2741" s="3" t="n">
        <x:v>1</x:v>
      </x:c>
      <x:c r="D2741" s="51" t="n">
        <x:v>40752</x:v>
      </x:c>
      <x:c r="E2741" s="3" t="str">
        <x:v>Una compra</x:v>
      </x:c>
      <x:c r="F2741" s="13" t="n">
        <x:v>425.32</x:v>
      </x:c>
      <x:c r="G2741" s="13" t="n">
        <x:v>0</x:v>
      </x:c>
      <x:c r="H2741" s="13" t="n">
        <x:f>F2741-G2741</x:f>
        <x:v>425.32</x:v>
      </x:c>
      <x:c r="I2741" s="13" t="n">
        <x:f>IF(C2741=0,"n.a.",F2741/C2741)</x:f>
        <x:v>425.32</x:v>
      </x:c>
      <x:c r="J2741" s="3"/>
      <x:c r="K2741" s="3"/>
      <x:c r="L2741" s="3"/>
    </x:row>
    <x:row r="2742" ht="22" customHeight="1">
      <x:c r="A2742" s="3"/>
      <x:c r="B2742" s="3" t="str">
        <x:v>16780</x:v>
      </x:c>
      <x:c r="C2742" s="3" t="n">
        <x:v>2</x:v>
      </x:c>
      <x:c r="D2742" s="51" t="n">
        <x:v>40786</x:v>
      </x:c>
      <x:c r="E2742" s="3" t="str">
        <x:v>Recurrente</x:v>
      </x:c>
      <x:c r="F2742" s="13" t="n">
        <x:v>425.19</x:v>
      </x:c>
      <x:c r="G2742" s="13" t="n">
        <x:v>0</x:v>
      </x:c>
      <x:c r="H2742" s="13" t="n">
        <x:f>F2742-G2742</x:f>
        <x:v>425.19</x:v>
      </x:c>
      <x:c r="I2742" s="13" t="n">
        <x:f>IF(C2742=0,"n.a.",F2742/C2742)</x:f>
        <x:v>212.595</x:v>
      </x:c>
      <x:c r="J2742" s="3"/>
      <x:c r="K2742" s="3"/>
      <x:c r="L2742" s="3"/>
    </x:row>
    <x:row r="2743" ht="22" customHeight="1">
      <x:c r="A2743" s="3"/>
      <x:c r="B2743" s="3" t="str">
        <x:v>15646</x:v>
      </x:c>
      <x:c r="C2743" s="3" t="n">
        <x:v>3</x:v>
      </x:c>
      <x:c r="D2743" s="51" t="n">
        <x:v>40729</x:v>
      </x:c>
      <x:c r="E2743" s="3" t="str">
        <x:v>Recurrente</x:v>
      </x:c>
      <x:c r="F2743" s="13" t="n">
        <x:v>447.64</x:v>
      </x:c>
      <x:c r="G2743" s="13" t="n">
        <x:v>22.5</x:v>
      </x:c>
      <x:c r="H2743" s="13" t="n">
        <x:f>F2743-G2743</x:f>
        <x:v>425.14</x:v>
      </x:c>
      <x:c r="I2743" s="13" t="n">
        <x:f>IF(C2743=0,"n.a.",F2743/C2743)</x:f>
        <x:v>149.21333333333334</x:v>
      </x:c>
      <x:c r="J2743" s="3"/>
      <x:c r="K2743" s="3"/>
      <x:c r="L2743" s="3"/>
    </x:row>
    <x:row r="2744" ht="22" customHeight="1">
      <x:c r="A2744" s="3"/>
      <x:c r="B2744" s="3" t="str">
        <x:v>17134</x:v>
      </x:c>
      <x:c r="C2744" s="3" t="n">
        <x:v>2</x:v>
      </x:c>
      <x:c r="D2744" s="51" t="n">
        <x:v>40780</x:v>
      </x:c>
      <x:c r="E2744" s="3" t="str">
        <x:v>Recurrente</x:v>
      </x:c>
      <x:c r="F2744" s="13" t="n">
        <x:v>425</x:v>
      </x:c>
      <x:c r="G2744" s="13" t="n">
        <x:v>0</x:v>
      </x:c>
      <x:c r="H2744" s="13" t="n">
        <x:f>F2744-G2744</x:f>
        <x:v>425</x:v>
      </x:c>
      <x:c r="I2744" s="13" t="n">
        <x:f>IF(C2744=0,"n.a.",F2744/C2744)</x:f>
        <x:v>212.5</x:v>
      </x:c>
      <x:c r="J2744" s="3"/>
      <x:c r="K2744" s="3"/>
      <x:c r="L2744" s="3"/>
    </x:row>
    <x:row r="2745" ht="22" customHeight="1">
      <x:c r="A2745" s="3"/>
      <x:c r="B2745" s="3" t="str">
        <x:v>12491</x:v>
      </x:c>
      <x:c r="C2745" s="3" t="n">
        <x:v>1</x:v>
      </x:c>
      <x:c r="D2745" s="51" t="n">
        <x:v>40848</x:v>
      </x:c>
      <x:c r="E2745" s="3" t="str">
        <x:v>Una compra</x:v>
      </x:c>
      <x:c r="F2745" s="13" t="n">
        <x:v>424.4</x:v>
      </x:c>
      <x:c r="G2745" s="13" t="n">
        <x:v>0</x:v>
      </x:c>
      <x:c r="H2745" s="13" t="n">
        <x:f>F2745-G2745</x:f>
        <x:v>424.4</x:v>
      </x:c>
      <x:c r="I2745" s="13" t="n">
        <x:f>IF(C2745=0,"n.a.",F2745/C2745)</x:f>
        <x:v>424.4</x:v>
      </x:c>
      <x:c r="J2745" s="3"/>
      <x:c r="K2745" s="3"/>
      <x:c r="L2745" s="3"/>
    </x:row>
    <x:row r="2746" ht="22" customHeight="1">
      <x:c r="A2746" s="3"/>
      <x:c r="B2746" s="3" t="str">
        <x:v>17371</x:v>
      </x:c>
      <x:c r="C2746" s="3" t="n">
        <x:v>3</x:v>
      </x:c>
      <x:c r="D2746" s="51" t="n">
        <x:v>40869</x:v>
      </x:c>
      <x:c r="E2746" s="3" t="str">
        <x:v>Recurrente</x:v>
      </x:c>
      <x:c r="F2746" s="13" t="n">
        <x:v>423.89</x:v>
      </x:c>
      <x:c r="G2746" s="13" t="n">
        <x:v>0</x:v>
      </x:c>
      <x:c r="H2746" s="13" t="n">
        <x:f>F2746-G2746</x:f>
        <x:v>423.89</x:v>
      </x:c>
      <x:c r="I2746" s="13" t="n">
        <x:f>IF(C2746=0,"n.a.",F2746/C2746)</x:f>
        <x:v>141.29666666666665</x:v>
      </x:c>
      <x:c r="J2746" s="3"/>
      <x:c r="K2746" s="3"/>
      <x:c r="L2746" s="3"/>
    </x:row>
    <x:row r="2747" ht="22" customHeight="1">
      <x:c r="A2747" s="3"/>
      <x:c r="B2747" s="3" t="str">
        <x:v>13140</x:v>
      </x:c>
      <x:c r="C2747" s="3" t="n">
        <x:v>3</x:v>
      </x:c>
      <x:c r="D2747" s="51" t="n">
        <x:v>40778</x:v>
      </x:c>
      <x:c r="E2747" s="3" t="str">
        <x:v>Recurrente</x:v>
      </x:c>
      <x:c r="F2747" s="13" t="n">
        <x:v>423.72</x:v>
      </x:c>
      <x:c r="G2747" s="13" t="n">
        <x:v>0</x:v>
      </x:c>
      <x:c r="H2747" s="13" t="n">
        <x:f>F2747-G2747</x:f>
        <x:v>423.72</x:v>
      </x:c>
      <x:c r="I2747" s="13" t="n">
        <x:f>IF(C2747=0,"n.a.",F2747/C2747)</x:f>
        <x:v>141.24</x:v>
      </x:c>
      <x:c r="J2747" s="3"/>
      <x:c r="K2747" s="3"/>
      <x:c r="L2747" s="3"/>
    </x:row>
    <x:row r="2748" ht="22" customHeight="1">
      <x:c r="A2748" s="3"/>
      <x:c r="B2748" s="3" t="str">
        <x:v>16119</x:v>
      </x:c>
      <x:c r="C2748" s="3" t="n">
        <x:v>2</x:v>
      </x:c>
      <x:c r="D2748" s="51" t="n">
        <x:v>40878</x:v>
      </x:c>
      <x:c r="E2748" s="3" t="str">
        <x:v>Recurrente</x:v>
      </x:c>
      <x:c r="F2748" s="13" t="n">
        <x:v>423.36</x:v>
      </x:c>
      <x:c r="G2748" s="13" t="n">
        <x:v>0</x:v>
      </x:c>
      <x:c r="H2748" s="13" t="n">
        <x:f>F2748-G2748</x:f>
        <x:v>423.36</x:v>
      </x:c>
      <x:c r="I2748" s="13" t="n">
        <x:f>IF(C2748=0,"n.a.",F2748/C2748)</x:f>
        <x:v>211.68</x:v>
      </x:c>
      <x:c r="J2748" s="3"/>
      <x:c r="K2748" s="3"/>
      <x:c r="L2748" s="3"/>
    </x:row>
    <x:row r="2749" ht="22" customHeight="1">
      <x:c r="A2749" s="3"/>
      <x:c r="B2749" s="3" t="str">
        <x:v>12479</x:v>
      </x:c>
      <x:c r="C2749" s="3" t="n">
        <x:v>1</x:v>
      </x:c>
      <x:c r="D2749" s="51" t="n">
        <x:v>40875</x:v>
      </x:c>
      <x:c r="E2749" s="3" t="str">
        <x:v>Una compra</x:v>
      </x:c>
      <x:c r="F2749" s="13" t="n">
        <x:v>473.2</x:v>
      </x:c>
      <x:c r="G2749" s="13" t="n">
        <x:v>49.9</x:v>
      </x:c>
      <x:c r="H2749" s="13" t="n">
        <x:f>F2749-G2749</x:f>
        <x:v>423.3</x:v>
      </x:c>
      <x:c r="I2749" s="13" t="n">
        <x:f>IF(C2749=0,"n.a.",F2749/C2749)</x:f>
        <x:v>473.2</x:v>
      </x:c>
      <x:c r="J2749" s="3"/>
      <x:c r="K2749" s="3"/>
      <x:c r="L2749" s="3"/>
    </x:row>
    <x:row r="2750" ht="22" customHeight="1">
      <x:c r="A2750" s="3"/>
      <x:c r="B2750" s="3" t="str">
        <x:v>15012</x:v>
      </x:c>
      <x:c r="C2750" s="3" t="n">
        <x:v>2</x:v>
      </x:c>
      <x:c r="D2750" s="51" t="n">
        <x:v>40833</x:v>
      </x:c>
      <x:c r="E2750" s="3" t="str">
        <x:v>Recurrente</x:v>
      </x:c>
      <x:c r="F2750" s="13" t="n">
        <x:v>423.04</x:v>
      </x:c>
      <x:c r="G2750" s="13" t="n">
        <x:v>0</x:v>
      </x:c>
      <x:c r="H2750" s="13" t="n">
        <x:f>F2750-G2750</x:f>
        <x:v>423.04</x:v>
      </x:c>
      <x:c r="I2750" s="13" t="n">
        <x:f>IF(C2750=0,"n.a.",F2750/C2750)</x:f>
        <x:v>211.52</x:v>
      </x:c>
      <x:c r="J2750" s="3"/>
      <x:c r="K2750" s="3"/>
      <x:c r="L2750" s="3"/>
    </x:row>
    <x:row r="2751" ht="22" customHeight="1">
      <x:c r="A2751" s="3"/>
      <x:c r="B2751" s="3" t="str">
        <x:v>18034</x:v>
      </x:c>
      <x:c r="C2751" s="3" t="n">
        <x:v>2</x:v>
      </x:c>
      <x:c r="D2751" s="51" t="n">
        <x:v>40865</x:v>
      </x:c>
      <x:c r="E2751" s="3" t="str">
        <x:v>Recurrente</x:v>
      </x:c>
      <x:c r="F2751" s="13" t="n">
        <x:v>422.88</x:v>
      </x:c>
      <x:c r="G2751" s="13" t="n">
        <x:v>0</x:v>
      </x:c>
      <x:c r="H2751" s="13" t="n">
        <x:f>F2751-G2751</x:f>
        <x:v>422.88</x:v>
      </x:c>
      <x:c r="I2751" s="13" t="n">
        <x:f>IF(C2751=0,"n.a.",F2751/C2751)</x:f>
        <x:v>211.44</x:v>
      </x:c>
      <x:c r="J2751" s="3"/>
      <x:c r="K2751" s="3"/>
      <x:c r="L2751" s="3"/>
    </x:row>
    <x:row r="2752" ht="22" customHeight="1">
      <x:c r="A2752" s="3"/>
      <x:c r="B2752" s="3" t="str">
        <x:v>17525</x:v>
      </x:c>
      <x:c r="C2752" s="3" t="n">
        <x:v>1</x:v>
      </x:c>
      <x:c r="D2752" s="51" t="n">
        <x:v>40527</x:v>
      </x:c>
      <x:c r="E2752" s="3" t="str">
        <x:v>Una compra</x:v>
      </x:c>
      <x:c r="F2752" s="13" t="n">
        <x:v>422.7</x:v>
      </x:c>
      <x:c r="G2752" s="13" t="n">
        <x:v>0</x:v>
      </x:c>
      <x:c r="H2752" s="13" t="n">
        <x:f>F2752-G2752</x:f>
        <x:v>422.7</x:v>
      </x:c>
      <x:c r="I2752" s="13" t="n">
        <x:f>IF(C2752=0,"n.a.",F2752/C2752)</x:f>
        <x:v>422.7</x:v>
      </x:c>
      <x:c r="J2752" s="3"/>
      <x:c r="K2752" s="3"/>
      <x:c r="L2752" s="3"/>
    </x:row>
    <x:row r="2753" ht="22" customHeight="1">
      <x:c r="A2753" s="3"/>
      <x:c r="B2753" s="3" t="str">
        <x:v>18240</x:v>
      </x:c>
      <x:c r="C2753" s="3" t="n">
        <x:v>1</x:v>
      </x:c>
      <x:c r="D2753" s="51" t="n">
        <x:v>40840</x:v>
      </x:c>
      <x:c r="E2753" s="3" t="str">
        <x:v>Una compra</x:v>
      </x:c>
      <x:c r="F2753" s="13" t="n">
        <x:v>422.58</x:v>
      </x:c>
      <x:c r="G2753" s="13" t="n">
        <x:v>0</x:v>
      </x:c>
      <x:c r="H2753" s="13" t="n">
        <x:f>F2753-G2753</x:f>
        <x:v>422.58</x:v>
      </x:c>
      <x:c r="I2753" s="13" t="n">
        <x:f>IF(C2753=0,"n.a.",F2753/C2753)</x:f>
        <x:v>422.58</x:v>
      </x:c>
      <x:c r="J2753" s="3"/>
      <x:c r="K2753" s="3"/>
      <x:c r="L2753" s="3"/>
    </x:row>
    <x:row r="2754" ht="22" customHeight="1">
      <x:c r="A2754" s="3"/>
      <x:c r="B2754" s="3" t="str">
        <x:v>16233</x:v>
      </x:c>
      <x:c r="C2754" s="3" t="n">
        <x:v>3</x:v>
      </x:c>
      <x:c r="D2754" s="51" t="n">
        <x:v>40815</x:v>
      </x:c>
      <x:c r="E2754" s="3" t="str">
        <x:v>Recurrente</x:v>
      </x:c>
      <x:c r="F2754" s="13" t="n">
        <x:v>536.68</x:v>
      </x:c>
      <x:c r="G2754" s="13" t="n">
        <x:v>114.55</x:v>
      </x:c>
      <x:c r="H2754" s="13" t="n">
        <x:f>F2754-G2754</x:f>
        <x:v>422.12999999999994</x:v>
      </x:c>
      <x:c r="I2754" s="13" t="n">
        <x:f>IF(C2754=0,"n.a.",F2754/C2754)</x:f>
        <x:v>178.89333333333332</x:v>
      </x:c>
      <x:c r="J2754" s="3"/>
      <x:c r="K2754" s="3"/>
      <x:c r="L2754" s="3"/>
    </x:row>
    <x:row r="2755" ht="22" customHeight="1">
      <x:c r="A2755" s="3"/>
      <x:c r="B2755" s="3" t="str">
        <x:v>17232</x:v>
      </x:c>
      <x:c r="C2755" s="3" t="n">
        <x:v>2</x:v>
      </x:c>
      <x:c r="D2755" s="51" t="n">
        <x:v>40884</x:v>
      </x:c>
      <x:c r="E2755" s="3" t="str">
        <x:v>Recurrente</x:v>
      </x:c>
      <x:c r="F2755" s="13" t="n">
        <x:v>421.52</x:v>
      </x:c>
      <x:c r="G2755" s="13" t="n">
        <x:v>0</x:v>
      </x:c>
      <x:c r="H2755" s="13" t="n">
        <x:f>F2755-G2755</x:f>
        <x:v>421.52</x:v>
      </x:c>
      <x:c r="I2755" s="13" t="n">
        <x:f>IF(C2755=0,"n.a.",F2755/C2755)</x:f>
        <x:v>210.76</x:v>
      </x:c>
      <x:c r="J2755" s="3"/>
      <x:c r="K2755" s="3"/>
      <x:c r="L2755" s="3"/>
    </x:row>
    <x:row r="2756" ht="22" customHeight="1">
      <x:c r="A2756" s="3"/>
      <x:c r="B2756" s="3" t="str">
        <x:v>14757</x:v>
      </x:c>
      <x:c r="C2756" s="3" t="n">
        <x:v>1</x:v>
      </x:c>
      <x:c r="D2756" s="51" t="n">
        <x:v>40811</x:v>
      </x:c>
      <x:c r="E2756" s="3" t="str">
        <x:v>Una compra</x:v>
      </x:c>
      <x:c r="F2756" s="13" t="n">
        <x:v>420.5</x:v>
      </x:c>
      <x:c r="G2756" s="13" t="n">
        <x:v>0</x:v>
      </x:c>
      <x:c r="H2756" s="13" t="n">
        <x:f>F2756-G2756</x:f>
        <x:v>420.5</x:v>
      </x:c>
      <x:c r="I2756" s="13" t="n">
        <x:f>IF(C2756=0,"n.a.",F2756/C2756)</x:f>
        <x:v>420.5</x:v>
      </x:c>
      <x:c r="J2756" s="3"/>
      <x:c r="K2756" s="3"/>
      <x:c r="L2756" s="3"/>
    </x:row>
    <x:row r="2757" ht="22" customHeight="1">
      <x:c r="A2757" s="3"/>
      <x:c r="B2757" s="3" t="str">
        <x:v>15206</x:v>
      </x:c>
      <x:c r="C2757" s="3" t="n">
        <x:v>4</x:v>
      </x:c>
      <x:c r="D2757" s="51" t="n">
        <x:v>40876</x:v>
      </x:c>
      <x:c r="E2757" s="3" t="str">
        <x:v>Recurrente</x:v>
      </x:c>
      <x:c r="F2757" s="13" t="n">
        <x:v>420.3</x:v>
      </x:c>
      <x:c r="G2757" s="13" t="n">
        <x:v>0</x:v>
      </x:c>
      <x:c r="H2757" s="13" t="n">
        <x:f>F2757-G2757</x:f>
        <x:v>420.3</x:v>
      </x:c>
      <x:c r="I2757" s="13" t="n">
        <x:f>IF(C2757=0,"n.a.",F2757/C2757)</x:f>
        <x:v>105.075</x:v>
      </x:c>
      <x:c r="J2757" s="3"/>
      <x:c r="K2757" s="3"/>
      <x:c r="L2757" s="3"/>
    </x:row>
    <x:row r="2758" ht="22" customHeight="1">
      <x:c r="A2758" s="3"/>
      <x:c r="B2758" s="3" t="str">
        <x:v>14124</x:v>
      </x:c>
      <x:c r="C2758" s="3" t="n">
        <x:v>1</x:v>
      </x:c>
      <x:c r="D2758" s="51" t="n">
        <x:v>40802</x:v>
      </x:c>
      <x:c r="E2758" s="3" t="str">
        <x:v>Una compra</x:v>
      </x:c>
      <x:c r="F2758" s="13" t="n">
        <x:v>419.58</x:v>
      </x:c>
      <x:c r="G2758" s="13" t="n">
        <x:v>0</x:v>
      </x:c>
      <x:c r="H2758" s="13" t="n">
        <x:f>F2758-G2758</x:f>
        <x:v>419.58</x:v>
      </x:c>
      <x:c r="I2758" s="13" t="n">
        <x:f>IF(C2758=0,"n.a.",F2758/C2758)</x:f>
        <x:v>419.58</x:v>
      </x:c>
      <x:c r="J2758" s="3"/>
      <x:c r="K2758" s="3"/>
      <x:c r="L2758" s="3"/>
    </x:row>
    <x:row r="2759" ht="22" customHeight="1">
      <x:c r="A2759" s="3"/>
      <x:c r="B2759" s="3" t="str">
        <x:v>15361</x:v>
      </x:c>
      <x:c r="C2759" s="3" t="n">
        <x:v>1</x:v>
      </x:c>
      <x:c r="D2759" s="51" t="n">
        <x:v>40525</x:v>
      </x:c>
      <x:c r="E2759" s="3" t="str">
        <x:v>Una compra</x:v>
      </x:c>
      <x:c r="F2759" s="13" t="n">
        <x:v>418.92</x:v>
      </x:c>
      <x:c r="G2759" s="13" t="n">
        <x:v>0</x:v>
      </x:c>
      <x:c r="H2759" s="13" t="n">
        <x:f>F2759-G2759</x:f>
        <x:v>418.92</x:v>
      </x:c>
      <x:c r="I2759" s="13" t="n">
        <x:f>IF(C2759=0,"n.a.",F2759/C2759)</x:f>
        <x:v>418.92</x:v>
      </x:c>
      <x:c r="J2759" s="3"/>
      <x:c r="K2759" s="3"/>
      <x:c r="L2759" s="3"/>
    </x:row>
    <x:row r="2760" ht="22" customHeight="1">
      <x:c r="A2760" s="3"/>
      <x:c r="B2760" s="3" t="str">
        <x:v>15967</x:v>
      </x:c>
      <x:c r="C2760" s="3" t="n">
        <x:v>2</x:v>
      </x:c>
      <x:c r="D2760" s="51" t="n">
        <x:v>40863</x:v>
      </x:c>
      <x:c r="E2760" s="3" t="str">
        <x:v>Recurrente</x:v>
      </x:c>
      <x:c r="F2760" s="13" t="n">
        <x:v>418.83</x:v>
      </x:c>
      <x:c r="G2760" s="13" t="n">
        <x:v>0</x:v>
      </x:c>
      <x:c r="H2760" s="13" t="n">
        <x:f>F2760-G2760</x:f>
        <x:v>418.83</x:v>
      </x:c>
      <x:c r="I2760" s="13" t="n">
        <x:f>IF(C2760=0,"n.a.",F2760/C2760)</x:f>
        <x:v>209.415</x:v>
      </x:c>
      <x:c r="J2760" s="3"/>
      <x:c r="K2760" s="3"/>
      <x:c r="L2760" s="3"/>
    </x:row>
    <x:row r="2761" ht="22" customHeight="1">
      <x:c r="A2761" s="3"/>
      <x:c r="B2761" s="3" t="str">
        <x:v>12787</x:v>
      </x:c>
      <x:c r="C2761" s="3" t="n">
        <x:v>3</x:v>
      </x:c>
      <x:c r="D2761" s="51" t="n">
        <x:v>40877</x:v>
      </x:c>
      <x:c r="E2761" s="3" t="str">
        <x:v>Recurrente</x:v>
      </x:c>
      <x:c r="F2761" s="13" t="n">
        <x:v>418.66</x:v>
      </x:c>
      <x:c r="G2761" s="13" t="n">
        <x:v>0</x:v>
      </x:c>
      <x:c r="H2761" s="13" t="n">
        <x:f>F2761-G2761</x:f>
        <x:v>418.66</x:v>
      </x:c>
      <x:c r="I2761" s="13" t="n">
        <x:f>IF(C2761=0,"n.a.",F2761/C2761)</x:f>
        <x:v>139.55333333333334</x:v>
      </x:c>
      <x:c r="J2761" s="3"/>
      <x:c r="K2761" s="3"/>
      <x:c r="L2761" s="3"/>
    </x:row>
    <x:row r="2762" ht="22" customHeight="1">
      <x:c r="A2762" s="3"/>
      <x:c r="B2762" s="3" t="str">
        <x:v>17701</x:v>
      </x:c>
      <x:c r="C2762" s="3" t="n">
        <x:v>1</x:v>
      </x:c>
      <x:c r="D2762" s="51" t="n">
        <x:v>40634</x:v>
      </x:c>
      <x:c r="E2762" s="3" t="str">
        <x:v>Una compra</x:v>
      </x:c>
      <x:c r="F2762" s="13" t="n">
        <x:v>417.95</x:v>
      </x:c>
      <x:c r="G2762" s="13" t="n">
        <x:v>0</x:v>
      </x:c>
      <x:c r="H2762" s="13" t="n">
        <x:f>F2762-G2762</x:f>
        <x:v>417.95</x:v>
      </x:c>
      <x:c r="I2762" s="13" t="n">
        <x:f>IF(C2762=0,"n.a.",F2762/C2762)</x:f>
        <x:v>417.95</x:v>
      </x:c>
      <x:c r="J2762" s="3"/>
      <x:c r="K2762" s="3"/>
      <x:c r="L2762" s="3"/>
    </x:row>
    <x:row r="2763" ht="22" customHeight="1">
      <x:c r="A2763" s="3"/>
      <x:c r="B2763" s="3" t="str">
        <x:v>15433</x:v>
      </x:c>
      <x:c r="C2763" s="3" t="n">
        <x:v>2</x:v>
      </x:c>
      <x:c r="D2763" s="51" t="n">
        <x:v>40673</x:v>
      </x:c>
      <x:c r="E2763" s="3" t="str">
        <x:v>Recurrente</x:v>
      </x:c>
      <x:c r="F2763" s="13" t="n">
        <x:v>533.3</x:v>
      </x:c>
      <x:c r="G2763" s="13" t="n">
        <x:v>115.43</x:v>
      </x:c>
      <x:c r="H2763" s="13" t="n">
        <x:f>F2763-G2763</x:f>
        <x:v>417.86999999999995</x:v>
      </x:c>
      <x:c r="I2763" s="13" t="n">
        <x:f>IF(C2763=0,"n.a.",F2763/C2763)</x:f>
        <x:v>266.65</x:v>
      </x:c>
      <x:c r="J2763" s="3"/>
      <x:c r="K2763" s="3"/>
      <x:c r="L2763" s="3"/>
    </x:row>
    <x:row r="2764" ht="22" customHeight="1">
      <x:c r="A2764" s="3"/>
      <x:c r="B2764" s="3" t="str">
        <x:v>16629</x:v>
      </x:c>
      <x:c r="C2764" s="3" t="n">
        <x:v>2</x:v>
      </x:c>
      <x:c r="D2764" s="51" t="n">
        <x:v>40813</x:v>
      </x:c>
      <x:c r="E2764" s="3" t="str">
        <x:v>Recurrente</x:v>
      </x:c>
      <x:c r="F2764" s="13" t="n">
        <x:v>417.73</x:v>
      </x:c>
      <x:c r="G2764" s="13" t="n">
        <x:v>0</x:v>
      </x:c>
      <x:c r="H2764" s="13" t="n">
        <x:f>F2764-G2764</x:f>
        <x:v>417.73</x:v>
      </x:c>
      <x:c r="I2764" s="13" t="n">
        <x:f>IF(C2764=0,"n.a.",F2764/C2764)</x:f>
        <x:v>208.865</x:v>
      </x:c>
      <x:c r="J2764" s="3"/>
      <x:c r="K2764" s="3"/>
      <x:c r="L2764" s="3"/>
    </x:row>
    <x:row r="2765" ht="22" customHeight="1">
      <x:c r="A2765" s="3"/>
      <x:c r="B2765" s="3" t="str">
        <x:v>16737</x:v>
      </x:c>
      <x:c r="C2765" s="3" t="n">
        <x:v>1</x:v>
      </x:c>
      <x:c r="D2765" s="51" t="n">
        <x:v>40833</x:v>
      </x:c>
      <x:c r="E2765" s="3" t="str">
        <x:v>Una compra</x:v>
      </x:c>
      <x:c r="F2765" s="13" t="n">
        <x:v>417.6</x:v>
      </x:c>
      <x:c r="G2765" s="13" t="n">
        <x:v>0</x:v>
      </x:c>
      <x:c r="H2765" s="13" t="n">
        <x:f>F2765-G2765</x:f>
        <x:v>417.6</x:v>
      </x:c>
      <x:c r="I2765" s="13" t="n">
        <x:f>IF(C2765=0,"n.a.",F2765/C2765)</x:f>
        <x:v>417.6</x:v>
      </x:c>
      <x:c r="J2765" s="3"/>
      <x:c r="K2765" s="3"/>
      <x:c r="L2765" s="3"/>
    </x:row>
    <x:row r="2766" ht="22" customHeight="1">
      <x:c r="A2766" s="3"/>
      <x:c r="B2766" s="3" t="str">
        <x:v>13473</x:v>
      </x:c>
      <x:c r="C2766" s="3" t="n">
        <x:v>2</x:v>
      </x:c>
      <x:c r="D2766" s="51" t="n">
        <x:v>40826</x:v>
      </x:c>
      <x:c r="E2766" s="3" t="str">
        <x:v>Recurrente</x:v>
      </x:c>
      <x:c r="F2766" s="13" t="n">
        <x:v>422.64</x:v>
      </x:c>
      <x:c r="G2766" s="13" t="n">
        <x:v>5.1</x:v>
      </x:c>
      <x:c r="H2766" s="13" t="n">
        <x:f>F2766-G2766</x:f>
        <x:v>417.53999999999996</x:v>
      </x:c>
      <x:c r="I2766" s="13" t="n">
        <x:f>IF(C2766=0,"n.a.",F2766/C2766)</x:f>
        <x:v>211.32</x:v>
      </x:c>
      <x:c r="J2766" s="3"/>
      <x:c r="K2766" s="3"/>
      <x:c r="L2766" s="3"/>
    </x:row>
    <x:row r="2767" ht="22" customHeight="1">
      <x:c r="A2767" s="3"/>
      <x:c r="B2767" s="3" t="str">
        <x:v>12833</x:v>
      </x:c>
      <x:c r="C2767" s="3" t="n">
        <x:v>1</x:v>
      </x:c>
      <x:c r="D2767" s="51" t="n">
        <x:v>40741</x:v>
      </x:c>
      <x:c r="E2767" s="3" t="str">
        <x:v>Una compra</x:v>
      </x:c>
      <x:c r="F2767" s="13" t="n">
        <x:v>417.38</x:v>
      </x:c>
      <x:c r="G2767" s="13" t="n">
        <x:v>0</x:v>
      </x:c>
      <x:c r="H2767" s="13" t="n">
        <x:f>F2767-G2767</x:f>
        <x:v>417.38</x:v>
      </x:c>
      <x:c r="I2767" s="13" t="n">
        <x:f>IF(C2767=0,"n.a.",F2767/C2767)</x:f>
        <x:v>417.38</x:v>
      </x:c>
      <x:c r="J2767" s="3"/>
      <x:c r="K2767" s="3"/>
      <x:c r="L2767" s="3"/>
    </x:row>
    <x:row r="2768" ht="22" customHeight="1">
      <x:c r="A2768" s="3"/>
      <x:c r="B2768" s="3" t="str">
        <x:v>18001</x:v>
      </x:c>
      <x:c r="C2768" s="3" t="n">
        <x:v>2</x:v>
      </x:c>
      <x:c r="D2768" s="51" t="n">
        <x:v>40874</x:v>
      </x:c>
      <x:c r="E2768" s="3" t="str">
        <x:v>Recurrente</x:v>
      </x:c>
      <x:c r="F2768" s="13" t="n">
        <x:v>417.23</x:v>
      </x:c>
      <x:c r="G2768" s="13" t="n">
        <x:v>0</x:v>
      </x:c>
      <x:c r="H2768" s="13" t="n">
        <x:f>F2768-G2768</x:f>
        <x:v>417.23</x:v>
      </x:c>
      <x:c r="I2768" s="13" t="n">
        <x:f>IF(C2768=0,"n.a.",F2768/C2768)</x:f>
        <x:v>208.615</x:v>
      </x:c>
      <x:c r="J2768" s="3"/>
      <x:c r="K2768" s="3"/>
      <x:c r="L2768" s="3"/>
    </x:row>
    <x:row r="2769" ht="22" customHeight="1">
      <x:c r="A2769" s="3"/>
      <x:c r="B2769" s="3" t="str">
        <x:v>16816</x:v>
      </x:c>
      <x:c r="C2769" s="3" t="n">
        <x:v>4</x:v>
      </x:c>
      <x:c r="D2769" s="51" t="n">
        <x:v>40783</x:v>
      </x:c>
      <x:c r="E2769" s="3" t="str">
        <x:v>Recurrente</x:v>
      </x:c>
      <x:c r="F2769" s="13" t="n">
        <x:v>417.06</x:v>
      </x:c>
      <x:c r="G2769" s="13" t="n">
        <x:v>0</x:v>
      </x:c>
      <x:c r="H2769" s="13" t="n">
        <x:f>F2769-G2769</x:f>
        <x:v>417.06</x:v>
      </x:c>
      <x:c r="I2769" s="13" t="n">
        <x:f>IF(C2769=0,"n.a.",F2769/C2769)</x:f>
        <x:v>104.265</x:v>
      </x:c>
      <x:c r="J2769" s="3"/>
      <x:c r="K2769" s="3"/>
      <x:c r="L2769" s="3"/>
    </x:row>
    <x:row r="2770" ht="22" customHeight="1">
      <x:c r="A2770" s="3"/>
      <x:c r="B2770" s="3" t="str">
        <x:v>12729</x:v>
      </x:c>
      <x:c r="C2770" s="3" t="n">
        <x:v>1</x:v>
      </x:c>
      <x:c r="D2770" s="51" t="n">
        <x:v>40773</x:v>
      </x:c>
      <x:c r="E2770" s="3" t="str">
        <x:v>Una compra</x:v>
      </x:c>
      <x:c r="F2770" s="13" t="n">
        <x:v>417.01</x:v>
      </x:c>
      <x:c r="G2770" s="13" t="n">
        <x:v>0</x:v>
      </x:c>
      <x:c r="H2770" s="13" t="n">
        <x:f>F2770-G2770</x:f>
        <x:v>417.01</x:v>
      </x:c>
      <x:c r="I2770" s="13" t="n">
        <x:f>IF(C2770=0,"n.a.",F2770/C2770)</x:f>
        <x:v>417.01</x:v>
      </x:c>
      <x:c r="J2770" s="3"/>
      <x:c r="K2770" s="3"/>
      <x:c r="L2770" s="3"/>
    </x:row>
    <x:row r="2771" ht="22" customHeight="1">
      <x:c r="A2771" s="3"/>
      <x:c r="B2771" s="3" t="str">
        <x:v>13889</x:v>
      </x:c>
      <x:c r="C2771" s="3" t="n">
        <x:v>1</x:v>
      </x:c>
      <x:c r="D2771" s="51" t="n">
        <x:v>40794</x:v>
      </x:c>
      <x:c r="E2771" s="3" t="str">
        <x:v>Una compra</x:v>
      </x:c>
      <x:c r="F2771" s="13" t="n">
        <x:v>416.9</x:v>
      </x:c>
      <x:c r="G2771" s="13" t="n">
        <x:v>0</x:v>
      </x:c>
      <x:c r="H2771" s="13" t="n">
        <x:f>F2771-G2771</x:f>
        <x:v>416.9</x:v>
      </x:c>
      <x:c r="I2771" s="13" t="n">
        <x:f>IF(C2771=0,"n.a.",F2771/C2771)</x:f>
        <x:v>416.9</x:v>
      </x:c>
      <x:c r="J2771" s="3"/>
      <x:c r="K2771" s="3"/>
      <x:c r="L2771" s="3"/>
    </x:row>
    <x:row r="2772" ht="22" customHeight="1">
      <x:c r="A2772" s="3"/>
      <x:c r="B2772" s="3" t="str">
        <x:v>16957</x:v>
      </x:c>
      <x:c r="C2772" s="3" t="n">
        <x:v>2</x:v>
      </x:c>
      <x:c r="D2772" s="51" t="n">
        <x:v>40647</x:v>
      </x:c>
      <x:c r="E2772" s="3" t="str">
        <x:v>Recurrente</x:v>
      </x:c>
      <x:c r="F2772" s="13" t="n">
        <x:v>416.64</x:v>
      </x:c>
      <x:c r="G2772" s="13" t="n">
        <x:v>0</x:v>
      </x:c>
      <x:c r="H2772" s="13" t="n">
        <x:f>F2772-G2772</x:f>
        <x:v>416.64</x:v>
      </x:c>
      <x:c r="I2772" s="13" t="n">
        <x:f>IF(C2772=0,"n.a.",F2772/C2772)</x:f>
        <x:v>208.32</x:v>
      </x:c>
      <x:c r="J2772" s="3"/>
      <x:c r="K2772" s="3"/>
      <x:c r="L2772" s="3"/>
    </x:row>
    <x:row r="2773" ht="22" customHeight="1">
      <x:c r="A2773" s="3"/>
      <x:c r="B2773" s="3" t="str">
        <x:v>14139</x:v>
      </x:c>
      <x:c r="C2773" s="3" t="n">
        <x:v>1</x:v>
      </x:c>
      <x:c r="D2773" s="51" t="n">
        <x:v>40840</x:v>
      </x:c>
      <x:c r="E2773" s="3" t="str">
        <x:v>Una compra</x:v>
      </x:c>
      <x:c r="F2773" s="13" t="n">
        <x:v>415.82</x:v>
      </x:c>
      <x:c r="G2773" s="13" t="n">
        <x:v>0</x:v>
      </x:c>
      <x:c r="H2773" s="13" t="n">
        <x:f>F2773-G2773</x:f>
        <x:v>415.82</x:v>
      </x:c>
      <x:c r="I2773" s="13" t="n">
        <x:f>IF(C2773=0,"n.a.",F2773/C2773)</x:f>
        <x:v>415.82</x:v>
      </x:c>
      <x:c r="J2773" s="3"/>
      <x:c r="K2773" s="3"/>
      <x:c r="L2773" s="3"/>
    </x:row>
    <x:row r="2774" ht="22" customHeight="1">
      <x:c r="A2774" s="3"/>
      <x:c r="B2774" s="3" t="str">
        <x:v>15803</x:v>
      </x:c>
      <x:c r="C2774" s="3" t="n">
        <x:v>1</x:v>
      </x:c>
      <x:c r="D2774" s="51" t="n">
        <x:v>40835</x:v>
      </x:c>
      <x:c r="E2774" s="3" t="str">
        <x:v>Una compra</x:v>
      </x:c>
      <x:c r="F2774" s="13" t="n">
        <x:v>415.82</x:v>
      </x:c>
      <x:c r="G2774" s="13" t="n">
        <x:v>0</x:v>
      </x:c>
      <x:c r="H2774" s="13" t="n">
        <x:f>F2774-G2774</x:f>
        <x:v>415.82</x:v>
      </x:c>
      <x:c r="I2774" s="13" t="n">
        <x:f>IF(C2774=0,"n.a.",F2774/C2774)</x:f>
        <x:v>415.82</x:v>
      </x:c>
      <x:c r="J2774" s="3"/>
      <x:c r="K2774" s="3"/>
      <x:c r="L2774" s="3"/>
    </x:row>
    <x:row r="2775" ht="22" customHeight="1">
      <x:c r="A2775" s="3"/>
      <x:c r="B2775" s="3" t="str">
        <x:v>15725</x:v>
      </x:c>
      <x:c r="C2775" s="3" t="n">
        <x:v>1</x:v>
      </x:c>
      <x:c r="D2775" s="51" t="n">
        <x:v>40871</x:v>
      </x:c>
      <x:c r="E2775" s="3" t="str">
        <x:v>Una compra</x:v>
      </x:c>
      <x:c r="F2775" s="13" t="n">
        <x:v>415.25</x:v>
      </x:c>
      <x:c r="G2775" s="13" t="n">
        <x:v>0</x:v>
      </x:c>
      <x:c r="H2775" s="13" t="n">
        <x:f>F2775-G2775</x:f>
        <x:v>415.25</x:v>
      </x:c>
      <x:c r="I2775" s="13" t="n">
        <x:f>IF(C2775=0,"n.a.",F2775/C2775)</x:f>
        <x:v>415.25</x:v>
      </x:c>
      <x:c r="J2775" s="3"/>
      <x:c r="K2775" s="3"/>
      <x:c r="L2775" s="3"/>
    </x:row>
    <x:row r="2776" ht="22" customHeight="1">
      <x:c r="A2776" s="3"/>
      <x:c r="B2776" s="3" t="str">
        <x:v>16795</x:v>
      </x:c>
      <x:c r="C2776" s="3" t="n">
        <x:v>1</x:v>
      </x:c>
      <x:c r="D2776" s="51" t="n">
        <x:v>40521</x:v>
      </x:c>
      <x:c r="E2776" s="3" t="str">
        <x:v>Una compra</x:v>
      </x:c>
      <x:c r="F2776" s="13" t="n">
        <x:v>414.88</x:v>
      </x:c>
      <x:c r="G2776" s="13" t="n">
        <x:v>0</x:v>
      </x:c>
      <x:c r="H2776" s="13" t="n">
        <x:f>F2776-G2776</x:f>
        <x:v>414.88</x:v>
      </x:c>
      <x:c r="I2776" s="13" t="n">
        <x:f>IF(C2776=0,"n.a.",F2776/C2776)</x:f>
        <x:v>414.88</x:v>
      </x:c>
      <x:c r="J2776" s="3"/>
      <x:c r="K2776" s="3"/>
      <x:c r="L2776" s="3"/>
    </x:row>
    <x:row r="2777" ht="22" customHeight="1">
      <x:c r="A2777" s="3"/>
      <x:c r="B2777" s="3" t="str">
        <x:v>12993</x:v>
      </x:c>
      <x:c r="C2777" s="3" t="n">
        <x:v>4</x:v>
      </x:c>
      <x:c r="D2777" s="51" t="n">
        <x:v>40863</x:v>
      </x:c>
      <x:c r="E2777" s="3" t="str">
        <x:v>Recurrente</x:v>
      </x:c>
      <x:c r="F2777" s="13" t="n">
        <x:v>414.76</x:v>
      </x:c>
      <x:c r="G2777" s="13" t="n">
        <x:v>0</x:v>
      </x:c>
      <x:c r="H2777" s="13" t="n">
        <x:f>F2777-G2777</x:f>
        <x:v>414.76</x:v>
      </x:c>
      <x:c r="I2777" s="13" t="n">
        <x:f>IF(C2777=0,"n.a.",F2777/C2777)</x:f>
        <x:v>103.69</x:v>
      </x:c>
      <x:c r="J2777" s="3"/>
      <x:c r="K2777" s="3"/>
      <x:c r="L2777" s="3"/>
    </x:row>
    <x:row r="2778" ht="22" customHeight="1">
      <x:c r="A2778" s="3"/>
      <x:c r="B2778" s="3" t="str">
        <x:v>13166</x:v>
      </x:c>
      <x:c r="C2778" s="3" t="n">
        <x:v>1</x:v>
      </x:c>
      <x:c r="D2778" s="51" t="n">
        <x:v>40603</x:v>
      </x:c>
      <x:c r="E2778" s="3" t="str">
        <x:v>Una compra</x:v>
      </x:c>
      <x:c r="F2778" s="13" t="n">
        <x:v>417.2</x:v>
      </x:c>
      <x:c r="G2778" s="13" t="n">
        <x:v>2.5</x:v>
      </x:c>
      <x:c r="H2778" s="13" t="n">
        <x:f>F2778-G2778</x:f>
        <x:v>414.7</x:v>
      </x:c>
      <x:c r="I2778" s="13" t="n">
        <x:f>IF(C2778=0,"n.a.",F2778/C2778)</x:f>
        <x:v>417.2</x:v>
      </x:c>
      <x:c r="J2778" s="3"/>
      <x:c r="K2778" s="3"/>
      <x:c r="L2778" s="3"/>
    </x:row>
    <x:row r="2779" ht="22" customHeight="1">
      <x:c r="A2779" s="3"/>
      <x:c r="B2779" s="3" t="str">
        <x:v>17483</x:v>
      </x:c>
      <x:c r="C2779" s="3" t="n">
        <x:v>3</x:v>
      </x:c>
      <x:c r="D2779" s="51" t="n">
        <x:v>40821</x:v>
      </x:c>
      <x:c r="E2779" s="3" t="str">
        <x:v>Recurrente</x:v>
      </x:c>
      <x:c r="F2779" s="13" t="n">
        <x:v>414.04</x:v>
      </x:c>
      <x:c r="G2779" s="13" t="n">
        <x:v>0</x:v>
      </x:c>
      <x:c r="H2779" s="13" t="n">
        <x:f>F2779-G2779</x:f>
        <x:v>414.04</x:v>
      </x:c>
      <x:c r="I2779" s="13" t="n">
        <x:f>IF(C2779=0,"n.a.",F2779/C2779)</x:f>
        <x:v>138.01333333333335</x:v>
      </x:c>
      <x:c r="J2779" s="3"/>
      <x:c r="K2779" s="3"/>
      <x:c r="L2779" s="3"/>
    </x:row>
    <x:row r="2780" ht="22" customHeight="1">
      <x:c r="A2780" s="3"/>
      <x:c r="B2780" s="3" t="str">
        <x:v>14288</x:v>
      </x:c>
      <x:c r="C2780" s="3" t="n">
        <x:v>1</x:v>
      </x:c>
      <x:c r="D2780" s="51" t="n">
        <x:v>40673</x:v>
      </x:c>
      <x:c r="E2780" s="3" t="str">
        <x:v>Una compra</x:v>
      </x:c>
      <x:c r="F2780" s="13" t="n">
        <x:v>426.6</x:v>
      </x:c>
      <x:c r="G2780" s="13" t="n">
        <x:v>12.75</x:v>
      </x:c>
      <x:c r="H2780" s="13" t="n">
        <x:f>F2780-G2780</x:f>
        <x:v>413.85</x:v>
      </x:c>
      <x:c r="I2780" s="13" t="n">
        <x:f>IF(C2780=0,"n.a.",F2780/C2780)</x:f>
        <x:v>426.6</x:v>
      </x:c>
      <x:c r="J2780" s="3"/>
      <x:c r="K2780" s="3"/>
      <x:c r="L2780" s="3"/>
    </x:row>
    <x:row r="2781" ht="22" customHeight="1">
      <x:c r="A2781" s="3"/>
      <x:c r="B2781" s="3" t="str">
        <x:v>17052</x:v>
      </x:c>
      <x:c r="C2781" s="3" t="n">
        <x:v>1</x:v>
      </x:c>
      <x:c r="D2781" s="51" t="n">
        <x:v>40858</x:v>
      </x:c>
      <x:c r="E2781" s="3" t="str">
        <x:v>Una compra</x:v>
      </x:c>
      <x:c r="F2781" s="13" t="n">
        <x:v>413.75</x:v>
      </x:c>
      <x:c r="G2781" s="13" t="n">
        <x:v>0</x:v>
      </x:c>
      <x:c r="H2781" s="13" t="n">
        <x:f>F2781-G2781</x:f>
        <x:v>413.75</x:v>
      </x:c>
      <x:c r="I2781" s="13" t="n">
        <x:f>IF(C2781=0,"n.a.",F2781/C2781)</x:f>
        <x:v>413.75</x:v>
      </x:c>
      <x:c r="J2781" s="3"/>
      <x:c r="K2781" s="3"/>
      <x:c r="L2781" s="3"/>
    </x:row>
    <x:row r="2782" ht="22" customHeight="1">
      <x:c r="A2782" s="3"/>
      <x:c r="B2782" s="3" t="str">
        <x:v>13974</x:v>
      </x:c>
      <x:c r="C2782" s="3" t="n">
        <x:v>1</x:v>
      </x:c>
      <x:c r="D2782" s="51" t="n">
        <x:v>40837</x:v>
      </x:c>
      <x:c r="E2782" s="3" t="str">
        <x:v>Una compra</x:v>
      </x:c>
      <x:c r="F2782" s="13" t="n">
        <x:v>413.59</x:v>
      </x:c>
      <x:c r="G2782" s="13" t="n">
        <x:v>0</x:v>
      </x:c>
      <x:c r="H2782" s="13" t="n">
        <x:f>F2782-G2782</x:f>
        <x:v>413.59</x:v>
      </x:c>
      <x:c r="I2782" s="13" t="n">
        <x:f>IF(C2782=0,"n.a.",F2782/C2782)</x:f>
        <x:v>413.59</x:v>
      </x:c>
      <x:c r="J2782" s="3"/>
      <x:c r="K2782" s="3"/>
      <x:c r="L2782" s="3"/>
    </x:row>
    <x:row r="2783" ht="22" customHeight="1">
      <x:c r="A2783" s="3"/>
      <x:c r="B2783" s="3" t="str">
        <x:v>16834</x:v>
      </x:c>
      <x:c r="C2783" s="3" t="n">
        <x:v>1</x:v>
      </x:c>
      <x:c r="D2783" s="51" t="n">
        <x:v>40659</x:v>
      </x:c>
      <x:c r="E2783" s="3" t="str">
        <x:v>Una compra</x:v>
      </x:c>
      <x:c r="F2783" s="13" t="n">
        <x:v>413.46</x:v>
      </x:c>
      <x:c r="G2783" s="13" t="n">
        <x:v>0</x:v>
      </x:c>
      <x:c r="H2783" s="13" t="n">
        <x:f>F2783-G2783</x:f>
        <x:v>413.46</x:v>
      </x:c>
      <x:c r="I2783" s="13" t="n">
        <x:f>IF(C2783=0,"n.a.",F2783/C2783)</x:f>
        <x:v>413.46</x:v>
      </x:c>
      <x:c r="J2783" s="3"/>
      <x:c r="K2783" s="3"/>
      <x:c r="L2783" s="3"/>
    </x:row>
    <x:row r="2784" ht="22" customHeight="1">
      <x:c r="A2784" s="3"/>
      <x:c r="B2784" s="3" t="str">
        <x:v>13827</x:v>
      </x:c>
      <x:c r="C2784" s="3" t="n">
        <x:v>3</x:v>
      </x:c>
      <x:c r="D2784" s="51" t="n">
        <x:v>40829</x:v>
      </x:c>
      <x:c r="E2784" s="3" t="str">
        <x:v>Recurrente</x:v>
      </x:c>
      <x:c r="F2784" s="13" t="n">
        <x:v>412.05</x:v>
      </x:c>
      <x:c r="G2784" s="13" t="n">
        <x:v>0</x:v>
      </x:c>
      <x:c r="H2784" s="13" t="n">
        <x:f>F2784-G2784</x:f>
        <x:v>412.05</x:v>
      </x:c>
      <x:c r="I2784" s="13" t="n">
        <x:f>IF(C2784=0,"n.a.",F2784/C2784)</x:f>
        <x:v>137.35</x:v>
      </x:c>
      <x:c r="J2784" s="3"/>
      <x:c r="K2784" s="3"/>
      <x:c r="L2784" s="3"/>
    </x:row>
    <x:row r="2785" ht="22" customHeight="1">
      <x:c r="A2785" s="3"/>
      <x:c r="B2785" s="3" t="str">
        <x:v>15523</x:v>
      </x:c>
      <x:c r="C2785" s="3" t="n">
        <x:v>1</x:v>
      </x:c>
      <x:c r="D2785" s="51" t="n">
        <x:v>40802</x:v>
      </x:c>
      <x:c r="E2785" s="3" t="str">
        <x:v>Una compra</x:v>
      </x:c>
      <x:c r="F2785" s="13" t="n">
        <x:v>412.01</x:v>
      </x:c>
      <x:c r="G2785" s="13" t="n">
        <x:v>0</x:v>
      </x:c>
      <x:c r="H2785" s="13" t="n">
        <x:f>F2785-G2785</x:f>
        <x:v>412.01</x:v>
      </x:c>
      <x:c r="I2785" s="13" t="n">
        <x:f>IF(C2785=0,"n.a.",F2785/C2785)</x:f>
        <x:v>412.01</x:v>
      </x:c>
      <x:c r="J2785" s="3"/>
      <x:c r="K2785" s="3"/>
      <x:c r="L2785" s="3"/>
    </x:row>
    <x:row r="2786" ht="22" customHeight="1">
      <x:c r="A2786" s="3"/>
      <x:c r="B2786" s="3" t="str">
        <x:v>16272</x:v>
      </x:c>
      <x:c r="C2786" s="3" t="n">
        <x:v>1</x:v>
      </x:c>
      <x:c r="D2786" s="51" t="n">
        <x:v>40770</x:v>
      </x:c>
      <x:c r="E2786" s="3" t="str">
        <x:v>Una compra</x:v>
      </x:c>
      <x:c r="F2786" s="13" t="n">
        <x:v>411.7</x:v>
      </x:c>
      <x:c r="G2786" s="13" t="n">
        <x:v>0</x:v>
      </x:c>
      <x:c r="H2786" s="13" t="n">
        <x:f>F2786-G2786</x:f>
        <x:v>411.7</x:v>
      </x:c>
      <x:c r="I2786" s="13" t="n">
        <x:f>IF(C2786=0,"n.a.",F2786/C2786)</x:f>
        <x:v>411.7</x:v>
      </x:c>
      <x:c r="J2786" s="3"/>
      <x:c r="K2786" s="3"/>
      <x:c r="L2786" s="3"/>
    </x:row>
    <x:row r="2787" ht="22" customHeight="1">
      <x:c r="A2787" s="3"/>
      <x:c r="B2787" s="3" t="str">
        <x:v>17913</x:v>
      </x:c>
      <x:c r="C2787" s="3" t="n">
        <x:v>2</x:v>
      </x:c>
      <x:c r="D2787" s="51" t="n">
        <x:v>40828</x:v>
      </x:c>
      <x:c r="E2787" s="3" t="str">
        <x:v>Recurrente</x:v>
      </x:c>
      <x:c r="F2787" s="13" t="n">
        <x:v>411.6</x:v>
      </x:c>
      <x:c r="G2787" s="13" t="n">
        <x:v>0</x:v>
      </x:c>
      <x:c r="H2787" s="13" t="n">
        <x:f>F2787-G2787</x:f>
        <x:v>411.6</x:v>
      </x:c>
      <x:c r="I2787" s="13" t="n">
        <x:f>IF(C2787=0,"n.a.",F2787/C2787)</x:f>
        <x:v>205.8</x:v>
      </x:c>
      <x:c r="J2787" s="3"/>
      <x:c r="K2787" s="3"/>
      <x:c r="L2787" s="3"/>
    </x:row>
    <x:row r="2788" ht="22" customHeight="1">
      <x:c r="A2788" s="3"/>
      <x:c r="B2788" s="3" t="str">
        <x:v>14670</x:v>
      </x:c>
      <x:c r="C2788" s="3" t="n">
        <x:v>2</x:v>
      </x:c>
      <x:c r="D2788" s="51" t="n">
        <x:v>40606</x:v>
      </x:c>
      <x:c r="E2788" s="3" t="str">
        <x:v>Recurrente</x:v>
      </x:c>
      <x:c r="F2788" s="13" t="n">
        <x:v>411.53</x:v>
      </x:c>
      <x:c r="G2788" s="13" t="n">
        <x:v>0</x:v>
      </x:c>
      <x:c r="H2788" s="13" t="n">
        <x:f>F2788-G2788</x:f>
        <x:v>411.53</x:v>
      </x:c>
      <x:c r="I2788" s="13" t="n">
        <x:f>IF(C2788=0,"n.a.",F2788/C2788)</x:f>
        <x:v>205.765</x:v>
      </x:c>
      <x:c r="J2788" s="3"/>
      <x:c r="K2788" s="3"/>
      <x:c r="L2788" s="3"/>
    </x:row>
    <x:row r="2789" ht="22" customHeight="1">
      <x:c r="A2789" s="3"/>
      <x:c r="B2789" s="3" t="str">
        <x:v>15186</x:v>
      </x:c>
      <x:c r="C2789" s="3" t="n">
        <x:v>2</x:v>
      </x:c>
      <x:c r="D2789" s="51" t="n">
        <x:v>40872</x:v>
      </x:c>
      <x:c r="E2789" s="3" t="str">
        <x:v>Recurrente</x:v>
      </x:c>
      <x:c r="F2789" s="13" t="n">
        <x:v>411.41</x:v>
      </x:c>
      <x:c r="G2789" s="13" t="n">
        <x:v>0</x:v>
      </x:c>
      <x:c r="H2789" s="13" t="n">
        <x:f>F2789-G2789</x:f>
        <x:v>411.41</x:v>
      </x:c>
      <x:c r="I2789" s="13" t="n">
        <x:f>IF(C2789=0,"n.a.",F2789/C2789)</x:f>
        <x:v>205.705</x:v>
      </x:c>
      <x:c r="J2789" s="3"/>
      <x:c r="K2789" s="3"/>
      <x:c r="L2789" s="3"/>
    </x:row>
    <x:row r="2790" ht="22" customHeight="1">
      <x:c r="A2790" s="3"/>
      <x:c r="B2790" s="3" t="str">
        <x:v>15099</x:v>
      </x:c>
      <x:c r="C2790" s="3" t="n">
        <x:v>1</x:v>
      </x:c>
      <x:c r="D2790" s="51" t="n">
        <x:v>40802</x:v>
      </x:c>
      <x:c r="E2790" s="3" t="str">
        <x:v>Una compra</x:v>
      </x:c>
      <x:c r="F2790" s="13" t="n">
        <x:v>410.48</x:v>
      </x:c>
      <x:c r="G2790" s="13" t="n">
        <x:v>0</x:v>
      </x:c>
      <x:c r="H2790" s="13" t="n">
        <x:f>F2790-G2790</x:f>
        <x:v>410.48</x:v>
      </x:c>
      <x:c r="I2790" s="13" t="n">
        <x:f>IF(C2790=0,"n.a.",F2790/C2790)</x:f>
        <x:v>410.48</x:v>
      </x:c>
      <x:c r="J2790" s="3"/>
      <x:c r="K2790" s="3"/>
      <x:c r="L2790" s="3"/>
    </x:row>
    <x:row r="2791" ht="22" customHeight="1">
      <x:c r="A2791" s="3"/>
      <x:c r="B2791" s="3" t="str">
        <x:v>15695</x:v>
      </x:c>
      <x:c r="C2791" s="3" t="n">
        <x:v>2</x:v>
      </x:c>
      <x:c r="D2791" s="51" t="n">
        <x:v>40620</x:v>
      </x:c>
      <x:c r="E2791" s="3" t="str">
        <x:v>Recurrente</x:v>
      </x:c>
      <x:c r="F2791" s="13" t="n">
        <x:v>409.98</x:v>
      </x:c>
      <x:c r="G2791" s="13" t="n">
        <x:v>0</x:v>
      </x:c>
      <x:c r="H2791" s="13" t="n">
        <x:f>F2791-G2791</x:f>
        <x:v>409.98</x:v>
      </x:c>
      <x:c r="I2791" s="13" t="n">
        <x:f>IF(C2791=0,"n.a.",F2791/C2791)</x:f>
        <x:v>204.99</x:v>
      </x:c>
      <x:c r="J2791" s="3"/>
      <x:c r="K2791" s="3"/>
      <x:c r="L2791" s="3"/>
    </x:row>
    <x:row r="2792" ht="22" customHeight="1">
      <x:c r="A2792" s="3"/>
      <x:c r="B2792" s="3" t="str">
        <x:v>12930</x:v>
      </x:c>
      <x:c r="C2792" s="3" t="n">
        <x:v>2</x:v>
      </x:c>
      <x:c r="D2792" s="51" t="n">
        <x:v>40808</x:v>
      </x:c>
      <x:c r="E2792" s="3" t="str">
        <x:v>Recurrente</x:v>
      </x:c>
      <x:c r="F2792" s="13" t="n">
        <x:v>415.8</x:v>
      </x:c>
      <x:c r="G2792" s="13" t="n">
        <x:v>5.9</x:v>
      </x:c>
      <x:c r="H2792" s="13" t="n">
        <x:f>F2792-G2792</x:f>
        <x:v>409.90000000000003</x:v>
      </x:c>
      <x:c r="I2792" s="13" t="n">
        <x:f>IF(C2792=0,"n.a.",F2792/C2792)</x:f>
        <x:v>207.9</x:v>
      </x:c>
      <x:c r="J2792" s="3"/>
      <x:c r="K2792" s="3"/>
      <x:c r="L2792" s="3"/>
    </x:row>
    <x:row r="2793" ht="22" customHeight="1">
      <x:c r="A2793" s="3"/>
      <x:c r="B2793" s="3" t="str">
        <x:v>14348</x:v>
      </x:c>
      <x:c r="C2793" s="3" t="n">
        <x:v>1</x:v>
      </x:c>
      <x:c r="D2793" s="51" t="n">
        <x:v>40626</x:v>
      </x:c>
      <x:c r="E2793" s="3" t="str">
        <x:v>Una compra</x:v>
      </x:c>
      <x:c r="F2793" s="13" t="n">
        <x:v>409.57</x:v>
      </x:c>
      <x:c r="G2793" s="13" t="n">
        <x:v>0</x:v>
      </x:c>
      <x:c r="H2793" s="13" t="n">
        <x:f>F2793-G2793</x:f>
        <x:v>409.57</x:v>
      </x:c>
      <x:c r="I2793" s="13" t="n">
        <x:f>IF(C2793=0,"n.a.",F2793/C2793)</x:f>
        <x:v>409.57</x:v>
      </x:c>
      <x:c r="J2793" s="3"/>
      <x:c r="K2793" s="3"/>
      <x:c r="L2793" s="3"/>
    </x:row>
    <x:row r="2794" ht="22" customHeight="1">
      <x:c r="A2794" s="3"/>
      <x:c r="B2794" s="3" t="str">
        <x:v>12990</x:v>
      </x:c>
      <x:c r="C2794" s="3" t="n">
        <x:v>3</x:v>
      </x:c>
      <x:c r="D2794" s="51" t="n">
        <x:v>40855</x:v>
      </x:c>
      <x:c r="E2794" s="3" t="str">
        <x:v>Recurrente</x:v>
      </x:c>
      <x:c r="F2794" s="13" t="n">
        <x:v>409.5</x:v>
      </x:c>
      <x:c r="G2794" s="13" t="n">
        <x:v>0</x:v>
      </x:c>
      <x:c r="H2794" s="13" t="n">
        <x:f>F2794-G2794</x:f>
        <x:v>409.5</x:v>
      </x:c>
      <x:c r="I2794" s="13" t="n">
        <x:f>IF(C2794=0,"n.a.",F2794/C2794)</x:f>
        <x:v>136.5</x:v>
      </x:c>
      <x:c r="J2794" s="3"/>
      <x:c r="K2794" s="3"/>
      <x:c r="L2794" s="3"/>
    </x:row>
    <x:row r="2795" ht="22" customHeight="1">
      <x:c r="A2795" s="3"/>
      <x:c r="B2795" s="3" t="str">
        <x:v>15225</x:v>
      </x:c>
      <x:c r="C2795" s="3" t="n">
        <x:v>1</x:v>
      </x:c>
      <x:c r="D2795" s="51" t="n">
        <x:v>40652</x:v>
      </x:c>
      <x:c r="E2795" s="3" t="str">
        <x:v>Una compra</x:v>
      </x:c>
      <x:c r="F2795" s="13" t="n">
        <x:v>409.4</x:v>
      </x:c>
      <x:c r="G2795" s="13" t="n">
        <x:v>0</x:v>
      </x:c>
      <x:c r="H2795" s="13" t="n">
        <x:f>F2795-G2795</x:f>
        <x:v>409.4</x:v>
      </x:c>
      <x:c r="I2795" s="13" t="n">
        <x:f>IF(C2795=0,"n.a.",F2795/C2795)</x:f>
        <x:v>409.4</x:v>
      </x:c>
      <x:c r="J2795" s="3"/>
      <x:c r="K2795" s="3"/>
      <x:c r="L2795" s="3"/>
    </x:row>
    <x:row r="2796" ht="22" customHeight="1">
      <x:c r="A2796" s="3"/>
      <x:c r="B2796" s="3" t="str">
        <x:v>16243</x:v>
      </x:c>
      <x:c r="C2796" s="3" t="n">
        <x:v>2</x:v>
      </x:c>
      <x:c r="D2796" s="51" t="n">
        <x:v>40853</x:v>
      </x:c>
      <x:c r="E2796" s="3" t="str">
        <x:v>Recurrente</x:v>
      </x:c>
      <x:c r="F2796" s="13" t="n">
        <x:v>409.1</x:v>
      </x:c>
      <x:c r="G2796" s="13" t="n">
        <x:v>0</x:v>
      </x:c>
      <x:c r="H2796" s="13" t="n">
        <x:f>F2796-G2796</x:f>
        <x:v>409.1</x:v>
      </x:c>
      <x:c r="I2796" s="13" t="n">
        <x:f>IF(C2796=0,"n.a.",F2796/C2796)</x:f>
        <x:v>204.55</x:v>
      </x:c>
      <x:c r="J2796" s="3"/>
      <x:c r="K2796" s="3"/>
      <x:c r="L2796" s="3"/>
    </x:row>
    <x:row r="2797" ht="22" customHeight="1">
      <x:c r="A2797" s="3"/>
      <x:c r="B2797" s="3" t="str">
        <x:v>16018</x:v>
      </x:c>
      <x:c r="C2797" s="3" t="n">
        <x:v>2</x:v>
      </x:c>
      <x:c r="D2797" s="51" t="n">
        <x:v>40847</x:v>
      </x:c>
      <x:c r="E2797" s="3" t="str">
        <x:v>Recurrente</x:v>
      </x:c>
      <x:c r="F2797" s="13" t="n">
        <x:v>408.9</x:v>
      </x:c>
      <x:c r="G2797" s="13" t="n">
        <x:v>0</x:v>
      </x:c>
      <x:c r="H2797" s="13" t="n">
        <x:f>F2797-G2797</x:f>
        <x:v>408.9</x:v>
      </x:c>
      <x:c r="I2797" s="13" t="n">
        <x:f>IF(C2797=0,"n.a.",F2797/C2797)</x:f>
        <x:v>204.45</x:v>
      </x:c>
      <x:c r="J2797" s="3"/>
      <x:c r="K2797" s="3"/>
      <x:c r="L2797" s="3"/>
    </x:row>
    <x:row r="2798" ht="22" customHeight="1">
      <x:c r="A2798" s="3"/>
      <x:c r="B2798" s="3" t="str">
        <x:v>15269</x:v>
      </x:c>
      <x:c r="C2798" s="3" t="n">
        <x:v>1</x:v>
      </x:c>
      <x:c r="D2798" s="51" t="n">
        <x:v>40863</x:v>
      </x:c>
      <x:c r="E2798" s="3" t="str">
        <x:v>Una compra</x:v>
      </x:c>
      <x:c r="F2798" s="13" t="n">
        <x:v>408.8</x:v>
      </x:c>
      <x:c r="G2798" s="13" t="n">
        <x:v>0</x:v>
      </x:c>
      <x:c r="H2798" s="13" t="n">
        <x:f>F2798-G2798</x:f>
        <x:v>408.8</x:v>
      </x:c>
      <x:c r="I2798" s="13" t="n">
        <x:f>IF(C2798=0,"n.a.",F2798/C2798)</x:f>
        <x:v>408.8</x:v>
      </x:c>
      <x:c r="J2798" s="3"/>
      <x:c r="K2798" s="3"/>
      <x:c r="L2798" s="3"/>
    </x:row>
    <x:row r="2799" ht="22" customHeight="1">
      <x:c r="A2799" s="3"/>
      <x:c r="B2799" s="3" t="str">
        <x:v>17931</x:v>
      </x:c>
      <x:c r="C2799" s="3" t="n">
        <x:v>2</x:v>
      </x:c>
      <x:c r="D2799" s="51" t="n">
        <x:v>40752</x:v>
      </x:c>
      <x:c r="E2799" s="3" t="str">
        <x:v>Recurrente</x:v>
      </x:c>
      <x:c r="F2799" s="13" t="n">
        <x:v>408.36</x:v>
      </x:c>
      <x:c r="G2799" s="13" t="n">
        <x:v>0</x:v>
      </x:c>
      <x:c r="H2799" s="13" t="n">
        <x:f>F2799-G2799</x:f>
        <x:v>408.36</x:v>
      </x:c>
      <x:c r="I2799" s="13" t="n">
        <x:f>IF(C2799=0,"n.a.",F2799/C2799)</x:f>
        <x:v>204.18</x:v>
      </x:c>
      <x:c r="J2799" s="3"/>
      <x:c r="K2799" s="3"/>
      <x:c r="L2799" s="3"/>
    </x:row>
    <x:row r="2800" ht="22" customHeight="1">
      <x:c r="A2800" s="3"/>
      <x:c r="B2800" s="3" t="str">
        <x:v>16010</x:v>
      </x:c>
      <x:c r="C2800" s="3" t="n">
        <x:v>3</x:v>
      </x:c>
      <x:c r="D2800" s="51" t="n">
        <x:v>40641</x:v>
      </x:c>
      <x:c r="E2800" s="3" t="str">
        <x:v>Recurrente</x:v>
      </x:c>
      <x:c r="F2800" s="13" t="n">
        <x:v>407.5</x:v>
      </x:c>
      <x:c r="G2800" s="13" t="n">
        <x:v>0</x:v>
      </x:c>
      <x:c r="H2800" s="13" t="n">
        <x:f>F2800-G2800</x:f>
        <x:v>407.5</x:v>
      </x:c>
      <x:c r="I2800" s="13" t="n">
        <x:f>IF(C2800=0,"n.a.",F2800/C2800)</x:f>
        <x:v>135.83333333333334</x:v>
      </x:c>
      <x:c r="J2800" s="3"/>
      <x:c r="K2800" s="3"/>
      <x:c r="L2800" s="3"/>
    </x:row>
    <x:row r="2801" ht="22" customHeight="1">
      <x:c r="A2801" s="3"/>
      <x:c r="B2801" s="3" t="str">
        <x:v>16399</x:v>
      </x:c>
      <x:c r="C2801" s="3" t="n">
        <x:v>2</x:v>
      </x:c>
      <x:c r="D2801" s="51" t="n">
        <x:v>40867</x:v>
      </x:c>
      <x:c r="E2801" s="3" t="str">
        <x:v>Recurrente</x:v>
      </x:c>
      <x:c r="F2801" s="13" t="n">
        <x:v>406.77</x:v>
      </x:c>
      <x:c r="G2801" s="13" t="n">
        <x:v>0</x:v>
      </x:c>
      <x:c r="H2801" s="13" t="n">
        <x:f>F2801-G2801</x:f>
        <x:v>406.77</x:v>
      </x:c>
      <x:c r="I2801" s="13" t="n">
        <x:f>IF(C2801=0,"n.a.",F2801/C2801)</x:f>
        <x:v>203.385</x:v>
      </x:c>
      <x:c r="J2801" s="3"/>
      <x:c r="K2801" s="3"/>
      <x:c r="L2801" s="3"/>
    </x:row>
    <x:row r="2802" ht="22" customHeight="1">
      <x:c r="A2802" s="3"/>
      <x:c r="B2802" s="3" t="str">
        <x:v>15184</x:v>
      </x:c>
      <x:c r="C2802" s="3" t="n">
        <x:v>2</x:v>
      </x:c>
      <x:c r="D2802" s="51" t="n">
        <x:v>40857</x:v>
      </x:c>
      <x:c r="E2802" s="3" t="str">
        <x:v>Recurrente</x:v>
      </x:c>
      <x:c r="F2802" s="13" t="n">
        <x:v>406.76</x:v>
      </x:c>
      <x:c r="G2802" s="13" t="n">
        <x:v>0</x:v>
      </x:c>
      <x:c r="H2802" s="13" t="n">
        <x:f>F2802-G2802</x:f>
        <x:v>406.76</x:v>
      </x:c>
      <x:c r="I2802" s="13" t="n">
        <x:f>IF(C2802=0,"n.a.",F2802/C2802)</x:f>
        <x:v>203.38</x:v>
      </x:c>
      <x:c r="J2802" s="3"/>
      <x:c r="K2802" s="3"/>
      <x:c r="L2802" s="3"/>
    </x:row>
    <x:row r="2803" ht="22" customHeight="1">
      <x:c r="A2803" s="3"/>
      <x:c r="B2803" s="3" t="str">
        <x:v>15127</x:v>
      </x:c>
      <x:c r="C2803" s="3" t="n">
        <x:v>1</x:v>
      </x:c>
      <x:c r="D2803" s="51" t="n">
        <x:v>40821</x:v>
      </x:c>
      <x:c r="E2803" s="3" t="str">
        <x:v>Una compra</x:v>
      </x:c>
      <x:c r="F2803" s="13" t="n">
        <x:v>406.53</x:v>
      </x:c>
      <x:c r="G2803" s="13" t="n">
        <x:v>0</x:v>
      </x:c>
      <x:c r="H2803" s="13" t="n">
        <x:f>F2803-G2803</x:f>
        <x:v>406.53</x:v>
      </x:c>
      <x:c r="I2803" s="13" t="n">
        <x:f>IF(C2803=0,"n.a.",F2803/C2803)</x:f>
        <x:v>406.53</x:v>
      </x:c>
      <x:c r="J2803" s="3"/>
      <x:c r="K2803" s="3"/>
      <x:c r="L2803" s="3"/>
    </x:row>
    <x:row r="2804" ht="22" customHeight="1">
      <x:c r="A2804" s="3"/>
      <x:c r="B2804" s="3" t="str">
        <x:v>16947</x:v>
      </x:c>
      <x:c r="C2804" s="3" t="n">
        <x:v>1</x:v>
      </x:c>
      <x:c r="D2804" s="51" t="n">
        <x:v>40651</x:v>
      </x:c>
      <x:c r="E2804" s="3" t="str">
        <x:v>Una compra</x:v>
      </x:c>
      <x:c r="F2804" s="13" t="n">
        <x:v>406.48</x:v>
      </x:c>
      <x:c r="G2804" s="13" t="n">
        <x:v>0</x:v>
      </x:c>
      <x:c r="H2804" s="13" t="n">
        <x:f>F2804-G2804</x:f>
        <x:v>406.48</x:v>
      </x:c>
      <x:c r="I2804" s="13" t="n">
        <x:f>IF(C2804=0,"n.a.",F2804/C2804)</x:f>
        <x:v>406.48</x:v>
      </x:c>
      <x:c r="J2804" s="3"/>
      <x:c r="K2804" s="3"/>
      <x:c r="L2804" s="3"/>
    </x:row>
    <x:row r="2805" ht="22" customHeight="1">
      <x:c r="A2805" s="3"/>
      <x:c r="B2805" s="3" t="str">
        <x:v>12384</x:v>
      </x:c>
      <x:c r="C2805" s="3" t="n">
        <x:v>2</x:v>
      </x:c>
      <x:c r="D2805" s="51" t="n">
        <x:v>40858</x:v>
      </x:c>
      <x:c r="E2805" s="3" t="str">
        <x:v>Recurrente</x:v>
      </x:c>
      <x:c r="F2805" s="13" t="n">
        <x:v>425.27</x:v>
      </x:c>
      <x:c r="G2805" s="13" t="n">
        <x:v>19.11</x:v>
      </x:c>
      <x:c r="H2805" s="13" t="n">
        <x:f>F2805-G2805</x:f>
        <x:v>406.15999999999997</x:v>
      </x:c>
      <x:c r="I2805" s="13" t="n">
        <x:f>IF(C2805=0,"n.a.",F2805/C2805)</x:f>
        <x:v>212.635</x:v>
      </x:c>
      <x:c r="J2805" s="3"/>
      <x:c r="K2805" s="3"/>
      <x:c r="L2805" s="3"/>
    </x:row>
    <x:row r="2806" ht="22" customHeight="1">
      <x:c r="A2806" s="3"/>
      <x:c r="B2806" s="3" t="str">
        <x:v>14616</x:v>
      </x:c>
      <x:c r="C2806" s="3" t="n">
        <x:v>3</x:v>
      </x:c>
      <x:c r="D2806" s="51" t="n">
        <x:v>40644</x:v>
      </x:c>
      <x:c r="E2806" s="3" t="str">
        <x:v>Recurrente</x:v>
      </x:c>
      <x:c r="F2806" s="13" t="n">
        <x:v>406.08</x:v>
      </x:c>
      <x:c r="G2806" s="13" t="n">
        <x:v>0</x:v>
      </x:c>
      <x:c r="H2806" s="13" t="n">
        <x:f>F2806-G2806</x:f>
        <x:v>406.08</x:v>
      </x:c>
      <x:c r="I2806" s="13" t="n">
        <x:f>IF(C2806=0,"n.a.",F2806/C2806)</x:f>
        <x:v>135.35999999999999</x:v>
      </x:c>
      <x:c r="J2806" s="3"/>
      <x:c r="K2806" s="3"/>
      <x:c r="L2806" s="3"/>
    </x:row>
    <x:row r="2807" ht="22" customHeight="1">
      <x:c r="A2807" s="3"/>
      <x:c r="B2807" s="3" t="str">
        <x:v>16204</x:v>
      </x:c>
      <x:c r="C2807" s="3" t="n">
        <x:v>1</x:v>
      </x:c>
      <x:c r="D2807" s="51" t="n">
        <x:v>40863</x:v>
      </x:c>
      <x:c r="E2807" s="3" t="str">
        <x:v>Una compra</x:v>
      </x:c>
      <x:c r="F2807" s="13" t="n">
        <x:v>405.71</x:v>
      </x:c>
      <x:c r="G2807" s="13" t="n">
        <x:v>0</x:v>
      </x:c>
      <x:c r="H2807" s="13" t="n">
        <x:f>F2807-G2807</x:f>
        <x:v>405.71</x:v>
      </x:c>
      <x:c r="I2807" s="13" t="n">
        <x:f>IF(C2807=0,"n.a.",F2807/C2807)</x:f>
        <x:v>405.71</x:v>
      </x:c>
      <x:c r="J2807" s="3"/>
      <x:c r="K2807" s="3"/>
      <x:c r="L2807" s="3"/>
    </x:row>
    <x:row r="2808" ht="22" customHeight="1">
      <x:c r="A2808" s="3"/>
      <x:c r="B2808" s="3" t="str">
        <x:v>18036</x:v>
      </x:c>
      <x:c r="C2808" s="3" t="n">
        <x:v>3</x:v>
      </x:c>
      <x:c r="D2808" s="51" t="n">
        <x:v>40854</x:v>
      </x:c>
      <x:c r="E2808" s="3" t="str">
        <x:v>Recurrente</x:v>
      </x:c>
      <x:c r="F2808" s="13" t="n">
        <x:v>405.62</x:v>
      </x:c>
      <x:c r="G2808" s="13" t="n">
        <x:v>0</x:v>
      </x:c>
      <x:c r="H2808" s="13" t="n">
        <x:f>F2808-G2808</x:f>
        <x:v>405.62</x:v>
      </x:c>
      <x:c r="I2808" s="13" t="n">
        <x:f>IF(C2808=0,"n.a.",F2808/C2808)</x:f>
        <x:v>135.20666666666668</x:v>
      </x:c>
      <x:c r="J2808" s="3"/>
      <x:c r="K2808" s="3"/>
      <x:c r="L2808" s="3"/>
    </x:row>
    <x:row r="2809" ht="22" customHeight="1">
      <x:c r="A2809" s="3"/>
      <x:c r="B2809" s="3" t="str">
        <x:v>12922</x:v>
      </x:c>
      <x:c r="C2809" s="3" t="n">
        <x:v>1</x:v>
      </x:c>
      <x:c r="D2809" s="51" t="n">
        <x:v>40725</x:v>
      </x:c>
      <x:c r="E2809" s="3" t="str">
        <x:v>Una compra</x:v>
      </x:c>
      <x:c r="F2809" s="13" t="n">
        <x:v>405.38</x:v>
      </x:c>
      <x:c r="G2809" s="13" t="n">
        <x:v>0</x:v>
      </x:c>
      <x:c r="H2809" s="13" t="n">
        <x:f>F2809-G2809</x:f>
        <x:v>405.38</x:v>
      </x:c>
      <x:c r="I2809" s="13" t="n">
        <x:f>IF(C2809=0,"n.a.",F2809/C2809)</x:f>
        <x:v>405.38</x:v>
      </x:c>
      <x:c r="J2809" s="3"/>
      <x:c r="K2809" s="3"/>
      <x:c r="L2809" s="3"/>
    </x:row>
    <x:row r="2810" ht="22" customHeight="1">
      <x:c r="A2810" s="3"/>
      <x:c r="B2810" s="3" t="str">
        <x:v>17379</x:v>
      </x:c>
      <x:c r="C2810" s="3" t="n">
        <x:v>1</x:v>
      </x:c>
      <x:c r="D2810" s="51" t="n">
        <x:v>40875</x:v>
      </x:c>
      <x:c r="E2810" s="3" t="str">
        <x:v>Una compra</x:v>
      </x:c>
      <x:c r="F2810" s="13" t="n">
        <x:v>404.66</x:v>
      </x:c>
      <x:c r="G2810" s="13" t="n">
        <x:v>0</x:v>
      </x:c>
      <x:c r="H2810" s="13" t="n">
        <x:f>F2810-G2810</x:f>
        <x:v>404.66</x:v>
      </x:c>
      <x:c r="I2810" s="13" t="n">
        <x:f>IF(C2810=0,"n.a.",F2810/C2810)</x:f>
        <x:v>404.66</x:v>
      </x:c>
      <x:c r="J2810" s="3"/>
      <x:c r="K2810" s="3"/>
      <x:c r="L2810" s="3"/>
    </x:row>
    <x:row r="2811" ht="22" customHeight="1">
      <x:c r="A2811" s="3"/>
      <x:c r="B2811" s="3" t="str">
        <x:v>15938</x:v>
      </x:c>
      <x:c r="C2811" s="3" t="n">
        <x:v>5</x:v>
      </x:c>
      <x:c r="D2811" s="51" t="n">
        <x:v>40774</x:v>
      </x:c>
      <x:c r="E2811" s="3" t="str">
        <x:v>Recurrente</x:v>
      </x:c>
      <x:c r="F2811" s="13" t="n">
        <x:v>404.58</x:v>
      </x:c>
      <x:c r="G2811" s="13" t="n">
        <x:v>0</x:v>
      </x:c>
      <x:c r="H2811" s="13" t="n">
        <x:f>F2811-G2811</x:f>
        <x:v>404.58</x:v>
      </x:c>
      <x:c r="I2811" s="13" t="n">
        <x:f>IF(C2811=0,"n.a.",F2811/C2811)</x:f>
        <x:v>80.916</x:v>
      </x:c>
      <x:c r="J2811" s="3"/>
      <x:c r="K2811" s="3"/>
      <x:c r="L2811" s="3"/>
    </x:row>
    <x:row r="2812" ht="22" customHeight="1">
      <x:c r="A2812" s="3"/>
      <x:c r="B2812" s="3" t="str">
        <x:v>16319</x:v>
      </x:c>
      <x:c r="C2812" s="3" t="n">
        <x:v>1</x:v>
      </x:c>
      <x:c r="D2812" s="51" t="n">
        <x:v>40669</x:v>
      </x:c>
      <x:c r="E2812" s="3" t="str">
        <x:v>Una compra</x:v>
      </x:c>
      <x:c r="F2812" s="13" t="n">
        <x:v>404.4</x:v>
      </x:c>
      <x:c r="G2812" s="13" t="n">
        <x:v>0</x:v>
      </x:c>
      <x:c r="H2812" s="13" t="n">
        <x:f>F2812-G2812</x:f>
        <x:v>404.4</x:v>
      </x:c>
      <x:c r="I2812" s="13" t="n">
        <x:f>IF(C2812=0,"n.a.",F2812/C2812)</x:f>
        <x:v>404.4</x:v>
      </x:c>
      <x:c r="J2812" s="3"/>
      <x:c r="K2812" s="3"/>
      <x:c r="L2812" s="3"/>
    </x:row>
    <x:row r="2813" ht="22" customHeight="1">
      <x:c r="A2813" s="3"/>
      <x:c r="B2813" s="3" t="str">
        <x:v>17431</x:v>
      </x:c>
      <x:c r="C2813" s="3" t="n">
        <x:v>1</x:v>
      </x:c>
      <x:c r="D2813" s="51" t="n">
        <x:v>40573</x:v>
      </x:c>
      <x:c r="E2813" s="3" t="str">
        <x:v>Una compra</x:v>
      </x:c>
      <x:c r="F2813" s="13" t="n">
        <x:v>403.3</x:v>
      </x:c>
      <x:c r="G2813" s="13" t="n">
        <x:v>0</x:v>
      </x:c>
      <x:c r="H2813" s="13" t="n">
        <x:f>F2813-G2813</x:f>
        <x:v>403.3</x:v>
      </x:c>
      <x:c r="I2813" s="13" t="n">
        <x:f>IF(C2813=0,"n.a.",F2813/C2813)</x:f>
        <x:v>403.3</x:v>
      </x:c>
      <x:c r="J2813" s="3"/>
      <x:c r="K2813" s="3"/>
      <x:c r="L2813" s="3"/>
    </x:row>
    <x:row r="2814" ht="22" customHeight="1">
      <x:c r="A2814" s="3"/>
      <x:c r="B2814" s="3" t="str">
        <x:v>12564</x:v>
      </x:c>
      <x:c r="C2814" s="3" t="n">
        <x:v>1</x:v>
      </x:c>
      <x:c r="D2814" s="51" t="n">
        <x:v>40625</x:v>
      </x:c>
      <x:c r="E2814" s="3" t="str">
        <x:v>Una compra</x:v>
      </x:c>
      <x:c r="F2814" s="13" t="n">
        <x:v>402.9</x:v>
      </x:c>
      <x:c r="G2814" s="13" t="n">
        <x:v>0</x:v>
      </x:c>
      <x:c r="H2814" s="13" t="n">
        <x:f>F2814-G2814</x:f>
        <x:v>402.9</x:v>
      </x:c>
      <x:c r="I2814" s="13" t="n">
        <x:f>IF(C2814=0,"n.a.",F2814/C2814)</x:f>
        <x:v>402.9</x:v>
      </x:c>
      <x:c r="J2814" s="3"/>
      <x:c r="K2814" s="3"/>
      <x:c r="L2814" s="3"/>
    </x:row>
    <x:row r="2815" ht="22" customHeight="1">
      <x:c r="A2815" s="3"/>
      <x:c r="B2815" s="3" t="str">
        <x:v>12386</x:v>
      </x:c>
      <x:c r="C2815" s="3" t="n">
        <x:v>2</x:v>
      </x:c>
      <x:c r="D2815" s="51" t="n">
        <x:v>40549</x:v>
      </x:c>
      <x:c r="E2815" s="3" t="str">
        <x:v>Recurrente</x:v>
      </x:c>
      <x:c r="F2815" s="13" t="n">
        <x:v>401.9</x:v>
      </x:c>
      <x:c r="G2815" s="13" t="n">
        <x:v>0</x:v>
      </x:c>
      <x:c r="H2815" s="13" t="n">
        <x:f>F2815-G2815</x:f>
        <x:v>401.9</x:v>
      </x:c>
      <x:c r="I2815" s="13" t="n">
        <x:f>IF(C2815=0,"n.a.",F2815/C2815)</x:f>
        <x:v>200.95</x:v>
      </x:c>
      <x:c r="J2815" s="3"/>
      <x:c r="K2815" s="3"/>
      <x:c r="L2815" s="3"/>
    </x:row>
    <x:row r="2816" ht="22" customHeight="1">
      <x:c r="A2816" s="3"/>
      <x:c r="B2816" s="3" t="str">
        <x:v>12592</x:v>
      </x:c>
      <x:c r="C2816" s="3" t="n">
        <x:v>2</x:v>
      </x:c>
      <x:c r="D2816" s="51" t="n">
        <x:v>40794</x:v>
      </x:c>
      <x:c r="E2816" s="3" t="str">
        <x:v>Recurrente</x:v>
      </x:c>
      <x:c r="F2816" s="13" t="n">
        <x:v>401.6</x:v>
      </x:c>
      <x:c r="G2816" s="13" t="n">
        <x:v>0</x:v>
      </x:c>
      <x:c r="H2816" s="13" t="n">
        <x:f>F2816-G2816</x:f>
        <x:v>401.6</x:v>
      </x:c>
      <x:c r="I2816" s="13" t="n">
        <x:f>IF(C2816=0,"n.a.",F2816/C2816)</x:f>
        <x:v>200.8</x:v>
      </x:c>
      <x:c r="J2816" s="3"/>
      <x:c r="K2816" s="3"/>
      <x:c r="L2816" s="3"/>
    </x:row>
    <x:row r="2817" ht="22" customHeight="1">
      <x:c r="A2817" s="3"/>
      <x:c r="B2817" s="3" t="str">
        <x:v>15158</x:v>
      </x:c>
      <x:c r="C2817" s="3" t="n">
        <x:v>1</x:v>
      </x:c>
      <x:c r="D2817" s="51" t="n">
        <x:v>40841</x:v>
      </x:c>
      <x:c r="E2817" s="3" t="str">
        <x:v>Una compra</x:v>
      </x:c>
      <x:c r="F2817" s="13" t="n">
        <x:v>401.4</x:v>
      </x:c>
      <x:c r="G2817" s="13" t="n">
        <x:v>0</x:v>
      </x:c>
      <x:c r="H2817" s="13" t="n">
        <x:f>F2817-G2817</x:f>
        <x:v>401.4</x:v>
      </x:c>
      <x:c r="I2817" s="13" t="n">
        <x:f>IF(C2817=0,"n.a.",F2817/C2817)</x:f>
        <x:v>401.4</x:v>
      </x:c>
      <x:c r="J2817" s="3"/>
      <x:c r="K2817" s="3"/>
      <x:c r="L2817" s="3"/>
    </x:row>
    <x:row r="2818" ht="22" customHeight="1">
      <x:c r="A2818" s="3"/>
      <x:c r="B2818" s="3" t="str">
        <x:v>16500</x:v>
      </x:c>
      <x:c r="C2818" s="3" t="n">
        <x:v>6</x:v>
      </x:c>
      <x:c r="D2818" s="51" t="n">
        <x:v>40882</x:v>
      </x:c>
      <x:c r="E2818" s="3" t="str">
        <x:v>Recurrente</x:v>
      </x:c>
      <x:c r="F2818" s="13" t="n">
        <x:v>400.86</x:v>
      </x:c>
      <x:c r="G2818" s="13" t="n">
        <x:v>0</x:v>
      </x:c>
      <x:c r="H2818" s="13" t="n">
        <x:f>F2818-G2818</x:f>
        <x:v>400.86</x:v>
      </x:c>
      <x:c r="I2818" s="13" t="n">
        <x:f>IF(C2818=0,"n.a.",F2818/C2818)</x:f>
        <x:v>66.81</x:v>
      </x:c>
      <x:c r="J2818" s="3"/>
      <x:c r="K2818" s="3"/>
      <x:c r="L2818" s="3"/>
    </x:row>
    <x:row r="2819" ht="22" customHeight="1">
      <x:c r="A2819" s="3"/>
      <x:c r="B2819" s="3" t="str">
        <x:v>16198</x:v>
      </x:c>
      <x:c r="C2819" s="3" t="n">
        <x:v>1</x:v>
      </x:c>
      <x:c r="D2819" s="51" t="n">
        <x:v>40811</x:v>
      </x:c>
      <x:c r="E2819" s="3" t="str">
        <x:v>Una compra</x:v>
      </x:c>
      <x:c r="F2819" s="13" t="n">
        <x:v>400.681</x:v>
      </x:c>
      <x:c r="G2819" s="13" t="n">
        <x:v>0</x:v>
      </x:c>
      <x:c r="H2819" s="13" t="n">
        <x:f>F2819-G2819</x:f>
        <x:v>400.681</x:v>
      </x:c>
      <x:c r="I2819" s="13" t="n">
        <x:f>IF(C2819=0,"n.a.",F2819/C2819)</x:f>
        <x:v>400.681</x:v>
      </x:c>
      <x:c r="J2819" s="3"/>
      <x:c r="K2819" s="3"/>
      <x:c r="L2819" s="3"/>
    </x:row>
    <x:row r="2820" ht="22" customHeight="1">
      <x:c r="A2820" s="3"/>
      <x:c r="B2820" s="3" t="str">
        <x:v>14157</x:v>
      </x:c>
      <x:c r="C2820" s="3" t="n">
        <x:v>2</x:v>
      </x:c>
      <x:c r="D2820" s="51" t="n">
        <x:v>40867</x:v>
      </x:c>
      <x:c r="E2820" s="3" t="str">
        <x:v>Recurrente</x:v>
      </x:c>
      <x:c r="F2820" s="13" t="n">
        <x:v>432.88</x:v>
      </x:c>
      <x:c r="G2820" s="13" t="n">
        <x:v>32.45</x:v>
      </x:c>
      <x:c r="H2820" s="13" t="n">
        <x:f>F2820-G2820</x:f>
        <x:v>400.43</x:v>
      </x:c>
      <x:c r="I2820" s="13" t="n">
        <x:f>IF(C2820=0,"n.a.",F2820/C2820)</x:f>
        <x:v>216.44</x:v>
      </x:c>
      <x:c r="J2820" s="3"/>
      <x:c r="K2820" s="3"/>
      <x:c r="L2820" s="3"/>
    </x:row>
    <x:row r="2821" ht="22" customHeight="1">
      <x:c r="A2821" s="3"/>
      <x:c r="B2821" s="3" t="str">
        <x:v>12809</x:v>
      </x:c>
      <x:c r="C2821" s="3" t="n">
        <x:v>1</x:v>
      </x:c>
      <x:c r="D2821" s="51" t="n">
        <x:v>40709</x:v>
      </x:c>
      <x:c r="E2821" s="3" t="str">
        <x:v>Una compra</x:v>
      </x:c>
      <x:c r="F2821" s="13" t="n">
        <x:v>405.31</x:v>
      </x:c>
      <x:c r="G2821" s="13" t="n">
        <x:v>4.95</x:v>
      </x:c>
      <x:c r="H2821" s="13" t="n">
        <x:f>F2821-G2821</x:f>
        <x:v>400.36</x:v>
      </x:c>
      <x:c r="I2821" s="13" t="n">
        <x:f>IF(C2821=0,"n.a.",F2821/C2821)</x:f>
        <x:v>405.31</x:v>
      </x:c>
      <x:c r="J2821" s="3"/>
      <x:c r="K2821" s="3"/>
      <x:c r="L2821" s="3"/>
    </x:row>
    <x:row r="2822" ht="22" customHeight="1">
      <x:c r="A2822" s="3"/>
      <x:c r="B2822" s="3" t="str">
        <x:v>13615</x:v>
      </x:c>
      <x:c r="C2822" s="3" t="n">
        <x:v>1</x:v>
      </x:c>
      <x:c r="D2822" s="51" t="n">
        <x:v>40568</x:v>
      </x:c>
      <x:c r="E2822" s="3" t="str">
        <x:v>Una compra</x:v>
      </x:c>
      <x:c r="F2822" s="13" t="n">
        <x:v>417.69</x:v>
      </x:c>
      <x:c r="G2822" s="13" t="n">
        <x:v>17.7</x:v>
      </x:c>
      <x:c r="H2822" s="13" t="n">
        <x:f>F2822-G2822</x:f>
        <x:v>399.99</x:v>
      </x:c>
      <x:c r="I2822" s="13" t="n">
        <x:f>IF(C2822=0,"n.a.",F2822/C2822)</x:f>
        <x:v>417.69</x:v>
      </x:c>
      <x:c r="J2822" s="3"/>
      <x:c r="K2822" s="3"/>
      <x:c r="L2822" s="3"/>
    </x:row>
    <x:row r="2823" ht="22" customHeight="1">
      <x:c r="A2823" s="3"/>
      <x:c r="B2823" s="3" t="str">
        <x:v>15809</x:v>
      </x:c>
      <x:c r="C2823" s="3" t="n">
        <x:v>5</x:v>
      </x:c>
      <x:c r="D2823" s="51" t="n">
        <x:v>40850</x:v>
      </x:c>
      <x:c r="E2823" s="3" t="str">
        <x:v>Recurrente</x:v>
      </x:c>
      <x:c r="F2823" s="13" t="n">
        <x:v>515.77</x:v>
      </x:c>
      <x:c r="G2823" s="13" t="n">
        <x:v>116.56</x:v>
      </x:c>
      <x:c r="H2823" s="13" t="n">
        <x:f>F2823-G2823</x:f>
        <x:v>399.21</x:v>
      </x:c>
      <x:c r="I2823" s="13" t="n">
        <x:f>IF(C2823=0,"n.a.",F2823/C2823)</x:f>
        <x:v>103.154</x:v>
      </x:c>
      <x:c r="J2823" s="3"/>
      <x:c r="K2823" s="3"/>
      <x:c r="L2823" s="3"/>
    </x:row>
    <x:row r="2824" ht="22" customHeight="1">
      <x:c r="A2824" s="3"/>
      <x:c r="B2824" s="3" t="str">
        <x:v>18154</x:v>
      </x:c>
      <x:c r="C2824" s="3" t="n">
        <x:v>2</x:v>
      </x:c>
      <x:c r="D2824" s="51" t="n">
        <x:v>40883</x:v>
      </x:c>
      <x:c r="E2824" s="3" t="str">
        <x:v>Recurrente</x:v>
      </x:c>
      <x:c r="F2824" s="13" t="n">
        <x:v>399.19</x:v>
      </x:c>
      <x:c r="G2824" s="13" t="n">
        <x:v>0</x:v>
      </x:c>
      <x:c r="H2824" s="13" t="n">
        <x:f>F2824-G2824</x:f>
        <x:v>399.19</x:v>
      </x:c>
      <x:c r="I2824" s="13" t="n">
        <x:f>IF(C2824=0,"n.a.",F2824/C2824)</x:f>
        <x:v>199.595</x:v>
      </x:c>
      <x:c r="J2824" s="3"/>
      <x:c r="K2824" s="3"/>
      <x:c r="L2824" s="3"/>
    </x:row>
    <x:row r="2825" ht="22" customHeight="1">
      <x:c r="A2825" s="3"/>
      <x:c r="B2825" s="3" t="str">
        <x:v>15522</x:v>
      </x:c>
      <x:c r="C2825" s="3" t="n">
        <x:v>2</x:v>
      </x:c>
      <x:c r="D2825" s="51" t="n">
        <x:v>40854</x:v>
      </x:c>
      <x:c r="E2825" s="3" t="str">
        <x:v>Recurrente</x:v>
      </x:c>
      <x:c r="F2825" s="13" t="n">
        <x:v>398.84</x:v>
      </x:c>
      <x:c r="G2825" s="13" t="n">
        <x:v>0</x:v>
      </x:c>
      <x:c r="H2825" s="13" t="n">
        <x:f>F2825-G2825</x:f>
        <x:v>398.84</x:v>
      </x:c>
      <x:c r="I2825" s="13" t="n">
        <x:f>IF(C2825=0,"n.a.",F2825/C2825)</x:f>
        <x:v>199.42</x:v>
      </x:c>
      <x:c r="J2825" s="3"/>
      <x:c r="K2825" s="3"/>
      <x:c r="L2825" s="3"/>
    </x:row>
    <x:row r="2826" ht="22" customHeight="1">
      <x:c r="A2826" s="3"/>
      <x:c r="B2826" s="3" t="str">
        <x:v>17830</x:v>
      </x:c>
      <x:c r="C2826" s="3" t="n">
        <x:v>3</x:v>
      </x:c>
      <x:c r="D2826" s="51" t="n">
        <x:v>40885</x:v>
      </x:c>
      <x:c r="E2826" s="3" t="str">
        <x:v>Recurrente</x:v>
      </x:c>
      <x:c r="F2826" s="13" t="n">
        <x:v>398.7</x:v>
      </x:c>
      <x:c r="G2826" s="13" t="n">
        <x:v>0</x:v>
      </x:c>
      <x:c r="H2826" s="13" t="n">
        <x:f>F2826-G2826</x:f>
        <x:v>398.7</x:v>
      </x:c>
      <x:c r="I2826" s="13" t="n">
        <x:f>IF(C2826=0,"n.a.",F2826/C2826)</x:f>
        <x:v>132.9</x:v>
      </x:c>
      <x:c r="J2826" s="3"/>
      <x:c r="K2826" s="3"/>
      <x:c r="L2826" s="3"/>
    </x:row>
    <x:row r="2827" ht="22" customHeight="1">
      <x:c r="A2827" s="3"/>
      <x:c r="B2827" s="3" t="str">
        <x:v>12508</x:v>
      </x:c>
      <x:c r="C2827" s="3" t="n">
        <x:v>2</x:v>
      </x:c>
      <x:c r="D2827" s="51" t="n">
        <x:v>40860</x:v>
      </x:c>
      <x:c r="E2827" s="3" t="str">
        <x:v>Recurrente</x:v>
      </x:c>
      <x:c r="F2827" s="13" t="n">
        <x:v>398.27</x:v>
      </x:c>
      <x:c r="G2827" s="13" t="n">
        <x:v>0</x:v>
      </x:c>
      <x:c r="H2827" s="13" t="n">
        <x:f>F2827-G2827</x:f>
        <x:v>398.27</x:v>
      </x:c>
      <x:c r="I2827" s="13" t="n">
        <x:f>IF(C2827=0,"n.a.",F2827/C2827)</x:f>
        <x:v>199.135</x:v>
      </x:c>
      <x:c r="J2827" s="3"/>
      <x:c r="K2827" s="3"/>
      <x:c r="L2827" s="3"/>
    </x:row>
    <x:row r="2828" ht="22" customHeight="1">
      <x:c r="A2828" s="3"/>
      <x:c r="B2828" s="3" t="str">
        <x:v>14431</x:v>
      </x:c>
      <x:c r="C2828" s="3" t="n">
        <x:v>1</x:v>
      </x:c>
      <x:c r="D2828" s="51" t="n">
        <x:v>40584</x:v>
      </x:c>
      <x:c r="E2828" s="3" t="str">
        <x:v>Una compra</x:v>
      </x:c>
      <x:c r="F2828" s="13" t="n">
        <x:v>470.36</x:v>
      </x:c>
      <x:c r="G2828" s="13" t="n">
        <x:v>72.6</x:v>
      </x:c>
      <x:c r="H2828" s="13" t="n">
        <x:f>F2828-G2828</x:f>
        <x:v>397.76</x:v>
      </x:c>
      <x:c r="I2828" s="13" t="n">
        <x:f>IF(C2828=0,"n.a.",F2828/C2828)</x:f>
        <x:v>470.36</x:v>
      </x:c>
      <x:c r="J2828" s="3"/>
      <x:c r="K2828" s="3"/>
      <x:c r="L2828" s="3"/>
    </x:row>
    <x:row r="2829" ht="22" customHeight="1">
      <x:c r="A2829" s="3"/>
      <x:c r="B2829" s="3" t="str">
        <x:v>17926</x:v>
      </x:c>
      <x:c r="C2829" s="3" t="n">
        <x:v>2</x:v>
      </x:c>
      <x:c r="D2829" s="51" t="n">
        <x:v>40753</x:v>
      </x:c>
      <x:c r="E2829" s="3" t="str">
        <x:v>Recurrente</x:v>
      </x:c>
      <x:c r="F2829" s="13" t="n">
        <x:v>397.29</x:v>
      </x:c>
      <x:c r="G2829" s="13" t="n">
        <x:v>0</x:v>
      </x:c>
      <x:c r="H2829" s="13" t="n">
        <x:f>F2829-G2829</x:f>
        <x:v>397.29</x:v>
      </x:c>
      <x:c r="I2829" s="13" t="n">
        <x:f>IF(C2829=0,"n.a.",F2829/C2829)</x:f>
        <x:v>198.645</x:v>
      </x:c>
      <x:c r="J2829" s="3"/>
      <x:c r="K2829" s="3"/>
      <x:c r="L2829" s="3"/>
    </x:row>
    <x:row r="2830" ht="22" customHeight="1">
      <x:c r="A2830" s="3"/>
      <x:c r="B2830" s="3" t="str">
        <x:v>12824</x:v>
      </x:c>
      <x:c r="C2830" s="3" t="n">
        <x:v>1</x:v>
      </x:c>
      <x:c r="D2830" s="51" t="n">
        <x:v>40827</x:v>
      </x:c>
      <x:c r="E2830" s="3" t="str">
        <x:v>Una compra</x:v>
      </x:c>
      <x:c r="F2830" s="13" t="n">
        <x:v>397.12</x:v>
      </x:c>
      <x:c r="G2830" s="13" t="n">
        <x:v>0</x:v>
      </x:c>
      <x:c r="H2830" s="13" t="n">
        <x:f>F2830-G2830</x:f>
        <x:v>397.12</x:v>
      </x:c>
      <x:c r="I2830" s="13" t="n">
        <x:f>IF(C2830=0,"n.a.",F2830/C2830)</x:f>
        <x:v>397.12</x:v>
      </x:c>
      <x:c r="J2830" s="3"/>
      <x:c r="K2830" s="3"/>
      <x:c r="L2830" s="3"/>
    </x:row>
    <x:row r="2831" ht="22" customHeight="1">
      <x:c r="A2831" s="3"/>
      <x:c r="B2831" s="3" t="str">
        <x:v>13594</x:v>
      </x:c>
      <x:c r="C2831" s="3" t="n">
        <x:v>1</x:v>
      </x:c>
      <x:c r="D2831" s="51" t="n">
        <x:v>40834</x:v>
      </x:c>
      <x:c r="E2831" s="3" t="str">
        <x:v>Una compra</x:v>
      </x:c>
      <x:c r="F2831" s="13" t="n">
        <x:v>396.97</x:v>
      </x:c>
      <x:c r="G2831" s="13" t="n">
        <x:v>0</x:v>
      </x:c>
      <x:c r="H2831" s="13" t="n">
        <x:f>F2831-G2831</x:f>
        <x:v>396.97</x:v>
      </x:c>
      <x:c r="I2831" s="13" t="n">
        <x:f>IF(C2831=0,"n.a.",F2831/C2831)</x:f>
        <x:v>396.97</x:v>
      </x:c>
      <x:c r="J2831" s="3"/>
      <x:c r="K2831" s="3"/>
      <x:c r="L2831" s="3"/>
    </x:row>
    <x:row r="2832" ht="22" customHeight="1">
      <x:c r="A2832" s="3"/>
      <x:c r="B2832" s="3" t="str">
        <x:v>13673</x:v>
      </x:c>
      <x:c r="C2832" s="3" t="n">
        <x:v>2</x:v>
      </x:c>
      <x:c r="D2832" s="51" t="n">
        <x:v>40868</x:v>
      </x:c>
      <x:c r="E2832" s="3" t="str">
        <x:v>Recurrente</x:v>
      </x:c>
      <x:c r="F2832" s="13" t="n">
        <x:v>396.92</x:v>
      </x:c>
      <x:c r="G2832" s="13" t="n">
        <x:v>0</x:v>
      </x:c>
      <x:c r="H2832" s="13" t="n">
        <x:f>F2832-G2832</x:f>
        <x:v>396.92</x:v>
      </x:c>
      <x:c r="I2832" s="13" t="n">
        <x:f>IF(C2832=0,"n.a.",F2832/C2832)</x:f>
        <x:v>198.46</x:v>
      </x:c>
      <x:c r="J2832" s="3"/>
      <x:c r="K2832" s="3"/>
      <x:c r="L2832" s="3"/>
    </x:row>
    <x:row r="2833" ht="22" customHeight="1">
      <x:c r="A2833" s="3"/>
      <x:c r="B2833" s="3" t="str">
        <x:v>17486</x:v>
      </x:c>
      <x:c r="C2833" s="3" t="n">
        <x:v>1</x:v>
      </x:c>
      <x:c r="D2833" s="51" t="n">
        <x:v>40625</x:v>
      </x:c>
      <x:c r="E2833" s="3" t="str">
        <x:v>Una compra</x:v>
      </x:c>
      <x:c r="F2833" s="13" t="n">
        <x:v>396.87</x:v>
      </x:c>
      <x:c r="G2833" s="13" t="n">
        <x:v>0</x:v>
      </x:c>
      <x:c r="H2833" s="13" t="n">
        <x:f>F2833-G2833</x:f>
        <x:v>396.87</x:v>
      </x:c>
      <x:c r="I2833" s="13" t="n">
        <x:f>IF(C2833=0,"n.a.",F2833/C2833)</x:f>
        <x:v>396.87</x:v>
      </x:c>
      <x:c r="J2833" s="3"/>
      <x:c r="K2833" s="3"/>
      <x:c r="L2833" s="3"/>
    </x:row>
    <x:row r="2834" ht="22" customHeight="1">
      <x:c r="A2834" s="3"/>
      <x:c r="B2834" s="3" t="str">
        <x:v>15883</x:v>
      </x:c>
      <x:c r="C2834" s="3" t="n">
        <x:v>2</x:v>
      </x:c>
      <x:c r="D2834" s="51" t="n">
        <x:v>40884</x:v>
      </x:c>
      <x:c r="E2834" s="3" t="str">
        <x:v>Recurrente</x:v>
      </x:c>
      <x:c r="F2834" s="13" t="n">
        <x:v>396.48</x:v>
      </x:c>
      <x:c r="G2834" s="13" t="n">
        <x:v>0</x:v>
      </x:c>
      <x:c r="H2834" s="13" t="n">
        <x:f>F2834-G2834</x:f>
        <x:v>396.48</x:v>
      </x:c>
      <x:c r="I2834" s="13" t="n">
        <x:f>IF(C2834=0,"n.a.",F2834/C2834)</x:f>
        <x:v>198.24</x:v>
      </x:c>
      <x:c r="J2834" s="3"/>
      <x:c r="K2834" s="3"/>
      <x:c r="L2834" s="3"/>
    </x:row>
    <x:row r="2835" ht="22" customHeight="1">
      <x:c r="A2835" s="3"/>
      <x:c r="B2835" s="3" t="str">
        <x:v>18067</x:v>
      </x:c>
      <x:c r="C2835" s="3" t="n">
        <x:v>1</x:v>
      </x:c>
      <x:c r="D2835" s="51" t="n">
        <x:v>40846</x:v>
      </x:c>
      <x:c r="E2835" s="3" t="str">
        <x:v>Una compra</x:v>
      </x:c>
      <x:c r="F2835" s="13" t="n">
        <x:v>396.33</x:v>
      </x:c>
      <x:c r="G2835" s="13" t="n">
        <x:v>0</x:v>
      </x:c>
      <x:c r="H2835" s="13" t="n">
        <x:f>F2835-G2835</x:f>
        <x:v>396.33</x:v>
      </x:c>
      <x:c r="I2835" s="13" t="n">
        <x:f>IF(C2835=0,"n.a.",F2835/C2835)</x:f>
        <x:v>396.33</x:v>
      </x:c>
      <x:c r="J2835" s="3"/>
      <x:c r="K2835" s="3"/>
      <x:c r="L2835" s="3"/>
    </x:row>
    <x:row r="2836" ht="22" customHeight="1">
      <x:c r="A2836" s="3"/>
      <x:c r="B2836" s="3" t="str">
        <x:v>16354</x:v>
      </x:c>
      <x:c r="C2836" s="3" t="n">
        <x:v>2</x:v>
      </x:c>
      <x:c r="D2836" s="51" t="n">
        <x:v>40823</x:v>
      </x:c>
      <x:c r="E2836" s="3" t="str">
        <x:v>Recurrente</x:v>
      </x:c>
      <x:c r="F2836" s="13" t="n">
        <x:v>395.8</x:v>
      </x:c>
      <x:c r="G2836" s="13" t="n">
        <x:v>0</x:v>
      </x:c>
      <x:c r="H2836" s="13" t="n">
        <x:f>F2836-G2836</x:f>
        <x:v>395.8</x:v>
      </x:c>
      <x:c r="I2836" s="13" t="n">
        <x:f>IF(C2836=0,"n.a.",F2836/C2836)</x:f>
        <x:v>197.9</x:v>
      </x:c>
      <x:c r="J2836" s="3"/>
      <x:c r="K2836" s="3"/>
      <x:c r="L2836" s="3"/>
    </x:row>
    <x:row r="2837" ht="22" customHeight="1">
      <x:c r="A2837" s="3"/>
      <x:c r="B2837" s="3" t="str">
        <x:v>18164</x:v>
      </x:c>
      <x:c r="C2837" s="3" t="n">
        <x:v>1</x:v>
      </x:c>
      <x:c r="D2837" s="51" t="n">
        <x:v>40849</x:v>
      </x:c>
      <x:c r="E2837" s="3" t="str">
        <x:v>Una compra</x:v>
      </x:c>
      <x:c r="F2837" s="13" t="n">
        <x:v>399.65</x:v>
      </x:c>
      <x:c r="G2837" s="13" t="n">
        <x:v>4.95</x:v>
      </x:c>
      <x:c r="H2837" s="13" t="n">
        <x:f>F2837-G2837</x:f>
        <x:v>394.7</x:v>
      </x:c>
      <x:c r="I2837" s="13" t="n">
        <x:f>IF(C2837=0,"n.a.",F2837/C2837)</x:f>
        <x:v>399.65</x:v>
      </x:c>
      <x:c r="J2837" s="3"/>
      <x:c r="K2837" s="3"/>
      <x:c r="L2837" s="3"/>
    </x:row>
    <x:row r="2838" ht="22" customHeight="1">
      <x:c r="A2838" s="3"/>
      <x:c r="B2838" s="3" t="str">
        <x:v>16207</x:v>
      </x:c>
      <x:c r="C2838" s="3" t="n">
        <x:v>1</x:v>
      </x:c>
      <x:c r="D2838" s="51" t="n">
        <x:v>40861</x:v>
      </x:c>
      <x:c r="E2838" s="3" t="str">
        <x:v>Una compra</x:v>
      </x:c>
      <x:c r="F2838" s="13" t="n">
        <x:v>394.38</x:v>
      </x:c>
      <x:c r="G2838" s="13" t="n">
        <x:v>0</x:v>
      </x:c>
      <x:c r="H2838" s="13" t="n">
        <x:f>F2838-G2838</x:f>
        <x:v>394.38</x:v>
      </x:c>
      <x:c r="I2838" s="13" t="n">
        <x:f>IF(C2838=0,"n.a.",F2838/C2838)</x:f>
        <x:v>394.38</x:v>
      </x:c>
      <x:c r="J2838" s="3"/>
      <x:c r="K2838" s="3"/>
      <x:c r="L2838" s="3"/>
    </x:row>
    <x:row r="2839" ht="22" customHeight="1">
      <x:c r="A2839" s="3"/>
      <x:c r="B2839" s="3" t="str">
        <x:v>15386</x:v>
      </x:c>
      <x:c r="C2839" s="3" t="n">
        <x:v>1</x:v>
      </x:c>
      <x:c r="D2839" s="51" t="n">
        <x:v>40700</x:v>
      </x:c>
      <x:c r="E2839" s="3" t="str">
        <x:v>Una compra</x:v>
      </x:c>
      <x:c r="F2839" s="13" t="n">
        <x:v>394.14</x:v>
      </x:c>
      <x:c r="G2839" s="13" t="n">
        <x:v>0</x:v>
      </x:c>
      <x:c r="H2839" s="13" t="n">
        <x:f>F2839-G2839</x:f>
        <x:v>394.14</x:v>
      </x:c>
      <x:c r="I2839" s="13" t="n">
        <x:f>IF(C2839=0,"n.a.",F2839/C2839)</x:f>
        <x:v>394.14</x:v>
      </x:c>
      <x:c r="J2839" s="3"/>
      <x:c r="K2839" s="3"/>
      <x:c r="L2839" s="3"/>
    </x:row>
    <x:row r="2840" ht="22" customHeight="1">
      <x:c r="A2840" s="3"/>
      <x:c r="B2840" s="3" t="str">
        <x:v>15264</x:v>
      </x:c>
      <x:c r="C2840" s="3" t="n">
        <x:v>1</x:v>
      </x:c>
      <x:c r="D2840" s="51" t="n">
        <x:v>40822</x:v>
      </x:c>
      <x:c r="E2840" s="3" t="str">
        <x:v>Una compra</x:v>
      </x:c>
      <x:c r="F2840" s="13" t="n">
        <x:v>393.74</x:v>
      </x:c>
      <x:c r="G2840" s="13" t="n">
        <x:v>0</x:v>
      </x:c>
      <x:c r="H2840" s="13" t="n">
        <x:f>F2840-G2840</x:f>
        <x:v>393.74</x:v>
      </x:c>
      <x:c r="I2840" s="13" t="n">
        <x:f>IF(C2840=0,"n.a.",F2840/C2840)</x:f>
        <x:v>393.74</x:v>
      </x:c>
      <x:c r="J2840" s="3"/>
      <x:c r="K2840" s="3"/>
      <x:c r="L2840" s="3"/>
    </x:row>
    <x:row r="2841" ht="22" customHeight="1">
      <x:c r="A2841" s="3"/>
      <x:c r="B2841" s="3" t="str">
        <x:v>17226</x:v>
      </x:c>
      <x:c r="C2841" s="3" t="n">
        <x:v>1</x:v>
      </x:c>
      <x:c r="D2841" s="51" t="n">
        <x:v>40578</x:v>
      </x:c>
      <x:c r="E2841" s="3" t="str">
        <x:v>Una compra</x:v>
      </x:c>
      <x:c r="F2841" s="13" t="n">
        <x:v>393.49</x:v>
      </x:c>
      <x:c r="G2841" s="13" t="n">
        <x:v>0</x:v>
      </x:c>
      <x:c r="H2841" s="13" t="n">
        <x:f>F2841-G2841</x:f>
        <x:v>393.49</x:v>
      </x:c>
      <x:c r="I2841" s="13" t="n">
        <x:f>IF(C2841=0,"n.a.",F2841/C2841)</x:f>
        <x:v>393.49</x:v>
      </x:c>
      <x:c r="J2841" s="3"/>
      <x:c r="K2841" s="3"/>
      <x:c r="L2841" s="3"/>
    </x:row>
    <x:row r="2842" ht="22" customHeight="1">
      <x:c r="A2842" s="3"/>
      <x:c r="B2842" s="3" t="str">
        <x:v>14600</x:v>
      </x:c>
      <x:c r="C2842" s="3" t="n">
        <x:v>1</x:v>
      </x:c>
      <x:c r="D2842" s="51" t="n">
        <x:v>40581</x:v>
      </x:c>
      <x:c r="E2842" s="3" t="str">
        <x:v>Una compra</x:v>
      </x:c>
      <x:c r="F2842" s="13" t="n">
        <x:v>393.33</x:v>
      </x:c>
      <x:c r="G2842" s="13" t="n">
        <x:v>0</x:v>
      </x:c>
      <x:c r="H2842" s="13" t="n">
        <x:f>F2842-G2842</x:f>
        <x:v>393.33</x:v>
      </x:c>
      <x:c r="I2842" s="13" t="n">
        <x:f>IF(C2842=0,"n.a.",F2842/C2842)</x:f>
        <x:v>393.33</x:v>
      </x:c>
      <x:c r="J2842" s="3"/>
      <x:c r="K2842" s="3"/>
      <x:c r="L2842" s="3"/>
    </x:row>
    <x:row r="2843" ht="22" customHeight="1">
      <x:c r="A2843" s="3"/>
      <x:c r="B2843" s="3" t="str">
        <x:v>14620</x:v>
      </x:c>
      <x:c r="C2843" s="3" t="n">
        <x:v>2</x:v>
      </x:c>
      <x:c r="D2843" s="51" t="n">
        <x:v>40681</x:v>
      </x:c>
      <x:c r="E2843" s="3" t="str">
        <x:v>Recurrente</x:v>
      </x:c>
      <x:c r="F2843" s="13" t="n">
        <x:v>412.78</x:v>
      </x:c>
      <x:c r="G2843" s="13" t="n">
        <x:v>19.5</x:v>
      </x:c>
      <x:c r="H2843" s="13" t="n">
        <x:f>F2843-G2843</x:f>
        <x:v>393.28</x:v>
      </x:c>
      <x:c r="I2843" s="13" t="n">
        <x:f>IF(C2843=0,"n.a.",F2843/C2843)</x:f>
        <x:v>206.39</x:v>
      </x:c>
      <x:c r="J2843" s="3"/>
      <x:c r="K2843" s="3"/>
      <x:c r="L2843" s="3"/>
    </x:row>
    <x:row r="2844" ht="22" customHeight="1">
      <x:c r="A2844" s="3"/>
      <x:c r="B2844" s="3" t="str">
        <x:v>15837</x:v>
      </x:c>
      <x:c r="C2844" s="3" t="n">
        <x:v>1</x:v>
      </x:c>
      <x:c r="D2844" s="51" t="n">
        <x:v>40822</x:v>
      </x:c>
      <x:c r="E2844" s="3" t="str">
        <x:v>Una compra</x:v>
      </x:c>
      <x:c r="F2844" s="13" t="n">
        <x:v>391.98</x:v>
      </x:c>
      <x:c r="G2844" s="13" t="n">
        <x:v>0</x:v>
      </x:c>
      <x:c r="H2844" s="13" t="n">
        <x:f>F2844-G2844</x:f>
        <x:v>391.98</x:v>
      </x:c>
      <x:c r="I2844" s="13" t="n">
        <x:f>IF(C2844=0,"n.a.",F2844/C2844)</x:f>
        <x:v>391.98</x:v>
      </x:c>
      <x:c r="J2844" s="3"/>
      <x:c r="K2844" s="3"/>
      <x:c r="L2844" s="3"/>
    </x:row>
    <x:row r="2845" ht="22" customHeight="1">
      <x:c r="A2845" s="3"/>
      <x:c r="B2845" s="3" t="str">
        <x:v>17223</x:v>
      </x:c>
      <x:c r="C2845" s="3" t="n">
        <x:v>2</x:v>
      </x:c>
      <x:c r="D2845" s="51" t="n">
        <x:v>40576</x:v>
      </x:c>
      <x:c r="E2845" s="3" t="str">
        <x:v>Recurrente</x:v>
      </x:c>
      <x:c r="F2845" s="13" t="n">
        <x:v>391.79</x:v>
      </x:c>
      <x:c r="G2845" s="13" t="n">
        <x:v>0</x:v>
      </x:c>
      <x:c r="H2845" s="13" t="n">
        <x:f>F2845-G2845</x:f>
        <x:v>391.79</x:v>
      </x:c>
      <x:c r="I2845" s="13" t="n">
        <x:f>IF(C2845=0,"n.a.",F2845/C2845)</x:f>
        <x:v>195.895</x:v>
      </x:c>
      <x:c r="J2845" s="3"/>
      <x:c r="K2845" s="3"/>
      <x:c r="L2845" s="3"/>
    </x:row>
    <x:row r="2846" ht="22" customHeight="1">
      <x:c r="A2846" s="3"/>
      <x:c r="B2846" s="3" t="str">
        <x:v>15342</x:v>
      </x:c>
      <x:c r="C2846" s="3" t="n">
        <x:v>1</x:v>
      </x:c>
      <x:c r="D2846" s="51" t="n">
        <x:v>40757</x:v>
      </x:c>
      <x:c r="E2846" s="3" t="str">
        <x:v>Una compra</x:v>
      </x:c>
      <x:c r="F2846" s="13" t="n">
        <x:v>406.09</x:v>
      </x:c>
      <x:c r="G2846" s="13" t="n">
        <x:v>14.33</x:v>
      </x:c>
      <x:c r="H2846" s="13" t="n">
        <x:f>F2846-G2846</x:f>
        <x:v>391.76</x:v>
      </x:c>
      <x:c r="I2846" s="13" t="n">
        <x:f>IF(C2846=0,"n.a.",F2846/C2846)</x:f>
        <x:v>406.09</x:v>
      </x:c>
      <x:c r="J2846" s="3"/>
      <x:c r="K2846" s="3"/>
      <x:c r="L2846" s="3"/>
    </x:row>
    <x:row r="2847" ht="22" customHeight="1">
      <x:c r="A2847" s="3"/>
      <x:c r="B2847" s="3" t="str">
        <x:v>12403</x:v>
      </x:c>
      <x:c r="C2847" s="3" t="n">
        <x:v>1</x:v>
      </x:c>
      <x:c r="D2847" s="51" t="n">
        <x:v>40837</x:v>
      </x:c>
      <x:c r="E2847" s="3" t="str">
        <x:v>Una compra</x:v>
      </x:c>
      <x:c r="F2847" s="13" t="n">
        <x:v>391.7</x:v>
      </x:c>
      <x:c r="G2847" s="13" t="n">
        <x:v>0</x:v>
      </x:c>
      <x:c r="H2847" s="13" t="n">
        <x:f>F2847-G2847</x:f>
        <x:v>391.7</x:v>
      </x:c>
      <x:c r="I2847" s="13" t="n">
        <x:f>IF(C2847=0,"n.a.",F2847/C2847)</x:f>
        <x:v>391.7</x:v>
      </x:c>
      <x:c r="J2847" s="3"/>
      <x:c r="K2847" s="3"/>
      <x:c r="L2847" s="3"/>
    </x:row>
    <x:row r="2848" ht="22" customHeight="1">
      <x:c r="A2848" s="3"/>
      <x:c r="B2848" s="3" t="str">
        <x:v>16917</x:v>
      </x:c>
      <x:c r="C2848" s="3" t="n">
        <x:v>1</x:v>
      </x:c>
      <x:c r="D2848" s="51" t="n">
        <x:v>40610</x:v>
      </x:c>
      <x:c r="E2848" s="3" t="str">
        <x:v>Una compra</x:v>
      </x:c>
      <x:c r="F2848" s="13" t="n">
        <x:v>391.52</x:v>
      </x:c>
      <x:c r="G2848" s="13" t="n">
        <x:v>0</x:v>
      </x:c>
      <x:c r="H2848" s="13" t="n">
        <x:f>F2848-G2848</x:f>
        <x:v>391.52</x:v>
      </x:c>
      <x:c r="I2848" s="13" t="n">
        <x:f>IF(C2848=0,"n.a.",F2848/C2848)</x:f>
        <x:v>391.52</x:v>
      </x:c>
      <x:c r="J2848" s="3"/>
      <x:c r="K2848" s="3"/>
      <x:c r="L2848" s="3"/>
    </x:row>
    <x:row r="2849" ht="22" customHeight="1">
      <x:c r="A2849" s="3"/>
      <x:c r="B2849" s="3" t="str">
        <x:v>17603</x:v>
      </x:c>
      <x:c r="C2849" s="3" t="n">
        <x:v>1</x:v>
      </x:c>
      <x:c r="D2849" s="51" t="n">
        <x:v>40808</x:v>
      </x:c>
      <x:c r="E2849" s="3" t="str">
        <x:v>Una compra</x:v>
      </x:c>
      <x:c r="F2849" s="13" t="n">
        <x:v>394.72</x:v>
      </x:c>
      <x:c r="G2849" s="13" t="n">
        <x:v>3.75</x:v>
      </x:c>
      <x:c r="H2849" s="13" t="n">
        <x:f>F2849-G2849</x:f>
        <x:v>390.97</x:v>
      </x:c>
      <x:c r="I2849" s="13" t="n">
        <x:f>IF(C2849=0,"n.a.",F2849/C2849)</x:f>
        <x:v>394.72</x:v>
      </x:c>
      <x:c r="J2849" s="3"/>
      <x:c r="K2849" s="3"/>
      <x:c r="L2849" s="3"/>
    </x:row>
    <x:row r="2850" ht="22" customHeight="1">
      <x:c r="A2850" s="3"/>
      <x:c r="B2850" s="3" t="str">
        <x:v>13255</x:v>
      </x:c>
      <x:c r="C2850" s="3" t="n">
        <x:v>2</x:v>
      </x:c>
      <x:c r="D2850" s="51" t="n">
        <x:v>40877</x:v>
      </x:c>
      <x:c r="E2850" s="3" t="str">
        <x:v>Recurrente</x:v>
      </x:c>
      <x:c r="F2850" s="13" t="n">
        <x:v>399.51</x:v>
      </x:c>
      <x:c r="G2850" s="13" t="n">
        <x:v>8.85</x:v>
      </x:c>
      <x:c r="H2850" s="13" t="n">
        <x:f>F2850-G2850</x:f>
        <x:v>390.65999999999997</x:v>
      </x:c>
      <x:c r="I2850" s="13" t="n">
        <x:f>IF(C2850=0,"n.a.",F2850/C2850)</x:f>
        <x:v>199.755</x:v>
      </x:c>
      <x:c r="J2850" s="3"/>
      <x:c r="K2850" s="3"/>
      <x:c r="L2850" s="3"/>
    </x:row>
    <x:row r="2851" ht="22" customHeight="1">
      <x:c r="A2851" s="3"/>
      <x:c r="B2851" s="3" t="str">
        <x:v>17614</x:v>
      </x:c>
      <x:c r="C2851" s="3" t="n">
        <x:v>1</x:v>
      </x:c>
      <x:c r="D2851" s="51" t="n">
        <x:v>40829</x:v>
      </x:c>
      <x:c r="E2851" s="3" t="str">
        <x:v>Una compra</x:v>
      </x:c>
      <x:c r="F2851" s="13" t="n">
        <x:v>390.07</x:v>
      </x:c>
      <x:c r="G2851" s="13" t="n">
        <x:v>0</x:v>
      </x:c>
      <x:c r="H2851" s="13" t="n">
        <x:f>F2851-G2851</x:f>
        <x:v>390.07</x:v>
      </x:c>
      <x:c r="I2851" s="13" t="n">
        <x:f>IF(C2851=0,"n.a.",F2851/C2851)</x:f>
        <x:v>390.07</x:v>
      </x:c>
      <x:c r="J2851" s="3"/>
      <x:c r="K2851" s="3"/>
      <x:c r="L2851" s="3"/>
    </x:row>
    <x:row r="2852" ht="22" customHeight="1">
      <x:c r="A2852" s="3"/>
      <x:c r="B2852" s="3" t="str">
        <x:v>14910</x:v>
      </x:c>
      <x:c r="C2852" s="3" t="n">
        <x:v>4</x:v>
      </x:c>
      <x:c r="D2852" s="51" t="n">
        <x:v>40884</x:v>
      </x:c>
      <x:c r="E2852" s="3" t="str">
        <x:v>Recurrente</x:v>
      </x:c>
      <x:c r="F2852" s="13" t="n">
        <x:v>434.35</x:v>
      </x:c>
      <x:c r="G2852" s="13" t="n">
        <x:v>44.49</x:v>
      </x:c>
      <x:c r="H2852" s="13" t="n">
        <x:f>F2852-G2852</x:f>
        <x:v>389.86</x:v>
      </x:c>
      <x:c r="I2852" s="13" t="n">
        <x:f>IF(C2852=0,"n.a.",F2852/C2852)</x:f>
        <x:v>108.5875</x:v>
      </x:c>
      <x:c r="J2852" s="3"/>
      <x:c r="K2852" s="3"/>
      <x:c r="L2852" s="3"/>
    </x:row>
    <x:row r="2853" ht="22" customHeight="1">
      <x:c r="A2853" s="3"/>
      <x:c r="B2853" s="3" t="str">
        <x:v>17936</x:v>
      </x:c>
      <x:c r="C2853" s="3" t="n">
        <x:v>1</x:v>
      </x:c>
      <x:c r="D2853" s="51" t="n">
        <x:v>40881</x:v>
      </x:c>
      <x:c r="E2853" s="3" t="str">
        <x:v>Una compra</x:v>
      </x:c>
      <x:c r="F2853" s="13" t="n">
        <x:v>389.84</x:v>
      </x:c>
      <x:c r="G2853" s="13" t="n">
        <x:v>0</x:v>
      </x:c>
      <x:c r="H2853" s="13" t="n">
        <x:f>F2853-G2853</x:f>
        <x:v>389.84</x:v>
      </x:c>
      <x:c r="I2853" s="13" t="n">
        <x:f>IF(C2853=0,"n.a.",F2853/C2853)</x:f>
        <x:v>389.84</x:v>
      </x:c>
      <x:c r="J2853" s="3"/>
      <x:c r="K2853" s="3"/>
      <x:c r="L2853" s="3"/>
    </x:row>
    <x:row r="2854" ht="22" customHeight="1">
      <x:c r="A2854" s="3"/>
      <x:c r="B2854" s="3" t="str">
        <x:v>14752</x:v>
      </x:c>
      <x:c r="C2854" s="3" t="n">
        <x:v>1</x:v>
      </x:c>
      <x:c r="D2854" s="51" t="n">
        <x:v>40843</x:v>
      </x:c>
      <x:c r="E2854" s="3" t="str">
        <x:v>Una compra</x:v>
      </x:c>
      <x:c r="F2854" s="13" t="n">
        <x:v>389.64</x:v>
      </x:c>
      <x:c r="G2854" s="13" t="n">
        <x:v>0</x:v>
      </x:c>
      <x:c r="H2854" s="13" t="n">
        <x:f>F2854-G2854</x:f>
        <x:v>389.64</x:v>
      </x:c>
      <x:c r="I2854" s="13" t="n">
        <x:f>IF(C2854=0,"n.a.",F2854/C2854)</x:f>
        <x:v>389.64</x:v>
      </x:c>
      <x:c r="J2854" s="3"/>
      <x:c r="K2854" s="3"/>
      <x:c r="L2854" s="3"/>
    </x:row>
    <x:row r="2855" ht="22" customHeight="1">
      <x:c r="A2855" s="3"/>
      <x:c r="B2855" s="3" t="str">
        <x:v>16250</x:v>
      </x:c>
      <x:c r="C2855" s="3" t="n">
        <x:v>2</x:v>
      </x:c>
      <x:c r="D2855" s="51" t="n">
        <x:v>40625</x:v>
      </x:c>
      <x:c r="E2855" s="3" t="str">
        <x:v>Recurrente</x:v>
      </x:c>
      <x:c r="F2855" s="13" t="n">
        <x:v>389.44</x:v>
      </x:c>
      <x:c r="G2855" s="13" t="n">
        <x:v>0</x:v>
      </x:c>
      <x:c r="H2855" s="13" t="n">
        <x:f>F2855-G2855</x:f>
        <x:v>389.44</x:v>
      </x:c>
      <x:c r="I2855" s="13" t="n">
        <x:f>IF(C2855=0,"n.a.",F2855/C2855)</x:f>
        <x:v>194.72</x:v>
      </x:c>
      <x:c r="J2855" s="3"/>
      <x:c r="K2855" s="3"/>
      <x:c r="L2855" s="3"/>
    </x:row>
    <x:row r="2856" ht="22" customHeight="1">
      <x:c r="A2856" s="3"/>
      <x:c r="B2856" s="3" t="str">
        <x:v>15847</x:v>
      </x:c>
      <x:c r="C2856" s="3" t="n">
        <x:v>2</x:v>
      </x:c>
      <x:c r="D2856" s="51" t="n">
        <x:v>40848</x:v>
      </x:c>
      <x:c r="E2856" s="3" t="str">
        <x:v>Recurrente</x:v>
      </x:c>
      <x:c r="F2856" s="13" t="n">
        <x:v>389.27</x:v>
      </x:c>
      <x:c r="G2856" s="13" t="n">
        <x:v>0</x:v>
      </x:c>
      <x:c r="H2856" s="13" t="n">
        <x:f>F2856-G2856</x:f>
        <x:v>389.27</x:v>
      </x:c>
      <x:c r="I2856" s="13" t="n">
        <x:f>IF(C2856=0,"n.a.",F2856/C2856)</x:f>
        <x:v>194.635</x:v>
      </x:c>
      <x:c r="J2856" s="3"/>
      <x:c r="K2856" s="3"/>
      <x:c r="L2856" s="3"/>
    </x:row>
    <x:row r="2857" ht="22" customHeight="1">
      <x:c r="A2857" s="3"/>
      <x:c r="B2857" s="3" t="str">
        <x:v>13358</x:v>
      </x:c>
      <x:c r="C2857" s="3" t="n">
        <x:v>1</x:v>
      </x:c>
      <x:c r="D2857" s="51" t="n">
        <x:v>40618</x:v>
      </x:c>
      <x:c r="E2857" s="3" t="str">
        <x:v>Una compra</x:v>
      </x:c>
      <x:c r="F2857" s="13" t="n">
        <x:v>389.03</x:v>
      </x:c>
      <x:c r="G2857" s="13" t="n">
        <x:v>0</x:v>
      </x:c>
      <x:c r="H2857" s="13" t="n">
        <x:f>F2857-G2857</x:f>
        <x:v>389.03</x:v>
      </x:c>
      <x:c r="I2857" s="13" t="n">
        <x:f>IF(C2857=0,"n.a.",F2857/C2857)</x:f>
        <x:v>389.03</x:v>
      </x:c>
      <x:c r="J2857" s="3"/>
      <x:c r="K2857" s="3"/>
      <x:c r="L2857" s="3"/>
    </x:row>
    <x:row r="2858" ht="22" customHeight="1">
      <x:c r="A2858" s="3"/>
      <x:c r="B2858" s="3" t="str">
        <x:v>17595</x:v>
      </x:c>
      <x:c r="C2858" s="3" t="n">
        <x:v>2</x:v>
      </x:c>
      <x:c r="D2858" s="51" t="n">
        <x:v>40874</x:v>
      </x:c>
      <x:c r="E2858" s="3" t="str">
        <x:v>Recurrente</x:v>
      </x:c>
      <x:c r="F2858" s="13" t="n">
        <x:v>388.79</x:v>
      </x:c>
      <x:c r="G2858" s="13" t="n">
        <x:v>0</x:v>
      </x:c>
      <x:c r="H2858" s="13" t="n">
        <x:f>F2858-G2858</x:f>
        <x:v>388.79</x:v>
      </x:c>
      <x:c r="I2858" s="13" t="n">
        <x:f>IF(C2858=0,"n.a.",F2858/C2858)</x:f>
        <x:v>194.395</x:v>
      </x:c>
      <x:c r="J2858" s="3"/>
      <x:c r="K2858" s="3"/>
      <x:c r="L2858" s="3"/>
    </x:row>
    <x:row r="2859" ht="22" customHeight="1">
      <x:c r="A2859" s="3"/>
      <x:c r="B2859" s="3" t="str">
        <x:v>15592</x:v>
      </x:c>
      <x:c r="C2859" s="3" t="n">
        <x:v>1</x:v>
      </x:c>
      <x:c r="D2859" s="51" t="n">
        <x:v>40840</x:v>
      </x:c>
      <x:c r="E2859" s="3" t="str">
        <x:v>Una compra</x:v>
      </x:c>
      <x:c r="F2859" s="13" t="n">
        <x:v>388.58</x:v>
      </x:c>
      <x:c r="G2859" s="13" t="n">
        <x:v>0</x:v>
      </x:c>
      <x:c r="H2859" s="13" t="n">
        <x:f>F2859-G2859</x:f>
        <x:v>388.58</x:v>
      </x:c>
      <x:c r="I2859" s="13" t="n">
        <x:f>IF(C2859=0,"n.a.",F2859/C2859)</x:f>
        <x:v>388.58</x:v>
      </x:c>
      <x:c r="J2859" s="3"/>
      <x:c r="K2859" s="3"/>
      <x:c r="L2859" s="3"/>
    </x:row>
    <x:row r="2860" ht="22" customHeight="1">
      <x:c r="A2860" s="3"/>
      <x:c r="B2860" s="3" t="str">
        <x:v>13899</x:v>
      </x:c>
      <x:c r="C2860" s="3" t="n">
        <x:v>2</x:v>
      </x:c>
      <x:c r="D2860" s="51" t="n">
        <x:v>40870</x:v>
      </x:c>
      <x:c r="E2860" s="3" t="str">
        <x:v>Recurrente</x:v>
      </x:c>
      <x:c r="F2860" s="13" t="n">
        <x:v>388.52</x:v>
      </x:c>
      <x:c r="G2860" s="13" t="n">
        <x:v>0</x:v>
      </x:c>
      <x:c r="H2860" s="13" t="n">
        <x:f>F2860-G2860</x:f>
        <x:v>388.52</x:v>
      </x:c>
      <x:c r="I2860" s="13" t="n">
        <x:f>IF(C2860=0,"n.a.",F2860/C2860)</x:f>
        <x:v>194.26</x:v>
      </x:c>
      <x:c r="J2860" s="3"/>
      <x:c r="K2860" s="3"/>
      <x:c r="L2860" s="3"/>
    </x:row>
    <x:row r="2861" ht="22" customHeight="1">
      <x:c r="A2861" s="3"/>
      <x:c r="B2861" s="3" t="str">
        <x:v>17035</x:v>
      </x:c>
      <x:c r="C2861" s="3" t="n">
        <x:v>2</x:v>
      </x:c>
      <x:c r="D2861" s="51" t="n">
        <x:v>40641</x:v>
      </x:c>
      <x:c r="E2861" s="3" t="str">
        <x:v>Recurrente</x:v>
      </x:c>
      <x:c r="F2861" s="13" t="n">
        <x:v>433.53</x:v>
      </x:c>
      <x:c r="G2861" s="13" t="n">
        <x:v>45.2</x:v>
      </x:c>
      <x:c r="H2861" s="13" t="n">
        <x:f>F2861-G2861</x:f>
        <x:v>388.33</x:v>
      </x:c>
      <x:c r="I2861" s="13" t="n">
        <x:f>IF(C2861=0,"n.a.",F2861/C2861)</x:f>
        <x:v>216.765</x:v>
      </x:c>
      <x:c r="J2861" s="3"/>
      <x:c r="K2861" s="3"/>
      <x:c r="L2861" s="3"/>
    </x:row>
    <x:row r="2862" ht="22" customHeight="1">
      <x:c r="A2862" s="3"/>
      <x:c r="B2862" s="3" t="str">
        <x:v>16776</x:v>
      </x:c>
      <x:c r="C2862" s="3" t="n">
        <x:v>1</x:v>
      </x:c>
      <x:c r="D2862" s="51" t="n">
        <x:v>40826</x:v>
      </x:c>
      <x:c r="E2862" s="3" t="str">
        <x:v>Una compra</x:v>
      </x:c>
      <x:c r="F2862" s="13" t="n">
        <x:v>388.28</x:v>
      </x:c>
      <x:c r="G2862" s="13" t="n">
        <x:v>0</x:v>
      </x:c>
      <x:c r="H2862" s="13" t="n">
        <x:f>F2862-G2862</x:f>
        <x:v>388.28</x:v>
      </x:c>
      <x:c r="I2862" s="13" t="n">
        <x:f>IF(C2862=0,"n.a.",F2862/C2862)</x:f>
        <x:v>388.28</x:v>
      </x:c>
      <x:c r="J2862" s="3"/>
      <x:c r="K2862" s="3"/>
      <x:c r="L2862" s="3"/>
    </x:row>
    <x:row r="2863" ht="22" customHeight="1">
      <x:c r="A2863" s="3"/>
      <x:c r="B2863" s="3" t="str">
        <x:v>14538</x:v>
      </x:c>
      <x:c r="C2863" s="3" t="n">
        <x:v>2</x:v>
      </x:c>
      <x:c r="D2863" s="51" t="n">
        <x:v>40822</x:v>
      </x:c>
      <x:c r="E2863" s="3" t="str">
        <x:v>Recurrente</x:v>
      </x:c>
      <x:c r="F2863" s="13" t="n">
        <x:v>388.25</x:v>
      </x:c>
      <x:c r="G2863" s="13" t="n">
        <x:v>0</x:v>
      </x:c>
      <x:c r="H2863" s="13" t="n">
        <x:f>F2863-G2863</x:f>
        <x:v>388.25</x:v>
      </x:c>
      <x:c r="I2863" s="13" t="n">
        <x:f>IF(C2863=0,"n.a.",F2863/C2863)</x:f>
        <x:v>194.125</x:v>
      </x:c>
      <x:c r="J2863" s="3"/>
      <x:c r="K2863" s="3"/>
      <x:c r="L2863" s="3"/>
    </x:row>
    <x:row r="2864" ht="22" customHeight="1">
      <x:c r="A2864" s="3"/>
      <x:c r="B2864" s="3" t="str">
        <x:v>17357</x:v>
      </x:c>
      <x:c r="C2864" s="3" t="n">
        <x:v>2</x:v>
      </x:c>
      <x:c r="D2864" s="51" t="n">
        <x:v>40862</x:v>
      </x:c>
      <x:c r="E2864" s="3" t="str">
        <x:v>Recurrente</x:v>
      </x:c>
      <x:c r="F2864" s="13" t="n">
        <x:v>388.14</x:v>
      </x:c>
      <x:c r="G2864" s="13" t="n">
        <x:v>0</x:v>
      </x:c>
      <x:c r="H2864" s="13" t="n">
        <x:f>F2864-G2864</x:f>
        <x:v>388.14</x:v>
      </x:c>
      <x:c r="I2864" s="13" t="n">
        <x:f>IF(C2864=0,"n.a.",F2864/C2864)</x:f>
        <x:v>194.07</x:v>
      </x:c>
      <x:c r="J2864" s="3"/>
      <x:c r="K2864" s="3"/>
      <x:c r="L2864" s="3"/>
    </x:row>
    <x:row r="2865" ht="22" customHeight="1">
      <x:c r="A2865" s="3"/>
      <x:c r="B2865" s="3" t="str">
        <x:v>17817</x:v>
      </x:c>
      <x:c r="C2865" s="3" t="n">
        <x:v>3</x:v>
      </x:c>
      <x:c r="D2865" s="51" t="n">
        <x:v>40882</x:v>
      </x:c>
      <x:c r="E2865" s="3" t="str">
        <x:v>Recurrente</x:v>
      </x:c>
      <x:c r="F2865" s="13" t="n">
        <x:v>387.68</x:v>
      </x:c>
      <x:c r="G2865" s="13" t="n">
        <x:v>0</x:v>
      </x:c>
      <x:c r="H2865" s="13" t="n">
        <x:f>F2865-G2865</x:f>
        <x:v>387.68</x:v>
      </x:c>
      <x:c r="I2865" s="13" t="n">
        <x:f>IF(C2865=0,"n.a.",F2865/C2865)</x:f>
        <x:v>129.22666666666666</x:v>
      </x:c>
      <x:c r="J2865" s="3"/>
      <x:c r="K2865" s="3"/>
      <x:c r="L2865" s="3"/>
    </x:row>
    <x:row r="2866" ht="22" customHeight="1">
      <x:c r="A2866" s="3"/>
      <x:c r="B2866" s="3" t="str">
        <x:v>17508</x:v>
      </x:c>
      <x:c r="C2866" s="3" t="n">
        <x:v>1</x:v>
      </x:c>
      <x:c r="D2866" s="51" t="n">
        <x:v>40606</x:v>
      </x:c>
      <x:c r="E2866" s="3" t="str">
        <x:v>Una compra</x:v>
      </x:c>
      <x:c r="F2866" s="13" t="n">
        <x:v>387.31</x:v>
      </x:c>
      <x:c r="G2866" s="13" t="n">
        <x:v>0</x:v>
      </x:c>
      <x:c r="H2866" s="13" t="n">
        <x:f>F2866-G2866</x:f>
        <x:v>387.31</x:v>
      </x:c>
      <x:c r="I2866" s="13" t="n">
        <x:f>IF(C2866=0,"n.a.",F2866/C2866)</x:f>
        <x:v>387.31</x:v>
      </x:c>
      <x:c r="J2866" s="3"/>
      <x:c r="K2866" s="3"/>
      <x:c r="L2866" s="3"/>
    </x:row>
    <x:row r="2867" ht="22" customHeight="1">
      <x:c r="A2867" s="3"/>
      <x:c r="B2867" s="3" t="str">
        <x:v>14114</x:v>
      </x:c>
      <x:c r="C2867" s="3" t="n">
        <x:v>2</x:v>
      </x:c>
      <x:c r="D2867" s="51" t="n">
        <x:v>40613</x:v>
      </x:c>
      <x:c r="E2867" s="3" t="str">
        <x:v>Recurrente</x:v>
      </x:c>
      <x:c r="F2867" s="13" t="n">
        <x:v>386.53</x:v>
      </x:c>
      <x:c r="G2867" s="13" t="n">
        <x:v>0</x:v>
      </x:c>
      <x:c r="H2867" s="13" t="n">
        <x:f>F2867-G2867</x:f>
        <x:v>386.53</x:v>
      </x:c>
      <x:c r="I2867" s="13" t="n">
        <x:f>IF(C2867=0,"n.a.",F2867/C2867)</x:f>
        <x:v>193.265</x:v>
      </x:c>
      <x:c r="J2867" s="3"/>
      <x:c r="K2867" s="3"/>
      <x:c r="L2867" s="3"/>
    </x:row>
    <x:row r="2868" ht="22" customHeight="1">
      <x:c r="A2868" s="3"/>
      <x:c r="B2868" s="3" t="str">
        <x:v>14779</x:v>
      </x:c>
      <x:c r="C2868" s="3" t="n">
        <x:v>3</x:v>
      </x:c>
      <x:c r="D2868" s="51" t="n">
        <x:v>40606</x:v>
      </x:c>
      <x:c r="E2868" s="3" t="str">
        <x:v>Recurrente</x:v>
      </x:c>
      <x:c r="F2868" s="13" t="n">
        <x:v>386.15</x:v>
      </x:c>
      <x:c r="G2868" s="13" t="n">
        <x:v>0</x:v>
      </x:c>
      <x:c r="H2868" s="13" t="n">
        <x:f>F2868-G2868</x:f>
        <x:v>386.15</x:v>
      </x:c>
      <x:c r="I2868" s="13" t="n">
        <x:f>IF(C2868=0,"n.a.",F2868/C2868)</x:f>
        <x:v>128.71666666666667</x:v>
      </x:c>
      <x:c r="J2868" s="3"/>
      <x:c r="K2868" s="3"/>
      <x:c r="L2868" s="3"/>
    </x:row>
    <x:row r="2869" ht="22" customHeight="1">
      <x:c r="A2869" s="3"/>
      <x:c r="B2869" s="3" t="str">
        <x:v>14420</x:v>
      </x:c>
      <x:c r="C2869" s="3" t="n">
        <x:v>1</x:v>
      </x:c>
      <x:c r="D2869" s="51" t="n">
        <x:v>40787</x:v>
      </x:c>
      <x:c r="E2869" s="3" t="str">
        <x:v>Una compra</x:v>
      </x:c>
      <x:c r="F2869" s="13" t="n">
        <x:v>387.52</x:v>
      </x:c>
      <x:c r="G2869" s="13" t="n">
        <x:v>1.65</x:v>
      </x:c>
      <x:c r="H2869" s="13" t="n">
        <x:f>F2869-G2869</x:f>
        <x:v>385.87</x:v>
      </x:c>
      <x:c r="I2869" s="13" t="n">
        <x:f>IF(C2869=0,"n.a.",F2869/C2869)</x:f>
        <x:v>387.52</x:v>
      </x:c>
      <x:c r="J2869" s="3"/>
      <x:c r="K2869" s="3"/>
      <x:c r="L2869" s="3"/>
    </x:row>
    <x:row r="2870" ht="22" customHeight="1">
      <x:c r="A2870" s="3"/>
      <x:c r="B2870" s="3" t="str">
        <x:v>13821</x:v>
      </x:c>
      <x:c r="C2870" s="3" t="n">
        <x:v>2</x:v>
      </x:c>
      <x:c r="D2870" s="51" t="n">
        <x:v>40742</x:v>
      </x:c>
      <x:c r="E2870" s="3" t="str">
        <x:v>Recurrente</x:v>
      </x:c>
      <x:c r="F2870" s="13" t="n">
        <x:v>385.64</x:v>
      </x:c>
      <x:c r="G2870" s="13" t="n">
        <x:v>0</x:v>
      </x:c>
      <x:c r="H2870" s="13" t="n">
        <x:f>F2870-G2870</x:f>
        <x:v>385.64</x:v>
      </x:c>
      <x:c r="I2870" s="13" t="n">
        <x:f>IF(C2870=0,"n.a.",F2870/C2870)</x:f>
        <x:v>192.82</x:v>
      </x:c>
      <x:c r="J2870" s="3"/>
      <x:c r="K2870" s="3"/>
      <x:c r="L2870" s="3"/>
    </x:row>
    <x:row r="2871" ht="22" customHeight="1">
      <x:c r="A2871" s="3"/>
      <x:c r="B2871" s="3" t="str">
        <x:v>17711</x:v>
      </x:c>
      <x:c r="C2871" s="3" t="n">
        <x:v>2</x:v>
      </x:c>
      <x:c r="D2871" s="51" t="n">
        <x:v>40876</x:v>
      </x:c>
      <x:c r="E2871" s="3" t="str">
        <x:v>Recurrente</x:v>
      </x:c>
      <x:c r="F2871" s="13" t="n">
        <x:v>385.1</x:v>
      </x:c>
      <x:c r="G2871" s="13" t="n">
        <x:v>0</x:v>
      </x:c>
      <x:c r="H2871" s="13" t="n">
        <x:f>F2871-G2871</x:f>
        <x:v>385.1</x:v>
      </x:c>
      <x:c r="I2871" s="13" t="n">
        <x:f>IF(C2871=0,"n.a.",F2871/C2871)</x:f>
        <x:v>192.55</x:v>
      </x:c>
      <x:c r="J2871" s="3"/>
      <x:c r="K2871" s="3"/>
      <x:c r="L2871" s="3"/>
    </x:row>
    <x:row r="2872" ht="22" customHeight="1">
      <x:c r="A2872" s="3"/>
      <x:c r="B2872" s="3" t="str">
        <x:v>13833</x:v>
      </x:c>
      <x:c r="C2872" s="3" t="n">
        <x:v>1</x:v>
      </x:c>
      <x:c r="D2872" s="51" t="n">
        <x:v>40727</x:v>
      </x:c>
      <x:c r="E2872" s="3" t="str">
        <x:v>Una compra</x:v>
      </x:c>
      <x:c r="F2872" s="13" t="n">
        <x:v>384.8</x:v>
      </x:c>
      <x:c r="G2872" s="13" t="n">
        <x:v>0</x:v>
      </x:c>
      <x:c r="H2872" s="13" t="n">
        <x:f>F2872-G2872</x:f>
        <x:v>384.8</x:v>
      </x:c>
      <x:c r="I2872" s="13" t="n">
        <x:f>IF(C2872=0,"n.a.",F2872/C2872)</x:f>
        <x:v>384.8</x:v>
      </x:c>
      <x:c r="J2872" s="3"/>
      <x:c r="K2872" s="3"/>
      <x:c r="L2872" s="3"/>
    </x:row>
    <x:row r="2873" ht="22" customHeight="1">
      <x:c r="A2873" s="3"/>
      <x:c r="B2873" s="3" t="str">
        <x:v>17250</x:v>
      </x:c>
      <x:c r="C2873" s="3" t="n">
        <x:v>2</x:v>
      </x:c>
      <x:c r="D2873" s="51" t="n">
        <x:v>40883</x:v>
      </x:c>
      <x:c r="E2873" s="3" t="str">
        <x:v>Recurrente</x:v>
      </x:c>
      <x:c r="F2873" s="13" t="n">
        <x:v>384.52</x:v>
      </x:c>
      <x:c r="G2873" s="13" t="n">
        <x:v>0</x:v>
      </x:c>
      <x:c r="H2873" s="13" t="n">
        <x:f>F2873-G2873</x:f>
        <x:v>384.52</x:v>
      </x:c>
      <x:c r="I2873" s="13" t="n">
        <x:f>IF(C2873=0,"n.a.",F2873/C2873)</x:f>
        <x:v>192.26</x:v>
      </x:c>
      <x:c r="J2873" s="3"/>
      <x:c r="K2873" s="3"/>
      <x:c r="L2873" s="3"/>
    </x:row>
    <x:row r="2874" ht="22" customHeight="1">
      <x:c r="A2874" s="3"/>
      <x:c r="B2874" s="3" t="str">
        <x:v>17189</x:v>
      </x:c>
      <x:c r="C2874" s="3" t="n">
        <x:v>2</x:v>
      </x:c>
      <x:c r="D2874" s="51" t="n">
        <x:v>40780</x:v>
      </x:c>
      <x:c r="E2874" s="3" t="str">
        <x:v>Recurrente</x:v>
      </x:c>
      <x:c r="F2874" s="13" t="n">
        <x:v>384.4</x:v>
      </x:c>
      <x:c r="G2874" s="13" t="n">
        <x:v>0</x:v>
      </x:c>
      <x:c r="H2874" s="13" t="n">
        <x:f>F2874-G2874</x:f>
        <x:v>384.4</x:v>
      </x:c>
      <x:c r="I2874" s="13" t="n">
        <x:f>IF(C2874=0,"n.a.",F2874/C2874)</x:f>
        <x:v>192.2</x:v>
      </x:c>
      <x:c r="J2874" s="3"/>
      <x:c r="K2874" s="3"/>
      <x:c r="L2874" s="3"/>
    </x:row>
    <x:row r="2875" ht="22" customHeight="1">
      <x:c r="A2875" s="3"/>
      <x:c r="B2875" s="3" t="str">
        <x:v>17205</x:v>
      </x:c>
      <x:c r="C2875" s="3" t="n">
        <x:v>1</x:v>
      </x:c>
      <x:c r="D2875" s="51" t="n">
        <x:v>40833</x:v>
      </x:c>
      <x:c r="E2875" s="3" t="str">
        <x:v>Una compra</x:v>
      </x:c>
      <x:c r="F2875" s="13" t="n">
        <x:v>384.08</x:v>
      </x:c>
      <x:c r="G2875" s="13" t="n">
        <x:v>0</x:v>
      </x:c>
      <x:c r="H2875" s="13" t="n">
        <x:f>F2875-G2875</x:f>
        <x:v>384.08</x:v>
      </x:c>
      <x:c r="I2875" s="13" t="n">
        <x:f>IF(C2875=0,"n.a.",F2875/C2875)</x:f>
        <x:v>384.08</x:v>
      </x:c>
      <x:c r="J2875" s="3"/>
      <x:c r="K2875" s="3"/>
      <x:c r="L2875" s="3"/>
    </x:row>
    <x:row r="2876" ht="22" customHeight="1">
      <x:c r="A2876" s="3"/>
      <x:c r="B2876" s="3" t="str">
        <x:v>16982</x:v>
      </x:c>
      <x:c r="C2876" s="3" t="n">
        <x:v>1</x:v>
      </x:c>
      <x:c r="D2876" s="51" t="n">
        <x:v>40826</x:v>
      </x:c>
      <x:c r="E2876" s="3" t="str">
        <x:v>Una compra</x:v>
      </x:c>
      <x:c r="F2876" s="13" t="n">
        <x:v>384.06</x:v>
      </x:c>
      <x:c r="G2876" s="13" t="n">
        <x:v>0</x:v>
      </x:c>
      <x:c r="H2876" s="13" t="n">
        <x:f>F2876-G2876</x:f>
        <x:v>384.06</x:v>
      </x:c>
      <x:c r="I2876" s="13" t="n">
        <x:f>IF(C2876=0,"n.a.",F2876/C2876)</x:f>
        <x:v>384.06</x:v>
      </x:c>
      <x:c r="J2876" s="3"/>
      <x:c r="K2876" s="3"/>
      <x:c r="L2876" s="3"/>
    </x:row>
    <x:row r="2877" ht="22" customHeight="1">
      <x:c r="A2877" s="3"/>
      <x:c r="B2877" s="3" t="str">
        <x:v>12733</x:v>
      </x:c>
      <x:c r="C2877" s="3" t="n">
        <x:v>1</x:v>
      </x:c>
      <x:c r="D2877" s="51" t="n">
        <x:v>40652</x:v>
      </x:c>
      <x:c r="E2877" s="3" t="str">
        <x:v>Una compra</x:v>
      </x:c>
      <x:c r="F2877" s="13" t="n">
        <x:v>383.95</x:v>
      </x:c>
      <x:c r="G2877" s="13" t="n">
        <x:v>0</x:v>
      </x:c>
      <x:c r="H2877" s="13" t="n">
        <x:f>F2877-G2877</x:f>
        <x:v>383.95</x:v>
      </x:c>
      <x:c r="I2877" s="13" t="n">
        <x:f>IF(C2877=0,"n.a.",F2877/C2877)</x:f>
        <x:v>383.95</x:v>
      </x:c>
      <x:c r="J2877" s="3"/>
      <x:c r="K2877" s="3"/>
      <x:c r="L2877" s="3"/>
    </x:row>
    <x:row r="2878" ht="22" customHeight="1">
      <x:c r="A2878" s="3"/>
      <x:c r="B2878" s="3" t="str">
        <x:v>15440</x:v>
      </x:c>
      <x:c r="C2878" s="3" t="n">
        <x:v>3</x:v>
      </x:c>
      <x:c r="D2878" s="51" t="n">
        <x:v>40832</x:v>
      </x:c>
      <x:c r="E2878" s="3" t="str">
        <x:v>Recurrente</x:v>
      </x:c>
      <x:c r="F2878" s="13" t="n">
        <x:v>383.68</x:v>
      </x:c>
      <x:c r="G2878" s="13" t="n">
        <x:v>0</x:v>
      </x:c>
      <x:c r="H2878" s="13" t="n">
        <x:f>F2878-G2878</x:f>
        <x:v>383.68</x:v>
      </x:c>
      <x:c r="I2878" s="13" t="n">
        <x:f>IF(C2878=0,"n.a.",F2878/C2878)</x:f>
        <x:v>127.89333333333333</x:v>
      </x:c>
      <x:c r="J2878" s="3"/>
      <x:c r="K2878" s="3"/>
      <x:c r="L2878" s="3"/>
    </x:row>
    <x:row r="2879" ht="22" customHeight="1">
      <x:c r="A2879" s="3"/>
      <x:c r="B2879" s="3" t="str">
        <x:v>14460</x:v>
      </x:c>
      <x:c r="C2879" s="3" t="n">
        <x:v>3</x:v>
      </x:c>
      <x:c r="D2879" s="51" t="n">
        <x:v>40776</x:v>
      </x:c>
      <x:c r="E2879" s="3" t="str">
        <x:v>Recurrente</x:v>
      </x:c>
      <x:c r="F2879" s="13" t="n">
        <x:v>434.34</x:v>
      </x:c>
      <x:c r="G2879" s="13" t="n">
        <x:v>51</x:v>
      </x:c>
      <x:c r="H2879" s="13" t="n">
        <x:f>F2879-G2879</x:f>
        <x:v>383.34</x:v>
      </x:c>
      <x:c r="I2879" s="13" t="n">
        <x:f>IF(C2879=0,"n.a.",F2879/C2879)</x:f>
        <x:v>144.78</x:v>
      </x:c>
      <x:c r="J2879" s="3"/>
      <x:c r="K2879" s="3"/>
      <x:c r="L2879" s="3"/>
    </x:row>
    <x:row r="2880" ht="22" customHeight="1">
      <x:c r="A2880" s="3"/>
      <x:c r="B2880" s="3" t="str">
        <x:v>15424</x:v>
      </x:c>
      <x:c r="C2880" s="3" t="n">
        <x:v>2</x:v>
      </x:c>
      <x:c r="D2880" s="51" t="n">
        <x:v>40632</x:v>
      </x:c>
      <x:c r="E2880" s="3" t="str">
        <x:v>Recurrente</x:v>
      </x:c>
      <x:c r="F2880" s="13" t="n">
        <x:v>383.34</x:v>
      </x:c>
      <x:c r="G2880" s="13" t="n">
        <x:v>0</x:v>
      </x:c>
      <x:c r="H2880" s="13" t="n">
        <x:f>F2880-G2880</x:f>
        <x:v>383.34</x:v>
      </x:c>
      <x:c r="I2880" s="13" t="n">
        <x:f>IF(C2880=0,"n.a.",F2880/C2880)</x:f>
        <x:v>191.67</x:v>
      </x:c>
      <x:c r="J2880" s="3"/>
      <x:c r="K2880" s="3"/>
      <x:c r="L2880" s="3"/>
    </x:row>
    <x:row r="2881" ht="22" customHeight="1">
      <x:c r="A2881" s="3"/>
      <x:c r="B2881" s="3" t="str">
        <x:v>12832</x:v>
      </x:c>
      <x:c r="C2881" s="3" t="n">
        <x:v>2</x:v>
      </x:c>
      <x:c r="D2881" s="51" t="n">
        <x:v>40854</x:v>
      </x:c>
      <x:c r="E2881" s="3" t="str">
        <x:v>Recurrente</x:v>
      </x:c>
      <x:c r="F2881" s="13" t="n">
        <x:v>383.03</x:v>
      </x:c>
      <x:c r="G2881" s="13" t="n">
        <x:v>0</x:v>
      </x:c>
      <x:c r="H2881" s="13" t="n">
        <x:f>F2881-G2881</x:f>
        <x:v>383.03</x:v>
      </x:c>
      <x:c r="I2881" s="13" t="n">
        <x:f>IF(C2881=0,"n.a.",F2881/C2881)</x:f>
        <x:v>191.515</x:v>
      </x:c>
      <x:c r="J2881" s="3"/>
      <x:c r="K2881" s="3"/>
      <x:c r="L2881" s="3"/>
    </x:row>
    <x:row r="2882" ht="22" customHeight="1">
      <x:c r="A2882" s="3"/>
      <x:c r="B2882" s="3" t="str">
        <x:v>18181</x:v>
      </x:c>
      <x:c r="C2882" s="3" t="n">
        <x:v>1</x:v>
      </x:c>
      <x:c r="D2882" s="51" t="n">
        <x:v>40862</x:v>
      </x:c>
      <x:c r="E2882" s="3" t="str">
        <x:v>Una compra</x:v>
      </x:c>
      <x:c r="F2882" s="13" t="n">
        <x:v>382.8</x:v>
      </x:c>
      <x:c r="G2882" s="13" t="n">
        <x:v>0</x:v>
      </x:c>
      <x:c r="H2882" s="13" t="n">
        <x:f>F2882-G2882</x:f>
        <x:v>382.8</x:v>
      </x:c>
      <x:c r="I2882" s="13" t="n">
        <x:f>IF(C2882=0,"n.a.",F2882/C2882)</x:f>
        <x:v>382.8</x:v>
      </x:c>
      <x:c r="J2882" s="3"/>
      <x:c r="K2882" s="3"/>
      <x:c r="L2882" s="3"/>
    </x:row>
    <x:row r="2883" ht="22" customHeight="1">
      <x:c r="A2883" s="3"/>
      <x:c r="B2883" s="3" t="str">
        <x:v>12802</x:v>
      </x:c>
      <x:c r="C2883" s="3" t="n">
        <x:v>1</x:v>
      </x:c>
      <x:c r="D2883" s="51" t="n">
        <x:v>40700</x:v>
      </x:c>
      <x:c r="E2883" s="3" t="str">
        <x:v>Una compra</x:v>
      </x:c>
      <x:c r="F2883" s="13" t="n">
        <x:v>397.58</x:v>
      </x:c>
      <x:c r="G2883" s="13" t="n">
        <x:v>15</x:v>
      </x:c>
      <x:c r="H2883" s="13" t="n">
        <x:f>F2883-G2883</x:f>
        <x:v>382.58</x:v>
      </x:c>
      <x:c r="I2883" s="13" t="n">
        <x:f>IF(C2883=0,"n.a.",F2883/C2883)</x:f>
        <x:v>397.58</x:v>
      </x:c>
      <x:c r="J2883" s="3"/>
      <x:c r="K2883" s="3"/>
      <x:c r="L2883" s="3"/>
    </x:row>
    <x:row r="2884" ht="22" customHeight="1">
      <x:c r="A2884" s="3"/>
      <x:c r="B2884" s="3" t="str">
        <x:v>13657</x:v>
      </x:c>
      <x:c r="C2884" s="3" t="n">
        <x:v>2</x:v>
      </x:c>
      <x:c r="D2884" s="51" t="n">
        <x:v>40876</x:v>
      </x:c>
      <x:c r="E2884" s="3" t="str">
        <x:v>Recurrente</x:v>
      </x:c>
      <x:c r="F2884" s="13" t="n">
        <x:v>382.14</x:v>
      </x:c>
      <x:c r="G2884" s="13" t="n">
        <x:v>0</x:v>
      </x:c>
      <x:c r="H2884" s="13" t="n">
        <x:f>F2884-G2884</x:f>
        <x:v>382.14</x:v>
      </x:c>
      <x:c r="I2884" s="13" t="n">
        <x:f>IF(C2884=0,"n.a.",F2884/C2884)</x:f>
        <x:v>191.07</x:v>
      </x:c>
      <x:c r="J2884" s="3"/>
      <x:c r="K2884" s="3"/>
      <x:c r="L2884" s="3"/>
    </x:row>
    <x:row r="2885" ht="22" customHeight="1">
      <x:c r="A2885" s="3"/>
      <x:c r="B2885" s="3" t="str">
        <x:v>12593</x:v>
      </x:c>
      <x:c r="C2885" s="3" t="n">
        <x:v>3</x:v>
      </x:c>
      <x:c r="D2885" s="51" t="n">
        <x:v>40778</x:v>
      </x:c>
      <x:c r="E2885" s="3" t="str">
        <x:v>Recurrente</x:v>
      </x:c>
      <x:c r="F2885" s="13" t="n">
        <x:v>382.1</x:v>
      </x:c>
      <x:c r="G2885" s="13" t="n">
        <x:v>0</x:v>
      </x:c>
      <x:c r="H2885" s="13" t="n">
        <x:f>F2885-G2885</x:f>
        <x:v>382.1</x:v>
      </x:c>
      <x:c r="I2885" s="13" t="n">
        <x:f>IF(C2885=0,"n.a.",F2885/C2885)</x:f>
        <x:v>127.36666666666667</x:v>
      </x:c>
      <x:c r="J2885" s="3"/>
      <x:c r="K2885" s="3"/>
      <x:c r="L2885" s="3"/>
    </x:row>
    <x:row r="2886" ht="22" customHeight="1">
      <x:c r="A2886" s="3"/>
      <x:c r="B2886" s="3" t="str">
        <x:v>17999</x:v>
      </x:c>
      <x:c r="C2886" s="3" t="n">
        <x:v>2</x:v>
      </x:c>
      <x:c r="D2886" s="51" t="n">
        <x:v>40849</x:v>
      </x:c>
      <x:c r="E2886" s="3" t="str">
        <x:v>Recurrente</x:v>
      </x:c>
      <x:c r="F2886" s="13" t="n">
        <x:v>382.06</x:v>
      </x:c>
      <x:c r="G2886" s="13" t="n">
        <x:v>0</x:v>
      </x:c>
      <x:c r="H2886" s="13" t="n">
        <x:f>F2886-G2886</x:f>
        <x:v>382.06</x:v>
      </x:c>
      <x:c r="I2886" s="13" t="n">
        <x:f>IF(C2886=0,"n.a.",F2886/C2886)</x:f>
        <x:v>191.03</x:v>
      </x:c>
      <x:c r="J2886" s="3"/>
      <x:c r="K2886" s="3"/>
      <x:c r="L2886" s="3"/>
    </x:row>
    <x:row r="2887" ht="22" customHeight="1">
      <x:c r="A2887" s="3"/>
      <x:c r="B2887" s="3" t="str">
        <x:v>13338</x:v>
      </x:c>
      <x:c r="C2887" s="3" t="n">
        <x:v>1</x:v>
      </x:c>
      <x:c r="D2887" s="51" t="n">
        <x:v>40729</x:v>
      </x:c>
      <x:c r="E2887" s="3" t="str">
        <x:v>Una compra</x:v>
      </x:c>
      <x:c r="F2887" s="13" t="n">
        <x:v>437.02</x:v>
      </x:c>
      <x:c r="G2887" s="13" t="n">
        <x:v>55.2</x:v>
      </x:c>
      <x:c r="H2887" s="13" t="n">
        <x:f>F2887-G2887</x:f>
        <x:v>381.82</x:v>
      </x:c>
      <x:c r="I2887" s="13" t="n">
        <x:f>IF(C2887=0,"n.a.",F2887/C2887)</x:f>
        <x:v>437.02</x:v>
      </x:c>
      <x:c r="J2887" s="3"/>
      <x:c r="K2887" s="3"/>
      <x:c r="L2887" s="3"/>
    </x:row>
    <x:row r="2888" ht="22" customHeight="1">
      <x:c r="A2888" s="3"/>
      <x:c r="B2888" s="3" t="str">
        <x:v>13873</x:v>
      </x:c>
      <x:c r="C2888" s="3" t="n">
        <x:v>3</x:v>
      </x:c>
      <x:c r="D2888" s="51" t="n">
        <x:v>40767</x:v>
      </x:c>
      <x:c r="E2888" s="3" t="str">
        <x:v>Recurrente</x:v>
      </x:c>
      <x:c r="F2888" s="13" t="n">
        <x:v>389.6</x:v>
      </x:c>
      <x:c r="G2888" s="13" t="n">
        <x:v>7.9</x:v>
      </x:c>
      <x:c r="H2888" s="13" t="n">
        <x:f>F2888-G2888</x:f>
        <x:v>381.70000000000005</x:v>
      </x:c>
      <x:c r="I2888" s="13" t="n">
        <x:f>IF(C2888=0,"n.a.",F2888/C2888)</x:f>
        <x:v>129.86666666666667</x:v>
      </x:c>
      <x:c r="J2888" s="3"/>
      <x:c r="K2888" s="3"/>
      <x:c r="L2888" s="3"/>
    </x:row>
    <x:row r="2889" ht="22" customHeight="1">
      <x:c r="A2889" s="3"/>
      <x:c r="B2889" s="3" t="str">
        <x:v>15090</x:v>
      </x:c>
      <x:c r="C2889" s="3" t="n">
        <x:v>1</x:v>
      </x:c>
      <x:c r="D2889" s="51" t="n">
        <x:v>40578</x:v>
      </x:c>
      <x:c r="E2889" s="3" t="str">
        <x:v>Una compra</x:v>
      </x:c>
      <x:c r="F2889" s="13" t="n">
        <x:v>381.32</x:v>
      </x:c>
      <x:c r="G2889" s="13" t="n">
        <x:v>0</x:v>
      </x:c>
      <x:c r="H2889" s="13" t="n">
        <x:f>F2889-G2889</x:f>
        <x:v>381.32</x:v>
      </x:c>
      <x:c r="I2889" s="13" t="n">
        <x:f>IF(C2889=0,"n.a.",F2889/C2889)</x:f>
        <x:v>381.32</x:v>
      </x:c>
      <x:c r="J2889" s="3"/>
      <x:c r="K2889" s="3"/>
      <x:c r="L2889" s="3"/>
    </x:row>
    <x:row r="2890" ht="22" customHeight="1">
      <x:c r="A2890" s="3"/>
      <x:c r="B2890" s="3" t="str">
        <x:v>13359</x:v>
      </x:c>
      <x:c r="C2890" s="3" t="n">
        <x:v>1</x:v>
      </x:c>
      <x:c r="D2890" s="51" t="n">
        <x:v>40823</x:v>
      </x:c>
      <x:c r="E2890" s="3" t="str">
        <x:v>Una compra</x:v>
      </x:c>
      <x:c r="F2890" s="13" t="n">
        <x:v>389.56</x:v>
      </x:c>
      <x:c r="G2890" s="13" t="n">
        <x:v>8.3</x:v>
      </x:c>
      <x:c r="H2890" s="13" t="n">
        <x:f>F2890-G2890</x:f>
        <x:v>381.26</x:v>
      </x:c>
      <x:c r="I2890" s="13" t="n">
        <x:f>IF(C2890=0,"n.a.",F2890/C2890)</x:f>
        <x:v>389.56</x:v>
      </x:c>
      <x:c r="J2890" s="3"/>
      <x:c r="K2890" s="3"/>
      <x:c r="L2890" s="3"/>
    </x:row>
    <x:row r="2891" ht="22" customHeight="1">
      <x:c r="A2891" s="3"/>
      <x:c r="B2891" s="3" t="str">
        <x:v>16441</x:v>
      </x:c>
      <x:c r="C2891" s="3" t="n">
        <x:v>2</x:v>
      </x:c>
      <x:c r="D2891" s="51" t="n">
        <x:v>40819</x:v>
      </x:c>
      <x:c r="E2891" s="3" t="str">
        <x:v>Recurrente</x:v>
      </x:c>
      <x:c r="F2891" s="13" t="n">
        <x:v>381.2</x:v>
      </x:c>
      <x:c r="G2891" s="13" t="n">
        <x:v>0</x:v>
      </x:c>
      <x:c r="H2891" s="13" t="n">
        <x:f>F2891-G2891</x:f>
        <x:v>381.2</x:v>
      </x:c>
      <x:c r="I2891" s="13" t="n">
        <x:f>IF(C2891=0,"n.a.",F2891/C2891)</x:f>
        <x:v>190.6</x:v>
      </x:c>
      <x:c r="J2891" s="3"/>
      <x:c r="K2891" s="3"/>
      <x:c r="L2891" s="3"/>
    </x:row>
    <x:row r="2892" ht="22" customHeight="1">
      <x:c r="A2892" s="3"/>
      <x:c r="B2892" s="3" t="str">
        <x:v>12871</x:v>
      </x:c>
      <x:c r="C2892" s="3" t="n">
        <x:v>2</x:v>
      </x:c>
      <x:c r="D2892" s="51" t="n">
        <x:v>40802</x:v>
      </x:c>
      <x:c r="E2892" s="3" t="str">
        <x:v>Recurrente</x:v>
      </x:c>
      <x:c r="F2892" s="13" t="n">
        <x:v>380.64</x:v>
      </x:c>
      <x:c r="G2892" s="13" t="n">
        <x:v>0</x:v>
      </x:c>
      <x:c r="H2892" s="13" t="n">
        <x:f>F2892-G2892</x:f>
        <x:v>380.64</x:v>
      </x:c>
      <x:c r="I2892" s="13" t="n">
        <x:f>IF(C2892=0,"n.a.",F2892/C2892)</x:f>
        <x:v>190.32</x:v>
      </x:c>
      <x:c r="J2892" s="3"/>
      <x:c r="K2892" s="3"/>
      <x:c r="L2892" s="3"/>
    </x:row>
    <x:row r="2893" ht="22" customHeight="1">
      <x:c r="A2893" s="3"/>
      <x:c r="B2893" s="3" t="str">
        <x:v>15048</x:v>
      </x:c>
      <x:c r="C2893" s="3" t="n">
        <x:v>4</x:v>
      </x:c>
      <x:c r="D2893" s="51" t="n">
        <x:v>40821</x:v>
      </x:c>
      <x:c r="E2893" s="3" t="str">
        <x:v>Recurrente</x:v>
      </x:c>
      <x:c r="F2893" s="13" t="n">
        <x:v>384.05</x:v>
      </x:c>
      <x:c r="G2893" s="13" t="n">
        <x:v>3.48</x:v>
      </x:c>
      <x:c r="H2893" s="13" t="n">
        <x:f>F2893-G2893</x:f>
        <x:v>380.57</x:v>
      </x:c>
      <x:c r="I2893" s="13" t="n">
        <x:f>IF(C2893=0,"n.a.",F2893/C2893)</x:f>
        <x:v>96.0125</x:v>
      </x:c>
      <x:c r="J2893" s="3"/>
      <x:c r="K2893" s="3"/>
      <x:c r="L2893" s="3"/>
    </x:row>
    <x:row r="2894" ht="22" customHeight="1">
      <x:c r="A2894" s="3"/>
      <x:c r="B2894" s="3" t="str">
        <x:v>16930</x:v>
      </x:c>
      <x:c r="C2894" s="3" t="n">
        <x:v>3</x:v>
      </x:c>
      <x:c r="D2894" s="51" t="n">
        <x:v>40860</x:v>
      </x:c>
      <x:c r="E2894" s="3" t="str">
        <x:v>Recurrente</x:v>
      </x:c>
      <x:c r="F2894" s="13" t="n">
        <x:v>380.55</x:v>
      </x:c>
      <x:c r="G2894" s="13" t="n">
        <x:v>0</x:v>
      </x:c>
      <x:c r="H2894" s="13" t="n">
        <x:f>F2894-G2894</x:f>
        <x:v>380.55</x:v>
      </x:c>
      <x:c r="I2894" s="13" t="n">
        <x:f>IF(C2894=0,"n.a.",F2894/C2894)</x:f>
        <x:v>126.85000000000001</x:v>
      </x:c>
      <x:c r="J2894" s="3"/>
      <x:c r="K2894" s="3"/>
      <x:c r="L2894" s="3"/>
    </x:row>
    <x:row r="2895" ht="22" customHeight="1">
      <x:c r="A2895" s="3"/>
      <x:c r="B2895" s="3" t="str">
        <x:v>17138</x:v>
      </x:c>
      <x:c r="C2895" s="3" t="n">
        <x:v>1</x:v>
      </x:c>
      <x:c r="D2895" s="51" t="n">
        <x:v>40611</x:v>
      </x:c>
      <x:c r="E2895" s="3" t="str">
        <x:v>Una compra</x:v>
      </x:c>
      <x:c r="F2895" s="13" t="n">
        <x:v>380.5</x:v>
      </x:c>
      <x:c r="G2895" s="13" t="n">
        <x:v>0</x:v>
      </x:c>
      <x:c r="H2895" s="13" t="n">
        <x:f>F2895-G2895</x:f>
        <x:v>380.5</x:v>
      </x:c>
      <x:c r="I2895" s="13" t="n">
        <x:f>IF(C2895=0,"n.a.",F2895/C2895)</x:f>
        <x:v>380.5</x:v>
      </x:c>
      <x:c r="J2895" s="3"/>
      <x:c r="K2895" s="3"/>
      <x:c r="L2895" s="3"/>
    </x:row>
    <x:row r="2896" ht="22" customHeight="1">
      <x:c r="A2896" s="3"/>
      <x:c r="B2896" s="3" t="str">
        <x:v>12890</x:v>
      </x:c>
      <x:c r="C2896" s="3" t="n">
        <x:v>1</x:v>
      </x:c>
      <x:c r="D2896" s="51" t="n">
        <x:v>40862</x:v>
      </x:c>
      <x:c r="E2896" s="3" t="str">
        <x:v>Una compra</x:v>
      </x:c>
      <x:c r="F2896" s="13" t="n">
        <x:v>380.47</x:v>
      </x:c>
      <x:c r="G2896" s="13" t="n">
        <x:v>0</x:v>
      </x:c>
      <x:c r="H2896" s="13" t="n">
        <x:f>F2896-G2896</x:f>
        <x:v>380.47</x:v>
      </x:c>
      <x:c r="I2896" s="13" t="n">
        <x:f>IF(C2896=0,"n.a.",F2896/C2896)</x:f>
        <x:v>380.47</x:v>
      </x:c>
      <x:c r="J2896" s="3"/>
      <x:c r="K2896" s="3"/>
      <x:c r="L2896" s="3"/>
    </x:row>
    <x:row r="2897" ht="22" customHeight="1">
      <x:c r="A2897" s="3"/>
      <x:c r="B2897" s="3" t="str">
        <x:v>16769</x:v>
      </x:c>
      <x:c r="C2897" s="3" t="n">
        <x:v>1</x:v>
      </x:c>
      <x:c r="D2897" s="51" t="n">
        <x:v>40626</x:v>
      </x:c>
      <x:c r="E2897" s="3" t="str">
        <x:v>Una compra</x:v>
      </x:c>
      <x:c r="F2897" s="13" t="n">
        <x:v>380.39</x:v>
      </x:c>
      <x:c r="G2897" s="13" t="n">
        <x:v>0</x:v>
      </x:c>
      <x:c r="H2897" s="13" t="n">
        <x:f>F2897-G2897</x:f>
        <x:v>380.39</x:v>
      </x:c>
      <x:c r="I2897" s="13" t="n">
        <x:f>IF(C2897=0,"n.a.",F2897/C2897)</x:f>
        <x:v>380.39</x:v>
      </x:c>
      <x:c r="J2897" s="3"/>
      <x:c r="K2897" s="3"/>
      <x:c r="L2897" s="3"/>
    </x:row>
    <x:row r="2898" ht="22" customHeight="1">
      <x:c r="A2898" s="3"/>
      <x:c r="B2898" s="3" t="str">
        <x:v>17031</x:v>
      </x:c>
      <x:c r="C2898" s="3" t="n">
        <x:v>2</x:v>
      </x:c>
      <x:c r="D2898" s="51" t="n">
        <x:v>40875</x:v>
      </x:c>
      <x:c r="E2898" s="3" t="str">
        <x:v>Recurrente</x:v>
      </x:c>
      <x:c r="F2898" s="13" t="n">
        <x:v>380.35</x:v>
      </x:c>
      <x:c r="G2898" s="13" t="n">
        <x:v>0</x:v>
      </x:c>
      <x:c r="H2898" s="13" t="n">
        <x:f>F2898-G2898</x:f>
        <x:v>380.35</x:v>
      </x:c>
      <x:c r="I2898" s="13" t="n">
        <x:f>IF(C2898=0,"n.a.",F2898/C2898)</x:f>
        <x:v>190.175</x:v>
      </x:c>
      <x:c r="J2898" s="3"/>
      <x:c r="K2898" s="3"/>
      <x:c r="L2898" s="3"/>
    </x:row>
    <x:row r="2899" ht="22" customHeight="1">
      <x:c r="A2899" s="3"/>
      <x:c r="B2899" s="3" t="str">
        <x:v>14731</x:v>
      </x:c>
      <x:c r="C2899" s="3" t="n">
        <x:v>3</x:v>
      </x:c>
      <x:c r="D2899" s="51" t="n">
        <x:v>40839</x:v>
      </x:c>
      <x:c r="E2899" s="3" t="str">
        <x:v>Recurrente</x:v>
      </x:c>
      <x:c r="F2899" s="13" t="n">
        <x:v>380.02</x:v>
      </x:c>
      <x:c r="G2899" s="13" t="n">
        <x:v>0</x:v>
      </x:c>
      <x:c r="H2899" s="13" t="n">
        <x:f>F2899-G2899</x:f>
        <x:v>380.02</x:v>
      </x:c>
      <x:c r="I2899" s="13" t="n">
        <x:f>IF(C2899=0,"n.a.",F2899/C2899)</x:f>
        <x:v>126.67333333333333</x:v>
      </x:c>
      <x:c r="J2899" s="3"/>
      <x:c r="K2899" s="3"/>
      <x:c r="L2899" s="3"/>
    </x:row>
    <x:row r="2900" ht="22" customHeight="1">
      <x:c r="A2900" s="3"/>
      <x:c r="B2900" s="3" t="str">
        <x:v>17239</x:v>
      </x:c>
      <x:c r="C2900" s="3" t="n">
        <x:v>1</x:v>
      </x:c>
      <x:c r="D2900" s="51" t="n">
        <x:v>40574</x:v>
      </x:c>
      <x:c r="E2900" s="3" t="str">
        <x:v>Una compra</x:v>
      </x:c>
      <x:c r="F2900" s="13" t="n">
        <x:v>382.5</x:v>
      </x:c>
      <x:c r="G2900" s="13" t="n">
        <x:v>2.55</x:v>
      </x:c>
      <x:c r="H2900" s="13" t="n">
        <x:f>F2900-G2900</x:f>
        <x:v>379.95</x:v>
      </x:c>
      <x:c r="I2900" s="13" t="n">
        <x:f>IF(C2900=0,"n.a.",F2900/C2900)</x:f>
        <x:v>382.5</x:v>
      </x:c>
      <x:c r="J2900" s="3"/>
      <x:c r="K2900" s="3"/>
      <x:c r="L2900" s="3"/>
    </x:row>
    <x:row r="2901" ht="22" customHeight="1">
      <x:c r="A2901" s="3"/>
      <x:c r="B2901" s="3" t="str">
        <x:v>14594</x:v>
      </x:c>
      <x:c r="C2901" s="3" t="n">
        <x:v>2</x:v>
      </x:c>
      <x:c r="D2901" s="51" t="n">
        <x:v>40879</x:v>
      </x:c>
      <x:c r="E2901" s="3" t="str">
        <x:v>Recurrente</x:v>
      </x:c>
      <x:c r="F2901" s="13" t="n">
        <x:v>379.83</x:v>
      </x:c>
      <x:c r="G2901" s="13" t="n">
        <x:v>0</x:v>
      </x:c>
      <x:c r="H2901" s="13" t="n">
        <x:f>F2901-G2901</x:f>
        <x:v>379.83</x:v>
      </x:c>
      <x:c r="I2901" s="13" t="n">
        <x:f>IF(C2901=0,"n.a.",F2901/C2901)</x:f>
        <x:v>189.915</x:v>
      </x:c>
      <x:c r="J2901" s="3"/>
      <x:c r="K2901" s="3"/>
      <x:c r="L2901" s="3"/>
    </x:row>
    <x:row r="2902" ht="22" customHeight="1">
      <x:c r="A2902" s="3"/>
      <x:c r="B2902" s="3" t="str">
        <x:v>16552</x:v>
      </x:c>
      <x:c r="C2902" s="3" t="n">
        <x:v>2</x:v>
      </x:c>
      <x:c r="D2902" s="51" t="n">
        <x:v>40644</x:v>
      </x:c>
      <x:c r="E2902" s="3" t="str">
        <x:v>Recurrente</x:v>
      </x:c>
      <x:c r="F2902" s="13" t="n">
        <x:v>379.73</x:v>
      </x:c>
      <x:c r="G2902" s="13" t="n">
        <x:v>0</x:v>
      </x:c>
      <x:c r="H2902" s="13" t="n">
        <x:f>F2902-G2902</x:f>
        <x:v>379.73</x:v>
      </x:c>
      <x:c r="I2902" s="13" t="n">
        <x:f>IF(C2902=0,"n.a.",F2902/C2902)</x:f>
        <x:v>189.865</x:v>
      </x:c>
      <x:c r="J2902" s="3"/>
      <x:c r="K2902" s="3"/>
      <x:c r="L2902" s="3"/>
    </x:row>
    <x:row r="2903" ht="22" customHeight="1">
      <x:c r="A2903" s="3"/>
      <x:c r="B2903" s="3" t="str">
        <x:v>12580</x:v>
      </x:c>
      <x:c r="C2903" s="3" t="n">
        <x:v>1</x:v>
      </x:c>
      <x:c r="D2903" s="51" t="n">
        <x:v>40640</x:v>
      </x:c>
      <x:c r="E2903" s="3" t="str">
        <x:v>Una compra</x:v>
      </x:c>
      <x:c r="F2903" s="13" t="n">
        <x:v>379.7</x:v>
      </x:c>
      <x:c r="G2903" s="13" t="n">
        <x:v>0</x:v>
      </x:c>
      <x:c r="H2903" s="13" t="n">
        <x:f>F2903-G2903</x:f>
        <x:v>379.7</x:v>
      </x:c>
      <x:c r="I2903" s="13" t="n">
        <x:f>IF(C2903=0,"n.a.",F2903/C2903)</x:f>
        <x:v>379.7</x:v>
      </x:c>
      <x:c r="J2903" s="3"/>
      <x:c r="K2903" s="3"/>
      <x:c r="L2903" s="3"/>
    </x:row>
    <x:row r="2904" ht="22" customHeight="1">
      <x:c r="A2904" s="3"/>
      <x:c r="B2904" s="3" t="str">
        <x:v>13589</x:v>
      </x:c>
      <x:c r="C2904" s="3" t="n">
        <x:v>2</x:v>
      </x:c>
      <x:c r="D2904" s="51" t="n">
        <x:v>40872</x:v>
      </x:c>
      <x:c r="E2904" s="3" t="str">
        <x:v>Recurrente</x:v>
      </x:c>
      <x:c r="F2904" s="13" t="n">
        <x:v>379.65</x:v>
      </x:c>
      <x:c r="G2904" s="13" t="n">
        <x:v>0</x:v>
      </x:c>
      <x:c r="H2904" s="13" t="n">
        <x:f>F2904-G2904</x:f>
        <x:v>379.65</x:v>
      </x:c>
      <x:c r="I2904" s="13" t="n">
        <x:f>IF(C2904=0,"n.a.",F2904/C2904)</x:f>
        <x:v>189.825</x:v>
      </x:c>
      <x:c r="J2904" s="3"/>
      <x:c r="K2904" s="3"/>
      <x:c r="L2904" s="3"/>
    </x:row>
    <x:row r="2905" ht="22" customHeight="1">
      <x:c r="A2905" s="3"/>
      <x:c r="B2905" s="3" t="str">
        <x:v>13656</x:v>
      </x:c>
      <x:c r="C2905" s="3" t="n">
        <x:v>2</x:v>
      </x:c>
      <x:c r="D2905" s="51" t="n">
        <x:v>40722</x:v>
      </x:c>
      <x:c r="E2905" s="3" t="str">
        <x:v>Recurrente</x:v>
      </x:c>
      <x:c r="F2905" s="13" t="n">
        <x:v>379.65</x:v>
      </x:c>
      <x:c r="G2905" s="13" t="n">
        <x:v>0</x:v>
      </x:c>
      <x:c r="H2905" s="13" t="n">
        <x:f>F2905-G2905</x:f>
        <x:v>379.65</x:v>
      </x:c>
      <x:c r="I2905" s="13" t="n">
        <x:f>IF(C2905=0,"n.a.",F2905/C2905)</x:f>
        <x:v>189.825</x:v>
      </x:c>
      <x:c r="J2905" s="3"/>
      <x:c r="K2905" s="3"/>
      <x:c r="L2905" s="3"/>
    </x:row>
    <x:row r="2906" ht="22" customHeight="1">
      <x:c r="A2906" s="3"/>
      <x:c r="B2906" s="3" t="str">
        <x:v>14619</x:v>
      </x:c>
      <x:c r="C2906" s="3" t="n">
        <x:v>1</x:v>
      </x:c>
      <x:c r="D2906" s="51" t="n">
        <x:v>40641</x:v>
      </x:c>
      <x:c r="E2906" s="3" t="str">
        <x:v>Una compra</x:v>
      </x:c>
      <x:c r="F2906" s="13" t="n">
        <x:v>394.44</x:v>
      </x:c>
      <x:c r="G2906" s="13" t="n">
        <x:v>14.93</x:v>
      </x:c>
      <x:c r="H2906" s="13" t="n">
        <x:f>F2906-G2906</x:f>
        <x:v>379.51</x:v>
      </x:c>
      <x:c r="I2906" s="13" t="n">
        <x:f>IF(C2906=0,"n.a.",F2906/C2906)</x:f>
        <x:v>394.44</x:v>
      </x:c>
      <x:c r="J2906" s="3"/>
      <x:c r="K2906" s="3"/>
      <x:c r="L2906" s="3"/>
    </x:row>
    <x:row r="2907" ht="22" customHeight="1">
      <x:c r="A2907" s="3"/>
      <x:c r="B2907" s="3" t="str">
        <x:v>17878</x:v>
      </x:c>
      <x:c r="C2907" s="3" t="n">
        <x:v>1</x:v>
      </x:c>
      <x:c r="D2907" s="51" t="n">
        <x:v>40843</x:v>
      </x:c>
      <x:c r="E2907" s="3" t="str">
        <x:v>Una compra</x:v>
      </x:c>
      <x:c r="F2907" s="13" t="n">
        <x:v>379.45</x:v>
      </x:c>
      <x:c r="G2907" s="13" t="n">
        <x:v>0</x:v>
      </x:c>
      <x:c r="H2907" s="13" t="n">
        <x:f>F2907-G2907</x:f>
        <x:v>379.45</x:v>
      </x:c>
      <x:c r="I2907" s="13" t="n">
        <x:f>IF(C2907=0,"n.a.",F2907/C2907)</x:f>
        <x:v>379.45</x:v>
      </x:c>
      <x:c r="J2907" s="3"/>
      <x:c r="K2907" s="3"/>
      <x:c r="L2907" s="3"/>
    </x:row>
    <x:row r="2908" ht="22" customHeight="1">
      <x:c r="A2908" s="3"/>
      <x:c r="B2908" s="3" t="str">
        <x:v>16484</x:v>
      </x:c>
      <x:c r="C2908" s="3" t="n">
        <x:v>2</x:v>
      </x:c>
      <x:c r="D2908" s="51" t="n">
        <x:v>40713</x:v>
      </x:c>
      <x:c r="E2908" s="3" t="str">
        <x:v>Recurrente</x:v>
      </x:c>
      <x:c r="F2908" s="13" t="n">
        <x:v>404.3</x:v>
      </x:c>
      <x:c r="G2908" s="13" t="n">
        <x:v>24.9</x:v>
      </x:c>
      <x:c r="H2908" s="13" t="n">
        <x:f>F2908-G2908</x:f>
        <x:v>379.40000000000003</x:v>
      </x:c>
      <x:c r="I2908" s="13" t="n">
        <x:f>IF(C2908=0,"n.a.",F2908/C2908)</x:f>
        <x:v>202.15</x:v>
      </x:c>
      <x:c r="J2908" s="3"/>
      <x:c r="K2908" s="3"/>
      <x:c r="L2908" s="3"/>
    </x:row>
    <x:row r="2909" ht="22" customHeight="1">
      <x:c r="A2909" s="3"/>
      <x:c r="B2909" s="3" t="str">
        <x:v>13954</x:v>
      </x:c>
      <x:c r="C2909" s="3" t="n">
        <x:v>2</x:v>
      </x:c>
      <x:c r="D2909" s="51" t="n">
        <x:v>40885</x:v>
      </x:c>
      <x:c r="E2909" s="3" t="str">
        <x:v>Recurrente</x:v>
      </x:c>
      <x:c r="F2909" s="13" t="n">
        <x:v>439.92</x:v>
      </x:c>
      <x:c r="G2909" s="13" t="n">
        <x:v>61.33</x:v>
      </x:c>
      <x:c r="H2909" s="13" t="n">
        <x:f>F2909-G2909</x:f>
        <x:v>378.59000000000003</x:v>
      </x:c>
      <x:c r="I2909" s="13" t="n">
        <x:f>IF(C2909=0,"n.a.",F2909/C2909)</x:f>
        <x:v>219.96</x:v>
      </x:c>
      <x:c r="J2909" s="3"/>
      <x:c r="K2909" s="3"/>
      <x:c r="L2909" s="3"/>
    </x:row>
    <x:row r="2910" ht="22" customHeight="1">
      <x:c r="A2910" s="3"/>
      <x:c r="B2910" s="3" t="str">
        <x:v>17438</x:v>
      </x:c>
      <x:c r="C2910" s="3" t="n">
        <x:v>1</x:v>
      </x:c>
      <x:c r="D2910" s="51" t="n">
        <x:v>40633</x:v>
      </x:c>
      <x:c r="E2910" s="3" t="str">
        <x:v>Una compra</x:v>
      </x:c>
      <x:c r="F2910" s="13" t="n">
        <x:v>388.45</x:v>
      </x:c>
      <x:c r="G2910" s="13" t="n">
        <x:v>10.15</x:v>
      </x:c>
      <x:c r="H2910" s="13" t="n">
        <x:f>F2910-G2910</x:f>
        <x:v>378.3</x:v>
      </x:c>
      <x:c r="I2910" s="13" t="n">
        <x:f>IF(C2910=0,"n.a.",F2910/C2910)</x:f>
        <x:v>388.45</x:v>
      </x:c>
      <x:c r="J2910" s="3"/>
      <x:c r="K2910" s="3"/>
      <x:c r="L2910" s="3"/>
    </x:row>
    <x:row r="2911" ht="22" customHeight="1">
      <x:c r="A2911" s="3"/>
      <x:c r="B2911" s="3" t="str">
        <x:v>12982</x:v>
      </x:c>
      <x:c r="C2911" s="3" t="n">
        <x:v>1</x:v>
      </x:c>
      <x:c r="D2911" s="51" t="n">
        <x:v>40644</x:v>
      </x:c>
      <x:c r="E2911" s="3" t="str">
        <x:v>Una compra</x:v>
      </x:c>
      <x:c r="F2911" s="13" t="n">
        <x:v>390.54</x:v>
      </x:c>
      <x:c r="G2911" s="13" t="n">
        <x:v>13.34</x:v>
      </x:c>
      <x:c r="H2911" s="13" t="n">
        <x:f>F2911-G2911</x:f>
        <x:v>377.20000000000005</x:v>
      </x:c>
      <x:c r="I2911" s="13" t="n">
        <x:f>IF(C2911=0,"n.a.",F2911/C2911)</x:f>
        <x:v>390.54</x:v>
      </x:c>
      <x:c r="J2911" s="3"/>
      <x:c r="K2911" s="3"/>
      <x:c r="L2911" s="3"/>
    </x:row>
    <x:row r="2912" ht="22" customHeight="1">
      <x:c r="A2912" s="3"/>
      <x:c r="B2912" s="3" t="str">
        <x:v>15025</x:v>
      </x:c>
      <x:c r="C2912" s="3" t="n">
        <x:v>1</x:v>
      </x:c>
      <x:c r="D2912" s="51" t="n">
        <x:v>40853</x:v>
      </x:c>
      <x:c r="E2912" s="3" t="str">
        <x:v>Una compra</x:v>
      </x:c>
      <x:c r="F2912" s="13" t="n">
        <x:v>377.01</x:v>
      </x:c>
      <x:c r="G2912" s="13" t="n">
        <x:v>0</x:v>
      </x:c>
      <x:c r="H2912" s="13" t="n">
        <x:f>F2912-G2912</x:f>
        <x:v>377.01</x:v>
      </x:c>
      <x:c r="I2912" s="13" t="n">
        <x:f>IF(C2912=0,"n.a.",F2912/C2912)</x:f>
        <x:v>377.01</x:v>
      </x:c>
      <x:c r="J2912" s="3"/>
      <x:c r="K2912" s="3"/>
      <x:c r="L2912" s="3"/>
    </x:row>
    <x:row r="2913" ht="22" customHeight="1">
      <x:c r="A2913" s="3"/>
      <x:c r="B2913" s="3" t="str">
        <x:v>17489</x:v>
      </x:c>
      <x:c r="C2913" s="3" t="n">
        <x:v>2</x:v>
      </x:c>
      <x:c r="D2913" s="51" t="n">
        <x:v>40828</x:v>
      </x:c>
      <x:c r="E2913" s="3" t="str">
        <x:v>Recurrente</x:v>
      </x:c>
      <x:c r="F2913" s="13" t="n">
        <x:v>376.64</x:v>
      </x:c>
      <x:c r="G2913" s="13" t="n">
        <x:v>0</x:v>
      </x:c>
      <x:c r="H2913" s="13" t="n">
        <x:f>F2913-G2913</x:f>
        <x:v>376.64</x:v>
      </x:c>
      <x:c r="I2913" s="13" t="n">
        <x:f>IF(C2913=0,"n.a.",F2913/C2913)</x:f>
        <x:v>188.32</x:v>
      </x:c>
      <x:c r="J2913" s="3"/>
      <x:c r="K2913" s="3"/>
      <x:c r="L2913" s="3"/>
    </x:row>
    <x:row r="2914" ht="22" customHeight="1">
      <x:c r="A2914" s="3"/>
      <x:c r="B2914" s="3" t="str">
        <x:v>17078</x:v>
      </x:c>
      <x:c r="C2914" s="3" t="n">
        <x:v>2</x:v>
      </x:c>
      <x:c r="D2914" s="51" t="n">
        <x:v>40850</x:v>
      </x:c>
      <x:c r="E2914" s="3" t="str">
        <x:v>Recurrente</x:v>
      </x:c>
      <x:c r="F2914" s="13" t="n">
        <x:v>375.86</x:v>
      </x:c>
      <x:c r="G2914" s="13" t="n">
        <x:v>0</x:v>
      </x:c>
      <x:c r="H2914" s="13" t="n">
        <x:f>F2914-G2914</x:f>
        <x:v>375.86</x:v>
      </x:c>
      <x:c r="I2914" s="13" t="n">
        <x:f>IF(C2914=0,"n.a.",F2914/C2914)</x:f>
        <x:v>187.93</x:v>
      </x:c>
      <x:c r="J2914" s="3"/>
      <x:c r="K2914" s="3"/>
      <x:c r="L2914" s="3"/>
    </x:row>
    <x:row r="2915" ht="22" customHeight="1">
      <x:c r="A2915" s="3"/>
      <x:c r="B2915" s="3" t="str">
        <x:v>12375</x:v>
      </x:c>
      <x:c r="C2915" s="3" t="n">
        <x:v>2</x:v>
      </x:c>
      <x:c r="D2915" s="51" t="n">
        <x:v>40876</x:v>
      </x:c>
      <x:c r="E2915" s="3" t="str">
        <x:v>Recurrente</x:v>
      </x:c>
      <x:c r="F2915" s="13" t="n">
        <x:v>377.5</x:v>
      </x:c>
      <x:c r="G2915" s="13" t="n">
        <x:v>2.08</x:v>
      </x:c>
      <x:c r="H2915" s="13" t="n">
        <x:f>F2915-G2915</x:f>
        <x:v>375.42</x:v>
      </x:c>
      <x:c r="I2915" s="13" t="n">
        <x:f>IF(C2915=0,"n.a.",F2915/C2915)</x:f>
        <x:v>188.75</x:v>
      </x:c>
      <x:c r="J2915" s="3"/>
      <x:c r="K2915" s="3"/>
      <x:c r="L2915" s="3"/>
    </x:row>
    <x:row r="2916" ht="22" customHeight="1">
      <x:c r="A2916" s="3"/>
      <x:c r="B2916" s="3" t="str">
        <x:v>14448</x:v>
      </x:c>
      <x:c r="C2916" s="3" t="n">
        <x:v>2</x:v>
      </x:c>
      <x:c r="D2916" s="51" t="n">
        <x:v>40877</x:v>
      </x:c>
      <x:c r="E2916" s="3" t="str">
        <x:v>Recurrente</x:v>
      </x:c>
      <x:c r="F2916" s="13" t="n">
        <x:v>375.35</x:v>
      </x:c>
      <x:c r="G2916" s="13" t="n">
        <x:v>0</x:v>
      </x:c>
      <x:c r="H2916" s="13" t="n">
        <x:f>F2916-G2916</x:f>
        <x:v>375.35</x:v>
      </x:c>
      <x:c r="I2916" s="13" t="n">
        <x:f>IF(C2916=0,"n.a.",F2916/C2916)</x:f>
        <x:v>187.675</x:v>
      </x:c>
      <x:c r="J2916" s="3"/>
      <x:c r="K2916" s="3"/>
      <x:c r="L2916" s="3"/>
    </x:row>
    <x:row r="2917" ht="22" customHeight="1">
      <x:c r="A2917" s="3"/>
      <x:c r="B2917" s="3" t="str">
        <x:v>14048</x:v>
      </x:c>
      <x:c r="C2917" s="3" t="n">
        <x:v>1</x:v>
      </x:c>
      <x:c r="D2917" s="51" t="n">
        <x:v>40581</x:v>
      </x:c>
      <x:c r="E2917" s="3" t="str">
        <x:v>Una compra</x:v>
      </x:c>
      <x:c r="F2917" s="13" t="n">
        <x:v>409.93</x:v>
      </x:c>
      <x:c r="G2917" s="13" t="n">
        <x:v>34.8</x:v>
      </x:c>
      <x:c r="H2917" s="13" t="n">
        <x:f>F2917-G2917</x:f>
        <x:v>375.13</x:v>
      </x:c>
      <x:c r="I2917" s="13" t="n">
        <x:f>IF(C2917=0,"n.a.",F2917/C2917)</x:f>
        <x:v>409.93</x:v>
      </x:c>
      <x:c r="J2917" s="3"/>
      <x:c r="K2917" s="3"/>
      <x:c r="L2917" s="3"/>
    </x:row>
    <x:row r="2918" ht="22" customHeight="1">
      <x:c r="A2918" s="3"/>
      <x:c r="B2918" s="3" t="str">
        <x:v>14079</x:v>
      </x:c>
      <x:c r="C2918" s="3" t="n">
        <x:v>1</x:v>
      </x:c>
      <x:c r="D2918" s="51" t="n">
        <x:v>40762</x:v>
      </x:c>
      <x:c r="E2918" s="3" t="str">
        <x:v>Una compra</x:v>
      </x:c>
      <x:c r="F2918" s="13" t="n">
        <x:v>375.1</x:v>
      </x:c>
      <x:c r="G2918" s="13" t="n">
        <x:v>0</x:v>
      </x:c>
      <x:c r="H2918" s="13" t="n">
        <x:f>F2918-G2918</x:f>
        <x:v>375.1</x:v>
      </x:c>
      <x:c r="I2918" s="13" t="n">
        <x:f>IF(C2918=0,"n.a.",F2918/C2918)</x:f>
        <x:v>375.1</x:v>
      </x:c>
      <x:c r="J2918" s="3"/>
      <x:c r="K2918" s="3"/>
      <x:c r="L2918" s="3"/>
    </x:row>
    <x:row r="2919" ht="22" customHeight="1">
      <x:c r="A2919" s="3"/>
      <x:c r="B2919" s="3" t="str">
        <x:v>16147</x:v>
      </x:c>
      <x:c r="C2919" s="3" t="n">
        <x:v>1</x:v>
      </x:c>
      <x:c r="D2919" s="51" t="n">
        <x:v>40753</x:v>
      </x:c>
      <x:c r="E2919" s="3" t="str">
        <x:v>Una compra</x:v>
      </x:c>
      <x:c r="F2919" s="13" t="n">
        <x:v>375</x:v>
      </x:c>
      <x:c r="G2919" s="13" t="n">
        <x:v>0</x:v>
      </x:c>
      <x:c r="H2919" s="13" t="n">
        <x:f>F2919-G2919</x:f>
        <x:v>375</x:v>
      </x:c>
      <x:c r="I2919" s="13" t="n">
        <x:f>IF(C2919=0,"n.a.",F2919/C2919)</x:f>
        <x:v>375</x:v>
      </x:c>
      <x:c r="J2919" s="3"/>
      <x:c r="K2919" s="3"/>
      <x:c r="L2919" s="3"/>
    </x:row>
    <x:row r="2920" ht="22" customHeight="1">
      <x:c r="A2920" s="3"/>
      <x:c r="B2920" s="3" t="str">
        <x:v>12579</x:v>
      </x:c>
      <x:c r="C2920" s="3" t="n">
        <x:v>1</x:v>
      </x:c>
      <x:c r="D2920" s="51" t="n">
        <x:v>40808</x:v>
      </x:c>
      <x:c r="E2920" s="3" t="str">
        <x:v>Una compra</x:v>
      </x:c>
      <x:c r="F2920" s="13" t="n">
        <x:v>386.42</x:v>
      </x:c>
      <x:c r="G2920" s="13" t="n">
        <x:v>11.7</x:v>
      </x:c>
      <x:c r="H2920" s="13" t="n">
        <x:f>F2920-G2920</x:f>
        <x:v>374.72</x:v>
      </x:c>
      <x:c r="I2920" s="13" t="n">
        <x:f>IF(C2920=0,"n.a.",F2920/C2920)</x:f>
        <x:v>386.42</x:v>
      </x:c>
      <x:c r="J2920" s="3"/>
      <x:c r="K2920" s="3"/>
      <x:c r="L2920" s="3"/>
    </x:row>
    <x:row r="2921" ht="22" customHeight="1">
      <x:c r="A2921" s="3"/>
      <x:c r="B2921" s="3" t="str">
        <x:v>14067</x:v>
      </x:c>
      <x:c r="C2921" s="3" t="n">
        <x:v>2</x:v>
      </x:c>
      <x:c r="D2921" s="51" t="n">
        <x:v>40823</x:v>
      </x:c>
      <x:c r="E2921" s="3" t="str">
        <x:v>Recurrente</x:v>
      </x:c>
      <x:c r="F2921" s="13" t="n">
        <x:v>374.7</x:v>
      </x:c>
      <x:c r="G2921" s="13" t="n">
        <x:v>0</x:v>
      </x:c>
      <x:c r="H2921" s="13" t="n">
        <x:f>F2921-G2921</x:f>
        <x:v>374.7</x:v>
      </x:c>
      <x:c r="I2921" s="13" t="n">
        <x:f>IF(C2921=0,"n.a.",F2921/C2921)</x:f>
        <x:v>187.35</x:v>
      </x:c>
      <x:c r="J2921" s="3"/>
      <x:c r="K2921" s="3"/>
      <x:c r="L2921" s="3"/>
    </x:row>
    <x:row r="2922" ht="22" customHeight="1">
      <x:c r="A2922" s="3"/>
      <x:c r="B2922" s="3" t="str">
        <x:v>17492</x:v>
      </x:c>
      <x:c r="C2922" s="3" t="n">
        <x:v>1</x:v>
      </x:c>
      <x:c r="D2922" s="51" t="n">
        <x:v>40638</x:v>
      </x:c>
      <x:c r="E2922" s="3" t="str">
        <x:v>Una compra</x:v>
      </x:c>
      <x:c r="F2922" s="13" t="n">
        <x:v>374.57</x:v>
      </x:c>
      <x:c r="G2922" s="13" t="n">
        <x:v>0</x:v>
      </x:c>
      <x:c r="H2922" s="13" t="n">
        <x:f>F2922-G2922</x:f>
        <x:v>374.57</x:v>
      </x:c>
      <x:c r="I2922" s="13" t="n">
        <x:f>IF(C2922=0,"n.a.",F2922/C2922)</x:f>
        <x:v>374.57</x:v>
      </x:c>
      <x:c r="J2922" s="3"/>
      <x:c r="K2922" s="3"/>
      <x:c r="L2922" s="3"/>
    </x:row>
    <x:row r="2923" ht="22" customHeight="1">
      <x:c r="A2923" s="3"/>
      <x:c r="B2923" s="3" t="str">
        <x:v>12873</x:v>
      </x:c>
      <x:c r="C2923" s="3" t="n">
        <x:v>1</x:v>
      </x:c>
      <x:c r="D2923" s="51" t="n">
        <x:v>40604</x:v>
      </x:c>
      <x:c r="E2923" s="3" t="str">
        <x:v>Una compra</x:v>
      </x:c>
      <x:c r="F2923" s="13" t="n">
        <x:v>374</x:v>
      </x:c>
      <x:c r="G2923" s="13" t="n">
        <x:v>0</x:v>
      </x:c>
      <x:c r="H2923" s="13" t="n">
        <x:f>F2923-G2923</x:f>
        <x:v>374</x:v>
      </x:c>
      <x:c r="I2923" s="13" t="n">
        <x:f>IF(C2923=0,"n.a.",F2923/C2923)</x:f>
        <x:v>374</x:v>
      </x:c>
      <x:c r="J2923" s="3"/>
      <x:c r="K2923" s="3"/>
      <x:c r="L2923" s="3"/>
    </x:row>
    <x:row r="2924" ht="22" customHeight="1">
      <x:c r="A2924" s="3"/>
      <x:c r="B2924" s="3" t="str">
        <x:v>16903</x:v>
      </x:c>
      <x:c r="C2924" s="3" t="n">
        <x:v>1</x:v>
      </x:c>
      <x:c r="D2924" s="51" t="n">
        <x:v>40857</x:v>
      </x:c>
      <x:c r="E2924" s="3" t="str">
        <x:v>Una compra</x:v>
      </x:c>
      <x:c r="F2924" s="13" t="n">
        <x:v>373.24</x:v>
      </x:c>
      <x:c r="G2924" s="13" t="n">
        <x:v>0</x:v>
      </x:c>
      <x:c r="H2924" s="13" t="n">
        <x:f>F2924-G2924</x:f>
        <x:v>373.24</x:v>
      </x:c>
      <x:c r="I2924" s="13" t="n">
        <x:f>IF(C2924=0,"n.a.",F2924/C2924)</x:f>
        <x:v>373.24</x:v>
      </x:c>
      <x:c r="J2924" s="3"/>
      <x:c r="K2924" s="3"/>
      <x:c r="L2924" s="3"/>
    </x:row>
    <x:row r="2925" ht="22" customHeight="1">
      <x:c r="A2925" s="3"/>
      <x:c r="B2925" s="3" t="str">
        <x:v>16239</x:v>
      </x:c>
      <x:c r="C2925" s="3" t="n">
        <x:v>2</x:v>
      </x:c>
      <x:c r="D2925" s="51" t="n">
        <x:v>40830</x:v>
      </x:c>
      <x:c r="E2925" s="3" t="str">
        <x:v>Recurrente</x:v>
      </x:c>
      <x:c r="F2925" s="13" t="n">
        <x:v>414.2</x:v>
      </x:c>
      <x:c r="G2925" s="13" t="n">
        <x:v>41.3</x:v>
      </x:c>
      <x:c r="H2925" s="13" t="n">
        <x:f>F2925-G2925</x:f>
        <x:v>372.9</x:v>
      </x:c>
      <x:c r="I2925" s="13" t="n">
        <x:f>IF(C2925=0,"n.a.",F2925/C2925)</x:f>
        <x:v>207.1</x:v>
      </x:c>
      <x:c r="J2925" s="3"/>
      <x:c r="K2925" s="3"/>
      <x:c r="L2925" s="3"/>
    </x:row>
    <x:row r="2926" ht="22" customHeight="1">
      <x:c r="A2926" s="3"/>
      <x:c r="B2926" s="3" t="str">
        <x:v>17375</x:v>
      </x:c>
      <x:c r="C2926" s="3" t="n">
        <x:v>3</x:v>
      </x:c>
      <x:c r="D2926" s="51" t="n">
        <x:v>40687</x:v>
      </x:c>
      <x:c r="E2926" s="3" t="str">
        <x:v>Recurrente</x:v>
      </x:c>
      <x:c r="F2926" s="13" t="n">
        <x:v>400.1</x:v>
      </x:c>
      <x:c r="G2926" s="13" t="n">
        <x:v>27.6</x:v>
      </x:c>
      <x:c r="H2926" s="13" t="n">
        <x:f>F2926-G2926</x:f>
        <x:v>372.5</x:v>
      </x:c>
      <x:c r="I2926" s="13" t="n">
        <x:f>IF(C2926=0,"n.a.",F2926/C2926)</x:f>
        <x:v>133.36666666666667</x:v>
      </x:c>
      <x:c r="J2926" s="3"/>
      <x:c r="K2926" s="3"/>
      <x:c r="L2926" s="3"/>
    </x:row>
    <x:row r="2927" ht="22" customHeight="1">
      <x:c r="A2927" s="3"/>
      <x:c r="B2927" s="3" t="str">
        <x:v>13569</x:v>
      </x:c>
      <x:c r="C2927" s="3" t="n">
        <x:v>2</x:v>
      </x:c>
      <x:c r="D2927" s="51" t="n">
        <x:v>40869</x:v>
      </x:c>
      <x:c r="E2927" s="3" t="str">
        <x:v>Recurrente</x:v>
      </x:c>
      <x:c r="F2927" s="13" t="n">
        <x:v>372.25</x:v>
      </x:c>
      <x:c r="G2927" s="13" t="n">
        <x:v>0</x:v>
      </x:c>
      <x:c r="H2927" s="13" t="n">
        <x:f>F2927-G2927</x:f>
        <x:v>372.25</x:v>
      </x:c>
      <x:c r="I2927" s="13" t="n">
        <x:f>IF(C2927=0,"n.a.",F2927/C2927)</x:f>
        <x:v>186.125</x:v>
      </x:c>
      <x:c r="J2927" s="3"/>
      <x:c r="K2927" s="3"/>
      <x:c r="L2927" s="3"/>
    </x:row>
    <x:row r="2928" ht="22" customHeight="1">
      <x:c r="A2928" s="3"/>
      <x:c r="B2928" s="3" t="str">
        <x:v>12981</x:v>
      </x:c>
      <x:c r="C2928" s="3" t="n">
        <x:v>2</x:v>
      </x:c>
      <x:c r="D2928" s="51" t="n">
        <x:v>40857</x:v>
      </x:c>
      <x:c r="E2928" s="3" t="str">
        <x:v>Recurrente</x:v>
      </x:c>
      <x:c r="F2928" s="13" t="n">
        <x:v>372.22</x:v>
      </x:c>
      <x:c r="G2928" s="13" t="n">
        <x:v>0</x:v>
      </x:c>
      <x:c r="H2928" s="13" t="n">
        <x:f>F2928-G2928</x:f>
        <x:v>372.22</x:v>
      </x:c>
      <x:c r="I2928" s="13" t="n">
        <x:f>IF(C2928=0,"n.a.",F2928/C2928)</x:f>
        <x:v>186.11</x:v>
      </x:c>
      <x:c r="J2928" s="3"/>
      <x:c r="K2928" s="3"/>
      <x:c r="L2928" s="3"/>
    </x:row>
    <x:row r="2929" ht="22" customHeight="1">
      <x:c r="A2929" s="3"/>
      <x:c r="B2929" s="3" t="str">
        <x:v>16065</x:v>
      </x:c>
      <x:c r="C2929" s="3" t="n">
        <x:v>1</x:v>
      </x:c>
      <x:c r="D2929" s="51" t="n">
        <x:v>40521</x:v>
      </x:c>
      <x:c r="E2929" s="3" t="str">
        <x:v>Una compra</x:v>
      </x:c>
      <x:c r="F2929" s="13" t="n">
        <x:v>372.09</x:v>
      </x:c>
      <x:c r="G2929" s="13" t="n">
        <x:v>0</x:v>
      </x:c>
      <x:c r="H2929" s="13" t="n">
        <x:f>F2929-G2929</x:f>
        <x:v>372.09</x:v>
      </x:c>
      <x:c r="I2929" s="13" t="n">
        <x:f>IF(C2929=0,"n.a.",F2929/C2929)</x:f>
        <x:v>372.09</x:v>
      </x:c>
      <x:c r="J2929" s="3"/>
      <x:c r="K2929" s="3"/>
      <x:c r="L2929" s="3"/>
    </x:row>
    <x:row r="2930" ht="22" customHeight="1">
      <x:c r="A2930" s="3"/>
      <x:c r="B2930" s="3" t="str">
        <x:v>17765</x:v>
      </x:c>
      <x:c r="C2930" s="3" t="n">
        <x:v>3</x:v>
      </x:c>
      <x:c r="D2930" s="51" t="n">
        <x:v>40728</x:v>
      </x:c>
      <x:c r="E2930" s="3" t="str">
        <x:v>Recurrente</x:v>
      </x:c>
      <x:c r="F2930" s="13" t="n">
        <x:v>371.88</x:v>
      </x:c>
      <x:c r="G2930" s="13" t="n">
        <x:v>0</x:v>
      </x:c>
      <x:c r="H2930" s="13" t="n">
        <x:f>F2930-G2930</x:f>
        <x:v>371.88</x:v>
      </x:c>
      <x:c r="I2930" s="13" t="n">
        <x:f>IF(C2930=0,"n.a.",F2930/C2930)</x:f>
        <x:v>123.96</x:v>
      </x:c>
      <x:c r="J2930" s="3"/>
      <x:c r="K2930" s="3"/>
      <x:c r="L2930" s="3"/>
    </x:row>
    <x:row r="2931" ht="22" customHeight="1">
      <x:c r="A2931" s="3"/>
      <x:c r="B2931" s="3" t="str">
        <x:v>12725</x:v>
      </x:c>
      <x:c r="C2931" s="3" t="n">
        <x:v>1</x:v>
      </x:c>
      <x:c r="D2931" s="51" t="n">
        <x:v>40515</x:v>
      </x:c>
      <x:c r="E2931" s="3" t="str">
        <x:v>Una compra</x:v>
      </x:c>
      <x:c r="F2931" s="13" t="n">
        <x:v>371.8</x:v>
      </x:c>
      <x:c r="G2931" s="13" t="n">
        <x:v>0</x:v>
      </x:c>
      <x:c r="H2931" s="13" t="n">
        <x:f>F2931-G2931</x:f>
        <x:v>371.8</x:v>
      </x:c>
      <x:c r="I2931" s="13" t="n">
        <x:f>IF(C2931=0,"n.a.",F2931/C2931)</x:f>
        <x:v>371.8</x:v>
      </x:c>
      <x:c r="J2931" s="3"/>
      <x:c r="K2931" s="3"/>
      <x:c r="L2931" s="3"/>
    </x:row>
    <x:row r="2932" ht="22" customHeight="1">
      <x:c r="A2932" s="3"/>
      <x:c r="B2932" s="3" t="str">
        <x:v>15472</x:v>
      </x:c>
      <x:c r="C2932" s="3" t="n">
        <x:v>1</x:v>
      </x:c>
      <x:c r="D2932" s="51" t="n">
        <x:v>40773</x:v>
      </x:c>
      <x:c r="E2932" s="3" t="str">
        <x:v>Una compra</x:v>
      </x:c>
      <x:c r="F2932" s="13" t="n">
        <x:v>371.56</x:v>
      </x:c>
      <x:c r="G2932" s="13" t="n">
        <x:v>0</x:v>
      </x:c>
      <x:c r="H2932" s="13" t="n">
        <x:f>F2932-G2932</x:f>
        <x:v>371.56</x:v>
      </x:c>
      <x:c r="I2932" s="13" t="n">
        <x:f>IF(C2932=0,"n.a.",F2932/C2932)</x:f>
        <x:v>371.56</x:v>
      </x:c>
      <x:c r="J2932" s="3"/>
      <x:c r="K2932" s="3"/>
      <x:c r="L2932" s="3"/>
    </x:row>
    <x:row r="2933" ht="22" customHeight="1">
      <x:c r="A2933" s="3"/>
      <x:c r="B2933" s="3" t="str">
        <x:v>15975</x:v>
      </x:c>
      <x:c r="C2933" s="3" t="n">
        <x:v>1</x:v>
      </x:c>
      <x:c r="D2933" s="51" t="n">
        <x:v>40802</x:v>
      </x:c>
      <x:c r="E2933" s="3" t="str">
        <x:v>Una compra</x:v>
      </x:c>
      <x:c r="F2933" s="13" t="n">
        <x:v>371.01</x:v>
      </x:c>
      <x:c r="G2933" s="13" t="n">
        <x:v>0</x:v>
      </x:c>
      <x:c r="H2933" s="13" t="n">
        <x:f>F2933-G2933</x:f>
        <x:v>371.01</x:v>
      </x:c>
      <x:c r="I2933" s="13" t="n">
        <x:f>IF(C2933=0,"n.a.",F2933/C2933)</x:f>
        <x:v>371.01</x:v>
      </x:c>
      <x:c r="J2933" s="3"/>
      <x:c r="K2933" s="3"/>
      <x:c r="L2933" s="3"/>
    </x:row>
    <x:row r="2934" ht="22" customHeight="1">
      <x:c r="A2934" s="3"/>
      <x:c r="B2934" s="3" t="str">
        <x:v>15063</x:v>
      </x:c>
      <x:c r="C2934" s="3" t="n">
        <x:v>1</x:v>
      </x:c>
      <x:c r="D2934" s="51" t="n">
        <x:v>40673</x:v>
      </x:c>
      <x:c r="E2934" s="3" t="str">
        <x:v>Una compra</x:v>
      </x:c>
      <x:c r="F2934" s="13" t="n">
        <x:v>370.8</x:v>
      </x:c>
      <x:c r="G2934" s="13" t="n">
        <x:v>0</x:v>
      </x:c>
      <x:c r="H2934" s="13" t="n">
        <x:f>F2934-G2934</x:f>
        <x:v>370.8</x:v>
      </x:c>
      <x:c r="I2934" s="13" t="n">
        <x:f>IF(C2934=0,"n.a.",F2934/C2934)</x:f>
        <x:v>370.8</x:v>
      </x:c>
      <x:c r="J2934" s="3"/>
      <x:c r="K2934" s="3"/>
      <x:c r="L2934" s="3"/>
    </x:row>
    <x:row r="2935" ht="22" customHeight="1">
      <x:c r="A2935" s="3"/>
      <x:c r="B2935" s="3" t="str">
        <x:v>16343</x:v>
      </x:c>
      <x:c r="C2935" s="3" t="n">
        <x:v>2</x:v>
      </x:c>
      <x:c r="D2935" s="51" t="n">
        <x:v>40870</x:v>
      </x:c>
      <x:c r="E2935" s="3" t="str">
        <x:v>Recurrente</x:v>
      </x:c>
      <x:c r="F2935" s="13" t="n">
        <x:v>370.48</x:v>
      </x:c>
      <x:c r="G2935" s="13" t="n">
        <x:v>0</x:v>
      </x:c>
      <x:c r="H2935" s="13" t="n">
        <x:f>F2935-G2935</x:f>
        <x:v>370.48</x:v>
      </x:c>
      <x:c r="I2935" s="13" t="n">
        <x:f>IF(C2935=0,"n.a.",F2935/C2935)</x:f>
        <x:v>185.24</x:v>
      </x:c>
      <x:c r="J2935" s="3"/>
      <x:c r="K2935" s="3"/>
      <x:c r="L2935" s="3"/>
    </x:row>
    <x:row r="2936" ht="22" customHeight="1">
      <x:c r="A2936" s="3"/>
      <x:c r="B2936" s="3" t="str">
        <x:v>16758</x:v>
      </x:c>
      <x:c r="C2936" s="3" t="n">
        <x:v>1</x:v>
      </x:c>
      <x:c r="D2936" s="51" t="n">
        <x:v>40821</x:v>
      </x:c>
      <x:c r="E2936" s="3" t="str">
        <x:v>Una compra</x:v>
      </x:c>
      <x:c r="F2936" s="13" t="n">
        <x:v>369.34</x:v>
      </x:c>
      <x:c r="G2936" s="13" t="n">
        <x:v>0</x:v>
      </x:c>
      <x:c r="H2936" s="13" t="n">
        <x:f>F2936-G2936</x:f>
        <x:v>369.34</x:v>
      </x:c>
      <x:c r="I2936" s="13" t="n">
        <x:f>IF(C2936=0,"n.a.",F2936/C2936)</x:f>
        <x:v>369.34</x:v>
      </x:c>
      <x:c r="J2936" s="3"/>
      <x:c r="K2936" s="3"/>
      <x:c r="L2936" s="3"/>
    </x:row>
    <x:row r="2937" ht="22" customHeight="1">
      <x:c r="A2937" s="3"/>
      <x:c r="B2937" s="3" t="str">
        <x:v>14888</x:v>
      </x:c>
      <x:c r="C2937" s="3" t="n">
        <x:v>1</x:v>
      </x:c>
      <x:c r="D2937" s="51" t="n">
        <x:v>40679</x:v>
      </x:c>
      <x:c r="E2937" s="3" t="str">
        <x:v>Una compra</x:v>
      </x:c>
      <x:c r="F2937" s="13" t="n">
        <x:v>369.2</x:v>
      </x:c>
      <x:c r="G2937" s="13" t="n">
        <x:v>0</x:v>
      </x:c>
      <x:c r="H2937" s="13" t="n">
        <x:f>F2937-G2937</x:f>
        <x:v>369.2</x:v>
      </x:c>
      <x:c r="I2937" s="13" t="n">
        <x:f>IF(C2937=0,"n.a.",F2937/C2937)</x:f>
        <x:v>369.2</x:v>
      </x:c>
      <x:c r="J2937" s="3"/>
      <x:c r="K2937" s="3"/>
      <x:c r="L2937" s="3"/>
    </x:row>
    <x:row r="2938" ht="22" customHeight="1">
      <x:c r="A2938" s="3"/>
      <x:c r="B2938" s="3" t="str">
        <x:v>12591</x:v>
      </x:c>
      <x:c r="C2938" s="3" t="n">
        <x:v>1</x:v>
      </x:c>
      <x:c r="D2938" s="51" t="n">
        <x:v>40569</x:v>
      </x:c>
      <x:c r="E2938" s="3" t="str">
        <x:v>Una compra</x:v>
      </x:c>
      <x:c r="F2938" s="13" t="n">
        <x:v>368.85</x:v>
      </x:c>
      <x:c r="G2938" s="13" t="n">
        <x:v>0</x:v>
      </x:c>
      <x:c r="H2938" s="13" t="n">
        <x:f>F2938-G2938</x:f>
        <x:v>368.85</x:v>
      </x:c>
      <x:c r="I2938" s="13" t="n">
        <x:f>IF(C2938=0,"n.a.",F2938/C2938)</x:f>
        <x:v>368.85</x:v>
      </x:c>
      <x:c r="J2938" s="3"/>
      <x:c r="K2938" s="3"/>
      <x:c r="L2938" s="3"/>
    </x:row>
    <x:row r="2939" ht="22" customHeight="1">
      <x:c r="A2939" s="3"/>
      <x:c r="B2939" s="3" t="str">
        <x:v>16372</x:v>
      </x:c>
      <x:c r="C2939" s="3" t="n">
        <x:v>2</x:v>
      </x:c>
      <x:c r="D2939" s="51" t="n">
        <x:v>40853</x:v>
      </x:c>
      <x:c r="E2939" s="3" t="str">
        <x:v>Recurrente</x:v>
      </x:c>
      <x:c r="F2939" s="13" t="n">
        <x:v>367.93</x:v>
      </x:c>
      <x:c r="G2939" s="13" t="n">
        <x:v>0</x:v>
      </x:c>
      <x:c r="H2939" s="13" t="n">
        <x:f>F2939-G2939</x:f>
        <x:v>367.93</x:v>
      </x:c>
      <x:c r="I2939" s="13" t="n">
        <x:f>IF(C2939=0,"n.a.",F2939/C2939)</x:f>
        <x:v>183.965</x:v>
      </x:c>
      <x:c r="J2939" s="3"/>
      <x:c r="K2939" s="3"/>
      <x:c r="L2939" s="3"/>
    </x:row>
    <x:row r="2940" ht="22" customHeight="1">
      <x:c r="A2940" s="3"/>
      <x:c r="B2940" s="3" t="str">
        <x:v>15345</x:v>
      </x:c>
      <x:c r="C2940" s="3" t="n">
        <x:v>1</x:v>
      </x:c>
      <x:c r="D2940" s="51" t="n">
        <x:v>40841</x:v>
      </x:c>
      <x:c r="E2940" s="3" t="str">
        <x:v>Una compra</x:v>
      </x:c>
      <x:c r="F2940" s="13" t="n">
        <x:v>393.54</x:v>
      </x:c>
      <x:c r="G2940" s="13" t="n">
        <x:v>25.85</x:v>
      </x:c>
      <x:c r="H2940" s="13" t="n">
        <x:f>F2940-G2940</x:f>
        <x:v>367.69</x:v>
      </x:c>
      <x:c r="I2940" s="13" t="n">
        <x:f>IF(C2940=0,"n.a.",F2940/C2940)</x:f>
        <x:v>393.54</x:v>
      </x:c>
      <x:c r="J2940" s="3"/>
      <x:c r="K2940" s="3"/>
      <x:c r="L2940" s="3"/>
    </x:row>
    <x:row r="2941" ht="22" customHeight="1">
      <x:c r="A2941" s="3"/>
      <x:c r="B2941" s="3" t="str">
        <x:v>17911</x:v>
      </x:c>
      <x:c r="C2941" s="3" t="n">
        <x:v>1</x:v>
      </x:c>
      <x:c r="D2941" s="51" t="n">
        <x:v>40877</x:v>
      </x:c>
      <x:c r="E2941" s="3" t="str">
        <x:v>Una compra</x:v>
      </x:c>
      <x:c r="F2941" s="13" t="n">
        <x:v>366.23</x:v>
      </x:c>
      <x:c r="G2941" s="13" t="n">
        <x:v>0</x:v>
      </x:c>
      <x:c r="H2941" s="13" t="n">
        <x:f>F2941-G2941</x:f>
        <x:v>366.23</x:v>
      </x:c>
      <x:c r="I2941" s="13" t="n">
        <x:f>IF(C2941=0,"n.a.",F2941/C2941)</x:f>
        <x:v>366.23</x:v>
      </x:c>
      <x:c r="J2941" s="3"/>
      <x:c r="K2941" s="3"/>
      <x:c r="L2941" s="3"/>
    </x:row>
    <x:row r="2942" ht="22" customHeight="1">
      <x:c r="A2942" s="3"/>
      <x:c r="B2942" s="3" t="str">
        <x:v>12639</x:v>
      </x:c>
      <x:c r="C2942" s="3" t="n">
        <x:v>1</x:v>
      </x:c>
      <x:c r="D2942" s="51" t="n">
        <x:v>40648</x:v>
      </x:c>
      <x:c r="E2942" s="3" t="str">
        <x:v>Una compra</x:v>
      </x:c>
      <x:c r="F2942" s="13" t="n">
        <x:v>366.1</x:v>
      </x:c>
      <x:c r="G2942" s="13" t="n">
        <x:v>0</x:v>
      </x:c>
      <x:c r="H2942" s="13" t="n">
        <x:f>F2942-G2942</x:f>
        <x:v>366.1</x:v>
      </x:c>
      <x:c r="I2942" s="13" t="n">
        <x:f>IF(C2942=0,"n.a.",F2942/C2942)</x:f>
        <x:v>366.1</x:v>
      </x:c>
      <x:c r="J2942" s="3"/>
      <x:c r="K2942" s="3"/>
      <x:c r="L2942" s="3"/>
    </x:row>
    <x:row r="2943" ht="22" customHeight="1">
      <x:c r="A2943" s="3"/>
      <x:c r="B2943" s="3" t="str">
        <x:v>17358</x:v>
      </x:c>
      <x:c r="C2943" s="3" t="n">
        <x:v>2</x:v>
      </x:c>
      <x:c r="D2943" s="51" t="n">
        <x:v>40583</x:v>
      </x:c>
      <x:c r="E2943" s="3" t="str">
        <x:v>Recurrente</x:v>
      </x:c>
      <x:c r="F2943" s="13" t="n">
        <x:v>365.85</x:v>
      </x:c>
      <x:c r="G2943" s="13" t="n">
        <x:v>0</x:v>
      </x:c>
      <x:c r="H2943" s="13" t="n">
        <x:f>F2943-G2943</x:f>
        <x:v>365.85</x:v>
      </x:c>
      <x:c r="I2943" s="13" t="n">
        <x:f>IF(C2943=0,"n.a.",F2943/C2943)</x:f>
        <x:v>182.925</x:v>
      </x:c>
      <x:c r="J2943" s="3"/>
      <x:c r="K2943" s="3"/>
      <x:c r="L2943" s="3"/>
    </x:row>
    <x:row r="2944" ht="22" customHeight="1">
      <x:c r="A2944" s="3"/>
      <x:c r="B2944" s="3" t="str">
        <x:v>17432</x:v>
      </x:c>
      <x:c r="C2944" s="3" t="n">
        <x:v>2</x:v>
      </x:c>
      <x:c r="D2944" s="51" t="n">
        <x:v>40868</x:v>
      </x:c>
      <x:c r="E2944" s="3" t="str">
        <x:v>Recurrente</x:v>
      </x:c>
      <x:c r="F2944" s="13" t="n">
        <x:v>365.76</x:v>
      </x:c>
      <x:c r="G2944" s="13" t="n">
        <x:v>0</x:v>
      </x:c>
      <x:c r="H2944" s="13" t="n">
        <x:f>F2944-G2944</x:f>
        <x:v>365.76</x:v>
      </x:c>
      <x:c r="I2944" s="13" t="n">
        <x:f>IF(C2944=0,"n.a.",F2944/C2944)</x:f>
        <x:v>182.88</x:v>
      </x:c>
      <x:c r="J2944" s="3"/>
      <x:c r="K2944" s="3"/>
      <x:c r="L2944" s="3"/>
    </x:row>
    <x:row r="2945" ht="22" customHeight="1">
      <x:c r="A2945" s="3"/>
      <x:c r="B2945" s="3" t="str">
        <x:v>12448</x:v>
      </x:c>
      <x:c r="C2945" s="3" t="n">
        <x:v>1</x:v>
      </x:c>
      <x:c r="D2945" s="51" t="n">
        <x:v>40842</x:v>
      </x:c>
      <x:c r="E2945" s="3" t="str">
        <x:v>Una compra</x:v>
      </x:c>
      <x:c r="F2945" s="13" t="n">
        <x:v>365.45</x:v>
      </x:c>
      <x:c r="G2945" s="13" t="n">
        <x:v>0</x:v>
      </x:c>
      <x:c r="H2945" s="13" t="n">
        <x:f>F2945-G2945</x:f>
        <x:v>365.45</x:v>
      </x:c>
      <x:c r="I2945" s="13" t="n">
        <x:f>IF(C2945=0,"n.a.",F2945/C2945)</x:f>
        <x:v>365.45</x:v>
      </x:c>
      <x:c r="J2945" s="3"/>
      <x:c r="K2945" s="3"/>
      <x:c r="L2945" s="3"/>
    </x:row>
    <x:row r="2946" ht="22" customHeight="1">
      <x:c r="A2946" s="3"/>
      <x:c r="B2946" s="3" t="str">
        <x:v>13300</x:v>
      </x:c>
      <x:c r="C2946" s="3" t="n">
        <x:v>1</x:v>
      </x:c>
      <x:c r="D2946" s="51" t="n">
        <x:v>40717</x:v>
      </x:c>
      <x:c r="E2946" s="3" t="str">
        <x:v>Una compra</x:v>
      </x:c>
      <x:c r="F2946" s="13" t="n">
        <x:v>371.89</x:v>
      </x:c>
      <x:c r="G2946" s="13" t="n">
        <x:v>6.6</x:v>
      </x:c>
      <x:c r="H2946" s="13" t="n">
        <x:f>F2946-G2946</x:f>
        <x:v>365.28999999999996</x:v>
      </x:c>
      <x:c r="I2946" s="13" t="n">
        <x:f>IF(C2946=0,"n.a.",F2946/C2946)</x:f>
        <x:v>371.89</x:v>
      </x:c>
      <x:c r="J2946" s="3"/>
      <x:c r="K2946" s="3"/>
      <x:c r="L2946" s="3"/>
    </x:row>
    <x:row r="2947" ht="22" customHeight="1">
      <x:c r="A2947" s="3"/>
      <x:c r="B2947" s="3" t="str">
        <x:v>16202</x:v>
      </x:c>
      <x:c r="C2947" s="3" t="n">
        <x:v>1</x:v>
      </x:c>
      <x:c r="D2947" s="51" t="n">
        <x:v>40526</x:v>
      </x:c>
      <x:c r="E2947" s="3" t="str">
        <x:v>Una compra</x:v>
      </x:c>
      <x:c r="F2947" s="13" t="n">
        <x:v>365.27</x:v>
      </x:c>
      <x:c r="G2947" s="13" t="n">
        <x:v>0</x:v>
      </x:c>
      <x:c r="H2947" s="13" t="n">
        <x:f>F2947-G2947</x:f>
        <x:v>365.27</x:v>
      </x:c>
      <x:c r="I2947" s="13" t="n">
        <x:f>IF(C2947=0,"n.a.",F2947/C2947)</x:f>
        <x:v>365.27</x:v>
      </x:c>
      <x:c r="J2947" s="3"/>
      <x:c r="K2947" s="3"/>
      <x:c r="L2947" s="3"/>
    </x:row>
    <x:row r="2948" ht="22" customHeight="1">
      <x:c r="A2948" s="3"/>
      <x:c r="B2948" s="3" t="str">
        <x:v>15429</x:v>
      </x:c>
      <x:c r="C2948" s="3" t="n">
        <x:v>2</x:v>
      </x:c>
      <x:c r="D2948" s="51" t="n">
        <x:v>40860</x:v>
      </x:c>
      <x:c r="E2948" s="3" t="str">
        <x:v>Recurrente</x:v>
      </x:c>
      <x:c r="F2948" s="13" t="n">
        <x:v>397.35</x:v>
      </x:c>
      <x:c r="G2948" s="13" t="n">
        <x:v>32.45</x:v>
      </x:c>
      <x:c r="H2948" s="13" t="n">
        <x:f>F2948-G2948</x:f>
        <x:v>364.90000000000003</x:v>
      </x:c>
      <x:c r="I2948" s="13" t="n">
        <x:f>IF(C2948=0,"n.a.",F2948/C2948)</x:f>
        <x:v>198.675</x:v>
      </x:c>
      <x:c r="J2948" s="3"/>
      <x:c r="K2948" s="3"/>
      <x:c r="L2948" s="3"/>
    </x:row>
    <x:row r="2949" ht="22" customHeight="1">
      <x:c r="A2949" s="3"/>
      <x:c r="B2949" s="3" t="str">
        <x:v>14886</x:v>
      </x:c>
      <x:c r="C2949" s="3" t="n">
        <x:v>1</x:v>
      </x:c>
      <x:c r="D2949" s="51" t="n">
        <x:v>40634</x:v>
      </x:c>
      <x:c r="E2949" s="3" t="str">
        <x:v>Una compra</x:v>
      </x:c>
      <x:c r="F2949" s="13" t="n">
        <x:v>364.8</x:v>
      </x:c>
      <x:c r="G2949" s="13" t="n">
        <x:v>0</x:v>
      </x:c>
      <x:c r="H2949" s="13" t="n">
        <x:f>F2949-G2949</x:f>
        <x:v>364.8</x:v>
      </x:c>
      <x:c r="I2949" s="13" t="n">
        <x:f>IF(C2949=0,"n.a.",F2949/C2949)</x:f>
        <x:v>364.8</x:v>
      </x:c>
      <x:c r="J2949" s="3"/>
      <x:c r="K2949" s="3"/>
      <x:c r="L2949" s="3"/>
    </x:row>
    <x:row r="2950" ht="22" customHeight="1">
      <x:c r="A2950" s="3"/>
      <x:c r="B2950" s="3" t="str">
        <x:v>15949</x:v>
      </x:c>
      <x:c r="C2950" s="3" t="n">
        <x:v>2</x:v>
      </x:c>
      <x:c r="D2950" s="51" t="n">
        <x:v>40870</x:v>
      </x:c>
      <x:c r="E2950" s="3" t="str">
        <x:v>Recurrente</x:v>
      </x:c>
      <x:c r="F2950" s="13" t="n">
        <x:v>364.72</x:v>
      </x:c>
      <x:c r="G2950" s="13" t="n">
        <x:v>0</x:v>
      </x:c>
      <x:c r="H2950" s="13" t="n">
        <x:f>F2950-G2950</x:f>
        <x:v>364.72</x:v>
      </x:c>
      <x:c r="I2950" s="13" t="n">
        <x:f>IF(C2950=0,"n.a.",F2950/C2950)</x:f>
        <x:v>182.36</x:v>
      </x:c>
      <x:c r="J2950" s="3"/>
      <x:c r="K2950" s="3"/>
      <x:c r="L2950" s="3"/>
    </x:row>
    <x:row r="2951" ht="22" customHeight="1">
      <x:c r="A2951" s="3"/>
      <x:c r="B2951" s="3" t="str">
        <x:v>15343</x:v>
      </x:c>
      <x:c r="C2951" s="3" t="n">
        <x:v>1</x:v>
      </x:c>
      <x:c r="D2951" s="51" t="n">
        <x:v>40799</x:v>
      </x:c>
      <x:c r="E2951" s="3" t="str">
        <x:v>Una compra</x:v>
      </x:c>
      <x:c r="F2951" s="13" t="n">
        <x:v>364.5</x:v>
      </x:c>
      <x:c r="G2951" s="13" t="n">
        <x:v>0</x:v>
      </x:c>
      <x:c r="H2951" s="13" t="n">
        <x:f>F2951-G2951</x:f>
        <x:v>364.5</x:v>
      </x:c>
      <x:c r="I2951" s="13" t="n">
        <x:f>IF(C2951=0,"n.a.",F2951/C2951)</x:f>
        <x:v>364.5</x:v>
      </x:c>
      <x:c r="J2951" s="3"/>
      <x:c r="K2951" s="3"/>
      <x:c r="L2951" s="3"/>
    </x:row>
    <x:row r="2952" ht="22" customHeight="1">
      <x:c r="A2952" s="3"/>
      <x:c r="B2952" s="3" t="str">
        <x:v>14528</x:v>
      </x:c>
      <x:c r="C2952" s="3" t="n">
        <x:v>1</x:v>
      </x:c>
      <x:c r="D2952" s="51" t="n">
        <x:v>40849</x:v>
      </x:c>
      <x:c r="E2952" s="3" t="str">
        <x:v>Una compra</x:v>
      </x:c>
      <x:c r="F2952" s="13" t="n">
        <x:v>364.22</x:v>
      </x:c>
      <x:c r="G2952" s="13" t="n">
        <x:v>0</x:v>
      </x:c>
      <x:c r="H2952" s="13" t="n">
        <x:f>F2952-G2952</x:f>
        <x:v>364.22</x:v>
      </x:c>
      <x:c r="I2952" s="13" t="n">
        <x:f>IF(C2952=0,"n.a.",F2952/C2952)</x:f>
        <x:v>364.22</x:v>
      </x:c>
      <x:c r="J2952" s="3"/>
      <x:c r="K2952" s="3"/>
      <x:c r="L2952" s="3"/>
    </x:row>
    <x:row r="2953" ht="22" customHeight="1">
      <x:c r="A2953" s="3"/>
      <x:c r="B2953" s="3" t="str">
        <x:v>16909</x:v>
      </x:c>
      <x:c r="C2953" s="3" t="n">
        <x:v>1</x:v>
      </x:c>
      <x:c r="D2953" s="51" t="n">
        <x:v>40814</x:v>
      </x:c>
      <x:c r="E2953" s="3" t="str">
        <x:v>Una compra</x:v>
      </x:c>
      <x:c r="F2953" s="13" t="n">
        <x:v>379.14</x:v>
      </x:c>
      <x:c r="G2953" s="13" t="n">
        <x:v>15</x:v>
      </x:c>
      <x:c r="H2953" s="13" t="n">
        <x:f>F2953-G2953</x:f>
        <x:v>364.14</x:v>
      </x:c>
      <x:c r="I2953" s="13" t="n">
        <x:f>IF(C2953=0,"n.a.",F2953/C2953)</x:f>
        <x:v>379.14</x:v>
      </x:c>
      <x:c r="J2953" s="3"/>
      <x:c r="K2953" s="3"/>
      <x:c r="L2953" s="3"/>
    </x:row>
    <x:row r="2954" ht="22" customHeight="1">
      <x:c r="A2954" s="3"/>
      <x:c r="B2954" s="3" t="str">
        <x:v>12538</x:v>
      </x:c>
      <x:c r="C2954" s="3" t="n">
        <x:v>1</x:v>
      </x:c>
      <x:c r="D2954" s="51" t="n">
        <x:v>40857</x:v>
      </x:c>
      <x:c r="E2954" s="3" t="str">
        <x:v>Una compra</x:v>
      </x:c>
      <x:c r="F2954" s="13" t="n">
        <x:v>363.95</x:v>
      </x:c>
      <x:c r="G2954" s="13" t="n">
        <x:v>0</x:v>
      </x:c>
      <x:c r="H2954" s="13" t="n">
        <x:f>F2954-G2954</x:f>
        <x:v>363.95</x:v>
      </x:c>
      <x:c r="I2954" s="13" t="n">
        <x:f>IF(C2954=0,"n.a.",F2954/C2954)</x:f>
        <x:v>363.95</x:v>
      </x:c>
      <x:c r="J2954" s="3"/>
      <x:c r="K2954" s="3"/>
      <x:c r="L2954" s="3"/>
    </x:row>
    <x:row r="2955" ht="22" customHeight="1">
      <x:c r="A2955" s="3"/>
      <x:c r="B2955" s="3" t="str">
        <x:v>17330</x:v>
      </x:c>
      <x:c r="C2955" s="3" t="n">
        <x:v>2</x:v>
      </x:c>
      <x:c r="D2955" s="51" t="n">
        <x:v>40864</x:v>
      </x:c>
      <x:c r="E2955" s="3" t="str">
        <x:v>Recurrente</x:v>
      </x:c>
      <x:c r="F2955" s="13" t="n">
        <x:v>363.9</x:v>
      </x:c>
      <x:c r="G2955" s="13" t="n">
        <x:v>0</x:v>
      </x:c>
      <x:c r="H2955" s="13" t="n">
        <x:f>F2955-G2955</x:f>
        <x:v>363.9</x:v>
      </x:c>
      <x:c r="I2955" s="13" t="n">
        <x:f>IF(C2955=0,"n.a.",F2955/C2955)</x:f>
        <x:v>181.95</x:v>
      </x:c>
      <x:c r="J2955" s="3"/>
      <x:c r="K2955" s="3"/>
      <x:c r="L2955" s="3"/>
    </x:row>
    <x:row r="2956" ht="22" customHeight="1">
      <x:c r="A2956" s="3"/>
      <x:c r="B2956" s="3" t="str">
        <x:v>14171</x:v>
      </x:c>
      <x:c r="C2956" s="3" t="n">
        <x:v>1</x:v>
      </x:c>
      <x:c r="D2956" s="51" t="n">
        <x:v>40788</x:v>
      </x:c>
      <x:c r="E2956" s="3" t="str">
        <x:v>Una compra</x:v>
      </x:c>
      <x:c r="F2956" s="13" t="n">
        <x:v>363.79</x:v>
      </x:c>
      <x:c r="G2956" s="13" t="n">
        <x:v>0</x:v>
      </x:c>
      <x:c r="H2956" s="13" t="n">
        <x:f>F2956-G2956</x:f>
        <x:v>363.79</x:v>
      </x:c>
      <x:c r="I2956" s="13" t="n">
        <x:f>IF(C2956=0,"n.a.",F2956/C2956)</x:f>
        <x:v>363.79</x:v>
      </x:c>
      <x:c r="J2956" s="3"/>
      <x:c r="K2956" s="3"/>
      <x:c r="L2956" s="3"/>
    </x:row>
    <x:row r="2957" ht="22" customHeight="1">
      <x:c r="A2957" s="3"/>
      <x:c r="B2957" s="3" t="str">
        <x:v>16509</x:v>
      </x:c>
      <x:c r="C2957" s="3" t="n">
        <x:v>1</x:v>
      </x:c>
      <x:c r="D2957" s="51" t="n">
        <x:v>40590</x:v>
      </x:c>
      <x:c r="E2957" s="3" t="str">
        <x:v>Una compra</x:v>
      </x:c>
      <x:c r="F2957" s="13" t="n">
        <x:v>363.7</x:v>
      </x:c>
      <x:c r="G2957" s="13" t="n">
        <x:v>0</x:v>
      </x:c>
      <x:c r="H2957" s="13" t="n">
        <x:f>F2957-G2957</x:f>
        <x:v>363.7</x:v>
      </x:c>
      <x:c r="I2957" s="13" t="n">
        <x:f>IF(C2957=0,"n.a.",F2957/C2957)</x:f>
        <x:v>363.7</x:v>
      </x:c>
      <x:c r="J2957" s="3"/>
      <x:c r="K2957" s="3"/>
      <x:c r="L2957" s="3"/>
    </x:row>
    <x:row r="2958" ht="22" customHeight="1">
      <x:c r="A2958" s="3"/>
      <x:c r="B2958" s="3" t="str">
        <x:v>12915</x:v>
      </x:c>
      <x:c r="C2958" s="3" t="n">
        <x:v>2</x:v>
      </x:c>
      <x:c r="D2958" s="51" t="n">
        <x:v>40738</x:v>
      </x:c>
      <x:c r="E2958" s="3" t="str">
        <x:v>Recurrente</x:v>
      </x:c>
      <x:c r="F2958" s="13" t="n">
        <x:v>363.65</x:v>
      </x:c>
      <x:c r="G2958" s="13" t="n">
        <x:v>0</x:v>
      </x:c>
      <x:c r="H2958" s="13" t="n">
        <x:f>F2958-G2958</x:f>
        <x:v>363.65</x:v>
      </x:c>
      <x:c r="I2958" s="13" t="n">
        <x:f>IF(C2958=0,"n.a.",F2958/C2958)</x:f>
        <x:v>181.825</x:v>
      </x:c>
      <x:c r="J2958" s="3"/>
      <x:c r="K2958" s="3"/>
      <x:c r="L2958" s="3"/>
    </x:row>
    <x:row r="2959" ht="22" customHeight="1">
      <x:c r="A2959" s="3"/>
      <x:c r="B2959" s="3" t="str">
        <x:v>16485</x:v>
      </x:c>
      <x:c r="C2959" s="3" t="n">
        <x:v>1</x:v>
      </x:c>
      <x:c r="D2959" s="51" t="n">
        <x:v>40809</x:v>
      </x:c>
      <x:c r="E2959" s="3" t="str">
        <x:v>Una compra</x:v>
      </x:c>
      <x:c r="F2959" s="13" t="n">
        <x:v>363.65</x:v>
      </x:c>
      <x:c r="G2959" s="13" t="n">
        <x:v>0</x:v>
      </x:c>
      <x:c r="H2959" s="13" t="n">
        <x:f>F2959-G2959</x:f>
        <x:v>363.65</x:v>
      </x:c>
      <x:c r="I2959" s="13" t="n">
        <x:f>IF(C2959=0,"n.a.",F2959/C2959)</x:f>
        <x:v>363.65</x:v>
      </x:c>
      <x:c r="J2959" s="3"/>
      <x:c r="K2959" s="3"/>
      <x:c r="L2959" s="3"/>
    </x:row>
    <x:row r="2960" ht="22" customHeight="1">
      <x:c r="A2960" s="3"/>
      <x:c r="B2960" s="3" t="str">
        <x:v>18056</x:v>
      </x:c>
      <x:c r="C2960" s="3" t="n">
        <x:v>1</x:v>
      </x:c>
      <x:c r="D2960" s="51" t="n">
        <x:v>40598</x:v>
      </x:c>
      <x:c r="E2960" s="3" t="str">
        <x:v>Una compra</x:v>
      </x:c>
      <x:c r="F2960" s="13" t="n">
        <x:v>363.65</x:v>
      </x:c>
      <x:c r="G2960" s="13" t="n">
        <x:v>0</x:v>
      </x:c>
      <x:c r="H2960" s="13" t="n">
        <x:f>F2960-G2960</x:f>
        <x:v>363.65</x:v>
      </x:c>
      <x:c r="I2960" s="13" t="n">
        <x:f>IF(C2960=0,"n.a.",F2960/C2960)</x:f>
        <x:v>363.65</x:v>
      </x:c>
      <x:c r="J2960" s="3"/>
      <x:c r="K2960" s="3"/>
      <x:c r="L2960" s="3"/>
    </x:row>
    <x:row r="2961" ht="22" customHeight="1">
      <x:c r="A2961" s="3"/>
      <x:c r="B2961" s="3" t="str">
        <x:v>15922</x:v>
      </x:c>
      <x:c r="C2961" s="3" t="n">
        <x:v>1</x:v>
      </x:c>
      <x:c r="D2961" s="51" t="n">
        <x:v>40513</x:v>
      </x:c>
      <x:c r="E2961" s="3" t="str">
        <x:v>Una compra</x:v>
      </x:c>
      <x:c r="F2961" s="13" t="n">
        <x:v>369.5</x:v>
      </x:c>
      <x:c r="G2961" s="13" t="n">
        <x:v>5.9</x:v>
      </x:c>
      <x:c r="H2961" s="13" t="n">
        <x:f>F2961-G2961</x:f>
        <x:v>363.6</x:v>
      </x:c>
      <x:c r="I2961" s="13" t="n">
        <x:f>IF(C2961=0,"n.a.",F2961/C2961)</x:f>
        <x:v>369.5</x:v>
      </x:c>
      <x:c r="J2961" s="3"/>
      <x:c r="K2961" s="3"/>
      <x:c r="L2961" s="3"/>
    </x:row>
    <x:row r="2962" ht="22" customHeight="1">
      <x:c r="A2962" s="3"/>
      <x:c r="B2962" s="3" t="str">
        <x:v>13856</x:v>
      </x:c>
      <x:c r="C2962" s="3" t="n">
        <x:v>3</x:v>
      </x:c>
      <x:c r="D2962" s="51" t="n">
        <x:v>40718</x:v>
      </x:c>
      <x:c r="E2962" s="3" t="str">
        <x:v>Recurrente</x:v>
      </x:c>
      <x:c r="F2962" s="13" t="n">
        <x:v>388.5</x:v>
      </x:c>
      <x:c r="G2962" s="13" t="n">
        <x:v>25.1</x:v>
      </x:c>
      <x:c r="H2962" s="13" t="n">
        <x:f>F2962-G2962</x:f>
        <x:v>363.4</x:v>
      </x:c>
      <x:c r="I2962" s="13" t="n">
        <x:f>IF(C2962=0,"n.a.",F2962/C2962)</x:f>
        <x:v>129.5</x:v>
      </x:c>
      <x:c r="J2962" s="3"/>
      <x:c r="K2962" s="3"/>
      <x:c r="L2962" s="3"/>
    </x:row>
    <x:row r="2963" ht="22" customHeight="1">
      <x:c r="A2963" s="3"/>
      <x:c r="B2963" s="3" t="str">
        <x:v>14427</x:v>
      </x:c>
      <x:c r="C2963" s="3" t="n">
        <x:v>2</x:v>
      </x:c>
      <x:c r="D2963" s="51" t="n">
        <x:v>40836</x:v>
      </x:c>
      <x:c r="E2963" s="3" t="str">
        <x:v>Recurrente</x:v>
      </x:c>
      <x:c r="F2963" s="13" t="n">
        <x:v>363.34</x:v>
      </x:c>
      <x:c r="G2963" s="13" t="n">
        <x:v>0</x:v>
      </x:c>
      <x:c r="H2963" s="13" t="n">
        <x:f>F2963-G2963</x:f>
        <x:v>363.34</x:v>
      </x:c>
      <x:c r="I2963" s="13" t="n">
        <x:f>IF(C2963=0,"n.a.",F2963/C2963)</x:f>
        <x:v>181.67</x:v>
      </x:c>
      <x:c r="J2963" s="3"/>
      <x:c r="K2963" s="3"/>
      <x:c r="L2963" s="3"/>
    </x:row>
    <x:row r="2964" ht="22" customHeight="1">
      <x:c r="A2964" s="3"/>
      <x:c r="B2964" s="3" t="str">
        <x:v>16378</x:v>
      </x:c>
      <x:c r="C2964" s="3" t="n">
        <x:v>3</x:v>
      </x:c>
      <x:c r="D2964" s="51" t="n">
        <x:v>40639</x:v>
      </x:c>
      <x:c r="E2964" s="3" t="str">
        <x:v>Recurrente</x:v>
      </x:c>
      <x:c r="F2964" s="13" t="n">
        <x:v>362.95</x:v>
      </x:c>
      <x:c r="G2964" s="13" t="n">
        <x:v>0</x:v>
      </x:c>
      <x:c r="H2964" s="13" t="n">
        <x:f>F2964-G2964</x:f>
        <x:v>362.95</x:v>
      </x:c>
      <x:c r="I2964" s="13" t="n">
        <x:f>IF(C2964=0,"n.a.",F2964/C2964)</x:f>
        <x:v>120.98333333333333</x:v>
      </x:c>
      <x:c r="J2964" s="3"/>
      <x:c r="K2964" s="3"/>
      <x:c r="L2964" s="3"/>
    </x:row>
    <x:row r="2965" ht="22" customHeight="1">
      <x:c r="A2965" s="3"/>
      <x:c r="B2965" s="3" t="str">
        <x:v>17573</x:v>
      </x:c>
      <x:c r="C2965" s="3" t="n">
        <x:v>3</x:v>
      </x:c>
      <x:c r="D2965" s="51" t="n">
        <x:v>40857</x:v>
      </x:c>
      <x:c r="E2965" s="3" t="str">
        <x:v>Recurrente</x:v>
      </x:c>
      <x:c r="F2965" s="13" t="n">
        <x:v>380.6</x:v>
      </x:c>
      <x:c r="G2965" s="13" t="n">
        <x:v>17.7</x:v>
      </x:c>
      <x:c r="H2965" s="13" t="n">
        <x:f>F2965-G2965</x:f>
        <x:v>362.90000000000003</x:v>
      </x:c>
      <x:c r="I2965" s="13" t="n">
        <x:f>IF(C2965=0,"n.a.",F2965/C2965)</x:f>
        <x:v>126.86666666666667</x:v>
      </x:c>
      <x:c r="J2965" s="3"/>
      <x:c r="K2965" s="3"/>
      <x:c r="L2965" s="3"/>
    </x:row>
    <x:row r="2966" ht="22" customHeight="1">
      <x:c r="A2966" s="3"/>
      <x:c r="B2966" s="3" t="str">
        <x:v>12493</x:v>
      </x:c>
      <x:c r="C2966" s="3" t="n">
        <x:v>2</x:v>
      </x:c>
      <x:c r="D2966" s="51" t="n">
        <x:v>40721</x:v>
      </x:c>
      <x:c r="E2966" s="3" t="str">
        <x:v>Recurrente</x:v>
      </x:c>
      <x:c r="F2966" s="13" t="n">
        <x:v>379.74</x:v>
      </x:c>
      <x:c r="G2966" s="13" t="n">
        <x:v>16.95</x:v>
      </x:c>
      <x:c r="H2966" s="13" t="n">
        <x:f>F2966-G2966</x:f>
        <x:v>362.79</x:v>
      </x:c>
      <x:c r="I2966" s="13" t="n">
        <x:f>IF(C2966=0,"n.a.",F2966/C2966)</x:f>
        <x:v>189.87</x:v>
      </x:c>
      <x:c r="J2966" s="3"/>
      <x:c r="K2966" s="3"/>
      <x:c r="L2966" s="3"/>
    </x:row>
    <x:row r="2967" ht="22" customHeight="1">
      <x:c r="A2967" s="3"/>
      <x:c r="B2967" s="3" t="str">
        <x:v>16052</x:v>
      </x:c>
      <x:c r="C2967" s="3" t="n">
        <x:v>1</x:v>
      </x:c>
      <x:c r="D2967" s="51" t="n">
        <x:v>40832</x:v>
      </x:c>
      <x:c r="E2967" s="3" t="str">
        <x:v>Una compra</x:v>
      </x:c>
      <x:c r="F2967" s="13" t="n">
        <x:v>362.06</x:v>
      </x:c>
      <x:c r="G2967" s="13" t="n">
        <x:v>0</x:v>
      </x:c>
      <x:c r="H2967" s="13" t="n">
        <x:f>F2967-G2967</x:f>
        <x:v>362.06</x:v>
      </x:c>
      <x:c r="I2967" s="13" t="n">
        <x:f>IF(C2967=0,"n.a.",F2967/C2967)</x:f>
        <x:v>362.06</x:v>
      </x:c>
      <x:c r="J2967" s="3"/>
      <x:c r="K2967" s="3"/>
      <x:c r="L2967" s="3"/>
    </x:row>
    <x:row r="2968" ht="22" customHeight="1">
      <x:c r="A2968" s="3"/>
      <x:c r="B2968" s="3" t="str">
        <x:v>15901</x:v>
      </x:c>
      <x:c r="C2968" s="3" t="n">
        <x:v>3</x:v>
      </x:c>
      <x:c r="D2968" s="51" t="n">
        <x:v>40870</x:v>
      </x:c>
      <x:c r="E2968" s="3" t="str">
        <x:v>Recurrente</x:v>
      </x:c>
      <x:c r="F2968" s="13" t="n">
        <x:v>361.9</x:v>
      </x:c>
      <x:c r="G2968" s="13" t="n">
        <x:v>0</x:v>
      </x:c>
      <x:c r="H2968" s="13" t="n">
        <x:f>F2968-G2968</x:f>
        <x:v>361.9</x:v>
      </x:c>
      <x:c r="I2968" s="13" t="n">
        <x:f>IF(C2968=0,"n.a.",F2968/C2968)</x:f>
        <x:v>120.63333333333333</x:v>
      </x:c>
      <x:c r="J2968" s="3"/>
      <x:c r="K2968" s="3"/>
      <x:c r="L2968" s="3"/>
    </x:row>
    <x:row r="2969" ht="22" customHeight="1">
      <x:c r="A2969" s="3"/>
      <x:c r="B2969" s="3" t="str">
        <x:v>13844</x:v>
      </x:c>
      <x:c r="C2969" s="3" t="n">
        <x:v>1</x:v>
      </x:c>
      <x:c r="D2969" s="51" t="n">
        <x:v>40875</x:v>
      </x:c>
      <x:c r="E2969" s="3" t="str">
        <x:v>Una compra</x:v>
      </x:c>
      <x:c r="F2969" s="13" t="n">
        <x:v>361.62</x:v>
      </x:c>
      <x:c r="G2969" s="13" t="n">
        <x:v>0</x:v>
      </x:c>
      <x:c r="H2969" s="13" t="n">
        <x:f>F2969-G2969</x:f>
        <x:v>361.62</x:v>
      </x:c>
      <x:c r="I2969" s="13" t="n">
        <x:f>IF(C2969=0,"n.a.",F2969/C2969)</x:f>
        <x:v>361.62</x:v>
      </x:c>
      <x:c r="J2969" s="3"/>
      <x:c r="K2969" s="3"/>
      <x:c r="L2969" s="3"/>
    </x:row>
    <x:row r="2970" ht="22" customHeight="1">
      <x:c r="A2970" s="3"/>
      <x:c r="B2970" s="3" t="str">
        <x:v>13936</x:v>
      </x:c>
      <x:c r="C2970" s="3" t="n">
        <x:v>1</x:v>
      </x:c>
      <x:c r="D2970" s="51" t="n">
        <x:v>40707</x:v>
      </x:c>
      <x:c r="E2970" s="3" t="str">
        <x:v>Una compra</x:v>
      </x:c>
      <x:c r="F2970" s="13" t="n">
        <x:v>376.58</x:v>
      </x:c>
      <x:c r="G2970" s="13" t="n">
        <x:v>15.3</x:v>
      </x:c>
      <x:c r="H2970" s="13" t="n">
        <x:f>F2970-G2970</x:f>
        <x:v>361.28</x:v>
      </x:c>
      <x:c r="I2970" s="13" t="n">
        <x:f>IF(C2970=0,"n.a.",F2970/C2970)</x:f>
        <x:v>376.58</x:v>
      </x:c>
      <x:c r="J2970" s="3"/>
      <x:c r="K2970" s="3"/>
      <x:c r="L2970" s="3"/>
    </x:row>
    <x:row r="2971" ht="22" customHeight="1">
      <x:c r="A2971" s="3"/>
      <x:c r="B2971" s="3" t="str">
        <x:v>14950</x:v>
      </x:c>
      <x:c r="C2971" s="3" t="n">
        <x:v>1</x:v>
      </x:c>
      <x:c r="D2971" s="51" t="n">
        <x:v>40867</x:v>
      </x:c>
      <x:c r="E2971" s="3" t="str">
        <x:v>Una compra</x:v>
      </x:c>
      <x:c r="F2971" s="13" t="n">
        <x:v>371.2</x:v>
      </x:c>
      <x:c r="G2971" s="13" t="n">
        <x:v>9.95</x:v>
      </x:c>
      <x:c r="H2971" s="13" t="n">
        <x:f>F2971-G2971</x:f>
        <x:v>361.25</x:v>
      </x:c>
      <x:c r="I2971" s="13" t="n">
        <x:f>IF(C2971=0,"n.a.",F2971/C2971)</x:f>
        <x:v>371.2</x:v>
      </x:c>
      <x:c r="J2971" s="3"/>
      <x:c r="K2971" s="3"/>
      <x:c r="L2971" s="3"/>
    </x:row>
    <x:row r="2972" ht="22" customHeight="1">
      <x:c r="A2972" s="3"/>
      <x:c r="B2972" s="3" t="str">
        <x:v>16305</x:v>
      </x:c>
      <x:c r="C2972" s="3" t="n">
        <x:v>1</x:v>
      </x:c>
      <x:c r="D2972" s="51" t="n">
        <x:v>40748</x:v>
      </x:c>
      <x:c r="E2972" s="3" t="str">
        <x:v>Una compra</x:v>
      </x:c>
      <x:c r="F2972" s="13" t="n">
        <x:v>361.22</x:v>
      </x:c>
      <x:c r="G2972" s="13" t="n">
        <x:v>0</x:v>
      </x:c>
      <x:c r="H2972" s="13" t="n">
        <x:f>F2972-G2972</x:f>
        <x:v>361.22</x:v>
      </x:c>
      <x:c r="I2972" s="13" t="n">
        <x:f>IF(C2972=0,"n.a.",F2972/C2972)</x:f>
        <x:v>361.22</x:v>
      </x:c>
      <x:c r="J2972" s="3"/>
      <x:c r="K2972" s="3"/>
      <x:c r="L2972" s="3"/>
    </x:row>
    <x:row r="2973" ht="22" customHeight="1">
      <x:c r="A2973" s="3"/>
      <x:c r="B2973" s="3" t="str">
        <x:v>13291</x:v>
      </x:c>
      <x:c r="C2973" s="3" t="n">
        <x:v>1</x:v>
      </x:c>
      <x:c r="D2973" s="51" t="n">
        <x:v>40731</x:v>
      </x:c>
      <x:c r="E2973" s="3" t="str">
        <x:v>Una compra</x:v>
      </x:c>
      <x:c r="F2973" s="13" t="n">
        <x:v>361.11</x:v>
      </x:c>
      <x:c r="G2973" s="13" t="n">
        <x:v>0</x:v>
      </x:c>
      <x:c r="H2973" s="13" t="n">
        <x:f>F2973-G2973</x:f>
        <x:v>361.11</x:v>
      </x:c>
      <x:c r="I2973" s="13" t="n">
        <x:f>IF(C2973=0,"n.a.",F2973/C2973)</x:f>
        <x:v>361.11</x:v>
      </x:c>
      <x:c r="J2973" s="3"/>
      <x:c r="K2973" s="3"/>
      <x:c r="L2973" s="3"/>
    </x:row>
    <x:row r="2974" ht="22" customHeight="1">
      <x:c r="A2974" s="3"/>
      <x:c r="B2974" s="3" t="str">
        <x:v>15872</x:v>
      </x:c>
      <x:c r="C2974" s="3" t="n">
        <x:v>2</x:v>
      </x:c>
      <x:c r="D2974" s="51" t="n">
        <x:v>40872</x:v>
      </x:c>
      <x:c r="E2974" s="3" t="str">
        <x:v>Recurrente</x:v>
      </x:c>
      <x:c r="F2974" s="13" t="n">
        <x:v>360.93</x:v>
      </x:c>
      <x:c r="G2974" s="13" t="n">
        <x:v>0</x:v>
      </x:c>
      <x:c r="H2974" s="13" t="n">
        <x:f>F2974-G2974</x:f>
        <x:v>360.93</x:v>
      </x:c>
      <x:c r="I2974" s="13" t="n">
        <x:f>IF(C2974=0,"n.a.",F2974/C2974)</x:f>
        <x:v>180.465</x:v>
      </x:c>
      <x:c r="J2974" s="3"/>
      <x:c r="K2974" s="3"/>
      <x:c r="L2974" s="3"/>
    </x:row>
    <x:row r="2975" ht="22" customHeight="1">
      <x:c r="A2975" s="3"/>
      <x:c r="B2975" s="3" t="str">
        <x:v>16595</x:v>
      </x:c>
      <x:c r="C2975" s="3" t="n">
        <x:v>1</x:v>
      </x:c>
      <x:c r="D2975" s="51" t="n">
        <x:v>40825</x:v>
      </x:c>
      <x:c r="E2975" s="3" t="str">
        <x:v>Una compra</x:v>
      </x:c>
      <x:c r="F2975" s="13" t="n">
        <x:v>360.16</x:v>
      </x:c>
      <x:c r="G2975" s="13" t="n">
        <x:v>0</x:v>
      </x:c>
      <x:c r="H2975" s="13" t="n">
        <x:f>F2975-G2975</x:f>
        <x:v>360.16</x:v>
      </x:c>
      <x:c r="I2975" s="13" t="n">
        <x:f>IF(C2975=0,"n.a.",F2975/C2975)</x:f>
        <x:v>360.16</x:v>
      </x:c>
      <x:c r="J2975" s="3"/>
      <x:c r="K2975" s="3"/>
      <x:c r="L2975" s="3"/>
    </x:row>
    <x:row r="2976" ht="22" customHeight="1">
      <x:c r="A2976" s="3"/>
      <x:c r="B2976" s="3" t="str">
        <x:v>13780</x:v>
      </x:c>
      <x:c r="C2976" s="3" t="n">
        <x:v>2</x:v>
      </x:c>
      <x:c r="D2976" s="51" t="n">
        <x:v>40879</x:v>
      </x:c>
      <x:c r="E2976" s="3" t="str">
        <x:v>Recurrente</x:v>
      </x:c>
      <x:c r="F2976" s="13" t="n">
        <x:v>360.01</x:v>
      </x:c>
      <x:c r="G2976" s="13" t="n">
        <x:v>0</x:v>
      </x:c>
      <x:c r="H2976" s="13" t="n">
        <x:f>F2976-G2976</x:f>
        <x:v>360.01</x:v>
      </x:c>
      <x:c r="I2976" s="13" t="n">
        <x:f>IF(C2976=0,"n.a.",F2976/C2976)</x:f>
        <x:v>180.005</x:v>
      </x:c>
      <x:c r="J2976" s="3"/>
      <x:c r="K2976" s="3"/>
      <x:c r="L2976" s="3"/>
    </x:row>
    <x:row r="2977" ht="22" customHeight="1">
      <x:c r="A2977" s="3"/>
      <x:c r="B2977" s="3" t="str">
        <x:v>12908</x:v>
      </x:c>
      <x:c r="C2977" s="3" t="n">
        <x:v>2</x:v>
      </x:c>
      <x:c r="D2977" s="51" t="n">
        <x:v>40710</x:v>
      </x:c>
      <x:c r="E2977" s="3" t="str">
        <x:v>Recurrente</x:v>
      </x:c>
      <x:c r="F2977" s="13" t="n">
        <x:v>750</x:v>
      </x:c>
      <x:c r="G2977" s="13" t="n">
        <x:v>390</x:v>
      </x:c>
      <x:c r="H2977" s="13" t="n">
        <x:f>F2977-G2977</x:f>
        <x:v>360</x:v>
      </x:c>
      <x:c r="I2977" s="13" t="n">
        <x:f>IF(C2977=0,"n.a.",F2977/C2977)</x:f>
        <x:v>375</x:v>
      </x:c>
      <x:c r="J2977" s="3"/>
      <x:c r="K2977" s="3"/>
      <x:c r="L2977" s="3"/>
    </x:row>
    <x:row r="2978" ht="22" customHeight="1">
      <x:c r="A2978" s="3"/>
      <x:c r="B2978" s="3" t="str">
        <x:v>13298</x:v>
      </x:c>
      <x:c r="C2978" s="3" t="n">
        <x:v>1</x:v>
      </x:c>
      <x:c r="D2978" s="51" t="n">
        <x:v>40885</x:v>
      </x:c>
      <x:c r="E2978" s="3" t="str">
        <x:v>Una compra</x:v>
      </x:c>
      <x:c r="F2978" s="13" t="n">
        <x:v>360</x:v>
      </x:c>
      <x:c r="G2978" s="13" t="n">
        <x:v>0</x:v>
      </x:c>
      <x:c r="H2978" s="13" t="n">
        <x:f>F2978-G2978</x:f>
        <x:v>360</x:v>
      </x:c>
      <x:c r="I2978" s="13" t="n">
        <x:f>IF(C2978=0,"n.a.",F2978/C2978)</x:f>
        <x:v>360</x:v>
      </x:c>
      <x:c r="J2978" s="3"/>
      <x:c r="K2978" s="3"/>
      <x:c r="L2978" s="3"/>
    </x:row>
    <x:row r="2979" ht="22" customHeight="1">
      <x:c r="A2979" s="3"/>
      <x:c r="B2979" s="3" t="str">
        <x:v>15664</x:v>
      </x:c>
      <x:c r="C2979" s="3" t="n">
        <x:v>1</x:v>
      </x:c>
      <x:c r="D2979" s="51" t="n">
        <x:v>40836</x:v>
      </x:c>
      <x:c r="E2979" s="3" t="str">
        <x:v>Una compra</x:v>
      </x:c>
      <x:c r="F2979" s="13" t="n">
        <x:v>386.43</x:v>
      </x:c>
      <x:c r="G2979" s="13" t="n">
        <x:v>27.8</x:v>
      </x:c>
      <x:c r="H2979" s="13" t="n">
        <x:f>F2979-G2979</x:f>
        <x:v>358.63</x:v>
      </x:c>
      <x:c r="I2979" s="13" t="n">
        <x:f>IF(C2979=0,"n.a.",F2979/C2979)</x:f>
        <x:v>386.43</x:v>
      </x:c>
      <x:c r="J2979" s="3"/>
      <x:c r="K2979" s="3"/>
      <x:c r="L2979" s="3"/>
    </x:row>
    <x:row r="2980" ht="22" customHeight="1">
      <x:c r="A2980" s="3"/>
      <x:c r="B2980" s="3" t="str">
        <x:v>14690</x:v>
      </x:c>
      <x:c r="C2980" s="3" t="n">
        <x:v>2</x:v>
      </x:c>
      <x:c r="D2980" s="51" t="n">
        <x:v>40842</x:v>
      </x:c>
      <x:c r="E2980" s="3" t="str">
        <x:v>Recurrente</x:v>
      </x:c>
      <x:c r="F2980" s="13" t="n">
        <x:v>371.7</x:v>
      </x:c>
      <x:c r="G2980" s="13" t="n">
        <x:v>13.09</x:v>
      </x:c>
      <x:c r="H2980" s="13" t="n">
        <x:f>F2980-G2980</x:f>
        <x:v>358.61</x:v>
      </x:c>
      <x:c r="I2980" s="13" t="n">
        <x:f>IF(C2980=0,"n.a.",F2980/C2980)</x:f>
        <x:v>185.85</x:v>
      </x:c>
      <x:c r="J2980" s="3"/>
      <x:c r="K2980" s="3"/>
      <x:c r="L2980" s="3"/>
    </x:row>
    <x:row r="2981" ht="22" customHeight="1">
      <x:c r="A2981" s="3"/>
      <x:c r="B2981" s="3" t="str">
        <x:v>17948</x:v>
      </x:c>
      <x:c r="C2981" s="3" t="n">
        <x:v>1</x:v>
      </x:c>
      <x:c r="D2981" s="51" t="n">
        <x:v>40739</x:v>
      </x:c>
      <x:c r="E2981" s="3" t="str">
        <x:v>Una compra</x:v>
      </x:c>
      <x:c r="F2981" s="13" t="n">
        <x:v>358.56</x:v>
      </x:c>
      <x:c r="G2981" s="13" t="n">
        <x:v>0</x:v>
      </x:c>
      <x:c r="H2981" s="13" t="n">
        <x:f>F2981-G2981</x:f>
        <x:v>358.56</x:v>
      </x:c>
      <x:c r="I2981" s="13" t="n">
        <x:f>IF(C2981=0,"n.a.",F2981/C2981)</x:f>
        <x:v>358.56</x:v>
      </x:c>
      <x:c r="J2981" s="3"/>
      <x:c r="K2981" s="3"/>
      <x:c r="L2981" s="3"/>
    </x:row>
    <x:row r="2982" ht="22" customHeight="1">
      <x:c r="A2982" s="3"/>
      <x:c r="B2982" s="3" t="str">
        <x:v>16823</x:v>
      </x:c>
      <x:c r="C2982" s="3" t="n">
        <x:v>1</x:v>
      </x:c>
      <x:c r="D2982" s="51" t="n">
        <x:v>40659</x:v>
      </x:c>
      <x:c r="E2982" s="3" t="str">
        <x:v>Una compra</x:v>
      </x:c>
      <x:c r="F2982" s="13" t="n">
        <x:v>358.38</x:v>
      </x:c>
      <x:c r="G2982" s="13" t="n">
        <x:v>0</x:v>
      </x:c>
      <x:c r="H2982" s="13" t="n">
        <x:f>F2982-G2982</x:f>
        <x:v>358.38</x:v>
      </x:c>
      <x:c r="I2982" s="13" t="n">
        <x:f>IF(C2982=0,"n.a.",F2982/C2982)</x:f>
        <x:v>358.38</x:v>
      </x:c>
      <x:c r="J2982" s="3"/>
      <x:c r="K2982" s="3"/>
      <x:c r="L2982" s="3"/>
    </x:row>
    <x:row r="2983" ht="22" customHeight="1">
      <x:c r="A2983" s="3"/>
      <x:c r="B2983" s="3" t="str">
        <x:v>13228</x:v>
      </x:c>
      <x:c r="C2983" s="3" t="n">
        <x:v>1</x:v>
      </x:c>
      <x:c r="D2983" s="51" t="n">
        <x:v>40805</x:v>
      </x:c>
      <x:c r="E2983" s="3" t="str">
        <x:v>Una compra</x:v>
      </x:c>
      <x:c r="F2983" s="13" t="n">
        <x:v>358</x:v>
      </x:c>
      <x:c r="G2983" s="13" t="n">
        <x:v>0</x:v>
      </x:c>
      <x:c r="H2983" s="13" t="n">
        <x:f>F2983-G2983</x:f>
        <x:v>358</x:v>
      </x:c>
      <x:c r="I2983" s="13" t="n">
        <x:f>IF(C2983=0,"n.a.",F2983/C2983)</x:f>
        <x:v>358</x:v>
      </x:c>
      <x:c r="J2983" s="3"/>
      <x:c r="K2983" s="3"/>
      <x:c r="L2983" s="3"/>
    </x:row>
    <x:row r="2984" ht="22" customHeight="1">
      <x:c r="A2984" s="3"/>
      <x:c r="B2984" s="3" t="str">
        <x:v>13976</x:v>
      </x:c>
      <x:c r="C2984" s="3" t="n">
        <x:v>1</x:v>
      </x:c>
      <x:c r="D2984" s="51" t="n">
        <x:v>40680</x:v>
      </x:c>
      <x:c r="E2984" s="3" t="str">
        <x:v>Una compra</x:v>
      </x:c>
      <x:c r="F2984" s="13" t="n">
        <x:v>357.98</x:v>
      </x:c>
      <x:c r="G2984" s="13" t="n">
        <x:v>0</x:v>
      </x:c>
      <x:c r="H2984" s="13" t="n">
        <x:f>F2984-G2984</x:f>
        <x:v>357.98</x:v>
      </x:c>
      <x:c r="I2984" s="13" t="n">
        <x:f>IF(C2984=0,"n.a.",F2984/C2984)</x:f>
        <x:v>357.98</x:v>
      </x:c>
      <x:c r="J2984" s="3"/>
      <x:c r="K2984" s="3"/>
      <x:c r="L2984" s="3"/>
    </x:row>
    <x:row r="2985" ht="22" customHeight="1">
      <x:c r="A2985" s="3"/>
      <x:c r="B2985" s="3" t="str">
        <x:v>17025</x:v>
      </x:c>
      <x:c r="C2985" s="3" t="n">
        <x:v>3</x:v>
      </x:c>
      <x:c r="D2985" s="51" t="n">
        <x:v>40826</x:v>
      </x:c>
      <x:c r="E2985" s="3" t="str">
        <x:v>Recurrente</x:v>
      </x:c>
      <x:c r="F2985" s="13" t="n">
        <x:v>357.77</x:v>
      </x:c>
      <x:c r="G2985" s="13" t="n">
        <x:v>0</x:v>
      </x:c>
      <x:c r="H2985" s="13" t="n">
        <x:f>F2985-G2985</x:f>
        <x:v>357.77</x:v>
      </x:c>
      <x:c r="I2985" s="13" t="n">
        <x:f>IF(C2985=0,"n.a.",F2985/C2985)</x:f>
        <x:v>119.25666666666666</x:v>
      </x:c>
      <x:c r="J2985" s="3"/>
      <x:c r="K2985" s="3"/>
      <x:c r="L2985" s="3"/>
    </x:row>
    <x:row r="2986" ht="22" customHeight="1">
      <x:c r="A2986" s="3"/>
      <x:c r="B2986" s="3" t="str">
        <x:v>16971</x:v>
      </x:c>
      <x:c r="C2986" s="3" t="n">
        <x:v>1</x:v>
      </x:c>
      <x:c r="D2986" s="51" t="n">
        <x:v>40848</x:v>
      </x:c>
      <x:c r="E2986" s="3" t="str">
        <x:v>Una compra</x:v>
      </x:c>
      <x:c r="F2986" s="13" t="n">
        <x:v>357.21</x:v>
      </x:c>
      <x:c r="G2986" s="13" t="n">
        <x:v>0</x:v>
      </x:c>
      <x:c r="H2986" s="13" t="n">
        <x:f>F2986-G2986</x:f>
        <x:v>357.21</x:v>
      </x:c>
      <x:c r="I2986" s="13" t="n">
        <x:f>IF(C2986=0,"n.a.",F2986/C2986)</x:f>
        <x:v>357.21</x:v>
      </x:c>
      <x:c r="J2986" s="3"/>
      <x:c r="K2986" s="3"/>
      <x:c r="L2986" s="3"/>
    </x:row>
    <x:row r="2987" ht="22" customHeight="1">
      <x:c r="A2987" s="3"/>
      <x:c r="B2987" s="3" t="str">
        <x:v>18040</x:v>
      </x:c>
      <x:c r="C2987" s="3" t="n">
        <x:v>2</x:v>
      </x:c>
      <x:c r="D2987" s="51" t="n">
        <x:v>40867</x:v>
      </x:c>
      <x:c r="E2987" s="3" t="str">
        <x:v>Recurrente</x:v>
      </x:c>
      <x:c r="F2987" s="13" t="n">
        <x:v>357.2</x:v>
      </x:c>
      <x:c r="G2987" s="13" t="n">
        <x:v>0</x:v>
      </x:c>
      <x:c r="H2987" s="13" t="n">
        <x:f>F2987-G2987</x:f>
        <x:v>357.2</x:v>
      </x:c>
      <x:c r="I2987" s="13" t="n">
        <x:f>IF(C2987=0,"n.a.",F2987/C2987)</x:f>
        <x:v>178.6</x:v>
      </x:c>
      <x:c r="J2987" s="3"/>
      <x:c r="K2987" s="3"/>
      <x:c r="L2987" s="3"/>
    </x:row>
    <x:row r="2988" ht="22" customHeight="1">
      <x:c r="A2988" s="3"/>
      <x:c r="B2988" s="3" t="str">
        <x:v>13453</x:v>
      </x:c>
      <x:c r="C2988" s="3" t="n">
        <x:v>2</x:v>
      </x:c>
      <x:c r="D2988" s="51" t="n">
        <x:v>40721</x:v>
      </x:c>
      <x:c r="E2988" s="3" t="str">
        <x:v>Recurrente</x:v>
      </x:c>
      <x:c r="F2988" s="13" t="n">
        <x:v>356.98</x:v>
      </x:c>
      <x:c r="G2988" s="13" t="n">
        <x:v>0</x:v>
      </x:c>
      <x:c r="H2988" s="13" t="n">
        <x:f>F2988-G2988</x:f>
        <x:v>356.98</x:v>
      </x:c>
      <x:c r="I2988" s="13" t="n">
        <x:f>IF(C2988=0,"n.a.",F2988/C2988)</x:f>
        <x:v>178.49</x:v>
      </x:c>
      <x:c r="J2988" s="3"/>
      <x:c r="K2988" s="3"/>
      <x:c r="L2988" s="3"/>
    </x:row>
    <x:row r="2989" ht="22" customHeight="1">
      <x:c r="A2989" s="3"/>
      <x:c r="B2989" s="3" t="str">
        <x:v>14500</x:v>
      </x:c>
      <x:c r="C2989" s="3" t="n">
        <x:v>3</x:v>
      </x:c>
      <x:c r="D2989" s="51" t="n">
        <x:v>40798</x:v>
      </x:c>
      <x:c r="E2989" s="3" t="str">
        <x:v>Recurrente</x:v>
      </x:c>
      <x:c r="F2989" s="13" t="n">
        <x:v>356.85</x:v>
      </x:c>
      <x:c r="G2989" s="13" t="n">
        <x:v>0</x:v>
      </x:c>
      <x:c r="H2989" s="13" t="n">
        <x:f>F2989-G2989</x:f>
        <x:v>356.85</x:v>
      </x:c>
      <x:c r="I2989" s="13" t="n">
        <x:f>IF(C2989=0,"n.a.",F2989/C2989)</x:f>
        <x:v>118.95</x:v>
      </x:c>
      <x:c r="J2989" s="3"/>
      <x:c r="K2989" s="3"/>
      <x:c r="L2989" s="3"/>
    </x:row>
    <x:row r="2990" ht="22" customHeight="1">
      <x:c r="A2990" s="3"/>
      <x:c r="B2990" s="3" t="str">
        <x:v>15247</x:v>
      </x:c>
      <x:c r="C2990" s="3" t="n">
        <x:v>1</x:v>
      </x:c>
      <x:c r="D2990" s="51" t="n">
        <x:v>40764</x:v>
      </x:c>
      <x:c r="E2990" s="3" t="str">
        <x:v>Una compra</x:v>
      </x:c>
      <x:c r="F2990" s="13" t="n">
        <x:v>356</x:v>
      </x:c>
      <x:c r="G2990" s="13" t="n">
        <x:v>0</x:v>
      </x:c>
      <x:c r="H2990" s="13" t="n">
        <x:f>F2990-G2990</x:f>
        <x:v>356</x:v>
      </x:c>
      <x:c r="I2990" s="13" t="n">
        <x:f>IF(C2990=0,"n.a.",F2990/C2990)</x:f>
        <x:v>356</x:v>
      </x:c>
      <x:c r="J2990" s="3"/>
      <x:c r="K2990" s="3"/>
      <x:c r="L2990" s="3"/>
    </x:row>
    <x:row r="2991" ht="22" customHeight="1">
      <x:c r="A2991" s="3"/>
      <x:c r="B2991" s="3" t="str">
        <x:v>14537</x:v>
      </x:c>
      <x:c r="C2991" s="3" t="n">
        <x:v>1</x:v>
      </x:c>
      <x:c r="D2991" s="51" t="n">
        <x:v>40829</x:v>
      </x:c>
      <x:c r="E2991" s="3" t="str">
        <x:v>Una compra</x:v>
      </x:c>
      <x:c r="F2991" s="13" t="n">
        <x:v>355.56</x:v>
      </x:c>
      <x:c r="G2991" s="13" t="n">
        <x:v>0</x:v>
      </x:c>
      <x:c r="H2991" s="13" t="n">
        <x:f>F2991-G2991</x:f>
        <x:v>355.56</x:v>
      </x:c>
      <x:c r="I2991" s="13" t="n">
        <x:f>IF(C2991=0,"n.a.",F2991/C2991)</x:f>
        <x:v>355.56</x:v>
      </x:c>
      <x:c r="J2991" s="3"/>
      <x:c r="K2991" s="3"/>
      <x:c r="L2991" s="3"/>
    </x:row>
    <x:row r="2992" ht="22" customHeight="1">
      <x:c r="A2992" s="3"/>
      <x:c r="B2992" s="3" t="str">
        <x:v>12617</x:v>
      </x:c>
      <x:c r="C2992" s="3" t="n">
        <x:v>1</x:v>
      </x:c>
      <x:c r="D2992" s="51" t="n">
        <x:v>40857</x:v>
      </x:c>
      <x:c r="E2992" s="3" t="str">
        <x:v>Una compra</x:v>
      </x:c>
      <x:c r="F2992" s="13" t="n">
        <x:v>355.53</x:v>
      </x:c>
      <x:c r="G2992" s="13" t="n">
        <x:v>0</x:v>
      </x:c>
      <x:c r="H2992" s="13" t="n">
        <x:f>F2992-G2992</x:f>
        <x:v>355.53</x:v>
      </x:c>
      <x:c r="I2992" s="13" t="n">
        <x:f>IF(C2992=0,"n.a.",F2992/C2992)</x:f>
        <x:v>355.53</x:v>
      </x:c>
      <x:c r="J2992" s="3"/>
      <x:c r="K2992" s="3"/>
      <x:c r="L2992" s="3"/>
    </x:row>
    <x:row r="2993" ht="22" customHeight="1">
      <x:c r="A2993" s="3"/>
      <x:c r="B2993" s="3" t="str">
        <x:v>17742</x:v>
      </x:c>
      <x:c r="C2993" s="3" t="n">
        <x:v>2</x:v>
      </x:c>
      <x:c r="D2993" s="51" t="n">
        <x:v>40773</x:v>
      </x:c>
      <x:c r="E2993" s="3" t="str">
        <x:v>Recurrente</x:v>
      </x:c>
      <x:c r="F2993" s="13" t="n">
        <x:v>355.11</x:v>
      </x:c>
      <x:c r="G2993" s="13" t="n">
        <x:v>0</x:v>
      </x:c>
      <x:c r="H2993" s="13" t="n">
        <x:f>F2993-G2993</x:f>
        <x:v>355.11</x:v>
      </x:c>
      <x:c r="I2993" s="13" t="n">
        <x:f>IF(C2993=0,"n.a.",F2993/C2993)</x:f>
        <x:v>177.555</x:v>
      </x:c>
      <x:c r="J2993" s="3"/>
      <x:c r="K2993" s="3"/>
      <x:c r="L2993" s="3"/>
    </x:row>
    <x:row r="2994" ht="22" customHeight="1">
      <x:c r="A2994" s="3"/>
      <x:c r="B2994" s="3" t="str">
        <x:v>16689</x:v>
      </x:c>
      <x:c r="C2994" s="3" t="n">
        <x:v>2</x:v>
      </x:c>
      <x:c r="D2994" s="51" t="n">
        <x:v>40811</x:v>
      </x:c>
      <x:c r="E2994" s="3" t="str">
        <x:v>Recurrente</x:v>
      </x:c>
      <x:c r="F2994" s="13" t="n">
        <x:v>422.6</x:v>
      </x:c>
      <x:c r="G2994" s="13" t="n">
        <x:v>67.5</x:v>
      </x:c>
      <x:c r="H2994" s="13" t="n">
        <x:f>F2994-G2994</x:f>
        <x:v>355.1</x:v>
      </x:c>
      <x:c r="I2994" s="13" t="n">
        <x:f>IF(C2994=0,"n.a.",F2994/C2994)</x:f>
        <x:v>211.3</x:v>
      </x:c>
      <x:c r="J2994" s="3"/>
      <x:c r="K2994" s="3"/>
      <x:c r="L2994" s="3"/>
    </x:row>
    <x:row r="2995" ht="22" customHeight="1">
      <x:c r="A2995" s="3"/>
      <x:c r="B2995" s="3" t="str">
        <x:v>13642</x:v>
      </x:c>
      <x:c r="C2995" s="3" t="n">
        <x:v>1</x:v>
      </x:c>
      <x:c r="D2995" s="51" t="n">
        <x:v>40671</x:v>
      </x:c>
      <x:c r="E2995" s="3" t="str">
        <x:v>Una compra</x:v>
      </x:c>
      <x:c r="F2995" s="13" t="n">
        <x:v>354.8</x:v>
      </x:c>
      <x:c r="G2995" s="13" t="n">
        <x:v>0</x:v>
      </x:c>
      <x:c r="H2995" s="13" t="n">
        <x:f>F2995-G2995</x:f>
        <x:v>354.8</x:v>
      </x:c>
      <x:c r="I2995" s="13" t="n">
        <x:f>IF(C2995=0,"n.a.",F2995/C2995)</x:f>
        <x:v>354.8</x:v>
      </x:c>
      <x:c r="J2995" s="3"/>
      <x:c r="K2995" s="3"/>
      <x:c r="L2995" s="3"/>
    </x:row>
    <x:row r="2996" ht="22" customHeight="1">
      <x:c r="A2996" s="3"/>
      <x:c r="B2996" s="3" t="str">
        <x:v>17222</x:v>
      </x:c>
      <x:c r="C2996" s="3" t="n">
        <x:v>1</x:v>
      </x:c>
      <x:c r="D2996" s="51" t="n">
        <x:v>40821</x:v>
      </x:c>
      <x:c r="E2996" s="3" t="str">
        <x:v>Una compra</x:v>
      </x:c>
      <x:c r="F2996" s="13" t="n">
        <x:v>354.15</x:v>
      </x:c>
      <x:c r="G2996" s="13" t="n">
        <x:v>0</x:v>
      </x:c>
      <x:c r="H2996" s="13" t="n">
        <x:f>F2996-G2996</x:f>
        <x:v>354.15</x:v>
      </x:c>
      <x:c r="I2996" s="13" t="n">
        <x:f>IF(C2996=0,"n.a.",F2996/C2996)</x:f>
        <x:v>354.15</x:v>
      </x:c>
      <x:c r="J2996" s="3"/>
      <x:c r="K2996" s="3"/>
      <x:c r="L2996" s="3"/>
    </x:row>
    <x:row r="2997" ht="22" customHeight="1">
      <x:c r="A2997" s="3"/>
      <x:c r="B2997" s="3" t="str">
        <x:v>12845</x:v>
      </x:c>
      <x:c r="C2997" s="3" t="n">
        <x:v>4</x:v>
      </x:c>
      <x:c r="D2997" s="51" t="n">
        <x:v>40619</x:v>
      </x:c>
      <x:c r="E2997" s="3" t="str">
        <x:v>Recurrente</x:v>
      </x:c>
      <x:c r="F2997" s="13" t="n">
        <x:v>354.09</x:v>
      </x:c>
      <x:c r="G2997" s="13" t="n">
        <x:v>0</x:v>
      </x:c>
      <x:c r="H2997" s="13" t="n">
        <x:f>F2997-G2997</x:f>
        <x:v>354.09</x:v>
      </x:c>
      <x:c r="I2997" s="13" t="n">
        <x:f>IF(C2997=0,"n.a.",F2997/C2997)</x:f>
        <x:v>88.5225</x:v>
      </x:c>
      <x:c r="J2997" s="3"/>
      <x:c r="K2997" s="3"/>
      <x:c r="L2997" s="3"/>
    </x:row>
    <x:row r="2998" ht="22" customHeight="1">
      <x:c r="A2998" s="3"/>
      <x:c r="B2998" s="3" t="str">
        <x:v>15870</x:v>
      </x:c>
      <x:c r="C2998" s="3" t="n">
        <x:v>1</x:v>
      </x:c>
      <x:c r="D2998" s="51" t="n">
        <x:v>40854</x:v>
      </x:c>
      <x:c r="E2998" s="3" t="str">
        <x:v>Una compra</x:v>
      </x:c>
      <x:c r="F2998" s="13" t="n">
        <x:v>354.09</x:v>
      </x:c>
      <x:c r="G2998" s="13" t="n">
        <x:v>0</x:v>
      </x:c>
      <x:c r="H2998" s="13" t="n">
        <x:f>F2998-G2998</x:f>
        <x:v>354.09</x:v>
      </x:c>
      <x:c r="I2998" s="13" t="n">
        <x:f>IF(C2998=0,"n.a.",F2998/C2998)</x:f>
        <x:v>354.09</x:v>
      </x:c>
      <x:c r="J2998" s="3"/>
      <x:c r="K2998" s="3"/>
      <x:c r="L2998" s="3"/>
    </x:row>
    <x:row r="2999" ht="22" customHeight="1">
      <x:c r="A2999" s="3"/>
      <x:c r="B2999" s="3" t="str">
        <x:v>17252</x:v>
      </x:c>
      <x:c r="C2999" s="3" t="n">
        <x:v>2</x:v>
      </x:c>
      <x:c r="D2999" s="51" t="n">
        <x:v>40770</x:v>
      </x:c>
      <x:c r="E2999" s="3" t="str">
        <x:v>Recurrente</x:v>
      </x:c>
      <x:c r="F2999" s="13" t="n">
        <x:v>353.86</x:v>
      </x:c>
      <x:c r="G2999" s="13" t="n">
        <x:v>0</x:v>
      </x:c>
      <x:c r="H2999" s="13" t="n">
        <x:f>F2999-G2999</x:f>
        <x:v>353.86</x:v>
      </x:c>
      <x:c r="I2999" s="13" t="n">
        <x:f>IF(C2999=0,"n.a.",F2999/C2999)</x:f>
        <x:v>176.93</x:v>
      </x:c>
      <x:c r="J2999" s="3"/>
      <x:c r="K2999" s="3"/>
      <x:c r="L2999" s="3"/>
    </x:row>
    <x:row r="3000" ht="22" customHeight="1">
      <x:c r="A3000" s="3"/>
      <x:c r="B3000" s="3" t="str">
        <x:v>13173</x:v>
      </x:c>
      <x:c r="C3000" s="3" t="n">
        <x:v>2</x:v>
      </x:c>
      <x:c r="D3000" s="51" t="n">
        <x:v>40882</x:v>
      </x:c>
      <x:c r="E3000" s="3" t="str">
        <x:v>Recurrente</x:v>
      </x:c>
      <x:c r="F3000" s="13" t="n">
        <x:v>353.65</x:v>
      </x:c>
      <x:c r="G3000" s="13" t="n">
        <x:v>0</x:v>
      </x:c>
      <x:c r="H3000" s="13" t="n">
        <x:f>F3000-G3000</x:f>
        <x:v>353.65</x:v>
      </x:c>
      <x:c r="I3000" s="13" t="n">
        <x:f>IF(C3000=0,"n.a.",F3000/C3000)</x:f>
        <x:v>176.825</x:v>
      </x:c>
      <x:c r="J3000" s="3"/>
      <x:c r="K3000" s="3"/>
      <x:c r="L3000" s="3"/>
    </x:row>
    <x:row r="3001" ht="22" customHeight="1">
      <x:c r="A3001" s="3"/>
      <x:c r="B3001" s="3" t="str">
        <x:v>13210</x:v>
      </x:c>
      <x:c r="C3001" s="3" t="n">
        <x:v>1</x:v>
      </x:c>
      <x:c r="D3001" s="51" t="n">
        <x:v>40793</x:v>
      </x:c>
      <x:c r="E3001" s="3" t="str">
        <x:v>Una compra</x:v>
      </x:c>
      <x:c r="F3001" s="13" t="n">
        <x:v>353.48</x:v>
      </x:c>
      <x:c r="G3001" s="13" t="n">
        <x:v>0</x:v>
      </x:c>
      <x:c r="H3001" s="13" t="n">
        <x:f>F3001-G3001</x:f>
        <x:v>353.48</x:v>
      </x:c>
      <x:c r="I3001" s="13" t="n">
        <x:f>IF(C3001=0,"n.a.",F3001/C3001)</x:f>
        <x:v>353.48</x:v>
      </x:c>
      <x:c r="J3001" s="3"/>
      <x:c r="K3001" s="3"/>
      <x:c r="L3001" s="3"/>
    </x:row>
    <x:row r="3002" ht="22" customHeight="1">
      <x:c r="A3002" s="3"/>
      <x:c r="B3002" s="3" t="str">
        <x:v>14804</x:v>
      </x:c>
      <x:c r="C3002" s="3" t="n">
        <x:v>1</x:v>
      </x:c>
      <x:c r="D3002" s="51" t="n">
        <x:v>40878</x:v>
      </x:c>
      <x:c r="E3002" s="3" t="str">
        <x:v>Una compra</x:v>
      </x:c>
      <x:c r="F3002" s="13" t="n">
        <x:v>353.27</x:v>
      </x:c>
      <x:c r="G3002" s="13" t="n">
        <x:v>0</x:v>
      </x:c>
      <x:c r="H3002" s="13" t="n">
        <x:f>F3002-G3002</x:f>
        <x:v>353.27</x:v>
      </x:c>
      <x:c r="I3002" s="13" t="n">
        <x:f>IF(C3002=0,"n.a.",F3002/C3002)</x:f>
        <x:v>353.27</x:v>
      </x:c>
      <x:c r="J3002" s="3"/>
      <x:c r="K3002" s="3"/>
      <x:c r="L3002" s="3"/>
    </x:row>
    <x:row r="3003" ht="22" customHeight="1">
      <x:c r="A3003" s="3"/>
      <x:c r="B3003" s="3" t="str">
        <x:v>17976</x:v>
      </x:c>
      <x:c r="C3003" s="3" t="n">
        <x:v>1</x:v>
      </x:c>
      <x:c r="D3003" s="51" t="n">
        <x:v>40514</x:v>
      </x:c>
      <x:c r="E3003" s="3" t="str">
        <x:v>Una compra</x:v>
      </x:c>
      <x:c r="F3003" s="13" t="n">
        <x:v>353.19</x:v>
      </x:c>
      <x:c r="G3003" s="13" t="n">
        <x:v>0</x:v>
      </x:c>
      <x:c r="H3003" s="13" t="n">
        <x:f>F3003-G3003</x:f>
        <x:v>353.19</x:v>
      </x:c>
      <x:c r="I3003" s="13" t="n">
        <x:f>IF(C3003=0,"n.a.",F3003/C3003)</x:f>
        <x:v>353.19</x:v>
      </x:c>
      <x:c r="J3003" s="3"/>
      <x:c r="K3003" s="3"/>
      <x:c r="L3003" s="3"/>
    </x:row>
    <x:row r="3004" ht="22" customHeight="1">
      <x:c r="A3004" s="3"/>
      <x:c r="B3004" s="3" t="str">
        <x:v>15678</x:v>
      </x:c>
      <x:c r="C3004" s="3" t="n">
        <x:v>1</x:v>
      </x:c>
      <x:c r="D3004" s="51" t="n">
        <x:v>40834</x:v>
      </x:c>
      <x:c r="E3004" s="3" t="str">
        <x:v>Una compra</x:v>
      </x:c>
      <x:c r="F3004" s="13" t="n">
        <x:v>352.7</x:v>
      </x:c>
      <x:c r="G3004" s="13" t="n">
        <x:v>0</x:v>
      </x:c>
      <x:c r="H3004" s="13" t="n">
        <x:f>F3004-G3004</x:f>
        <x:v>352.7</x:v>
      </x:c>
      <x:c r="I3004" s="13" t="n">
        <x:f>IF(C3004=0,"n.a.",F3004/C3004)</x:f>
        <x:v>352.7</x:v>
      </x:c>
      <x:c r="J3004" s="3"/>
      <x:c r="K3004" s="3"/>
      <x:c r="L3004" s="3"/>
    </x:row>
    <x:row r="3005" ht="22" customHeight="1">
      <x:c r="A3005" s="3"/>
      <x:c r="B3005" s="3" t="str">
        <x:v>18112</x:v>
      </x:c>
      <x:c r="C3005" s="3" t="n">
        <x:v>2</x:v>
      </x:c>
      <x:c r="D3005" s="51" t="n">
        <x:v>40874</x:v>
      </x:c>
      <x:c r="E3005" s="3" t="str">
        <x:v>Recurrente</x:v>
      </x:c>
      <x:c r="F3005" s="13" t="n">
        <x:v>352.69</x:v>
      </x:c>
      <x:c r="G3005" s="13" t="n">
        <x:v>0</x:v>
      </x:c>
      <x:c r="H3005" s="13" t="n">
        <x:f>F3005-G3005</x:f>
        <x:v>352.69</x:v>
      </x:c>
      <x:c r="I3005" s="13" t="n">
        <x:f>IF(C3005=0,"n.a.",F3005/C3005)</x:f>
        <x:v>176.345</x:v>
      </x:c>
      <x:c r="J3005" s="3"/>
      <x:c r="K3005" s="3"/>
      <x:c r="L3005" s="3"/>
    </x:row>
    <x:row r="3006" ht="22" customHeight="1">
      <x:c r="A3006" s="3"/>
      <x:c r="B3006" s="3" t="str">
        <x:v>14333</x:v>
      </x:c>
      <x:c r="C3006" s="3" t="n">
        <x:v>1</x:v>
      </x:c>
      <x:c r="D3006" s="51" t="n">
        <x:v>40819</x:v>
      </x:c>
      <x:c r="E3006" s="3" t="str">
        <x:v>Una compra</x:v>
      </x:c>
      <x:c r="F3006" s="13" t="n">
        <x:v>415.2</x:v>
      </x:c>
      <x:c r="G3006" s="13" t="n">
        <x:v>63.75</x:v>
      </x:c>
      <x:c r="H3006" s="13" t="n">
        <x:f>F3006-G3006</x:f>
        <x:v>351.45</x:v>
      </x:c>
      <x:c r="I3006" s="13" t="n">
        <x:f>IF(C3006=0,"n.a.",F3006/C3006)</x:f>
        <x:v>415.2</x:v>
      </x:c>
      <x:c r="J3006" s="3"/>
      <x:c r="K3006" s="3"/>
      <x:c r="L3006" s="3"/>
    </x:row>
    <x:row r="3007" ht="22" customHeight="1">
      <x:c r="A3007" s="3"/>
      <x:c r="B3007" s="3" t="str">
        <x:v>12582</x:v>
      </x:c>
      <x:c r="C3007" s="3" t="n">
        <x:v>2</x:v>
      </x:c>
      <x:c r="D3007" s="51" t="n">
        <x:v>40648</x:v>
      </x:c>
      <x:c r="E3007" s="3" t="str">
        <x:v>Recurrente</x:v>
      </x:c>
      <x:c r="F3007" s="13" t="n">
        <x:v>351.36</x:v>
      </x:c>
      <x:c r="G3007" s="13" t="n">
        <x:v>0</x:v>
      </x:c>
      <x:c r="H3007" s="13" t="n">
        <x:f>F3007-G3007</x:f>
        <x:v>351.36</x:v>
      </x:c>
      <x:c r="I3007" s="13" t="n">
        <x:f>IF(C3007=0,"n.a.",F3007/C3007)</x:f>
        <x:v>175.68</x:v>
      </x:c>
      <x:c r="J3007" s="3"/>
      <x:c r="K3007" s="3"/>
      <x:c r="L3007" s="3"/>
    </x:row>
    <x:row r="3008" ht="22" customHeight="1">
      <x:c r="A3008" s="3"/>
      <x:c r="B3008" s="3" t="str">
        <x:v>15789</x:v>
      </x:c>
      <x:c r="C3008" s="3" t="n">
        <x:v>1</x:v>
      </x:c>
      <x:c r="D3008" s="51" t="n">
        <x:v>40528</x:v>
      </x:c>
      <x:c r="E3008" s="3" t="str">
        <x:v>Una compra</x:v>
      </x:c>
      <x:c r="F3008" s="13" t="n">
        <x:v>351.3</x:v>
      </x:c>
      <x:c r="G3008" s="13" t="n">
        <x:v>0</x:v>
      </x:c>
      <x:c r="H3008" s="13" t="n">
        <x:f>F3008-G3008</x:f>
        <x:v>351.3</x:v>
      </x:c>
      <x:c r="I3008" s="13" t="n">
        <x:f>IF(C3008=0,"n.a.",F3008/C3008)</x:f>
        <x:v>351.3</x:v>
      </x:c>
      <x:c r="J3008" s="3"/>
      <x:c r="K3008" s="3"/>
      <x:c r="L3008" s="3"/>
    </x:row>
    <x:row r="3009" ht="22" customHeight="1">
      <x:c r="A3009" s="3"/>
      <x:c r="B3009" s="3" t="str">
        <x:v>13923</x:v>
      </x:c>
      <x:c r="C3009" s="3" t="n">
        <x:v>1</x:v>
      </x:c>
      <x:c r="D3009" s="51" t="n">
        <x:v>40833</x:v>
      </x:c>
      <x:c r="E3009" s="3" t="str">
        <x:v>Una compra</x:v>
      </x:c>
      <x:c r="F3009" s="13" t="n">
        <x:v>351.13</x:v>
      </x:c>
      <x:c r="G3009" s="13" t="n">
        <x:v>0</x:v>
      </x:c>
      <x:c r="H3009" s="13" t="n">
        <x:f>F3009-G3009</x:f>
        <x:v>351.13</x:v>
      </x:c>
      <x:c r="I3009" s="13" t="n">
        <x:f>IF(C3009=0,"n.a.",F3009/C3009)</x:f>
        <x:v>351.13</x:v>
      </x:c>
      <x:c r="J3009" s="3"/>
      <x:c r="K3009" s="3"/>
      <x:c r="L3009" s="3"/>
    </x:row>
    <x:row r="3010" ht="22" customHeight="1">
      <x:c r="A3010" s="3"/>
      <x:c r="B3010" s="3" t="str">
        <x:v>15900</x:v>
      </x:c>
      <x:c r="C3010" s="3" t="n">
        <x:v>1</x:v>
      </x:c>
      <x:c r="D3010" s="51" t="n">
        <x:v>40863</x:v>
      </x:c>
      <x:c r="E3010" s="3" t="str">
        <x:v>Una compra</x:v>
      </x:c>
      <x:c r="F3010" s="13" t="n">
        <x:v>351.11</x:v>
      </x:c>
      <x:c r="G3010" s="13" t="n">
        <x:v>0</x:v>
      </x:c>
      <x:c r="H3010" s="13" t="n">
        <x:f>F3010-G3010</x:f>
        <x:v>351.11</x:v>
      </x:c>
      <x:c r="I3010" s="13" t="n">
        <x:f>IF(C3010=0,"n.a.",F3010/C3010)</x:f>
        <x:v>351.11</x:v>
      </x:c>
      <x:c r="J3010" s="3"/>
      <x:c r="K3010" s="3"/>
      <x:c r="L3010" s="3"/>
    </x:row>
    <x:row r="3011" ht="22" customHeight="1">
      <x:c r="A3011" s="3"/>
      <x:c r="B3011" s="3" t="str">
        <x:v>13332</x:v>
      </x:c>
      <x:c r="C3011" s="3" t="n">
        <x:v>1</x:v>
      </x:c>
      <x:c r="D3011" s="51" t="n">
        <x:v>40872</x:v>
      </x:c>
      <x:c r="E3011" s="3" t="str">
        <x:v>Una compra</x:v>
      </x:c>
      <x:c r="F3011" s="13" t="n">
        <x:v>350.9</x:v>
      </x:c>
      <x:c r="G3011" s="13" t="n">
        <x:v>0</x:v>
      </x:c>
      <x:c r="H3011" s="13" t="n">
        <x:f>F3011-G3011</x:f>
        <x:v>350.9</x:v>
      </x:c>
      <x:c r="I3011" s="13" t="n">
        <x:f>IF(C3011=0,"n.a.",F3011/C3011)</x:f>
        <x:v>350.9</x:v>
      </x:c>
      <x:c r="J3011" s="3"/>
      <x:c r="K3011" s="3"/>
      <x:c r="L3011" s="3"/>
    </x:row>
    <x:row r="3012" ht="22" customHeight="1">
      <x:c r="A3012" s="3"/>
      <x:c r="B3012" s="3" t="str">
        <x:v>13740</x:v>
      </x:c>
      <x:c r="C3012" s="3" t="n">
        <x:v>1</x:v>
      </x:c>
      <x:c r="D3012" s="51" t="n">
        <x:v>40646</x:v>
      </x:c>
      <x:c r="E3012" s="3" t="str">
        <x:v>Una compra</x:v>
      </x:c>
      <x:c r="F3012" s="13" t="n">
        <x:v>350.75</x:v>
      </x:c>
      <x:c r="G3012" s="13" t="n">
        <x:v>0</x:v>
      </x:c>
      <x:c r="H3012" s="13" t="n">
        <x:f>F3012-G3012</x:f>
        <x:v>350.75</x:v>
      </x:c>
      <x:c r="I3012" s="13" t="n">
        <x:f>IF(C3012=0,"n.a.",F3012/C3012)</x:f>
        <x:v>350.75</x:v>
      </x:c>
      <x:c r="J3012" s="3"/>
      <x:c r="K3012" s="3"/>
      <x:c r="L3012" s="3"/>
    </x:row>
    <x:row r="3013" ht="22" customHeight="1">
      <x:c r="A3013" s="3"/>
      <x:c r="B3013" s="3" t="str">
        <x:v>17835</x:v>
      </x:c>
      <x:c r="C3013" s="3" t="n">
        <x:v>3</x:v>
      </x:c>
      <x:c r="D3013" s="51" t="n">
        <x:v>40884</x:v>
      </x:c>
      <x:c r="E3013" s="3" t="str">
        <x:v>Recurrente</x:v>
      </x:c>
      <x:c r="F3013" s="13" t="n">
        <x:v>350.64</x:v>
      </x:c>
      <x:c r="G3013" s="13" t="n">
        <x:v>0</x:v>
      </x:c>
      <x:c r="H3013" s="13" t="n">
        <x:f>F3013-G3013</x:f>
        <x:v>350.64</x:v>
      </x:c>
      <x:c r="I3013" s="13" t="n">
        <x:f>IF(C3013=0,"n.a.",F3013/C3013)</x:f>
        <x:v>116.88</x:v>
      </x:c>
      <x:c r="J3013" s="3"/>
      <x:c r="K3013" s="3"/>
      <x:c r="L3013" s="3"/>
    </x:row>
    <x:row r="3014" ht="22" customHeight="1">
      <x:c r="A3014" s="3"/>
      <x:c r="B3014" s="3" t="str">
        <x:v>17795</x:v>
      </x:c>
      <x:c r="C3014" s="3" t="n">
        <x:v>2</x:v>
      </x:c>
      <x:c r="D3014" s="51" t="n">
        <x:v>40707</x:v>
      </x:c>
      <x:c r="E3014" s="3" t="str">
        <x:v>Recurrente</x:v>
      </x:c>
      <x:c r="F3014" s="13" t="n">
        <x:v>350.39</x:v>
      </x:c>
      <x:c r="G3014" s="13" t="n">
        <x:v>0</x:v>
      </x:c>
      <x:c r="H3014" s="13" t="n">
        <x:f>F3014-G3014</x:f>
        <x:v>350.39</x:v>
      </x:c>
      <x:c r="I3014" s="13" t="n">
        <x:f>IF(C3014=0,"n.a.",F3014/C3014)</x:f>
        <x:v>175.195</x:v>
      </x:c>
      <x:c r="J3014" s="3"/>
      <x:c r="K3014" s="3"/>
      <x:c r="L3014" s="3"/>
    </x:row>
    <x:row r="3015" ht="22" customHeight="1">
      <x:c r="A3015" s="3"/>
      <x:c r="B3015" s="3" t="str">
        <x:v>13108</x:v>
      </x:c>
      <x:c r="C3015" s="3" t="n">
        <x:v>1</x:v>
      </x:c>
      <x:c r="D3015" s="51" t="n">
        <x:v>40514</x:v>
      </x:c>
      <x:c r="E3015" s="3" t="str">
        <x:v>Una compra</x:v>
      </x:c>
      <x:c r="F3015" s="13" t="n">
        <x:v>350.06</x:v>
      </x:c>
      <x:c r="G3015" s="13" t="n">
        <x:v>0</x:v>
      </x:c>
      <x:c r="H3015" s="13" t="n">
        <x:f>F3015-G3015</x:f>
        <x:v>350.06</x:v>
      </x:c>
      <x:c r="I3015" s="13" t="n">
        <x:f>IF(C3015=0,"n.a.",F3015/C3015)</x:f>
        <x:v>350.06</x:v>
      </x:c>
      <x:c r="J3015" s="3"/>
      <x:c r="K3015" s="3"/>
      <x:c r="L3015" s="3"/>
    </x:row>
    <x:row r="3016" ht="22" customHeight="1">
      <x:c r="A3016" s="3"/>
      <x:c r="B3016" s="3" t="str">
        <x:v>12498</x:v>
      </x:c>
      <x:c r="C3016" s="3" t="n">
        <x:v>3</x:v>
      </x:c>
      <x:c r="D3016" s="51" t="n">
        <x:v>40865</x:v>
      </x:c>
      <x:c r="E3016" s="3" t="str">
        <x:v>Recurrente</x:v>
      </x:c>
      <x:c r="F3016" s="13" t="n">
        <x:v>349.7</x:v>
      </x:c>
      <x:c r="G3016" s="13" t="n">
        <x:v>0</x:v>
      </x:c>
      <x:c r="H3016" s="13" t="n">
        <x:f>F3016-G3016</x:f>
        <x:v>349.7</x:v>
      </x:c>
      <x:c r="I3016" s="13" t="n">
        <x:f>IF(C3016=0,"n.a.",F3016/C3016)</x:f>
        <x:v>116.56666666666666</x:v>
      </x:c>
      <x:c r="J3016" s="3"/>
      <x:c r="K3016" s="3"/>
      <x:c r="L3016" s="3"/>
    </x:row>
    <x:row r="3017" ht="22" customHeight="1">
      <x:c r="A3017" s="3"/>
      <x:c r="B3017" s="3" t="str">
        <x:v>13670</x:v>
      </x:c>
      <x:c r="C3017" s="3" t="n">
        <x:v>1</x:v>
      </x:c>
      <x:c r="D3017" s="51" t="n">
        <x:v>40811</x:v>
      </x:c>
      <x:c r="E3017" s="3" t="str">
        <x:v>Una compra</x:v>
      </x:c>
      <x:c r="F3017" s="13" t="n">
        <x:v>349.7</x:v>
      </x:c>
      <x:c r="G3017" s="13" t="n">
        <x:v>0</x:v>
      </x:c>
      <x:c r="H3017" s="13" t="n">
        <x:f>F3017-G3017</x:f>
        <x:v>349.7</x:v>
      </x:c>
      <x:c r="I3017" s="13" t="n">
        <x:f>IF(C3017=0,"n.a.",F3017/C3017)</x:f>
        <x:v>349.7</x:v>
      </x:c>
      <x:c r="J3017" s="3"/>
      <x:c r="K3017" s="3"/>
      <x:c r="L3017" s="3"/>
    </x:row>
    <x:row r="3018" ht="22" customHeight="1">
      <x:c r="A3018" s="3"/>
      <x:c r="B3018" s="3" t="str">
        <x:v>13887</x:v>
      </x:c>
      <x:c r="C3018" s="3" t="n">
        <x:v>1</x:v>
      </x:c>
      <x:c r="D3018" s="51" t="n">
        <x:v>40682</x:v>
      </x:c>
      <x:c r="E3018" s="3" t="str">
        <x:v>Una compra</x:v>
      </x:c>
      <x:c r="F3018" s="13" t="n">
        <x:v>349.55</x:v>
      </x:c>
      <x:c r="G3018" s="13" t="n">
        <x:v>0</x:v>
      </x:c>
      <x:c r="H3018" s="13" t="n">
        <x:f>F3018-G3018</x:f>
        <x:v>349.55</x:v>
      </x:c>
      <x:c r="I3018" s="13" t="n">
        <x:f>IF(C3018=0,"n.a.",F3018/C3018)</x:f>
        <x:v>349.55</x:v>
      </x:c>
      <x:c r="J3018" s="3"/>
      <x:c r="K3018" s="3"/>
      <x:c r="L3018" s="3"/>
    </x:row>
    <x:row r="3019" ht="22" customHeight="1">
      <x:c r="A3019" s="3"/>
      <x:c r="B3019" s="3" t="str">
        <x:v>15885</x:v>
      </x:c>
      <x:c r="C3019" s="3" t="n">
        <x:v>1</x:v>
      </x:c>
      <x:c r="D3019" s="51" t="n">
        <x:v>40793</x:v>
      </x:c>
      <x:c r="E3019" s="3" t="str">
        <x:v>Una compra</x:v>
      </x:c>
      <x:c r="F3019" s="13" t="n">
        <x:v>349.35</x:v>
      </x:c>
      <x:c r="G3019" s="13" t="n">
        <x:v>0</x:v>
      </x:c>
      <x:c r="H3019" s="13" t="n">
        <x:f>F3019-G3019</x:f>
        <x:v>349.35</x:v>
      </x:c>
      <x:c r="I3019" s="13" t="n">
        <x:f>IF(C3019=0,"n.a.",F3019/C3019)</x:f>
        <x:v>349.35</x:v>
      </x:c>
      <x:c r="J3019" s="3"/>
      <x:c r="K3019" s="3"/>
      <x:c r="L3019" s="3"/>
    </x:row>
    <x:row r="3020" ht="22" customHeight="1">
      <x:c r="A3020" s="3"/>
      <x:c r="B3020" s="3" t="str">
        <x:v>15405</x:v>
      </x:c>
      <x:c r="C3020" s="3" t="n">
        <x:v>1</x:v>
      </x:c>
      <x:c r="D3020" s="51" t="n">
        <x:v>40697</x:v>
      </x:c>
      <x:c r="E3020" s="3" t="str">
        <x:v>Una compra</x:v>
      </x:c>
      <x:c r="F3020" s="13" t="n">
        <x:v>349.1</x:v>
      </x:c>
      <x:c r="G3020" s="13" t="n">
        <x:v>0</x:v>
      </x:c>
      <x:c r="H3020" s="13" t="n">
        <x:f>F3020-G3020</x:f>
        <x:v>349.1</x:v>
      </x:c>
      <x:c r="I3020" s="13" t="n">
        <x:f>IF(C3020=0,"n.a.",F3020/C3020)</x:f>
        <x:v>349.1</x:v>
      </x:c>
      <x:c r="J3020" s="3"/>
      <x:c r="K3020" s="3"/>
      <x:c r="L3020" s="3"/>
    </x:row>
    <x:row r="3021" ht="22" customHeight="1">
      <x:c r="A3021" s="3"/>
      <x:c r="B3021" s="3" t="str">
        <x:v>13927</x:v>
      </x:c>
      <x:c r="C3021" s="3" t="n">
        <x:v>1</x:v>
      </x:c>
      <x:c r="D3021" s="51" t="n">
        <x:v>40812</x:v>
      </x:c>
      <x:c r="E3021" s="3" t="str">
        <x:v>Una compra</x:v>
      </x:c>
      <x:c r="F3021" s="13" t="n">
        <x:v>348.99</x:v>
      </x:c>
      <x:c r="G3021" s="13" t="n">
        <x:v>0</x:v>
      </x:c>
      <x:c r="H3021" s="13" t="n">
        <x:f>F3021-G3021</x:f>
        <x:v>348.99</x:v>
      </x:c>
      <x:c r="I3021" s="13" t="n">
        <x:f>IF(C3021=0,"n.a.",F3021/C3021)</x:f>
        <x:v>348.99</x:v>
      </x:c>
      <x:c r="J3021" s="3"/>
      <x:c r="K3021" s="3"/>
      <x:c r="L3021" s="3"/>
    </x:row>
    <x:row r="3022" ht="22" customHeight="1">
      <x:c r="A3022" s="3"/>
      <x:c r="B3022" s="3" t="str">
        <x:v>13790</x:v>
      </x:c>
      <x:c r="C3022" s="3" t="n">
        <x:v>1</x:v>
      </x:c>
      <x:c r="D3022" s="51" t="n">
        <x:v>40882</x:v>
      </x:c>
      <x:c r="E3022" s="3" t="str">
        <x:v>Una compra</x:v>
      </x:c>
      <x:c r="F3022" s="13" t="n">
        <x:v>348.8</x:v>
      </x:c>
      <x:c r="G3022" s="13" t="n">
        <x:v>0</x:v>
      </x:c>
      <x:c r="H3022" s="13" t="n">
        <x:f>F3022-G3022</x:f>
        <x:v>348.8</x:v>
      </x:c>
      <x:c r="I3022" s="13" t="n">
        <x:f>IF(C3022=0,"n.a.",F3022/C3022)</x:f>
        <x:v>348.8</x:v>
      </x:c>
      <x:c r="J3022" s="3"/>
      <x:c r="K3022" s="3"/>
      <x:c r="L3022" s="3"/>
    </x:row>
    <x:row r="3023" ht="22" customHeight="1">
      <x:c r="A3023" s="3"/>
      <x:c r="B3023" s="3" t="str">
        <x:v>18127</x:v>
      </x:c>
      <x:c r="C3023" s="3" t="n">
        <x:v>3</x:v>
      </x:c>
      <x:c r="D3023" s="51" t="n">
        <x:v>40867</x:v>
      </x:c>
      <x:c r="E3023" s="3" t="str">
        <x:v>Recurrente</x:v>
      </x:c>
      <x:c r="F3023" s="13" t="n">
        <x:v>348.73</x:v>
      </x:c>
      <x:c r="G3023" s="13" t="n">
        <x:v>0</x:v>
      </x:c>
      <x:c r="H3023" s="13" t="n">
        <x:f>F3023-G3023</x:f>
        <x:v>348.73</x:v>
      </x:c>
      <x:c r="I3023" s="13" t="n">
        <x:f>IF(C3023=0,"n.a.",F3023/C3023)</x:f>
        <x:v>116.24333333333334</x:v>
      </x:c>
      <x:c r="J3023" s="3"/>
      <x:c r="K3023" s="3"/>
      <x:c r="L3023" s="3"/>
    </x:row>
    <x:row r="3024" ht="22" customHeight="1">
      <x:c r="A3024" s="3"/>
      <x:c r="B3024" s="3" t="str">
        <x:v>15334</x:v>
      </x:c>
      <x:c r="C3024" s="3" t="n">
        <x:v>3</x:v>
      </x:c>
      <x:c r="D3024" s="51" t="n">
        <x:v>40730</x:v>
      </x:c>
      <x:c r="E3024" s="3" t="str">
        <x:v>Recurrente</x:v>
      </x:c>
      <x:c r="F3024" s="13" t="n">
        <x:v>348.72</x:v>
      </x:c>
      <x:c r="G3024" s="13" t="n">
        <x:v>0</x:v>
      </x:c>
      <x:c r="H3024" s="13" t="n">
        <x:f>F3024-G3024</x:f>
        <x:v>348.72</x:v>
      </x:c>
      <x:c r="I3024" s="13" t="n">
        <x:f>IF(C3024=0,"n.a.",F3024/C3024)</x:f>
        <x:v>116.24000000000001</x:v>
      </x:c>
      <x:c r="J3024" s="3"/>
      <x:c r="K3024" s="3"/>
      <x:c r="L3024" s="3"/>
    </x:row>
    <x:row r="3025" ht="22" customHeight="1">
      <x:c r="A3025" s="3"/>
      <x:c r="B3025" s="3" t="str">
        <x:v>15579</x:v>
      </x:c>
      <x:c r="C3025" s="3" t="n">
        <x:v>2</x:v>
      </x:c>
      <x:c r="D3025" s="51" t="n">
        <x:v>40818</x:v>
      </x:c>
      <x:c r="E3025" s="3" t="str">
        <x:v>Recurrente</x:v>
      </x:c>
      <x:c r="F3025" s="13" t="n">
        <x:v>348.6</x:v>
      </x:c>
      <x:c r="G3025" s="13" t="n">
        <x:v>0</x:v>
      </x:c>
      <x:c r="H3025" s="13" t="n">
        <x:f>F3025-G3025</x:f>
        <x:v>348.6</x:v>
      </x:c>
      <x:c r="I3025" s="13" t="n">
        <x:f>IF(C3025=0,"n.a.",F3025/C3025)</x:f>
        <x:v>174.3</x:v>
      </x:c>
      <x:c r="J3025" s="3"/>
      <x:c r="K3025" s="3"/>
      <x:c r="L3025" s="3"/>
    </x:row>
    <x:row r="3026" ht="22" customHeight="1">
      <x:c r="A3026" s="3"/>
      <x:c r="B3026" s="3" t="str">
        <x:v>12452</x:v>
      </x:c>
      <x:c r="C3026" s="3" t="n">
        <x:v>1</x:v>
      </x:c>
      <x:c r="D3026" s="51" t="n">
        <x:v>40870</x:v>
      </x:c>
      <x:c r="E3026" s="3" t="str">
        <x:v>Una compra</x:v>
      </x:c>
      <x:c r="F3026" s="13" t="n">
        <x:v>348.57</x:v>
      </x:c>
      <x:c r="G3026" s="13" t="n">
        <x:v>0</x:v>
      </x:c>
      <x:c r="H3026" s="13" t="n">
        <x:f>F3026-G3026</x:f>
        <x:v>348.57</x:v>
      </x:c>
      <x:c r="I3026" s="13" t="n">
        <x:f>IF(C3026=0,"n.a.",F3026/C3026)</x:f>
        <x:v>348.57</x:v>
      </x:c>
      <x:c r="J3026" s="3"/>
      <x:c r="K3026" s="3"/>
      <x:c r="L3026" s="3"/>
    </x:row>
    <x:row r="3027" ht="22" customHeight="1">
      <x:c r="A3027" s="3"/>
      <x:c r="B3027" s="3" t="str">
        <x:v>16159</x:v>
      </x:c>
      <x:c r="C3027" s="3" t="n">
        <x:v>1</x:v>
      </x:c>
      <x:c r="D3027" s="51" t="n">
        <x:v>40605</x:v>
      </x:c>
      <x:c r="E3027" s="3" t="str">
        <x:v>Una compra</x:v>
      </x:c>
      <x:c r="F3027" s="13" t="n">
        <x:v>348.2</x:v>
      </x:c>
      <x:c r="G3027" s="13" t="n">
        <x:v>0</x:v>
      </x:c>
      <x:c r="H3027" s="13" t="n">
        <x:f>F3027-G3027</x:f>
        <x:v>348.2</x:v>
      </x:c>
      <x:c r="I3027" s="13" t="n">
        <x:f>IF(C3027=0,"n.a.",F3027/C3027)</x:f>
        <x:v>348.2</x:v>
      </x:c>
      <x:c r="J3027" s="3"/>
      <x:c r="K3027" s="3"/>
      <x:c r="L3027" s="3"/>
    </x:row>
    <x:row r="3028" ht="22" customHeight="1">
      <x:c r="A3028" s="3"/>
      <x:c r="B3028" s="3" t="str">
        <x:v>13052</x:v>
      </x:c>
      <x:c r="C3028" s="3" t="n">
        <x:v>1</x:v>
      </x:c>
      <x:c r="D3028" s="51" t="n">
        <x:v>40674</x:v>
      </x:c>
      <x:c r="E3028" s="3" t="str">
        <x:v>Una compra</x:v>
      </x:c>
      <x:c r="F3028" s="13" t="n">
        <x:v>348.15</x:v>
      </x:c>
      <x:c r="G3028" s="13" t="n">
        <x:v>0</x:v>
      </x:c>
      <x:c r="H3028" s="13" t="n">
        <x:f>F3028-G3028</x:f>
        <x:v>348.15</x:v>
      </x:c>
      <x:c r="I3028" s="13" t="n">
        <x:f>IF(C3028=0,"n.a.",F3028/C3028)</x:f>
        <x:v>348.15</x:v>
      </x:c>
      <x:c r="J3028" s="3"/>
      <x:c r="K3028" s="3"/>
      <x:c r="L3028" s="3"/>
    </x:row>
    <x:row r="3029" ht="22" customHeight="1">
      <x:c r="A3029" s="3"/>
      <x:c r="B3029" s="3" t="str">
        <x:v>14379</x:v>
      </x:c>
      <x:c r="C3029" s="3" t="n">
        <x:v>2</x:v>
      </x:c>
      <x:c r="D3029" s="51" t="n">
        <x:v>40842</x:v>
      </x:c>
      <x:c r="E3029" s="3" t="str">
        <x:v>Recurrente</x:v>
      </x:c>
      <x:c r="F3029" s="13" t="n">
        <x:v>348.1</x:v>
      </x:c>
      <x:c r="G3029" s="13" t="n">
        <x:v>0</x:v>
      </x:c>
      <x:c r="H3029" s="13" t="n">
        <x:f>F3029-G3029</x:f>
        <x:v>348.1</x:v>
      </x:c>
      <x:c r="I3029" s="13" t="n">
        <x:f>IF(C3029=0,"n.a.",F3029/C3029)</x:f>
        <x:v>174.05</x:v>
      </x:c>
      <x:c r="J3029" s="3"/>
      <x:c r="K3029" s="3"/>
      <x:c r="L3029" s="3"/>
    </x:row>
    <x:row r="3030" ht="22" customHeight="1">
      <x:c r="A3030" s="3"/>
      <x:c r="B3030" s="3" t="str">
        <x:v>18155</x:v>
      </x:c>
      <x:c r="C3030" s="3" t="n">
        <x:v>3</x:v>
      </x:c>
      <x:c r="D3030" s="51" t="n">
        <x:v>40811</x:v>
      </x:c>
      <x:c r="E3030" s="3" t="str">
        <x:v>Recurrente</x:v>
      </x:c>
      <x:c r="F3030" s="13" t="n">
        <x:v>371.62</x:v>
      </x:c>
      <x:c r="G3030" s="13" t="n">
        <x:v>23.8</x:v>
      </x:c>
      <x:c r="H3030" s="13" t="n">
        <x:f>F3030-G3030</x:f>
        <x:v>347.82</x:v>
      </x:c>
      <x:c r="I3030" s="13" t="n">
        <x:f>IF(C3030=0,"n.a.",F3030/C3030)</x:f>
        <x:v>123.87333333333333</x:v>
      </x:c>
      <x:c r="J3030" s="3"/>
      <x:c r="K3030" s="3"/>
      <x:c r="L3030" s="3"/>
    </x:row>
    <x:row r="3031" ht="22" customHeight="1">
      <x:c r="A3031" s="3"/>
      <x:c r="B3031" s="3" t="str">
        <x:v>17668</x:v>
      </x:c>
      <x:c r="C3031" s="3" t="n">
        <x:v>2</x:v>
      </x:c>
      <x:c r="D3031" s="51" t="n">
        <x:v>40885</x:v>
      </x:c>
      <x:c r="E3031" s="3" t="str">
        <x:v>Recurrente</x:v>
      </x:c>
      <x:c r="F3031" s="13" t="n">
        <x:v>347.75</x:v>
      </x:c>
      <x:c r="G3031" s="13" t="n">
        <x:v>0</x:v>
      </x:c>
      <x:c r="H3031" s="13" t="n">
        <x:f>F3031-G3031</x:f>
        <x:v>347.75</x:v>
      </x:c>
      <x:c r="I3031" s="13" t="n">
        <x:f>IF(C3031=0,"n.a.",F3031/C3031)</x:f>
        <x:v>173.875</x:v>
      </x:c>
      <x:c r="J3031" s="3"/>
      <x:c r="K3031" s="3"/>
      <x:c r="L3031" s="3"/>
    </x:row>
    <x:row r="3032" ht="22" customHeight="1">
      <x:c r="A3032" s="3"/>
      <x:c r="B3032" s="3" t="str">
        <x:v>12895</x:v>
      </x:c>
      <x:c r="C3032" s="3" t="n">
        <x:v>2</x:v>
      </x:c>
      <x:c r="D3032" s="51" t="n">
        <x:v>40844</x:v>
      </x:c>
      <x:c r="E3032" s="3" t="str">
        <x:v>Recurrente</x:v>
      </x:c>
      <x:c r="F3032" s="13" t="n">
        <x:v>372.8</x:v>
      </x:c>
      <x:c r="G3032" s="13" t="n">
        <x:v>25.5</x:v>
      </x:c>
      <x:c r="H3032" s="13" t="n">
        <x:f>F3032-G3032</x:f>
        <x:v>347.3</x:v>
      </x:c>
      <x:c r="I3032" s="13" t="n">
        <x:f>IF(C3032=0,"n.a.",F3032/C3032)</x:f>
        <x:v>186.4</x:v>
      </x:c>
      <x:c r="J3032" s="3"/>
      <x:c r="K3032" s="3"/>
      <x:c r="L3032" s="3"/>
    </x:row>
    <x:row r="3033" ht="22" customHeight="1">
      <x:c r="A3033" s="3"/>
      <x:c r="B3033" s="3" t="str">
        <x:v>13587</x:v>
      </x:c>
      <x:c r="C3033" s="3" t="n">
        <x:v>1</x:v>
      </x:c>
      <x:c r="D3033" s="51" t="n">
        <x:v>40823</x:v>
      </x:c>
      <x:c r="E3033" s="3" t="str">
        <x:v>Una compra</x:v>
      </x:c>
      <x:c r="F3033" s="13" t="n">
        <x:v>712.4</x:v>
      </x:c>
      <x:c r="G3033" s="13" t="n">
        <x:v>365.4</x:v>
      </x:c>
      <x:c r="H3033" s="13" t="n">
        <x:f>F3033-G3033</x:f>
        <x:v>347</x:v>
      </x:c>
      <x:c r="I3033" s="13" t="n">
        <x:f>IF(C3033=0,"n.a.",F3033/C3033)</x:f>
        <x:v>712.4</x:v>
      </x:c>
      <x:c r="J3033" s="3"/>
      <x:c r="K3033" s="3"/>
      <x:c r="L3033" s="3"/>
    </x:row>
    <x:row r="3034" ht="22" customHeight="1">
      <x:c r="A3034" s="3"/>
      <x:c r="B3034" s="3" t="str">
        <x:v>13062</x:v>
      </x:c>
      <x:c r="C3034" s="3" t="n">
        <x:v>1</x:v>
      </x:c>
      <x:c r="D3034" s="51" t="n">
        <x:v>40695</x:v>
      </x:c>
      <x:c r="E3034" s="3" t="str">
        <x:v>Una compra</x:v>
      </x:c>
      <x:c r="F3034" s="13" t="n">
        <x:v>346.98</x:v>
      </x:c>
      <x:c r="G3034" s="13" t="n">
        <x:v>0</x:v>
      </x:c>
      <x:c r="H3034" s="13" t="n">
        <x:f>F3034-G3034</x:f>
        <x:v>346.98</x:v>
      </x:c>
      <x:c r="I3034" s="13" t="n">
        <x:f>IF(C3034=0,"n.a.",F3034/C3034)</x:f>
        <x:v>346.98</x:v>
      </x:c>
      <x:c r="J3034" s="3"/>
      <x:c r="K3034" s="3"/>
      <x:c r="L3034" s="3"/>
    </x:row>
    <x:row r="3035" ht="22" customHeight="1">
      <x:c r="A3035" s="3"/>
      <x:c r="B3035" s="3" t="str">
        <x:v>15713</x:v>
      </x:c>
      <x:c r="C3035" s="3" t="n">
        <x:v>2</x:v>
      </x:c>
      <x:c r="D3035" s="51" t="n">
        <x:v>40743</x:v>
      </x:c>
      <x:c r="E3035" s="3" t="str">
        <x:v>Recurrente</x:v>
      </x:c>
      <x:c r="F3035" s="13" t="n">
        <x:v>356.7</x:v>
      </x:c>
      <x:c r="G3035" s="13" t="n">
        <x:v>9.95</x:v>
      </x:c>
      <x:c r="H3035" s="13" t="n">
        <x:f>F3035-G3035</x:f>
        <x:v>346.75</x:v>
      </x:c>
      <x:c r="I3035" s="13" t="n">
        <x:f>IF(C3035=0,"n.a.",F3035/C3035)</x:f>
        <x:v>178.35</x:v>
      </x:c>
      <x:c r="J3035" s="3"/>
      <x:c r="K3035" s="3"/>
      <x:c r="L3035" s="3"/>
    </x:row>
    <x:row r="3036" ht="22" customHeight="1">
      <x:c r="A3036" s="3"/>
      <x:c r="B3036" s="3" t="str">
        <x:v>13649</x:v>
      </x:c>
      <x:c r="C3036" s="3" t="n">
        <x:v>2</x:v>
      </x:c>
      <x:c r="D3036" s="51" t="n">
        <x:v>40630</x:v>
      </x:c>
      <x:c r="E3036" s="3" t="str">
        <x:v>Recurrente</x:v>
      </x:c>
      <x:c r="F3036" s="13" t="n">
        <x:v>346.6</x:v>
      </x:c>
      <x:c r="G3036" s="13" t="n">
        <x:v>0</x:v>
      </x:c>
      <x:c r="H3036" s="13" t="n">
        <x:f>F3036-G3036</x:f>
        <x:v>346.6</x:v>
      </x:c>
      <x:c r="I3036" s="13" t="n">
        <x:f>IF(C3036=0,"n.a.",F3036/C3036)</x:f>
        <x:v>173.3</x:v>
      </x:c>
      <x:c r="J3036" s="3"/>
      <x:c r="K3036" s="3"/>
      <x:c r="L3036" s="3"/>
    </x:row>
    <x:row r="3037" ht="22" customHeight="1">
      <x:c r="A3037" s="3"/>
      <x:c r="B3037" s="3" t="str">
        <x:v>16423</x:v>
      </x:c>
      <x:c r="C3037" s="3" t="n">
        <x:v>1</x:v>
      </x:c>
      <x:c r="D3037" s="51" t="n">
        <x:v>40862</x:v>
      </x:c>
      <x:c r="E3037" s="3" t="str">
        <x:v>Una compra</x:v>
      </x:c>
      <x:c r="F3037" s="13" t="n">
        <x:v>346.12</x:v>
      </x:c>
      <x:c r="G3037" s="13" t="n">
        <x:v>0</x:v>
      </x:c>
      <x:c r="H3037" s="13" t="n">
        <x:f>F3037-G3037</x:f>
        <x:v>346.12</x:v>
      </x:c>
      <x:c r="I3037" s="13" t="n">
        <x:f>IF(C3037=0,"n.a.",F3037/C3037)</x:f>
        <x:v>346.12</x:v>
      </x:c>
      <x:c r="J3037" s="3"/>
      <x:c r="K3037" s="3"/>
      <x:c r="L3037" s="3"/>
    </x:row>
    <x:row r="3038" ht="22" customHeight="1">
      <x:c r="A3038" s="3"/>
      <x:c r="B3038" s="3" t="str">
        <x:v>16858</x:v>
      </x:c>
      <x:c r="C3038" s="3" t="n">
        <x:v>1</x:v>
      </x:c>
      <x:c r="D3038" s="51" t="n">
        <x:v>40518</x:v>
      </x:c>
      <x:c r="E3038" s="3" t="str">
        <x:v>Una compra</x:v>
      </x:c>
      <x:c r="F3038" s="13" t="n">
        <x:v>375.69</x:v>
      </x:c>
      <x:c r="G3038" s="13" t="n">
        <x:v>29.8</x:v>
      </x:c>
      <x:c r="H3038" s="13" t="n">
        <x:f>F3038-G3038</x:f>
        <x:v>345.89</x:v>
      </x:c>
      <x:c r="I3038" s="13" t="n">
        <x:f>IF(C3038=0,"n.a.",F3038/C3038)</x:f>
        <x:v>375.69</x:v>
      </x:c>
      <x:c r="J3038" s="3"/>
      <x:c r="K3038" s="3"/>
      <x:c r="L3038" s="3"/>
    </x:row>
    <x:row r="3039" ht="22" customHeight="1">
      <x:c r="A3039" s="3"/>
      <x:c r="B3039" s="3" t="str">
        <x:v>15840</x:v>
      </x:c>
      <x:c r="C3039" s="3" t="n">
        <x:v>2</x:v>
      </x:c>
      <x:c r="D3039" s="51" t="n">
        <x:v>40828</x:v>
      </x:c>
      <x:c r="E3039" s="3" t="str">
        <x:v>Recurrente</x:v>
      </x:c>
      <x:c r="F3039" s="13" t="n">
        <x:v>355.56</x:v>
      </x:c>
      <x:c r="G3039" s="13" t="n">
        <x:v>9.9</x:v>
      </x:c>
      <x:c r="H3039" s="13" t="n">
        <x:f>F3039-G3039</x:f>
        <x:v>345.66</x:v>
      </x:c>
      <x:c r="I3039" s="13" t="n">
        <x:f>IF(C3039=0,"n.a.",F3039/C3039)</x:f>
        <x:v>177.78</x:v>
      </x:c>
      <x:c r="J3039" s="3"/>
      <x:c r="K3039" s="3"/>
      <x:c r="L3039" s="3"/>
    </x:row>
    <x:row r="3040" ht="22" customHeight="1">
      <x:c r="A3040" s="3"/>
      <x:c r="B3040" s="3" t="str">
        <x:v>17123</x:v>
      </x:c>
      <x:c r="C3040" s="3" t="n">
        <x:v>1</x:v>
      </x:c>
      <x:c r="D3040" s="51" t="n">
        <x:v>40725</x:v>
      </x:c>
      <x:c r="E3040" s="3" t="str">
        <x:v>Una compra</x:v>
      </x:c>
      <x:c r="F3040" s="13" t="n">
        <x:v>345.3</x:v>
      </x:c>
      <x:c r="G3040" s="13" t="n">
        <x:v>0</x:v>
      </x:c>
      <x:c r="H3040" s="13" t="n">
        <x:f>F3040-G3040</x:f>
        <x:v>345.3</x:v>
      </x:c>
      <x:c r="I3040" s="13" t="n">
        <x:f>IF(C3040=0,"n.a.",F3040/C3040)</x:f>
        <x:v>345.3</x:v>
      </x:c>
      <x:c r="J3040" s="3"/>
      <x:c r="K3040" s="3"/>
      <x:c r="L3040" s="3"/>
    </x:row>
    <x:row r="3041" ht="22" customHeight="1">
      <x:c r="A3041" s="3"/>
      <x:c r="B3041" s="3" t="str">
        <x:v>13774</x:v>
      </x:c>
      <x:c r="C3041" s="3" t="n">
        <x:v>1</x:v>
      </x:c>
      <x:c r="D3041" s="51" t="n">
        <x:v>40805</x:v>
      </x:c>
      <x:c r="E3041" s="3" t="str">
        <x:v>Una compra</x:v>
      </x:c>
      <x:c r="F3041" s="13" t="n">
        <x:v>345</x:v>
      </x:c>
      <x:c r="G3041" s="13" t="n">
        <x:v>0</x:v>
      </x:c>
      <x:c r="H3041" s="13" t="n">
        <x:f>F3041-G3041</x:f>
        <x:v>345</x:v>
      </x:c>
      <x:c r="I3041" s="13" t="n">
        <x:f>IF(C3041=0,"n.a.",F3041/C3041)</x:f>
        <x:v>345</x:v>
      </x:c>
      <x:c r="J3041" s="3"/>
      <x:c r="K3041" s="3"/>
      <x:c r="L3041" s="3"/>
    </x:row>
    <x:row r="3042" ht="22" customHeight="1">
      <x:c r="A3042" s="3"/>
      <x:c r="B3042" s="3" t="str">
        <x:v>14633</x:v>
      </x:c>
      <x:c r="C3042" s="3" t="n">
        <x:v>1</x:v>
      </x:c>
      <x:c r="D3042" s="51" t="n">
        <x:v>40620</x:v>
      </x:c>
      <x:c r="E3042" s="3" t="str">
        <x:v>Una compra</x:v>
      </x:c>
      <x:c r="F3042" s="13" t="n">
        <x:v>344.9</x:v>
      </x:c>
      <x:c r="G3042" s="13" t="n">
        <x:v>0</x:v>
      </x:c>
      <x:c r="H3042" s="13" t="n">
        <x:f>F3042-G3042</x:f>
        <x:v>344.9</x:v>
      </x:c>
      <x:c r="I3042" s="13" t="n">
        <x:f>IF(C3042=0,"n.a.",F3042/C3042)</x:f>
        <x:v>344.9</x:v>
      </x:c>
      <x:c r="J3042" s="3"/>
      <x:c r="K3042" s="3"/>
      <x:c r="L3042" s="3"/>
    </x:row>
    <x:row r="3043" ht="22" customHeight="1">
      <x:c r="A3043" s="3"/>
      <x:c r="B3043" s="3" t="str">
        <x:v>12792</x:v>
      </x:c>
      <x:c r="C3043" s="3" t="n">
        <x:v>1</x:v>
      </x:c>
      <x:c r="D3043" s="51" t="n">
        <x:v>40630</x:v>
      </x:c>
      <x:c r="E3043" s="3" t="str">
        <x:v>Una compra</x:v>
      </x:c>
      <x:c r="F3043" s="13" t="n">
        <x:v>344.54</x:v>
      </x:c>
      <x:c r="G3043" s="13" t="n">
        <x:v>0</x:v>
      </x:c>
      <x:c r="H3043" s="13" t="n">
        <x:f>F3043-G3043</x:f>
        <x:v>344.54</x:v>
      </x:c>
      <x:c r="I3043" s="13" t="n">
        <x:f>IF(C3043=0,"n.a.",F3043/C3043)</x:f>
        <x:v>344.54</x:v>
      </x:c>
      <x:c r="J3043" s="3"/>
      <x:c r="K3043" s="3"/>
      <x:c r="L3043" s="3"/>
    </x:row>
    <x:row r="3044" ht="22" customHeight="1">
      <x:c r="A3044" s="3"/>
      <x:c r="B3044" s="3" t="str">
        <x:v>16978</x:v>
      </x:c>
      <x:c r="C3044" s="3" t="n">
        <x:v>1</x:v>
      </x:c>
      <x:c r="D3044" s="51" t="n">
        <x:v>40809</x:v>
      </x:c>
      <x:c r="E3044" s="3" t="str">
        <x:v>Una compra</x:v>
      </x:c>
      <x:c r="F3044" s="13" t="n">
        <x:v>344.33</x:v>
      </x:c>
      <x:c r="G3044" s="13" t="n">
        <x:v>0</x:v>
      </x:c>
      <x:c r="H3044" s="13" t="n">
        <x:f>F3044-G3044</x:f>
        <x:v>344.33</x:v>
      </x:c>
      <x:c r="I3044" s="13" t="n">
        <x:f>IF(C3044=0,"n.a.",F3044/C3044)</x:f>
        <x:v>344.33</x:v>
      </x:c>
      <x:c r="J3044" s="3"/>
      <x:c r="K3044" s="3"/>
      <x:c r="L3044" s="3"/>
    </x:row>
    <x:row r="3045" ht="22" customHeight="1">
      <x:c r="A3045" s="3"/>
      <x:c r="B3045" s="3" t="str">
        <x:v>17569</x:v>
      </x:c>
      <x:c r="C3045" s="3" t="n">
        <x:v>1</x:v>
      </x:c>
      <x:c r="D3045" s="51" t="n">
        <x:v>40554</x:v>
      </x:c>
      <x:c r="E3045" s="3" t="str">
        <x:v>Una compra</x:v>
      </x:c>
      <x:c r="F3045" s="13" t="n">
        <x:v>344.14</x:v>
      </x:c>
      <x:c r="G3045" s="13" t="n">
        <x:v>0</x:v>
      </x:c>
      <x:c r="H3045" s="13" t="n">
        <x:f>F3045-G3045</x:f>
        <x:v>344.14</x:v>
      </x:c>
      <x:c r="I3045" s="13" t="n">
        <x:f>IF(C3045=0,"n.a.",F3045/C3045)</x:f>
        <x:v>344.14</x:v>
      </x:c>
      <x:c r="J3045" s="3"/>
      <x:c r="K3045" s="3"/>
      <x:c r="L3045" s="3"/>
    </x:row>
    <x:row r="3046" ht="22" customHeight="1">
      <x:c r="A3046" s="3"/>
      <x:c r="B3046" s="3" t="str">
        <x:v>13068</x:v>
      </x:c>
      <x:c r="C3046" s="3" t="n">
        <x:v>2</x:v>
      </x:c>
      <x:c r="D3046" s="51" t="n">
        <x:v>40876</x:v>
      </x:c>
      <x:c r="E3046" s="3" t="str">
        <x:v>Recurrente</x:v>
      </x:c>
      <x:c r="F3046" s="13" t="n">
        <x:v>344</x:v>
      </x:c>
      <x:c r="G3046" s="13" t="n">
        <x:v>0</x:v>
      </x:c>
      <x:c r="H3046" s="13" t="n">
        <x:f>F3046-G3046</x:f>
        <x:v>344</x:v>
      </x:c>
      <x:c r="I3046" s="13" t="n">
        <x:f>IF(C3046=0,"n.a.",F3046/C3046)</x:f>
        <x:v>172</x:v>
      </x:c>
      <x:c r="J3046" s="3"/>
      <x:c r="K3046" s="3"/>
      <x:c r="L3046" s="3"/>
    </x:row>
    <x:row r="3047" ht="22" customHeight="1">
      <x:c r="A3047" s="3"/>
      <x:c r="B3047" s="3" t="str">
        <x:v>15120</x:v>
      </x:c>
      <x:c r="C3047" s="3" t="n">
        <x:v>1</x:v>
      </x:c>
      <x:c r="D3047" s="51" t="n">
        <x:v>40753</x:v>
      </x:c>
      <x:c r="E3047" s="3" t="str">
        <x:v>Una compra</x:v>
      </x:c>
      <x:c r="F3047" s="13" t="n">
        <x:v>358.82</x:v>
      </x:c>
      <x:c r="G3047" s="13" t="n">
        <x:v>15</x:v>
      </x:c>
      <x:c r="H3047" s="13" t="n">
        <x:f>F3047-G3047</x:f>
        <x:v>343.82</x:v>
      </x:c>
      <x:c r="I3047" s="13" t="n">
        <x:f>IF(C3047=0,"n.a.",F3047/C3047)</x:f>
        <x:v>358.82</x:v>
      </x:c>
      <x:c r="J3047" s="3"/>
      <x:c r="K3047" s="3"/>
      <x:c r="L3047" s="3"/>
    </x:row>
    <x:row r="3048" ht="22" customHeight="1">
      <x:c r="A3048" s="3"/>
      <x:c r="B3048" s="3" t="str">
        <x:v>15047</x:v>
      </x:c>
      <x:c r="C3048" s="3" t="n">
        <x:v>1</x:v>
      </x:c>
      <x:c r="D3048" s="51" t="n">
        <x:v>40617</x:v>
      </x:c>
      <x:c r="E3048" s="3" t="str">
        <x:v>Una compra</x:v>
      </x:c>
      <x:c r="F3048" s="13" t="n">
        <x:v>343.62</x:v>
      </x:c>
      <x:c r="G3048" s="13" t="n">
        <x:v>0</x:v>
      </x:c>
      <x:c r="H3048" s="13" t="n">
        <x:f>F3048-G3048</x:f>
        <x:v>343.62</x:v>
      </x:c>
      <x:c r="I3048" s="13" t="n">
        <x:f>IF(C3048=0,"n.a.",F3048/C3048)</x:f>
        <x:v>343.62</x:v>
      </x:c>
      <x:c r="J3048" s="3"/>
      <x:c r="K3048" s="3"/>
      <x:c r="L3048" s="3"/>
    </x:row>
    <x:row r="3049" ht="22" customHeight="1">
      <x:c r="A3049" s="3"/>
      <x:c r="B3049" s="3" t="str">
        <x:v>15520</x:v>
      </x:c>
      <x:c r="C3049" s="3" t="n">
        <x:v>1</x:v>
      </x:c>
      <x:c r="D3049" s="51" t="n">
        <x:v>40885</x:v>
      </x:c>
      <x:c r="E3049" s="3" t="str">
        <x:v>Una compra</x:v>
      </x:c>
      <x:c r="F3049" s="13" t="n">
        <x:v>343.5</x:v>
      </x:c>
      <x:c r="G3049" s="13" t="n">
        <x:v>0</x:v>
      </x:c>
      <x:c r="H3049" s="13" t="n">
        <x:f>F3049-G3049</x:f>
        <x:v>343.5</x:v>
      </x:c>
      <x:c r="I3049" s="13" t="n">
        <x:f>IF(C3049=0,"n.a.",F3049/C3049)</x:f>
        <x:v>343.5</x:v>
      </x:c>
      <x:c r="J3049" s="3"/>
      <x:c r="K3049" s="3"/>
      <x:c r="L3049" s="3"/>
    </x:row>
    <x:row r="3050" ht="22" customHeight="1">
      <x:c r="A3050" s="3"/>
      <x:c r="B3050" s="3" t="str">
        <x:v>18081</x:v>
      </x:c>
      <x:c r="C3050" s="3" t="n">
        <x:v>3</x:v>
      </x:c>
      <x:c r="D3050" s="51" t="n">
        <x:v>40850</x:v>
      </x:c>
      <x:c r="E3050" s="3" t="str">
        <x:v>Recurrente</x:v>
      </x:c>
      <x:c r="F3050" s="13" t="n">
        <x:v>343.45</x:v>
      </x:c>
      <x:c r="G3050" s="13" t="n">
        <x:v>0</x:v>
      </x:c>
      <x:c r="H3050" s="13" t="n">
        <x:f>F3050-G3050</x:f>
        <x:v>343.45</x:v>
      </x:c>
      <x:c r="I3050" s="13" t="n">
        <x:f>IF(C3050=0,"n.a.",F3050/C3050)</x:f>
        <x:v>114.48333333333333</x:v>
      </x:c>
      <x:c r="J3050" s="3"/>
      <x:c r="K3050" s="3"/>
      <x:c r="L3050" s="3"/>
    </x:row>
    <x:row r="3051" ht="22" customHeight="1">
      <x:c r="A3051" s="3"/>
      <x:c r="B3051" s="3" t="str">
        <x:v>12875</x:v>
      </x:c>
      <x:c r="C3051" s="3" t="n">
        <x:v>2</x:v>
      </x:c>
      <x:c r="D3051" s="51" t="n">
        <x:v>40743</x:v>
      </x:c>
      <x:c r="E3051" s="3" t="str">
        <x:v>Recurrente</x:v>
      </x:c>
      <x:c r="F3051" s="13" t="n">
        <x:v>343.23</x:v>
      </x:c>
      <x:c r="G3051" s="13" t="n">
        <x:v>0</x:v>
      </x:c>
      <x:c r="H3051" s="13" t="n">
        <x:f>F3051-G3051</x:f>
        <x:v>343.23</x:v>
      </x:c>
      <x:c r="I3051" s="13" t="n">
        <x:f>IF(C3051=0,"n.a.",F3051/C3051)</x:f>
        <x:v>171.615</x:v>
      </x:c>
      <x:c r="J3051" s="3"/>
      <x:c r="K3051" s="3"/>
      <x:c r="L3051" s="3"/>
    </x:row>
    <x:row r="3052" ht="22" customHeight="1">
      <x:c r="A3052" s="3"/>
      <x:c r="B3052" s="3" t="str">
        <x:v>14320</x:v>
      </x:c>
      <x:c r="C3052" s="3" t="n">
        <x:v>2</x:v>
      </x:c>
      <x:c r="D3052" s="51" t="n">
        <x:v>40680</x:v>
      </x:c>
      <x:c r="E3052" s="3" t="str">
        <x:v>Recurrente</x:v>
      </x:c>
      <x:c r="F3052" s="13" t="n">
        <x:v>477.79</x:v>
      </x:c>
      <x:c r="G3052" s="13" t="n">
        <x:v>134.68</x:v>
      </x:c>
      <x:c r="H3052" s="13" t="n">
        <x:f>F3052-G3052</x:f>
        <x:v>343.11</x:v>
      </x:c>
      <x:c r="I3052" s="13" t="n">
        <x:f>IF(C3052=0,"n.a.",F3052/C3052)</x:f>
        <x:v>238.895</x:v>
      </x:c>
      <x:c r="J3052" s="3"/>
      <x:c r="K3052" s="3"/>
      <x:c r="L3052" s="3"/>
    </x:row>
    <x:row r="3053" ht="22" customHeight="1">
      <x:c r="A3053" s="3"/>
      <x:c r="B3053" s="3" t="str">
        <x:v>18250</x:v>
      </x:c>
      <x:c r="C3053" s="3" t="n">
        <x:v>1</x:v>
      </x:c>
      <x:c r="D3053" s="51" t="n">
        <x:v>40576</x:v>
      </x:c>
      <x:c r="E3053" s="3" t="str">
        <x:v>Una compra</x:v>
      </x:c>
      <x:c r="F3053" s="13" t="n">
        <x:v>349.27</x:v>
      </x:c>
      <x:c r="G3053" s="13" t="n">
        <x:v>6.35</x:v>
      </x:c>
      <x:c r="H3053" s="13" t="n">
        <x:f>F3053-G3053</x:f>
        <x:v>342.91999999999996</x:v>
      </x:c>
      <x:c r="I3053" s="13" t="n">
        <x:f>IF(C3053=0,"n.a.",F3053/C3053)</x:f>
        <x:v>349.27</x:v>
      </x:c>
      <x:c r="J3053" s="3"/>
      <x:c r="K3053" s="3"/>
      <x:c r="L3053" s="3"/>
    </x:row>
    <x:row r="3054" ht="22" customHeight="1">
      <x:c r="A3054" s="3"/>
      <x:c r="B3054" s="3" t="str">
        <x:v>17201</x:v>
      </x:c>
      <x:c r="C3054" s="3" t="n">
        <x:v>1</x:v>
      </x:c>
      <x:c r="D3054" s="51" t="n">
        <x:v>40833</x:v>
      </x:c>
      <x:c r="E3054" s="3" t="str">
        <x:v>Una compra</x:v>
      </x:c>
      <x:c r="F3054" s="13" t="n">
        <x:v>342.63</x:v>
      </x:c>
      <x:c r="G3054" s="13" t="n">
        <x:v>0</x:v>
      </x:c>
      <x:c r="H3054" s="13" t="n">
        <x:f>F3054-G3054</x:f>
        <x:v>342.63</x:v>
      </x:c>
      <x:c r="I3054" s="13" t="n">
        <x:f>IF(C3054=0,"n.a.",F3054/C3054)</x:f>
        <x:v>342.63</x:v>
      </x:c>
      <x:c r="J3054" s="3"/>
      <x:c r="K3054" s="3"/>
      <x:c r="L3054" s="3"/>
    </x:row>
    <x:row r="3055" ht="22" customHeight="1">
      <x:c r="A3055" s="3"/>
      <x:c r="B3055" s="3" t="str">
        <x:v>16851</x:v>
      </x:c>
      <x:c r="C3055" s="3" t="n">
        <x:v>3</x:v>
      </x:c>
      <x:c r="D3055" s="51" t="n">
        <x:v>40882</x:v>
      </x:c>
      <x:c r="E3055" s="3" t="str">
        <x:v>Recurrente</x:v>
      </x:c>
      <x:c r="F3055" s="13" t="n">
        <x:v>342.45</x:v>
      </x:c>
      <x:c r="G3055" s="13" t="n">
        <x:v>0</x:v>
      </x:c>
      <x:c r="H3055" s="13" t="n">
        <x:f>F3055-G3055</x:f>
        <x:v>342.45</x:v>
      </x:c>
      <x:c r="I3055" s="13" t="n">
        <x:f>IF(C3055=0,"n.a.",F3055/C3055)</x:f>
        <x:v>114.14999999999999</x:v>
      </x:c>
      <x:c r="J3055" s="3"/>
      <x:c r="K3055" s="3"/>
      <x:c r="L3055" s="3"/>
    </x:row>
    <x:row r="3056" ht="22" customHeight="1">
      <x:c r="A3056" s="3"/>
      <x:c r="B3056" s="3" t="str">
        <x:v>16826</x:v>
      </x:c>
      <x:c r="C3056" s="3" t="n">
        <x:v>1</x:v>
      </x:c>
      <x:c r="D3056" s="51" t="n">
        <x:v>40835</x:v>
      </x:c>
      <x:c r="E3056" s="3" t="str">
        <x:v>Una compra</x:v>
      </x:c>
      <x:c r="F3056" s="13" t="n">
        <x:v>341.7</x:v>
      </x:c>
      <x:c r="G3056" s="13" t="n">
        <x:v>0</x:v>
      </x:c>
      <x:c r="H3056" s="13" t="n">
        <x:f>F3056-G3056</x:f>
        <x:v>341.7</x:v>
      </x:c>
      <x:c r="I3056" s="13" t="n">
        <x:f>IF(C3056=0,"n.a.",F3056/C3056)</x:f>
        <x:v>341.7</x:v>
      </x:c>
      <x:c r="J3056" s="3"/>
      <x:c r="K3056" s="3"/>
      <x:c r="L3056" s="3"/>
    </x:row>
    <x:row r="3057" ht="22" customHeight="1">
      <x:c r="A3057" s="3"/>
      <x:c r="B3057" s="3" t="str">
        <x:v>17917</x:v>
      </x:c>
      <x:c r="C3057" s="3" t="n">
        <x:v>3</x:v>
      </x:c>
      <x:c r="D3057" s="51" t="n">
        <x:v>40841</x:v>
      </x:c>
      <x:c r="E3057" s="3" t="str">
        <x:v>Recurrente</x:v>
      </x:c>
      <x:c r="F3057" s="13" t="n">
        <x:v>341.28</x:v>
      </x:c>
      <x:c r="G3057" s="13" t="n">
        <x:v>0</x:v>
      </x:c>
      <x:c r="H3057" s="13" t="n">
        <x:f>F3057-G3057</x:f>
        <x:v>341.28</x:v>
      </x:c>
      <x:c r="I3057" s="13" t="n">
        <x:f>IF(C3057=0,"n.a.",F3057/C3057)</x:f>
        <x:v>113.75999999999999</x:v>
      </x:c>
      <x:c r="J3057" s="3"/>
      <x:c r="K3057" s="3"/>
      <x:c r="L3057" s="3"/>
    </x:row>
    <x:row r="3058" ht="22" customHeight="1">
      <x:c r="A3058" s="3"/>
      <x:c r="B3058" s="3" t="str">
        <x:v>14491</x:v>
      </x:c>
      <x:c r="C3058" s="3" t="n">
        <x:v>2</x:v>
      </x:c>
      <x:c r="D3058" s="51" t="n">
        <x:v>40711</x:v>
      </x:c>
      <x:c r="E3058" s="3" t="str">
        <x:v>Recurrente</x:v>
      </x:c>
      <x:c r="F3058" s="13" t="n">
        <x:v>340.93</x:v>
      </x:c>
      <x:c r="G3058" s="13" t="n">
        <x:v>0</x:v>
      </x:c>
      <x:c r="H3058" s="13" t="n">
        <x:f>F3058-G3058</x:f>
        <x:v>340.93</x:v>
      </x:c>
      <x:c r="I3058" s="13" t="n">
        <x:f>IF(C3058=0,"n.a.",F3058/C3058)</x:f>
        <x:v>170.465</x:v>
      </x:c>
      <x:c r="J3058" s="3"/>
      <x:c r="K3058" s="3"/>
      <x:c r="L3058" s="3"/>
    </x:row>
    <x:row r="3059" ht="22" customHeight="1">
      <x:c r="A3059" s="3"/>
      <x:c r="B3059" s="3" t="str">
        <x:v>15115</x:v>
      </x:c>
      <x:c r="C3059" s="3" t="n">
        <x:v>1</x:v>
      </x:c>
      <x:c r="D3059" s="51" t="n">
        <x:v>40868</x:v>
      </x:c>
      <x:c r="E3059" s="3" t="str">
        <x:v>Una compra</x:v>
      </x:c>
      <x:c r="F3059" s="13" t="n">
        <x:v>340.11</x:v>
      </x:c>
      <x:c r="G3059" s="13" t="n">
        <x:v>0</x:v>
      </x:c>
      <x:c r="H3059" s="13" t="n">
        <x:f>F3059-G3059</x:f>
        <x:v>340.11</x:v>
      </x:c>
      <x:c r="I3059" s="13" t="n">
        <x:f>IF(C3059=0,"n.a.",F3059/C3059)</x:f>
        <x:v>340.11</x:v>
      </x:c>
      <x:c r="J3059" s="3"/>
      <x:c r="K3059" s="3"/>
      <x:c r="L3059" s="3"/>
    </x:row>
    <x:row r="3060" ht="22" customHeight="1">
      <x:c r="A3060" s="3"/>
      <x:c r="B3060" s="3" t="str">
        <x:v>13737</x:v>
      </x:c>
      <x:c r="C3060" s="3" t="n">
        <x:v>1</x:v>
      </x:c>
      <x:c r="D3060" s="51" t="n">
        <x:v>40686</x:v>
      </x:c>
      <x:c r="E3060" s="3" t="str">
        <x:v>Una compra</x:v>
      </x:c>
      <x:c r="F3060" s="13" t="n">
        <x:v>339.6</x:v>
      </x:c>
      <x:c r="G3060" s="13" t="n">
        <x:v>0</x:v>
      </x:c>
      <x:c r="H3060" s="13" t="n">
        <x:f>F3060-G3060</x:f>
        <x:v>339.6</x:v>
      </x:c>
      <x:c r="I3060" s="13" t="n">
        <x:f>IF(C3060=0,"n.a.",F3060/C3060)</x:f>
        <x:v>339.6</x:v>
      </x:c>
      <x:c r="J3060" s="3"/>
      <x:c r="K3060" s="3"/>
      <x:c r="L3060" s="3"/>
    </x:row>
    <x:row r="3061" ht="22" customHeight="1">
      <x:c r="A3061" s="3"/>
      <x:c r="B3061" s="3" t="str">
        <x:v>17045</x:v>
      </x:c>
      <x:c r="C3061" s="3" t="n">
        <x:v>3</x:v>
      </x:c>
      <x:c r="D3061" s="51" t="n">
        <x:v>40773</x:v>
      </x:c>
      <x:c r="E3061" s="3" t="str">
        <x:v>Recurrente</x:v>
      </x:c>
      <x:c r="F3061" s="13" t="n">
        <x:v>339.44</x:v>
      </x:c>
      <x:c r="G3061" s="13" t="n">
        <x:v>0</x:v>
      </x:c>
      <x:c r="H3061" s="13" t="n">
        <x:f>F3061-G3061</x:f>
        <x:v>339.44</x:v>
      </x:c>
      <x:c r="I3061" s="13" t="n">
        <x:f>IF(C3061=0,"n.a.",F3061/C3061)</x:f>
        <x:v>113.14666666666666</x:v>
      </x:c>
      <x:c r="J3061" s="3"/>
      <x:c r="K3061" s="3"/>
      <x:c r="L3061" s="3"/>
    </x:row>
    <x:row r="3062" ht="22" customHeight="1">
      <x:c r="A3062" s="3"/>
      <x:c r="B3062" s="3" t="str">
        <x:v>16545</x:v>
      </x:c>
      <x:c r="C3062" s="3" t="n">
        <x:v>1</x:v>
      </x:c>
      <x:c r="D3062" s="51" t="n">
        <x:v>40722</x:v>
      </x:c>
      <x:c r="E3062" s="3" t="str">
        <x:v>Una compra</x:v>
      </x:c>
      <x:c r="F3062" s="13" t="n">
        <x:v>339.3</x:v>
      </x:c>
      <x:c r="G3062" s="13" t="n">
        <x:v>0</x:v>
      </x:c>
      <x:c r="H3062" s="13" t="n">
        <x:f>F3062-G3062</x:f>
        <x:v>339.3</x:v>
      </x:c>
      <x:c r="I3062" s="13" t="n">
        <x:f>IF(C3062=0,"n.a.",F3062/C3062)</x:f>
        <x:v>339.3</x:v>
      </x:c>
      <x:c r="J3062" s="3"/>
      <x:c r="K3062" s="3"/>
      <x:c r="L3062" s="3"/>
    </x:row>
    <x:row r="3063" ht="22" customHeight="1">
      <x:c r="A3063" s="3"/>
      <x:c r="B3063" s="3" t="str">
        <x:v>13352</x:v>
      </x:c>
      <x:c r="C3063" s="3" t="n">
        <x:v>1</x:v>
      </x:c>
      <x:c r="D3063" s="51" t="n">
        <x:v>40826</x:v>
      </x:c>
      <x:c r="E3063" s="3" t="str">
        <x:v>Una compra</x:v>
      </x:c>
      <x:c r="F3063" s="13" t="n">
        <x:v>347.98</x:v>
      </x:c>
      <x:c r="G3063" s="13" t="n">
        <x:v>8.7</x:v>
      </x:c>
      <x:c r="H3063" s="13" t="n">
        <x:f>F3063-G3063</x:f>
        <x:v>339.28000000000003</x:v>
      </x:c>
      <x:c r="I3063" s="13" t="n">
        <x:f>IF(C3063=0,"n.a.",F3063/C3063)</x:f>
        <x:v>347.98</x:v>
      </x:c>
      <x:c r="J3063" s="3"/>
      <x:c r="K3063" s="3"/>
      <x:c r="L3063" s="3"/>
    </x:row>
    <x:row r="3064" ht="22" customHeight="1">
      <x:c r="A3064" s="3"/>
      <x:c r="B3064" s="3" t="str">
        <x:v>17697</x:v>
      </x:c>
      <x:c r="C3064" s="3" t="n">
        <x:v>1</x:v>
      </x:c>
      <x:c r="D3064" s="51" t="n">
        <x:v>40650</x:v>
      </x:c>
      <x:c r="E3064" s="3" t="str">
        <x:v>Una compra</x:v>
      </x:c>
      <x:c r="F3064" s="13" t="n">
        <x:v>338.95</x:v>
      </x:c>
      <x:c r="G3064" s="13" t="n">
        <x:v>0</x:v>
      </x:c>
      <x:c r="H3064" s="13" t="n">
        <x:f>F3064-G3064</x:f>
        <x:v>338.95</x:v>
      </x:c>
      <x:c r="I3064" s="13" t="n">
        <x:f>IF(C3064=0,"n.a.",F3064/C3064)</x:f>
        <x:v>338.95</x:v>
      </x:c>
      <x:c r="J3064" s="3"/>
      <x:c r="K3064" s="3"/>
      <x:c r="L3064" s="3"/>
    </x:row>
    <x:row r="3065" ht="22" customHeight="1">
      <x:c r="A3065" s="3"/>
      <x:c r="B3065" s="3" t="str">
        <x:v>17839</x:v>
      </x:c>
      <x:c r="C3065" s="3" t="n">
        <x:v>1</x:v>
      </x:c>
      <x:c r="D3065" s="51" t="n">
        <x:v>40844</x:v>
      </x:c>
      <x:c r="E3065" s="3" t="str">
        <x:v>Una compra</x:v>
      </x:c>
      <x:c r="F3065" s="13" t="n">
        <x:v>338.8</x:v>
      </x:c>
      <x:c r="G3065" s="13" t="n">
        <x:v>0</x:v>
      </x:c>
      <x:c r="H3065" s="13" t="n">
        <x:f>F3065-G3065</x:f>
        <x:v>338.8</x:v>
      </x:c>
      <x:c r="I3065" s="13" t="n">
        <x:f>IF(C3065=0,"n.a.",F3065/C3065)</x:f>
        <x:v>338.8</x:v>
      </x:c>
      <x:c r="J3065" s="3"/>
      <x:c r="K3065" s="3"/>
      <x:c r="L3065" s="3"/>
    </x:row>
    <x:row r="3066" ht="22" customHeight="1">
      <x:c r="A3066" s="3"/>
      <x:c r="B3066" s="3" t="str">
        <x:v>16183</x:v>
      </x:c>
      <x:c r="C3066" s="3" t="n">
        <x:v>1</x:v>
      </x:c>
      <x:c r="D3066" s="51" t="n">
        <x:v>40819</x:v>
      </x:c>
      <x:c r="E3066" s="3" t="str">
        <x:v>Una compra</x:v>
      </x:c>
      <x:c r="F3066" s="13" t="n">
        <x:v>338.71</x:v>
      </x:c>
      <x:c r="G3066" s="13" t="n">
        <x:v>0</x:v>
      </x:c>
      <x:c r="H3066" s="13" t="n">
        <x:f>F3066-G3066</x:f>
        <x:v>338.71</x:v>
      </x:c>
      <x:c r="I3066" s="13" t="n">
        <x:f>IF(C3066=0,"n.a.",F3066/C3066)</x:f>
        <x:v>338.71</x:v>
      </x:c>
      <x:c r="J3066" s="3"/>
      <x:c r="K3066" s="3"/>
      <x:c r="L3066" s="3"/>
    </x:row>
    <x:row r="3067" ht="22" customHeight="1">
      <x:c r="A3067" s="3"/>
      <x:c r="B3067" s="3" t="str">
        <x:v>16274</x:v>
      </x:c>
      <x:c r="C3067" s="3" t="n">
        <x:v>1</x:v>
      </x:c>
      <x:c r="D3067" s="51" t="n">
        <x:v>40513</x:v>
      </x:c>
      <x:c r="E3067" s="3" t="str">
        <x:v>Una compra</x:v>
      </x:c>
      <x:c r="F3067" s="13" t="n">
        <x:v>337.75</x:v>
      </x:c>
      <x:c r="G3067" s="13" t="n">
        <x:v>0</x:v>
      </x:c>
      <x:c r="H3067" s="13" t="n">
        <x:f>F3067-G3067</x:f>
        <x:v>337.75</x:v>
      </x:c>
      <x:c r="I3067" s="13" t="n">
        <x:f>IF(C3067=0,"n.a.",F3067/C3067)</x:f>
        <x:v>337.75</x:v>
      </x:c>
      <x:c r="J3067" s="3"/>
      <x:c r="K3067" s="3"/>
      <x:c r="L3067" s="3"/>
    </x:row>
    <x:row r="3068" ht="22" customHeight="1">
      <x:c r="A3068" s="3"/>
      <x:c r="B3068" s="3" t="str">
        <x:v>15652</x:v>
      </x:c>
      <x:c r="C3068" s="3" t="n">
        <x:v>1</x:v>
      </x:c>
      <x:c r="D3068" s="51" t="n">
        <x:v>40795</x:v>
      </x:c>
      <x:c r="E3068" s="3" t="str">
        <x:v>Una compra</x:v>
      </x:c>
      <x:c r="F3068" s="13" t="n">
        <x:v>337.74</x:v>
      </x:c>
      <x:c r="G3068" s="13" t="n">
        <x:v>0</x:v>
      </x:c>
      <x:c r="H3068" s="13" t="n">
        <x:f>F3068-G3068</x:f>
        <x:v>337.74</x:v>
      </x:c>
      <x:c r="I3068" s="13" t="n">
        <x:f>IF(C3068=0,"n.a.",F3068/C3068)</x:f>
        <x:v>337.74</x:v>
      </x:c>
      <x:c r="J3068" s="3"/>
      <x:c r="K3068" s="3"/>
      <x:c r="L3068" s="3"/>
    </x:row>
    <x:row r="3069" ht="22" customHeight="1">
      <x:c r="A3069" s="3"/>
      <x:c r="B3069" s="3" t="str">
        <x:v>17736</x:v>
      </x:c>
      <x:c r="C3069" s="3" t="n">
        <x:v>3</x:v>
      </x:c>
      <x:c r="D3069" s="51" t="n">
        <x:v>40877</x:v>
      </x:c>
      <x:c r="E3069" s="3" t="str">
        <x:v>Recurrente</x:v>
      </x:c>
      <x:c r="F3069" s="13" t="n">
        <x:v>377.44</x:v>
      </x:c>
      <x:c r="G3069" s="13" t="n">
        <x:v>39.95</x:v>
      </x:c>
      <x:c r="H3069" s="13" t="n">
        <x:f>F3069-G3069</x:f>
        <x:v>337.49</x:v>
      </x:c>
      <x:c r="I3069" s="13" t="n">
        <x:f>IF(C3069=0,"n.a.",F3069/C3069)</x:f>
        <x:v>125.81333333333333</x:v>
      </x:c>
      <x:c r="J3069" s="3"/>
      <x:c r="K3069" s="3"/>
      <x:c r="L3069" s="3"/>
    </x:row>
    <x:row r="3070" ht="22" customHeight="1">
      <x:c r="A3070" s="3"/>
      <x:c r="B3070" s="3" t="str">
        <x:v>15942</x:v>
      </x:c>
      <x:c r="C3070" s="3" t="n">
        <x:v>1</x:v>
      </x:c>
      <x:c r="D3070" s="51" t="n">
        <x:v>40753</x:v>
      </x:c>
      <x:c r="E3070" s="3" t="str">
        <x:v>Una compra</x:v>
      </x:c>
      <x:c r="F3070" s="13" t="n">
        <x:v>337.44</x:v>
      </x:c>
      <x:c r="G3070" s="13" t="n">
        <x:v>0</x:v>
      </x:c>
      <x:c r="H3070" s="13" t="n">
        <x:f>F3070-G3070</x:f>
        <x:v>337.44</x:v>
      </x:c>
      <x:c r="I3070" s="13" t="n">
        <x:f>IF(C3070=0,"n.a.",F3070/C3070)</x:f>
        <x:v>337.44</x:v>
      </x:c>
      <x:c r="J3070" s="3"/>
      <x:c r="K3070" s="3"/>
      <x:c r="L3070" s="3"/>
    </x:row>
    <x:row r="3071" ht="22" customHeight="1">
      <x:c r="A3071" s="3"/>
      <x:c r="B3071" s="3" t="str">
        <x:v>13930</x:v>
      </x:c>
      <x:c r="C3071" s="3" t="n">
        <x:v>2</x:v>
      </x:c>
      <x:c r="D3071" s="51" t="n">
        <x:v>40829</x:v>
      </x:c>
      <x:c r="E3071" s="3" t="str">
        <x:v>Recurrente</x:v>
      </x:c>
      <x:c r="F3071" s="13" t="n">
        <x:v>337.34</x:v>
      </x:c>
      <x:c r="G3071" s="13" t="n">
        <x:v>0</x:v>
      </x:c>
      <x:c r="H3071" s="13" t="n">
        <x:f>F3071-G3071</x:f>
        <x:v>337.34</x:v>
      </x:c>
      <x:c r="I3071" s="13" t="n">
        <x:f>IF(C3071=0,"n.a.",F3071/C3071)</x:f>
        <x:v>168.67</x:v>
      </x:c>
      <x:c r="J3071" s="3"/>
      <x:c r="K3071" s="3"/>
      <x:c r="L3071" s="3"/>
    </x:row>
    <x:row r="3072" ht="22" customHeight="1">
      <x:c r="A3072" s="3"/>
      <x:c r="B3072" s="3" t="str">
        <x:v>17973</x:v>
      </x:c>
      <x:c r="C3072" s="3" t="n">
        <x:v>1</x:v>
      </x:c>
      <x:c r="D3072" s="51" t="n">
        <x:v>40835</x:v>
      </x:c>
      <x:c r="E3072" s="3" t="str">
        <x:v>Una compra</x:v>
      </x:c>
      <x:c r="F3072" s="13" t="n">
        <x:v>337.04</x:v>
      </x:c>
      <x:c r="G3072" s="13" t="n">
        <x:v>0</x:v>
      </x:c>
      <x:c r="H3072" s="13" t="n">
        <x:f>F3072-G3072</x:f>
        <x:v>337.04</x:v>
      </x:c>
      <x:c r="I3072" s="13" t="n">
        <x:f>IF(C3072=0,"n.a.",F3072/C3072)</x:f>
        <x:v>337.04</x:v>
      </x:c>
      <x:c r="J3072" s="3"/>
      <x:c r="K3072" s="3"/>
      <x:c r="L3072" s="3"/>
    </x:row>
    <x:row r="3073" ht="22" customHeight="1">
      <x:c r="A3073" s="3"/>
      <x:c r="B3073" s="3" t="str">
        <x:v>16105</x:v>
      </x:c>
      <x:c r="C3073" s="3" t="n">
        <x:v>1</x:v>
      </x:c>
      <x:c r="D3073" s="51" t="n">
        <x:v>40638</x:v>
      </x:c>
      <x:c r="E3073" s="3" t="str">
        <x:v>Una compra</x:v>
      </x:c>
      <x:c r="F3073" s="13" t="n">
        <x:v>336.96</x:v>
      </x:c>
      <x:c r="G3073" s="13" t="n">
        <x:v>0</x:v>
      </x:c>
      <x:c r="H3073" s="13" t="n">
        <x:f>F3073-G3073</x:f>
        <x:v>336.96</x:v>
      </x:c>
      <x:c r="I3073" s="13" t="n">
        <x:f>IF(C3073=0,"n.a.",F3073/C3073)</x:f>
        <x:v>336.96</x:v>
      </x:c>
      <x:c r="J3073" s="3"/>
      <x:c r="K3073" s="3"/>
      <x:c r="L3073" s="3"/>
    </x:row>
    <x:row r="3074" ht="22" customHeight="1">
      <x:c r="A3074" s="3"/>
      <x:c r="B3074" s="3" t="str">
        <x:v>17914</x:v>
      </x:c>
      <x:c r="C3074" s="3" t="n">
        <x:v>1</x:v>
      </x:c>
      <x:c r="D3074" s="51" t="n">
        <x:v>40883</x:v>
      </x:c>
      <x:c r="E3074" s="3" t="str">
        <x:v>Una compra</x:v>
      </x:c>
      <x:c r="F3074" s="13" t="n">
        <x:v>336.43</x:v>
      </x:c>
      <x:c r="G3074" s="13" t="n">
        <x:v>0</x:v>
      </x:c>
      <x:c r="H3074" s="13" t="n">
        <x:f>F3074-G3074</x:f>
        <x:v>336.43</x:v>
      </x:c>
      <x:c r="I3074" s="13" t="n">
        <x:f>IF(C3074=0,"n.a.",F3074/C3074)</x:f>
        <x:v>336.43</x:v>
      </x:c>
      <x:c r="J3074" s="3"/>
      <x:c r="K3074" s="3"/>
      <x:c r="L3074" s="3"/>
    </x:row>
    <x:row r="3075" ht="22" customHeight="1">
      <x:c r="A3075" s="3"/>
      <x:c r="B3075" s="3" t="str">
        <x:v>15619</x:v>
      </x:c>
      <x:c r="C3075" s="3" t="n">
        <x:v>1</x:v>
      </x:c>
      <x:c r="D3075" s="51" t="n">
        <x:v>40876</x:v>
      </x:c>
      <x:c r="E3075" s="3" t="str">
        <x:v>Una compra</x:v>
      </x:c>
      <x:c r="F3075" s="13" t="n">
        <x:v>336.4</x:v>
      </x:c>
      <x:c r="G3075" s="13" t="n">
        <x:v>0</x:v>
      </x:c>
      <x:c r="H3075" s="13" t="n">
        <x:f>F3075-G3075</x:f>
        <x:v>336.4</x:v>
      </x:c>
      <x:c r="I3075" s="13" t="n">
        <x:f>IF(C3075=0,"n.a.",F3075/C3075)</x:f>
        <x:v>336.4</x:v>
      </x:c>
      <x:c r="J3075" s="3"/>
      <x:c r="K3075" s="3"/>
      <x:c r="L3075" s="3"/>
    </x:row>
    <x:row r="3076" ht="22" customHeight="1">
      <x:c r="A3076" s="3"/>
      <x:c r="B3076" s="3" t="str">
        <x:v>17384</x:v>
      </x:c>
      <x:c r="C3076" s="3" t="n">
        <x:v>2</x:v>
      </x:c>
      <x:c r="D3076" s="51" t="n">
        <x:v>40867</x:v>
      </x:c>
      <x:c r="E3076" s="3" t="str">
        <x:v>Recurrente</x:v>
      </x:c>
      <x:c r="F3076" s="13" t="n">
        <x:v>336.4</x:v>
      </x:c>
      <x:c r="G3076" s="13" t="n">
        <x:v>0</x:v>
      </x:c>
      <x:c r="H3076" s="13" t="n">
        <x:f>F3076-G3076</x:f>
        <x:v>336.4</x:v>
      </x:c>
      <x:c r="I3076" s="13" t="n">
        <x:f>IF(C3076=0,"n.a.",F3076/C3076)</x:f>
        <x:v>168.2</x:v>
      </x:c>
      <x:c r="J3076" s="3"/>
      <x:c r="K3076" s="3"/>
      <x:c r="L3076" s="3"/>
    </x:row>
    <x:row r="3077" ht="22" customHeight="1">
      <x:c r="A3077" s="3"/>
      <x:c r="B3077" s="3" t="str">
        <x:v>14954</x:v>
      </x:c>
      <x:c r="C3077" s="3" t="n">
        <x:v>1</x:v>
      </x:c>
      <x:c r="D3077" s="51" t="n">
        <x:v>40874</x:v>
      </x:c>
      <x:c r="E3077" s="3" t="str">
        <x:v>Una compra</x:v>
      </x:c>
      <x:c r="F3077" s="13" t="n">
        <x:v>336.17</x:v>
      </x:c>
      <x:c r="G3077" s="13" t="n">
        <x:v>0</x:v>
      </x:c>
      <x:c r="H3077" s="13" t="n">
        <x:f>F3077-G3077</x:f>
        <x:v>336.17</x:v>
      </x:c>
      <x:c r="I3077" s="13" t="n">
        <x:f>IF(C3077=0,"n.a.",F3077/C3077)</x:f>
        <x:v>336.17</x:v>
      </x:c>
      <x:c r="J3077" s="3"/>
      <x:c r="K3077" s="3"/>
      <x:c r="L3077" s="3"/>
    </x:row>
    <x:row r="3078" ht="22" customHeight="1">
      <x:c r="A3078" s="3"/>
      <x:c r="B3078" s="3" t="str">
        <x:v>18078</x:v>
      </x:c>
      <x:c r="C3078" s="3" t="n">
        <x:v>2</x:v>
      </x:c>
      <x:c r="D3078" s="51" t="n">
        <x:v>40669</x:v>
      </x:c>
      <x:c r="E3078" s="3" t="str">
        <x:v>Recurrente</x:v>
      </x:c>
      <x:c r="F3078" s="13" t="n">
        <x:v>336.13</x:v>
      </x:c>
      <x:c r="G3078" s="13" t="n">
        <x:v>0</x:v>
      </x:c>
      <x:c r="H3078" s="13" t="n">
        <x:f>F3078-G3078</x:f>
        <x:v>336.13</x:v>
      </x:c>
      <x:c r="I3078" s="13" t="n">
        <x:f>IF(C3078=0,"n.a.",F3078/C3078)</x:f>
        <x:v>168.065</x:v>
      </x:c>
      <x:c r="J3078" s="3"/>
      <x:c r="K3078" s="3"/>
      <x:c r="L3078" s="3"/>
    </x:row>
    <x:row r="3079" ht="22" customHeight="1">
      <x:c r="A3079" s="3"/>
      <x:c r="B3079" s="3" t="str">
        <x:v>15921</x:v>
      </x:c>
      <x:c r="C3079" s="3" t="n">
        <x:v>1</x:v>
      </x:c>
      <x:c r="D3079" s="51" t="n">
        <x:v>40714</x:v>
      </x:c>
      <x:c r="E3079" s="3" t="str">
        <x:v>Una compra</x:v>
      </x:c>
      <x:c r="F3079" s="13" t="n">
        <x:v>336.03</x:v>
      </x:c>
      <x:c r="G3079" s="13" t="n">
        <x:v>0</x:v>
      </x:c>
      <x:c r="H3079" s="13" t="n">
        <x:f>F3079-G3079</x:f>
        <x:v>336.03</x:v>
      </x:c>
      <x:c r="I3079" s="13" t="n">
        <x:f>IF(C3079=0,"n.a.",F3079/C3079)</x:f>
        <x:v>336.03</x:v>
      </x:c>
      <x:c r="J3079" s="3"/>
      <x:c r="K3079" s="3"/>
      <x:c r="L3079" s="3"/>
    </x:row>
    <x:row r="3080" ht="22" customHeight="1">
      <x:c r="A3080" s="3"/>
      <x:c r="B3080" s="3" t="str">
        <x:v>14196</x:v>
      </x:c>
      <x:c r="C3080" s="3" t="n">
        <x:v>1</x:v>
      </x:c>
      <x:c r="D3080" s="51" t="n">
        <x:v>40780</x:v>
      </x:c>
      <x:c r="E3080" s="3" t="str">
        <x:v>Una compra</x:v>
      </x:c>
      <x:c r="F3080" s="13" t="n">
        <x:v>335.52</x:v>
      </x:c>
      <x:c r="G3080" s="13" t="n">
        <x:v>0</x:v>
      </x:c>
      <x:c r="H3080" s="13" t="n">
        <x:f>F3080-G3080</x:f>
        <x:v>335.52</x:v>
      </x:c>
      <x:c r="I3080" s="13" t="n">
        <x:f>IF(C3080=0,"n.a.",F3080/C3080)</x:f>
        <x:v>335.52</x:v>
      </x:c>
      <x:c r="J3080" s="3"/>
      <x:c r="K3080" s="3"/>
      <x:c r="L3080" s="3"/>
    </x:row>
    <x:row r="3081" ht="22" customHeight="1">
      <x:c r="A3081" s="3"/>
      <x:c r="B3081" s="3" t="str">
        <x:v>16063</x:v>
      </x:c>
      <x:c r="C3081" s="3" t="n">
        <x:v>1</x:v>
      </x:c>
      <x:c r="D3081" s="51" t="n">
        <x:v>40626</x:v>
      </x:c>
      <x:c r="E3081" s="3" t="str">
        <x:v>Una compra</x:v>
      </x:c>
      <x:c r="F3081" s="13" t="n">
        <x:v>335.32</x:v>
      </x:c>
      <x:c r="G3081" s="13" t="n">
        <x:v>0</x:v>
      </x:c>
      <x:c r="H3081" s="13" t="n">
        <x:f>F3081-G3081</x:f>
        <x:v>335.32</x:v>
      </x:c>
      <x:c r="I3081" s="13" t="n">
        <x:f>IF(C3081=0,"n.a.",F3081/C3081)</x:f>
        <x:v>335.32</x:v>
      </x:c>
      <x:c r="J3081" s="3"/>
      <x:c r="K3081" s="3"/>
      <x:c r="L3081" s="3"/>
    </x:row>
    <x:row r="3082" ht="22" customHeight="1">
      <x:c r="A3082" s="3"/>
      <x:c r="B3082" s="3" t="str">
        <x:v>17221</x:v>
      </x:c>
      <x:c r="C3082" s="3" t="n">
        <x:v>2</x:v>
      </x:c>
      <x:c r="D3082" s="51" t="n">
        <x:v>40879</x:v>
      </x:c>
      <x:c r="E3082" s="3" t="str">
        <x:v>Recurrente</x:v>
      </x:c>
      <x:c r="F3082" s="13" t="n">
        <x:v>335.13</x:v>
      </x:c>
      <x:c r="G3082" s="13" t="n">
        <x:v>0</x:v>
      </x:c>
      <x:c r="H3082" s="13" t="n">
        <x:f>F3082-G3082</x:f>
        <x:v>335.13</x:v>
      </x:c>
      <x:c r="I3082" s="13" t="n">
        <x:f>IF(C3082=0,"n.a.",F3082/C3082)</x:f>
        <x:v>167.565</x:v>
      </x:c>
      <x:c r="J3082" s="3"/>
      <x:c r="K3082" s="3"/>
      <x:c r="L3082" s="3"/>
    </x:row>
    <x:row r="3083" ht="22" customHeight="1">
      <x:c r="A3083" s="3"/>
      <x:c r="B3083" s="3" t="str">
        <x:v>12690</x:v>
      </x:c>
      <x:c r="C3083" s="3" t="n">
        <x:v>1</x:v>
      </x:c>
      <x:c r="D3083" s="51" t="n">
        <x:v>40681</x:v>
      </x:c>
      <x:c r="E3083" s="3" t="str">
        <x:v>Una compra</x:v>
      </x:c>
      <x:c r="F3083" s="13" t="n">
        <x:v>335.01</x:v>
      </x:c>
      <x:c r="G3083" s="13" t="n">
        <x:v>0</x:v>
      </x:c>
      <x:c r="H3083" s="13" t="n">
        <x:f>F3083-G3083</x:f>
        <x:v>335.01</x:v>
      </x:c>
      <x:c r="I3083" s="13" t="n">
        <x:f>IF(C3083=0,"n.a.",F3083/C3083)</x:f>
        <x:v>335.01</x:v>
      </x:c>
      <x:c r="J3083" s="3"/>
      <x:c r="K3083" s="3"/>
      <x:c r="L3083" s="3"/>
    </x:row>
    <x:row r="3084" ht="22" customHeight="1">
      <x:c r="A3084" s="3"/>
      <x:c r="B3084" s="3" t="str">
        <x:v>14988</x:v>
      </x:c>
      <x:c r="C3084" s="3" t="n">
        <x:v>1</x:v>
      </x:c>
      <x:c r="D3084" s="51" t="n">
        <x:v>40675</x:v>
      </x:c>
      <x:c r="E3084" s="3" t="str">
        <x:v>Una compra</x:v>
      </x:c>
      <x:c r="F3084" s="13" t="n">
        <x:v>334.54</x:v>
      </x:c>
      <x:c r="G3084" s="13" t="n">
        <x:v>0</x:v>
      </x:c>
      <x:c r="H3084" s="13" t="n">
        <x:f>F3084-G3084</x:f>
        <x:v>334.54</x:v>
      </x:c>
      <x:c r="I3084" s="13" t="n">
        <x:f>IF(C3084=0,"n.a.",F3084/C3084)</x:f>
        <x:v>334.54</x:v>
      </x:c>
      <x:c r="J3084" s="3"/>
      <x:c r="K3084" s="3"/>
      <x:c r="L3084" s="3"/>
    </x:row>
    <x:row r="3085" ht="22" customHeight="1">
      <x:c r="A3085" s="3"/>
      <x:c r="B3085" s="3" t="str">
        <x:v>15466</x:v>
      </x:c>
      <x:c r="C3085" s="3" t="n">
        <x:v>1</x:v>
      </x:c>
      <x:c r="D3085" s="51" t="n">
        <x:v>40801</x:v>
      </x:c>
      <x:c r="E3085" s="3" t="str">
        <x:v>Una compra</x:v>
      </x:c>
      <x:c r="F3085" s="13" t="n">
        <x:v>334.53</x:v>
      </x:c>
      <x:c r="G3085" s="13" t="n">
        <x:v>0</x:v>
      </x:c>
      <x:c r="H3085" s="13" t="n">
        <x:f>F3085-G3085</x:f>
        <x:v>334.53</x:v>
      </x:c>
      <x:c r="I3085" s="13" t="n">
        <x:f>IF(C3085=0,"n.a.",F3085/C3085)</x:f>
        <x:v>334.53</x:v>
      </x:c>
      <x:c r="J3085" s="3"/>
      <x:c r="K3085" s="3"/>
      <x:c r="L3085" s="3"/>
    </x:row>
    <x:row r="3086" ht="22" customHeight="1">
      <x:c r="A3086" s="3"/>
      <x:c r="B3086" s="3" t="str">
        <x:v>15918</x:v>
      </x:c>
      <x:c r="C3086" s="3" t="n">
        <x:v>2</x:v>
      </x:c>
      <x:c r="D3086" s="51" t="n">
        <x:v>40696</x:v>
      </x:c>
      <x:c r="E3086" s="3" t="str">
        <x:v>Recurrente</x:v>
      </x:c>
      <x:c r="F3086" s="13" t="n">
        <x:v>334.23</x:v>
      </x:c>
      <x:c r="G3086" s="13" t="n">
        <x:v>0</x:v>
      </x:c>
      <x:c r="H3086" s="13" t="n">
        <x:f>F3086-G3086</x:f>
        <x:v>334.23</x:v>
      </x:c>
      <x:c r="I3086" s="13" t="n">
        <x:f>IF(C3086=0,"n.a.",F3086/C3086)</x:f>
        <x:v>167.115</x:v>
      </x:c>
      <x:c r="J3086" s="3"/>
      <x:c r="K3086" s="3"/>
      <x:c r="L3086" s="3"/>
    </x:row>
    <x:row r="3087" ht="22" customHeight="1">
      <x:c r="A3087" s="3"/>
      <x:c r="B3087" s="3" t="str">
        <x:v>13216</x:v>
      </x:c>
      <x:c r="C3087" s="3" t="n">
        <x:v>1</x:v>
      </x:c>
      <x:c r="D3087" s="51" t="n">
        <x:v>40619</x:v>
      </x:c>
      <x:c r="E3087" s="3" t="str">
        <x:v>Una compra</x:v>
      </x:c>
      <x:c r="F3087" s="13" t="n">
        <x:v>333.74</x:v>
      </x:c>
      <x:c r="G3087" s="13" t="n">
        <x:v>0</x:v>
      </x:c>
      <x:c r="H3087" s="13" t="n">
        <x:f>F3087-G3087</x:f>
        <x:v>333.74</x:v>
      </x:c>
      <x:c r="I3087" s="13" t="n">
        <x:f>IF(C3087=0,"n.a.",F3087/C3087)</x:f>
        <x:v>333.74</x:v>
      </x:c>
      <x:c r="J3087" s="3"/>
      <x:c r="K3087" s="3"/>
      <x:c r="L3087" s="3"/>
    </x:row>
    <x:row r="3088" ht="22" customHeight="1">
      <x:c r="A3088" s="3"/>
      <x:c r="B3088" s="3" t="str">
        <x:v>15781</x:v>
      </x:c>
      <x:c r="C3088" s="3" t="n">
        <x:v>3</x:v>
      </x:c>
      <x:c r="D3088" s="51" t="n">
        <x:v>40861</x:v>
      </x:c>
      <x:c r="E3088" s="3" t="str">
        <x:v>Recurrente</x:v>
      </x:c>
      <x:c r="F3088" s="13" t="n">
        <x:v>345.46</x:v>
      </x:c>
      <x:c r="G3088" s="13" t="n">
        <x:v>11.9</x:v>
      </x:c>
      <x:c r="H3088" s="13" t="n">
        <x:f>F3088-G3088</x:f>
        <x:v>333.56</x:v>
      </x:c>
      <x:c r="I3088" s="13" t="n">
        <x:f>IF(C3088=0,"n.a.",F3088/C3088)</x:f>
        <x:v>115.15333333333332</x:v>
      </x:c>
      <x:c r="J3088" s="3"/>
      <x:c r="K3088" s="3"/>
      <x:c r="L3088" s="3"/>
    </x:row>
    <x:row r="3089" ht="22" customHeight="1">
      <x:c r="A3089" s="3"/>
      <x:c r="B3089" s="3" t="str">
        <x:v>13727</x:v>
      </x:c>
      <x:c r="C3089" s="3" t="n">
        <x:v>2</x:v>
      </x:c>
      <x:c r="D3089" s="51" t="n">
        <x:v>40858</x:v>
      </x:c>
      <x:c r="E3089" s="3" t="str">
        <x:v>Recurrente</x:v>
      </x:c>
      <x:c r="F3089" s="13" t="n">
        <x:v>333.48</x:v>
      </x:c>
      <x:c r="G3089" s="13" t="n">
        <x:v>0</x:v>
      </x:c>
      <x:c r="H3089" s="13" t="n">
        <x:f>F3089-G3089</x:f>
        <x:v>333.48</x:v>
      </x:c>
      <x:c r="I3089" s="13" t="n">
        <x:f>IF(C3089=0,"n.a.",F3089/C3089)</x:f>
        <x:v>166.74</x:v>
      </x:c>
      <x:c r="J3089" s="3"/>
      <x:c r="K3089" s="3"/>
      <x:c r="L3089" s="3"/>
    </x:row>
    <x:row r="3090" ht="22" customHeight="1">
      <x:c r="A3090" s="3"/>
      <x:c r="B3090" s="3" t="str">
        <x:v>16625</x:v>
      </x:c>
      <x:c r="C3090" s="3" t="n">
        <x:v>1</x:v>
      </x:c>
      <x:c r="D3090" s="51" t="n">
        <x:v>40612</x:v>
      </x:c>
      <x:c r="E3090" s="3" t="str">
        <x:v>Una compra</x:v>
      </x:c>
      <x:c r="F3090" s="13" t="n">
        <x:v>333.08</x:v>
      </x:c>
      <x:c r="G3090" s="13" t="n">
        <x:v>0</x:v>
      </x:c>
      <x:c r="H3090" s="13" t="n">
        <x:f>F3090-G3090</x:f>
        <x:v>333.08</x:v>
      </x:c>
      <x:c r="I3090" s="13" t="n">
        <x:f>IF(C3090=0,"n.a.",F3090/C3090)</x:f>
        <x:v>333.08</x:v>
      </x:c>
      <x:c r="J3090" s="3"/>
      <x:c r="K3090" s="3"/>
      <x:c r="L3090" s="3"/>
    </x:row>
    <x:row r="3091" ht="22" customHeight="1">
      <x:c r="A3091" s="3"/>
      <x:c r="B3091" s="3" t="str">
        <x:v>13904</x:v>
      </x:c>
      <x:c r="C3091" s="3" t="n">
        <x:v>2</x:v>
      </x:c>
      <x:c r="D3091" s="51" t="n">
        <x:v>40849</x:v>
      </x:c>
      <x:c r="E3091" s="3" t="str">
        <x:v>Recurrente</x:v>
      </x:c>
      <x:c r="F3091" s="13" t="n">
        <x:v>332.64</x:v>
      </x:c>
      <x:c r="G3091" s="13" t="n">
        <x:v>0</x:v>
      </x:c>
      <x:c r="H3091" s="13" t="n">
        <x:f>F3091-G3091</x:f>
        <x:v>332.64</x:v>
      </x:c>
      <x:c r="I3091" s="13" t="n">
        <x:f>IF(C3091=0,"n.a.",F3091/C3091)</x:f>
        <x:v>166.32</x:v>
      </x:c>
      <x:c r="J3091" s="3"/>
      <x:c r="K3091" s="3"/>
      <x:c r="L3091" s="3"/>
    </x:row>
    <x:row r="3092" ht="22" customHeight="1">
      <x:c r="A3092" s="3"/>
      <x:c r="B3092" s="3" t="str">
        <x:v>16850</x:v>
      </x:c>
      <x:c r="C3092" s="3" t="n">
        <x:v>1</x:v>
      </x:c>
      <x:c r="D3092" s="51" t="n">
        <x:v>40553</x:v>
      </x:c>
      <x:c r="E3092" s="3" t="str">
        <x:v>Una compra</x:v>
      </x:c>
      <x:c r="F3092" s="13" t="n">
        <x:v>332.41</x:v>
      </x:c>
      <x:c r="G3092" s="13" t="n">
        <x:v>0</x:v>
      </x:c>
      <x:c r="H3092" s="13" t="n">
        <x:f>F3092-G3092</x:f>
        <x:v>332.41</x:v>
      </x:c>
      <x:c r="I3092" s="13" t="n">
        <x:f>IF(C3092=0,"n.a.",F3092/C3092)</x:f>
        <x:v>332.41</x:v>
      </x:c>
      <x:c r="J3092" s="3"/>
      <x:c r="K3092" s="3"/>
      <x:c r="L3092" s="3"/>
    </x:row>
    <x:row r="3093" ht="22" customHeight="1">
      <x:c r="A3093" s="3"/>
      <x:c r="B3093" s="3" t="str">
        <x:v>16803</x:v>
      </x:c>
      <x:c r="C3093" s="3" t="n">
        <x:v>1</x:v>
      </x:c>
      <x:c r="D3093" s="51" t="n">
        <x:v>40821</x:v>
      </x:c>
      <x:c r="E3093" s="3" t="str">
        <x:v>Una compra</x:v>
      </x:c>
      <x:c r="F3093" s="13" t="n">
        <x:v>332.3</x:v>
      </x:c>
      <x:c r="G3093" s="13" t="n">
        <x:v>0</x:v>
      </x:c>
      <x:c r="H3093" s="13" t="n">
        <x:f>F3093-G3093</x:f>
        <x:v>332.3</x:v>
      </x:c>
      <x:c r="I3093" s="13" t="n">
        <x:f>IF(C3093=0,"n.a.",F3093/C3093)</x:f>
        <x:v>332.3</x:v>
      </x:c>
      <x:c r="J3093" s="3"/>
      <x:c r="K3093" s="3"/>
      <x:c r="L3093" s="3"/>
    </x:row>
    <x:row r="3094" ht="22" customHeight="1">
      <x:c r="A3094" s="3"/>
      <x:c r="B3094" s="3" t="str">
        <x:v>16177</x:v>
      </x:c>
      <x:c r="C3094" s="3" t="n">
        <x:v>1</x:v>
      </x:c>
      <x:c r="D3094" s="51" t="n">
        <x:v>40836</x:v>
      </x:c>
      <x:c r="E3094" s="3" t="str">
        <x:v>Una compra</x:v>
      </x:c>
      <x:c r="F3094" s="13" t="n">
        <x:v>331.95</x:v>
      </x:c>
      <x:c r="G3094" s="13" t="n">
        <x:v>0</x:v>
      </x:c>
      <x:c r="H3094" s="13" t="n">
        <x:f>F3094-G3094</x:f>
        <x:v>331.95</x:v>
      </x:c>
      <x:c r="I3094" s="13" t="n">
        <x:f>IF(C3094=0,"n.a.",F3094/C3094)</x:f>
        <x:v>331.95</x:v>
      </x:c>
      <x:c r="J3094" s="3"/>
      <x:c r="K3094" s="3"/>
      <x:c r="L3094" s="3"/>
    </x:row>
    <x:row r="3095" ht="22" customHeight="1">
      <x:c r="A3095" s="3"/>
      <x:c r="B3095" s="3" t="str">
        <x:v>16030</x:v>
      </x:c>
      <x:c r="C3095" s="3" t="n">
        <x:v>1</x:v>
      </x:c>
      <x:c r="D3095" s="51" t="n">
        <x:v>40577</x:v>
      </x:c>
      <x:c r="E3095" s="3" t="str">
        <x:v>Una compra</x:v>
      </x:c>
      <x:c r="F3095" s="13" t="n">
        <x:v>331.24</x:v>
      </x:c>
      <x:c r="G3095" s="13" t="n">
        <x:v>0</x:v>
      </x:c>
      <x:c r="H3095" s="13" t="n">
        <x:f>F3095-G3095</x:f>
        <x:v>331.24</x:v>
      </x:c>
      <x:c r="I3095" s="13" t="n">
        <x:f>IF(C3095=0,"n.a.",F3095/C3095)</x:f>
        <x:v>331.24</x:v>
      </x:c>
      <x:c r="J3095" s="3"/>
      <x:c r="K3095" s="3"/>
      <x:c r="L3095" s="3"/>
    </x:row>
    <x:row r="3096" ht="22" customHeight="1">
      <x:c r="A3096" s="3"/>
      <x:c r="B3096" s="3" t="str">
        <x:v>15210</x:v>
      </x:c>
      <x:c r="C3096" s="3" t="n">
        <x:v>1</x:v>
      </x:c>
      <x:c r="D3096" s="51" t="n">
        <x:v>40661</x:v>
      </x:c>
      <x:c r="E3096" s="3" t="str">
        <x:v>Una compra</x:v>
      </x:c>
      <x:c r="F3096" s="13" t="n">
        <x:v>331.18</x:v>
      </x:c>
      <x:c r="G3096" s="13" t="n">
        <x:v>0</x:v>
      </x:c>
      <x:c r="H3096" s="13" t="n">
        <x:f>F3096-G3096</x:f>
        <x:v>331.18</x:v>
      </x:c>
      <x:c r="I3096" s="13" t="n">
        <x:f>IF(C3096=0,"n.a.",F3096/C3096)</x:f>
        <x:v>331.18</x:v>
      </x:c>
      <x:c r="J3096" s="3"/>
      <x:c r="K3096" s="3"/>
      <x:c r="L3096" s="3"/>
    </x:row>
    <x:row r="3097" ht="22" customHeight="1">
      <x:c r="A3097" s="3"/>
      <x:c r="B3097" s="3" t="str">
        <x:v>12891</x:v>
      </x:c>
      <x:c r="C3097" s="3" t="n">
        <x:v>3</x:v>
      </x:c>
      <x:c r="D3097" s="51" t="n">
        <x:v>40701</x:v>
      </x:c>
      <x:c r="E3097" s="3" t="str">
        <x:v>Recurrente</x:v>
      </x:c>
      <x:c r="F3097" s="13" t="n">
        <x:v>331</x:v>
      </x:c>
      <x:c r="G3097" s="13" t="n">
        <x:v>0</x:v>
      </x:c>
      <x:c r="H3097" s="13" t="n">
        <x:f>F3097-G3097</x:f>
        <x:v>331</x:v>
      </x:c>
      <x:c r="I3097" s="13" t="n">
        <x:f>IF(C3097=0,"n.a.",F3097/C3097)</x:f>
        <x:v>110.33333333333333</x:v>
      </x:c>
      <x:c r="J3097" s="3"/>
      <x:c r="K3097" s="3"/>
      <x:c r="L3097" s="3"/>
    </x:row>
    <x:row r="3098" ht="22" customHeight="1">
      <x:c r="A3098" s="3"/>
      <x:c r="B3098" s="3" t="str">
        <x:v>16478</x:v>
      </x:c>
      <x:c r="C3098" s="3" t="n">
        <x:v>3</x:v>
      </x:c>
      <x:c r="D3098" s="51" t="n">
        <x:v>40861</x:v>
      </x:c>
      <x:c r="E3098" s="3" t="str">
        <x:v>Recurrente</x:v>
      </x:c>
      <x:c r="F3098" s="13" t="n">
        <x:v>331</x:v>
      </x:c>
      <x:c r="G3098" s="13" t="n">
        <x:v>0</x:v>
      </x:c>
      <x:c r="H3098" s="13" t="n">
        <x:f>F3098-G3098</x:f>
        <x:v>331</x:v>
      </x:c>
      <x:c r="I3098" s="13" t="n">
        <x:f>IF(C3098=0,"n.a.",F3098/C3098)</x:f>
        <x:v>110.33333333333333</x:v>
      </x:c>
      <x:c r="J3098" s="3"/>
      <x:c r="K3098" s="3"/>
      <x:c r="L3098" s="3"/>
    </x:row>
    <x:row r="3099" ht="22" customHeight="1">
      <x:c r="A3099" s="3"/>
      <x:c r="B3099" s="3" t="str">
        <x:v>17862</x:v>
      </x:c>
      <x:c r="C3099" s="3" t="n">
        <x:v>1</x:v>
      </x:c>
      <x:c r="D3099" s="51" t="n">
        <x:v>40563</x:v>
      </x:c>
      <x:c r="E3099" s="3" t="str">
        <x:v>Una compra</x:v>
      </x:c>
      <x:c r="F3099" s="13" t="n">
        <x:v>330.9</x:v>
      </x:c>
      <x:c r="G3099" s="13" t="n">
        <x:v>0</x:v>
      </x:c>
      <x:c r="H3099" s="13" t="n">
        <x:f>F3099-G3099</x:f>
        <x:v>330.9</x:v>
      </x:c>
      <x:c r="I3099" s="13" t="n">
        <x:f>IF(C3099=0,"n.a.",F3099/C3099)</x:f>
        <x:v>330.9</x:v>
      </x:c>
      <x:c r="J3099" s="3"/>
      <x:c r="K3099" s="3"/>
      <x:c r="L3099" s="3"/>
    </x:row>
    <x:row r="3100" ht="22" customHeight="1">
      <x:c r="A3100" s="3"/>
      <x:c r="B3100" s="3" t="str">
        <x:v>15714</x:v>
      </x:c>
      <x:c r="C3100" s="3" t="n">
        <x:v>2</x:v>
      </x:c>
      <x:c r="D3100" s="51" t="n">
        <x:v>40875</x:v>
      </x:c>
      <x:c r="E3100" s="3" t="str">
        <x:v>Recurrente</x:v>
      </x:c>
      <x:c r="F3100" s="13" t="n">
        <x:v>330.88</x:v>
      </x:c>
      <x:c r="G3100" s="13" t="n">
        <x:v>0</x:v>
      </x:c>
      <x:c r="H3100" s="13" t="n">
        <x:f>F3100-G3100</x:f>
        <x:v>330.88</x:v>
      </x:c>
      <x:c r="I3100" s="13" t="n">
        <x:f>IF(C3100=0,"n.a.",F3100/C3100)</x:f>
        <x:v>165.44</x:v>
      </x:c>
      <x:c r="J3100" s="3"/>
      <x:c r="K3100" s="3"/>
      <x:c r="L3100" s="3"/>
    </x:row>
    <x:row r="3101" ht="22" customHeight="1">
      <x:c r="A3101" s="3"/>
      <x:c r="B3101" s="3" t="str">
        <x:v>13706</x:v>
      </x:c>
      <x:c r="C3101" s="3" t="n">
        <x:v>1</x:v>
      </x:c>
      <x:c r="D3101" s="51" t="n">
        <x:v>40584</x:v>
      </x:c>
      <x:c r="E3101" s="3" t="str">
        <x:v>Una compra</x:v>
      </x:c>
      <x:c r="F3101" s="13" t="n">
        <x:v>330.79</x:v>
      </x:c>
      <x:c r="G3101" s="13" t="n">
        <x:v>0</x:v>
      </x:c>
      <x:c r="H3101" s="13" t="n">
        <x:f>F3101-G3101</x:f>
        <x:v>330.79</x:v>
      </x:c>
      <x:c r="I3101" s="13" t="n">
        <x:f>IF(C3101=0,"n.a.",F3101/C3101)</x:f>
        <x:v>330.79</x:v>
      </x:c>
      <x:c r="J3101" s="3"/>
      <x:c r="K3101" s="3"/>
      <x:c r="L3101" s="3"/>
    </x:row>
    <x:row r="3102" ht="22" customHeight="1">
      <x:c r="A3102" s="3"/>
      <x:c r="B3102" s="3" t="str">
        <x:v>12527</x:v>
      </x:c>
      <x:c r="C3102" s="3" t="n">
        <x:v>3</x:v>
      </x:c>
      <x:c r="D3102" s="51" t="n">
        <x:v>40805</x:v>
      </x:c>
      <x:c r="E3102" s="3" t="str">
        <x:v>Recurrente</x:v>
      </x:c>
      <x:c r="F3102" s="13" t="n">
        <x:v>330.71</x:v>
      </x:c>
      <x:c r="G3102" s="13" t="n">
        <x:v>0</x:v>
      </x:c>
      <x:c r="H3102" s="13" t="n">
        <x:f>F3102-G3102</x:f>
        <x:v>330.71</x:v>
      </x:c>
      <x:c r="I3102" s="13" t="n">
        <x:f>IF(C3102=0,"n.a.",F3102/C3102)</x:f>
        <x:v>110.23666666666666</x:v>
      </x:c>
      <x:c r="J3102" s="3"/>
      <x:c r="K3102" s="3"/>
      <x:c r="L3102" s="3"/>
    </x:row>
    <x:row r="3103" ht="22" customHeight="1">
      <x:c r="A3103" s="3"/>
      <x:c r="B3103" s="3" t="str">
        <x:v>14517</x:v>
      </x:c>
      <x:c r="C3103" s="3" t="n">
        <x:v>2</x:v>
      </x:c>
      <x:c r="D3103" s="51" t="n">
        <x:v>40853</x:v>
      </x:c>
      <x:c r="E3103" s="3" t="str">
        <x:v>Recurrente</x:v>
      </x:c>
      <x:c r="F3103" s="13" t="n">
        <x:v>330.45</x:v>
      </x:c>
      <x:c r="G3103" s="13" t="n">
        <x:v>0</x:v>
      </x:c>
      <x:c r="H3103" s="13" t="n">
        <x:f>F3103-G3103</x:f>
        <x:v>330.45</x:v>
      </x:c>
      <x:c r="I3103" s="13" t="n">
        <x:f>IF(C3103=0,"n.a.",F3103/C3103)</x:f>
        <x:v>165.225</x:v>
      </x:c>
      <x:c r="J3103" s="3"/>
      <x:c r="K3103" s="3"/>
      <x:c r="L3103" s="3"/>
    </x:row>
    <x:row r="3104" ht="22" customHeight="1">
      <x:c r="A3104" s="3"/>
      <x:c r="B3104" s="3" t="str">
        <x:v>15130</x:v>
      </x:c>
      <x:c r="C3104" s="3" t="n">
        <x:v>1</x:v>
      </x:c>
      <x:c r="D3104" s="51" t="n">
        <x:v>40717</x:v>
      </x:c>
      <x:c r="E3104" s="3" t="str">
        <x:v>Una compra</x:v>
      </x:c>
      <x:c r="F3104" s="13" t="n">
        <x:v>330.11</x:v>
      </x:c>
      <x:c r="G3104" s="13" t="n">
        <x:v>0</x:v>
      </x:c>
      <x:c r="H3104" s="13" t="n">
        <x:f>F3104-G3104</x:f>
        <x:v>330.11</x:v>
      </x:c>
      <x:c r="I3104" s="13" t="n">
        <x:f>IF(C3104=0,"n.a.",F3104/C3104)</x:f>
        <x:v>330.11</x:v>
      </x:c>
      <x:c r="J3104" s="3"/>
      <x:c r="K3104" s="3"/>
      <x:c r="L3104" s="3"/>
    </x:row>
    <x:row r="3105" ht="22" customHeight="1">
      <x:c r="A3105" s="3"/>
      <x:c r="B3105" s="3" t="str">
        <x:v>16593</x:v>
      </x:c>
      <x:c r="C3105" s="3" t="n">
        <x:v>3</x:v>
      </x:c>
      <x:c r="D3105" s="51" t="n">
        <x:v>40836</x:v>
      </x:c>
      <x:c r="E3105" s="3" t="str">
        <x:v>Recurrente</x:v>
      </x:c>
      <x:c r="F3105" s="13" t="n">
        <x:v>330.03</x:v>
      </x:c>
      <x:c r="G3105" s="13" t="n">
        <x:v>0</x:v>
      </x:c>
      <x:c r="H3105" s="13" t="n">
        <x:f>F3105-G3105</x:f>
        <x:v>330.03</x:v>
      </x:c>
      <x:c r="I3105" s="13" t="n">
        <x:f>IF(C3105=0,"n.a.",F3105/C3105)</x:f>
        <x:v>110.00999999999999</x:v>
      </x:c>
      <x:c r="J3105" s="3"/>
      <x:c r="K3105" s="3"/>
      <x:c r="L3105" s="3"/>
    </x:row>
    <x:row r="3106" ht="22" customHeight="1">
      <x:c r="A3106" s="3"/>
      <x:c r="B3106" s="3" t="str">
        <x:v>12953</x:v>
      </x:c>
      <x:c r="C3106" s="3" t="n">
        <x:v>1</x:v>
      </x:c>
      <x:c r="D3106" s="51" t="n">
        <x:v>40877</x:v>
      </x:c>
      <x:c r="E3106" s="3" t="str">
        <x:v>Una compra</x:v>
      </x:c>
      <x:c r="F3106" s="13" t="n">
        <x:v>329.85</x:v>
      </x:c>
      <x:c r="G3106" s="13" t="n">
        <x:v>0</x:v>
      </x:c>
      <x:c r="H3106" s="13" t="n">
        <x:f>F3106-G3106</x:f>
        <x:v>329.85</x:v>
      </x:c>
      <x:c r="I3106" s="13" t="n">
        <x:f>IF(C3106=0,"n.a.",F3106/C3106)</x:f>
        <x:v>329.85</x:v>
      </x:c>
      <x:c r="J3106" s="3"/>
      <x:c r="K3106" s="3"/>
      <x:c r="L3106" s="3"/>
    </x:row>
    <x:row r="3107" ht="22" customHeight="1">
      <x:c r="A3107" s="3"/>
      <x:c r="B3107" s="3" t="str">
        <x:v>14716</x:v>
      </x:c>
      <x:c r="C3107" s="3" t="n">
        <x:v>2</x:v>
      </x:c>
      <x:c r="D3107" s="51" t="n">
        <x:v>40843</x:v>
      </x:c>
      <x:c r="E3107" s="3" t="str">
        <x:v>Recurrente</x:v>
      </x:c>
      <x:c r="F3107" s="13" t="n">
        <x:v>329.68</x:v>
      </x:c>
      <x:c r="G3107" s="13" t="n">
        <x:v>0</x:v>
      </x:c>
      <x:c r="H3107" s="13" t="n">
        <x:f>F3107-G3107</x:f>
        <x:v>329.68</x:v>
      </x:c>
      <x:c r="I3107" s="13" t="n">
        <x:f>IF(C3107=0,"n.a.",F3107/C3107)</x:f>
        <x:v>164.84</x:v>
      </x:c>
      <x:c r="J3107" s="3"/>
      <x:c r="K3107" s="3"/>
      <x:c r="L3107" s="3"/>
    </x:row>
    <x:row r="3108" ht="22" customHeight="1">
      <x:c r="A3108" s="3"/>
      <x:c r="B3108" s="3" t="str">
        <x:v>17615</x:v>
      </x:c>
      <x:c r="C3108" s="3" t="n">
        <x:v>3</x:v>
      </x:c>
      <x:c r="D3108" s="51" t="n">
        <x:v>40756</x:v>
      </x:c>
      <x:c r="E3108" s="3" t="str">
        <x:v>Recurrente</x:v>
      </x:c>
      <x:c r="F3108" s="13" t="n">
        <x:v>329.6</x:v>
      </x:c>
      <x:c r="G3108" s="13" t="n">
        <x:v>0</x:v>
      </x:c>
      <x:c r="H3108" s="13" t="n">
        <x:f>F3108-G3108</x:f>
        <x:v>329.6</x:v>
      </x:c>
      <x:c r="I3108" s="13" t="n">
        <x:f>IF(C3108=0,"n.a.",F3108/C3108)</x:f>
        <x:v>109.86666666666667</x:v>
      </x:c>
      <x:c r="J3108" s="3"/>
      <x:c r="K3108" s="3"/>
      <x:c r="L3108" s="3"/>
    </x:row>
    <x:row r="3109" ht="22" customHeight="1">
      <x:c r="A3109" s="3"/>
      <x:c r="B3109" s="3" t="str">
        <x:v>13239</x:v>
      </x:c>
      <x:c r="C3109" s="3" t="n">
        <x:v>1</x:v>
      </x:c>
      <x:c r="D3109" s="51" t="n">
        <x:v>40625</x:v>
      </x:c>
      <x:c r="E3109" s="3" t="str">
        <x:v>Una compra</x:v>
      </x:c>
      <x:c r="F3109" s="13" t="n">
        <x:v>329.56</x:v>
      </x:c>
      <x:c r="G3109" s="13" t="n">
        <x:v>0</x:v>
      </x:c>
      <x:c r="H3109" s="13" t="n">
        <x:f>F3109-G3109</x:f>
        <x:v>329.56</x:v>
      </x:c>
      <x:c r="I3109" s="13" t="n">
        <x:f>IF(C3109=0,"n.a.",F3109/C3109)</x:f>
        <x:v>329.56</x:v>
      </x:c>
      <x:c r="J3109" s="3"/>
      <x:c r="K3109" s="3"/>
      <x:c r="L3109" s="3"/>
    </x:row>
    <x:row r="3110" ht="22" customHeight="1">
      <x:c r="A3110" s="3"/>
      <x:c r="B3110" s="3" t="str">
        <x:v>17154</x:v>
      </x:c>
      <x:c r="C3110" s="3" t="n">
        <x:v>1</x:v>
      </x:c>
      <x:c r="D3110" s="51" t="n">
        <x:v>40811</x:v>
      </x:c>
      <x:c r="E3110" s="3" t="str">
        <x:v>Una compra</x:v>
      </x:c>
      <x:c r="F3110" s="13" t="n">
        <x:v>329.34</x:v>
      </x:c>
      <x:c r="G3110" s="13" t="n">
        <x:v>0</x:v>
      </x:c>
      <x:c r="H3110" s="13" t="n">
        <x:f>F3110-G3110</x:f>
        <x:v>329.34</x:v>
      </x:c>
      <x:c r="I3110" s="13" t="n">
        <x:f>IF(C3110=0,"n.a.",F3110/C3110)</x:f>
        <x:v>329.34</x:v>
      </x:c>
      <x:c r="J3110" s="3"/>
      <x:c r="K3110" s="3"/>
      <x:c r="L3110" s="3"/>
    </x:row>
    <x:row r="3111" ht="22" customHeight="1">
      <x:c r="A3111" s="3"/>
      <x:c r="B3111" s="3" t="str">
        <x:v>15153</x:v>
      </x:c>
      <x:c r="C3111" s="3" t="n">
        <x:v>1</x:v>
      </x:c>
      <x:c r="D3111" s="51" t="n">
        <x:v>40855</x:v>
      </x:c>
      <x:c r="E3111" s="3" t="str">
        <x:v>Una compra</x:v>
      </x:c>
      <x:c r="F3111" s="13" t="n">
        <x:v>329.25</x:v>
      </x:c>
      <x:c r="G3111" s="13" t="n">
        <x:v>0</x:v>
      </x:c>
      <x:c r="H3111" s="13" t="n">
        <x:f>F3111-G3111</x:f>
        <x:v>329.25</x:v>
      </x:c>
      <x:c r="I3111" s="13" t="n">
        <x:f>IF(C3111=0,"n.a.",F3111/C3111)</x:f>
        <x:v>329.25</x:v>
      </x:c>
      <x:c r="J3111" s="3"/>
      <x:c r="K3111" s="3"/>
      <x:c r="L3111" s="3"/>
    </x:row>
    <x:row r="3112" ht="22" customHeight="1">
      <x:c r="A3112" s="3"/>
      <x:c r="B3112" s="3" t="str">
        <x:v>13817</x:v>
      </x:c>
      <x:c r="C3112" s="3" t="n">
        <x:v>2</x:v>
      </x:c>
      <x:c r="D3112" s="51" t="n">
        <x:v>40857</x:v>
      </x:c>
      <x:c r="E3112" s="3" t="str">
        <x:v>Recurrente</x:v>
      </x:c>
      <x:c r="F3112" s="13" t="n">
        <x:v>328.98</x:v>
      </x:c>
      <x:c r="G3112" s="13" t="n">
        <x:v>0</x:v>
      </x:c>
      <x:c r="H3112" s="13" t="n">
        <x:f>F3112-G3112</x:f>
        <x:v>328.98</x:v>
      </x:c>
      <x:c r="I3112" s="13" t="n">
        <x:f>IF(C3112=0,"n.a.",F3112/C3112)</x:f>
        <x:v>164.49</x:v>
      </x:c>
      <x:c r="J3112" s="3"/>
      <x:c r="K3112" s="3"/>
      <x:c r="L3112" s="3"/>
    </x:row>
    <x:row r="3113" ht="22" customHeight="1">
      <x:c r="A3113" s="3"/>
      <x:c r="B3113" s="3" t="str">
        <x:v>14012</x:v>
      </x:c>
      <x:c r="C3113" s="3" t="n">
        <x:v>1</x:v>
      </x:c>
      <x:c r="D3113" s="51" t="n">
        <x:v>40609</x:v>
      </x:c>
      <x:c r="E3113" s="3" t="str">
        <x:v>Una compra</x:v>
      </x:c>
      <x:c r="F3113" s="13" t="n">
        <x:v>328.8</x:v>
      </x:c>
      <x:c r="G3113" s="13" t="n">
        <x:v>0</x:v>
      </x:c>
      <x:c r="H3113" s="13" t="n">
        <x:f>F3113-G3113</x:f>
        <x:v>328.8</x:v>
      </x:c>
      <x:c r="I3113" s="13" t="n">
        <x:f>IF(C3113=0,"n.a.",F3113/C3113)</x:f>
        <x:v>328.8</x:v>
      </x:c>
      <x:c r="J3113" s="3"/>
      <x:c r="K3113" s="3"/>
      <x:c r="L3113" s="3"/>
    </x:row>
    <x:row r="3114" ht="22" customHeight="1">
      <x:c r="A3114" s="3"/>
      <x:c r="B3114" s="3" t="str">
        <x:v>13372</x:v>
      </x:c>
      <x:c r="C3114" s="3" t="n">
        <x:v>1</x:v>
      </x:c>
      <x:c r="D3114" s="51" t="n">
        <x:v>40797</x:v>
      </x:c>
      <x:c r="E3114" s="3" t="str">
        <x:v>Una compra</x:v>
      </x:c>
      <x:c r="F3114" s="13" t="n">
        <x:v>328.64</x:v>
      </x:c>
      <x:c r="G3114" s="13" t="n">
        <x:v>0</x:v>
      </x:c>
      <x:c r="H3114" s="13" t="n">
        <x:f>F3114-G3114</x:f>
        <x:v>328.64</x:v>
      </x:c>
      <x:c r="I3114" s="13" t="n">
        <x:f>IF(C3114=0,"n.a.",F3114/C3114)</x:f>
        <x:v>328.64</x:v>
      </x:c>
      <x:c r="J3114" s="3"/>
      <x:c r="K3114" s="3"/>
      <x:c r="L3114" s="3"/>
    </x:row>
    <x:row r="3115" ht="22" customHeight="1">
      <x:c r="A3115" s="3"/>
      <x:c r="B3115" s="3" t="str">
        <x:v>16855</x:v>
      </x:c>
      <x:c r="C3115" s="3" t="n">
        <x:v>2</x:v>
      </x:c>
      <x:c r="D3115" s="51" t="n">
        <x:v>40863</x:v>
      </x:c>
      <x:c r="E3115" s="3" t="str">
        <x:v>Recurrente</x:v>
      </x:c>
      <x:c r="F3115" s="13" t="n">
        <x:v>328.4</x:v>
      </x:c>
      <x:c r="G3115" s="13" t="n">
        <x:v>0</x:v>
      </x:c>
      <x:c r="H3115" s="13" t="n">
        <x:f>F3115-G3115</x:f>
        <x:v>328.4</x:v>
      </x:c>
      <x:c r="I3115" s="13" t="n">
        <x:f>IF(C3115=0,"n.a.",F3115/C3115)</x:f>
        <x:v>164.2</x:v>
      </x:c>
      <x:c r="J3115" s="3"/>
      <x:c r="K3115" s="3"/>
      <x:c r="L3115" s="3"/>
    </x:row>
    <x:row r="3116" ht="22" customHeight="1">
      <x:c r="A3116" s="3"/>
      <x:c r="B3116" s="3" t="str">
        <x:v>16318</x:v>
      </x:c>
      <x:c r="C3116" s="3" t="n">
        <x:v>1</x:v>
      </x:c>
      <x:c r="D3116" s="51" t="n">
        <x:v>40851</x:v>
      </x:c>
      <x:c r="E3116" s="3" t="str">
        <x:v>Una compra</x:v>
      </x:c>
      <x:c r="F3116" s="13" t="n">
        <x:v>328.15</x:v>
      </x:c>
      <x:c r="G3116" s="13" t="n">
        <x:v>0</x:v>
      </x:c>
      <x:c r="H3116" s="13" t="n">
        <x:f>F3116-G3116</x:f>
        <x:v>328.15</x:v>
      </x:c>
      <x:c r="I3116" s="13" t="n">
        <x:f>IF(C3116=0,"n.a.",F3116/C3116)</x:f>
        <x:v>328.15</x:v>
      </x:c>
      <x:c r="J3116" s="3"/>
      <x:c r="K3116" s="3"/>
      <x:c r="L3116" s="3"/>
    </x:row>
    <x:row r="3117" ht="22" customHeight="1">
      <x:c r="A3117" s="3"/>
      <x:c r="B3117" s="3" t="str">
        <x:v>15314</x:v>
      </x:c>
      <x:c r="C3117" s="3" t="n">
        <x:v>1</x:v>
      </x:c>
      <x:c r="D3117" s="51" t="n">
        <x:v>40687</x:v>
      </x:c>
      <x:c r="E3117" s="3" t="str">
        <x:v>Una compra</x:v>
      </x:c>
      <x:c r="F3117" s="13" t="n">
        <x:v>327.97</x:v>
      </x:c>
      <x:c r="G3117" s="13" t="n">
        <x:v>0</x:v>
      </x:c>
      <x:c r="H3117" s="13" t="n">
        <x:f>F3117-G3117</x:f>
        <x:v>327.97</x:v>
      </x:c>
      <x:c r="I3117" s="13" t="n">
        <x:f>IF(C3117=0,"n.a.",F3117/C3117)</x:f>
        <x:v>327.97</x:v>
      </x:c>
      <x:c r="J3117" s="3"/>
      <x:c r="K3117" s="3"/>
      <x:c r="L3117" s="3"/>
    </x:row>
    <x:row r="3118" ht="22" customHeight="1">
      <x:c r="A3118" s="3"/>
      <x:c r="B3118" s="3" t="str">
        <x:v>14024</x:v>
      </x:c>
      <x:c r="C3118" s="3" t="n">
        <x:v>2</x:v>
      </x:c>
      <x:c r="D3118" s="51" t="n">
        <x:v>40765</x:v>
      </x:c>
      <x:c r="E3118" s="3" t="str">
        <x:v>Recurrente</x:v>
      </x:c>
      <x:c r="F3118" s="13" t="n">
        <x:v>327.7</x:v>
      </x:c>
      <x:c r="G3118" s="13" t="n">
        <x:v>0</x:v>
      </x:c>
      <x:c r="H3118" s="13" t="n">
        <x:f>F3118-G3118</x:f>
        <x:v>327.7</x:v>
      </x:c>
      <x:c r="I3118" s="13" t="n">
        <x:f>IF(C3118=0,"n.a.",F3118/C3118)</x:f>
        <x:v>163.85</x:v>
      </x:c>
      <x:c r="J3118" s="3"/>
      <x:c r="K3118" s="3"/>
      <x:c r="L3118" s="3"/>
    </x:row>
    <x:row r="3119" ht="22" customHeight="1">
      <x:c r="A3119" s="3"/>
      <x:c r="B3119" s="3" t="str">
        <x:v>13345</x:v>
      </x:c>
      <x:c r="C3119" s="3" t="n">
        <x:v>1</x:v>
      </x:c>
      <x:c r="D3119" s="51" t="n">
        <x:v>40599</x:v>
      </x:c>
      <x:c r="E3119" s="3" t="str">
        <x:v>Una compra</x:v>
      </x:c>
      <x:c r="F3119" s="13" t="n">
        <x:v>339.5</x:v>
      </x:c>
      <x:c r="G3119" s="13" t="n">
        <x:v>11.9</x:v>
      </x:c>
      <x:c r="H3119" s="13" t="n">
        <x:f>F3119-G3119</x:f>
        <x:v>327.6</x:v>
      </x:c>
      <x:c r="I3119" s="13" t="n">
        <x:f>IF(C3119=0,"n.a.",F3119/C3119)</x:f>
        <x:v>339.5</x:v>
      </x:c>
      <x:c r="J3119" s="3"/>
      <x:c r="K3119" s="3"/>
      <x:c r="L3119" s="3"/>
    </x:row>
    <x:row r="3120" ht="22" customHeight="1">
      <x:c r="A3120" s="3"/>
      <x:c r="B3120" s="3" t="str">
        <x:v>16366</x:v>
      </x:c>
      <x:c r="C3120" s="3" t="n">
        <x:v>1</x:v>
      </x:c>
      <x:c r="D3120" s="51" t="n">
        <x:v>40868</x:v>
      </x:c>
      <x:c r="E3120" s="3" t="str">
        <x:v>Una compra</x:v>
      </x:c>
      <x:c r="F3120" s="13" t="n">
        <x:v>327.3</x:v>
      </x:c>
      <x:c r="G3120" s="13" t="n">
        <x:v>0</x:v>
      </x:c>
      <x:c r="H3120" s="13" t="n">
        <x:f>F3120-G3120</x:f>
        <x:v>327.3</x:v>
      </x:c>
      <x:c r="I3120" s="13" t="n">
        <x:f>IF(C3120=0,"n.a.",F3120/C3120)</x:f>
        <x:v>327.3</x:v>
      </x:c>
      <x:c r="J3120" s="3"/>
      <x:c r="K3120" s="3"/>
      <x:c r="L3120" s="3"/>
    </x:row>
    <x:row r="3121" ht="22" customHeight="1">
      <x:c r="A3121" s="3"/>
      <x:c r="B3121" s="3" t="str">
        <x:v>14870</x:v>
      </x:c>
      <x:c r="C3121" s="3" t="n">
        <x:v>1</x:v>
      </x:c>
      <x:c r="D3121" s="51" t="n">
        <x:v>40625</x:v>
      </x:c>
      <x:c r="E3121" s="3" t="str">
        <x:v>Una compra</x:v>
      </x:c>
      <x:c r="F3121" s="13" t="n">
        <x:v>327.25</x:v>
      </x:c>
      <x:c r="G3121" s="13" t="n">
        <x:v>0</x:v>
      </x:c>
      <x:c r="H3121" s="13" t="n">
        <x:f>F3121-G3121</x:f>
        <x:v>327.25</x:v>
      </x:c>
      <x:c r="I3121" s="13" t="n">
        <x:f>IF(C3121=0,"n.a.",F3121/C3121)</x:f>
        <x:v>327.25</x:v>
      </x:c>
      <x:c r="J3121" s="3"/>
      <x:c r="K3121" s="3"/>
      <x:c r="L3121" s="3"/>
    </x:row>
    <x:row r="3122" ht="22" customHeight="1">
      <x:c r="A3122" s="3"/>
      <x:c r="B3122" s="3" t="str">
        <x:v>16322</x:v>
      </x:c>
      <x:c r="C3122" s="3" t="n">
        <x:v>2</x:v>
      </x:c>
      <x:c r="D3122" s="51" t="n">
        <x:v>40885</x:v>
      </x:c>
      <x:c r="E3122" s="3" t="str">
        <x:v>Recurrente</x:v>
      </x:c>
      <x:c r="F3122" s="13" t="n">
        <x:v>326.75</x:v>
      </x:c>
      <x:c r="G3122" s="13" t="n">
        <x:v>0</x:v>
      </x:c>
      <x:c r="H3122" s="13" t="n">
        <x:f>F3122-G3122</x:f>
        <x:v>326.75</x:v>
      </x:c>
      <x:c r="I3122" s="13" t="n">
        <x:f>IF(C3122=0,"n.a.",F3122/C3122)</x:f>
        <x:v>163.375</x:v>
      </x:c>
      <x:c r="J3122" s="3"/>
      <x:c r="K3122" s="3"/>
      <x:c r="L3122" s="3"/>
    </x:row>
    <x:row r="3123" ht="22" customHeight="1">
      <x:c r="A3123" s="3"/>
      <x:c r="B3123" s="3" t="str">
        <x:v>14987</x:v>
      </x:c>
      <x:c r="C3123" s="3" t="n">
        <x:v>2</x:v>
      </x:c>
      <x:c r="D3123" s="51" t="n">
        <x:v>40871</x:v>
      </x:c>
      <x:c r="E3123" s="3" t="str">
        <x:v>Recurrente</x:v>
      </x:c>
      <x:c r="F3123" s="13" t="n">
        <x:v>326.4</x:v>
      </x:c>
      <x:c r="G3123" s="13" t="n">
        <x:v>0</x:v>
      </x:c>
      <x:c r="H3123" s="13" t="n">
        <x:f>F3123-G3123</x:f>
        <x:v>326.4</x:v>
      </x:c>
      <x:c r="I3123" s="13" t="n">
        <x:f>IF(C3123=0,"n.a.",F3123/C3123)</x:f>
        <x:v>163.2</x:v>
      </x:c>
      <x:c r="J3123" s="3"/>
      <x:c r="K3123" s="3"/>
      <x:c r="L3123" s="3"/>
    </x:row>
    <x:row r="3124" ht="22" customHeight="1">
      <x:c r="A3124" s="3"/>
      <x:c r="B3124" s="3" t="str">
        <x:v>17715</x:v>
      </x:c>
      <x:c r="C3124" s="3" t="n">
        <x:v>1</x:v>
      </x:c>
      <x:c r="D3124" s="51" t="n">
        <x:v>40686</x:v>
      </x:c>
      <x:c r="E3124" s="3" t="str">
        <x:v>Una compra</x:v>
      </x:c>
      <x:c r="F3124" s="13" t="n">
        <x:v>326.4</x:v>
      </x:c>
      <x:c r="G3124" s="13" t="n">
        <x:v>0</x:v>
      </x:c>
      <x:c r="H3124" s="13" t="n">
        <x:f>F3124-G3124</x:f>
        <x:v>326.4</x:v>
      </x:c>
      <x:c r="I3124" s="13" t="n">
        <x:f>IF(C3124=0,"n.a.",F3124/C3124)</x:f>
        <x:v>326.4</x:v>
      </x:c>
      <x:c r="J3124" s="3"/>
      <x:c r="K3124" s="3"/>
      <x:c r="L3124" s="3"/>
    </x:row>
    <x:row r="3125" ht="22" customHeight="1">
      <x:c r="A3125" s="3"/>
      <x:c r="B3125" s="3" t="str">
        <x:v>16071</x:v>
      </x:c>
      <x:c r="C3125" s="3" t="n">
        <x:v>1</x:v>
      </x:c>
      <x:c r="D3125" s="51" t="n">
        <x:v>40842</x:v>
      </x:c>
      <x:c r="E3125" s="3" t="str">
        <x:v>Una compra</x:v>
      </x:c>
      <x:c r="F3125" s="13" t="n">
        <x:v>326.24</x:v>
      </x:c>
      <x:c r="G3125" s="13" t="n">
        <x:v>0</x:v>
      </x:c>
      <x:c r="H3125" s="13" t="n">
        <x:f>F3125-G3125</x:f>
        <x:v>326.24</x:v>
      </x:c>
      <x:c r="I3125" s="13" t="n">
        <x:f>IF(C3125=0,"n.a.",F3125/C3125)</x:f>
        <x:v>326.24</x:v>
      </x:c>
      <x:c r="J3125" s="3"/>
      <x:c r="K3125" s="3"/>
      <x:c r="L3125" s="3"/>
    </x:row>
    <x:row r="3126" ht="22" customHeight="1">
      <x:c r="A3126" s="3"/>
      <x:c r="B3126" s="3" t="str">
        <x:v>12844</x:v>
      </x:c>
      <x:c r="C3126" s="3" t="n">
        <x:v>2</x:v>
      </x:c>
      <x:c r="D3126" s="51" t="n">
        <x:v>40857</x:v>
      </x:c>
      <x:c r="E3126" s="3" t="str">
        <x:v>Recurrente</x:v>
      </x:c>
      <x:c r="F3126" s="13" t="n">
        <x:v>325.96</x:v>
      </x:c>
      <x:c r="G3126" s="13" t="n">
        <x:v>0</x:v>
      </x:c>
      <x:c r="H3126" s="13" t="n">
        <x:f>F3126-G3126</x:f>
        <x:v>325.96</x:v>
      </x:c>
      <x:c r="I3126" s="13" t="n">
        <x:f>IF(C3126=0,"n.a.",F3126/C3126)</x:f>
        <x:v>162.98</x:v>
      </x:c>
      <x:c r="J3126" s="3"/>
      <x:c r="K3126" s="3"/>
      <x:c r="L3126" s="3"/>
    </x:row>
    <x:row r="3127" ht="22" customHeight="1">
      <x:c r="A3127" s="3"/>
      <x:c r="B3127" s="3" t="str">
        <x:v>16830</x:v>
      </x:c>
      <x:c r="C3127" s="3" t="n">
        <x:v>1</x:v>
      </x:c>
      <x:c r="D3127" s="51" t="n">
        <x:v>40848</x:v>
      </x:c>
      <x:c r="E3127" s="3" t="str">
        <x:v>Una compra</x:v>
      </x:c>
      <x:c r="F3127" s="13" t="n">
        <x:v>325.91</x:v>
      </x:c>
      <x:c r="G3127" s="13" t="n">
        <x:v>0</x:v>
      </x:c>
      <x:c r="H3127" s="13" t="n">
        <x:f>F3127-G3127</x:f>
        <x:v>325.91</x:v>
      </x:c>
      <x:c r="I3127" s="13" t="n">
        <x:f>IF(C3127=0,"n.a.",F3127/C3127)</x:f>
        <x:v>325.91</x:v>
      </x:c>
      <x:c r="J3127" s="3"/>
      <x:c r="K3127" s="3"/>
      <x:c r="L3127" s="3"/>
    </x:row>
    <x:row r="3128" ht="22" customHeight="1">
      <x:c r="A3128" s="3"/>
      <x:c r="B3128" s="3" t="str">
        <x:v>17866</x:v>
      </x:c>
      <x:c r="C3128" s="3" t="n">
        <x:v>1</x:v>
      </x:c>
      <x:c r="D3128" s="51" t="n">
        <x:v>40744</x:v>
      </x:c>
      <x:c r="E3128" s="3" t="str">
        <x:v>Una compra</x:v>
      </x:c>
      <x:c r="F3128" s="13" t="n">
        <x:v>329.65</x:v>
      </x:c>
      <x:c r="G3128" s="13" t="n">
        <x:v>3.95</x:v>
      </x:c>
      <x:c r="H3128" s="13" t="n">
        <x:f>F3128-G3128</x:f>
        <x:v>325.7</x:v>
      </x:c>
      <x:c r="I3128" s="13" t="n">
        <x:f>IF(C3128=0,"n.a.",F3128/C3128)</x:f>
        <x:v>329.65</x:v>
      </x:c>
      <x:c r="J3128" s="3"/>
      <x:c r="K3128" s="3"/>
      <x:c r="L3128" s="3"/>
    </x:row>
    <x:row r="3129" ht="22" customHeight="1">
      <x:c r="A3129" s="3"/>
      <x:c r="B3129" s="3" t="str">
        <x:v>15944</x:v>
      </x:c>
      <x:c r="C3129" s="3" t="n">
        <x:v>1</x:v>
      </x:c>
      <x:c r="D3129" s="51" t="n">
        <x:v>40610</x:v>
      </x:c>
      <x:c r="E3129" s="3" t="str">
        <x:v>Una compra</x:v>
      </x:c>
      <x:c r="F3129" s="13" t="n">
        <x:v>325.1</x:v>
      </x:c>
      <x:c r="G3129" s="13" t="n">
        <x:v>0</x:v>
      </x:c>
      <x:c r="H3129" s="13" t="n">
        <x:f>F3129-G3129</x:f>
        <x:v>325.1</x:v>
      </x:c>
      <x:c r="I3129" s="13" t="n">
        <x:f>IF(C3129=0,"n.a.",F3129/C3129)</x:f>
        <x:v>325.1</x:v>
      </x:c>
      <x:c r="J3129" s="3"/>
      <x:c r="K3129" s="3"/>
      <x:c r="L3129" s="3"/>
    </x:row>
    <x:row r="3130" ht="22" customHeight="1">
      <x:c r="A3130" s="3"/>
      <x:c r="B3130" s="3" t="str">
        <x:v>15213</x:v>
      </x:c>
      <x:c r="C3130" s="3" t="n">
        <x:v>2</x:v>
      </x:c>
      <x:c r="D3130" s="51" t="n">
        <x:v>40568</x:v>
      </x:c>
      <x:c r="E3130" s="3" t="str">
        <x:v>Recurrente</x:v>
      </x:c>
      <x:c r="F3130" s="13" t="n">
        <x:v>328.35</x:v>
      </x:c>
      <x:c r="G3130" s="13" t="n">
        <x:v>3.3</x:v>
      </x:c>
      <x:c r="H3130" s="13" t="n">
        <x:f>F3130-G3130</x:f>
        <x:v>325.05</x:v>
      </x:c>
      <x:c r="I3130" s="13" t="n">
        <x:f>IF(C3130=0,"n.a.",F3130/C3130)</x:f>
        <x:v>164.175</x:v>
      </x:c>
      <x:c r="J3130" s="3"/>
      <x:c r="K3130" s="3"/>
      <x:c r="L3130" s="3"/>
    </x:row>
    <x:row r="3131" ht="22" customHeight="1">
      <x:c r="A3131" s="3"/>
      <x:c r="B3131" s="3" t="str">
        <x:v>13801</x:v>
      </x:c>
      <x:c r="C3131" s="3" t="n">
        <x:v>1</x:v>
      </x:c>
      <x:c r="D3131" s="51" t="n">
        <x:v>40820</x:v>
      </x:c>
      <x:c r="E3131" s="3" t="str">
        <x:v>Una compra</x:v>
      </x:c>
      <x:c r="F3131" s="13" t="n">
        <x:v>324.8</x:v>
      </x:c>
      <x:c r="G3131" s="13" t="n">
        <x:v>0</x:v>
      </x:c>
      <x:c r="H3131" s="13" t="n">
        <x:f>F3131-G3131</x:f>
        <x:v>324.8</x:v>
      </x:c>
      <x:c r="I3131" s="13" t="n">
        <x:f>IF(C3131=0,"n.a.",F3131/C3131)</x:f>
        <x:v>324.8</x:v>
      </x:c>
      <x:c r="J3131" s="3"/>
      <x:c r="K3131" s="3"/>
      <x:c r="L3131" s="3"/>
    </x:row>
    <x:row r="3132" ht="22" customHeight="1">
      <x:c r="A3132" s="3"/>
      <x:c r="B3132" s="3" t="str">
        <x:v>12373</x:v>
      </x:c>
      <x:c r="C3132" s="3" t="n">
        <x:v>1</x:v>
      </x:c>
      <x:c r="D3132" s="51" t="n">
        <x:v>40575</x:v>
      </x:c>
      <x:c r="E3132" s="3" t="str">
        <x:v>Una compra</x:v>
      </x:c>
      <x:c r="F3132" s="13" t="n">
        <x:v>324.6</x:v>
      </x:c>
      <x:c r="G3132" s="13" t="n">
        <x:v>0</x:v>
      </x:c>
      <x:c r="H3132" s="13" t="n">
        <x:f>F3132-G3132</x:f>
        <x:v>324.6</x:v>
      </x:c>
      <x:c r="I3132" s="13" t="n">
        <x:f>IF(C3132=0,"n.a.",F3132/C3132)</x:f>
        <x:v>324.6</x:v>
      </x:c>
      <x:c r="J3132" s="3"/>
      <x:c r="K3132" s="3"/>
      <x:c r="L3132" s="3"/>
    </x:row>
    <x:row r="3133" ht="22" customHeight="1">
      <x:c r="A3133" s="3"/>
      <x:c r="B3133" s="3" t="str">
        <x:v>16685</x:v>
      </x:c>
      <x:c r="C3133" s="3" t="n">
        <x:v>2</x:v>
      </x:c>
      <x:c r="D3133" s="51" t="n">
        <x:v>40825</x:v>
      </x:c>
      <x:c r="E3133" s="3" t="str">
        <x:v>Recurrente</x:v>
      </x:c>
      <x:c r="F3133" s="13" t="n">
        <x:v>324.24</x:v>
      </x:c>
      <x:c r="G3133" s="13" t="n">
        <x:v>0</x:v>
      </x:c>
      <x:c r="H3133" s="13" t="n">
        <x:f>F3133-G3133</x:f>
        <x:v>324.24</x:v>
      </x:c>
      <x:c r="I3133" s="13" t="n">
        <x:f>IF(C3133=0,"n.a.",F3133/C3133)</x:f>
        <x:v>162.12</x:v>
      </x:c>
      <x:c r="J3133" s="3"/>
      <x:c r="K3133" s="3"/>
      <x:c r="L3133" s="3"/>
    </x:row>
    <x:row r="3134" ht="22" customHeight="1">
      <x:c r="A3134" s="3"/>
      <x:c r="B3134" s="3" t="str">
        <x:v>18261</x:v>
      </x:c>
      <x:c r="C3134" s="3" t="n">
        <x:v>2</x:v>
      </x:c>
      <x:c r="D3134" s="51" t="n">
        <x:v>40843</x:v>
      </x:c>
      <x:c r="E3134" s="3" t="str">
        <x:v>Recurrente</x:v>
      </x:c>
      <x:c r="F3134" s="13" t="n">
        <x:v>324.24</x:v>
      </x:c>
      <x:c r="G3134" s="13" t="n">
        <x:v>0</x:v>
      </x:c>
      <x:c r="H3134" s="13" t="n">
        <x:f>F3134-G3134</x:f>
        <x:v>324.24</x:v>
      </x:c>
      <x:c r="I3134" s="13" t="n">
        <x:f>IF(C3134=0,"n.a.",F3134/C3134)</x:f>
        <x:v>162.12</x:v>
      </x:c>
      <x:c r="J3134" s="3"/>
      <x:c r="K3134" s="3"/>
      <x:c r="L3134" s="3"/>
    </x:row>
    <x:row r="3135" ht="22" customHeight="1">
      <x:c r="A3135" s="3"/>
      <x:c r="B3135" s="3" t="str">
        <x:v>14555</x:v>
      </x:c>
      <x:c r="C3135" s="3" t="n">
        <x:v>2</x:v>
      </x:c>
      <x:c r="D3135" s="51" t="n">
        <x:v>40829</x:v>
      </x:c>
      <x:c r="E3135" s="3" t="str">
        <x:v>Recurrente</x:v>
      </x:c>
      <x:c r="F3135" s="13" t="n">
        <x:v>324.14</x:v>
      </x:c>
      <x:c r="G3135" s="13" t="n">
        <x:v>0</x:v>
      </x:c>
      <x:c r="H3135" s="13" t="n">
        <x:f>F3135-G3135</x:f>
        <x:v>324.14</x:v>
      </x:c>
      <x:c r="I3135" s="13" t="n">
        <x:f>IF(C3135=0,"n.a.",F3135/C3135)</x:f>
        <x:v>162.07</x:v>
      </x:c>
      <x:c r="J3135" s="3"/>
      <x:c r="K3135" s="3"/>
      <x:c r="L3135" s="3"/>
    </x:row>
    <x:row r="3136" ht="22" customHeight="1">
      <x:c r="A3136" s="3"/>
      <x:c r="B3136" s="3" t="str">
        <x:v>13351</x:v>
      </x:c>
      <x:c r="C3136" s="3" t="n">
        <x:v>1</x:v>
      </x:c>
      <x:c r="D3136" s="51" t="n">
        <x:v>40820</x:v>
      </x:c>
      <x:c r="E3136" s="3" t="str">
        <x:v>Una compra</x:v>
      </x:c>
      <x:c r="F3136" s="13" t="n">
        <x:v>323.94</x:v>
      </x:c>
      <x:c r="G3136" s="13" t="n">
        <x:v>0</x:v>
      </x:c>
      <x:c r="H3136" s="13" t="n">
        <x:f>F3136-G3136</x:f>
        <x:v>323.94</x:v>
      </x:c>
      <x:c r="I3136" s="13" t="n">
        <x:f>IF(C3136=0,"n.a.",F3136/C3136)</x:f>
        <x:v>323.94</x:v>
      </x:c>
      <x:c r="J3136" s="3"/>
      <x:c r="K3136" s="3"/>
      <x:c r="L3136" s="3"/>
    </x:row>
    <x:row r="3137" ht="22" customHeight="1">
      <x:c r="A3137" s="3"/>
      <x:c r="B3137" s="3" t="str">
        <x:v>15675</x:v>
      </x:c>
      <x:c r="C3137" s="3" t="n">
        <x:v>3</x:v>
      </x:c>
      <x:c r="D3137" s="51" t="n">
        <x:v>40805</x:v>
      </x:c>
      <x:c r="E3137" s="3" t="str">
        <x:v>Recurrente</x:v>
      </x:c>
      <x:c r="F3137" s="13" t="n">
        <x:v>323.69</x:v>
      </x:c>
      <x:c r="G3137" s="13" t="n">
        <x:v>0</x:v>
      </x:c>
      <x:c r="H3137" s="13" t="n">
        <x:f>F3137-G3137</x:f>
        <x:v>323.69</x:v>
      </x:c>
      <x:c r="I3137" s="13" t="n">
        <x:f>IF(C3137=0,"n.a.",F3137/C3137)</x:f>
        <x:v>107.89666666666666</x:v>
      </x:c>
      <x:c r="J3137" s="3"/>
      <x:c r="K3137" s="3"/>
      <x:c r="L3137" s="3"/>
    </x:row>
    <x:row r="3138" ht="22" customHeight="1">
      <x:c r="A3138" s="3"/>
      <x:c r="B3138" s="3" t="str">
        <x:v>18276</x:v>
      </x:c>
      <x:c r="C3138" s="3" t="n">
        <x:v>1</x:v>
      </x:c>
      <x:c r="D3138" s="51" t="n">
        <x:v>40843</x:v>
      </x:c>
      <x:c r="E3138" s="3" t="str">
        <x:v>Una compra</x:v>
      </x:c>
      <x:c r="F3138" s="13" t="n">
        <x:v>335.86</x:v>
      </x:c>
      <x:c r="G3138" s="13" t="n">
        <x:v>12.5</x:v>
      </x:c>
      <x:c r="H3138" s="13" t="n">
        <x:f>F3138-G3138</x:f>
        <x:v>323.36</x:v>
      </x:c>
      <x:c r="I3138" s="13" t="n">
        <x:f>IF(C3138=0,"n.a.",F3138/C3138)</x:f>
        <x:v>335.86</x:v>
      </x:c>
      <x:c r="J3138" s="3"/>
      <x:c r="K3138" s="3"/>
      <x:c r="L3138" s="3"/>
    </x:row>
    <x:row r="3139" ht="22" customHeight="1">
      <x:c r="A3139" s="3"/>
      <x:c r="B3139" s="3" t="str">
        <x:v>17793</x:v>
      </x:c>
      <x:c r="C3139" s="3" t="n">
        <x:v>1</x:v>
      </x:c>
      <x:c r="D3139" s="51" t="n">
        <x:v>40861</x:v>
      </x:c>
      <x:c r="E3139" s="3" t="str">
        <x:v>Una compra</x:v>
      </x:c>
      <x:c r="F3139" s="13" t="n">
        <x:v>323.04</x:v>
      </x:c>
      <x:c r="G3139" s="13" t="n">
        <x:v>0</x:v>
      </x:c>
      <x:c r="H3139" s="13" t="n">
        <x:f>F3139-G3139</x:f>
        <x:v>323.04</x:v>
      </x:c>
      <x:c r="I3139" s="13" t="n">
        <x:f>IF(C3139=0,"n.a.",F3139/C3139)</x:f>
        <x:v>323.04</x:v>
      </x:c>
      <x:c r="J3139" s="3"/>
      <x:c r="K3139" s="3"/>
      <x:c r="L3139" s="3"/>
    </x:row>
    <x:row r="3140" ht="22" customHeight="1">
      <x:c r="A3140" s="3"/>
      <x:c r="B3140" s="3" t="str">
        <x:v>13955</x:v>
      </x:c>
      <x:c r="C3140" s="3" t="n">
        <x:v>2</x:v>
      </x:c>
      <x:c r="D3140" s="51" t="n">
        <x:v>40732</x:v>
      </x:c>
      <x:c r="E3140" s="3" t="str">
        <x:v>Recurrente</x:v>
      </x:c>
      <x:c r="F3140" s="13" t="n">
        <x:v>322.96</x:v>
      </x:c>
      <x:c r="G3140" s="13" t="n">
        <x:v>0</x:v>
      </x:c>
      <x:c r="H3140" s="13" t="n">
        <x:f>F3140-G3140</x:f>
        <x:v>322.96</x:v>
      </x:c>
      <x:c r="I3140" s="13" t="n">
        <x:f>IF(C3140=0,"n.a.",F3140/C3140)</x:f>
        <x:v>161.48</x:v>
      </x:c>
      <x:c r="J3140" s="3"/>
      <x:c r="K3140" s="3"/>
      <x:c r="L3140" s="3"/>
    </x:row>
    <x:row r="3141" ht="22" customHeight="1">
      <x:c r="A3141" s="3"/>
      <x:c r="B3141" s="3" t="str">
        <x:v>16627</x:v>
      </x:c>
      <x:c r="C3141" s="3" t="n">
        <x:v>1</x:v>
      </x:c>
      <x:c r="D3141" s="51" t="n">
        <x:v>40807</x:v>
      </x:c>
      <x:c r="E3141" s="3" t="str">
        <x:v>Una compra</x:v>
      </x:c>
      <x:c r="F3141" s="13" t="n">
        <x:v>322.8</x:v>
      </x:c>
      <x:c r="G3141" s="13" t="n">
        <x:v>0</x:v>
      </x:c>
      <x:c r="H3141" s="13" t="n">
        <x:f>F3141-G3141</x:f>
        <x:v>322.8</x:v>
      </x:c>
      <x:c r="I3141" s="13" t="n">
        <x:f>IF(C3141=0,"n.a.",F3141/C3141)</x:f>
        <x:v>322.8</x:v>
      </x:c>
      <x:c r="J3141" s="3"/>
      <x:c r="K3141" s="3"/>
      <x:c r="L3141" s="3"/>
    </x:row>
    <x:row r="3142" ht="22" customHeight="1">
      <x:c r="A3142" s="3"/>
      <x:c r="B3142" s="3" t="str">
        <x:v>16342</x:v>
      </x:c>
      <x:c r="C3142" s="3" t="n">
        <x:v>4</x:v>
      </x:c>
      <x:c r="D3142" s="51" t="n">
        <x:v>40811</x:v>
      </x:c>
      <x:c r="E3142" s="3" t="str">
        <x:v>Recurrente</x:v>
      </x:c>
      <x:c r="F3142" s="13" t="n">
        <x:v>322.41</x:v>
      </x:c>
      <x:c r="G3142" s="13" t="n">
        <x:v>0</x:v>
      </x:c>
      <x:c r="H3142" s="13" t="n">
        <x:f>F3142-G3142</x:f>
        <x:v>322.41</x:v>
      </x:c>
      <x:c r="I3142" s="13" t="n">
        <x:f>IF(C3142=0,"n.a.",F3142/C3142)</x:f>
        <x:v>80.6025</x:v>
      </x:c>
      <x:c r="J3142" s="3"/>
      <x:c r="K3142" s="3"/>
      <x:c r="L3142" s="3"/>
    </x:row>
    <x:row r="3143" ht="22" customHeight="1">
      <x:c r="A3143" s="3"/>
      <x:c r="B3143" s="3" t="str">
        <x:v>14424</x:v>
      </x:c>
      <x:c r="C3143" s="3" t="n">
        <x:v>1</x:v>
      </x:c>
      <x:c r="D3143" s="51" t="n">
        <x:v>40869</x:v>
      </x:c>
      <x:c r="E3143" s="3" t="str">
        <x:v>Una compra</x:v>
      </x:c>
      <x:c r="F3143" s="13" t="n">
        <x:v>322.08</x:v>
      </x:c>
      <x:c r="G3143" s="13" t="n">
        <x:v>0</x:v>
      </x:c>
      <x:c r="H3143" s="13" t="n">
        <x:f>F3143-G3143</x:f>
        <x:v>322.08</x:v>
      </x:c>
      <x:c r="I3143" s="13" t="n">
        <x:f>IF(C3143=0,"n.a.",F3143/C3143)</x:f>
        <x:v>322.08</x:v>
      </x:c>
      <x:c r="J3143" s="3"/>
      <x:c r="K3143" s="3"/>
      <x:c r="L3143" s="3"/>
    </x:row>
    <x:row r="3144" ht="22" customHeight="1">
      <x:c r="A3144" s="3"/>
      <x:c r="B3144" s="3" t="str">
        <x:v>14484</x:v>
      </x:c>
      <x:c r="C3144" s="3" t="n">
        <x:v>1</x:v>
      </x:c>
      <x:c r="D3144" s="51" t="n">
        <x:v>40836</x:v>
      </x:c>
      <x:c r="E3144" s="3" t="str">
        <x:v>Una compra</x:v>
      </x:c>
      <x:c r="F3144" s="13" t="n">
        <x:v>321.92</x:v>
      </x:c>
      <x:c r="G3144" s="13" t="n">
        <x:v>0</x:v>
      </x:c>
      <x:c r="H3144" s="13" t="n">
        <x:f>F3144-G3144</x:f>
        <x:v>321.92</x:v>
      </x:c>
      <x:c r="I3144" s="13" t="n">
        <x:f>IF(C3144=0,"n.a.",F3144/C3144)</x:f>
        <x:v>321.92</x:v>
      </x:c>
      <x:c r="J3144" s="3"/>
      <x:c r="K3144" s="3"/>
      <x:c r="L3144" s="3"/>
    </x:row>
    <x:row r="3145" ht="22" customHeight="1">
      <x:c r="A3145" s="3"/>
      <x:c r="B3145" s="3" t="str">
        <x:v>14823</x:v>
      </x:c>
      <x:c r="C3145" s="3" t="n">
        <x:v>3</x:v>
      </x:c>
      <x:c r="D3145" s="51" t="n">
        <x:v>40706</x:v>
      </x:c>
      <x:c r="E3145" s="3" t="str">
        <x:v>Recurrente</x:v>
      </x:c>
      <x:c r="F3145" s="13" t="n">
        <x:v>321.43</x:v>
      </x:c>
      <x:c r="G3145" s="13" t="n">
        <x:v>0</x:v>
      </x:c>
      <x:c r="H3145" s="13" t="n">
        <x:f>F3145-G3145</x:f>
        <x:v>321.43</x:v>
      </x:c>
      <x:c r="I3145" s="13" t="n">
        <x:f>IF(C3145=0,"n.a.",F3145/C3145)</x:f>
        <x:v>107.14333333333333</x:v>
      </x:c>
      <x:c r="J3145" s="3"/>
      <x:c r="K3145" s="3"/>
      <x:c r="L3145" s="3"/>
    </x:row>
    <x:row r="3146" ht="22" customHeight="1">
      <x:c r="A3146" s="3"/>
      <x:c r="B3146" s="3" t="str">
        <x:v>13497</x:v>
      </x:c>
      <x:c r="C3146" s="3" t="n">
        <x:v>2</x:v>
      </x:c>
      <x:c r="D3146" s="51" t="n">
        <x:v>40604</x:v>
      </x:c>
      <x:c r="E3146" s="3" t="str">
        <x:v>Recurrente</x:v>
      </x:c>
      <x:c r="F3146" s="13" t="n">
        <x:v>348.05</x:v>
      </x:c>
      <x:c r="G3146" s="13" t="n">
        <x:v>27</x:v>
      </x:c>
      <x:c r="H3146" s="13" t="n">
        <x:f>F3146-G3146</x:f>
        <x:v>321.05</x:v>
      </x:c>
      <x:c r="I3146" s="13" t="n">
        <x:f>IF(C3146=0,"n.a.",F3146/C3146)</x:f>
        <x:v>174.025</x:v>
      </x:c>
      <x:c r="J3146" s="3"/>
      <x:c r="K3146" s="3"/>
      <x:c r="L3146" s="3"/>
    </x:row>
    <x:row r="3147" ht="22" customHeight="1">
      <x:c r="A3147" s="3"/>
      <x:c r="B3147" s="3" t="str">
        <x:v>15236</x:v>
      </x:c>
      <x:c r="C3147" s="3" t="n">
        <x:v>1</x:v>
      </x:c>
      <x:c r="D3147" s="51" t="n">
        <x:v>40588</x:v>
      </x:c>
      <x:c r="E3147" s="3" t="str">
        <x:v>Una compra</x:v>
      </x:c>
      <x:c r="F3147" s="13" t="n">
        <x:v>321.05</x:v>
      </x:c>
      <x:c r="G3147" s="13" t="n">
        <x:v>0</x:v>
      </x:c>
      <x:c r="H3147" s="13" t="n">
        <x:f>F3147-G3147</x:f>
        <x:v>321.05</x:v>
      </x:c>
      <x:c r="I3147" s="13" t="n">
        <x:f>IF(C3147=0,"n.a.",F3147/C3147)</x:f>
        <x:v>321.05</x:v>
      </x:c>
      <x:c r="J3147" s="3"/>
      <x:c r="K3147" s="3"/>
      <x:c r="L3147" s="3"/>
    </x:row>
    <x:row r="3148" ht="22" customHeight="1">
      <x:c r="A3148" s="3"/>
      <x:c r="B3148" s="3" t="str">
        <x:v>12365</x:v>
      </x:c>
      <x:c r="C3148" s="3" t="n">
        <x:v>1</x:v>
      </x:c>
      <x:c r="D3148" s="51" t="n">
        <x:v>40595</x:v>
      </x:c>
      <x:c r="E3148" s="3" t="str">
        <x:v>Una compra</x:v>
      </x:c>
      <x:c r="F3148" s="13" t="n">
        <x:v>320.69</x:v>
      </x:c>
      <x:c r="G3148" s="13" t="n">
        <x:v>0</x:v>
      </x:c>
      <x:c r="H3148" s="13" t="n">
        <x:f>F3148-G3148</x:f>
        <x:v>320.69</x:v>
      </x:c>
      <x:c r="I3148" s="13" t="n">
        <x:f>IF(C3148=0,"n.a.",F3148/C3148)</x:f>
        <x:v>320.69</x:v>
      </x:c>
      <x:c r="J3148" s="3"/>
      <x:c r="K3148" s="3"/>
      <x:c r="L3148" s="3"/>
    </x:row>
    <x:row r="3149" ht="22" customHeight="1">
      <x:c r="A3149" s="3"/>
      <x:c r="B3149" s="3" t="str">
        <x:v>16096</x:v>
      </x:c>
      <x:c r="C3149" s="3" t="n">
        <x:v>1</x:v>
      </x:c>
      <x:c r="D3149" s="51" t="n">
        <x:v>40622</x:v>
      </x:c>
      <x:c r="E3149" s="3" t="str">
        <x:v>Una compra</x:v>
      </x:c>
      <x:c r="F3149" s="13" t="n">
        <x:v>320.62</x:v>
      </x:c>
      <x:c r="G3149" s="13" t="n">
        <x:v>0</x:v>
      </x:c>
      <x:c r="H3149" s="13" t="n">
        <x:f>F3149-G3149</x:f>
        <x:v>320.62</x:v>
      </x:c>
      <x:c r="I3149" s="13" t="n">
        <x:f>IF(C3149=0,"n.a.",F3149/C3149)</x:f>
        <x:v>320.62</x:v>
      </x:c>
      <x:c r="J3149" s="3"/>
      <x:c r="K3149" s="3"/>
      <x:c r="L3149" s="3"/>
    </x:row>
    <x:row r="3150" ht="22" customHeight="1">
      <x:c r="A3150" s="3"/>
      <x:c r="B3150" s="3" t="str">
        <x:v>14622</x:v>
      </x:c>
      <x:c r="C3150" s="3" t="n">
        <x:v>1</x:v>
      </x:c>
      <x:c r="D3150" s="51" t="n">
        <x:v>40702</x:v>
      </x:c>
      <x:c r="E3150" s="3" t="str">
        <x:v>Una compra</x:v>
      </x:c>
      <x:c r="F3150" s="13" t="n">
        <x:v>320.58</x:v>
      </x:c>
      <x:c r="G3150" s="13" t="n">
        <x:v>0</x:v>
      </x:c>
      <x:c r="H3150" s="13" t="n">
        <x:f>F3150-G3150</x:f>
        <x:v>320.58</x:v>
      </x:c>
      <x:c r="I3150" s="13" t="n">
        <x:f>IF(C3150=0,"n.a.",F3150/C3150)</x:f>
        <x:v>320.58</x:v>
      </x:c>
      <x:c r="J3150" s="3"/>
      <x:c r="K3150" s="3"/>
      <x:c r="L3150" s="3"/>
    </x:row>
    <x:row r="3151" ht="22" customHeight="1">
      <x:c r="A3151" s="3"/>
      <x:c r="B3151" s="3" t="str">
        <x:v>13986</x:v>
      </x:c>
      <x:c r="C3151" s="3" t="n">
        <x:v>1</x:v>
      </x:c>
      <x:c r="D3151" s="51" t="n">
        <x:v>40869</x:v>
      </x:c>
      <x:c r="E3151" s="3" t="str">
        <x:v>Una compra</x:v>
      </x:c>
      <x:c r="F3151" s="13" t="n">
        <x:v>320.46</x:v>
      </x:c>
      <x:c r="G3151" s="13" t="n">
        <x:v>0</x:v>
      </x:c>
      <x:c r="H3151" s="13" t="n">
        <x:f>F3151-G3151</x:f>
        <x:v>320.46</x:v>
      </x:c>
      <x:c r="I3151" s="13" t="n">
        <x:f>IF(C3151=0,"n.a.",F3151/C3151)</x:f>
        <x:v>320.46</x:v>
      </x:c>
      <x:c r="J3151" s="3"/>
      <x:c r="K3151" s="3"/>
      <x:c r="L3151" s="3"/>
    </x:row>
    <x:row r="3152" ht="22" customHeight="1">
      <x:c r="A3152" s="3"/>
      <x:c r="B3152" s="3" t="str">
        <x:v>13091</x:v>
      </x:c>
      <x:c r="C3152" s="3" t="n">
        <x:v>1</x:v>
      </x:c>
      <x:c r="D3152" s="51" t="n">
        <x:v>40858</x:v>
      </x:c>
      <x:c r="E3152" s="3" t="str">
        <x:v>Una compra</x:v>
      </x:c>
      <x:c r="F3152" s="13" t="n">
        <x:v>345.82</x:v>
      </x:c>
      <x:c r="G3152" s="13" t="n">
        <x:v>26</x:v>
      </x:c>
      <x:c r="H3152" s="13" t="n">
        <x:f>F3152-G3152</x:f>
        <x:v>319.82</x:v>
      </x:c>
      <x:c r="I3152" s="13" t="n">
        <x:f>IF(C3152=0,"n.a.",F3152/C3152)</x:f>
        <x:v>345.82</x:v>
      </x:c>
      <x:c r="J3152" s="3"/>
      <x:c r="K3152" s="3"/>
      <x:c r="L3152" s="3"/>
    </x:row>
    <x:row r="3153" ht="22" customHeight="1">
      <x:c r="A3153" s="3"/>
      <x:c r="B3153" s="3" t="str">
        <x:v>16716</x:v>
      </x:c>
      <x:c r="C3153" s="3" t="n">
        <x:v>2</x:v>
      </x:c>
      <x:c r="D3153" s="51" t="n">
        <x:v>40620</x:v>
      </x:c>
      <x:c r="E3153" s="3" t="str">
        <x:v>Recurrente</x:v>
      </x:c>
      <x:c r="F3153" s="13" t="n">
        <x:v>901.2</x:v>
      </x:c>
      <x:c r="G3153" s="13" t="n">
        <x:v>581.4</x:v>
      </x:c>
      <x:c r="H3153" s="13" t="n">
        <x:f>F3153-G3153</x:f>
        <x:v>319.80000000000007</x:v>
      </x:c>
      <x:c r="I3153" s="13" t="n">
        <x:f>IF(C3153=0,"n.a.",F3153/C3153)</x:f>
        <x:v>450.6</x:v>
      </x:c>
      <x:c r="J3153" s="3"/>
      <x:c r="K3153" s="3"/>
      <x:c r="L3153" s="3"/>
    </x:row>
    <x:row r="3154" ht="22" customHeight="1">
      <x:c r="A3154" s="3"/>
      <x:c r="B3154" s="3" t="str">
        <x:v>16674</x:v>
      </x:c>
      <x:c r="C3154" s="3" t="n">
        <x:v>2</x:v>
      </x:c>
      <x:c r="D3154" s="51" t="n">
        <x:v>40832</x:v>
      </x:c>
      <x:c r="E3154" s="3" t="str">
        <x:v>Recurrente</x:v>
      </x:c>
      <x:c r="F3154" s="13" t="n">
        <x:v>319.61</x:v>
      </x:c>
      <x:c r="G3154" s="13" t="n">
        <x:v>0</x:v>
      </x:c>
      <x:c r="H3154" s="13" t="n">
        <x:f>F3154-G3154</x:f>
        <x:v>319.61</x:v>
      </x:c>
      <x:c r="I3154" s="13" t="n">
        <x:f>IF(C3154=0,"n.a.",F3154/C3154)</x:f>
        <x:v>159.805</x:v>
      </x:c>
      <x:c r="J3154" s="3"/>
      <x:c r="K3154" s="3"/>
      <x:c r="L3154" s="3"/>
    </x:row>
    <x:row r="3155" ht="22" customHeight="1">
      <x:c r="A3155" s="3"/>
      <x:c r="B3155" s="3" t="str">
        <x:v>14264</x:v>
      </x:c>
      <x:c r="C3155" s="3" t="n">
        <x:v>2</x:v>
      </x:c>
      <x:c r="D3155" s="51" t="n">
        <x:v>40732</x:v>
      </x:c>
      <x:c r="E3155" s="3" t="str">
        <x:v>Recurrente</x:v>
      </x:c>
      <x:c r="F3155" s="13" t="n">
        <x:v>333.97</x:v>
      </x:c>
      <x:c r="G3155" s="13" t="n">
        <x:v>14.5</x:v>
      </x:c>
      <x:c r="H3155" s="13" t="n">
        <x:f>F3155-G3155</x:f>
        <x:v>319.47</x:v>
      </x:c>
      <x:c r="I3155" s="13" t="n">
        <x:f>IF(C3155=0,"n.a.",F3155/C3155)</x:f>
        <x:v>166.985</x:v>
      </x:c>
      <x:c r="J3155" s="3"/>
      <x:c r="K3155" s="3"/>
      <x:c r="L3155" s="3"/>
    </x:row>
    <x:row r="3156" ht="22" customHeight="1">
      <x:c r="A3156" s="3"/>
      <x:c r="B3156" s="3" t="str">
        <x:v>18117</x:v>
      </x:c>
      <x:c r="C3156" s="3" t="n">
        <x:v>1</x:v>
      </x:c>
      <x:c r="D3156" s="51" t="n">
        <x:v>40861</x:v>
      </x:c>
      <x:c r="E3156" s="3" t="str">
        <x:v>Una compra</x:v>
      </x:c>
      <x:c r="F3156" s="13" t="n">
        <x:v>319.47</x:v>
      </x:c>
      <x:c r="G3156" s="13" t="n">
        <x:v>0</x:v>
      </x:c>
      <x:c r="H3156" s="13" t="n">
        <x:f>F3156-G3156</x:f>
        <x:v>319.47</x:v>
      </x:c>
      <x:c r="I3156" s="13" t="n">
        <x:f>IF(C3156=0,"n.a.",F3156/C3156)</x:f>
        <x:v>319.47</x:v>
      </x:c>
      <x:c r="J3156" s="3"/>
      <x:c r="K3156" s="3"/>
      <x:c r="L3156" s="3"/>
    </x:row>
    <x:row r="3157" ht="22" customHeight="1">
      <x:c r="A3157" s="3"/>
      <x:c r="B3157" s="3" t="str">
        <x:v>16499</x:v>
      </x:c>
      <x:c r="C3157" s="3" t="n">
        <x:v>2</x:v>
      </x:c>
      <x:c r="D3157" s="51" t="n">
        <x:v>40526</x:v>
      </x:c>
      <x:c r="E3157" s="3" t="str">
        <x:v>Recurrente</x:v>
      </x:c>
      <x:c r="F3157" s="13" t="n">
        <x:v>365.45</x:v>
      </x:c>
      <x:c r="G3157" s="13" t="n">
        <x:v>46.35</x:v>
      </x:c>
      <x:c r="H3157" s="13" t="n">
        <x:f>F3157-G3157</x:f>
        <x:v>319.09999999999997</x:v>
      </x:c>
      <x:c r="I3157" s="13" t="n">
        <x:f>IF(C3157=0,"n.a.",F3157/C3157)</x:f>
        <x:v>182.725</x:v>
      </x:c>
      <x:c r="J3157" s="3"/>
      <x:c r="K3157" s="3"/>
      <x:c r="L3157" s="3"/>
    </x:row>
    <x:row r="3158" ht="22" customHeight="1">
      <x:c r="A3158" s="3"/>
      <x:c r="B3158" s="3" t="str">
        <x:v>16967</x:v>
      </x:c>
      <x:c r="C3158" s="3" t="n">
        <x:v>1</x:v>
      </x:c>
      <x:c r="D3158" s="51" t="n">
        <x:v>40697</x:v>
      </x:c>
      <x:c r="E3158" s="3" t="str">
        <x:v>Una compra</x:v>
      </x:c>
      <x:c r="F3158" s="13" t="n">
        <x:v>319.02</x:v>
      </x:c>
      <x:c r="G3158" s="13" t="n">
        <x:v>0</x:v>
      </x:c>
      <x:c r="H3158" s="13" t="n">
        <x:f>F3158-G3158</x:f>
        <x:v>319.02</x:v>
      </x:c>
      <x:c r="I3158" s="13" t="n">
        <x:f>IF(C3158=0,"n.a.",F3158/C3158)</x:f>
        <x:v>319.02</x:v>
      </x:c>
      <x:c r="J3158" s="3"/>
      <x:c r="K3158" s="3"/>
      <x:c r="L3158" s="3"/>
    </x:row>
    <x:row r="3159" ht="22" customHeight="1">
      <x:c r="A3159" s="3"/>
      <x:c r="B3159" s="3" t="str">
        <x:v>17229</x:v>
      </x:c>
      <x:c r="C3159" s="3" t="n">
        <x:v>2</x:v>
      </x:c>
      <x:c r="D3159" s="51" t="n">
        <x:v>40790</x:v>
      </x:c>
      <x:c r="E3159" s="3" t="str">
        <x:v>Recurrente</x:v>
      </x:c>
      <x:c r="F3159" s="13" t="n">
        <x:v>318.76</x:v>
      </x:c>
      <x:c r="G3159" s="13" t="n">
        <x:v>0</x:v>
      </x:c>
      <x:c r="H3159" s="13" t="n">
        <x:f>F3159-G3159</x:f>
        <x:v>318.76</x:v>
      </x:c>
      <x:c r="I3159" s="13" t="n">
        <x:f>IF(C3159=0,"n.a.",F3159/C3159)</x:f>
        <x:v>159.38</x:v>
      </x:c>
      <x:c r="J3159" s="3"/>
      <x:c r="K3159" s="3"/>
      <x:c r="L3159" s="3"/>
    </x:row>
    <x:row r="3160" ht="22" customHeight="1">
      <x:c r="A3160" s="3"/>
      <x:c r="B3160" s="3" t="str">
        <x:v>17248</x:v>
      </x:c>
      <x:c r="C3160" s="3" t="n">
        <x:v>1</x:v>
      </x:c>
      <x:c r="D3160" s="51" t="n">
        <x:v>40766</x:v>
      </x:c>
      <x:c r="E3160" s="3" t="str">
        <x:v>Una compra</x:v>
      </x:c>
      <x:c r="F3160" s="13" t="n">
        <x:v>318.65</x:v>
      </x:c>
      <x:c r="G3160" s="13" t="n">
        <x:v>0</x:v>
      </x:c>
      <x:c r="H3160" s="13" t="n">
        <x:f>F3160-G3160</x:f>
        <x:v>318.65</x:v>
      </x:c>
      <x:c r="I3160" s="13" t="n">
        <x:f>IF(C3160=0,"n.a.",F3160/C3160)</x:f>
        <x:v>318.65</x:v>
      </x:c>
      <x:c r="J3160" s="3"/>
      <x:c r="K3160" s="3"/>
      <x:c r="L3160" s="3"/>
    </x:row>
    <x:row r="3161" ht="22" customHeight="1">
      <x:c r="A3161" s="3"/>
      <x:c r="B3161" s="3" t="str">
        <x:v>12795</x:v>
      </x:c>
      <x:c r="C3161" s="3" t="n">
        <x:v>1</x:v>
      </x:c>
      <x:c r="D3161" s="51" t="n">
        <x:v>40868</x:v>
      </x:c>
      <x:c r="E3161" s="3" t="str">
        <x:v>Una compra</x:v>
      </x:c>
      <x:c r="F3161" s="13" t="n">
        <x:v>318.48</x:v>
      </x:c>
      <x:c r="G3161" s="13" t="n">
        <x:v>0</x:v>
      </x:c>
      <x:c r="H3161" s="13" t="n">
        <x:f>F3161-G3161</x:f>
        <x:v>318.48</x:v>
      </x:c>
      <x:c r="I3161" s="13" t="n">
        <x:f>IF(C3161=0,"n.a.",F3161/C3161)</x:f>
        <x:v>318.48</x:v>
      </x:c>
      <x:c r="J3161" s="3"/>
      <x:c r="K3161" s="3"/>
      <x:c r="L3161" s="3"/>
    </x:row>
    <x:row r="3162" ht="22" customHeight="1">
      <x:c r="A3162" s="3"/>
      <x:c r="B3162" s="3" t="str">
        <x:v>14703</x:v>
      </x:c>
      <x:c r="C3162" s="3" t="n">
        <x:v>1</x:v>
      </x:c>
      <x:c r="D3162" s="51" t="n">
        <x:v>40872</x:v>
      </x:c>
      <x:c r="E3162" s="3" t="str">
        <x:v>Una compra</x:v>
      </x:c>
      <x:c r="F3162" s="13" t="n">
        <x:v>318.17</x:v>
      </x:c>
      <x:c r="G3162" s="13" t="n">
        <x:v>0</x:v>
      </x:c>
      <x:c r="H3162" s="13" t="n">
        <x:f>F3162-G3162</x:f>
        <x:v>318.17</x:v>
      </x:c>
      <x:c r="I3162" s="13" t="n">
        <x:f>IF(C3162=0,"n.a.",F3162/C3162)</x:f>
        <x:v>318.17</x:v>
      </x:c>
      <x:c r="J3162" s="3"/>
      <x:c r="K3162" s="3"/>
      <x:c r="L3162" s="3"/>
    </x:row>
    <x:row r="3163" ht="22" customHeight="1">
      <x:c r="A3163" s="3"/>
      <x:c r="B3163" s="3" t="str">
        <x:v>15363</x:v>
      </x:c>
      <x:c r="C3163" s="3" t="n">
        <x:v>1</x:v>
      </x:c>
      <x:c r="D3163" s="51" t="n">
        <x:v>40514</x:v>
      </x:c>
      <x:c r="E3163" s="3" t="str">
        <x:v>Una compra</x:v>
      </x:c>
      <x:c r="F3163" s="13" t="n">
        <x:v>326</x:v>
      </x:c>
      <x:c r="G3163" s="13" t="n">
        <x:v>7.95</x:v>
      </x:c>
      <x:c r="H3163" s="13" t="n">
        <x:f>F3163-G3163</x:f>
        <x:v>318.05</x:v>
      </x:c>
      <x:c r="I3163" s="13" t="n">
        <x:f>IF(C3163=0,"n.a.",F3163/C3163)</x:f>
        <x:v>326</x:v>
      </x:c>
      <x:c r="J3163" s="3"/>
      <x:c r="K3163" s="3"/>
      <x:c r="L3163" s="3"/>
    </x:row>
    <x:row r="3164" ht="22" customHeight="1">
      <x:c r="A3164" s="3"/>
      <x:c r="B3164" s="3" t="str">
        <x:v>18066</x:v>
      </x:c>
      <x:c r="C3164" s="3" t="n">
        <x:v>1</x:v>
      </x:c>
      <x:c r="D3164" s="51" t="n">
        <x:v>40811</x:v>
      </x:c>
      <x:c r="E3164" s="3" t="str">
        <x:v>Una compra</x:v>
      </x:c>
      <x:c r="F3164" s="13" t="n">
        <x:v>318</x:v>
      </x:c>
      <x:c r="G3164" s="13" t="n">
        <x:v>0</x:v>
      </x:c>
      <x:c r="H3164" s="13" t="n">
        <x:f>F3164-G3164</x:f>
        <x:v>318</x:v>
      </x:c>
      <x:c r="I3164" s="13" t="n">
        <x:f>IF(C3164=0,"n.a.",F3164/C3164)</x:f>
        <x:v>318</x:v>
      </x:c>
      <x:c r="J3164" s="3"/>
      <x:c r="K3164" s="3"/>
      <x:c r="L3164" s="3"/>
    </x:row>
    <x:row r="3165" ht="22" customHeight="1">
      <x:c r="A3165" s="3"/>
      <x:c r="B3165" s="3" t="str">
        <x:v>12552</x:v>
      </x:c>
      <x:c r="C3165" s="3" t="n">
        <x:v>1</x:v>
      </x:c>
      <x:c r="D3165" s="51" t="n">
        <x:v>40847</x:v>
      </x:c>
      <x:c r="E3165" s="3" t="str">
        <x:v>Una compra</x:v>
      </x:c>
      <x:c r="F3165" s="13" t="n">
        <x:v>317.82</x:v>
      </x:c>
      <x:c r="G3165" s="13" t="n">
        <x:v>0</x:v>
      </x:c>
      <x:c r="H3165" s="13" t="n">
        <x:f>F3165-G3165</x:f>
        <x:v>317.82</x:v>
      </x:c>
      <x:c r="I3165" s="13" t="n">
        <x:f>IF(C3165=0,"n.a.",F3165/C3165)</x:f>
        <x:v>317.82</x:v>
      </x:c>
      <x:c r="J3165" s="3"/>
      <x:c r="K3165" s="3"/>
      <x:c r="L3165" s="3"/>
    </x:row>
    <x:row r="3166" ht="22" customHeight="1">
      <x:c r="A3166" s="3"/>
      <x:c r="B3166" s="3" t="str">
        <x:v>17172</x:v>
      </x:c>
      <x:c r="C3166" s="3" t="n">
        <x:v>1</x:v>
      </x:c>
      <x:c r="D3166" s="51" t="n">
        <x:v>40808</x:v>
      </x:c>
      <x:c r="E3166" s="3" t="str">
        <x:v>Una compra</x:v>
      </x:c>
      <x:c r="F3166" s="13" t="n">
        <x:v>317.76</x:v>
      </x:c>
      <x:c r="G3166" s="13" t="n">
        <x:v>0</x:v>
      </x:c>
      <x:c r="H3166" s="13" t="n">
        <x:f>F3166-G3166</x:f>
        <x:v>317.76</x:v>
      </x:c>
      <x:c r="I3166" s="13" t="n">
        <x:f>IF(C3166=0,"n.a.",F3166/C3166)</x:f>
        <x:v>317.76</x:v>
      </x:c>
      <x:c r="J3166" s="3"/>
      <x:c r="K3166" s="3"/>
      <x:c r="L3166" s="3"/>
    </x:row>
    <x:row r="3167" ht="22" customHeight="1">
      <x:c r="A3167" s="3"/>
      <x:c r="B3167" s="3" t="str">
        <x:v>17267</x:v>
      </x:c>
      <x:c r="C3167" s="3" t="n">
        <x:v>2</x:v>
      </x:c>
      <x:c r="D3167" s="51" t="n">
        <x:v>40759</x:v>
      </x:c>
      <x:c r="E3167" s="3" t="str">
        <x:v>Recurrente</x:v>
      </x:c>
      <x:c r="F3167" s="13" t="n">
        <x:v>317.62</x:v>
      </x:c>
      <x:c r="G3167" s="13" t="n">
        <x:v>0</x:v>
      </x:c>
      <x:c r="H3167" s="13" t="n">
        <x:f>F3167-G3167</x:f>
        <x:v>317.62</x:v>
      </x:c>
      <x:c r="I3167" s="13" t="n">
        <x:f>IF(C3167=0,"n.a.",F3167/C3167)</x:f>
        <x:v>158.81</x:v>
      </x:c>
      <x:c r="J3167" s="3"/>
      <x:c r="K3167" s="3"/>
      <x:c r="L3167" s="3"/>
    </x:row>
    <x:row r="3168" ht="22" customHeight="1">
      <x:c r="A3168" s="3"/>
      <x:c r="B3168" s="3" t="str">
        <x:v>16386</x:v>
      </x:c>
      <x:c r="C3168" s="3" t="n">
        <x:v>2</x:v>
      </x:c>
      <x:c r="D3168" s="51" t="n">
        <x:v>40858</x:v>
      </x:c>
      <x:c r="E3168" s="3" t="str">
        <x:v>Recurrente</x:v>
      </x:c>
      <x:c r="F3168" s="13" t="n">
        <x:v>317.2</x:v>
      </x:c>
      <x:c r="G3168" s="13" t="n">
        <x:v>0</x:v>
      </x:c>
      <x:c r="H3168" s="13" t="n">
        <x:f>F3168-G3168</x:f>
        <x:v>317.2</x:v>
      </x:c>
      <x:c r="I3168" s="13" t="n">
        <x:f>IF(C3168=0,"n.a.",F3168/C3168)</x:f>
        <x:v>158.6</x:v>
      </x:c>
      <x:c r="J3168" s="3"/>
      <x:c r="K3168" s="3"/>
      <x:c r="L3168" s="3"/>
    </x:row>
    <x:row r="3169" ht="22" customHeight="1">
      <x:c r="A3169" s="3"/>
      <x:c r="B3169" s="3" t="str">
        <x:v>15385</x:v>
      </x:c>
      <x:c r="C3169" s="3" t="n">
        <x:v>1</x:v>
      </x:c>
      <x:c r="D3169" s="51" t="n">
        <x:v>40846</x:v>
      </x:c>
      <x:c r="E3169" s="3" t="str">
        <x:v>Una compra</x:v>
      </x:c>
      <x:c r="F3169" s="13" t="n">
        <x:v>316.88</x:v>
      </x:c>
      <x:c r="G3169" s="13" t="n">
        <x:v>0</x:v>
      </x:c>
      <x:c r="H3169" s="13" t="n">
        <x:f>F3169-G3169</x:f>
        <x:v>316.88</x:v>
      </x:c>
      <x:c r="I3169" s="13" t="n">
        <x:f>IF(C3169=0,"n.a.",F3169/C3169)</x:f>
        <x:v>316.88</x:v>
      </x:c>
      <x:c r="J3169" s="3"/>
      <x:c r="K3169" s="3"/>
      <x:c r="L3169" s="3"/>
    </x:row>
    <x:row r="3170" ht="22" customHeight="1">
      <x:c r="A3170" s="3"/>
      <x:c r="B3170" s="3" t="str">
        <x:v>15243</x:v>
      </x:c>
      <x:c r="C3170" s="3" t="n">
        <x:v>1</x:v>
      </x:c>
      <x:c r="D3170" s="51" t="n">
        <x:v>40812</x:v>
      </x:c>
      <x:c r="E3170" s="3" t="str">
        <x:v>Una compra</x:v>
      </x:c>
      <x:c r="F3170" s="13" t="n">
        <x:v>316.68</x:v>
      </x:c>
      <x:c r="G3170" s="13" t="n">
        <x:v>0</x:v>
      </x:c>
      <x:c r="H3170" s="13" t="n">
        <x:f>F3170-G3170</x:f>
        <x:v>316.68</x:v>
      </x:c>
      <x:c r="I3170" s="13" t="n">
        <x:f>IF(C3170=0,"n.a.",F3170/C3170)</x:f>
        <x:v>316.68</x:v>
      </x:c>
      <x:c r="J3170" s="3"/>
      <x:c r="K3170" s="3"/>
      <x:c r="L3170" s="3"/>
    </x:row>
    <x:row r="3171" ht="22" customHeight="1">
      <x:c r="A3171" s="3"/>
      <x:c r="B3171" s="3" t="str">
        <x:v>16761</x:v>
      </x:c>
      <x:c r="C3171" s="3" t="n">
        <x:v>1</x:v>
      </x:c>
      <x:c r="D3171" s="51" t="n">
        <x:v>40790</x:v>
      </x:c>
      <x:c r="E3171" s="3" t="str">
        <x:v>Una compra</x:v>
      </x:c>
      <x:c r="F3171" s="13" t="n">
        <x:v>316.62</x:v>
      </x:c>
      <x:c r="G3171" s="13" t="n">
        <x:v>0</x:v>
      </x:c>
      <x:c r="H3171" s="13" t="n">
        <x:f>F3171-G3171</x:f>
        <x:v>316.62</x:v>
      </x:c>
      <x:c r="I3171" s="13" t="n">
        <x:f>IF(C3171=0,"n.a.",F3171/C3171)</x:f>
        <x:v>316.62</x:v>
      </x:c>
      <x:c r="J3171" s="3"/>
      <x:c r="K3171" s="3"/>
      <x:c r="L3171" s="3"/>
    </x:row>
    <x:row r="3172" ht="22" customHeight="1">
      <x:c r="A3172" s="3"/>
      <x:c r="B3172" s="3" t="str">
        <x:v>15204</x:v>
      </x:c>
      <x:c r="C3172" s="3" t="n">
        <x:v>1</x:v>
      </x:c>
      <x:c r="D3172" s="51" t="n">
        <x:v>40529</x:v>
      </x:c>
      <x:c r="E3172" s="3" t="str">
        <x:v>Una compra</x:v>
      </x:c>
      <x:c r="F3172" s="13" t="n">
        <x:v>316.58</x:v>
      </x:c>
      <x:c r="G3172" s="13" t="n">
        <x:v>0</x:v>
      </x:c>
      <x:c r="H3172" s="13" t="n">
        <x:f>F3172-G3172</x:f>
        <x:v>316.58</x:v>
      </x:c>
      <x:c r="I3172" s="13" t="n">
        <x:f>IF(C3172=0,"n.a.",F3172/C3172)</x:f>
        <x:v>316.58</x:v>
      </x:c>
      <x:c r="J3172" s="3"/>
      <x:c r="K3172" s="3"/>
      <x:c r="L3172" s="3"/>
    </x:row>
    <x:row r="3173" ht="22" customHeight="1">
      <x:c r="A3173" s="3"/>
      <x:c r="B3173" s="3" t="str">
        <x:v>17458</x:v>
      </x:c>
      <x:c r="C3173" s="3" t="n">
        <x:v>1</x:v>
      </x:c>
      <x:c r="D3173" s="51" t="n">
        <x:v>40871</x:v>
      </x:c>
      <x:c r="E3173" s="3" t="str">
        <x:v>Una compra</x:v>
      </x:c>
      <x:c r="F3173" s="13" t="n">
        <x:v>316.5</x:v>
      </x:c>
      <x:c r="G3173" s="13" t="n">
        <x:v>0</x:v>
      </x:c>
      <x:c r="H3173" s="13" t="n">
        <x:f>F3173-G3173</x:f>
        <x:v>316.5</x:v>
      </x:c>
      <x:c r="I3173" s="13" t="n">
        <x:f>IF(C3173=0,"n.a.",F3173/C3173)</x:f>
        <x:v>316.5</x:v>
      </x:c>
      <x:c r="J3173" s="3"/>
      <x:c r="K3173" s="3"/>
      <x:c r="L3173" s="3"/>
    </x:row>
    <x:row r="3174" ht="22" customHeight="1">
      <x:c r="A3174" s="3"/>
      <x:c r="B3174" s="3" t="str">
        <x:v>13494</x:v>
      </x:c>
      <x:c r="C3174" s="3" t="n">
        <x:v>1</x:v>
      </x:c>
      <x:c r="D3174" s="51" t="n">
        <x:v>40575</x:v>
      </x:c>
      <x:c r="E3174" s="3" t="str">
        <x:v>Una compra</x:v>
      </x:c>
      <x:c r="F3174" s="13" t="n">
        <x:v>316.26</x:v>
      </x:c>
      <x:c r="G3174" s="13" t="n">
        <x:v>0</x:v>
      </x:c>
      <x:c r="H3174" s="13" t="n">
        <x:f>F3174-G3174</x:f>
        <x:v>316.26</x:v>
      </x:c>
      <x:c r="I3174" s="13" t="n">
        <x:f>IF(C3174=0,"n.a.",F3174/C3174)</x:f>
        <x:v>316.26</x:v>
      </x:c>
      <x:c r="J3174" s="3"/>
      <x:c r="K3174" s="3"/>
      <x:c r="L3174" s="3"/>
    </x:row>
    <x:row r="3175" ht="22" customHeight="1">
      <x:c r="A3175" s="3"/>
      <x:c r="B3175" s="3" t="str">
        <x:v>14479</x:v>
      </x:c>
      <x:c r="C3175" s="3" t="n">
        <x:v>2</x:v>
      </x:c>
      <x:c r="D3175" s="51" t="n">
        <x:v>40633</x:v>
      </x:c>
      <x:c r="E3175" s="3" t="str">
        <x:v>Recurrente</x:v>
      </x:c>
      <x:c r="F3175" s="13" t="n">
        <x:v>316.25</x:v>
      </x:c>
      <x:c r="G3175" s="13" t="n">
        <x:v>0</x:v>
      </x:c>
      <x:c r="H3175" s="13" t="n">
        <x:f>F3175-G3175</x:f>
        <x:v>316.25</x:v>
      </x:c>
      <x:c r="I3175" s="13" t="n">
        <x:f>IF(C3175=0,"n.a.",F3175/C3175)</x:f>
        <x:v>158.125</x:v>
      </x:c>
      <x:c r="J3175" s="3"/>
      <x:c r="K3175" s="3"/>
      <x:c r="L3175" s="3"/>
    </x:row>
    <x:row r="3176" ht="22" customHeight="1">
      <x:c r="A3176" s="3"/>
      <x:c r="B3176" s="3" t="str">
        <x:v>15597</x:v>
      </x:c>
      <x:c r="C3176" s="3" t="n">
        <x:v>1</x:v>
      </x:c>
      <x:c r="D3176" s="51" t="n">
        <x:v>40851</x:v>
      </x:c>
      <x:c r="E3176" s="3" t="str">
        <x:v>Una compra</x:v>
      </x:c>
      <x:c r="F3176" s="13" t="n">
        <x:v>324.57</x:v>
      </x:c>
      <x:c r="G3176" s="13" t="n">
        <x:v>8.85</x:v>
      </x:c>
      <x:c r="H3176" s="13" t="n">
        <x:f>F3176-G3176</x:f>
        <x:v>315.71999999999997</x:v>
      </x:c>
      <x:c r="I3176" s="13" t="n">
        <x:f>IF(C3176=0,"n.a.",F3176/C3176)</x:f>
        <x:v>324.57</x:v>
      </x:c>
      <x:c r="J3176" s="3"/>
      <x:c r="K3176" s="3"/>
      <x:c r="L3176" s="3"/>
    </x:row>
    <x:row r="3177" ht="22" customHeight="1">
      <x:c r="A3177" s="3"/>
      <x:c r="B3177" s="3" t="str">
        <x:v>12614</x:v>
      </x:c>
      <x:c r="C3177" s="3" t="n">
        <x:v>1</x:v>
      </x:c>
      <x:c r="D3177" s="51" t="n">
        <x:v>40609</x:v>
      </x:c>
      <x:c r="E3177" s="3" t="str">
        <x:v>Una compra</x:v>
      </x:c>
      <x:c r="F3177" s="13" t="n">
        <x:v>315.6</x:v>
      </x:c>
      <x:c r="G3177" s="13" t="n">
        <x:v>0</x:v>
      </x:c>
      <x:c r="H3177" s="13" t="n">
        <x:f>F3177-G3177</x:f>
        <x:v>315.6</x:v>
      </x:c>
      <x:c r="I3177" s="13" t="n">
        <x:f>IF(C3177=0,"n.a.",F3177/C3177)</x:f>
        <x:v>315.6</x:v>
      </x:c>
      <x:c r="J3177" s="3"/>
      <x:c r="K3177" s="3"/>
      <x:c r="L3177" s="3"/>
    </x:row>
    <x:row r="3178" ht="22" customHeight="1">
      <x:c r="A3178" s="3"/>
      <x:c r="B3178" s="3" t="str">
        <x:v>15766</x:v>
      </x:c>
      <x:c r="C3178" s="3" t="n">
        <x:v>1</x:v>
      </x:c>
      <x:c r="D3178" s="51" t="n">
        <x:v>40822</x:v>
      </x:c>
      <x:c r="E3178" s="3" t="str">
        <x:v>Una compra</x:v>
      </x:c>
      <x:c r="F3178" s="13" t="n">
        <x:v>315.06</x:v>
      </x:c>
      <x:c r="G3178" s="13" t="n">
        <x:v>0</x:v>
      </x:c>
      <x:c r="H3178" s="13" t="n">
        <x:f>F3178-G3178</x:f>
        <x:v>315.06</x:v>
      </x:c>
      <x:c r="I3178" s="13" t="n">
        <x:f>IF(C3178=0,"n.a.",F3178/C3178)</x:f>
        <x:v>315.06</x:v>
      </x:c>
      <x:c r="J3178" s="3"/>
      <x:c r="K3178" s="3"/>
      <x:c r="L3178" s="3"/>
    </x:row>
    <x:row r="3179" ht="22" customHeight="1">
      <x:c r="A3179" s="3"/>
      <x:c r="B3179" s="3" t="str">
        <x:v>16091</x:v>
      </x:c>
      <x:c r="C3179" s="3" t="n">
        <x:v>2</x:v>
      </x:c>
      <x:c r="D3179" s="51" t="n">
        <x:v>40732</x:v>
      </x:c>
      <x:c r="E3179" s="3" t="str">
        <x:v>Recurrente</x:v>
      </x:c>
      <x:c r="F3179" s="13" t="n">
        <x:v>315.06</x:v>
      </x:c>
      <x:c r="G3179" s="13" t="n">
        <x:v>0</x:v>
      </x:c>
      <x:c r="H3179" s="13" t="n">
        <x:f>F3179-G3179</x:f>
        <x:v>315.06</x:v>
      </x:c>
      <x:c r="I3179" s="13" t="n">
        <x:f>IF(C3179=0,"n.a.",F3179/C3179)</x:f>
        <x:v>157.53</x:v>
      </x:c>
      <x:c r="J3179" s="3"/>
      <x:c r="K3179" s="3"/>
      <x:c r="L3179" s="3"/>
    </x:row>
    <x:row r="3180" ht="22" customHeight="1">
      <x:c r="A3180" s="3"/>
      <x:c r="B3180" s="3" t="str">
        <x:v>16473</x:v>
      </x:c>
      <x:c r="C3180" s="3" t="n">
        <x:v>3</x:v>
      </x:c>
      <x:c r="D3180" s="51" t="n">
        <x:v>40722</x:v>
      </x:c>
      <x:c r="E3180" s="3" t="str">
        <x:v>Recurrente</x:v>
      </x:c>
      <x:c r="F3180" s="13" t="n">
        <x:v>316.11</x:v>
      </x:c>
      <x:c r="G3180" s="13" t="n">
        <x:v>1.25</x:v>
      </x:c>
      <x:c r="H3180" s="13" t="n">
        <x:f>F3180-G3180</x:f>
        <x:v>314.86</x:v>
      </x:c>
      <x:c r="I3180" s="13" t="n">
        <x:f>IF(C3180=0,"n.a.",F3180/C3180)</x:f>
        <x:v>105.37</x:v>
      </x:c>
      <x:c r="J3180" s="3"/>
      <x:c r="K3180" s="3"/>
      <x:c r="L3180" s="3"/>
    </x:row>
    <x:row r="3181" ht="22" customHeight="1">
      <x:c r="A3181" s="3"/>
      <x:c r="B3181" s="3" t="str">
        <x:v>17237</x:v>
      </x:c>
      <x:c r="C3181" s="3" t="n">
        <x:v>2</x:v>
      </x:c>
      <x:c r="D3181" s="51" t="n">
        <x:v>40875</x:v>
      </x:c>
      <x:c r="E3181" s="3" t="str">
        <x:v>Recurrente</x:v>
      </x:c>
      <x:c r="F3181" s="13" t="n">
        <x:v>314.69</x:v>
      </x:c>
      <x:c r="G3181" s="13" t="n">
        <x:v>0</x:v>
      </x:c>
      <x:c r="H3181" s="13" t="n">
        <x:f>F3181-G3181</x:f>
        <x:v>314.69</x:v>
      </x:c>
      <x:c r="I3181" s="13" t="n">
        <x:f>IF(C3181=0,"n.a.",F3181/C3181)</x:f>
        <x:v>157.345</x:v>
      </x:c>
      <x:c r="J3181" s="3"/>
      <x:c r="K3181" s="3"/>
      <x:c r="L3181" s="3"/>
    </x:row>
    <x:row r="3182" ht="22" customHeight="1">
      <x:c r="A3182" s="3"/>
      <x:c r="B3182" s="3" t="str">
        <x:v>16193</x:v>
      </x:c>
      <x:c r="C3182" s="3" t="n">
        <x:v>1</x:v>
      </x:c>
      <x:c r="D3182" s="51" t="n">
        <x:v>40650</x:v>
      </x:c>
      <x:c r="E3182" s="3" t="str">
        <x:v>Una compra</x:v>
      </x:c>
      <x:c r="F3182" s="13" t="n">
        <x:v>314.45</x:v>
      </x:c>
      <x:c r="G3182" s="13" t="n">
        <x:v>0</x:v>
      </x:c>
      <x:c r="H3182" s="13" t="n">
        <x:f>F3182-G3182</x:f>
        <x:v>314.45</x:v>
      </x:c>
      <x:c r="I3182" s="13" t="n">
        <x:f>IF(C3182=0,"n.a.",F3182/C3182)</x:f>
        <x:v>314.45</x:v>
      </x:c>
      <x:c r="J3182" s="3"/>
      <x:c r="K3182" s="3"/>
      <x:c r="L3182" s="3"/>
    </x:row>
    <x:row r="3183" ht="22" customHeight="1">
      <x:c r="A3183" s="3"/>
      <x:c r="B3183" s="3" t="str">
        <x:v>13919</x:v>
      </x:c>
      <x:c r="C3183" s="3" t="n">
        <x:v>2</x:v>
      </x:c>
      <x:c r="D3183" s="51" t="n">
        <x:v>40827</x:v>
      </x:c>
      <x:c r="E3183" s="3" t="str">
        <x:v>Recurrente</x:v>
      </x:c>
      <x:c r="F3183" s="13" t="n">
        <x:v>348.81</x:v>
      </x:c>
      <x:c r="G3183" s="13" t="n">
        <x:v>34.65</x:v>
      </x:c>
      <x:c r="H3183" s="13" t="n">
        <x:f>F3183-G3183</x:f>
        <x:v>314.16</x:v>
      </x:c>
      <x:c r="I3183" s="13" t="n">
        <x:f>IF(C3183=0,"n.a.",F3183/C3183)</x:f>
        <x:v>174.405</x:v>
      </x:c>
      <x:c r="J3183" s="3"/>
      <x:c r="K3183" s="3"/>
      <x:c r="L3183" s="3"/>
    </x:row>
    <x:row r="3184" ht="22" customHeight="1">
      <x:c r="A3184" s="3"/>
      <x:c r="B3184" s="3" t="str">
        <x:v>14902</x:v>
      </x:c>
      <x:c r="C3184" s="3" t="n">
        <x:v>1</x:v>
      </x:c>
      <x:c r="D3184" s="51" t="n">
        <x:v>40861</x:v>
      </x:c>
      <x:c r="E3184" s="3" t="str">
        <x:v>Una compra</x:v>
      </x:c>
      <x:c r="F3184" s="13" t="n">
        <x:v>332.66</x:v>
      </x:c>
      <x:c r="G3184" s="13" t="n">
        <x:v>18.55</x:v>
      </x:c>
      <x:c r="H3184" s="13" t="n">
        <x:f>F3184-G3184</x:f>
        <x:v>314.11</x:v>
      </x:c>
      <x:c r="I3184" s="13" t="n">
        <x:f>IF(C3184=0,"n.a.",F3184/C3184)</x:f>
        <x:v>332.66</x:v>
      </x:c>
      <x:c r="J3184" s="3"/>
      <x:c r="K3184" s="3"/>
      <x:c r="L3184" s="3"/>
    </x:row>
    <x:row r="3185" ht="22" customHeight="1">
      <x:c r="A3185" s="3"/>
      <x:c r="B3185" s="3" t="str">
        <x:v>15970</x:v>
      </x:c>
      <x:c r="C3185" s="3" t="n">
        <x:v>1</x:v>
      </x:c>
      <x:c r="D3185" s="51" t="n">
        <x:v>40583</x:v>
      </x:c>
      <x:c r="E3185" s="3" t="str">
        <x:v>Una compra</x:v>
      </x:c>
      <x:c r="F3185" s="13" t="n">
        <x:v>314.1</x:v>
      </x:c>
      <x:c r="G3185" s="13" t="n">
        <x:v>0</x:v>
      </x:c>
      <x:c r="H3185" s="13" t="n">
        <x:f>F3185-G3185</x:f>
        <x:v>314.1</x:v>
      </x:c>
      <x:c r="I3185" s="13" t="n">
        <x:f>IF(C3185=0,"n.a.",F3185/C3185)</x:f>
        <x:v>314.1</x:v>
      </x:c>
      <x:c r="J3185" s="3"/>
      <x:c r="K3185" s="3"/>
      <x:c r="L3185" s="3"/>
    </x:row>
    <x:row r="3186" ht="22" customHeight="1">
      <x:c r="A3186" s="3"/>
      <x:c r="B3186" s="3" t="str">
        <x:v>12532</x:v>
      </x:c>
      <x:c r="C3186" s="3" t="n">
        <x:v>1</x:v>
      </x:c>
      <x:c r="D3186" s="51" t="n">
        <x:v>40856</x:v>
      </x:c>
      <x:c r="E3186" s="3" t="str">
        <x:v>Una compra</x:v>
      </x:c>
      <x:c r="F3186" s="13" t="n">
        <x:v>313.83</x:v>
      </x:c>
      <x:c r="G3186" s="13" t="n">
        <x:v>0</x:v>
      </x:c>
      <x:c r="H3186" s="13" t="n">
        <x:f>F3186-G3186</x:f>
        <x:v>313.83</x:v>
      </x:c>
      <x:c r="I3186" s="13" t="n">
        <x:f>IF(C3186=0,"n.a.",F3186/C3186)</x:f>
        <x:v>313.83</x:v>
      </x:c>
      <x:c r="J3186" s="3"/>
      <x:c r="K3186" s="3"/>
      <x:c r="L3186" s="3"/>
    </x:row>
    <x:row r="3187" ht="22" customHeight="1">
      <x:c r="A3187" s="3"/>
      <x:c r="B3187" s="3" t="str">
        <x:v>13484</x:v>
      </x:c>
      <x:c r="C3187" s="3" t="n">
        <x:v>1</x:v>
      </x:c>
      <x:c r="D3187" s="51" t="n">
        <x:v>40645</x:v>
      </x:c>
      <x:c r="E3187" s="3" t="str">
        <x:v>Una compra</x:v>
      </x:c>
      <x:c r="F3187" s="13" t="n">
        <x:v>313.8</x:v>
      </x:c>
      <x:c r="G3187" s="13" t="n">
        <x:v>0</x:v>
      </x:c>
      <x:c r="H3187" s="13" t="n">
        <x:f>F3187-G3187</x:f>
        <x:v>313.8</x:v>
      </x:c>
      <x:c r="I3187" s="13" t="n">
        <x:f>IF(C3187=0,"n.a.",F3187/C3187)</x:f>
        <x:v>313.8</x:v>
      </x:c>
      <x:c r="J3187" s="3"/>
      <x:c r="K3187" s="3"/>
      <x:c r="L3187" s="3"/>
    </x:row>
    <x:row r="3188" ht="22" customHeight="1">
      <x:c r="A3188" s="3"/>
      <x:c r="B3188" s="3" t="str">
        <x:v>12888</x:v>
      </x:c>
      <x:c r="C3188" s="3" t="n">
        <x:v>2</x:v>
      </x:c>
      <x:c r="D3188" s="51" t="n">
        <x:v>40672</x:v>
      </x:c>
      <x:c r="E3188" s="3" t="str">
        <x:v>Recurrente</x:v>
      </x:c>
      <x:c r="F3188" s="13" t="n">
        <x:v>354.12</x:v>
      </x:c>
      <x:c r="G3188" s="13" t="n">
        <x:v>40.35</x:v>
      </x:c>
      <x:c r="H3188" s="13" t="n">
        <x:f>F3188-G3188</x:f>
        <x:v>313.77</x:v>
      </x:c>
      <x:c r="I3188" s="13" t="n">
        <x:f>IF(C3188=0,"n.a.",F3188/C3188)</x:f>
        <x:v>177.06</x:v>
      </x:c>
      <x:c r="J3188" s="3"/>
      <x:c r="K3188" s="3"/>
      <x:c r="L3188" s="3"/>
    </x:row>
    <x:row r="3189" ht="22" customHeight="1">
      <x:c r="A3189" s="3"/>
      <x:c r="B3189" s="3" t="str">
        <x:v>16582</x:v>
      </x:c>
      <x:c r="C3189" s="3" t="n">
        <x:v>1</x:v>
      </x:c>
      <x:c r="D3189" s="51" t="n">
        <x:v>40773</x:v>
      </x:c>
      <x:c r="E3189" s="3" t="str">
        <x:v>Una compra</x:v>
      </x:c>
      <x:c r="F3189" s="13" t="n">
        <x:v>313.62</x:v>
      </x:c>
      <x:c r="G3189" s="13" t="n">
        <x:v>0</x:v>
      </x:c>
      <x:c r="H3189" s="13" t="n">
        <x:f>F3189-G3189</x:f>
        <x:v>313.62</x:v>
      </x:c>
      <x:c r="I3189" s="13" t="n">
        <x:f>IF(C3189=0,"n.a.",F3189/C3189)</x:f>
        <x:v>313.62</x:v>
      </x:c>
      <x:c r="J3189" s="3"/>
      <x:c r="K3189" s="3"/>
      <x:c r="L3189" s="3"/>
    </x:row>
    <x:row r="3190" ht="22" customHeight="1">
      <x:c r="A3190" s="3"/>
      <x:c r="B3190" s="3" t="str">
        <x:v>14932</x:v>
      </x:c>
      <x:c r="C3190" s="3" t="n">
        <x:v>1</x:v>
      </x:c>
      <x:c r="D3190" s="51" t="n">
        <x:v>40521</x:v>
      </x:c>
      <x:c r="E3190" s="3" t="str">
        <x:v>Una compra</x:v>
      </x:c>
      <x:c r="F3190" s="13" t="n">
        <x:v>313.53</x:v>
      </x:c>
      <x:c r="G3190" s="13" t="n">
        <x:v>0</x:v>
      </x:c>
      <x:c r="H3190" s="13" t="n">
        <x:f>F3190-G3190</x:f>
        <x:v>313.53</x:v>
      </x:c>
      <x:c r="I3190" s="13" t="n">
        <x:f>IF(C3190=0,"n.a.",F3190/C3190)</x:f>
        <x:v>313.53</x:v>
      </x:c>
      <x:c r="J3190" s="3"/>
      <x:c r="K3190" s="3"/>
      <x:c r="L3190" s="3"/>
    </x:row>
    <x:row r="3191" ht="22" customHeight="1">
      <x:c r="A3191" s="3"/>
      <x:c r="B3191" s="3" t="str">
        <x:v>14729</x:v>
      </x:c>
      <x:c r="C3191" s="3" t="n">
        <x:v>1</x:v>
      </x:c>
      <x:c r="D3191" s="51" t="n">
        <x:v>40513</x:v>
      </x:c>
      <x:c r="E3191" s="3" t="str">
        <x:v>Una compra</x:v>
      </x:c>
      <x:c r="F3191" s="13" t="n">
        <x:v>313.49</x:v>
      </x:c>
      <x:c r="G3191" s="13" t="n">
        <x:v>0</x:v>
      </x:c>
      <x:c r="H3191" s="13" t="n">
        <x:f>F3191-G3191</x:f>
        <x:v>313.49</x:v>
      </x:c>
      <x:c r="I3191" s="13" t="n">
        <x:f>IF(C3191=0,"n.a.",F3191/C3191)</x:f>
        <x:v>313.49</x:v>
      </x:c>
      <x:c r="J3191" s="3"/>
      <x:c r="K3191" s="3"/>
      <x:c r="L3191" s="3"/>
    </x:row>
    <x:row r="3192" ht="22" customHeight="1">
      <x:c r="A3192" s="3"/>
      <x:c r="B3192" s="3" t="str">
        <x:v>15880</x:v>
      </x:c>
      <x:c r="C3192" s="3" t="n">
        <x:v>1</x:v>
      </x:c>
      <x:c r="D3192" s="51" t="n">
        <x:v>40517</x:v>
      </x:c>
      <x:c r="E3192" s="3" t="str">
        <x:v>Una compra</x:v>
      </x:c>
      <x:c r="F3192" s="13" t="n">
        <x:v>343.28</x:v>
      </x:c>
      <x:c r="G3192" s="13" t="n">
        <x:v>30</x:v>
      </x:c>
      <x:c r="H3192" s="13" t="n">
        <x:f>F3192-G3192</x:f>
        <x:v>313.28</x:v>
      </x:c>
      <x:c r="I3192" s="13" t="n">
        <x:f>IF(C3192=0,"n.a.",F3192/C3192)</x:f>
        <x:v>343.28</x:v>
      </x:c>
      <x:c r="J3192" s="3"/>
      <x:c r="K3192" s="3"/>
      <x:c r="L3192" s="3"/>
    </x:row>
    <x:row r="3193" ht="22" customHeight="1">
      <x:c r="A3193" s="3"/>
      <x:c r="B3193" s="3" t="str">
        <x:v>13845</x:v>
      </x:c>
      <x:c r="C3193" s="3" t="n">
        <x:v>1</x:v>
      </x:c>
      <x:c r="D3193" s="51" t="n">
        <x:v>40822</x:v>
      </x:c>
      <x:c r="E3193" s="3" t="str">
        <x:v>Una compra</x:v>
      </x:c>
      <x:c r="F3193" s="13" t="n">
        <x:v>312.98</x:v>
      </x:c>
      <x:c r="G3193" s="13" t="n">
        <x:v>0</x:v>
      </x:c>
      <x:c r="H3193" s="13" t="n">
        <x:f>F3193-G3193</x:f>
        <x:v>312.98</x:v>
      </x:c>
      <x:c r="I3193" s="13" t="n">
        <x:f>IF(C3193=0,"n.a.",F3193/C3193)</x:f>
        <x:v>312.98</x:v>
      </x:c>
      <x:c r="J3193" s="3"/>
      <x:c r="K3193" s="3"/>
      <x:c r="L3193" s="3"/>
    </x:row>
    <x:row r="3194" ht="22" customHeight="1">
      <x:c r="A3194" s="3"/>
      <x:c r="B3194" s="3" t="str">
        <x:v>15318</x:v>
      </x:c>
      <x:c r="C3194" s="3" t="n">
        <x:v>1</x:v>
      </x:c>
      <x:c r="D3194" s="51" t="n">
        <x:v>40883</x:v>
      </x:c>
      <x:c r="E3194" s="3" t="str">
        <x:v>Una compra</x:v>
      </x:c>
      <x:c r="F3194" s="13" t="n">
        <x:v>312.62</x:v>
      </x:c>
      <x:c r="G3194" s="13" t="n">
        <x:v>0</x:v>
      </x:c>
      <x:c r="H3194" s="13" t="n">
        <x:f>F3194-G3194</x:f>
        <x:v>312.62</x:v>
      </x:c>
      <x:c r="I3194" s="13" t="n">
        <x:f>IF(C3194=0,"n.a.",F3194/C3194)</x:f>
        <x:v>312.62</x:v>
      </x:c>
      <x:c r="J3194" s="3"/>
      <x:c r="K3194" s="3"/>
      <x:c r="L3194" s="3"/>
    </x:row>
    <x:row r="3195" ht="22" customHeight="1">
      <x:c r="A3195" s="3"/>
      <x:c r="B3195" s="3" t="str">
        <x:v>16739</x:v>
      </x:c>
      <x:c r="C3195" s="3" t="n">
        <x:v>1</x:v>
      </x:c>
      <x:c r="D3195" s="51" t="n">
        <x:v>40710</x:v>
      </x:c>
      <x:c r="E3195" s="3" t="str">
        <x:v>Una compra</x:v>
      </x:c>
      <x:c r="F3195" s="13" t="n">
        <x:v>323</x:v>
      </x:c>
      <x:c r="G3195" s="13" t="n">
        <x:v>10.45</x:v>
      </x:c>
      <x:c r="H3195" s="13" t="n">
        <x:f>F3195-G3195</x:f>
        <x:v>312.55</x:v>
      </x:c>
      <x:c r="I3195" s="13" t="n">
        <x:f>IF(C3195=0,"n.a.",F3195/C3195)</x:f>
        <x:v>323</x:v>
      </x:c>
      <x:c r="J3195" s="3"/>
      <x:c r="K3195" s="3"/>
      <x:c r="L3195" s="3"/>
    </x:row>
    <x:row r="3196" ht="22" customHeight="1">
      <x:c r="A3196" s="3"/>
      <x:c r="B3196" s="3" t="str">
        <x:v>12834</x:v>
      </x:c>
      <x:c r="C3196" s="3" t="n">
        <x:v>1</x:v>
      </x:c>
      <x:c r="D3196" s="51" t="n">
        <x:v>40604</x:v>
      </x:c>
      <x:c r="E3196" s="3" t="str">
        <x:v>Una compra</x:v>
      </x:c>
      <x:c r="F3196" s="13" t="n">
        <x:v>312.38</x:v>
      </x:c>
      <x:c r="G3196" s="13" t="n">
        <x:v>0</x:v>
      </x:c>
      <x:c r="H3196" s="13" t="n">
        <x:f>F3196-G3196</x:f>
        <x:v>312.38</x:v>
      </x:c>
      <x:c r="I3196" s="13" t="n">
        <x:f>IF(C3196=0,"n.a.",F3196/C3196)</x:f>
        <x:v>312.38</x:v>
      </x:c>
      <x:c r="J3196" s="3"/>
      <x:c r="K3196" s="3"/>
      <x:c r="L3196" s="3"/>
    </x:row>
    <x:row r="3197" ht="22" customHeight="1">
      <x:c r="A3197" s="3"/>
      <x:c r="B3197" s="3" t="str">
        <x:v>17362</x:v>
      </x:c>
      <x:c r="C3197" s="3" t="n">
        <x:v>2</x:v>
      </x:c>
      <x:c r="D3197" s="51" t="n">
        <x:v>40647</x:v>
      </x:c>
      <x:c r="E3197" s="3" t="str">
        <x:v>Recurrente</x:v>
      </x:c>
      <x:c r="F3197" s="13" t="n">
        <x:v>312.23</x:v>
      </x:c>
      <x:c r="G3197" s="13" t="n">
        <x:v>0</x:v>
      </x:c>
      <x:c r="H3197" s="13" t="n">
        <x:f>F3197-G3197</x:f>
        <x:v>312.23</x:v>
      </x:c>
      <x:c r="I3197" s="13" t="n">
        <x:f>IF(C3197=0,"n.a.",F3197/C3197)</x:f>
        <x:v>156.115</x:v>
      </x:c>
      <x:c r="J3197" s="3"/>
      <x:c r="K3197" s="3"/>
      <x:c r="L3197" s="3"/>
    </x:row>
    <x:row r="3198" ht="22" customHeight="1">
      <x:c r="A3198" s="3"/>
      <x:c r="B3198" s="3" t="str">
        <x:v>17070</x:v>
      </x:c>
      <x:c r="C3198" s="3" t="n">
        <x:v>1</x:v>
      </x:c>
      <x:c r="D3198" s="51" t="n">
        <x:v>40772</x:v>
      </x:c>
      <x:c r="E3198" s="3" t="str">
        <x:v>Una compra</x:v>
      </x:c>
      <x:c r="F3198" s="13" t="n">
        <x:v>312.14</x:v>
      </x:c>
      <x:c r="G3198" s="13" t="n">
        <x:v>0</x:v>
      </x:c>
      <x:c r="H3198" s="13" t="n">
        <x:f>F3198-G3198</x:f>
        <x:v>312.14</x:v>
      </x:c>
      <x:c r="I3198" s="13" t="n">
        <x:f>IF(C3198=0,"n.a.",F3198/C3198)</x:f>
        <x:v>312.14</x:v>
      </x:c>
      <x:c r="J3198" s="3"/>
      <x:c r="K3198" s="3"/>
      <x:c r="L3198" s="3"/>
    </x:row>
    <x:row r="3199" ht="22" customHeight="1">
      <x:c r="A3199" s="3"/>
      <x:c r="B3199" s="3" t="str">
        <x:v>16450</x:v>
      </x:c>
      <x:c r="C3199" s="3" t="n">
        <x:v>1</x:v>
      </x:c>
      <x:c r="D3199" s="51" t="n">
        <x:v>40737</x:v>
      </x:c>
      <x:c r="E3199" s="3" t="str">
        <x:v>Una compra</x:v>
      </x:c>
      <x:c r="F3199" s="13" t="n">
        <x:v>311.92</x:v>
      </x:c>
      <x:c r="G3199" s="13" t="n">
        <x:v>0</x:v>
      </x:c>
      <x:c r="H3199" s="13" t="n">
        <x:f>F3199-G3199</x:f>
        <x:v>311.92</x:v>
      </x:c>
      <x:c r="I3199" s="13" t="n">
        <x:f>IF(C3199=0,"n.a.",F3199/C3199)</x:f>
        <x:v>311.92</x:v>
      </x:c>
      <x:c r="J3199" s="3"/>
      <x:c r="K3199" s="3"/>
      <x:c r="L3199" s="3"/>
    </x:row>
    <x:row r="3200" ht="22" customHeight="1">
      <x:c r="A3200" s="3"/>
      <x:c r="B3200" s="3" t="str">
        <x:v>14142</x:v>
      </x:c>
      <x:c r="C3200" s="3" t="n">
        <x:v>1</x:v>
      </x:c>
      <x:c r="D3200" s="51" t="n">
        <x:v>40513</x:v>
      </x:c>
      <x:c r="E3200" s="3" t="str">
        <x:v>Una compra</x:v>
      </x:c>
      <x:c r="F3200" s="13" t="n">
        <x:v>311.81</x:v>
      </x:c>
      <x:c r="G3200" s="13" t="n">
        <x:v>0</x:v>
      </x:c>
      <x:c r="H3200" s="13" t="n">
        <x:f>F3200-G3200</x:f>
        <x:v>311.81</x:v>
      </x:c>
      <x:c r="I3200" s="13" t="n">
        <x:f>IF(C3200=0,"n.a.",F3200/C3200)</x:f>
        <x:v>311.81</x:v>
      </x:c>
      <x:c r="J3200" s="3"/>
      <x:c r="K3200" s="3"/>
      <x:c r="L3200" s="3"/>
    </x:row>
    <x:row r="3201" ht="22" customHeight="1">
      <x:c r="A3201" s="3"/>
      <x:c r="B3201" s="3" t="str">
        <x:v>15326</x:v>
      </x:c>
      <x:c r="C3201" s="3" t="n">
        <x:v>1</x:v>
      </x:c>
      <x:c r="D3201" s="51" t="n">
        <x:v>40553</x:v>
      </x:c>
      <x:c r="E3201" s="3" t="str">
        <x:v>Una compra</x:v>
      </x:c>
      <x:c r="F3201" s="13" t="n">
        <x:v>311.71</x:v>
      </x:c>
      <x:c r="G3201" s="13" t="n">
        <x:v>0</x:v>
      </x:c>
      <x:c r="H3201" s="13" t="n">
        <x:f>F3201-G3201</x:f>
        <x:v>311.71</x:v>
      </x:c>
      <x:c r="I3201" s="13" t="n">
        <x:f>IF(C3201=0,"n.a.",F3201/C3201)</x:f>
        <x:v>311.71</x:v>
      </x:c>
      <x:c r="J3201" s="3"/>
      <x:c r="K3201" s="3"/>
      <x:c r="L3201" s="3"/>
    </x:row>
    <x:row r="3202" ht="22" customHeight="1">
      <x:c r="A3202" s="3"/>
      <x:c r="B3202" s="3" t="str">
        <x:v>14951</x:v>
      </x:c>
      <x:c r="C3202" s="3" t="n">
        <x:v>1</x:v>
      </x:c>
      <x:c r="D3202" s="51" t="n">
        <x:v>40807</x:v>
      </x:c>
      <x:c r="E3202" s="3" t="str">
        <x:v>Una compra</x:v>
      </x:c>
      <x:c r="F3202" s="13" t="n">
        <x:v>311.69</x:v>
      </x:c>
      <x:c r="G3202" s="13" t="n">
        <x:v>0</x:v>
      </x:c>
      <x:c r="H3202" s="13" t="n">
        <x:f>F3202-G3202</x:f>
        <x:v>311.69</x:v>
      </x:c>
      <x:c r="I3202" s="13" t="n">
        <x:f>IF(C3202=0,"n.a.",F3202/C3202)</x:f>
        <x:v>311.69</x:v>
      </x:c>
      <x:c r="J3202" s="3"/>
      <x:c r="K3202" s="3"/>
      <x:c r="L3202" s="3"/>
    </x:row>
    <x:row r="3203" ht="22" customHeight="1">
      <x:c r="A3203" s="3"/>
      <x:c r="B3203" s="3" t="str">
        <x:v>14327</x:v>
      </x:c>
      <x:c r="C3203" s="3" t="n">
        <x:v>1</x:v>
      </x:c>
      <x:c r="D3203" s="51" t="n">
        <x:v>40723</x:v>
      </x:c>
      <x:c r="E3203" s="3" t="str">
        <x:v>Una compra</x:v>
      </x:c>
      <x:c r="F3203" s="13" t="n">
        <x:v>311.65</x:v>
      </x:c>
      <x:c r="G3203" s="13" t="n">
        <x:v>0</x:v>
      </x:c>
      <x:c r="H3203" s="13" t="n">
        <x:f>F3203-G3203</x:f>
        <x:v>311.65</x:v>
      </x:c>
      <x:c r="I3203" s="13" t="n">
        <x:f>IF(C3203=0,"n.a.",F3203/C3203)</x:f>
        <x:v>311.65</x:v>
      </x:c>
      <x:c r="J3203" s="3"/>
      <x:c r="K3203" s="3"/>
      <x:c r="L3203" s="3"/>
    </x:row>
    <x:row r="3204" ht="22" customHeight="1">
      <x:c r="A3204" s="3"/>
      <x:c r="B3204" s="3" t="str">
        <x:v>13990</x:v>
      </x:c>
      <x:c r="C3204" s="3" t="n">
        <x:v>1</x:v>
      </x:c>
      <x:c r="D3204" s="51" t="n">
        <x:v>40673</x:v>
      </x:c>
      <x:c r="E3204" s="3" t="str">
        <x:v>Una compra</x:v>
      </x:c>
      <x:c r="F3204" s="13" t="n">
        <x:v>311.3</x:v>
      </x:c>
      <x:c r="G3204" s="13" t="n">
        <x:v>0</x:v>
      </x:c>
      <x:c r="H3204" s="13" t="n">
        <x:f>F3204-G3204</x:f>
        <x:v>311.3</x:v>
      </x:c>
      <x:c r="I3204" s="13" t="n">
        <x:f>IF(C3204=0,"n.a.",F3204/C3204)</x:f>
        <x:v>311.3</x:v>
      </x:c>
      <x:c r="J3204" s="3"/>
      <x:c r="K3204" s="3"/>
      <x:c r="L3204" s="3"/>
    </x:row>
    <x:row r="3205" ht="22" customHeight="1">
      <x:c r="A3205" s="3"/>
      <x:c r="B3205" s="3" t="str">
        <x:v>17854</x:v>
      </x:c>
      <x:c r="C3205" s="3" t="n">
        <x:v>2</x:v>
      </x:c>
      <x:c r="D3205" s="51" t="n">
        <x:v>40701</x:v>
      </x:c>
      <x:c r="E3205" s="3" t="str">
        <x:v>Recurrente</x:v>
      </x:c>
      <x:c r="F3205" s="13" t="n">
        <x:v>311.26</x:v>
      </x:c>
      <x:c r="G3205" s="13" t="n">
        <x:v>0</x:v>
      </x:c>
      <x:c r="H3205" s="13" t="n">
        <x:f>F3205-G3205</x:f>
        <x:v>311.26</x:v>
      </x:c>
      <x:c r="I3205" s="13" t="n">
        <x:f>IF(C3205=0,"n.a.",F3205/C3205)</x:f>
        <x:v>155.63</x:v>
      </x:c>
      <x:c r="J3205" s="3"/>
      <x:c r="K3205" s="3"/>
      <x:c r="L3205" s="3"/>
    </x:row>
    <x:row r="3206" ht="22" customHeight="1">
      <x:c r="A3206" s="3"/>
      <x:c r="B3206" s="3" t="str">
        <x:v>13897</x:v>
      </x:c>
      <x:c r="C3206" s="3" t="n">
        <x:v>1</x:v>
      </x:c>
      <x:c r="D3206" s="51" t="n">
        <x:v>40836</x:v>
      </x:c>
      <x:c r="E3206" s="3" t="str">
        <x:v>Una compra</x:v>
      </x:c>
      <x:c r="F3206" s="13" t="n">
        <x:v>311.16</x:v>
      </x:c>
      <x:c r="G3206" s="13" t="n">
        <x:v>0</x:v>
      </x:c>
      <x:c r="H3206" s="13" t="n">
        <x:f>F3206-G3206</x:f>
        <x:v>311.16</x:v>
      </x:c>
      <x:c r="I3206" s="13" t="n">
        <x:f>IF(C3206=0,"n.a.",F3206/C3206)</x:f>
        <x:v>311.16</x:v>
      </x:c>
      <x:c r="J3206" s="3"/>
      <x:c r="K3206" s="3"/>
      <x:c r="L3206" s="3"/>
    </x:row>
    <x:row r="3207" ht="22" customHeight="1">
      <x:c r="A3207" s="3"/>
      <x:c r="B3207" s="3" t="str">
        <x:v>17266</x:v>
      </x:c>
      <x:c r="C3207" s="3" t="n">
        <x:v>3</x:v>
      </x:c>
      <x:c r="D3207" s="51" t="n">
        <x:v>40884</x:v>
      </x:c>
      <x:c r="E3207" s="3" t="str">
        <x:v>Recurrente</x:v>
      </x:c>
      <x:c r="F3207" s="13" t="n">
        <x:v>310.64</x:v>
      </x:c>
      <x:c r="G3207" s="13" t="n">
        <x:v>0</x:v>
      </x:c>
      <x:c r="H3207" s="13" t="n">
        <x:f>F3207-G3207</x:f>
        <x:v>310.64</x:v>
      </x:c>
      <x:c r="I3207" s="13" t="n">
        <x:f>IF(C3207=0,"n.a.",F3207/C3207)</x:f>
        <x:v>103.54666666666667</x:v>
      </x:c>
      <x:c r="J3207" s="3"/>
      <x:c r="K3207" s="3"/>
      <x:c r="L3207" s="3"/>
    </x:row>
    <x:row r="3208" ht="22" customHeight="1">
      <x:c r="A3208" s="3"/>
      <x:c r="B3208" s="3" t="str">
        <x:v>15185</x:v>
      </x:c>
      <x:c r="C3208" s="3" t="n">
        <x:v>1</x:v>
      </x:c>
      <x:c r="D3208" s="51" t="n">
        <x:v>40816</x:v>
      </x:c>
      <x:c r="E3208" s="3" t="str">
        <x:v>Una compra</x:v>
      </x:c>
      <x:c r="F3208" s="13" t="n">
        <x:v>310.62</x:v>
      </x:c>
      <x:c r="G3208" s="13" t="n">
        <x:v>0</x:v>
      </x:c>
      <x:c r="H3208" s="13" t="n">
        <x:f>F3208-G3208</x:f>
        <x:v>310.62</x:v>
      </x:c>
      <x:c r="I3208" s="13" t="n">
        <x:f>IF(C3208=0,"n.a.",F3208/C3208)</x:f>
        <x:v>310.62</x:v>
      </x:c>
      <x:c r="J3208" s="3"/>
      <x:c r="K3208" s="3"/>
      <x:c r="L3208" s="3"/>
    </x:row>
    <x:row r="3209" ht="22" customHeight="1">
      <x:c r="A3209" s="3"/>
      <x:c r="B3209" s="3" t="str">
        <x:v>15224</x:v>
      </x:c>
      <x:c r="C3209" s="3" t="n">
        <x:v>2</x:v>
      </x:c>
      <x:c r="D3209" s="51" t="n">
        <x:v>40528</x:v>
      </x:c>
      <x:c r="E3209" s="3" t="str">
        <x:v>Recurrente</x:v>
      </x:c>
      <x:c r="F3209" s="13" t="n">
        <x:v>322.08</x:v>
      </x:c>
      <x:c r="G3209" s="13" t="n">
        <x:v>11.6</x:v>
      </x:c>
      <x:c r="H3209" s="13" t="n">
        <x:f>F3209-G3209</x:f>
        <x:v>310.47999999999996</x:v>
      </x:c>
      <x:c r="I3209" s="13" t="n">
        <x:f>IF(C3209=0,"n.a.",F3209/C3209)</x:f>
        <x:v>161.04</x:v>
      </x:c>
      <x:c r="J3209" s="3"/>
      <x:c r="K3209" s="3"/>
      <x:c r="L3209" s="3"/>
    </x:row>
    <x:row r="3210" ht="22" customHeight="1">
      <x:c r="A3210" s="3"/>
      <x:c r="B3210" s="3" t="str">
        <x:v>14924</x:v>
      </x:c>
      <x:c r="C3210" s="3" t="n">
        <x:v>1</x:v>
      </x:c>
      <x:c r="D3210" s="51" t="n">
        <x:v>40641</x:v>
      </x:c>
      <x:c r="E3210" s="3" t="str">
        <x:v>Una compra</x:v>
      </x:c>
      <x:c r="F3210" s="13" t="n">
        <x:v>310.05</x:v>
      </x:c>
      <x:c r="G3210" s="13" t="n">
        <x:v>0</x:v>
      </x:c>
      <x:c r="H3210" s="13" t="n">
        <x:f>F3210-G3210</x:f>
        <x:v>310.05</x:v>
      </x:c>
      <x:c r="I3210" s="13" t="n">
        <x:f>IF(C3210=0,"n.a.",F3210/C3210)</x:f>
        <x:v>310.05</x:v>
      </x:c>
      <x:c r="J3210" s="3"/>
      <x:c r="K3210" s="3"/>
      <x:c r="L3210" s="3"/>
    </x:row>
    <x:row r="3211" ht="22" customHeight="1">
      <x:c r="A3211" s="3"/>
      <x:c r="B3211" s="3" t="str">
        <x:v>15101</x:v>
      </x:c>
      <x:c r="C3211" s="3" t="n">
        <x:v>2</x:v>
      </x:c>
      <x:c r="D3211" s="51" t="n">
        <x:v>40878</x:v>
      </x:c>
      <x:c r="E3211" s="3" t="str">
        <x:v>Recurrente</x:v>
      </x:c>
      <x:c r="F3211" s="13" t="n">
        <x:v>317.53</x:v>
      </x:c>
      <x:c r="G3211" s="13" t="n">
        <x:v>7.5</x:v>
      </x:c>
      <x:c r="H3211" s="13" t="n">
        <x:f>F3211-G3211</x:f>
        <x:v>310.03</x:v>
      </x:c>
      <x:c r="I3211" s="13" t="n">
        <x:f>IF(C3211=0,"n.a.",F3211/C3211)</x:f>
        <x:v>158.765</x:v>
      </x:c>
      <x:c r="J3211" s="3"/>
      <x:c r="K3211" s="3"/>
      <x:c r="L3211" s="3"/>
    </x:row>
    <x:row r="3212" ht="22" customHeight="1">
      <x:c r="A3212" s="3"/>
      <x:c r="B3212" s="3" t="str">
        <x:v>15661</x:v>
      </x:c>
      <x:c r="C3212" s="3" t="n">
        <x:v>2</x:v>
      </x:c>
      <x:c r="D3212" s="51" t="n">
        <x:v>40569</x:v>
      </x:c>
      <x:c r="E3212" s="3" t="str">
        <x:v>Recurrente</x:v>
      </x:c>
      <x:c r="F3212" s="13" t="n">
        <x:v>309.8</x:v>
      </x:c>
      <x:c r="G3212" s="13" t="n">
        <x:v>0</x:v>
      </x:c>
      <x:c r="H3212" s="13" t="n">
        <x:f>F3212-G3212</x:f>
        <x:v>309.8</x:v>
      </x:c>
      <x:c r="I3212" s="13" t="n">
        <x:f>IF(C3212=0,"n.a.",F3212/C3212)</x:f>
        <x:v>154.9</x:v>
      </x:c>
      <x:c r="J3212" s="3"/>
      <x:c r="K3212" s="3"/>
      <x:c r="L3212" s="3"/>
    </x:row>
    <x:row r="3213" ht="22" customHeight="1">
      <x:c r="A3213" s="3"/>
      <x:c r="B3213" s="3" t="str">
        <x:v>15699</x:v>
      </x:c>
      <x:c r="C3213" s="3" t="n">
        <x:v>1</x:v>
      </x:c>
      <x:c r="D3213" s="51" t="n">
        <x:v>40869</x:v>
      </x:c>
      <x:c r="E3213" s="3" t="str">
        <x:v>Una compra</x:v>
      </x:c>
      <x:c r="F3213" s="13" t="n">
        <x:v>309.65</x:v>
      </x:c>
      <x:c r="G3213" s="13" t="n">
        <x:v>0</x:v>
      </x:c>
      <x:c r="H3213" s="13" t="n">
        <x:f>F3213-G3213</x:f>
        <x:v>309.65</x:v>
      </x:c>
      <x:c r="I3213" s="13" t="n">
        <x:f>IF(C3213=0,"n.a.",F3213/C3213)</x:f>
        <x:v>309.65</x:v>
      </x:c>
      <x:c r="J3213" s="3"/>
      <x:c r="K3213" s="3"/>
      <x:c r="L3213" s="3"/>
    </x:row>
    <x:row r="3214" ht="22" customHeight="1">
      <x:c r="A3214" s="3"/>
      <x:c r="B3214" s="3" t="str">
        <x:v>14847</x:v>
      </x:c>
      <x:c r="C3214" s="3" t="n">
        <x:v>1</x:v>
      </x:c>
      <x:c r="D3214" s="51" t="n">
        <x:v>40738</x:v>
      </x:c>
      <x:c r="E3214" s="3" t="str">
        <x:v>Una compra</x:v>
      </x:c>
      <x:c r="F3214" s="13" t="n">
        <x:v>309.4</x:v>
      </x:c>
      <x:c r="G3214" s="13" t="n">
        <x:v>0</x:v>
      </x:c>
      <x:c r="H3214" s="13" t="n">
        <x:f>F3214-G3214</x:f>
        <x:v>309.4</x:v>
      </x:c>
      <x:c r="I3214" s="13" t="n">
        <x:f>IF(C3214=0,"n.a.",F3214/C3214)</x:f>
        <x:v>309.4</x:v>
      </x:c>
      <x:c r="J3214" s="3"/>
      <x:c r="K3214" s="3"/>
      <x:c r="L3214" s="3"/>
    </x:row>
    <x:row r="3215" ht="22" customHeight="1">
      <x:c r="A3215" s="3"/>
      <x:c r="B3215" s="3" t="str">
        <x:v>17604</x:v>
      </x:c>
      <x:c r="C3215" s="3" t="n">
        <x:v>2</x:v>
      </x:c>
      <x:c r="D3215" s="51" t="n">
        <x:v>40669</x:v>
      </x:c>
      <x:c r="E3215" s="3" t="str">
        <x:v>Recurrente</x:v>
      </x:c>
      <x:c r="F3215" s="13" t="n">
        <x:v>309.36</x:v>
      </x:c>
      <x:c r="G3215" s="13" t="n">
        <x:v>0</x:v>
      </x:c>
      <x:c r="H3215" s="13" t="n">
        <x:f>F3215-G3215</x:f>
        <x:v>309.36</x:v>
      </x:c>
      <x:c r="I3215" s="13" t="n">
        <x:f>IF(C3215=0,"n.a.",F3215/C3215)</x:f>
        <x:v>154.68</x:v>
      </x:c>
      <x:c r="J3215" s="3"/>
      <x:c r="K3215" s="3"/>
      <x:c r="L3215" s="3"/>
    </x:row>
    <x:row r="3216" ht="22" customHeight="1">
      <x:c r="A3216" s="3"/>
      <x:c r="B3216" s="3" t="str">
        <x:v>12884</x:v>
      </x:c>
      <x:c r="C3216" s="3" t="n">
        <x:v>1</x:v>
      </x:c>
      <x:c r="D3216" s="51" t="n">
        <x:v>40798</x:v>
      </x:c>
      <x:c r="E3216" s="3" t="str">
        <x:v>Una compra</x:v>
      </x:c>
      <x:c r="F3216" s="13" t="n">
        <x:v>309.05</x:v>
      </x:c>
      <x:c r="G3216" s="13" t="n">
        <x:v>0</x:v>
      </x:c>
      <x:c r="H3216" s="13" t="n">
        <x:f>F3216-G3216</x:f>
        <x:v>309.05</x:v>
      </x:c>
      <x:c r="I3216" s="13" t="n">
        <x:f>IF(C3216=0,"n.a.",F3216/C3216)</x:f>
        <x:v>309.05</x:v>
      </x:c>
      <x:c r="J3216" s="3"/>
      <x:c r="K3216" s="3"/>
      <x:c r="L3216" s="3"/>
    </x:row>
    <x:row r="3217" ht="22" customHeight="1">
      <x:c r="A3217" s="3"/>
      <x:c r="B3217" s="3" t="str">
        <x:v>13787</x:v>
      </x:c>
      <x:c r="C3217" s="3" t="n">
        <x:v>2</x:v>
      </x:c>
      <x:c r="D3217" s="51" t="n">
        <x:v>40811</x:v>
      </x:c>
      <x:c r="E3217" s="3" t="str">
        <x:v>Recurrente</x:v>
      </x:c>
      <x:c r="F3217" s="13" t="n">
        <x:v>309.04</x:v>
      </x:c>
      <x:c r="G3217" s="13" t="n">
        <x:v>0</x:v>
      </x:c>
      <x:c r="H3217" s="13" t="n">
        <x:f>F3217-G3217</x:f>
        <x:v>309.04</x:v>
      </x:c>
      <x:c r="I3217" s="13" t="n">
        <x:f>IF(C3217=0,"n.a.",F3217/C3217)</x:f>
        <x:v>154.52</x:v>
      </x:c>
      <x:c r="J3217" s="3"/>
      <x:c r="K3217" s="3"/>
      <x:c r="L3217" s="3"/>
    </x:row>
    <x:row r="3218" ht="22" customHeight="1">
      <x:c r="A3218" s="3"/>
      <x:c r="B3218" s="3" t="str">
        <x:v>15010</x:v>
      </x:c>
      <x:c r="C3218" s="3" t="n">
        <x:v>1</x:v>
      </x:c>
      <x:c r="D3218" s="51" t="n">
        <x:v>40851</x:v>
      </x:c>
      <x:c r="E3218" s="3" t="str">
        <x:v>Una compra</x:v>
      </x:c>
      <x:c r="F3218" s="13" t="n">
        <x:v>308.94</x:v>
      </x:c>
      <x:c r="G3218" s="13" t="n">
        <x:v>0</x:v>
      </x:c>
      <x:c r="H3218" s="13" t="n">
        <x:f>F3218-G3218</x:f>
        <x:v>308.94</x:v>
      </x:c>
      <x:c r="I3218" s="13" t="n">
        <x:f>IF(C3218=0,"n.a.",F3218/C3218)</x:f>
        <x:v>308.94</x:v>
      </x:c>
      <x:c r="J3218" s="3"/>
      <x:c r="K3218" s="3"/>
      <x:c r="L3218" s="3"/>
    </x:row>
    <x:row r="3219" ht="22" customHeight="1">
      <x:c r="A3219" s="3"/>
      <x:c r="B3219" s="3" t="str">
        <x:v>13699</x:v>
      </x:c>
      <x:c r="C3219" s="3" t="n">
        <x:v>1</x:v>
      </x:c>
      <x:c r="D3219" s="51" t="n">
        <x:v>40731</x:v>
      </x:c>
      <x:c r="E3219" s="3" t="str">
        <x:v>Una compra</x:v>
      </x:c>
      <x:c r="F3219" s="13" t="n">
        <x:v>308.58</x:v>
      </x:c>
      <x:c r="G3219" s="13" t="n">
        <x:v>0</x:v>
      </x:c>
      <x:c r="H3219" s="13" t="n">
        <x:f>F3219-G3219</x:f>
        <x:v>308.58</x:v>
      </x:c>
      <x:c r="I3219" s="13" t="n">
        <x:f>IF(C3219=0,"n.a.",F3219/C3219)</x:f>
        <x:v>308.58</x:v>
      </x:c>
      <x:c r="J3219" s="3"/>
      <x:c r="K3219" s="3"/>
      <x:c r="L3219" s="3"/>
    </x:row>
    <x:row r="3220" ht="22" customHeight="1">
      <x:c r="A3220" s="3"/>
      <x:c r="B3220" s="3" t="str">
        <x:v>17510</x:v>
      </x:c>
      <x:c r="C3220" s="3" t="n">
        <x:v>1</x:v>
      </x:c>
      <x:c r="D3220" s="51" t="n">
        <x:v>40862</x:v>
      </x:c>
      <x:c r="E3220" s="3" t="str">
        <x:v>Una compra</x:v>
      </x:c>
      <x:c r="F3220" s="13" t="n">
        <x:v>308.48</x:v>
      </x:c>
      <x:c r="G3220" s="13" t="n">
        <x:v>0</x:v>
      </x:c>
      <x:c r="H3220" s="13" t="n">
        <x:f>F3220-G3220</x:f>
        <x:v>308.48</x:v>
      </x:c>
      <x:c r="I3220" s="13" t="n">
        <x:f>IF(C3220=0,"n.a.",F3220/C3220)</x:f>
        <x:v>308.48</x:v>
      </x:c>
      <x:c r="J3220" s="3"/>
      <x:c r="K3220" s="3"/>
      <x:c r="L3220" s="3"/>
    </x:row>
    <x:row r="3221" ht="22" customHeight="1">
      <x:c r="A3221" s="3"/>
      <x:c r="B3221" s="3" t="str">
        <x:v>16227</x:v>
      </x:c>
      <x:c r="C3221" s="3" t="n">
        <x:v>1</x:v>
      </x:c>
      <x:c r="D3221" s="51" t="n">
        <x:v>40661</x:v>
      </x:c>
      <x:c r="E3221" s="3" t="str">
        <x:v>Una compra</x:v>
      </x:c>
      <x:c r="F3221" s="13" t="n">
        <x:v>314.22</x:v>
      </x:c>
      <x:c r="G3221" s="13" t="n">
        <x:v>5.9</x:v>
      </x:c>
      <x:c r="H3221" s="13" t="n">
        <x:f>F3221-G3221</x:f>
        <x:v>308.32000000000005</x:v>
      </x:c>
      <x:c r="I3221" s="13" t="n">
        <x:f>IF(C3221=0,"n.a.",F3221/C3221)</x:f>
        <x:v>314.22</x:v>
      </x:c>
      <x:c r="J3221" s="3"/>
      <x:c r="K3221" s="3"/>
      <x:c r="L3221" s="3"/>
    </x:row>
    <x:row r="3222" ht="22" customHeight="1">
      <x:c r="A3222" s="3"/>
      <x:c r="B3222" s="3" t="str">
        <x:v>14206</x:v>
      </x:c>
      <x:c r="C3222" s="3" t="n">
        <x:v>1</x:v>
      </x:c>
      <x:c r="D3222" s="51" t="n">
        <x:v>40647</x:v>
      </x:c>
      <x:c r="E3222" s="3" t="str">
        <x:v>Una compra</x:v>
      </x:c>
      <x:c r="F3222" s="13" t="n">
        <x:v>328.16</x:v>
      </x:c>
      <x:c r="G3222" s="13" t="n">
        <x:v>19.9</x:v>
      </x:c>
      <x:c r="H3222" s="13" t="n">
        <x:f>F3222-G3222</x:f>
        <x:v>308.26000000000005</x:v>
      </x:c>
      <x:c r="I3222" s="13" t="n">
        <x:f>IF(C3222=0,"n.a.",F3222/C3222)</x:f>
        <x:v>328.16</x:v>
      </x:c>
      <x:c r="J3222" s="3"/>
      <x:c r="K3222" s="3"/>
      <x:c r="L3222" s="3"/>
    </x:row>
    <x:row r="3223" ht="22" customHeight="1">
      <x:c r="A3223" s="3"/>
      <x:c r="B3223" s="3" t="str">
        <x:v>16123</x:v>
      </x:c>
      <x:c r="C3223" s="3" t="n">
        <x:v>1</x:v>
      </x:c>
      <x:c r="D3223" s="51" t="n">
        <x:v>40835</x:v>
      </x:c>
      <x:c r="E3223" s="3" t="str">
        <x:v>Una compra</x:v>
      </x:c>
      <x:c r="F3223" s="13" t="n">
        <x:v>307.78</x:v>
      </x:c>
      <x:c r="G3223" s="13" t="n">
        <x:v>0</x:v>
      </x:c>
      <x:c r="H3223" s="13" t="n">
        <x:f>F3223-G3223</x:f>
        <x:v>307.78</x:v>
      </x:c>
      <x:c r="I3223" s="13" t="n">
        <x:f>IF(C3223=0,"n.a.",F3223/C3223)</x:f>
        <x:v>307.78</x:v>
      </x:c>
      <x:c r="J3223" s="3"/>
      <x:c r="K3223" s="3"/>
      <x:c r="L3223" s="3"/>
    </x:row>
    <x:row r="3224" ht="22" customHeight="1">
      <x:c r="A3224" s="3"/>
      <x:c r="B3224" s="3" t="str">
        <x:v>13529</x:v>
      </x:c>
      <x:c r="C3224" s="3" t="n">
        <x:v>2</x:v>
      </x:c>
      <x:c r="D3224" s="51" t="n">
        <x:v>40808</x:v>
      </x:c>
      <x:c r="E3224" s="3" t="str">
        <x:v>Recurrente</x:v>
      </x:c>
      <x:c r="F3224" s="13" t="n">
        <x:v>307.76</x:v>
      </x:c>
      <x:c r="G3224" s="13" t="n">
        <x:v>0</x:v>
      </x:c>
      <x:c r="H3224" s="13" t="n">
        <x:f>F3224-G3224</x:f>
        <x:v>307.76</x:v>
      </x:c>
      <x:c r="I3224" s="13" t="n">
        <x:f>IF(C3224=0,"n.a.",F3224/C3224)</x:f>
        <x:v>153.88</x:v>
      </x:c>
      <x:c r="J3224" s="3"/>
      <x:c r="K3224" s="3"/>
      <x:c r="L3224" s="3"/>
    </x:row>
    <x:row r="3225" ht="22" customHeight="1">
      <x:c r="A3225" s="3"/>
      <x:c r="B3225" s="3" t="str">
        <x:v>13395</x:v>
      </x:c>
      <x:c r="C3225" s="3" t="n">
        <x:v>1</x:v>
      </x:c>
      <x:c r="D3225" s="51" t="n">
        <x:v>40701</x:v>
      </x:c>
      <x:c r="E3225" s="3" t="str">
        <x:v>Una compra</x:v>
      </x:c>
      <x:c r="F3225" s="13" t="n">
        <x:v>307.72</x:v>
      </x:c>
      <x:c r="G3225" s="13" t="n">
        <x:v>0</x:v>
      </x:c>
      <x:c r="H3225" s="13" t="n">
        <x:f>F3225-G3225</x:f>
        <x:v>307.72</x:v>
      </x:c>
      <x:c r="I3225" s="13" t="n">
        <x:f>IF(C3225=0,"n.a.",F3225/C3225)</x:f>
        <x:v>307.72</x:v>
      </x:c>
      <x:c r="J3225" s="3"/>
      <x:c r="K3225" s="3"/>
      <x:c r="L3225" s="3"/>
    </x:row>
    <x:row r="3226" ht="22" customHeight="1">
      <x:c r="A3226" s="3"/>
      <x:c r="B3226" s="3" t="str">
        <x:v>13060</x:v>
      </x:c>
      <x:c r="C3226" s="3" t="n">
        <x:v>1</x:v>
      </x:c>
      <x:c r="D3226" s="51" t="n">
        <x:v>40633</x:v>
      </x:c>
      <x:c r="E3226" s="3" t="str">
        <x:v>Una compra</x:v>
      </x:c>
      <x:c r="F3226" s="13" t="n">
        <x:v>307.53</x:v>
      </x:c>
      <x:c r="G3226" s="13" t="n">
        <x:v>0</x:v>
      </x:c>
      <x:c r="H3226" s="13" t="n">
        <x:f>F3226-G3226</x:f>
        <x:v>307.53</x:v>
      </x:c>
      <x:c r="I3226" s="13" t="n">
        <x:f>IF(C3226=0,"n.a.",F3226/C3226)</x:f>
        <x:v>307.53</x:v>
      </x:c>
      <x:c r="J3226" s="3"/>
      <x:c r="K3226" s="3"/>
      <x:c r="L3226" s="3"/>
    </x:row>
    <x:row r="3227" ht="22" customHeight="1">
      <x:c r="A3227" s="3"/>
      <x:c r="B3227" s="3" t="str">
        <x:v>17120</x:v>
      </x:c>
      <x:c r="C3227" s="3" t="n">
        <x:v>1</x:v>
      </x:c>
      <x:c r="D3227" s="51" t="n">
        <x:v>40653</x:v>
      </x:c>
      <x:c r="E3227" s="3" t="str">
        <x:v>Una compra</x:v>
      </x:c>
      <x:c r="F3227" s="13" t="n">
        <x:v>307.46</x:v>
      </x:c>
      <x:c r="G3227" s="13" t="n">
        <x:v>0</x:v>
      </x:c>
      <x:c r="H3227" s="13" t="n">
        <x:f>F3227-G3227</x:f>
        <x:v>307.46</x:v>
      </x:c>
      <x:c r="I3227" s="13" t="n">
        <x:f>IF(C3227=0,"n.a.",F3227/C3227)</x:f>
        <x:v>307.46</x:v>
      </x:c>
      <x:c r="J3227" s="3"/>
      <x:c r="K3227" s="3"/>
      <x:c r="L3227" s="3"/>
    </x:row>
    <x:row r="3228" ht="22" customHeight="1">
      <x:c r="A3228" s="3"/>
      <x:c r="B3228" s="3" t="str">
        <x:v>13932</x:v>
      </x:c>
      <x:c r="C3228" s="3" t="n">
        <x:v>1</x:v>
      </x:c>
      <x:c r="D3228" s="51" t="n">
        <x:v>40592</x:v>
      </x:c>
      <x:c r="E3228" s="3" t="str">
        <x:v>Una compra</x:v>
      </x:c>
      <x:c r="F3228" s="13" t="n">
        <x:v>307.4</x:v>
      </x:c>
      <x:c r="G3228" s="13" t="n">
        <x:v>0</x:v>
      </x:c>
      <x:c r="H3228" s="13" t="n">
        <x:f>F3228-G3228</x:f>
        <x:v>307.4</x:v>
      </x:c>
      <x:c r="I3228" s="13" t="n">
        <x:f>IF(C3228=0,"n.a.",F3228/C3228)</x:f>
        <x:v>307.4</x:v>
      </x:c>
      <x:c r="J3228" s="3"/>
      <x:c r="K3228" s="3"/>
      <x:c r="L3228" s="3"/>
    </x:row>
    <x:row r="3229" ht="22" customHeight="1">
      <x:c r="A3229" s="3"/>
      <x:c r="B3229" s="3" t="str">
        <x:v>13142</x:v>
      </x:c>
      <x:c r="C3229" s="3" t="n">
        <x:v>1</x:v>
      </x:c>
      <x:c r="D3229" s="51" t="n">
        <x:v>40867</x:v>
      </x:c>
      <x:c r="E3229" s="3" t="str">
        <x:v>Una compra</x:v>
      </x:c>
      <x:c r="F3229" s="13" t="n">
        <x:v>307.09</x:v>
      </x:c>
      <x:c r="G3229" s="13" t="n">
        <x:v>0</x:v>
      </x:c>
      <x:c r="H3229" s="13" t="n">
        <x:f>F3229-G3229</x:f>
        <x:v>307.09</x:v>
      </x:c>
      <x:c r="I3229" s="13" t="n">
        <x:f>IF(C3229=0,"n.a.",F3229/C3229)</x:f>
        <x:v>307.09</x:v>
      </x:c>
      <x:c r="J3229" s="3"/>
      <x:c r="K3229" s="3"/>
      <x:c r="L3229" s="3"/>
    </x:row>
    <x:row r="3230" ht="22" customHeight="1">
      <x:c r="A3230" s="3"/>
      <x:c r="B3230" s="3" t="str">
        <x:v>15087</x:v>
      </x:c>
      <x:c r="C3230" s="3" t="n">
        <x:v>1</x:v>
      </x:c>
      <x:c r="D3230" s="51" t="n">
        <x:v>40605</x:v>
      </x:c>
      <x:c r="E3230" s="3" t="str">
        <x:v>Una compra</x:v>
      </x:c>
      <x:c r="F3230" s="13" t="n">
        <x:v>306.94</x:v>
      </x:c>
      <x:c r="G3230" s="13" t="n">
        <x:v>0</x:v>
      </x:c>
      <x:c r="H3230" s="13" t="n">
        <x:f>F3230-G3230</x:f>
        <x:v>306.94</x:v>
      </x:c>
      <x:c r="I3230" s="13" t="n">
        <x:f>IF(C3230=0,"n.a.",F3230/C3230)</x:f>
        <x:v>306.94</x:v>
      </x:c>
      <x:c r="J3230" s="3"/>
      <x:c r="K3230" s="3"/>
      <x:c r="L3230" s="3"/>
    </x:row>
    <x:row r="3231" ht="22" customHeight="1">
      <x:c r="A3231" s="3"/>
      <x:c r="B3231" s="3" t="str">
        <x:v>17551</x:v>
      </x:c>
      <x:c r="C3231" s="3" t="n">
        <x:v>1</x:v>
      </x:c>
      <x:c r="D3231" s="51" t="n">
        <x:v>40527</x:v>
      </x:c>
      <x:c r="E3231" s="3" t="str">
        <x:v>Una compra</x:v>
      </x:c>
      <x:c r="F3231" s="13" t="n">
        <x:v>306.84</x:v>
      </x:c>
      <x:c r="G3231" s="13" t="n">
        <x:v>0</x:v>
      </x:c>
      <x:c r="H3231" s="13" t="n">
        <x:f>F3231-G3231</x:f>
        <x:v>306.84</x:v>
      </x:c>
      <x:c r="I3231" s="13" t="n">
        <x:f>IF(C3231=0,"n.a.",F3231/C3231)</x:f>
        <x:v>306.84</x:v>
      </x:c>
      <x:c r="J3231" s="3"/>
      <x:c r="K3231" s="3"/>
      <x:c r="L3231" s="3"/>
    </x:row>
    <x:row r="3232" ht="22" customHeight="1">
      <x:c r="A3232" s="3"/>
      <x:c r="B3232" s="3" t="str">
        <x:v>16668</x:v>
      </x:c>
      <x:c r="C3232" s="3" t="n">
        <x:v>6</x:v>
      </x:c>
      <x:c r="D3232" s="51" t="n">
        <x:v>40871</x:v>
      </x:c>
      <x:c r="E3232" s="3" t="str">
        <x:v>Recurrente</x:v>
      </x:c>
      <x:c r="F3232" s="13" t="n">
        <x:v>306.72</x:v>
      </x:c>
      <x:c r="G3232" s="13" t="n">
        <x:v>0</x:v>
      </x:c>
      <x:c r="H3232" s="13" t="n">
        <x:f>F3232-G3232</x:f>
        <x:v>306.72</x:v>
      </x:c>
      <x:c r="I3232" s="13" t="n">
        <x:f>IF(C3232=0,"n.a.",F3232/C3232)</x:f>
        <x:v>51.120000000000005</x:v>
      </x:c>
      <x:c r="J3232" s="3"/>
      <x:c r="K3232" s="3"/>
      <x:c r="L3232" s="3"/>
    </x:row>
    <x:row r="3233" ht="22" customHeight="1">
      <x:c r="A3233" s="3"/>
      <x:c r="B3233" s="3" t="str">
        <x:v>17334</x:v>
      </x:c>
      <x:c r="C3233" s="3" t="n">
        <x:v>2</x:v>
      </x:c>
      <x:c r="D3233" s="51" t="n">
        <x:v>40584</x:v>
      </x:c>
      <x:c r="E3233" s="3" t="str">
        <x:v>Recurrente</x:v>
      </x:c>
      <x:c r="F3233" s="13" t="n">
        <x:v>307.02</x:v>
      </x:c>
      <x:c r="G3233" s="13" t="n">
        <x:v>0.42</x:v>
      </x:c>
      <x:c r="H3233" s="13" t="n">
        <x:f>F3233-G3233</x:f>
        <x:v>306.59999999999997</x:v>
      </x:c>
      <x:c r="I3233" s="13" t="n">
        <x:f>IF(C3233=0,"n.a.",F3233/C3233)</x:f>
        <x:v>153.51</x:v>
      </x:c>
      <x:c r="J3233" s="3"/>
      <x:c r="K3233" s="3"/>
      <x:c r="L3233" s="3"/>
    </x:row>
    <x:row r="3234" ht="22" customHeight="1">
      <x:c r="A3234" s="3"/>
      <x:c r="B3234" s="3" t="str">
        <x:v>13718</x:v>
      </x:c>
      <x:c r="C3234" s="3" t="n">
        <x:v>2</x:v>
      </x:c>
      <x:c r="D3234" s="51" t="n">
        <x:v>40640</x:v>
      </x:c>
      <x:c r="E3234" s="3" t="str">
        <x:v>Recurrente</x:v>
      </x:c>
      <x:c r="F3234" s="13" t="n">
        <x:v>306.55</x:v>
      </x:c>
      <x:c r="G3234" s="13" t="n">
        <x:v>0</x:v>
      </x:c>
      <x:c r="H3234" s="13" t="n">
        <x:f>F3234-G3234</x:f>
        <x:v>306.55</x:v>
      </x:c>
      <x:c r="I3234" s="13" t="n">
        <x:f>IF(C3234=0,"n.a.",F3234/C3234)</x:f>
        <x:v>153.275</x:v>
      </x:c>
      <x:c r="J3234" s="3"/>
      <x:c r="K3234" s="3"/>
      <x:c r="L3234" s="3"/>
    </x:row>
    <x:row r="3235" ht="22" customHeight="1">
      <x:c r="A3235" s="3"/>
      <x:c r="B3235" s="3" t="str">
        <x:v>17157</x:v>
      </x:c>
      <x:c r="C3235" s="3" t="n">
        <x:v>2</x:v>
      </x:c>
      <x:c r="D3235" s="51" t="n">
        <x:v>40879</x:v>
      </x:c>
      <x:c r="E3235" s="3" t="str">
        <x:v>Recurrente</x:v>
      </x:c>
      <x:c r="F3235" s="13" t="n">
        <x:v>319</x:v>
      </x:c>
      <x:c r="G3235" s="13" t="n">
        <x:v>12.45</x:v>
      </x:c>
      <x:c r="H3235" s="13" t="n">
        <x:f>F3235-G3235</x:f>
        <x:v>306.55</x:v>
      </x:c>
      <x:c r="I3235" s="13" t="n">
        <x:f>IF(C3235=0,"n.a.",F3235/C3235)</x:f>
        <x:v>159.5</x:v>
      </x:c>
      <x:c r="J3235" s="3"/>
      <x:c r="K3235" s="3"/>
      <x:c r="L3235" s="3"/>
    </x:row>
    <x:row r="3236" ht="22" customHeight="1">
      <x:c r="A3236" s="3"/>
      <x:c r="B3236" s="3" t="str">
        <x:v>15659</x:v>
      </x:c>
      <x:c r="C3236" s="3" t="n">
        <x:v>1</x:v>
      </x:c>
      <x:c r="D3236" s="51" t="n">
        <x:v>40843</x:v>
      </x:c>
      <x:c r="E3236" s="3" t="str">
        <x:v>Una compra</x:v>
      </x:c>
      <x:c r="F3236" s="13" t="n">
        <x:v>306.45</x:v>
      </x:c>
      <x:c r="G3236" s="13" t="n">
        <x:v>0</x:v>
      </x:c>
      <x:c r="H3236" s="13" t="n">
        <x:f>F3236-G3236</x:f>
        <x:v>306.45</x:v>
      </x:c>
      <x:c r="I3236" s="13" t="n">
        <x:f>IF(C3236=0,"n.a.",F3236/C3236)</x:f>
        <x:v>306.45</x:v>
      </x:c>
      <x:c r="J3236" s="3"/>
      <x:c r="K3236" s="3"/>
      <x:c r="L3236" s="3"/>
    </x:row>
    <x:row r="3237" ht="22" customHeight="1">
      <x:c r="A3237" s="3"/>
      <x:c r="B3237" s="3" t="str">
        <x:v>17176</x:v>
      </x:c>
      <x:c r="C3237" s="3" t="n">
        <x:v>1</x:v>
      </x:c>
      <x:c r="D3237" s="51" t="n">
        <x:v>40685</x:v>
      </x:c>
      <x:c r="E3237" s="3" t="str">
        <x:v>Una compra</x:v>
      </x:c>
      <x:c r="F3237" s="13" t="n">
        <x:v>306.13</x:v>
      </x:c>
      <x:c r="G3237" s="13" t="n">
        <x:v>0</x:v>
      </x:c>
      <x:c r="H3237" s="13" t="n">
        <x:f>F3237-G3237</x:f>
        <x:v>306.13</x:v>
      </x:c>
      <x:c r="I3237" s="13" t="n">
        <x:f>IF(C3237=0,"n.a.",F3237/C3237)</x:f>
        <x:v>306.13</x:v>
      </x:c>
      <x:c r="J3237" s="3"/>
      <x:c r="K3237" s="3"/>
      <x:c r="L3237" s="3"/>
    </x:row>
    <x:row r="3238" ht="22" customHeight="1">
      <x:c r="A3238" s="3"/>
      <x:c r="B3238" s="3" t="str">
        <x:v>15219</x:v>
      </x:c>
      <x:c r="C3238" s="3" t="n">
        <x:v>1</x:v>
      </x:c>
      <x:c r="D3238" s="51" t="n">
        <x:v>40710</x:v>
      </x:c>
      <x:c r="E3238" s="3" t="str">
        <x:v>Una compra</x:v>
      </x:c>
      <x:c r="F3238" s="13" t="n">
        <x:v>305.75</x:v>
      </x:c>
      <x:c r="G3238" s="13" t="n">
        <x:v>0</x:v>
      </x:c>
      <x:c r="H3238" s="13" t="n">
        <x:f>F3238-G3238</x:f>
        <x:v>305.75</x:v>
      </x:c>
      <x:c r="I3238" s="13" t="n">
        <x:f>IF(C3238=0,"n.a.",F3238/C3238)</x:f>
        <x:v>305.75</x:v>
      </x:c>
      <x:c r="J3238" s="3"/>
      <x:c r="K3238" s="3"/>
      <x:c r="L3238" s="3"/>
    </x:row>
    <x:row r="3239" ht="22" customHeight="1">
      <x:c r="A3239" s="3"/>
      <x:c r="B3239" s="3" t="str">
        <x:v>16796</x:v>
      </x:c>
      <x:c r="C3239" s="3" t="n">
        <x:v>1</x:v>
      </x:c>
      <x:c r="D3239" s="51" t="n">
        <x:v>40797</x:v>
      </x:c>
      <x:c r="E3239" s="3" t="str">
        <x:v>Una compra</x:v>
      </x:c>
      <x:c r="F3239" s="13" t="n">
        <x:v>305.62</x:v>
      </x:c>
      <x:c r="G3239" s="13" t="n">
        <x:v>0</x:v>
      </x:c>
      <x:c r="H3239" s="13" t="n">
        <x:f>F3239-G3239</x:f>
        <x:v>305.62</x:v>
      </x:c>
      <x:c r="I3239" s="13" t="n">
        <x:f>IF(C3239=0,"n.a.",F3239/C3239)</x:f>
        <x:v>305.62</x:v>
      </x:c>
      <x:c r="J3239" s="3"/>
      <x:c r="K3239" s="3"/>
      <x:c r="L3239" s="3"/>
    </x:row>
    <x:row r="3240" ht="22" customHeight="1">
      <x:c r="A3240" s="3"/>
      <x:c r="B3240" s="3" t="str">
        <x:v>16181</x:v>
      </x:c>
      <x:c r="C3240" s="3" t="n">
        <x:v>1</x:v>
      </x:c>
      <x:c r="D3240" s="51" t="n">
        <x:v>40813</x:v>
      </x:c>
      <x:c r="E3240" s="3" t="str">
        <x:v>Una compra</x:v>
      </x:c>
      <x:c r="F3240" s="13" t="n">
        <x:v>305.54</x:v>
      </x:c>
      <x:c r="G3240" s="13" t="n">
        <x:v>0</x:v>
      </x:c>
      <x:c r="H3240" s="13" t="n">
        <x:f>F3240-G3240</x:f>
        <x:v>305.54</x:v>
      </x:c>
      <x:c r="I3240" s="13" t="n">
        <x:f>IF(C3240=0,"n.a.",F3240/C3240)</x:f>
        <x:v>305.54</x:v>
      </x:c>
      <x:c r="J3240" s="3"/>
      <x:c r="K3240" s="3"/>
      <x:c r="L3240" s="3"/>
    </x:row>
    <x:row r="3241" ht="22" customHeight="1">
      <x:c r="A3241" s="3"/>
      <x:c r="B3241" s="3" t="str">
        <x:v>13045</x:v>
      </x:c>
      <x:c r="C3241" s="3" t="n">
        <x:v>1</x:v>
      </x:c>
      <x:c r="D3241" s="51" t="n">
        <x:v>40787</x:v>
      </x:c>
      <x:c r="E3241" s="3" t="str">
        <x:v>Una compra</x:v>
      </x:c>
      <x:c r="F3241" s="13" t="n">
        <x:v>305.28</x:v>
      </x:c>
      <x:c r="G3241" s="13" t="n">
        <x:v>0</x:v>
      </x:c>
      <x:c r="H3241" s="13" t="n">
        <x:f>F3241-G3241</x:f>
        <x:v>305.28</x:v>
      </x:c>
      <x:c r="I3241" s="13" t="n">
        <x:f>IF(C3241=0,"n.a.",F3241/C3241)</x:f>
        <x:v>305.28</x:v>
      </x:c>
      <x:c r="J3241" s="3"/>
      <x:c r="K3241" s="3"/>
      <x:c r="L3241" s="3"/>
    </x:row>
    <x:row r="3242" ht="22" customHeight="1">
      <x:c r="A3242" s="3"/>
      <x:c r="B3242" s="3" t="str">
        <x:v>13667</x:v>
      </x:c>
      <x:c r="C3242" s="3" t="n">
        <x:v>1</x:v>
      </x:c>
      <x:c r="D3242" s="51" t="n">
        <x:v>40737</x:v>
      </x:c>
      <x:c r="E3242" s="3" t="str">
        <x:v>Una compra</x:v>
      </x:c>
      <x:c r="F3242" s="13" t="n">
        <x:v>305.02</x:v>
      </x:c>
      <x:c r="G3242" s="13" t="n">
        <x:v>0</x:v>
      </x:c>
      <x:c r="H3242" s="13" t="n">
        <x:f>F3242-G3242</x:f>
        <x:v>305.02</x:v>
      </x:c>
      <x:c r="I3242" s="13" t="n">
        <x:f>IF(C3242=0,"n.a.",F3242/C3242)</x:f>
        <x:v>305.02</x:v>
      </x:c>
      <x:c r="J3242" s="3"/>
      <x:c r="K3242" s="3"/>
      <x:c r="L3242" s="3"/>
    </x:row>
    <x:row r="3243" ht="22" customHeight="1">
      <x:c r="A3243" s="3"/>
      <x:c r="B3243" s="3" t="str">
        <x:v>17941</x:v>
      </x:c>
      <x:c r="C3243" s="3" t="n">
        <x:v>1</x:v>
      </x:c>
      <x:c r="D3243" s="51" t="n">
        <x:v>40756</x:v>
      </x:c>
      <x:c r="E3243" s="3" t="str">
        <x:v>Una compra</x:v>
      </x:c>
      <x:c r="F3243" s="13" t="n">
        <x:v>304.56</x:v>
      </x:c>
      <x:c r="G3243" s="13" t="n">
        <x:v>0</x:v>
      </x:c>
      <x:c r="H3243" s="13" t="n">
        <x:f>F3243-G3243</x:f>
        <x:v>304.56</x:v>
      </x:c>
      <x:c r="I3243" s="13" t="n">
        <x:f>IF(C3243=0,"n.a.",F3243/C3243)</x:f>
        <x:v>304.56</x:v>
      </x:c>
      <x:c r="J3243" s="3"/>
      <x:c r="K3243" s="3"/>
      <x:c r="L3243" s="3"/>
    </x:row>
    <x:row r="3244" ht="22" customHeight="1">
      <x:c r="A3244" s="3"/>
      <x:c r="B3244" s="3" t="str">
        <x:v>15163</x:v>
      </x:c>
      <x:c r="C3244" s="3" t="n">
        <x:v>2</x:v>
      </x:c>
      <x:c r="D3244" s="51" t="n">
        <x:v>40868</x:v>
      </x:c>
      <x:c r="E3244" s="3" t="str">
        <x:v>Recurrente</x:v>
      </x:c>
      <x:c r="F3244" s="13" t="n">
        <x:v>304.47</x:v>
      </x:c>
      <x:c r="G3244" s="13" t="n">
        <x:v>0</x:v>
      </x:c>
      <x:c r="H3244" s="13" t="n">
        <x:f>F3244-G3244</x:f>
        <x:v>304.47</x:v>
      </x:c>
      <x:c r="I3244" s="13" t="n">
        <x:f>IF(C3244=0,"n.a.",F3244/C3244)</x:f>
        <x:v>152.235</x:v>
      </x:c>
      <x:c r="J3244" s="3"/>
      <x:c r="K3244" s="3"/>
      <x:c r="L3244" s="3"/>
    </x:row>
    <x:row r="3245" ht="22" customHeight="1">
      <x:c r="A3245" s="3"/>
      <x:c r="B3245" s="3" t="str">
        <x:v>18185</x:v>
      </x:c>
      <x:c r="C3245" s="3" t="n">
        <x:v>1</x:v>
      </x:c>
      <x:c r="D3245" s="51" t="n">
        <x:v>40637</x:v>
      </x:c>
      <x:c r="E3245" s="3" t="str">
        <x:v>Una compra</x:v>
      </x:c>
      <x:c r="F3245" s="13" t="n">
        <x:v>304.25</x:v>
      </x:c>
      <x:c r="G3245" s="13" t="n">
        <x:v>0</x:v>
      </x:c>
      <x:c r="H3245" s="13" t="n">
        <x:f>F3245-G3245</x:f>
        <x:v>304.25</x:v>
      </x:c>
      <x:c r="I3245" s="13" t="n">
        <x:f>IF(C3245=0,"n.a.",F3245/C3245)</x:f>
        <x:v>304.25</x:v>
      </x:c>
      <x:c r="J3245" s="3"/>
      <x:c r="K3245" s="3"/>
      <x:c r="L3245" s="3"/>
    </x:row>
    <x:row r="3246" ht="22" customHeight="1">
      <x:c r="A3246" s="3"/>
      <x:c r="B3246" s="3" t="str">
        <x:v>17732</x:v>
      </x:c>
      <x:c r="C3246" s="3" t="n">
        <x:v>1</x:v>
      </x:c>
      <x:c r="D3246" s="51" t="n">
        <x:v>40514</x:v>
      </x:c>
      <x:c r="E3246" s="3" t="str">
        <x:v>Una compra</x:v>
      </x:c>
      <x:c r="F3246" s="13" t="n">
        <x:v>303.97</x:v>
      </x:c>
      <x:c r="G3246" s="13" t="n">
        <x:v>0</x:v>
      </x:c>
      <x:c r="H3246" s="13" t="n">
        <x:f>F3246-G3246</x:f>
        <x:v>303.97</x:v>
      </x:c>
      <x:c r="I3246" s="13" t="n">
        <x:f>IF(C3246=0,"n.a.",F3246/C3246)</x:f>
        <x:v>303.97</x:v>
      </x:c>
      <x:c r="J3246" s="3"/>
      <x:c r="K3246" s="3"/>
      <x:c r="L3246" s="3"/>
    </x:row>
    <x:row r="3247" ht="22" customHeight="1">
      <x:c r="A3247" s="3"/>
      <x:c r="B3247" s="3" t="str">
        <x:v>16400</x:v>
      </x:c>
      <x:c r="C3247" s="3" t="n">
        <x:v>1</x:v>
      </x:c>
      <x:c r="D3247" s="51" t="n">
        <x:v>40792</x:v>
      </x:c>
      <x:c r="E3247" s="3" t="str">
        <x:v>Una compra</x:v>
      </x:c>
      <x:c r="F3247" s="13" t="n">
        <x:v>303.93</x:v>
      </x:c>
      <x:c r="G3247" s="13" t="n">
        <x:v>0</x:v>
      </x:c>
      <x:c r="H3247" s="13" t="n">
        <x:f>F3247-G3247</x:f>
        <x:v>303.93</x:v>
      </x:c>
      <x:c r="I3247" s="13" t="n">
        <x:f>IF(C3247=0,"n.a.",F3247/C3247)</x:f>
        <x:v>303.93</x:v>
      </x:c>
      <x:c r="J3247" s="3"/>
      <x:c r="K3247" s="3"/>
      <x:c r="L3247" s="3"/>
    </x:row>
    <x:row r="3248" ht="22" customHeight="1">
      <x:c r="A3248" s="3"/>
      <x:c r="B3248" s="3" t="str">
        <x:v>13083</x:v>
      </x:c>
      <x:c r="C3248" s="3" t="n">
        <x:v>2</x:v>
      </x:c>
      <x:c r="D3248" s="51" t="n">
        <x:v>40882</x:v>
      </x:c>
      <x:c r="E3248" s="3" t="str">
        <x:v>Recurrente</x:v>
      </x:c>
      <x:c r="F3248" s="13" t="n">
        <x:v>303.75</x:v>
      </x:c>
      <x:c r="G3248" s="13" t="n">
        <x:v>0</x:v>
      </x:c>
      <x:c r="H3248" s="13" t="n">
        <x:f>F3248-G3248</x:f>
        <x:v>303.75</x:v>
      </x:c>
      <x:c r="I3248" s="13" t="n">
        <x:f>IF(C3248=0,"n.a.",F3248/C3248)</x:f>
        <x:v>151.875</x:v>
      </x:c>
      <x:c r="J3248" s="3"/>
      <x:c r="K3248" s="3"/>
      <x:c r="L3248" s="3"/>
    </x:row>
    <x:row r="3249" ht="22" customHeight="1">
      <x:c r="A3249" s="3"/>
      <x:c r="B3249" s="3" t="str">
        <x:v>17433</x:v>
      </x:c>
      <x:c r="C3249" s="3" t="n">
        <x:v>1</x:v>
      </x:c>
      <x:c r="D3249" s="51" t="n">
        <x:v>40798</x:v>
      </x:c>
      <x:c r="E3249" s="3" t="str">
        <x:v>Una compra</x:v>
      </x:c>
      <x:c r="F3249" s="13" t="n">
        <x:v>303.16</x:v>
      </x:c>
      <x:c r="G3249" s="13" t="n">
        <x:v>0</x:v>
      </x:c>
      <x:c r="H3249" s="13" t="n">
        <x:f>F3249-G3249</x:f>
        <x:v>303.16</x:v>
      </x:c>
      <x:c r="I3249" s="13" t="n">
        <x:f>IF(C3249=0,"n.a.",F3249/C3249)</x:f>
        <x:v>303.16</x:v>
      </x:c>
      <x:c r="J3249" s="3"/>
      <x:c r="K3249" s="3"/>
      <x:c r="L3249" s="3"/>
    </x:row>
    <x:row r="3250" ht="22" customHeight="1">
      <x:c r="A3250" s="3"/>
      <x:c r="B3250" s="3" t="str">
        <x:v>16425</x:v>
      </x:c>
      <x:c r="C3250" s="3" t="n">
        <x:v>1</x:v>
      </x:c>
      <x:c r="D3250" s="51" t="n">
        <x:v>40584</x:v>
      </x:c>
      <x:c r="E3250" s="3" t="str">
        <x:v>Una compra</x:v>
      </x:c>
      <x:c r="F3250" s="13" t="n">
        <x:v>302.7</x:v>
      </x:c>
      <x:c r="G3250" s="13" t="n">
        <x:v>0</x:v>
      </x:c>
      <x:c r="H3250" s="13" t="n">
        <x:f>F3250-G3250</x:f>
        <x:v>302.7</x:v>
      </x:c>
      <x:c r="I3250" s="13" t="n">
        <x:f>IF(C3250=0,"n.a.",F3250/C3250)</x:f>
        <x:v>302.7</x:v>
      </x:c>
      <x:c r="J3250" s="3"/>
      <x:c r="K3250" s="3"/>
      <x:c r="L3250" s="3"/>
    </x:row>
    <x:row r="3251" ht="22" customHeight="1">
      <x:c r="A3251" s="3"/>
      <x:c r="B3251" s="3" t="str">
        <x:v>14248</x:v>
      </x:c>
      <x:c r="C3251" s="3" t="n">
        <x:v>1</x:v>
      </x:c>
      <x:c r="D3251" s="51" t="n">
        <x:v>40568</x:v>
      </x:c>
      <x:c r="E3251" s="3" t="str">
        <x:v>Una compra</x:v>
      </x:c>
      <x:c r="F3251" s="13" t="n">
        <x:v>302.58</x:v>
      </x:c>
      <x:c r="G3251" s="13" t="n">
        <x:v>0</x:v>
      </x:c>
      <x:c r="H3251" s="13" t="n">
        <x:f>F3251-G3251</x:f>
        <x:v>302.58</x:v>
      </x:c>
      <x:c r="I3251" s="13" t="n">
        <x:f>IF(C3251=0,"n.a.",F3251/C3251)</x:f>
        <x:v>302.58</x:v>
      </x:c>
      <x:c r="J3251" s="3"/>
      <x:c r="K3251" s="3"/>
      <x:c r="L3251" s="3"/>
    </x:row>
    <x:row r="3252" ht="22" customHeight="1">
      <x:c r="A3252" s="3"/>
      <x:c r="B3252" s="3" t="str">
        <x:v>18165</x:v>
      </x:c>
      <x:c r="C3252" s="3" t="n">
        <x:v>1</x:v>
      </x:c>
      <x:c r="D3252" s="51" t="n">
        <x:v>40709</x:v>
      </x:c>
      <x:c r="E3252" s="3" t="str">
        <x:v>Una compra</x:v>
      </x:c>
      <x:c r="F3252" s="13" t="n">
        <x:v>302.46</x:v>
      </x:c>
      <x:c r="G3252" s="13" t="n">
        <x:v>0</x:v>
      </x:c>
      <x:c r="H3252" s="13" t="n">
        <x:f>F3252-G3252</x:f>
        <x:v>302.46</x:v>
      </x:c>
      <x:c r="I3252" s="13" t="n">
        <x:f>IF(C3252=0,"n.a.",F3252/C3252)</x:f>
        <x:v>302.46</x:v>
      </x:c>
      <x:c r="J3252" s="3"/>
      <x:c r="K3252" s="3"/>
      <x:c r="L3252" s="3"/>
    </x:row>
    <x:row r="3253" ht="22" customHeight="1">
      <x:c r="A3253" s="3"/>
      <x:c r="B3253" s="3" t="str">
        <x:v>16104</x:v>
      </x:c>
      <x:c r="C3253" s="3" t="n">
        <x:v>1</x:v>
      </x:c>
      <x:c r="D3253" s="51" t="n">
        <x:v>40825</x:v>
      </x:c>
      <x:c r="E3253" s="3" t="str">
        <x:v>Una compra</x:v>
      </x:c>
      <x:c r="F3253" s="13" t="n">
        <x:v>302.36</x:v>
      </x:c>
      <x:c r="G3253" s="13" t="n">
        <x:v>0</x:v>
      </x:c>
      <x:c r="H3253" s="13" t="n">
        <x:f>F3253-G3253</x:f>
        <x:v>302.36</x:v>
      </x:c>
      <x:c r="I3253" s="13" t="n">
        <x:f>IF(C3253=0,"n.a.",F3253/C3253)</x:f>
        <x:v>302.36</x:v>
      </x:c>
      <x:c r="J3253" s="3"/>
      <x:c r="K3253" s="3"/>
      <x:c r="L3253" s="3"/>
    </x:row>
    <x:row r="3254" ht="22" customHeight="1">
      <x:c r="A3254" s="3"/>
      <x:c r="B3254" s="3" t="str">
        <x:v>15308</x:v>
      </x:c>
      <x:c r="C3254" s="3" t="n">
        <x:v>1</x:v>
      </x:c>
      <x:c r="D3254" s="51" t="n">
        <x:v>40612</x:v>
      </x:c>
      <x:c r="E3254" s="3" t="str">
        <x:v>Una compra</x:v>
      </x:c>
      <x:c r="F3254" s="13" t="n">
        <x:v>310.47</x:v>
      </x:c>
      <x:c r="G3254" s="13" t="n">
        <x:v>8.2</x:v>
      </x:c>
      <x:c r="H3254" s="13" t="n">
        <x:f>F3254-G3254</x:f>
        <x:v>302.27000000000004</x:v>
      </x:c>
      <x:c r="I3254" s="13" t="n">
        <x:f>IF(C3254=0,"n.a.",F3254/C3254)</x:f>
        <x:v>310.47</x:v>
      </x:c>
      <x:c r="J3254" s="3"/>
      <x:c r="K3254" s="3"/>
      <x:c r="L3254" s="3"/>
    </x:row>
    <x:row r="3255" ht="22" customHeight="1">
      <x:c r="A3255" s="3"/>
      <x:c r="B3255" s="3" t="str">
        <x:v>15054</x:v>
      </x:c>
      <x:c r="C3255" s="3" t="n">
        <x:v>2</x:v>
      </x:c>
      <x:c r="D3255" s="51" t="n">
        <x:v>40874</x:v>
      </x:c>
      <x:c r="E3255" s="3" t="str">
        <x:v>Recurrente</x:v>
      </x:c>
      <x:c r="F3255" s="13" t="n">
        <x:v>302.1</x:v>
      </x:c>
      <x:c r="G3255" s="13" t="n">
        <x:v>0</x:v>
      </x:c>
      <x:c r="H3255" s="13" t="n">
        <x:f>F3255-G3255</x:f>
        <x:v>302.1</x:v>
      </x:c>
      <x:c r="I3255" s="13" t="n">
        <x:f>IF(C3255=0,"n.a.",F3255/C3255)</x:f>
        <x:v>151.05</x:v>
      </x:c>
      <x:c r="J3255" s="3"/>
      <x:c r="K3255" s="3"/>
      <x:c r="L3255" s="3"/>
    </x:row>
    <x:row r="3256" ht="22" customHeight="1">
      <x:c r="A3256" s="3"/>
      <x:c r="B3256" s="3" t="str">
        <x:v>15060</x:v>
      </x:c>
      <x:c r="C3256" s="3" t="n">
        <x:v>4</x:v>
      </x:c>
      <x:c r="D3256" s="51" t="n">
        <x:v>40878</x:v>
      </x:c>
      <x:c r="E3256" s="3" t="str">
        <x:v>Recurrente</x:v>
      </x:c>
      <x:c r="F3256" s="13" t="n">
        <x:v>301.84</x:v>
      </x:c>
      <x:c r="G3256" s="13" t="n">
        <x:v>0</x:v>
      </x:c>
      <x:c r="H3256" s="13" t="n">
        <x:f>F3256-G3256</x:f>
        <x:v>301.84</x:v>
      </x:c>
      <x:c r="I3256" s="13" t="n">
        <x:f>IF(C3256=0,"n.a.",F3256/C3256)</x:f>
        <x:v>75.46</x:v>
      </x:c>
      <x:c r="J3256" s="3"/>
      <x:c r="K3256" s="3"/>
      <x:c r="L3256" s="3"/>
    </x:row>
    <x:row r="3257" ht="22" customHeight="1">
      <x:c r="A3257" s="3"/>
      <x:c r="B3257" s="3" t="str">
        <x:v>16715</x:v>
      </x:c>
      <x:c r="C3257" s="3" t="n">
        <x:v>1</x:v>
      </x:c>
      <x:c r="D3257" s="51" t="n">
        <x:v>40808</x:v>
      </x:c>
      <x:c r="E3257" s="3" t="str">
        <x:v>Una compra</x:v>
      </x:c>
      <x:c r="F3257" s="13" t="n">
        <x:v>301.72</x:v>
      </x:c>
      <x:c r="G3257" s="13" t="n">
        <x:v>0</x:v>
      </x:c>
      <x:c r="H3257" s="13" t="n">
        <x:f>F3257-G3257</x:f>
        <x:v>301.72</x:v>
      </x:c>
      <x:c r="I3257" s="13" t="n">
        <x:f>IF(C3257=0,"n.a.",F3257/C3257)</x:f>
        <x:v>301.72</x:v>
      </x:c>
      <x:c r="J3257" s="3"/>
      <x:c r="K3257" s="3"/>
      <x:c r="L3257" s="3"/>
    </x:row>
    <x:row r="3258" ht="22" customHeight="1">
      <x:c r="A3258" s="3"/>
      <x:c r="B3258" s="3" t="str">
        <x:v>15667</x:v>
      </x:c>
      <x:c r="C3258" s="3" t="n">
        <x:v>1</x:v>
      </x:c>
      <x:c r="D3258" s="51" t="n">
        <x:v>40847</x:v>
      </x:c>
      <x:c r="E3258" s="3" t="str">
        <x:v>Una compra</x:v>
      </x:c>
      <x:c r="F3258" s="13" t="n">
        <x:v>301.32</x:v>
      </x:c>
      <x:c r="G3258" s="13" t="n">
        <x:v>0</x:v>
      </x:c>
      <x:c r="H3258" s="13" t="n">
        <x:f>F3258-G3258</x:f>
        <x:v>301.32</x:v>
      </x:c>
      <x:c r="I3258" s="13" t="n">
        <x:f>IF(C3258=0,"n.a.",F3258/C3258)</x:f>
        <x:v>301.32</x:v>
      </x:c>
      <x:c r="J3258" s="3"/>
      <x:c r="K3258" s="3"/>
      <x:c r="L3258" s="3"/>
    </x:row>
    <x:row r="3259" ht="22" customHeight="1">
      <x:c r="A3259" s="3"/>
      <x:c r="B3259" s="3" t="str">
        <x:v>15148</x:v>
      </x:c>
      <x:c r="C3259" s="3" t="n">
        <x:v>1</x:v>
      </x:c>
      <x:c r="D3259" s="51" t="n">
        <x:v>40876</x:v>
      </x:c>
      <x:c r="E3259" s="3" t="str">
        <x:v>Una compra</x:v>
      </x:c>
      <x:c r="F3259" s="13" t="n">
        <x:v>301.29</x:v>
      </x:c>
      <x:c r="G3259" s="13" t="n">
        <x:v>0</x:v>
      </x:c>
      <x:c r="H3259" s="13" t="n">
        <x:f>F3259-G3259</x:f>
        <x:v>301.29</x:v>
      </x:c>
      <x:c r="I3259" s="13" t="n">
        <x:f>IF(C3259=0,"n.a.",F3259/C3259)</x:f>
        <x:v>301.29</x:v>
      </x:c>
      <x:c r="J3259" s="3"/>
      <x:c r="K3259" s="3"/>
      <x:c r="L3259" s="3"/>
    </x:row>
    <x:row r="3260" ht="22" customHeight="1">
      <x:c r="A3260" s="3"/>
      <x:c r="B3260" s="3" t="str">
        <x:v>15623</x:v>
      </x:c>
      <x:c r="C3260" s="3" t="n">
        <x:v>1</x:v>
      </x:c>
      <x:c r="D3260" s="51" t="n">
        <x:v>40745</x:v>
      </x:c>
      <x:c r="E3260" s="3" t="str">
        <x:v>Una compra</x:v>
      </x:c>
      <x:c r="F3260" s="13" t="n">
        <x:v>301.03</x:v>
      </x:c>
      <x:c r="G3260" s="13" t="n">
        <x:v>0</x:v>
      </x:c>
      <x:c r="H3260" s="13" t="n">
        <x:f>F3260-G3260</x:f>
        <x:v>301.03</x:v>
      </x:c>
      <x:c r="I3260" s="13" t="n">
        <x:f>IF(C3260=0,"n.a.",F3260/C3260)</x:f>
        <x:v>301.03</x:v>
      </x:c>
      <x:c r="J3260" s="3"/>
      <x:c r="K3260" s="3"/>
      <x:c r="L3260" s="3"/>
    </x:row>
    <x:row r="3261" ht="22" customHeight="1">
      <x:c r="A3261" s="3"/>
      <x:c r="B3261" s="3" t="str">
        <x:v>17978</x:v>
      </x:c>
      <x:c r="C3261" s="3" t="n">
        <x:v>1</x:v>
      </x:c>
      <x:c r="D3261" s="51" t="n">
        <x:v>40521</x:v>
      </x:c>
      <x:c r="E3261" s="3" t="str">
        <x:v>Una compra</x:v>
      </x:c>
      <x:c r="F3261" s="13" t="n">
        <x:v>300.92</x:v>
      </x:c>
      <x:c r="G3261" s="13" t="n">
        <x:v>0</x:v>
      </x:c>
      <x:c r="H3261" s="13" t="n">
        <x:f>F3261-G3261</x:f>
        <x:v>300.92</x:v>
      </x:c>
      <x:c r="I3261" s="13" t="n">
        <x:f>IF(C3261=0,"n.a.",F3261/C3261)</x:f>
        <x:v>300.92</x:v>
      </x:c>
      <x:c r="J3261" s="3"/>
      <x:c r="K3261" s="3"/>
      <x:c r="L3261" s="3"/>
    </x:row>
    <x:row r="3262" ht="22" customHeight="1">
      <x:c r="A3262" s="3"/>
      <x:c r="B3262" s="3" t="str">
        <x:v>16430</x:v>
      </x:c>
      <x:c r="C3262" s="3" t="n">
        <x:v>1</x:v>
      </x:c>
      <x:c r="D3262" s="51" t="n">
        <x:v>40829</x:v>
      </x:c>
      <x:c r="E3262" s="3" t="str">
        <x:v>Una compra</x:v>
      </x:c>
      <x:c r="F3262" s="13" t="n">
        <x:v>300.85</x:v>
      </x:c>
      <x:c r="G3262" s="13" t="n">
        <x:v>0</x:v>
      </x:c>
      <x:c r="H3262" s="13" t="n">
        <x:f>F3262-G3262</x:f>
        <x:v>300.85</x:v>
      </x:c>
      <x:c r="I3262" s="13" t="n">
        <x:f>IF(C3262=0,"n.a.",F3262/C3262)</x:f>
        <x:v>300.85</x:v>
      </x:c>
      <x:c r="J3262" s="3"/>
      <x:c r="K3262" s="3"/>
      <x:c r="L3262" s="3"/>
    </x:row>
    <x:row r="3263" ht="22" customHeight="1">
      <x:c r="A3263" s="3"/>
      <x:c r="B3263" s="3" t="str">
        <x:v>16479</x:v>
      </x:c>
      <x:c r="C3263" s="3" t="n">
        <x:v>2</x:v>
      </x:c>
      <x:c r="D3263" s="51" t="n">
        <x:v>40876</x:v>
      </x:c>
      <x:c r="E3263" s="3" t="str">
        <x:v>Recurrente</x:v>
      </x:c>
      <x:c r="F3263" s="13" t="n">
        <x:v>300.83</x:v>
      </x:c>
      <x:c r="G3263" s="13" t="n">
        <x:v>0</x:v>
      </x:c>
      <x:c r="H3263" s="13" t="n">
        <x:f>F3263-G3263</x:f>
        <x:v>300.83</x:v>
      </x:c>
      <x:c r="I3263" s="13" t="n">
        <x:f>IF(C3263=0,"n.a.",F3263/C3263)</x:f>
        <x:v>150.415</x:v>
      </x:c>
      <x:c r="J3263" s="3"/>
      <x:c r="K3263" s="3"/>
      <x:c r="L3263" s="3"/>
    </x:row>
    <x:row r="3264" ht="22" customHeight="1">
      <x:c r="A3264" s="3"/>
      <x:c r="B3264" s="3" t="str">
        <x:v>14762</x:v>
      </x:c>
      <x:c r="C3264" s="3" t="n">
        <x:v>1</x:v>
      </x:c>
      <x:c r="D3264" s="51" t="n">
        <x:v>40623</x:v>
      </x:c>
      <x:c r="E3264" s="3" t="str">
        <x:v>Una compra</x:v>
      </x:c>
      <x:c r="F3264" s="13" t="n">
        <x:v>300.52</x:v>
      </x:c>
      <x:c r="G3264" s="13" t="n">
        <x:v>0</x:v>
      </x:c>
      <x:c r="H3264" s="13" t="n">
        <x:f>F3264-G3264</x:f>
        <x:v>300.52</x:v>
      </x:c>
      <x:c r="I3264" s="13" t="n">
        <x:f>IF(C3264=0,"n.a.",F3264/C3264)</x:f>
        <x:v>300.52</x:v>
      </x:c>
      <x:c r="J3264" s="3"/>
      <x:c r="K3264" s="3"/>
      <x:c r="L3264" s="3"/>
    </x:row>
    <x:row r="3265" ht="22" customHeight="1">
      <x:c r="A3265" s="3"/>
      <x:c r="B3265" s="3" t="str">
        <x:v>13304</x:v>
      </x:c>
      <x:c r="C3265" s="3" t="n">
        <x:v>1</x:v>
      </x:c>
      <x:c r="D3265" s="51" t="n">
        <x:v>40535</x:v>
      </x:c>
      <x:c r="E3265" s="3" t="str">
        <x:v>Una compra</x:v>
      </x:c>
      <x:c r="F3265" s="13" t="n">
        <x:v>300.42</x:v>
      </x:c>
      <x:c r="G3265" s="13" t="n">
        <x:v>0</x:v>
      </x:c>
      <x:c r="H3265" s="13" t="n">
        <x:f>F3265-G3265</x:f>
        <x:v>300.42</x:v>
      </x:c>
      <x:c r="I3265" s="13" t="n">
        <x:f>IF(C3265=0,"n.a.",F3265/C3265)</x:f>
        <x:v>300.42</x:v>
      </x:c>
      <x:c r="J3265" s="3"/>
      <x:c r="K3265" s="3"/>
      <x:c r="L3265" s="3"/>
    </x:row>
    <x:row r="3266" ht="22" customHeight="1">
      <x:c r="A3266" s="3"/>
      <x:c r="B3266" s="3" t="str">
        <x:v>15254</x:v>
      </x:c>
      <x:c r="C3266" s="3" t="n">
        <x:v>1</x:v>
      </x:c>
      <x:c r="D3266" s="51" t="n">
        <x:v>40759</x:v>
      </x:c>
      <x:c r="E3266" s="3" t="str">
        <x:v>Una compra</x:v>
      </x:c>
      <x:c r="F3266" s="13" t="n">
        <x:v>300.36</x:v>
      </x:c>
      <x:c r="G3266" s="13" t="n">
        <x:v>0</x:v>
      </x:c>
      <x:c r="H3266" s="13" t="n">
        <x:f>F3266-G3266</x:f>
        <x:v>300.36</x:v>
      </x:c>
      <x:c r="I3266" s="13" t="n">
        <x:f>IF(C3266=0,"n.a.",F3266/C3266)</x:f>
        <x:v>300.36</x:v>
      </x:c>
      <x:c r="J3266" s="3"/>
      <x:c r="K3266" s="3"/>
      <x:c r="L3266" s="3"/>
    </x:row>
    <x:row r="3267" ht="22" customHeight="1">
      <x:c r="A3267" s="3"/>
      <x:c r="B3267" s="3" t="str">
        <x:v>12648</x:v>
      </x:c>
      <x:c r="C3267" s="3" t="n">
        <x:v>1</x:v>
      </x:c>
      <x:c r="D3267" s="51" t="n">
        <x:v>40732</x:v>
      </x:c>
      <x:c r="E3267" s="3" t="str">
        <x:v>Una compra</x:v>
      </x:c>
      <x:c r="F3267" s="13" t="n">
        <x:v>300.05</x:v>
      </x:c>
      <x:c r="G3267" s="13" t="n">
        <x:v>0</x:v>
      </x:c>
      <x:c r="H3267" s="13" t="n">
        <x:f>F3267-G3267</x:f>
        <x:v>300.05</x:v>
      </x:c>
      <x:c r="I3267" s="13" t="n">
        <x:f>IF(C3267=0,"n.a.",F3267/C3267)</x:f>
        <x:v>300.05</x:v>
      </x:c>
      <x:c r="J3267" s="3"/>
      <x:c r="K3267" s="3"/>
      <x:c r="L3267" s="3"/>
    </x:row>
    <x:row r="3268" ht="22" customHeight="1">
      <x:c r="A3268" s="3"/>
      <x:c r="B3268" s="3" t="str">
        <x:v>12852</x:v>
      </x:c>
      <x:c r="C3268" s="3" t="n">
        <x:v>1</x:v>
      </x:c>
      <x:c r="D3268" s="51" t="n">
        <x:v>40592</x:v>
      </x:c>
      <x:c r="E3268" s="3" t="str">
        <x:v>Una compra</x:v>
      </x:c>
      <x:c r="F3268" s="13" t="n">
        <x:v>311.55</x:v>
      </x:c>
      <x:c r="G3268" s="13" t="n">
        <x:v>11.8</x:v>
      </x:c>
      <x:c r="H3268" s="13" t="n">
        <x:f>F3268-G3268</x:f>
        <x:v>299.75</x:v>
      </x:c>
      <x:c r="I3268" s="13" t="n">
        <x:f>IF(C3268=0,"n.a.",F3268/C3268)</x:f>
        <x:v>311.55</x:v>
      </x:c>
      <x:c r="J3268" s="3"/>
      <x:c r="K3268" s="3"/>
      <x:c r="L3268" s="3"/>
    </x:row>
    <x:row r="3269" ht="22" customHeight="1">
      <x:c r="A3269" s="3"/>
      <x:c r="B3269" s="3" t="str">
        <x:v>12544</x:v>
      </x:c>
      <x:c r="C3269" s="3" t="n">
        <x:v>1</x:v>
      </x:c>
      <x:c r="D3269" s="51" t="n">
        <x:v>40850</x:v>
      </x:c>
      <x:c r="E3269" s="3" t="str">
        <x:v>Una compra</x:v>
      </x:c>
      <x:c r="F3269" s="13" t="n">
        <x:v>316.7</x:v>
      </x:c>
      <x:c r="G3269" s="13" t="n">
        <x:v>17</x:v>
      </x:c>
      <x:c r="H3269" s="13" t="n">
        <x:f>F3269-G3269</x:f>
        <x:v>299.7</x:v>
      </x:c>
      <x:c r="I3269" s="13" t="n">
        <x:f>IF(C3269=0,"n.a.",F3269/C3269)</x:f>
        <x:v>316.7</x:v>
      </x:c>
      <x:c r="J3269" s="3"/>
      <x:c r="K3269" s="3"/>
      <x:c r="L3269" s="3"/>
    </x:row>
    <x:row r="3270" ht="22" customHeight="1">
      <x:c r="A3270" s="3"/>
      <x:c r="B3270" s="3" t="str">
        <x:v>16402</x:v>
      </x:c>
      <x:c r="C3270" s="3" t="n">
        <x:v>2</x:v>
      </x:c>
      <x:c r="D3270" s="51" t="n">
        <x:v>40622</x:v>
      </x:c>
      <x:c r="E3270" s="3" t="str">
        <x:v>Recurrente</x:v>
      </x:c>
      <x:c r="F3270" s="13" t="n">
        <x:v>299.6</x:v>
      </x:c>
      <x:c r="G3270" s="13" t="n">
        <x:v>0</x:v>
      </x:c>
      <x:c r="H3270" s="13" t="n">
        <x:f>F3270-G3270</x:f>
        <x:v>299.6</x:v>
      </x:c>
      <x:c r="I3270" s="13" t="n">
        <x:f>IF(C3270=0,"n.a.",F3270/C3270)</x:f>
        <x:v>149.8</x:v>
      </x:c>
      <x:c r="J3270" s="3"/>
      <x:c r="K3270" s="3"/>
      <x:c r="L3270" s="3"/>
    </x:row>
    <x:row r="3271" ht="22" customHeight="1">
      <x:c r="A3271" s="3"/>
      <x:c r="B3271" s="3" t="str">
        <x:v>13863</x:v>
      </x:c>
      <x:c r="C3271" s="3" t="n">
        <x:v>1</x:v>
      </x:c>
      <x:c r="D3271" s="51" t="n">
        <x:v>40639</x:v>
      </x:c>
      <x:c r="E3271" s="3" t="str">
        <x:v>Una compra</x:v>
      </x:c>
      <x:c r="F3271" s="13" t="n">
        <x:v>305.78</x:v>
      </x:c>
      <x:c r="G3271" s="13" t="n">
        <x:v>6.22</x:v>
      </x:c>
      <x:c r="H3271" s="13" t="n">
        <x:f>F3271-G3271</x:f>
        <x:v>299.55999999999995</x:v>
      </x:c>
      <x:c r="I3271" s="13" t="n">
        <x:f>IF(C3271=0,"n.a.",F3271/C3271)</x:f>
        <x:v>305.78</x:v>
      </x:c>
      <x:c r="J3271" s="3"/>
      <x:c r="K3271" s="3"/>
      <x:c r="L3271" s="3"/>
    </x:row>
    <x:row r="3272" ht="22" customHeight="1">
      <x:c r="A3272" s="3"/>
      <x:c r="B3272" s="3" t="str">
        <x:v>18215</x:v>
      </x:c>
      <x:c r="C3272" s="3" t="n">
        <x:v>1</x:v>
      </x:c>
      <x:c r="D3272" s="51" t="n">
        <x:v>40797</x:v>
      </x:c>
      <x:c r="E3272" s="3" t="str">
        <x:v>Una compra</x:v>
      </x:c>
      <x:c r="F3272" s="13" t="n">
        <x:v>299.34</x:v>
      </x:c>
      <x:c r="G3272" s="13" t="n">
        <x:v>0</x:v>
      </x:c>
      <x:c r="H3272" s="13" t="n">
        <x:f>F3272-G3272</x:f>
        <x:v>299.34</x:v>
      </x:c>
      <x:c r="I3272" s="13" t="n">
        <x:f>IF(C3272=0,"n.a.",F3272/C3272)</x:f>
        <x:v>299.34</x:v>
      </x:c>
      <x:c r="J3272" s="3"/>
      <x:c r="K3272" s="3"/>
      <x:c r="L3272" s="3"/>
    </x:row>
    <x:row r="3273" ht="22" customHeight="1">
      <x:c r="A3273" s="3"/>
      <x:c r="B3273" s="3" t="str">
        <x:v>12489</x:v>
      </x:c>
      <x:c r="C3273" s="3" t="n">
        <x:v>1</x:v>
      </x:c>
      <x:c r="D3273" s="51" t="n">
        <x:v>40550</x:v>
      </x:c>
      <x:c r="E3273" s="3" t="str">
        <x:v>Una compra</x:v>
      </x:c>
      <x:c r="F3273" s="13" t="n">
        <x:v>298.93</x:v>
      </x:c>
      <x:c r="G3273" s="13" t="n">
        <x:v>0</x:v>
      </x:c>
      <x:c r="H3273" s="13" t="n">
        <x:f>F3273-G3273</x:f>
        <x:v>298.93</x:v>
      </x:c>
      <x:c r="I3273" s="13" t="n">
        <x:f>IF(C3273=0,"n.a.",F3273/C3273)</x:f>
        <x:v>298.93</x:v>
      </x:c>
      <x:c r="J3273" s="3"/>
      <x:c r="K3273" s="3"/>
      <x:c r="L3273" s="3"/>
    </x:row>
    <x:row r="3274" ht="22" customHeight="1">
      <x:c r="A3274" s="3"/>
      <x:c r="B3274" s="3" t="str">
        <x:v>17124</x:v>
      </x:c>
      <x:c r="C3274" s="3" t="n">
        <x:v>1</x:v>
      </x:c>
      <x:c r="D3274" s="51" t="n">
        <x:v>40701</x:v>
      </x:c>
      <x:c r="E3274" s="3" t="str">
        <x:v>Una compra</x:v>
      </x:c>
      <x:c r="F3274" s="13" t="n">
        <x:v>298.89</x:v>
      </x:c>
      <x:c r="G3274" s="13" t="n">
        <x:v>0</x:v>
      </x:c>
      <x:c r="H3274" s="13" t="n">
        <x:f>F3274-G3274</x:f>
        <x:v>298.89</x:v>
      </x:c>
      <x:c r="I3274" s="13" t="n">
        <x:f>IF(C3274=0,"n.a.",F3274/C3274)</x:f>
        <x:v>298.89</x:v>
      </x:c>
      <x:c r="J3274" s="3"/>
      <x:c r="K3274" s="3"/>
      <x:c r="L3274" s="3"/>
    </x:row>
    <x:row r="3275" ht="22" customHeight="1">
      <x:c r="A3275" s="3"/>
      <x:c r="B3275" s="3" t="str">
        <x:v>17255</x:v>
      </x:c>
      <x:c r="C3275" s="3" t="n">
        <x:v>2</x:v>
      </x:c>
      <x:c r="D3275" s="51" t="n">
        <x:v>40846</x:v>
      </x:c>
      <x:c r="E3275" s="3" t="str">
        <x:v>Recurrente</x:v>
      </x:c>
      <x:c r="F3275" s="13" t="n">
        <x:v>298.41</x:v>
      </x:c>
      <x:c r="G3275" s="13" t="n">
        <x:v>0</x:v>
      </x:c>
      <x:c r="H3275" s="13" t="n">
        <x:f>F3275-G3275</x:f>
        <x:v>298.41</x:v>
      </x:c>
      <x:c r="I3275" s="13" t="n">
        <x:f>IF(C3275=0,"n.a.",F3275/C3275)</x:f>
        <x:v>149.205</x:v>
      </x:c>
      <x:c r="J3275" s="3"/>
      <x:c r="K3275" s="3"/>
      <x:c r="L3275" s="3"/>
    </x:row>
    <x:row r="3276" ht="22" customHeight="1">
      <x:c r="A3276" s="3"/>
      <x:c r="B3276" s="3" t="str">
        <x:v>17824</x:v>
      </x:c>
      <x:c r="C3276" s="3" t="n">
        <x:v>1</x:v>
      </x:c>
      <x:c r="D3276" s="51" t="n">
        <x:v>40835</x:v>
      </x:c>
      <x:c r="E3276" s="3" t="str">
        <x:v>Una compra</x:v>
      </x:c>
      <x:c r="F3276" s="13" t="n">
        <x:v>298.4</x:v>
      </x:c>
      <x:c r="G3276" s="13" t="n">
        <x:v>0</x:v>
      </x:c>
      <x:c r="H3276" s="13" t="n">
        <x:f>F3276-G3276</x:f>
        <x:v>298.4</x:v>
      </x:c>
      <x:c r="I3276" s="13" t="n">
        <x:f>IF(C3276=0,"n.a.",F3276/C3276)</x:f>
        <x:v>298.4</x:v>
      </x:c>
      <x:c r="J3276" s="3"/>
      <x:c r="K3276" s="3"/>
      <x:c r="L3276" s="3"/>
    </x:row>
    <x:row r="3277" ht="22" customHeight="1">
      <x:c r="A3277" s="3"/>
      <x:c r="B3277" s="3" t="str">
        <x:v>17678</x:v>
      </x:c>
      <x:c r="C3277" s="3" t="n">
        <x:v>1</x:v>
      </x:c>
      <x:c r="D3277" s="51" t="n">
        <x:v>40623</x:v>
      </x:c>
      <x:c r="E3277" s="3" t="str">
        <x:v>Una compra</x:v>
      </x:c>
      <x:c r="F3277" s="13" t="n">
        <x:v>298.11</x:v>
      </x:c>
      <x:c r="G3277" s="13" t="n">
        <x:v>0</x:v>
      </x:c>
      <x:c r="H3277" s="13" t="n">
        <x:f>F3277-G3277</x:f>
        <x:v>298.11</x:v>
      </x:c>
      <x:c r="I3277" s="13" t="n">
        <x:f>IF(C3277=0,"n.a.",F3277/C3277)</x:f>
        <x:v>298.11</x:v>
      </x:c>
      <x:c r="J3277" s="3"/>
      <x:c r="K3277" s="3"/>
      <x:c r="L3277" s="3"/>
    </x:row>
    <x:row r="3278" ht="22" customHeight="1">
      <x:c r="A3278" s="3"/>
      <x:c r="B3278" s="3" t="str">
        <x:v>12881</x:v>
      </x:c>
      <x:c r="C3278" s="3" t="n">
        <x:v>1</x:v>
      </x:c>
      <x:c r="D3278" s="51" t="n">
        <x:v>40611</x:v>
      </x:c>
      <x:c r="E3278" s="3" t="str">
        <x:v>Una compra</x:v>
      </x:c>
      <x:c r="F3278" s="13" t="n">
        <x:v>298</x:v>
      </x:c>
      <x:c r="G3278" s="13" t="n">
        <x:v>0</x:v>
      </x:c>
      <x:c r="H3278" s="13" t="n">
        <x:f>F3278-G3278</x:f>
        <x:v>298</x:v>
      </x:c>
      <x:c r="I3278" s="13" t="n">
        <x:f>IF(C3278=0,"n.a.",F3278/C3278)</x:f>
        <x:v>298</x:v>
      </x:c>
      <x:c r="J3278" s="3"/>
      <x:c r="K3278" s="3"/>
      <x:c r="L3278" s="3"/>
    </x:row>
    <x:row r="3279" ht="22" customHeight="1">
      <x:c r="A3279" s="3"/>
      <x:c r="B3279" s="3" t="str">
        <x:v>13466</x:v>
      </x:c>
      <x:c r="C3279" s="3" t="n">
        <x:v>1</x:v>
      </x:c>
      <x:c r="D3279" s="51" t="n">
        <x:v>40702</x:v>
      </x:c>
      <x:c r="E3279" s="3" t="str">
        <x:v>Una compra</x:v>
      </x:c>
      <x:c r="F3279" s="13" t="n">
        <x:v>307.9</x:v>
      </x:c>
      <x:c r="G3279" s="13" t="n">
        <x:v>9.95</x:v>
      </x:c>
      <x:c r="H3279" s="13" t="n">
        <x:f>F3279-G3279</x:f>
        <x:v>297.95</x:v>
      </x:c>
      <x:c r="I3279" s="13" t="n">
        <x:f>IF(C3279=0,"n.a.",F3279/C3279)</x:f>
        <x:v>307.9</x:v>
      </x:c>
      <x:c r="J3279" s="3"/>
      <x:c r="K3279" s="3"/>
      <x:c r="L3279" s="3"/>
    </x:row>
    <x:row r="3280" ht="22" customHeight="1">
      <x:c r="A3280" s="3"/>
      <x:c r="B3280" s="3" t="str">
        <x:v>18220</x:v>
      </x:c>
      <x:c r="C3280" s="3" t="n">
        <x:v>1</x:v>
      </x:c>
      <x:c r="D3280" s="51" t="n">
        <x:v>40660</x:v>
      </x:c>
      <x:c r="E3280" s="3" t="str">
        <x:v>Una compra</x:v>
      </x:c>
      <x:c r="F3280" s="13" t="n">
        <x:v>305.28</x:v>
      </x:c>
      <x:c r="G3280" s="13" t="n">
        <x:v>7.5</x:v>
      </x:c>
      <x:c r="H3280" s="13" t="n">
        <x:f>F3280-G3280</x:f>
        <x:v>297.78</x:v>
      </x:c>
      <x:c r="I3280" s="13" t="n">
        <x:f>IF(C3280=0,"n.a.",F3280/C3280)</x:f>
        <x:v>305.28</x:v>
      </x:c>
      <x:c r="J3280" s="3"/>
      <x:c r="K3280" s="3"/>
      <x:c r="L3280" s="3"/>
    </x:row>
    <x:row r="3281" ht="22" customHeight="1">
      <x:c r="A3281" s="3"/>
      <x:c r="B3281" s="3" t="str">
        <x:v>18053</x:v>
      </x:c>
      <x:c r="C3281" s="3" t="n">
        <x:v>1</x:v>
      </x:c>
      <x:c r="D3281" s="51" t="n">
        <x:v>40816</x:v>
      </x:c>
      <x:c r="E3281" s="3" t="str">
        <x:v>Una compra</x:v>
      </x:c>
      <x:c r="F3281" s="13" t="n">
        <x:v>300.02</x:v>
      </x:c>
      <x:c r="G3281" s="13" t="n">
        <x:v>2.95</x:v>
      </x:c>
      <x:c r="H3281" s="13" t="n">
        <x:f>F3281-G3281</x:f>
        <x:v>297.07</x:v>
      </x:c>
      <x:c r="I3281" s="13" t="n">
        <x:f>IF(C3281=0,"n.a.",F3281/C3281)</x:f>
        <x:v>300.02</x:v>
      </x:c>
      <x:c r="J3281" s="3"/>
      <x:c r="K3281" s="3"/>
      <x:c r="L3281" s="3"/>
    </x:row>
    <x:row r="3282" ht="22" customHeight="1">
      <x:c r="A3282" s="3"/>
      <x:c r="B3282" s="3" t="str">
        <x:v>15857</x:v>
      </x:c>
      <x:c r="C3282" s="3" t="n">
        <x:v>1</x:v>
      </x:c>
      <x:c r="D3282" s="51" t="n">
        <x:v>40868</x:v>
      </x:c>
      <x:c r="E3282" s="3" t="str">
        <x:v>Una compra</x:v>
      </x:c>
      <x:c r="F3282" s="13" t="n">
        <x:v>297</x:v>
      </x:c>
      <x:c r="G3282" s="13" t="n">
        <x:v>0</x:v>
      </x:c>
      <x:c r="H3282" s="13" t="n">
        <x:f>F3282-G3282</x:f>
        <x:v>297</x:v>
      </x:c>
      <x:c r="I3282" s="13" t="n">
        <x:f>IF(C3282=0,"n.a.",F3282/C3282)</x:f>
        <x:v>297</x:v>
      </x:c>
      <x:c r="J3282" s="3"/>
      <x:c r="K3282" s="3"/>
      <x:c r="L3282" s="3"/>
    </x:row>
    <x:row r="3283" ht="22" customHeight="1">
      <x:c r="A3283" s="3"/>
      <x:c r="B3283" s="3" t="str">
        <x:v>14985</x:v>
      </x:c>
      <x:c r="C3283" s="3" t="n">
        <x:v>2</x:v>
      </x:c>
      <x:c r="D3283" s="51" t="n">
        <x:v>40688</x:v>
      </x:c>
      <x:c r="E3283" s="3" t="str">
        <x:v>Recurrente</x:v>
      </x:c>
      <x:c r="F3283" s="13" t="n">
        <x:v>296.75</x:v>
      </x:c>
      <x:c r="G3283" s="13" t="n">
        <x:v>0</x:v>
      </x:c>
      <x:c r="H3283" s="13" t="n">
        <x:f>F3283-G3283</x:f>
        <x:v>296.75</x:v>
      </x:c>
      <x:c r="I3283" s="13" t="n">
        <x:f>IF(C3283=0,"n.a.",F3283/C3283)</x:f>
        <x:v>148.375</x:v>
      </x:c>
      <x:c r="J3283" s="3"/>
      <x:c r="K3283" s="3"/>
      <x:c r="L3283" s="3"/>
    </x:row>
    <x:row r="3284" ht="22" customHeight="1">
      <x:c r="A3284" s="3"/>
      <x:c r="B3284" s="3" t="str">
        <x:v>18059</x:v>
      </x:c>
      <x:c r="C3284" s="3" t="n">
        <x:v>3</x:v>
      </x:c>
      <x:c r="D3284" s="51" t="n">
        <x:v>40863</x:v>
      </x:c>
      <x:c r="E3284" s="3" t="str">
        <x:v>Recurrente</x:v>
      </x:c>
      <x:c r="F3284" s="13" t="n">
        <x:v>306.46</x:v>
      </x:c>
      <x:c r="G3284" s="13" t="n">
        <x:v>9.75</x:v>
      </x:c>
      <x:c r="H3284" s="13" t="n">
        <x:f>F3284-G3284</x:f>
        <x:v>296.71</x:v>
      </x:c>
      <x:c r="I3284" s="13" t="n">
        <x:f>IF(C3284=0,"n.a.",F3284/C3284)</x:f>
        <x:v>102.15333333333332</x:v>
      </x:c>
      <x:c r="J3284" s="3"/>
      <x:c r="K3284" s="3"/>
      <x:c r="L3284" s="3"/>
    </x:row>
    <x:row r="3285" ht="22" customHeight="1">
      <x:c r="A3285" s="3"/>
      <x:c r="B3285" s="3" t="str">
        <x:v>17531</x:v>
      </x:c>
      <x:c r="C3285" s="3" t="n">
        <x:v>1</x:v>
      </x:c>
      <x:c r="D3285" s="51" t="n">
        <x:v>40696</x:v>
      </x:c>
      <x:c r="E3285" s="3" t="str">
        <x:v>Una compra</x:v>
      </x:c>
      <x:c r="F3285" s="13" t="n">
        <x:v>296.7</x:v>
      </x:c>
      <x:c r="G3285" s="13" t="n">
        <x:v>0</x:v>
      </x:c>
      <x:c r="H3285" s="13" t="n">
        <x:f>F3285-G3285</x:f>
        <x:v>296.7</x:v>
      </x:c>
      <x:c r="I3285" s="13" t="n">
        <x:f>IF(C3285=0,"n.a.",F3285/C3285)</x:f>
        <x:v>296.7</x:v>
      </x:c>
      <x:c r="J3285" s="3"/>
      <x:c r="K3285" s="3"/>
      <x:c r="L3285" s="3"/>
    </x:row>
    <x:row r="3286" ht="22" customHeight="1">
      <x:c r="A3286" s="3"/>
      <x:c r="B3286" s="3" t="str">
        <x:v>13441</x:v>
      </x:c>
      <x:c r="C3286" s="3" t="n">
        <x:v>1</x:v>
      </x:c>
      <x:c r="D3286" s="51" t="n">
        <x:v>40795</x:v>
      </x:c>
      <x:c r="E3286" s="3" t="str">
        <x:v>Una compra</x:v>
      </x:c>
      <x:c r="F3286" s="13" t="n">
        <x:v>296.64</x:v>
      </x:c>
      <x:c r="G3286" s="13" t="n">
        <x:v>0</x:v>
      </x:c>
      <x:c r="H3286" s="13" t="n">
        <x:f>F3286-G3286</x:f>
        <x:v>296.64</x:v>
      </x:c>
      <x:c r="I3286" s="13" t="n">
        <x:f>IF(C3286=0,"n.a.",F3286/C3286)</x:f>
        <x:v>296.64</x:v>
      </x:c>
      <x:c r="J3286" s="3"/>
      <x:c r="K3286" s="3"/>
      <x:c r="L3286" s="3"/>
    </x:row>
    <x:row r="3287" ht="22" customHeight="1">
      <x:c r="A3287" s="3"/>
      <x:c r="B3287" s="3" t="str">
        <x:v>13751</x:v>
      </x:c>
      <x:c r="C3287" s="3" t="n">
        <x:v>1</x:v>
      </x:c>
      <x:c r="D3287" s="51" t="n">
        <x:v>40598</x:v>
      </x:c>
      <x:c r="E3287" s="3" t="str">
        <x:v>Una compra</x:v>
      </x:c>
      <x:c r="F3287" s="13" t="n">
        <x:v>296.25</x:v>
      </x:c>
      <x:c r="G3287" s="13" t="n">
        <x:v>0</x:v>
      </x:c>
      <x:c r="H3287" s="13" t="n">
        <x:f>F3287-G3287</x:f>
        <x:v>296.25</x:v>
      </x:c>
      <x:c r="I3287" s="13" t="n">
        <x:f>IF(C3287=0,"n.a.",F3287/C3287)</x:f>
        <x:v>296.25</x:v>
      </x:c>
      <x:c r="J3287" s="3"/>
      <x:c r="K3287" s="3"/>
      <x:c r="L3287" s="3"/>
    </x:row>
    <x:row r="3288" ht="22" customHeight="1">
      <x:c r="A3288" s="3"/>
      <x:c r="B3288" s="3" t="str">
        <x:v>13504</x:v>
      </x:c>
      <x:c r="C3288" s="3" t="n">
        <x:v>1</x:v>
      </x:c>
      <x:c r="D3288" s="51" t="n">
        <x:v>40822</x:v>
      </x:c>
      <x:c r="E3288" s="3" t="str">
        <x:v>Una compra</x:v>
      </x:c>
      <x:c r="F3288" s="13" t="n">
        <x:v>295.93</x:v>
      </x:c>
      <x:c r="G3288" s="13" t="n">
        <x:v>0</x:v>
      </x:c>
      <x:c r="H3288" s="13" t="n">
        <x:f>F3288-G3288</x:f>
        <x:v>295.93</x:v>
      </x:c>
      <x:c r="I3288" s="13" t="n">
        <x:f>IF(C3288=0,"n.a.",F3288/C3288)</x:f>
        <x:v>295.93</x:v>
      </x:c>
      <x:c r="J3288" s="3"/>
      <x:c r="K3288" s="3"/>
      <x:c r="L3288" s="3"/>
    </x:row>
    <x:row r="3289" ht="22" customHeight="1">
      <x:c r="A3289" s="3"/>
      <x:c r="B3289" s="3" t="str">
        <x:v>17912</x:v>
      </x:c>
      <x:c r="C3289" s="3" t="n">
        <x:v>5</x:v>
      </x:c>
      <x:c r="D3289" s="51" t="n">
        <x:v>40576</x:v>
      </x:c>
      <x:c r="E3289" s="3" t="str">
        <x:v>Recurrente</x:v>
      </x:c>
      <x:c r="F3289" s="13" t="n">
        <x:v>311.01</x:v>
      </x:c>
      <x:c r="G3289" s="13" t="n">
        <x:v>15.4</x:v>
      </x:c>
      <x:c r="H3289" s="13" t="n">
        <x:f>F3289-G3289</x:f>
        <x:v>295.61</x:v>
      </x:c>
      <x:c r="I3289" s="13" t="n">
        <x:f>IF(C3289=0,"n.a.",F3289/C3289)</x:f>
        <x:v>62.202</x:v>
      </x:c>
      <x:c r="J3289" s="3"/>
      <x:c r="K3289" s="3"/>
      <x:c r="L3289" s="3"/>
    </x:row>
    <x:row r="3290" ht="22" customHeight="1">
      <x:c r="A3290" s="3"/>
      <x:c r="B3290" s="3" t="str">
        <x:v>12790</x:v>
      </x:c>
      <x:c r="C3290" s="3" t="n">
        <x:v>1</x:v>
      </x:c>
      <x:c r="D3290" s="51" t="n">
        <x:v>40694</x:v>
      </x:c>
      <x:c r="E3290" s="3" t="str">
        <x:v>Una compra</x:v>
      </x:c>
      <x:c r="F3290" s="13" t="n">
        <x:v>294.92</x:v>
      </x:c>
      <x:c r="G3290" s="13" t="n">
        <x:v>0</x:v>
      </x:c>
      <x:c r="H3290" s="13" t="n">
        <x:f>F3290-G3290</x:f>
        <x:v>294.92</x:v>
      </x:c>
      <x:c r="I3290" s="13" t="n">
        <x:f>IF(C3290=0,"n.a.",F3290/C3290)</x:f>
        <x:v>294.92</x:v>
      </x:c>
      <x:c r="J3290" s="3"/>
      <x:c r="K3290" s="3"/>
      <x:c r="L3290" s="3"/>
    </x:row>
    <x:row r="3291" ht="22" customHeight="1">
      <x:c r="A3291" s="3"/>
      <x:c r="B3291" s="3" t="str">
        <x:v>13708</x:v>
      </x:c>
      <x:c r="C3291" s="3" t="n">
        <x:v>1</x:v>
      </x:c>
      <x:c r="D3291" s="51" t="n">
        <x:v>40615</x:v>
      </x:c>
      <x:c r="E3291" s="3" t="str">
        <x:v>Una compra</x:v>
      </x:c>
      <x:c r="F3291" s="13" t="n">
        <x:v>294.88</x:v>
      </x:c>
      <x:c r="G3291" s="13" t="n">
        <x:v>0</x:v>
      </x:c>
      <x:c r="H3291" s="13" t="n">
        <x:f>F3291-G3291</x:f>
        <x:v>294.88</x:v>
      </x:c>
      <x:c r="I3291" s="13" t="n">
        <x:f>IF(C3291=0,"n.a.",F3291/C3291)</x:f>
        <x:v>294.88</x:v>
      </x:c>
      <x:c r="J3291" s="3"/>
      <x:c r="K3291" s="3"/>
      <x:c r="L3291" s="3"/>
    </x:row>
    <x:row r="3292" ht="22" customHeight="1">
      <x:c r="A3292" s="3"/>
      <x:c r="B3292" s="3" t="str">
        <x:v>16781</x:v>
      </x:c>
      <x:c r="C3292" s="3" t="n">
        <x:v>1</x:v>
      </x:c>
      <x:c r="D3292" s="51" t="n">
        <x:v>40514</x:v>
      </x:c>
      <x:c r="E3292" s="3" t="str">
        <x:v>Una compra</x:v>
      </x:c>
      <x:c r="F3292" s="13" t="n">
        <x:v>311.25</x:v>
      </x:c>
      <x:c r="G3292" s="13" t="n">
        <x:v>16.6</x:v>
      </x:c>
      <x:c r="H3292" s="13" t="n">
        <x:f>F3292-G3292</x:f>
        <x:v>294.65</x:v>
      </x:c>
      <x:c r="I3292" s="13" t="n">
        <x:f>IF(C3292=0,"n.a.",F3292/C3292)</x:f>
        <x:v>311.25</x:v>
      </x:c>
      <x:c r="J3292" s="3"/>
      <x:c r="K3292" s="3"/>
      <x:c r="L3292" s="3"/>
    </x:row>
    <x:row r="3293" ht="22" customHeight="1">
      <x:c r="A3293" s="3"/>
      <x:c r="B3293" s="3" t="str">
        <x:v>12350</x:v>
      </x:c>
      <x:c r="C3293" s="3" t="n">
        <x:v>1</x:v>
      </x:c>
      <x:c r="D3293" s="51" t="n">
        <x:v>40576</x:v>
      </x:c>
      <x:c r="E3293" s="3" t="str">
        <x:v>Una compra</x:v>
      </x:c>
      <x:c r="F3293" s="13" t="n">
        <x:v>294.4</x:v>
      </x:c>
      <x:c r="G3293" s="13" t="n">
        <x:v>0</x:v>
      </x:c>
      <x:c r="H3293" s="13" t="n">
        <x:f>F3293-G3293</x:f>
        <x:v>294.4</x:v>
      </x:c>
      <x:c r="I3293" s="13" t="n">
        <x:f>IF(C3293=0,"n.a.",F3293/C3293)</x:f>
        <x:v>294.4</x:v>
      </x:c>
      <x:c r="J3293" s="3"/>
      <x:c r="K3293" s="3"/>
      <x:c r="L3293" s="3"/>
    </x:row>
    <x:row r="3294" ht="22" customHeight="1">
      <x:c r="A3294" s="3"/>
      <x:c r="B3294" s="3" t="str">
        <x:v>13573</x:v>
      </x:c>
      <x:c r="C3294" s="3" t="n">
        <x:v>2</x:v>
      </x:c>
      <x:c r="D3294" s="51" t="n">
        <x:v>40836</x:v>
      </x:c>
      <x:c r="E3294" s="3" t="str">
        <x:v>Recurrente</x:v>
      </x:c>
      <x:c r="F3294" s="13" t="n">
        <x:v>294.4</x:v>
      </x:c>
      <x:c r="G3294" s="13" t="n">
        <x:v>0</x:v>
      </x:c>
      <x:c r="H3294" s="13" t="n">
        <x:f>F3294-G3294</x:f>
        <x:v>294.4</x:v>
      </x:c>
      <x:c r="I3294" s="13" t="n">
        <x:f>IF(C3294=0,"n.a.",F3294/C3294)</x:f>
        <x:v>147.2</x:v>
      </x:c>
      <x:c r="J3294" s="3"/>
      <x:c r="K3294" s="3"/>
      <x:c r="L3294" s="3"/>
    </x:row>
    <x:row r="3295" ht="22" customHeight="1">
      <x:c r="A3295" s="3"/>
      <x:c r="B3295" s="3" t="str">
        <x:v>14747</x:v>
      </x:c>
      <x:c r="C3295" s="3" t="n">
        <x:v>1</x:v>
      </x:c>
      <x:c r="D3295" s="51" t="n">
        <x:v>40637</x:v>
      </x:c>
      <x:c r="E3295" s="3" t="str">
        <x:v>Una compra</x:v>
      </x:c>
      <x:c r="F3295" s="13" t="n">
        <x:v>328.2</x:v>
      </x:c>
      <x:c r="G3295" s="13" t="n">
        <x:v>33.9</x:v>
      </x:c>
      <x:c r="H3295" s="13" t="n">
        <x:f>F3295-G3295</x:f>
        <x:v>294.3</x:v>
      </x:c>
      <x:c r="I3295" s="13" t="n">
        <x:f>IF(C3295=0,"n.a.",F3295/C3295)</x:f>
        <x:v>328.2</x:v>
      </x:c>
      <x:c r="J3295" s="3"/>
      <x:c r="K3295" s="3"/>
      <x:c r="L3295" s="3"/>
    </x:row>
    <x:row r="3296" ht="22" customHeight="1">
      <x:c r="A3296" s="3"/>
      <x:c r="B3296" s="3" t="str">
        <x:v>17506</x:v>
      </x:c>
      <x:c r="C3296" s="3" t="n">
        <x:v>1</x:v>
      </x:c>
      <x:c r="D3296" s="51" t="n">
        <x:v>40811</x:v>
      </x:c>
      <x:c r="E3296" s="3" t="str">
        <x:v>Una compra</x:v>
      </x:c>
      <x:c r="F3296" s="13" t="n">
        <x:v>302.2</x:v>
      </x:c>
      <x:c r="G3296" s="13" t="n">
        <x:v>7.91</x:v>
      </x:c>
      <x:c r="H3296" s="13" t="n">
        <x:f>F3296-G3296</x:f>
        <x:v>294.28999999999996</x:v>
      </x:c>
      <x:c r="I3296" s="13" t="n">
        <x:f>IF(C3296=0,"n.a.",F3296/C3296)</x:f>
        <x:v>302.2</x:v>
      </x:c>
      <x:c r="J3296" s="3"/>
      <x:c r="K3296" s="3"/>
      <x:c r="L3296" s="3"/>
    </x:row>
    <x:row r="3297" ht="22" customHeight="1">
      <x:c r="A3297" s="3"/>
      <x:c r="B3297" s="3" t="str">
        <x:v>15732</x:v>
      </x:c>
      <x:c r="C3297" s="3" t="n">
        <x:v>2</x:v>
      </x:c>
      <x:c r="D3297" s="51" t="n">
        <x:v>40674</x:v>
      </x:c>
      <x:c r="E3297" s="3" t="str">
        <x:v>Recurrente</x:v>
      </x:c>
      <x:c r="F3297" s="13" t="n">
        <x:v>294.12</x:v>
      </x:c>
      <x:c r="G3297" s="13" t="n">
        <x:v>0</x:v>
      </x:c>
      <x:c r="H3297" s="13" t="n">
        <x:f>F3297-G3297</x:f>
        <x:v>294.12</x:v>
      </x:c>
      <x:c r="I3297" s="13" t="n">
        <x:f>IF(C3297=0,"n.a.",F3297/C3297)</x:f>
        <x:v>147.06</x:v>
      </x:c>
      <x:c r="J3297" s="3"/>
      <x:c r="K3297" s="3"/>
      <x:c r="L3297" s="3"/>
    </x:row>
    <x:row r="3298" ht="22" customHeight="1">
      <x:c r="A3298" s="3"/>
      <x:c r="B3298" s="3" t="str">
        <x:v>14339</x:v>
      </x:c>
      <x:c r="C3298" s="3" t="n">
        <x:v>1</x:v>
      </x:c>
      <x:c r="D3298" s="51" t="n">
        <x:v>40644</x:v>
      </x:c>
      <x:c r="E3298" s="3" t="str">
        <x:v>Una compra</x:v>
      </x:c>
      <x:c r="F3298" s="13" t="n">
        <x:v>309.52</x:v>
      </x:c>
      <x:c r="G3298" s="13" t="n">
        <x:v>15.79</x:v>
      </x:c>
      <x:c r="H3298" s="13" t="n">
        <x:f>F3298-G3298</x:f>
        <x:v>293.72999999999996</x:v>
      </x:c>
      <x:c r="I3298" s="13" t="n">
        <x:f>IF(C3298=0,"n.a.",F3298/C3298)</x:f>
        <x:v>309.52</x:v>
      </x:c>
      <x:c r="J3298" s="3"/>
      <x:c r="K3298" s="3"/>
      <x:c r="L3298" s="3"/>
    </x:row>
    <x:row r="3299" ht="22" customHeight="1">
      <x:c r="A3299" s="3"/>
      <x:c r="B3299" s="3" t="str">
        <x:v>17163</x:v>
      </x:c>
      <x:c r="C3299" s="3" t="n">
        <x:v>2</x:v>
      </x:c>
      <x:c r="D3299" s="51" t="n">
        <x:v>40865</x:v>
      </x:c>
      <x:c r="E3299" s="3" t="str">
        <x:v>Recurrente</x:v>
      </x:c>
      <x:c r="F3299" s="13" t="n">
        <x:v>293.1</x:v>
      </x:c>
      <x:c r="G3299" s="13" t="n">
        <x:v>0</x:v>
      </x:c>
      <x:c r="H3299" s="13" t="n">
        <x:f>F3299-G3299</x:f>
        <x:v>293.1</x:v>
      </x:c>
      <x:c r="I3299" s="13" t="n">
        <x:f>IF(C3299=0,"n.a.",F3299/C3299)</x:f>
        <x:v>146.55</x:v>
      </x:c>
      <x:c r="J3299" s="3"/>
      <x:c r="K3299" s="3"/>
      <x:c r="L3299" s="3"/>
    </x:row>
    <x:row r="3300" ht="22" customHeight="1">
      <x:c r="A3300" s="3"/>
      <x:c r="B3300" s="3" t="str">
        <x:v>15545</x:v>
      </x:c>
      <x:c r="C3300" s="3" t="n">
        <x:v>2</x:v>
      </x:c>
      <x:c r="D3300" s="51" t="n">
        <x:v>40832</x:v>
      </x:c>
      <x:c r="E3300" s="3" t="str">
        <x:v>Recurrente</x:v>
      </x:c>
      <x:c r="F3300" s="13" t="n">
        <x:v>292.72</x:v>
      </x:c>
      <x:c r="G3300" s="13" t="n">
        <x:v>0</x:v>
      </x:c>
      <x:c r="H3300" s="13" t="n">
        <x:f>F3300-G3300</x:f>
        <x:v>292.72</x:v>
      </x:c>
      <x:c r="I3300" s="13" t="n">
        <x:f>IF(C3300=0,"n.a.",F3300/C3300)</x:f>
        <x:v>146.36</x:v>
      </x:c>
      <x:c r="J3300" s="3"/>
      <x:c r="K3300" s="3"/>
      <x:c r="L3300" s="3"/>
    </x:row>
    <x:row r="3301" ht="22" customHeight="1">
      <x:c r="A3301" s="3"/>
      <x:c r="B3301" s="3" t="str">
        <x:v>12566</x:v>
      </x:c>
      <x:c r="C3301" s="3" t="n">
        <x:v>1</x:v>
      </x:c>
      <x:c r="D3301" s="51" t="n">
        <x:v>40800</x:v>
      </x:c>
      <x:c r="E3301" s="3" t="str">
        <x:v>Una compra</x:v>
      </x:c>
      <x:c r="F3301" s="13" t="n">
        <x:v>297.65</x:v>
      </x:c>
      <x:c r="G3301" s="13" t="n">
        <x:v>4.95</x:v>
      </x:c>
      <x:c r="H3301" s="13" t="n">
        <x:f>F3301-G3301</x:f>
        <x:v>292.7</x:v>
      </x:c>
      <x:c r="I3301" s="13" t="n">
        <x:f>IF(C3301=0,"n.a.",F3301/C3301)</x:f>
        <x:v>297.65</x:v>
      </x:c>
      <x:c r="J3301" s="3"/>
      <x:c r="K3301" s="3"/>
      <x:c r="L3301" s="3"/>
    </x:row>
    <x:row r="3302" ht="22" customHeight="1">
      <x:c r="A3302" s="3"/>
      <x:c r="B3302" s="3" t="str">
        <x:v>16721</x:v>
      </x:c>
      <x:c r="C3302" s="3" t="n">
        <x:v>1</x:v>
      </x:c>
      <x:c r="D3302" s="51" t="n">
        <x:v>40624</x:v>
      </x:c>
      <x:c r="E3302" s="3" t="str">
        <x:v>Una compra</x:v>
      </x:c>
      <x:c r="F3302" s="13" t="n">
        <x:v>292.47</x:v>
      </x:c>
      <x:c r="G3302" s="13" t="n">
        <x:v>0</x:v>
      </x:c>
      <x:c r="H3302" s="13" t="n">
        <x:f>F3302-G3302</x:f>
        <x:v>292.47</x:v>
      </x:c>
      <x:c r="I3302" s="13" t="n">
        <x:f>IF(C3302=0,"n.a.",F3302/C3302)</x:f>
        <x:v>292.47</x:v>
      </x:c>
      <x:c r="J3302" s="3"/>
      <x:c r="K3302" s="3"/>
      <x:c r="L3302" s="3"/>
    </x:row>
    <x:row r="3303" ht="22" customHeight="1">
      <x:c r="A3303" s="3"/>
      <x:c r="B3303" s="3" t="str">
        <x:v>16956</x:v>
      </x:c>
      <x:c r="C3303" s="3" t="n">
        <x:v>1</x:v>
      </x:c>
      <x:c r="D3303" s="51" t="n">
        <x:v>40869</x:v>
      </x:c>
      <x:c r="E3303" s="3" t="str">
        <x:v>Una compra</x:v>
      </x:c>
      <x:c r="F3303" s="13" t="n">
        <x:v>308.74</x:v>
      </x:c>
      <x:c r="G3303" s="13" t="n">
        <x:v>16.4</x:v>
      </x:c>
      <x:c r="H3303" s="13" t="n">
        <x:f>F3303-G3303</x:f>
        <x:v>292.34000000000003</x:v>
      </x:c>
      <x:c r="I3303" s="13" t="n">
        <x:f>IF(C3303=0,"n.a.",F3303/C3303)</x:f>
        <x:v>308.74</x:v>
      </x:c>
      <x:c r="J3303" s="3"/>
      <x:c r="K3303" s="3"/>
      <x:c r="L3303" s="3"/>
    </x:row>
    <x:row r="3304" ht="22" customHeight="1">
      <x:c r="A3304" s="3"/>
      <x:c r="B3304" s="3" t="str">
        <x:v>13259</x:v>
      </x:c>
      <x:c r="C3304" s="3" t="n">
        <x:v>1</x:v>
      </x:c>
      <x:c r="D3304" s="51" t="n">
        <x:v>40825</x:v>
      </x:c>
      <x:c r="E3304" s="3" t="str">
        <x:v>Una compra</x:v>
      </x:c>
      <x:c r="F3304" s="13" t="n">
        <x:v>292.32</x:v>
      </x:c>
      <x:c r="G3304" s="13" t="n">
        <x:v>0</x:v>
      </x:c>
      <x:c r="H3304" s="13" t="n">
        <x:f>F3304-G3304</x:f>
        <x:v>292.32</x:v>
      </x:c>
      <x:c r="I3304" s="13" t="n">
        <x:f>IF(C3304=0,"n.a.",F3304/C3304)</x:f>
        <x:v>292.32</x:v>
      </x:c>
      <x:c r="J3304" s="3"/>
      <x:c r="K3304" s="3"/>
      <x:c r="L3304" s="3"/>
    </x:row>
    <x:row r="3305" ht="22" customHeight="1">
      <x:c r="A3305" s="3"/>
      <x:c r="B3305" s="3" t="str">
        <x:v>13502</x:v>
      </x:c>
      <x:c r="C3305" s="3" t="n">
        <x:v>3</x:v>
      </x:c>
      <x:c r="D3305" s="51" t="n">
        <x:v>40870</x:v>
      </x:c>
      <x:c r="E3305" s="3" t="str">
        <x:v>Recurrente</x:v>
      </x:c>
      <x:c r="F3305" s="13" t="n">
        <x:v>292</x:v>
      </x:c>
      <x:c r="G3305" s="13" t="n">
        <x:v>0</x:v>
      </x:c>
      <x:c r="H3305" s="13" t="n">
        <x:f>F3305-G3305</x:f>
        <x:v>292</x:v>
      </x:c>
      <x:c r="I3305" s="13" t="n">
        <x:f>IF(C3305=0,"n.a.",F3305/C3305)</x:f>
        <x:v>97.33333333333333</x:v>
      </x:c>
      <x:c r="J3305" s="3"/>
      <x:c r="K3305" s="3"/>
      <x:c r="L3305" s="3"/>
    </x:row>
    <x:row r="3306" ht="22" customHeight="1">
      <x:c r="A3306" s="3"/>
      <x:c r="B3306" s="3" t="str">
        <x:v>13449</x:v>
      </x:c>
      <x:c r="C3306" s="3" t="n">
        <x:v>1</x:v>
      </x:c>
      <x:c r="D3306" s="51" t="n">
        <x:v>40863</x:v>
      </x:c>
      <x:c r="E3306" s="3" t="str">
        <x:v>Una compra</x:v>
      </x:c>
      <x:c r="F3306" s="13" t="n">
        <x:v>291.88</x:v>
      </x:c>
      <x:c r="G3306" s="13" t="n">
        <x:v>0</x:v>
      </x:c>
      <x:c r="H3306" s="13" t="n">
        <x:f>F3306-G3306</x:f>
        <x:v>291.88</x:v>
      </x:c>
      <x:c r="I3306" s="13" t="n">
        <x:f>IF(C3306=0,"n.a.",F3306/C3306)</x:f>
        <x:v>291.88</x:v>
      </x:c>
      <x:c r="J3306" s="3"/>
      <x:c r="K3306" s="3"/>
      <x:c r="L3306" s="3"/>
    </x:row>
    <x:row r="3307" ht="22" customHeight="1">
      <x:c r="A3307" s="3"/>
      <x:c r="B3307" s="3" t="str">
        <x:v>13745</x:v>
      </x:c>
      <x:c r="C3307" s="3" t="n">
        <x:v>1</x:v>
      </x:c>
      <x:c r="D3307" s="51" t="n">
        <x:v>40724</x:v>
      </x:c>
      <x:c r="E3307" s="3" t="str">
        <x:v>Una compra</x:v>
      </x:c>
      <x:c r="F3307" s="13" t="n">
        <x:v>300.04</x:v>
      </x:c>
      <x:c r="G3307" s="13" t="n">
        <x:v>8.5</x:v>
      </x:c>
      <x:c r="H3307" s="13" t="n">
        <x:f>F3307-G3307</x:f>
        <x:v>291.54</x:v>
      </x:c>
      <x:c r="I3307" s="13" t="n">
        <x:f>IF(C3307=0,"n.a.",F3307/C3307)</x:f>
        <x:v>300.04</x:v>
      </x:c>
      <x:c r="J3307" s="3"/>
      <x:c r="K3307" s="3"/>
      <x:c r="L3307" s="3"/>
    </x:row>
    <x:row r="3308" ht="22" customHeight="1">
      <x:c r="A3308" s="3"/>
      <x:c r="B3308" s="3" t="str">
        <x:v>13544</x:v>
      </x:c>
      <x:c r="C3308" s="3" t="n">
        <x:v>2</x:v>
      </x:c>
      <x:c r="D3308" s="51" t="n">
        <x:v>40847</x:v>
      </x:c>
      <x:c r="E3308" s="3" t="str">
        <x:v>Recurrente</x:v>
      </x:c>
      <x:c r="F3308" s="13" t="n">
        <x:v>291.41</x:v>
      </x:c>
      <x:c r="G3308" s="13" t="n">
        <x:v>0</x:v>
      </x:c>
      <x:c r="H3308" s="13" t="n">
        <x:f>F3308-G3308</x:f>
        <x:v>291.41</x:v>
      </x:c>
      <x:c r="I3308" s="13" t="n">
        <x:f>IF(C3308=0,"n.a.",F3308/C3308)</x:f>
        <x:v>145.705</x:v>
      </x:c>
      <x:c r="J3308" s="3"/>
      <x:c r="K3308" s="3"/>
      <x:c r="L3308" s="3"/>
    </x:row>
    <x:row r="3309" ht="22" customHeight="1">
      <x:c r="A3309" s="3"/>
      <x:c r="B3309" s="3" t="str">
        <x:v>13347</x:v>
      </x:c>
      <x:c r="C3309" s="3" t="n">
        <x:v>1</x:v>
      </x:c>
      <x:c r="D3309" s="51" t="n">
        <x:v>40816</x:v>
      </x:c>
      <x:c r="E3309" s="3" t="str">
        <x:v>Una compra</x:v>
      </x:c>
      <x:c r="F3309" s="13" t="n">
        <x:v>291.36</x:v>
      </x:c>
      <x:c r="G3309" s="13" t="n">
        <x:v>0</x:v>
      </x:c>
      <x:c r="H3309" s="13" t="n">
        <x:f>F3309-G3309</x:f>
        <x:v>291.36</x:v>
      </x:c>
      <x:c r="I3309" s="13" t="n">
        <x:f>IF(C3309=0,"n.a.",F3309/C3309)</x:f>
        <x:v>291.36</x:v>
      </x:c>
      <x:c r="J3309" s="3"/>
      <x:c r="K3309" s="3"/>
      <x:c r="L3309" s="3"/>
    </x:row>
    <x:row r="3310" ht="22" customHeight="1">
      <x:c r="A3310" s="3"/>
      <x:c r="B3310" s="3" t="str">
        <x:v>14656</x:v>
      </x:c>
      <x:c r="C3310" s="3" t="n">
        <x:v>2</x:v>
      </x:c>
      <x:c r="D3310" s="51" t="n">
        <x:v>40717</x:v>
      </x:c>
      <x:c r="E3310" s="3" t="str">
        <x:v>Recurrente</x:v>
      </x:c>
      <x:c r="F3310" s="13" t="n">
        <x:v>291.05</x:v>
      </x:c>
      <x:c r="G3310" s="13" t="n">
        <x:v>0</x:v>
      </x:c>
      <x:c r="H3310" s="13" t="n">
        <x:f>F3310-G3310</x:f>
        <x:v>291.05</x:v>
      </x:c>
      <x:c r="I3310" s="13" t="n">
        <x:f>IF(C3310=0,"n.a.",F3310/C3310)</x:f>
        <x:v>145.525</x:v>
      </x:c>
      <x:c r="J3310" s="3"/>
      <x:c r="K3310" s="3"/>
      <x:c r="L3310" s="3"/>
    </x:row>
    <x:row r="3311" ht="22" customHeight="1">
      <x:c r="A3311" s="3"/>
      <x:c r="B3311" s="3" t="str">
        <x:v>13479</x:v>
      </x:c>
      <x:c r="C3311" s="3" t="n">
        <x:v>2</x:v>
      </x:c>
      <x:c r="D3311" s="51" t="n">
        <x:v>40686</x:v>
      </x:c>
      <x:c r="E3311" s="3" t="str">
        <x:v>Recurrente</x:v>
      </x:c>
      <x:c r="F3311" s="13" t="n">
        <x:v>300.95</x:v>
      </x:c>
      <x:c r="G3311" s="13" t="n">
        <x:v>9.95</x:v>
      </x:c>
      <x:c r="H3311" s="13" t="n">
        <x:f>F3311-G3311</x:f>
        <x:v>291</x:v>
      </x:c>
      <x:c r="I3311" s="13" t="n">
        <x:f>IF(C3311=0,"n.a.",F3311/C3311)</x:f>
        <x:v>150.475</x:v>
      </x:c>
      <x:c r="J3311" s="3"/>
      <x:c r="K3311" s="3"/>
      <x:c r="L3311" s="3"/>
    </x:row>
    <x:row r="3312" ht="22" customHeight="1">
      <x:c r="A3312" s="3"/>
      <x:c r="B3312" s="3" t="str">
        <x:v>14947</x:v>
      </x:c>
      <x:c r="C3312" s="3" t="n">
        <x:v>2</x:v>
      </x:c>
      <x:c r="D3312" s="51" t="n">
        <x:v>40814</x:v>
      </x:c>
      <x:c r="E3312" s="3" t="str">
        <x:v>Recurrente</x:v>
      </x:c>
      <x:c r="F3312" s="13" t="n">
        <x:v>290.82</x:v>
      </x:c>
      <x:c r="G3312" s="13" t="n">
        <x:v>0</x:v>
      </x:c>
      <x:c r="H3312" s="13" t="n">
        <x:f>F3312-G3312</x:f>
        <x:v>290.82</x:v>
      </x:c>
      <x:c r="I3312" s="13" t="n">
        <x:f>IF(C3312=0,"n.a.",F3312/C3312)</x:f>
        <x:v>145.41</x:v>
      </x:c>
      <x:c r="J3312" s="3"/>
      <x:c r="K3312" s="3"/>
      <x:c r="L3312" s="3"/>
    </x:row>
    <x:row r="3313" ht="22" customHeight="1">
      <x:c r="A3313" s="3"/>
      <x:c r="B3313" s="3" t="str">
        <x:v>17691</x:v>
      </x:c>
      <x:c r="C3313" s="3" t="n">
        <x:v>2</x:v>
      </x:c>
      <x:c r="D3313" s="51" t="n">
        <x:v>40528</x:v>
      </x:c>
      <x:c r="E3313" s="3" t="str">
        <x:v>Recurrente</x:v>
      </x:c>
      <x:c r="F3313" s="13" t="n">
        <x:v>290.4</x:v>
      </x:c>
      <x:c r="G3313" s="13" t="n">
        <x:v>0</x:v>
      </x:c>
      <x:c r="H3313" s="13" t="n">
        <x:f>F3313-G3313</x:f>
        <x:v>290.4</x:v>
      </x:c>
      <x:c r="I3313" s="13" t="n">
        <x:f>IF(C3313=0,"n.a.",F3313/C3313)</x:f>
        <x:v>145.2</x:v>
      </x:c>
      <x:c r="J3313" s="3"/>
      <x:c r="K3313" s="3"/>
      <x:c r="L3313" s="3"/>
    </x:row>
    <x:row r="3314" ht="22" customHeight="1">
      <x:c r="A3314" s="3"/>
      <x:c r="B3314" s="3" t="str">
        <x:v>16526</x:v>
      </x:c>
      <x:c r="C3314" s="3" t="n">
        <x:v>1</x:v>
      </x:c>
      <x:c r="D3314" s="51" t="n">
        <x:v>40715</x:v>
      </x:c>
      <x:c r="E3314" s="3" t="str">
        <x:v>Una compra</x:v>
      </x:c>
      <x:c r="F3314" s="13" t="n">
        <x:v>290.36</x:v>
      </x:c>
      <x:c r="G3314" s="13" t="n">
        <x:v>0</x:v>
      </x:c>
      <x:c r="H3314" s="13" t="n">
        <x:f>F3314-G3314</x:f>
        <x:v>290.36</x:v>
      </x:c>
      <x:c r="I3314" s="13" t="n">
        <x:f>IF(C3314=0,"n.a.",F3314/C3314)</x:f>
        <x:v>290.36</x:v>
      </x:c>
      <x:c r="J3314" s="3"/>
      <x:c r="K3314" s="3"/>
      <x:c r="L3314" s="3"/>
    </x:row>
    <x:row r="3315" ht="22" customHeight="1">
      <x:c r="A3315" s="3"/>
      <x:c r="B3315" s="3" t="str">
        <x:v>17081</x:v>
      </x:c>
      <x:c r="C3315" s="3" t="n">
        <x:v>2</x:v>
      </x:c>
      <x:c r="D3315" s="51" t="n">
        <x:v>40861</x:v>
      </x:c>
      <x:c r="E3315" s="3" t="str">
        <x:v>Recurrente</x:v>
      </x:c>
      <x:c r="F3315" s="13" t="n">
        <x:v>290.16</x:v>
      </x:c>
      <x:c r="G3315" s="13" t="n">
        <x:v>0</x:v>
      </x:c>
      <x:c r="H3315" s="13" t="n">
        <x:f>F3315-G3315</x:f>
        <x:v>290.16</x:v>
      </x:c>
      <x:c r="I3315" s="13" t="n">
        <x:f>IF(C3315=0,"n.a.",F3315/C3315)</x:f>
        <x:v>145.08</x:v>
      </x:c>
      <x:c r="J3315" s="3"/>
      <x:c r="K3315" s="3"/>
      <x:c r="L3315" s="3"/>
    </x:row>
    <x:row r="3316" ht="22" customHeight="1">
      <x:c r="A3316" s="3"/>
      <x:c r="B3316" s="3" t="str">
        <x:v>14784</x:v>
      </x:c>
      <x:c r="C3316" s="3" t="n">
        <x:v>2</x:v>
      </x:c>
      <x:c r="D3316" s="51" t="n">
        <x:v>40860</x:v>
      </x:c>
      <x:c r="E3316" s="3" t="str">
        <x:v>Recurrente</x:v>
      </x:c>
      <x:c r="F3316" s="13" t="n">
        <x:v>289.99</x:v>
      </x:c>
      <x:c r="G3316" s="13" t="n">
        <x:v>0</x:v>
      </x:c>
      <x:c r="H3316" s="13" t="n">
        <x:f>F3316-G3316</x:f>
        <x:v>289.99</x:v>
      </x:c>
      <x:c r="I3316" s="13" t="n">
        <x:f>IF(C3316=0,"n.a.",F3316/C3316)</x:f>
        <x:v>144.995</x:v>
      </x:c>
      <x:c r="J3316" s="3"/>
      <x:c r="K3316" s="3"/>
      <x:c r="L3316" s="3"/>
    </x:row>
    <x:row r="3317" ht="22" customHeight="1">
      <x:c r="A3317" s="3"/>
      <x:c r="B3317" s="3" t="str">
        <x:v>17464</x:v>
      </x:c>
      <x:c r="C3317" s="3" t="n">
        <x:v>1</x:v>
      </x:c>
      <x:c r="D3317" s="51" t="n">
        <x:v>40728</x:v>
      </x:c>
      <x:c r="E3317" s="3" t="str">
        <x:v>Una compra</x:v>
      </x:c>
      <x:c r="F3317" s="13" t="n">
        <x:v>289.96</x:v>
      </x:c>
      <x:c r="G3317" s="13" t="n">
        <x:v>0</x:v>
      </x:c>
      <x:c r="H3317" s="13" t="n">
        <x:f>F3317-G3317</x:f>
        <x:v>289.96</x:v>
      </x:c>
      <x:c r="I3317" s="13" t="n">
        <x:f>IF(C3317=0,"n.a.",F3317/C3317)</x:f>
        <x:v>289.96</x:v>
      </x:c>
      <x:c r="J3317" s="3"/>
      <x:c r="K3317" s="3"/>
      <x:c r="L3317" s="3"/>
    </x:row>
    <x:row r="3318" ht="22" customHeight="1">
      <x:c r="A3318" s="3"/>
      <x:c r="B3318" s="3" t="str">
        <x:v>14953</x:v>
      </x:c>
      <x:c r="C3318" s="3" t="n">
        <x:v>1</x:v>
      </x:c>
      <x:c r="D3318" s="51" t="n">
        <x:v>40861</x:v>
      </x:c>
      <x:c r="E3318" s="3" t="str">
        <x:v>Una compra</x:v>
      </x:c>
      <x:c r="F3318" s="13" t="n">
        <x:v>289.82</x:v>
      </x:c>
      <x:c r="G3318" s="13" t="n">
        <x:v>0</x:v>
      </x:c>
      <x:c r="H3318" s="13" t="n">
        <x:f>F3318-G3318</x:f>
        <x:v>289.82</x:v>
      </x:c>
      <x:c r="I3318" s="13" t="n">
        <x:f>IF(C3318=0,"n.a.",F3318/C3318)</x:f>
        <x:v>289.82</x:v>
      </x:c>
      <x:c r="J3318" s="3"/>
      <x:c r="K3318" s="3"/>
      <x:c r="L3318" s="3"/>
    </x:row>
    <x:row r="3319" ht="22" customHeight="1">
      <x:c r="A3319" s="3"/>
      <x:c r="B3319" s="3" t="str">
        <x:v>14162</x:v>
      </x:c>
      <x:c r="C3319" s="3" t="n">
        <x:v>2</x:v>
      </x:c>
      <x:c r="D3319" s="51" t="n">
        <x:v>40713</x:v>
      </x:c>
      <x:c r="E3319" s="3" t="str">
        <x:v>Recurrente</x:v>
      </x:c>
      <x:c r="F3319" s="13" t="n">
        <x:v>289.36</x:v>
      </x:c>
      <x:c r="G3319" s="13" t="n">
        <x:v>0</x:v>
      </x:c>
      <x:c r="H3319" s="13" t="n">
        <x:f>F3319-G3319</x:f>
        <x:v>289.36</x:v>
      </x:c>
      <x:c r="I3319" s="13" t="n">
        <x:f>IF(C3319=0,"n.a.",F3319/C3319)</x:f>
        <x:v>144.68</x:v>
      </x:c>
      <x:c r="J3319" s="3"/>
      <x:c r="K3319" s="3"/>
      <x:c r="L3319" s="3"/>
    </x:row>
    <x:row r="3320" ht="22" customHeight="1">
      <x:c r="A3320" s="3"/>
      <x:c r="B3320" s="3" t="str">
        <x:v>16125</x:v>
      </x:c>
      <x:c r="C3320" s="3" t="n">
        <x:v>1</x:v>
      </x:c>
      <x:c r="D3320" s="51" t="n">
        <x:v>40519</x:v>
      </x:c>
      <x:c r="E3320" s="3" t="str">
        <x:v>Una compra</x:v>
      </x:c>
      <x:c r="F3320" s="13" t="n">
        <x:v>289.35</x:v>
      </x:c>
      <x:c r="G3320" s="13" t="n">
        <x:v>0</x:v>
      </x:c>
      <x:c r="H3320" s="13" t="n">
        <x:f>F3320-G3320</x:f>
        <x:v>289.35</x:v>
      </x:c>
      <x:c r="I3320" s="13" t="n">
        <x:f>IF(C3320=0,"n.a.",F3320/C3320)</x:f>
        <x:v>289.35</x:v>
      </x:c>
      <x:c r="J3320" s="3"/>
      <x:c r="K3320" s="3"/>
      <x:c r="L3320" s="3"/>
    </x:row>
    <x:row r="3321" ht="22" customHeight="1">
      <x:c r="A3321" s="3"/>
      <x:c r="B3321" s="3" t="str">
        <x:v>14549</x:v>
      </x:c>
      <x:c r="C3321" s="3" t="n">
        <x:v>1</x:v>
      </x:c>
      <x:c r="D3321" s="51" t="n">
        <x:v>40575</x:v>
      </x:c>
      <x:c r="E3321" s="3" t="str">
        <x:v>Una compra</x:v>
      </x:c>
      <x:c r="F3321" s="13" t="n">
        <x:v>289.24</x:v>
      </x:c>
      <x:c r="G3321" s="13" t="n">
        <x:v>0</x:v>
      </x:c>
      <x:c r="H3321" s="13" t="n">
        <x:f>F3321-G3321</x:f>
        <x:v>289.24</x:v>
      </x:c>
      <x:c r="I3321" s="13" t="n">
        <x:f>IF(C3321=0,"n.a.",F3321/C3321)</x:f>
        <x:v>289.24</x:v>
      </x:c>
      <x:c r="J3321" s="3"/>
      <x:c r="K3321" s="3"/>
      <x:c r="L3321" s="3"/>
    </x:row>
    <x:row r="3322" ht="22" customHeight="1">
      <x:c r="A3322" s="3"/>
      <x:c r="B3322" s="3" t="str">
        <x:v>17501</x:v>
      </x:c>
      <x:c r="C3322" s="3" t="n">
        <x:v>2</x:v>
      </x:c>
      <x:c r="D3322" s="51" t="n">
        <x:v>40666</x:v>
      </x:c>
      <x:c r="E3322" s="3" t="str">
        <x:v>Recurrente</x:v>
      </x:c>
      <x:c r="F3322" s="13" t="n">
        <x:v>288.6</x:v>
      </x:c>
      <x:c r="G3322" s="13" t="n">
        <x:v>0</x:v>
      </x:c>
      <x:c r="H3322" s="13" t="n">
        <x:f>F3322-G3322</x:f>
        <x:v>288.6</x:v>
      </x:c>
      <x:c r="I3322" s="13" t="n">
        <x:f>IF(C3322=0,"n.a.",F3322/C3322)</x:f>
        <x:v>144.3</x:v>
      </x:c>
      <x:c r="J3322" s="3"/>
      <x:c r="K3322" s="3"/>
      <x:c r="L3322" s="3"/>
    </x:row>
    <x:row r="3323" ht="22" customHeight="1">
      <x:c r="A3323" s="3"/>
      <x:c r="B3323" s="3" t="str">
        <x:v>16808</x:v>
      </x:c>
      <x:c r="C3323" s="3" t="n">
        <x:v>2</x:v>
      </x:c>
      <x:c r="D3323" s="51" t="n">
        <x:v>40787</x:v>
      </x:c>
      <x:c r="E3323" s="3" t="str">
        <x:v>Recurrente</x:v>
      </x:c>
      <x:c r="F3323" s="13" t="n">
        <x:v>288.42</x:v>
      </x:c>
      <x:c r="G3323" s="13" t="n">
        <x:v>0</x:v>
      </x:c>
      <x:c r="H3323" s="13" t="n">
        <x:f>F3323-G3323</x:f>
        <x:v>288.42</x:v>
      </x:c>
      <x:c r="I3323" s="13" t="n">
        <x:f>IF(C3323=0,"n.a.",F3323/C3323)</x:f>
        <x:v>144.21</x:v>
      </x:c>
      <x:c r="J3323" s="3"/>
      <x:c r="K3323" s="3"/>
      <x:c r="L3323" s="3"/>
    </x:row>
    <x:row r="3324" ht="22" customHeight="1">
      <x:c r="A3324" s="3"/>
      <x:c r="B3324" s="3" t="str">
        <x:v>15396</x:v>
      </x:c>
      <x:c r="C3324" s="3" t="n">
        <x:v>1</x:v>
      </x:c>
      <x:c r="D3324" s="51" t="n">
        <x:v>40774</x:v>
      </x:c>
      <x:c r="E3324" s="3" t="str">
        <x:v>Una compra</x:v>
      </x:c>
      <x:c r="F3324" s="13" t="n">
        <x:v>288.18</x:v>
      </x:c>
      <x:c r="G3324" s="13" t="n">
        <x:v>0</x:v>
      </x:c>
      <x:c r="H3324" s="13" t="n">
        <x:f>F3324-G3324</x:f>
        <x:v>288.18</x:v>
      </x:c>
      <x:c r="I3324" s="13" t="n">
        <x:f>IF(C3324=0,"n.a.",F3324/C3324)</x:f>
        <x:v>288.18</x:v>
      </x:c>
      <x:c r="J3324" s="3"/>
      <x:c r="K3324" s="3"/>
      <x:c r="L3324" s="3"/>
    </x:row>
    <x:row r="3325" ht="22" customHeight="1">
      <x:c r="A3325" s="3"/>
      <x:c r="B3325" s="3" t="str">
        <x:v>17977</x:v>
      </x:c>
      <x:c r="C3325" s="3" t="n">
        <x:v>1</x:v>
      </x:c>
      <x:c r="D3325" s="51" t="n">
        <x:v>40857</x:v>
      </x:c>
      <x:c r="E3325" s="3" t="str">
        <x:v>Una compra</x:v>
      </x:c>
      <x:c r="F3325" s="13" t="n">
        <x:v>288.14</x:v>
      </x:c>
      <x:c r="G3325" s="13" t="n">
        <x:v>0</x:v>
      </x:c>
      <x:c r="H3325" s="13" t="n">
        <x:f>F3325-G3325</x:f>
        <x:v>288.14</x:v>
      </x:c>
      <x:c r="I3325" s="13" t="n">
        <x:f>IF(C3325=0,"n.a.",F3325/C3325)</x:f>
        <x:v>288.14</x:v>
      </x:c>
      <x:c r="J3325" s="3"/>
      <x:c r="K3325" s="3"/>
      <x:c r="L3325" s="3"/>
    </x:row>
    <x:row r="3326" ht="22" customHeight="1">
      <x:c r="A3326" s="3"/>
      <x:c r="B3326" s="3" t="str">
        <x:v>17760</x:v>
      </x:c>
      <x:c r="C3326" s="3" t="n">
        <x:v>2</x:v>
      </x:c>
      <x:c r="D3326" s="51" t="n">
        <x:v>40865</x:v>
      </x:c>
      <x:c r="E3326" s="3" t="str">
        <x:v>Recurrente</x:v>
      </x:c>
      <x:c r="F3326" s="13" t="n">
        <x:v>287.59</x:v>
      </x:c>
      <x:c r="G3326" s="13" t="n">
        <x:v>0</x:v>
      </x:c>
      <x:c r="H3326" s="13" t="n">
        <x:f>F3326-G3326</x:f>
        <x:v>287.59</x:v>
      </x:c>
      <x:c r="I3326" s="13" t="n">
        <x:f>IF(C3326=0,"n.a.",F3326/C3326)</x:f>
        <x:v>143.795</x:v>
      </x:c>
      <x:c r="J3326" s="3"/>
      <x:c r="K3326" s="3"/>
      <x:c r="L3326" s="3"/>
    </x:row>
    <x:row r="3327" ht="22" customHeight="1">
      <x:c r="A3327" s="3"/>
      <x:c r="B3327" s="3" t="str">
        <x:v>16998</x:v>
      </x:c>
      <x:c r="C3327" s="3" t="n">
        <x:v>4</x:v>
      </x:c>
      <x:c r="D3327" s="51" t="n">
        <x:v>40737</x:v>
      </x:c>
      <x:c r="E3327" s="3" t="str">
        <x:v>Recurrente</x:v>
      </x:c>
      <x:c r="F3327" s="13" t="n">
        <x:v>295</x:v>
      </x:c>
      <x:c r="G3327" s="13" t="n">
        <x:v>7.5</x:v>
      </x:c>
      <x:c r="H3327" s="13" t="n">
        <x:f>F3327-G3327</x:f>
        <x:v>287.5</x:v>
      </x:c>
      <x:c r="I3327" s="13" t="n">
        <x:f>IF(C3327=0,"n.a.",F3327/C3327)</x:f>
        <x:v>73.75</x:v>
      </x:c>
      <x:c r="J3327" s="3"/>
      <x:c r="K3327" s="3"/>
      <x:c r="L3327" s="3"/>
    </x:row>
    <x:row r="3328" ht="22" customHeight="1">
      <x:c r="A3328" s="3"/>
      <x:c r="B3328" s="3" t="str">
        <x:v>16432</x:v>
      </x:c>
      <x:c r="C3328" s="3" t="n">
        <x:v>1</x:v>
      </x:c>
      <x:c r="D3328" s="51" t="n">
        <x:v>40822</x:v>
      </x:c>
      <x:c r="E3328" s="3" t="str">
        <x:v>Una compra</x:v>
      </x:c>
      <x:c r="F3328" s="13" t="n">
        <x:v>287.4</x:v>
      </x:c>
      <x:c r="G3328" s="13" t="n">
        <x:v>0</x:v>
      </x:c>
      <x:c r="H3328" s="13" t="n">
        <x:f>F3328-G3328</x:f>
        <x:v>287.4</x:v>
      </x:c>
      <x:c r="I3328" s="13" t="n">
        <x:f>IF(C3328=0,"n.a.",F3328/C3328)</x:f>
        <x:v>287.4</x:v>
      </x:c>
      <x:c r="J3328" s="3"/>
      <x:c r="K3328" s="3"/>
      <x:c r="L3328" s="3"/>
    </x:row>
    <x:row r="3329" ht="22" customHeight="1">
      <x:c r="A3329" s="3"/>
      <x:c r="B3329" s="3" t="str">
        <x:v>12519</x:v>
      </x:c>
      <x:c r="C3329" s="3" t="n">
        <x:v>1</x:v>
      </x:c>
      <x:c r="D3329" s="51" t="n">
        <x:v>40823</x:v>
      </x:c>
      <x:c r="E3329" s="3" t="str">
        <x:v>Una compra</x:v>
      </x:c>
      <x:c r="F3329" s="13" t="n">
        <x:v>286.84</x:v>
      </x:c>
      <x:c r="G3329" s="13" t="n">
        <x:v>0</x:v>
      </x:c>
      <x:c r="H3329" s="13" t="n">
        <x:f>F3329-G3329</x:f>
        <x:v>286.84</x:v>
      </x:c>
      <x:c r="I3329" s="13" t="n">
        <x:f>IF(C3329=0,"n.a.",F3329/C3329)</x:f>
        <x:v>286.84</x:v>
      </x:c>
      <x:c r="J3329" s="3"/>
      <x:c r="K3329" s="3"/>
      <x:c r="L3329" s="3"/>
    </x:row>
    <x:row r="3330" ht="22" customHeight="1">
      <x:c r="A3330" s="3"/>
      <x:c r="B3330" s="3" t="str">
        <x:v>13760</x:v>
      </x:c>
      <x:c r="C3330" s="3" t="n">
        <x:v>2</x:v>
      </x:c>
      <x:c r="D3330" s="51" t="n">
        <x:v>40832</x:v>
      </x:c>
      <x:c r="E3330" s="3" t="str">
        <x:v>Recurrente</x:v>
      </x:c>
      <x:c r="F3330" s="13" t="n">
        <x:v>286.79</x:v>
      </x:c>
      <x:c r="G3330" s="13" t="n">
        <x:v>0</x:v>
      </x:c>
      <x:c r="H3330" s="13" t="n">
        <x:f>F3330-G3330</x:f>
        <x:v>286.79</x:v>
      </x:c>
      <x:c r="I3330" s="13" t="n">
        <x:f>IF(C3330=0,"n.a.",F3330/C3330)</x:f>
        <x:v>143.395</x:v>
      </x:c>
      <x:c r="J3330" s="3"/>
      <x:c r="K3330" s="3"/>
      <x:c r="L3330" s="3"/>
    </x:row>
    <x:row r="3331" ht="22" customHeight="1">
      <x:c r="A3331" s="3"/>
      <x:c r="B3331" s="3" t="str">
        <x:v>16555</x:v>
      </x:c>
      <x:c r="C3331" s="3" t="n">
        <x:v>2</x:v>
      </x:c>
      <x:c r="D3331" s="51" t="n">
        <x:v>40851</x:v>
      </x:c>
      <x:c r="E3331" s="3" t="str">
        <x:v>Recurrente</x:v>
      </x:c>
      <x:c r="F3331" s="13" t="n">
        <x:v>285.89</x:v>
      </x:c>
      <x:c r="G3331" s="13" t="n">
        <x:v>0</x:v>
      </x:c>
      <x:c r="H3331" s="13" t="n">
        <x:f>F3331-G3331</x:f>
        <x:v>285.89</x:v>
      </x:c>
      <x:c r="I3331" s="13" t="n">
        <x:f>IF(C3331=0,"n.a.",F3331/C3331)</x:f>
        <x:v>142.945</x:v>
      </x:c>
      <x:c r="J3331" s="3"/>
      <x:c r="K3331" s="3"/>
      <x:c r="L3331" s="3"/>
    </x:row>
    <x:row r="3332" ht="22" customHeight="1">
      <x:c r="A3332" s="3"/>
      <x:c r="B3332" s="3" t="str">
        <x:v>14660</x:v>
      </x:c>
      <x:c r="C3332" s="3" t="n">
        <x:v>2</x:v>
      </x:c>
      <x:c r="D3332" s="51" t="n">
        <x:v>40800</x:v>
      </x:c>
      <x:c r="E3332" s="3" t="str">
        <x:v>Recurrente</x:v>
      </x:c>
      <x:c r="F3332" s="13" t="n">
        <x:v>285.74</x:v>
      </x:c>
      <x:c r="G3332" s="13" t="n">
        <x:v>0</x:v>
      </x:c>
      <x:c r="H3332" s="13" t="n">
        <x:f>F3332-G3332</x:f>
        <x:v>285.74</x:v>
      </x:c>
      <x:c r="I3332" s="13" t="n">
        <x:f>IF(C3332=0,"n.a.",F3332/C3332)</x:f>
        <x:v>142.87</x:v>
      </x:c>
      <x:c r="J3332" s="3"/>
      <x:c r="K3332" s="3"/>
      <x:c r="L3332" s="3"/>
    </x:row>
    <x:row r="3333" ht="22" customHeight="1">
      <x:c r="A3333" s="3"/>
      <x:c r="B3333" s="3" t="str">
        <x:v>17080</x:v>
      </x:c>
      <x:c r="C3333" s="3" t="n">
        <x:v>2</x:v>
      </x:c>
      <x:c r="D3333" s="51" t="n">
        <x:v>40864</x:v>
      </x:c>
      <x:c r="E3333" s="3" t="str">
        <x:v>Recurrente</x:v>
      </x:c>
      <x:c r="F3333" s="13" t="n">
        <x:v>287.62</x:v>
      </x:c>
      <x:c r="G3333" s="13" t="n">
        <x:v>2.12</x:v>
      </x:c>
      <x:c r="H3333" s="13" t="n">
        <x:f>F3333-G3333</x:f>
        <x:v>285.5</x:v>
      </x:c>
      <x:c r="I3333" s="13" t="n">
        <x:f>IF(C3333=0,"n.a.",F3333/C3333)</x:f>
        <x:v>143.81</x:v>
      </x:c>
      <x:c r="J3333" s="3"/>
      <x:c r="K3333" s="3"/>
      <x:c r="L3333" s="3"/>
    </x:row>
    <x:row r="3334" ht="22" customHeight="1">
      <x:c r="A3334" s="3"/>
      <x:c r="B3334" s="3" t="str">
        <x:v>16429</x:v>
      </x:c>
      <x:c r="C3334" s="3" t="n">
        <x:v>1</x:v>
      </x:c>
      <x:c r="D3334" s="51" t="n">
        <x:v>40780</x:v>
      </x:c>
      <x:c r="E3334" s="3" t="str">
        <x:v>Una compra</x:v>
      </x:c>
      <x:c r="F3334" s="13" t="n">
        <x:v>284.55</x:v>
      </x:c>
      <x:c r="G3334" s="13" t="n">
        <x:v>0</x:v>
      </x:c>
      <x:c r="H3334" s="13" t="n">
        <x:f>F3334-G3334</x:f>
        <x:v>284.55</x:v>
      </x:c>
      <x:c r="I3334" s="13" t="n">
        <x:f>IF(C3334=0,"n.a.",F3334/C3334)</x:f>
        <x:v>284.55</x:v>
      </x:c>
      <x:c r="J3334" s="3"/>
      <x:c r="K3334" s="3"/>
      <x:c r="L3334" s="3"/>
    </x:row>
    <x:row r="3335" ht="22" customHeight="1">
      <x:c r="A3335" s="3"/>
      <x:c r="B3335" s="3" t="str">
        <x:v>13439</x:v>
      </x:c>
      <x:c r="C3335" s="3" t="n">
        <x:v>1</x:v>
      </x:c>
      <x:c r="D3335" s="51" t="n">
        <x:v>40631</x:v>
      </x:c>
      <x:c r="E3335" s="3" t="str">
        <x:v>Una compra</x:v>
      </x:c>
      <x:c r="F3335" s="13" t="n">
        <x:v>283.71</x:v>
      </x:c>
      <x:c r="G3335" s="13" t="n">
        <x:v>0</x:v>
      </x:c>
      <x:c r="H3335" s="13" t="n">
        <x:f>F3335-G3335</x:f>
        <x:v>283.71</x:v>
      </x:c>
      <x:c r="I3335" s="13" t="n">
        <x:f>IF(C3335=0,"n.a.",F3335/C3335)</x:f>
        <x:v>283.71</x:v>
      </x:c>
      <x:c r="J3335" s="3"/>
      <x:c r="K3335" s="3"/>
      <x:c r="L3335" s="3"/>
    </x:row>
    <x:row r="3336" ht="22" customHeight="1">
      <x:c r="A3336" s="3"/>
      <x:c r="B3336" s="3" t="str">
        <x:v>17783</x:v>
      </x:c>
      <x:c r="C3336" s="3" t="n">
        <x:v>2</x:v>
      </x:c>
      <x:c r="D3336" s="51" t="n">
        <x:v>40814</x:v>
      </x:c>
      <x:c r="E3336" s="3" t="str">
        <x:v>Recurrente</x:v>
      </x:c>
      <x:c r="F3336" s="13" t="n">
        <x:v>283.47</x:v>
      </x:c>
      <x:c r="G3336" s="13" t="n">
        <x:v>0</x:v>
      </x:c>
      <x:c r="H3336" s="13" t="n">
        <x:f>F3336-G3336</x:f>
        <x:v>283.47</x:v>
      </x:c>
      <x:c r="I3336" s="13" t="n">
        <x:f>IF(C3336=0,"n.a.",F3336/C3336)</x:f>
        <x:v>141.735</x:v>
      </x:c>
      <x:c r="J3336" s="3"/>
      <x:c r="K3336" s="3"/>
      <x:c r="L3336" s="3"/>
    </x:row>
    <x:row r="3337" ht="22" customHeight="1">
      <x:c r="A3337" s="3"/>
      <x:c r="B3337" s="3" t="str">
        <x:v>17251</x:v>
      </x:c>
      <x:c r="C3337" s="3" t="n">
        <x:v>1</x:v>
      </x:c>
      <x:c r="D3337" s="51" t="n">
        <x:v>40524</x:v>
      </x:c>
      <x:c r="E3337" s="3" t="str">
        <x:v>Una compra</x:v>
      </x:c>
      <x:c r="F3337" s="13" t="n">
        <x:v>283.28</x:v>
      </x:c>
      <x:c r="G3337" s="13" t="n">
        <x:v>0</x:v>
      </x:c>
      <x:c r="H3337" s="13" t="n">
        <x:f>F3337-G3337</x:f>
        <x:v>283.28</x:v>
      </x:c>
      <x:c r="I3337" s="13" t="n">
        <x:f>IF(C3337=0,"n.a.",F3337/C3337)</x:f>
        <x:v>283.28</x:v>
      </x:c>
      <x:c r="J3337" s="3"/>
      <x:c r="K3337" s="3"/>
      <x:c r="L3337" s="3"/>
    </x:row>
    <x:row r="3338" ht="22" customHeight="1">
      <x:c r="A3338" s="3"/>
      <x:c r="B3338" s="3" t="str">
        <x:v>17694</x:v>
      </x:c>
      <x:c r="C3338" s="3" t="n">
        <x:v>1</x:v>
      </x:c>
      <x:c r="D3338" s="51" t="n">
        <x:v>40745</x:v>
      </x:c>
      <x:c r="E3338" s="3" t="str">
        <x:v>Una compra</x:v>
      </x:c>
      <x:c r="F3338" s="13" t="n">
        <x:v>283.12</x:v>
      </x:c>
      <x:c r="G3338" s="13" t="n">
        <x:v>0</x:v>
      </x:c>
      <x:c r="H3338" s="13" t="n">
        <x:f>F3338-G3338</x:f>
        <x:v>283.12</x:v>
      </x:c>
      <x:c r="I3338" s="13" t="n">
        <x:f>IF(C3338=0,"n.a.",F3338/C3338)</x:f>
        <x:v>283.12</x:v>
      </x:c>
      <x:c r="J3338" s="3"/>
      <x:c r="K3338" s="3"/>
      <x:c r="L3338" s="3"/>
    </x:row>
    <x:row r="3339" ht="22" customHeight="1">
      <x:c r="A3339" s="3"/>
      <x:c r="B3339" s="3" t="str">
        <x:v>13754</x:v>
      </x:c>
      <x:c r="C3339" s="3" t="n">
        <x:v>2</x:v>
      </x:c>
      <x:c r="D3339" s="51" t="n">
        <x:v>40735</x:v>
      </x:c>
      <x:c r="E3339" s="3" t="str">
        <x:v>Recurrente</x:v>
      </x:c>
      <x:c r="F3339" s="13" t="n">
        <x:v>282.6</x:v>
      </x:c>
      <x:c r="G3339" s="13" t="n">
        <x:v>0</x:v>
      </x:c>
      <x:c r="H3339" s="13" t="n">
        <x:f>F3339-G3339</x:f>
        <x:v>282.6</x:v>
      </x:c>
      <x:c r="I3339" s="13" t="n">
        <x:f>IF(C3339=0,"n.a.",F3339/C3339)</x:f>
        <x:v>141.3</x:v>
      </x:c>
      <x:c r="J3339" s="3"/>
      <x:c r="K3339" s="3"/>
      <x:c r="L3339" s="3"/>
    </x:row>
    <x:row r="3340" ht="22" customHeight="1">
      <x:c r="A3340" s="3"/>
      <x:c r="B3340" s="3" t="str">
        <x:v>13177</x:v>
      </x:c>
      <x:c r="C3340" s="3" t="n">
        <x:v>1</x:v>
      </x:c>
      <x:c r="D3340" s="51" t="n">
        <x:v>40822</x:v>
      </x:c>
      <x:c r="E3340" s="3" t="str">
        <x:v>Una compra</x:v>
      </x:c>
      <x:c r="F3340" s="13" t="n">
        <x:v>282.45</x:v>
      </x:c>
      <x:c r="G3340" s="13" t="n">
        <x:v>0</x:v>
      </x:c>
      <x:c r="H3340" s="13" t="n">
        <x:f>F3340-G3340</x:f>
        <x:v>282.45</x:v>
      </x:c>
      <x:c r="I3340" s="13" t="n">
        <x:f>IF(C3340=0,"n.a.",F3340/C3340)</x:f>
        <x:v>282.45</x:v>
      </x:c>
      <x:c r="J3340" s="3"/>
      <x:c r="K3340" s="3"/>
      <x:c r="L3340" s="3"/>
    </x:row>
    <x:row r="3341" ht="22" customHeight="1">
      <x:c r="A3341" s="3"/>
      <x:c r="B3341" s="3" t="str">
        <x:v>17247</x:v>
      </x:c>
      <x:c r="C3341" s="3" t="n">
        <x:v>1</x:v>
      </x:c>
      <x:c r="D3341" s="51" t="n">
        <x:v>40871</x:v>
      </x:c>
      <x:c r="E3341" s="3" t="str">
        <x:v>Una compra</x:v>
      </x:c>
      <x:c r="F3341" s="13" t="n">
        <x:v>282.19</x:v>
      </x:c>
      <x:c r="G3341" s="13" t="n">
        <x:v>0</x:v>
      </x:c>
      <x:c r="H3341" s="13" t="n">
        <x:f>F3341-G3341</x:f>
        <x:v>282.19</x:v>
      </x:c>
      <x:c r="I3341" s="13" t="n">
        <x:f>IF(C3341=0,"n.a.",F3341/C3341)</x:f>
        <x:v>282.19</x:v>
      </x:c>
      <x:c r="J3341" s="3"/>
      <x:c r="K3341" s="3"/>
      <x:c r="L3341" s="3"/>
    </x:row>
    <x:row r="3342" ht="22" customHeight="1">
      <x:c r="A3342" s="3"/>
      <x:c r="B3342" s="3" t="str">
        <x:v>16557</x:v>
      </x:c>
      <x:c r="C3342" s="3" t="n">
        <x:v>2</x:v>
      </x:c>
      <x:c r="D3342" s="51" t="n">
        <x:v>40862</x:v>
      </x:c>
      <x:c r="E3342" s="3" t="str">
        <x:v>Recurrente</x:v>
      </x:c>
      <x:c r="F3342" s="13" t="n">
        <x:v>281.85</x:v>
      </x:c>
      <x:c r="G3342" s="13" t="n">
        <x:v>0</x:v>
      </x:c>
      <x:c r="H3342" s="13" t="n">
        <x:f>F3342-G3342</x:f>
        <x:v>281.85</x:v>
      </x:c>
      <x:c r="I3342" s="13" t="n">
        <x:f>IF(C3342=0,"n.a.",F3342/C3342)</x:f>
        <x:v>140.925</x:v>
      </x:c>
      <x:c r="J3342" s="3"/>
      <x:c r="K3342" s="3"/>
      <x:c r="L3342" s="3"/>
    </x:row>
    <x:row r="3343" ht="22" customHeight="1">
      <x:c r="A3343" s="3"/>
      <x:c r="B3343" s="3" t="str">
        <x:v>17403</x:v>
      </x:c>
      <x:c r="C3343" s="3" t="n">
        <x:v>1</x:v>
      </x:c>
      <x:c r="D3343" s="51" t="n">
        <x:v>40850</x:v>
      </x:c>
      <x:c r="E3343" s="3" t="str">
        <x:v>Una compra</x:v>
      </x:c>
      <x:c r="F3343" s="13" t="n">
        <x:v>281.62</x:v>
      </x:c>
      <x:c r="G3343" s="13" t="n">
        <x:v>0</x:v>
      </x:c>
      <x:c r="H3343" s="13" t="n">
        <x:f>F3343-G3343</x:f>
        <x:v>281.62</x:v>
      </x:c>
      <x:c r="I3343" s="13" t="n">
        <x:f>IF(C3343=0,"n.a.",F3343/C3343)</x:f>
        <x:v>281.62</x:v>
      </x:c>
      <x:c r="J3343" s="3"/>
      <x:c r="K3343" s="3"/>
      <x:c r="L3343" s="3"/>
    </x:row>
    <x:row r="3344" ht="22" customHeight="1">
      <x:c r="A3344" s="3"/>
      <x:c r="B3344" s="3" t="str">
        <x:v>16848</x:v>
      </x:c>
      <x:c r="C3344" s="3" t="n">
        <x:v>1</x:v>
      </x:c>
      <x:c r="D3344" s="51" t="n">
        <x:v>40834</x:v>
      </x:c>
      <x:c r="E3344" s="3" t="str">
        <x:v>Una compra</x:v>
      </x:c>
      <x:c r="F3344" s="13" t="n">
        <x:v>281.42</x:v>
      </x:c>
      <x:c r="G3344" s="13" t="n">
        <x:v>0</x:v>
      </x:c>
      <x:c r="H3344" s="13" t="n">
        <x:f>F3344-G3344</x:f>
        <x:v>281.42</x:v>
      </x:c>
      <x:c r="I3344" s="13" t="n">
        <x:f>IF(C3344=0,"n.a.",F3344/C3344)</x:f>
        <x:v>281.42</x:v>
      </x:c>
      <x:c r="J3344" s="3"/>
      <x:c r="K3344" s="3"/>
      <x:c r="L3344" s="3"/>
    </x:row>
    <x:row r="3345" ht="22" customHeight="1">
      <x:c r="A3345" s="3"/>
      <x:c r="B3345" s="3" t="str">
        <x:v>16292</x:v>
      </x:c>
      <x:c r="C3345" s="3" t="n">
        <x:v>1</x:v>
      </x:c>
      <x:c r="D3345" s="51" t="n">
        <x:v>40765</x:v>
      </x:c>
      <x:c r="E3345" s="3" t="str">
        <x:v>Una compra</x:v>
      </x:c>
      <x:c r="F3345" s="13" t="n">
        <x:v>302.25</x:v>
      </x:c>
      <x:c r="G3345" s="13" t="n">
        <x:v>21.35</x:v>
      </x:c>
      <x:c r="H3345" s="13" t="n">
        <x:f>F3345-G3345</x:f>
        <x:v>280.9</x:v>
      </x:c>
      <x:c r="I3345" s="13" t="n">
        <x:f>IF(C3345=0,"n.a.",F3345/C3345)</x:f>
        <x:v>302.25</x:v>
      </x:c>
      <x:c r="J3345" s="3"/>
      <x:c r="K3345" s="3"/>
      <x:c r="L3345" s="3"/>
    </x:row>
    <x:row r="3346" ht="22" customHeight="1">
      <x:c r="A3346" s="3"/>
      <x:c r="B3346" s="3" t="str">
        <x:v>14242</x:v>
      </x:c>
      <x:c r="C3346" s="3" t="n">
        <x:v>2</x:v>
      </x:c>
      <x:c r="D3346" s="51" t="n">
        <x:v>40652</x:v>
      </x:c>
      <x:c r="E3346" s="3" t="str">
        <x:v>Recurrente</x:v>
      </x:c>
      <x:c r="F3346" s="13" t="n">
        <x:v>280.55</x:v>
      </x:c>
      <x:c r="G3346" s="13" t="n">
        <x:v>0</x:v>
      </x:c>
      <x:c r="H3346" s="13" t="n">
        <x:f>F3346-G3346</x:f>
        <x:v>280.55</x:v>
      </x:c>
      <x:c r="I3346" s="13" t="n">
        <x:f>IF(C3346=0,"n.a.",F3346/C3346)</x:f>
        <x:v>140.275</x:v>
      </x:c>
      <x:c r="J3346" s="3"/>
      <x:c r="K3346" s="3"/>
      <x:c r="L3346" s="3"/>
    </x:row>
    <x:row r="3347" ht="22" customHeight="1">
      <x:c r="A3347" s="3"/>
      <x:c r="B3347" s="3" t="str">
        <x:v>13606</x:v>
      </x:c>
      <x:c r="C3347" s="3" t="n">
        <x:v>3</x:v>
      </x:c>
      <x:c r="D3347" s="51" t="n">
        <x:v>40857</x:v>
      </x:c>
      <x:c r="E3347" s="3" t="str">
        <x:v>Recurrente</x:v>
      </x:c>
      <x:c r="F3347" s="13" t="n">
        <x:v>280.54</x:v>
      </x:c>
      <x:c r="G3347" s="13" t="n">
        <x:v>0</x:v>
      </x:c>
      <x:c r="H3347" s="13" t="n">
        <x:f>F3347-G3347</x:f>
        <x:v>280.54</x:v>
      </x:c>
      <x:c r="I3347" s="13" t="n">
        <x:f>IF(C3347=0,"n.a.",F3347/C3347)</x:f>
        <x:v>93.51333333333334</x:v>
      </x:c>
      <x:c r="J3347" s="3"/>
      <x:c r="K3347" s="3"/>
      <x:c r="L3347" s="3"/>
    </x:row>
    <x:row r="3348" ht="22" customHeight="1">
      <x:c r="A3348" s="3"/>
      <x:c r="B3348" s="3" t="str">
        <x:v>16149</x:v>
      </x:c>
      <x:c r="C3348" s="3" t="n">
        <x:v>2</x:v>
      </x:c>
      <x:c r="D3348" s="51" t="n">
        <x:v>40882</x:v>
      </x:c>
      <x:c r="E3348" s="3" t="str">
        <x:v>Recurrente</x:v>
      </x:c>
      <x:c r="F3348" s="13" t="n">
        <x:v>280.52</x:v>
      </x:c>
      <x:c r="G3348" s="13" t="n">
        <x:v>0</x:v>
      </x:c>
      <x:c r="H3348" s="13" t="n">
        <x:f>F3348-G3348</x:f>
        <x:v>280.52</x:v>
      </x:c>
      <x:c r="I3348" s="13" t="n">
        <x:f>IF(C3348=0,"n.a.",F3348/C3348)</x:f>
        <x:v>140.26</x:v>
      </x:c>
      <x:c r="J3348" s="3"/>
      <x:c r="K3348" s="3"/>
      <x:c r="L3348" s="3"/>
    </x:row>
    <x:row r="3349" ht="22" customHeight="1">
      <x:c r="A3349" s="3"/>
      <x:c r="B3349" s="3" t="str">
        <x:v>14975</x:v>
      </x:c>
      <x:c r="C3349" s="3" t="n">
        <x:v>1</x:v>
      </x:c>
      <x:c r="D3349" s="51" t="n">
        <x:v>40829</x:v>
      </x:c>
      <x:c r="E3349" s="3" t="str">
        <x:v>Una compra</x:v>
      </x:c>
      <x:c r="F3349" s="13" t="n">
        <x:v>279.94</x:v>
      </x:c>
      <x:c r="G3349" s="13" t="n">
        <x:v>0</x:v>
      </x:c>
      <x:c r="H3349" s="13" t="n">
        <x:f>F3349-G3349</x:f>
        <x:v>279.94</x:v>
      </x:c>
      <x:c r="I3349" s="13" t="n">
        <x:f>IF(C3349=0,"n.a.",F3349/C3349)</x:f>
        <x:v>279.94</x:v>
      </x:c>
      <x:c r="J3349" s="3"/>
      <x:c r="K3349" s="3"/>
      <x:c r="L3349" s="3"/>
    </x:row>
    <x:row r="3350" ht="22" customHeight="1">
      <x:c r="A3350" s="3"/>
      <x:c r="B3350" s="3" t="str">
        <x:v>15556</x:v>
      </x:c>
      <x:c r="C3350" s="3" t="n">
        <x:v>1</x:v>
      </x:c>
      <x:c r="D3350" s="51" t="n">
        <x:v>40862</x:v>
      </x:c>
      <x:c r="E3350" s="3" t="str">
        <x:v>Una compra</x:v>
      </x:c>
      <x:c r="F3350" s="13" t="n">
        <x:v>279.77</x:v>
      </x:c>
      <x:c r="G3350" s="13" t="n">
        <x:v>0</x:v>
      </x:c>
      <x:c r="H3350" s="13" t="n">
        <x:f>F3350-G3350</x:f>
        <x:v>279.77</x:v>
      </x:c>
      <x:c r="I3350" s="13" t="n">
        <x:f>IF(C3350=0,"n.a.",F3350/C3350)</x:f>
        <x:v>279.77</x:v>
      </x:c>
      <x:c r="J3350" s="3"/>
      <x:c r="K3350" s="3"/>
      <x:c r="L3350" s="3"/>
    </x:row>
    <x:row r="3351" ht="22" customHeight="1">
      <x:c r="A3351" s="3"/>
      <x:c r="B3351" s="3" t="str">
        <x:v>14480</x:v>
      </x:c>
      <x:c r="C3351" s="3" t="n">
        <x:v>1</x:v>
      </x:c>
      <x:c r="D3351" s="51" t="n">
        <x:v>40875</x:v>
      </x:c>
      <x:c r="E3351" s="3" t="str">
        <x:v>Una compra</x:v>
      </x:c>
      <x:c r="F3351" s="13" t="n">
        <x:v>279.05</x:v>
      </x:c>
      <x:c r="G3351" s="13" t="n">
        <x:v>0</x:v>
      </x:c>
      <x:c r="H3351" s="13" t="n">
        <x:f>F3351-G3351</x:f>
        <x:v>279.05</x:v>
      </x:c>
      <x:c r="I3351" s="13" t="n">
        <x:f>IF(C3351=0,"n.a.",F3351/C3351)</x:f>
        <x:v>279.05</x:v>
      </x:c>
      <x:c r="J3351" s="3"/>
      <x:c r="K3351" s="3"/>
      <x:c r="L3351" s="3"/>
    </x:row>
    <x:row r="3352" ht="22" customHeight="1">
      <x:c r="A3352" s="3"/>
      <x:c r="B3352" s="3" t="str">
        <x:v>17786</x:v>
      </x:c>
      <x:c r="C3352" s="3" t="n">
        <x:v>2</x:v>
      </x:c>
      <x:c r="D3352" s="51" t="n">
        <x:v>40801</x:v>
      </x:c>
      <x:c r="E3352" s="3" t="str">
        <x:v>Recurrente</x:v>
      </x:c>
      <x:c r="F3352" s="13" t="n">
        <x:v>278.74</x:v>
      </x:c>
      <x:c r="G3352" s="13" t="n">
        <x:v>0</x:v>
      </x:c>
      <x:c r="H3352" s="13" t="n">
        <x:f>F3352-G3352</x:f>
        <x:v>278.74</x:v>
      </x:c>
      <x:c r="I3352" s="13" t="n">
        <x:f>IF(C3352=0,"n.a.",F3352/C3352)</x:f>
        <x:v>139.37</x:v>
      </x:c>
      <x:c r="J3352" s="3"/>
      <x:c r="K3352" s="3"/>
      <x:c r="L3352" s="3"/>
    </x:row>
    <x:row r="3353" ht="22" customHeight="1">
      <x:c r="A3353" s="3"/>
      <x:c r="B3353" s="3" t="str">
        <x:v>12515</x:v>
      </x:c>
      <x:c r="C3353" s="3" t="n">
        <x:v>1</x:v>
      </x:c>
      <x:c r="D3353" s="51" t="n">
        <x:v>40533</x:v>
      </x:c>
      <x:c r="E3353" s="3" t="str">
        <x:v>Una compra</x:v>
      </x:c>
      <x:c r="F3353" s="13" t="n">
        <x:v>278.7</x:v>
      </x:c>
      <x:c r="G3353" s="13" t="n">
        <x:v>0</x:v>
      </x:c>
      <x:c r="H3353" s="13" t="n">
        <x:f>F3353-G3353</x:f>
        <x:v>278.7</x:v>
      </x:c>
      <x:c r="I3353" s="13" t="n">
        <x:f>IF(C3353=0,"n.a.",F3353/C3353)</x:f>
        <x:v>278.7</x:v>
      </x:c>
      <x:c r="J3353" s="3"/>
      <x:c r="K3353" s="3"/>
      <x:c r="L3353" s="3"/>
    </x:row>
    <x:row r="3354" ht="22" customHeight="1">
      <x:c r="A3354" s="3"/>
      <x:c r="B3354" s="3" t="str">
        <x:v>16297</x:v>
      </x:c>
      <x:c r="C3354" s="3" t="n">
        <x:v>1</x:v>
      </x:c>
      <x:c r="D3354" s="51" t="n">
        <x:v>40618</x:v>
      </x:c>
      <x:c r="E3354" s="3" t="str">
        <x:v>Una compra</x:v>
      </x:c>
      <x:c r="F3354" s="13" t="n">
        <x:v>301.9</x:v>
      </x:c>
      <x:c r="G3354" s="13" t="n">
        <x:v>23.35</x:v>
      </x:c>
      <x:c r="H3354" s="13" t="n">
        <x:f>F3354-G3354</x:f>
        <x:v>278.54999999999995</x:v>
      </x:c>
      <x:c r="I3354" s="13" t="n">
        <x:f>IF(C3354=0,"n.a.",F3354/C3354)</x:f>
        <x:v>301.9</x:v>
      </x:c>
      <x:c r="J3354" s="3"/>
      <x:c r="K3354" s="3"/>
      <x:c r="L3354" s="3"/>
    </x:row>
    <x:row r="3355" ht="22" customHeight="1">
      <x:c r="A3355" s="3"/>
      <x:c r="B3355" s="3" t="str">
        <x:v>14850</x:v>
      </x:c>
      <x:c r="C3355" s="3" t="n">
        <x:v>1</x:v>
      </x:c>
      <x:c r="D3355" s="51" t="n">
        <x:v>40575</x:v>
      </x:c>
      <x:c r="E3355" s="3" t="str">
        <x:v>Una compra</x:v>
      </x:c>
      <x:c r="F3355" s="13" t="n">
        <x:v>325.75</x:v>
      </x:c>
      <x:c r="G3355" s="13" t="n">
        <x:v>47.6</x:v>
      </x:c>
      <x:c r="H3355" s="13" t="n">
        <x:f>F3355-G3355</x:f>
        <x:v>278.15</x:v>
      </x:c>
      <x:c r="I3355" s="13" t="n">
        <x:f>IF(C3355=0,"n.a.",F3355/C3355)</x:f>
        <x:v>325.75</x:v>
      </x:c>
      <x:c r="J3355" s="3"/>
      <x:c r="K3355" s="3"/>
      <x:c r="L3355" s="3"/>
    </x:row>
    <x:row r="3356" ht="22" customHeight="1">
      <x:c r="A3356" s="3"/>
      <x:c r="B3356" s="3" t="str">
        <x:v>14908</x:v>
      </x:c>
      <x:c r="C3356" s="3" t="n">
        <x:v>1</x:v>
      </x:c>
      <x:c r="D3356" s="51" t="n">
        <x:v>40812</x:v>
      </x:c>
      <x:c r="E3356" s="3" t="str">
        <x:v>Una compra</x:v>
      </x:c>
      <x:c r="F3356" s="13" t="n">
        <x:v>277.8</x:v>
      </x:c>
      <x:c r="G3356" s="13" t="n">
        <x:v>0</x:v>
      </x:c>
      <x:c r="H3356" s="13" t="n">
        <x:f>F3356-G3356</x:f>
        <x:v>277.8</x:v>
      </x:c>
      <x:c r="I3356" s="13" t="n">
        <x:f>IF(C3356=0,"n.a.",F3356/C3356)</x:f>
        <x:v>277.8</x:v>
      </x:c>
      <x:c r="J3356" s="3"/>
      <x:c r="K3356" s="3"/>
      <x:c r="L3356" s="3"/>
    </x:row>
    <x:row r="3357" ht="22" customHeight="1">
      <x:c r="A3357" s="3"/>
      <x:c r="B3357" s="3" t="str">
        <x:v>15279</x:v>
      </x:c>
      <x:c r="C3357" s="3" t="n">
        <x:v>1</x:v>
      </x:c>
      <x:c r="D3357" s="51" t="n">
        <x:v>40532</x:v>
      </x:c>
      <x:c r="E3357" s="3" t="str">
        <x:v>Una compra</x:v>
      </x:c>
      <x:c r="F3357" s="13" t="n">
        <x:v>290.51</x:v>
      </x:c>
      <x:c r="G3357" s="13" t="n">
        <x:v>13.1</x:v>
      </x:c>
      <x:c r="H3357" s="13" t="n">
        <x:f>F3357-G3357</x:f>
        <x:v>277.40999999999997</x:v>
      </x:c>
      <x:c r="I3357" s="13" t="n">
        <x:f>IF(C3357=0,"n.a.",F3357/C3357)</x:f>
        <x:v>290.51</x:v>
      </x:c>
      <x:c r="J3357" s="3"/>
      <x:c r="K3357" s="3"/>
      <x:c r="L3357" s="3"/>
    </x:row>
    <x:row r="3358" ht="22" customHeight="1">
      <x:c r="A3358" s="3"/>
      <x:c r="B3358" s="3" t="str">
        <x:v>17968</x:v>
      </x:c>
      <x:c r="C3358" s="3" t="n">
        <x:v>1</x:v>
      </x:c>
      <x:c r="D3358" s="51" t="n">
        <x:v>40513</x:v>
      </x:c>
      <x:c r="E3358" s="3" t="str">
        <x:v>Una compra</x:v>
      </x:c>
      <x:c r="F3358" s="13" t="n">
        <x:v>277.35</x:v>
      </x:c>
      <x:c r="G3358" s="13" t="n">
        <x:v>0</x:v>
      </x:c>
      <x:c r="H3358" s="13" t="n">
        <x:f>F3358-G3358</x:f>
        <x:v>277.35</x:v>
      </x:c>
      <x:c r="I3358" s="13" t="n">
        <x:f>IF(C3358=0,"n.a.",F3358/C3358)</x:f>
        <x:v>277.35</x:v>
      </x:c>
      <x:c r="J3358" s="3"/>
      <x:c r="K3358" s="3"/>
      <x:c r="L3358" s="3"/>
    </x:row>
    <x:row r="3359" ht="22" customHeight="1">
      <x:c r="A3359" s="3"/>
      <x:c r="B3359" s="3" t="str">
        <x:v>13803</x:v>
      </x:c>
      <x:c r="C3359" s="3" t="n">
        <x:v>1</x:v>
      </x:c>
      <x:c r="D3359" s="51" t="n">
        <x:v>40631</x:v>
      </x:c>
      <x:c r="E3359" s="3" t="str">
        <x:v>Una compra</x:v>
      </x:c>
      <x:c r="F3359" s="13" t="n">
        <x:v>277.07</x:v>
      </x:c>
      <x:c r="G3359" s="13" t="n">
        <x:v>0</x:v>
      </x:c>
      <x:c r="H3359" s="13" t="n">
        <x:f>F3359-G3359</x:f>
        <x:v>277.07</x:v>
      </x:c>
      <x:c r="I3359" s="13" t="n">
        <x:f>IF(C3359=0,"n.a.",F3359/C3359)</x:f>
        <x:v>277.07</x:v>
      </x:c>
      <x:c r="J3359" s="3"/>
      <x:c r="K3359" s="3"/>
      <x:c r="L3359" s="3"/>
    </x:row>
    <x:row r="3360" ht="22" customHeight="1">
      <x:c r="A3360" s="3"/>
      <x:c r="B3360" s="3" t="str">
        <x:v>15355</x:v>
      </x:c>
      <x:c r="C3360" s="3" t="n">
        <x:v>2</x:v>
      </x:c>
      <x:c r="D3360" s="51" t="n">
        <x:v>40857</x:v>
      </x:c>
      <x:c r="E3360" s="3" t="str">
        <x:v>Recurrente</x:v>
      </x:c>
      <x:c r="F3360" s="13" t="n">
        <x:v>277.05</x:v>
      </x:c>
      <x:c r="G3360" s="13" t="n">
        <x:v>0</x:v>
      </x:c>
      <x:c r="H3360" s="13" t="n">
        <x:f>F3360-G3360</x:f>
        <x:v>277.05</x:v>
      </x:c>
      <x:c r="I3360" s="13" t="n">
        <x:f>IF(C3360=0,"n.a.",F3360/C3360)</x:f>
        <x:v>138.525</x:v>
      </x:c>
      <x:c r="J3360" s="3"/>
      <x:c r="K3360" s="3"/>
      <x:c r="L3360" s="3"/>
    </x:row>
    <x:row r="3361" ht="22" customHeight="1">
      <x:c r="A3361" s="3"/>
      <x:c r="B3361" s="3" t="str">
        <x:v>16883</x:v>
      </x:c>
      <x:c r="C3361" s="3" t="n">
        <x:v>2</x:v>
      </x:c>
      <x:c r="D3361" s="51" t="n">
        <x:v>40699</x:v>
      </x:c>
      <x:c r="E3361" s="3" t="str">
        <x:v>Recurrente</x:v>
      </x:c>
      <x:c r="F3361" s="13" t="n">
        <x:v>276.73</x:v>
      </x:c>
      <x:c r="G3361" s="13" t="n">
        <x:v>0</x:v>
      </x:c>
      <x:c r="H3361" s="13" t="n">
        <x:f>F3361-G3361</x:f>
        <x:v>276.73</x:v>
      </x:c>
      <x:c r="I3361" s="13" t="n">
        <x:f>IF(C3361=0,"n.a.",F3361/C3361)</x:f>
        <x:v>138.365</x:v>
      </x:c>
      <x:c r="J3361" s="3"/>
      <x:c r="K3361" s="3"/>
      <x:c r="L3361" s="3"/>
    </x:row>
    <x:row r="3362" ht="22" customHeight="1">
      <x:c r="A3362" s="3"/>
      <x:c r="B3362" s="3" t="str">
        <x:v>13272</x:v>
      </x:c>
      <x:c r="C3362" s="3" t="n">
        <x:v>2</x:v>
      </x:c>
      <x:c r="D3362" s="51" t="n">
        <x:v>40855</x:v>
      </x:c>
      <x:c r="E3362" s="3" t="str">
        <x:v>Recurrente</x:v>
      </x:c>
      <x:c r="F3362" s="13" t="n">
        <x:v>276.56</x:v>
      </x:c>
      <x:c r="G3362" s="13" t="n">
        <x:v>0</x:v>
      </x:c>
      <x:c r="H3362" s="13" t="n">
        <x:f>F3362-G3362</x:f>
        <x:v>276.56</x:v>
      </x:c>
      <x:c r="I3362" s="13" t="n">
        <x:f>IF(C3362=0,"n.a.",F3362/C3362)</x:f>
        <x:v>138.28</x:v>
      </x:c>
      <x:c r="J3362" s="3"/>
      <x:c r="K3362" s="3"/>
      <x:c r="L3362" s="3"/>
    </x:row>
    <x:row r="3363" ht="22" customHeight="1">
      <x:c r="A3363" s="3"/>
      <x:c r="B3363" s="3" t="str">
        <x:v>14508</x:v>
      </x:c>
      <x:c r="C3363" s="3" t="n">
        <x:v>2</x:v>
      </x:c>
      <x:c r="D3363" s="51" t="n">
        <x:v>40864</x:v>
      </x:c>
      <x:c r="E3363" s="3" t="str">
        <x:v>Recurrente</x:v>
      </x:c>
      <x:c r="F3363" s="13" t="n">
        <x:v>276.42</x:v>
      </x:c>
      <x:c r="G3363" s="13" t="n">
        <x:v>0</x:v>
      </x:c>
      <x:c r="H3363" s="13" t="n">
        <x:f>F3363-G3363</x:f>
        <x:v>276.42</x:v>
      </x:c>
      <x:c r="I3363" s="13" t="n">
        <x:f>IF(C3363=0,"n.a.",F3363/C3363)</x:f>
        <x:v>138.21</x:v>
      </x:c>
      <x:c r="J3363" s="3"/>
      <x:c r="K3363" s="3"/>
      <x:c r="L3363" s="3"/>
    </x:row>
    <x:row r="3364" ht="22" customHeight="1">
      <x:c r="A3364" s="3"/>
      <x:c r="B3364" s="3" t="str">
        <x:v>12750</x:v>
      </x:c>
      <x:c r="C3364" s="3" t="n">
        <x:v>1</x:v>
      </x:c>
      <x:c r="D3364" s="51" t="n">
        <x:v>40758</x:v>
      </x:c>
      <x:c r="E3364" s="3" t="str">
        <x:v>Una compra</x:v>
      </x:c>
      <x:c r="F3364" s="13" t="n">
        <x:v>275.88</x:v>
      </x:c>
      <x:c r="G3364" s="13" t="n">
        <x:v>0</x:v>
      </x:c>
      <x:c r="H3364" s="13" t="n">
        <x:f>F3364-G3364</x:f>
        <x:v>275.88</x:v>
      </x:c>
      <x:c r="I3364" s="13" t="n">
        <x:f>IF(C3364=0,"n.a.",F3364/C3364)</x:f>
        <x:v>275.88</x:v>
      </x:c>
      <x:c r="J3364" s="3"/>
      <x:c r="K3364" s="3"/>
      <x:c r="L3364" s="3"/>
    </x:row>
    <x:row r="3365" ht="22" customHeight="1">
      <x:c r="A3365" s="3"/>
      <x:c r="B3365" s="3" t="str">
        <x:v>16810</x:v>
      </x:c>
      <x:c r="C3365" s="3" t="n">
        <x:v>1</x:v>
      </x:c>
      <x:c r="D3365" s="51" t="n">
        <x:v>40694</x:v>
      </x:c>
      <x:c r="E3365" s="3" t="str">
        <x:v>Una compra</x:v>
      </x:c>
      <x:c r="F3365" s="13" t="n">
        <x:v>309.54</x:v>
      </x:c>
      <x:c r="G3365" s="13" t="n">
        <x:v>33.9</x:v>
      </x:c>
      <x:c r="H3365" s="13" t="n">
        <x:f>F3365-G3365</x:f>
        <x:v>275.64000000000004</x:v>
      </x:c>
      <x:c r="I3365" s="13" t="n">
        <x:f>IF(C3365=0,"n.a.",F3365/C3365)</x:f>
        <x:v>309.54</x:v>
      </x:c>
      <x:c r="J3365" s="3"/>
      <x:c r="K3365" s="3"/>
      <x:c r="L3365" s="3"/>
    </x:row>
    <x:row r="3366" ht="22" customHeight="1">
      <x:c r="A3366" s="3"/>
      <x:c r="B3366" s="3" t="str">
        <x:v>14512</x:v>
      </x:c>
      <x:c r="C3366" s="3" t="n">
        <x:v>2</x:v>
      </x:c>
      <x:c r="D3366" s="51" t="n">
        <x:v>40699</x:v>
      </x:c>
      <x:c r="E3366" s="3" t="str">
        <x:v>Recurrente</x:v>
      </x:c>
      <x:c r="F3366" s="13" t="n">
        <x:v>275.28</x:v>
      </x:c>
      <x:c r="G3366" s="13" t="n">
        <x:v>0</x:v>
      </x:c>
      <x:c r="H3366" s="13" t="n">
        <x:f>F3366-G3366</x:f>
        <x:v>275.28</x:v>
      </x:c>
      <x:c r="I3366" s="13" t="n">
        <x:f>IF(C3366=0,"n.a.",F3366/C3366)</x:f>
        <x:v>137.64</x:v>
      </x:c>
      <x:c r="J3366" s="3"/>
      <x:c r="K3366" s="3"/>
      <x:c r="L3366" s="3"/>
    </x:row>
    <x:row r="3367" ht="22" customHeight="1">
      <x:c r="A3367" s="3"/>
      <x:c r="B3367" s="3" t="str">
        <x:v>18190</x:v>
      </x:c>
      <x:c r="C3367" s="3" t="n">
        <x:v>2</x:v>
      </x:c>
      <x:c r="D3367" s="51" t="n">
        <x:v>40694</x:v>
      </x:c>
      <x:c r="E3367" s="3" t="str">
        <x:v>Recurrente</x:v>
      </x:c>
      <x:c r="F3367" s="13" t="n">
        <x:v>284.46</x:v>
      </x:c>
      <x:c r="G3367" s="13" t="n">
        <x:v>9.95</x:v>
      </x:c>
      <x:c r="H3367" s="13" t="n">
        <x:f>F3367-G3367</x:f>
        <x:v>274.51</x:v>
      </x:c>
      <x:c r="I3367" s="13" t="n">
        <x:f>IF(C3367=0,"n.a.",F3367/C3367)</x:f>
        <x:v>142.23</x:v>
      </x:c>
      <x:c r="J3367" s="3"/>
      <x:c r="K3367" s="3"/>
      <x:c r="L3367" s="3"/>
    </x:row>
    <x:row r="3368" ht="22" customHeight="1">
      <x:c r="A3368" s="3"/>
      <x:c r="B3368" s="3" t="str">
        <x:v>16313</x:v>
      </x:c>
      <x:c r="C3368" s="3" t="n">
        <x:v>2</x:v>
      </x:c>
      <x:c r="D3368" s="51" t="n">
        <x:v>40883</x:v>
      </x:c>
      <x:c r="E3368" s="3" t="str">
        <x:v>Recurrente</x:v>
      </x:c>
      <x:c r="F3368" s="13" t="n">
        <x:v>274.15</x:v>
      </x:c>
      <x:c r="G3368" s="13" t="n">
        <x:v>0</x:v>
      </x:c>
      <x:c r="H3368" s="13" t="n">
        <x:f>F3368-G3368</x:f>
        <x:v>274.15</x:v>
      </x:c>
      <x:c r="I3368" s="13" t="n">
        <x:f>IF(C3368=0,"n.a.",F3368/C3368)</x:f>
        <x:v>137.075</x:v>
      </x:c>
      <x:c r="J3368" s="3"/>
      <x:c r="K3368" s="3"/>
      <x:c r="L3368" s="3"/>
    </x:row>
    <x:row r="3369" ht="22" customHeight="1">
      <x:c r="A3369" s="3"/>
      <x:c r="B3369" s="3" t="str">
        <x:v>12715</x:v>
      </x:c>
      <x:c r="C3369" s="3" t="n">
        <x:v>1</x:v>
      </x:c>
      <x:c r="D3369" s="51" t="n">
        <x:v>40780</x:v>
      </x:c>
      <x:c r="E3369" s="3" t="str">
        <x:v>Una compra</x:v>
      </x:c>
      <x:c r="F3369" s="13" t="n">
        <x:v>273.86</x:v>
      </x:c>
      <x:c r="G3369" s="13" t="n">
        <x:v>0</x:v>
      </x:c>
      <x:c r="H3369" s="13" t="n">
        <x:f>F3369-G3369</x:f>
        <x:v>273.86</x:v>
      </x:c>
      <x:c r="I3369" s="13" t="n">
        <x:f>IF(C3369=0,"n.a.",F3369/C3369)</x:f>
        <x:v>273.86</x:v>
      </x:c>
      <x:c r="J3369" s="3"/>
      <x:c r="K3369" s="3"/>
      <x:c r="L3369" s="3"/>
    </x:row>
    <x:row r="3370" ht="22" customHeight="1">
      <x:c r="A3370" s="3"/>
      <x:c r="B3370" s="3" t="str">
        <x:v>16727</x:v>
      </x:c>
      <x:c r="C3370" s="3" t="n">
        <x:v>1</x:v>
      </x:c>
      <x:c r="D3370" s="51" t="n">
        <x:v>40522</x:v>
      </x:c>
      <x:c r="E3370" s="3" t="str">
        <x:v>Una compra</x:v>
      </x:c>
      <x:c r="F3370" s="13" t="n">
        <x:v>272.82</x:v>
      </x:c>
      <x:c r="G3370" s="13" t="n">
        <x:v>0</x:v>
      </x:c>
      <x:c r="H3370" s="13" t="n">
        <x:f>F3370-G3370</x:f>
        <x:v>272.82</x:v>
      </x:c>
      <x:c r="I3370" s="13" t="n">
        <x:f>IF(C3370=0,"n.a.",F3370/C3370)</x:f>
        <x:v>272.82</x:v>
      </x:c>
      <x:c r="J3370" s="3"/>
      <x:c r="K3370" s="3"/>
      <x:c r="L3370" s="3"/>
    </x:row>
    <x:row r="3371" ht="22" customHeight="1">
      <x:c r="A3371" s="3"/>
      <x:c r="B3371" s="3" t="str">
        <x:v>17254</x:v>
      </x:c>
      <x:c r="C3371" s="3" t="n">
        <x:v>2</x:v>
      </x:c>
      <x:c r="D3371" s="51" t="n">
        <x:v>40882</x:v>
      </x:c>
      <x:c r="E3371" s="3" t="str">
        <x:v>Recurrente</x:v>
      </x:c>
      <x:c r="F3371" s="13" t="n">
        <x:v>272.44</x:v>
      </x:c>
      <x:c r="G3371" s="13" t="n">
        <x:v>0</x:v>
      </x:c>
      <x:c r="H3371" s="13" t="n">
        <x:f>F3371-G3371</x:f>
        <x:v>272.44</x:v>
      </x:c>
      <x:c r="I3371" s="13" t="n">
        <x:f>IF(C3371=0,"n.a.",F3371/C3371)</x:f>
        <x:v>136.22</x:v>
      </x:c>
      <x:c r="J3371" s="3"/>
      <x:c r="K3371" s="3"/>
      <x:c r="L3371" s="3"/>
    </x:row>
    <x:row r="3372" ht="22" customHeight="1">
      <x:c r="A3372" s="3"/>
      <x:c r="B3372" s="3" t="str">
        <x:v>13085</x:v>
      </x:c>
      <x:c r="C3372" s="3" t="n">
        <x:v>2</x:v>
      </x:c>
      <x:c r="D3372" s="51" t="n">
        <x:v>40729</x:v>
      </x:c>
      <x:c r="E3372" s="3" t="str">
        <x:v>Recurrente</x:v>
      </x:c>
      <x:c r="F3372" s="13" t="n">
        <x:v>416.08</x:v>
      </x:c>
      <x:c r="G3372" s="13" t="n">
        <x:v>143.7</x:v>
      </x:c>
      <x:c r="H3372" s="13" t="n">
        <x:f>F3372-G3372</x:f>
        <x:v>272.38</x:v>
      </x:c>
      <x:c r="I3372" s="13" t="n">
        <x:f>IF(C3372=0,"n.a.",F3372/C3372)</x:f>
        <x:v>208.04</x:v>
      </x:c>
      <x:c r="J3372" s="3"/>
      <x:c r="K3372" s="3"/>
      <x:c r="L3372" s="3"/>
    </x:row>
    <x:row r="3373" ht="22" customHeight="1">
      <x:c r="A3373" s="3"/>
      <x:c r="B3373" s="3" t="str">
        <x:v>17498</x:v>
      </x:c>
      <x:c r="C3373" s="3" t="n">
        <x:v>1</x:v>
      </x:c>
      <x:c r="D3373" s="51" t="n">
        <x:v>40811</x:v>
      </x:c>
      <x:c r="E3373" s="3" t="str">
        <x:v>Una compra</x:v>
      </x:c>
      <x:c r="F3373" s="13" t="n">
        <x:v>272.22</x:v>
      </x:c>
      <x:c r="G3373" s="13" t="n">
        <x:v>0</x:v>
      </x:c>
      <x:c r="H3373" s="13" t="n">
        <x:f>F3373-G3373</x:f>
        <x:v>272.22</x:v>
      </x:c>
      <x:c r="I3373" s="13" t="n">
        <x:f>IF(C3373=0,"n.a.",F3373/C3373)</x:f>
        <x:v>272.22</x:v>
      </x:c>
      <x:c r="J3373" s="3"/>
      <x:c r="K3373" s="3"/>
      <x:c r="L3373" s="3"/>
    </x:row>
    <x:row r="3374" ht="22" customHeight="1">
      <x:c r="A3374" s="3"/>
      <x:c r="B3374" s="3" t="str">
        <x:v>14819</x:v>
      </x:c>
      <x:c r="C3374" s="3" t="n">
        <x:v>2</x:v>
      </x:c>
      <x:c r="D3374" s="51" t="n">
        <x:v>40822</x:v>
      </x:c>
      <x:c r="E3374" s="3" t="str">
        <x:v>Recurrente</x:v>
      </x:c>
      <x:c r="F3374" s="13" t="n">
        <x:v>272.07</x:v>
      </x:c>
      <x:c r="G3374" s="13" t="n">
        <x:v>0</x:v>
      </x:c>
      <x:c r="H3374" s="13" t="n">
        <x:f>F3374-G3374</x:f>
        <x:v>272.07</x:v>
      </x:c>
      <x:c r="I3374" s="13" t="n">
        <x:f>IF(C3374=0,"n.a.",F3374/C3374)</x:f>
        <x:v>136.035</x:v>
      </x:c>
      <x:c r="J3374" s="3"/>
      <x:c r="K3374" s="3"/>
      <x:c r="L3374" s="3"/>
    </x:row>
    <x:row r="3375" ht="22" customHeight="1">
      <x:c r="A3375" s="3"/>
      <x:c r="B3375" s="3" t="str">
        <x:v>13917</x:v>
      </x:c>
      <x:c r="C3375" s="3" t="n">
        <x:v>2</x:v>
      </x:c>
      <x:c r="D3375" s="51" t="n">
        <x:v>40837</x:v>
      </x:c>
      <x:c r="E3375" s="3" t="str">
        <x:v>Recurrente</x:v>
      </x:c>
      <x:c r="F3375" s="13" t="n">
        <x:v>272.04</x:v>
      </x:c>
      <x:c r="G3375" s="13" t="n">
        <x:v>0</x:v>
      </x:c>
      <x:c r="H3375" s="13" t="n">
        <x:f>F3375-G3375</x:f>
        <x:v>272.04</x:v>
      </x:c>
      <x:c r="I3375" s="13" t="n">
        <x:f>IF(C3375=0,"n.a.",F3375/C3375)</x:f>
        <x:v>136.02</x:v>
      </x:c>
      <x:c r="J3375" s="3"/>
      <x:c r="K3375" s="3"/>
      <x:c r="L3375" s="3"/>
    </x:row>
    <x:row r="3376" ht="22" customHeight="1">
      <x:c r="A3376" s="3"/>
      <x:c r="B3376" s="3" t="str">
        <x:v>14816</x:v>
      </x:c>
      <x:c r="C3376" s="3" t="n">
        <x:v>1</x:v>
      </x:c>
      <x:c r="D3376" s="51" t="n">
        <x:v>40689</x:v>
      </x:c>
      <x:c r="E3376" s="3" t="str">
        <x:v>Una compra</x:v>
      </x:c>
      <x:c r="F3376" s="13" t="n">
        <x:v>271.85</x:v>
      </x:c>
      <x:c r="G3376" s="13" t="n">
        <x:v>0</x:v>
      </x:c>
      <x:c r="H3376" s="13" t="n">
        <x:f>F3376-G3376</x:f>
        <x:v>271.85</x:v>
      </x:c>
      <x:c r="I3376" s="13" t="n">
        <x:f>IF(C3376=0,"n.a.",F3376/C3376)</x:f>
        <x:v>271.85</x:v>
      </x:c>
      <x:c r="J3376" s="3"/>
      <x:c r="K3376" s="3"/>
      <x:c r="L3376" s="3"/>
    </x:row>
    <x:row r="3377" ht="22" customHeight="1">
      <x:c r="A3377" s="3"/>
      <x:c r="B3377" s="3" t="str">
        <x:v>13058</x:v>
      </x:c>
      <x:c r="C3377" s="3" t="n">
        <x:v>3</x:v>
      </x:c>
      <x:c r="D3377" s="51" t="n">
        <x:v>40862</x:v>
      </x:c>
      <x:c r="E3377" s="3" t="str">
        <x:v>Recurrente</x:v>
      </x:c>
      <x:c r="F3377" s="13" t="n">
        <x:v>271.4</x:v>
      </x:c>
      <x:c r="G3377" s="13" t="n">
        <x:v>0</x:v>
      </x:c>
      <x:c r="H3377" s="13" t="n">
        <x:f>F3377-G3377</x:f>
        <x:v>271.4</x:v>
      </x:c>
      <x:c r="I3377" s="13" t="n">
        <x:f>IF(C3377=0,"n.a.",F3377/C3377)</x:f>
        <x:v>90.46666666666665</x:v>
      </x:c>
      <x:c r="J3377" s="3"/>
      <x:c r="K3377" s="3"/>
      <x:c r="L3377" s="3"/>
    </x:row>
    <x:row r="3378" ht="22" customHeight="1">
      <x:c r="A3378" s="3"/>
      <x:c r="B3378" s="3" t="str">
        <x:v>13837</x:v>
      </x:c>
      <x:c r="C3378" s="3" t="n">
        <x:v>2</x:v>
      </x:c>
      <x:c r="D3378" s="51" t="n">
        <x:v>40675</x:v>
      </x:c>
      <x:c r="E3378" s="3" t="str">
        <x:v>Recurrente</x:v>
      </x:c>
      <x:c r="F3378" s="13" t="n">
        <x:v>271.24</x:v>
      </x:c>
      <x:c r="G3378" s="13" t="n">
        <x:v>0</x:v>
      </x:c>
      <x:c r="H3378" s="13" t="n">
        <x:f>F3378-G3378</x:f>
        <x:v>271.24</x:v>
      </x:c>
      <x:c r="I3378" s="13" t="n">
        <x:f>IF(C3378=0,"n.a.",F3378/C3378)</x:f>
        <x:v>135.62</x:v>
      </x:c>
      <x:c r="J3378" s="3"/>
      <x:c r="K3378" s="3"/>
      <x:c r="L3378" s="3"/>
    </x:row>
    <x:row r="3379" ht="22" customHeight="1">
      <x:c r="A3379" s="3"/>
      <x:c r="B3379" s="3" t="str">
        <x:v>17767</x:v>
      </x:c>
      <x:c r="C3379" s="3" t="n">
        <x:v>1</x:v>
      </x:c>
      <x:c r="D3379" s="51" t="n">
        <x:v>40871</x:v>
      </x:c>
      <x:c r="E3379" s="3" t="str">
        <x:v>Una compra</x:v>
      </x:c>
      <x:c r="F3379" s="13" t="n">
        <x:v>271.2</x:v>
      </x:c>
      <x:c r="G3379" s="13" t="n">
        <x:v>0</x:v>
      </x:c>
      <x:c r="H3379" s="13" t="n">
        <x:f>F3379-G3379</x:f>
        <x:v>271.2</x:v>
      </x:c>
      <x:c r="I3379" s="13" t="n">
        <x:f>IF(C3379=0,"n.a.",F3379/C3379)</x:f>
        <x:v>271.2</x:v>
      </x:c>
      <x:c r="J3379" s="3"/>
      <x:c r="K3379" s="3"/>
      <x:c r="L3379" s="3"/>
    </x:row>
    <x:row r="3380" ht="22" customHeight="1">
      <x:c r="A3380" s="3"/>
      <x:c r="B3380" s="3" t="str">
        <x:v>17496</x:v>
      </x:c>
      <x:c r="C3380" s="3" t="n">
        <x:v>1</x:v>
      </x:c>
      <x:c r="D3380" s="51" t="n">
        <x:v>40528</x:v>
      </x:c>
      <x:c r="E3380" s="3" t="str">
        <x:v>Una compra</x:v>
      </x:c>
      <x:c r="F3380" s="13" t="n">
        <x:v>271.05</x:v>
      </x:c>
      <x:c r="G3380" s="13" t="n">
        <x:v>0</x:v>
      </x:c>
      <x:c r="H3380" s="13" t="n">
        <x:f>F3380-G3380</x:f>
        <x:v>271.05</x:v>
      </x:c>
      <x:c r="I3380" s="13" t="n">
        <x:f>IF(C3380=0,"n.a.",F3380/C3380)</x:f>
        <x:v>271.05</x:v>
      </x:c>
      <x:c r="J3380" s="3"/>
      <x:c r="K3380" s="3"/>
      <x:c r="L3380" s="3"/>
    </x:row>
    <x:row r="3381" ht="22" customHeight="1">
      <x:c r="A3381" s="3"/>
      <x:c r="B3381" s="3" t="str">
        <x:v>17011</x:v>
      </x:c>
      <x:c r="C3381" s="3" t="n">
        <x:v>1</x:v>
      </x:c>
      <x:c r="D3381" s="51" t="n">
        <x:v>40856</x:v>
      </x:c>
      <x:c r="E3381" s="3" t="str">
        <x:v>Una compra</x:v>
      </x:c>
      <x:c r="F3381" s="13" t="n">
        <x:v>270.9</x:v>
      </x:c>
      <x:c r="G3381" s="13" t="n">
        <x:v>0</x:v>
      </x:c>
      <x:c r="H3381" s="13" t="n">
        <x:f>F3381-G3381</x:f>
        <x:v>270.9</x:v>
      </x:c>
      <x:c r="I3381" s="13" t="n">
        <x:f>IF(C3381=0,"n.a.",F3381/C3381)</x:f>
        <x:v>270.9</x:v>
      </x:c>
      <x:c r="J3381" s="3"/>
      <x:c r="K3381" s="3"/>
      <x:c r="L3381" s="3"/>
    </x:row>
    <x:row r="3382" ht="22" customHeight="1">
      <x:c r="A3382" s="3"/>
      <x:c r="B3382" s="3" t="str">
        <x:v>16648</x:v>
      </x:c>
      <x:c r="C3382" s="3" t="n">
        <x:v>1</x:v>
      </x:c>
      <x:c r="D3382" s="51" t="n">
        <x:v>40844</x:v>
      </x:c>
      <x:c r="E3382" s="3" t="str">
        <x:v>Una compra</x:v>
      </x:c>
      <x:c r="F3382" s="13" t="n">
        <x:v>290.66</x:v>
      </x:c>
      <x:c r="G3382" s="13" t="n">
        <x:v>19.8</x:v>
      </x:c>
      <x:c r="H3382" s="13" t="n">
        <x:f>F3382-G3382</x:f>
        <x:v>270.86</x:v>
      </x:c>
      <x:c r="I3382" s="13" t="n">
        <x:f>IF(C3382=0,"n.a.",F3382/C3382)</x:f>
        <x:v>290.66</x:v>
      </x:c>
      <x:c r="J3382" s="3"/>
      <x:c r="K3382" s="3"/>
      <x:c r="L3382" s="3"/>
    </x:row>
    <x:row r="3383" ht="22" customHeight="1">
      <x:c r="A3383" s="3"/>
      <x:c r="B3383" s="3" t="str">
        <x:v>15774</x:v>
      </x:c>
      <x:c r="C3383" s="3" t="n">
        <x:v>1</x:v>
      </x:c>
      <x:c r="D3383" s="51" t="n">
        <x:v>40818</x:v>
      </x:c>
      <x:c r="E3383" s="3" t="str">
        <x:v>Una compra</x:v>
      </x:c>
      <x:c r="F3383" s="13" t="n">
        <x:v>270.8</x:v>
      </x:c>
      <x:c r="G3383" s="13" t="n">
        <x:v>0</x:v>
      </x:c>
      <x:c r="H3383" s="13" t="n">
        <x:f>F3383-G3383</x:f>
        <x:v>270.8</x:v>
      </x:c>
      <x:c r="I3383" s="13" t="n">
        <x:f>IF(C3383=0,"n.a.",F3383/C3383)</x:f>
        <x:v>270.8</x:v>
      </x:c>
      <x:c r="J3383" s="3"/>
      <x:c r="K3383" s="3"/>
      <x:c r="L3383" s="3"/>
    </x:row>
    <x:row r="3384" ht="22" customHeight="1">
      <x:c r="A3384" s="3"/>
      <x:c r="B3384" s="3" t="str">
        <x:v>13533</x:v>
      </x:c>
      <x:c r="C3384" s="3" t="n">
        <x:v>3</x:v>
      </x:c>
      <x:c r="D3384" s="51" t="n">
        <x:v>40704</x:v>
      </x:c>
      <x:c r="E3384" s="3" t="str">
        <x:v>Recurrente</x:v>
      </x:c>
      <x:c r="F3384" s="13" t="n">
        <x:v>270.79</x:v>
      </x:c>
      <x:c r="G3384" s="13" t="n">
        <x:v>0</x:v>
      </x:c>
      <x:c r="H3384" s="13" t="n">
        <x:f>F3384-G3384</x:f>
        <x:v>270.79</x:v>
      </x:c>
      <x:c r="I3384" s="13" t="n">
        <x:f>IF(C3384=0,"n.a.",F3384/C3384)</x:f>
        <x:v>90.26333333333334</x:v>
      </x:c>
      <x:c r="J3384" s="3"/>
      <x:c r="K3384" s="3"/>
      <x:c r="L3384" s="3"/>
    </x:row>
    <x:row r="3385" ht="22" customHeight="1">
      <x:c r="A3385" s="3"/>
      <x:c r="B3385" s="3" t="str">
        <x:v>14520</x:v>
      </x:c>
      <x:c r="C3385" s="3" t="n">
        <x:v>2</x:v>
      </x:c>
      <x:c r="D3385" s="51" t="n">
        <x:v>40885</x:v>
      </x:c>
      <x:c r="E3385" s="3" t="str">
        <x:v>Recurrente</x:v>
      </x:c>
      <x:c r="F3385" s="13" t="n">
        <x:v>270.6</x:v>
      </x:c>
      <x:c r="G3385" s="13" t="n">
        <x:v>0</x:v>
      </x:c>
      <x:c r="H3385" s="13" t="n">
        <x:f>F3385-G3385</x:f>
        <x:v>270.6</x:v>
      </x:c>
      <x:c r="I3385" s="13" t="n">
        <x:f>IF(C3385=0,"n.a.",F3385/C3385)</x:f>
        <x:v>135.3</x:v>
      </x:c>
      <x:c r="J3385" s="3"/>
      <x:c r="K3385" s="3"/>
      <x:c r="L3385" s="3"/>
    </x:row>
    <x:row r="3386" ht="22" customHeight="1">
      <x:c r="A3386" s="3"/>
      <x:c r="B3386" s="3" t="str">
        <x:v>13242</x:v>
      </x:c>
      <x:c r="C3386" s="3" t="n">
        <x:v>3</x:v>
      </x:c>
      <x:c r="D3386" s="51" t="n">
        <x:v>40774</x:v>
      </x:c>
      <x:c r="E3386" s="3" t="str">
        <x:v>Recurrente</x:v>
      </x:c>
      <x:c r="F3386" s="13" t="n">
        <x:v>270.4</x:v>
      </x:c>
      <x:c r="G3386" s="13" t="n">
        <x:v>0</x:v>
      </x:c>
      <x:c r="H3386" s="13" t="n">
        <x:f>F3386-G3386</x:f>
        <x:v>270.4</x:v>
      </x:c>
      <x:c r="I3386" s="13" t="n">
        <x:f>IF(C3386=0,"n.a.",F3386/C3386)</x:f>
        <x:v>90.13333333333333</x:v>
      </x:c>
      <x:c r="J3386" s="3"/>
      <x:c r="K3386" s="3"/>
      <x:c r="L3386" s="3"/>
    </x:row>
    <x:row r="3387" ht="22" customHeight="1">
      <x:c r="A3387" s="3"/>
      <x:c r="B3387" s="3" t="str">
        <x:v>17094</x:v>
      </x:c>
      <x:c r="C3387" s="3" t="n">
        <x:v>1</x:v>
      </x:c>
      <x:c r="D3387" s="51" t="n">
        <x:v>40564</x:v>
      </x:c>
      <x:c r="E3387" s="3" t="str">
        <x:v>Una compra</x:v>
      </x:c>
      <x:c r="F3387" s="13" t="n">
        <x:v>302</x:v>
      </x:c>
      <x:c r="G3387" s="13" t="n">
        <x:v>31.8</x:v>
      </x:c>
      <x:c r="H3387" s="13" t="n">
        <x:f>F3387-G3387</x:f>
        <x:v>270.2</x:v>
      </x:c>
      <x:c r="I3387" s="13" t="n">
        <x:f>IF(C3387=0,"n.a.",F3387/C3387)</x:f>
        <x:v>302</x:v>
      </x:c>
      <x:c r="J3387" s="3"/>
      <x:c r="K3387" s="3"/>
      <x:c r="L3387" s="3"/>
    </x:row>
    <x:row r="3388" ht="22" customHeight="1">
      <x:c r="A3388" s="3"/>
      <x:c r="B3388" s="3" t="str">
        <x:v>15609</x:v>
      </x:c>
      <x:c r="C3388" s="3" t="n">
        <x:v>1</x:v>
      </x:c>
      <x:c r="D3388" s="51" t="n">
        <x:v>40702</x:v>
      </x:c>
      <x:c r="E3388" s="3" t="str">
        <x:v>Una compra</x:v>
      </x:c>
      <x:c r="F3388" s="13" t="n">
        <x:v>298.48</x:v>
      </x:c>
      <x:c r="G3388" s="13" t="n">
        <x:v>28.45</x:v>
      </x:c>
      <x:c r="H3388" s="13" t="n">
        <x:f>F3388-G3388</x:f>
        <x:v>270.03000000000003</x:v>
      </x:c>
      <x:c r="I3388" s="13" t="n">
        <x:f>IF(C3388=0,"n.a.",F3388/C3388)</x:f>
        <x:v>298.48</x:v>
      </x:c>
      <x:c r="J3388" s="3"/>
      <x:c r="K3388" s="3"/>
      <x:c r="L3388" s="3"/>
    </x:row>
    <x:row r="3389" ht="22" customHeight="1">
      <x:c r="A3389" s="3"/>
      <x:c r="B3389" s="3" t="str">
        <x:v>12623</x:v>
      </x:c>
      <x:c r="C3389" s="3" t="n">
        <x:v>1</x:v>
      </x:c>
      <x:c r="D3389" s="51" t="n">
        <x:v>40610</x:v>
      </x:c>
      <x:c r="E3389" s="3" t="str">
        <x:v>Una compra</x:v>
      </x:c>
      <x:c r="F3389" s="13" t="n">
        <x:v>269.1</x:v>
      </x:c>
      <x:c r="G3389" s="13" t="n">
        <x:v>0</x:v>
      </x:c>
      <x:c r="H3389" s="13" t="n">
        <x:f>F3389-G3389</x:f>
        <x:v>269.1</x:v>
      </x:c>
      <x:c r="I3389" s="13" t="n">
        <x:f>IF(C3389=0,"n.a.",F3389/C3389)</x:f>
        <x:v>269.1</x:v>
      </x:c>
      <x:c r="J3389" s="3"/>
      <x:c r="K3389" s="3"/>
      <x:c r="L3389" s="3"/>
    </x:row>
    <x:row r="3390" ht="22" customHeight="1">
      <x:c r="A3390" s="3"/>
      <x:c r="B3390" s="3" t="str">
        <x:v>14727</x:v>
      </x:c>
      <x:c r="C3390" s="3" t="n">
        <x:v>1</x:v>
      </x:c>
      <x:c r="D3390" s="51" t="n">
        <x:v>40612</x:v>
      </x:c>
      <x:c r="E3390" s="3" t="str">
        <x:v>Una compra</x:v>
      </x:c>
      <x:c r="F3390" s="13" t="n">
        <x:v>268.58</x:v>
      </x:c>
      <x:c r="G3390" s="13" t="n">
        <x:v>0</x:v>
      </x:c>
      <x:c r="H3390" s="13" t="n">
        <x:f>F3390-G3390</x:f>
        <x:v>268.58</x:v>
      </x:c>
      <x:c r="I3390" s="13" t="n">
        <x:f>IF(C3390=0,"n.a.",F3390/C3390)</x:f>
        <x:v>268.58</x:v>
      </x:c>
      <x:c r="J3390" s="3"/>
      <x:c r="K3390" s="3"/>
      <x:c r="L3390" s="3"/>
    </x:row>
    <x:row r="3391" ht="22" customHeight="1">
      <x:c r="A3391" s="3"/>
      <x:c r="B3391" s="3" t="str">
        <x:v>15408</x:v>
      </x:c>
      <x:c r="C3391" s="3" t="n">
        <x:v>1</x:v>
      </x:c>
      <x:c r="D3391" s="51" t="n">
        <x:v>40622</x:v>
      </x:c>
      <x:c r="E3391" s="3" t="str">
        <x:v>Una compra</x:v>
      </x:c>
      <x:c r="F3391" s="13" t="n">
        <x:v>267.18</x:v>
      </x:c>
      <x:c r="G3391" s="13" t="n">
        <x:v>0</x:v>
      </x:c>
      <x:c r="H3391" s="13" t="n">
        <x:f>F3391-G3391</x:f>
        <x:v>267.18</x:v>
      </x:c>
      <x:c r="I3391" s="13" t="n">
        <x:f>IF(C3391=0,"n.a.",F3391/C3391)</x:f>
        <x:v>267.18</x:v>
      </x:c>
      <x:c r="J3391" s="3"/>
      <x:c r="K3391" s="3"/>
      <x:c r="L3391" s="3"/>
    </x:row>
    <x:row r="3392" ht="22" customHeight="1">
      <x:c r="A3392" s="3"/>
      <x:c r="B3392" s="3" t="str">
        <x:v>17550</x:v>
      </x:c>
      <x:c r="C3392" s="3" t="n">
        <x:v>3</x:v>
      </x:c>
      <x:c r="D3392" s="51" t="n">
        <x:v>40689</x:v>
      </x:c>
      <x:c r="E3392" s="3" t="str">
        <x:v>Recurrente</x:v>
      </x:c>
      <x:c r="F3392" s="13" t="n">
        <x:v>267.16</x:v>
      </x:c>
      <x:c r="G3392" s="13" t="n">
        <x:v>0</x:v>
      </x:c>
      <x:c r="H3392" s="13" t="n">
        <x:f>F3392-G3392</x:f>
        <x:v>267.16</x:v>
      </x:c>
      <x:c r="I3392" s="13" t="n">
        <x:f>IF(C3392=0,"n.a.",F3392/C3392)</x:f>
        <x:v>89.05333333333334</x:v>
      </x:c>
      <x:c r="J3392" s="3"/>
      <x:c r="K3392" s="3"/>
      <x:c r="L3392" s="3"/>
    </x:row>
    <x:row r="3393" ht="22" customHeight="1">
      <x:c r="A3393" s="3"/>
      <x:c r="B3393" s="3" t="str">
        <x:v>15320</x:v>
      </x:c>
      <x:c r="C3393" s="3" t="n">
        <x:v>1</x:v>
      </x:c>
      <x:c r="D3393" s="51" t="n">
        <x:v>40842</x:v>
      </x:c>
      <x:c r="E3393" s="3" t="str">
        <x:v>Una compra</x:v>
      </x:c>
      <x:c r="F3393" s="13" t="n">
        <x:v>267.13</x:v>
      </x:c>
      <x:c r="G3393" s="13" t="n">
        <x:v>0</x:v>
      </x:c>
      <x:c r="H3393" s="13" t="n">
        <x:f>F3393-G3393</x:f>
        <x:v>267.13</x:v>
      </x:c>
      <x:c r="I3393" s="13" t="n">
        <x:f>IF(C3393=0,"n.a.",F3393/C3393)</x:f>
        <x:v>267.13</x:v>
      </x:c>
      <x:c r="J3393" s="3"/>
      <x:c r="K3393" s="3"/>
      <x:c r="L3393" s="3"/>
    </x:row>
    <x:row r="3394" ht="22" customHeight="1">
      <x:c r="A3394" s="3"/>
      <x:c r="B3394" s="3" t="str">
        <x:v>17708</x:v>
      </x:c>
      <x:c r="C3394" s="3" t="n">
        <x:v>2</x:v>
      </x:c>
      <x:c r="D3394" s="51" t="n">
        <x:v>40699</x:v>
      </x:c>
      <x:c r="E3394" s="3" t="str">
        <x:v>Recurrente</x:v>
      </x:c>
      <x:c r="F3394" s="13" t="n">
        <x:v>267.08</x:v>
      </x:c>
      <x:c r="G3394" s="13" t="n">
        <x:v>0</x:v>
      </x:c>
      <x:c r="H3394" s="13" t="n">
        <x:f>F3394-G3394</x:f>
        <x:v>267.08</x:v>
      </x:c>
      <x:c r="I3394" s="13" t="n">
        <x:f>IF(C3394=0,"n.a.",F3394/C3394)</x:f>
        <x:v>133.54</x:v>
      </x:c>
      <x:c r="J3394" s="3"/>
      <x:c r="K3394" s="3"/>
      <x:c r="L3394" s="3"/>
    </x:row>
    <x:row r="3395" ht="22" customHeight="1">
      <x:c r="A3395" s="3"/>
      <x:c r="B3395" s="3" t="str">
        <x:v>15517</x:v>
      </x:c>
      <x:c r="C3395" s="3" t="n">
        <x:v>1</x:v>
      </x:c>
      <x:c r="D3395" s="51" t="n">
        <x:v>40653</x:v>
      </x:c>
      <x:c r="E3395" s="3" t="str">
        <x:v>Una compra</x:v>
      </x:c>
      <x:c r="F3395" s="13" t="n">
        <x:v>267.03</x:v>
      </x:c>
      <x:c r="G3395" s="13" t="n">
        <x:v>0</x:v>
      </x:c>
      <x:c r="H3395" s="13" t="n">
        <x:f>F3395-G3395</x:f>
        <x:v>267.03</x:v>
      </x:c>
      <x:c r="I3395" s="13" t="n">
        <x:f>IF(C3395=0,"n.a.",F3395/C3395)</x:f>
        <x:v>267.03</x:v>
      </x:c>
      <x:c r="J3395" s="3"/>
      <x:c r="K3395" s="3"/>
      <x:c r="L3395" s="3"/>
    </x:row>
    <x:row r="3396" ht="22" customHeight="1">
      <x:c r="A3396" s="3"/>
      <x:c r="B3396" s="3" t="str">
        <x:v>16451</x:v>
      </x:c>
      <x:c r="C3396" s="3" t="n">
        <x:v>1</x:v>
      </x:c>
      <x:c r="D3396" s="51" t="n">
        <x:v>40799</x:v>
      </x:c>
      <x:c r="E3396" s="3" t="str">
        <x:v>Una compra</x:v>
      </x:c>
      <x:c r="F3396" s="13" t="n">
        <x:v>266.97</x:v>
      </x:c>
      <x:c r="G3396" s="13" t="n">
        <x:v>0</x:v>
      </x:c>
      <x:c r="H3396" s="13" t="n">
        <x:f>F3396-G3396</x:f>
        <x:v>266.97</x:v>
      </x:c>
      <x:c r="I3396" s="13" t="n">
        <x:f>IF(C3396=0,"n.a.",F3396/C3396)</x:f>
        <x:v>266.97</x:v>
      </x:c>
      <x:c r="J3396" s="3"/>
      <x:c r="K3396" s="3"/>
      <x:c r="L3396" s="3"/>
    </x:row>
    <x:row r="3397" ht="22" customHeight="1">
      <x:c r="A3397" s="3"/>
      <x:c r="B3397" s="3" t="str">
        <x:v>14863</x:v>
      </x:c>
      <x:c r="C3397" s="3" t="n">
        <x:v>1</x:v>
      </x:c>
      <x:c r="D3397" s="51" t="n">
        <x:v>40857</x:v>
      </x:c>
      <x:c r="E3397" s="3" t="str">
        <x:v>Una compra</x:v>
      </x:c>
      <x:c r="F3397" s="13" t="n">
        <x:v>266.76</x:v>
      </x:c>
      <x:c r="G3397" s="13" t="n">
        <x:v>0</x:v>
      </x:c>
      <x:c r="H3397" s="13" t="n">
        <x:f>F3397-G3397</x:f>
        <x:v>266.76</x:v>
      </x:c>
      <x:c r="I3397" s="13" t="n">
        <x:f>IF(C3397=0,"n.a.",F3397/C3397)</x:f>
        <x:v>266.76</x:v>
      </x:c>
      <x:c r="J3397" s="3"/>
      <x:c r="K3397" s="3"/>
      <x:c r="L3397" s="3"/>
    </x:row>
    <x:row r="3398" ht="22" customHeight="1">
      <x:c r="A3398" s="3"/>
      <x:c r="B3398" s="3" t="str">
        <x:v>16217</x:v>
      </x:c>
      <x:c r="C3398" s="3" t="n">
        <x:v>2</x:v>
      </x:c>
      <x:c r="D3398" s="51" t="n">
        <x:v>40651</x:v>
      </x:c>
      <x:c r="E3398" s="3" t="str">
        <x:v>Recurrente</x:v>
      </x:c>
      <x:c r="F3398" s="13" t="n">
        <x:v>304.25</x:v>
      </x:c>
      <x:c r="G3398" s="13" t="n">
        <x:v>37.8</x:v>
      </x:c>
      <x:c r="H3398" s="13" t="n">
        <x:f>F3398-G3398</x:f>
        <x:v>266.45</x:v>
      </x:c>
      <x:c r="I3398" s="13" t="n">
        <x:f>IF(C3398=0,"n.a.",F3398/C3398)</x:f>
        <x:v>152.125</x:v>
      </x:c>
      <x:c r="J3398" s="3"/>
      <x:c r="K3398" s="3"/>
      <x:c r="L3398" s="3"/>
    </x:row>
    <x:row r="3399" ht="22" customHeight="1">
      <x:c r="A3399" s="3"/>
      <x:c r="B3399" s="3" t="str">
        <x:v>15119</x:v>
      </x:c>
      <x:c r="C3399" s="3" t="n">
        <x:v>1</x:v>
      </x:c>
      <x:c r="D3399" s="51" t="n">
        <x:v>40641</x:v>
      </x:c>
      <x:c r="E3399" s="3" t="str">
        <x:v>Una compra</x:v>
      </x:c>
      <x:c r="F3399" s="13" t="n">
        <x:v>266.4</x:v>
      </x:c>
      <x:c r="G3399" s="13" t="n">
        <x:v>0</x:v>
      </x:c>
      <x:c r="H3399" s="13" t="n">
        <x:f>F3399-G3399</x:f>
        <x:v>266.4</x:v>
      </x:c>
      <x:c r="I3399" s="13" t="n">
        <x:f>IF(C3399=0,"n.a.",F3399/C3399)</x:f>
        <x:v>266.4</x:v>
      </x:c>
      <x:c r="J3399" s="3"/>
      <x:c r="K3399" s="3"/>
      <x:c r="L3399" s="3"/>
    </x:row>
    <x:row r="3400" ht="22" customHeight="1">
      <x:c r="A3400" s="3"/>
      <x:c r="B3400" s="3" t="str">
        <x:v>12962</x:v>
      </x:c>
      <x:c r="C3400" s="3" t="n">
        <x:v>2</x:v>
      </x:c>
      <x:c r="D3400" s="51" t="n">
        <x:v>40879</x:v>
      </x:c>
      <x:c r="E3400" s="3" t="str">
        <x:v>Recurrente</x:v>
      </x:c>
      <x:c r="F3400" s="13" t="n">
        <x:v>266.39</x:v>
      </x:c>
      <x:c r="G3400" s="13" t="n">
        <x:v>0</x:v>
      </x:c>
      <x:c r="H3400" s="13" t="n">
        <x:f>F3400-G3400</x:f>
        <x:v>266.39</x:v>
      </x:c>
      <x:c r="I3400" s="13" t="n">
        <x:f>IF(C3400=0,"n.a.",F3400/C3400)</x:f>
        <x:v>133.195</x:v>
      </x:c>
      <x:c r="J3400" s="3"/>
      <x:c r="K3400" s="3"/>
      <x:c r="L3400" s="3"/>
    </x:row>
    <x:row r="3401" ht="22" customHeight="1">
      <x:c r="A3401" s="3"/>
      <x:c r="B3401" s="3" t="str">
        <x:v>15019</x:v>
      </x:c>
      <x:c r="C3401" s="3" t="n">
        <x:v>1</x:v>
      </x:c>
      <x:c r="D3401" s="51" t="n">
        <x:v>40620</x:v>
      </x:c>
      <x:c r="E3401" s="3" t="str">
        <x:v>Una compra</x:v>
      </x:c>
      <x:c r="F3401" s="13" t="n">
        <x:v>266</x:v>
      </x:c>
      <x:c r="G3401" s="13" t="n">
        <x:v>0</x:v>
      </x:c>
      <x:c r="H3401" s="13" t="n">
        <x:f>F3401-G3401</x:f>
        <x:v>266</x:v>
      </x:c>
      <x:c r="I3401" s="13" t="n">
        <x:f>IF(C3401=0,"n.a.",F3401/C3401)</x:f>
        <x:v>266</x:v>
      </x:c>
      <x:c r="J3401" s="3"/>
      <x:c r="K3401" s="3"/>
      <x:c r="L3401" s="3"/>
    </x:row>
    <x:row r="3402" ht="22" customHeight="1">
      <x:c r="A3402" s="3"/>
      <x:c r="B3402" s="3" t="str">
        <x:v>17636</x:v>
      </x:c>
      <x:c r="C3402" s="3" t="n">
        <x:v>1</x:v>
      </x:c>
      <x:c r="D3402" s="51" t="n">
        <x:v>40867</x:v>
      </x:c>
      <x:c r="E3402" s="3" t="str">
        <x:v>Una compra</x:v>
      </x:c>
      <x:c r="F3402" s="13" t="n">
        <x:v>285.56</x:v>
      </x:c>
      <x:c r="G3402" s="13" t="n">
        <x:v>19.63</x:v>
      </x:c>
      <x:c r="H3402" s="13" t="n">
        <x:f>F3402-G3402</x:f>
        <x:v>265.93</x:v>
      </x:c>
      <x:c r="I3402" s="13" t="n">
        <x:f>IF(C3402=0,"n.a.",F3402/C3402)</x:f>
        <x:v>285.56</x:v>
      </x:c>
      <x:c r="J3402" s="3"/>
      <x:c r="K3402" s="3"/>
      <x:c r="L3402" s="3"/>
    </x:row>
    <x:row r="3403" ht="22" customHeight="1">
      <x:c r="A3403" s="3"/>
      <x:c r="B3403" s="3" t="str">
        <x:v>14068</x:v>
      </x:c>
      <x:c r="C3403" s="3" t="n">
        <x:v>1</x:v>
      </x:c>
      <x:c r="D3403" s="51" t="n">
        <x:v>40566</x:v>
      </x:c>
      <x:c r="E3403" s="3" t="str">
        <x:v>Una compra</x:v>
      </x:c>
      <x:c r="F3403" s="13" t="n">
        <x:v>265.85</x:v>
      </x:c>
      <x:c r="G3403" s="13" t="n">
        <x:v>0</x:v>
      </x:c>
      <x:c r="H3403" s="13" t="n">
        <x:f>F3403-G3403</x:f>
        <x:v>265.85</x:v>
      </x:c>
      <x:c r="I3403" s="13" t="n">
        <x:f>IF(C3403=0,"n.a.",F3403/C3403)</x:f>
        <x:v>265.85</x:v>
      </x:c>
      <x:c r="J3403" s="3"/>
      <x:c r="K3403" s="3"/>
      <x:c r="L3403" s="3"/>
    </x:row>
    <x:row r="3404" ht="22" customHeight="1">
      <x:c r="A3404" s="3"/>
      <x:c r="B3404" s="3" t="str">
        <x:v>17430</x:v>
      </x:c>
      <x:c r="C3404" s="3" t="n">
        <x:v>2</x:v>
      </x:c>
      <x:c r="D3404" s="51" t="n">
        <x:v>40854</x:v>
      </x:c>
      <x:c r="E3404" s="3" t="str">
        <x:v>Recurrente</x:v>
      </x:c>
      <x:c r="F3404" s="13" t="n">
        <x:v>265.76</x:v>
      </x:c>
      <x:c r="G3404" s="13" t="n">
        <x:v>0</x:v>
      </x:c>
      <x:c r="H3404" s="13" t="n">
        <x:f>F3404-G3404</x:f>
        <x:v>265.76</x:v>
      </x:c>
      <x:c r="I3404" s="13" t="n">
        <x:f>IF(C3404=0,"n.a.",F3404/C3404)</x:f>
        <x:v>132.88</x:v>
      </x:c>
      <x:c r="J3404" s="3"/>
      <x:c r="K3404" s="3"/>
      <x:c r="L3404" s="3"/>
    </x:row>
    <x:row r="3405" ht="22" customHeight="1">
      <x:c r="A3405" s="3"/>
      <x:c r="B3405" s="3" t="str">
        <x:v>14423</x:v>
      </x:c>
      <x:c r="C3405" s="3" t="n">
        <x:v>1</x:v>
      </x:c>
      <x:c r="D3405" s="51" t="n">
        <x:v>40668</x:v>
      </x:c>
      <x:c r="E3405" s="3" t="str">
        <x:v>Una compra</x:v>
      </x:c>
      <x:c r="F3405" s="13" t="n">
        <x:v>265.2</x:v>
      </x:c>
      <x:c r="G3405" s="13" t="n">
        <x:v>0</x:v>
      </x:c>
      <x:c r="H3405" s="13" t="n">
        <x:f>F3405-G3405</x:f>
        <x:v>265.2</x:v>
      </x:c>
      <x:c r="I3405" s="13" t="n">
        <x:f>IF(C3405=0,"n.a.",F3405/C3405)</x:f>
        <x:v>265.2</x:v>
      </x:c>
      <x:c r="J3405" s="3"/>
      <x:c r="K3405" s="3"/>
      <x:c r="L3405" s="3"/>
    </x:row>
    <x:row r="3406" ht="22" customHeight="1">
      <x:c r="A3406" s="3"/>
      <x:c r="B3406" s="3" t="str">
        <x:v>13973</x:v>
      </x:c>
      <x:c r="C3406" s="3" t="n">
        <x:v>1</x:v>
      </x:c>
      <x:c r="D3406" s="51" t="n">
        <x:v>40599</x:v>
      </x:c>
      <x:c r="E3406" s="3" t="str">
        <x:v>Una compra</x:v>
      </x:c>
      <x:c r="F3406" s="13" t="n">
        <x:v>264.7</x:v>
      </x:c>
      <x:c r="G3406" s="13" t="n">
        <x:v>0</x:v>
      </x:c>
      <x:c r="H3406" s="13" t="n">
        <x:f>F3406-G3406</x:f>
        <x:v>264.7</x:v>
      </x:c>
      <x:c r="I3406" s="13" t="n">
        <x:f>IF(C3406=0,"n.a.",F3406/C3406)</x:f>
        <x:v>264.7</x:v>
      </x:c>
      <x:c r="J3406" s="3"/>
      <x:c r="K3406" s="3"/>
      <x:c r="L3406" s="3"/>
    </x:row>
    <x:row r="3407" ht="22" customHeight="1">
      <x:c r="A3407" s="3"/>
      <x:c r="B3407" s="3" t="str">
        <x:v>18108</x:v>
      </x:c>
      <x:c r="C3407" s="3" t="n">
        <x:v>1</x:v>
      </x:c>
      <x:c r="D3407" s="51" t="n">
        <x:v>40632</x:v>
      </x:c>
      <x:c r="E3407" s="3" t="str">
        <x:v>Una compra</x:v>
      </x:c>
      <x:c r="F3407" s="13" t="n">
        <x:v>271</x:v>
      </x:c>
      <x:c r="G3407" s="13" t="n">
        <x:v>6.35</x:v>
      </x:c>
      <x:c r="H3407" s="13" t="n">
        <x:f>F3407-G3407</x:f>
        <x:v>264.65</x:v>
      </x:c>
      <x:c r="I3407" s="13" t="n">
        <x:f>IF(C3407=0,"n.a.",F3407/C3407)</x:f>
        <x:v>271</x:v>
      </x:c>
      <x:c r="J3407" s="3"/>
      <x:c r="K3407" s="3"/>
      <x:c r="L3407" s="3"/>
    </x:row>
    <x:row r="3408" ht="22" customHeight="1">
      <x:c r="A3408" s="3"/>
      <x:c r="B3408" s="3" t="str">
        <x:v>15912</x:v>
      </x:c>
      <x:c r="C3408" s="3" t="n">
        <x:v>2</x:v>
      </x:c>
      <x:c r="D3408" s="51" t="n">
        <x:v>40708</x:v>
      </x:c>
      <x:c r="E3408" s="3" t="str">
        <x:v>Recurrente</x:v>
      </x:c>
      <x:c r="F3408" s="13" t="n">
        <x:v>264.62</x:v>
      </x:c>
      <x:c r="G3408" s="13" t="n">
        <x:v>0</x:v>
      </x:c>
      <x:c r="H3408" s="13" t="n">
        <x:f>F3408-G3408</x:f>
        <x:v>264.62</x:v>
      </x:c>
      <x:c r="I3408" s="13" t="n">
        <x:f>IF(C3408=0,"n.a.",F3408/C3408)</x:f>
        <x:v>132.31</x:v>
      </x:c>
      <x:c r="J3408" s="3"/>
      <x:c r="K3408" s="3"/>
      <x:c r="L3408" s="3"/>
    </x:row>
    <x:row r="3409" ht="22" customHeight="1">
      <x:c r="A3409" s="3"/>
      <x:c r="B3409" s="3" t="str">
        <x:v>14452</x:v>
      </x:c>
      <x:c r="C3409" s="3" t="n">
        <x:v>2</x:v>
      </x:c>
      <x:c r="D3409" s="51" t="n">
        <x:v>40876</x:v>
      </x:c>
      <x:c r="E3409" s="3" t="str">
        <x:v>Recurrente</x:v>
      </x:c>
      <x:c r="F3409" s="13" t="n">
        <x:v>264.44</x:v>
      </x:c>
      <x:c r="G3409" s="13" t="n">
        <x:v>0</x:v>
      </x:c>
      <x:c r="H3409" s="13" t="n">
        <x:f>F3409-G3409</x:f>
        <x:v>264.44</x:v>
      </x:c>
      <x:c r="I3409" s="13" t="n">
        <x:f>IF(C3409=0,"n.a.",F3409/C3409)</x:f>
        <x:v>132.22</x:v>
      </x:c>
      <x:c r="J3409" s="3"/>
      <x:c r="K3409" s="3"/>
      <x:c r="L3409" s="3"/>
    </x:row>
    <x:row r="3410" ht="22" customHeight="1">
      <x:c r="A3410" s="3"/>
      <x:c r="B3410" s="3" t="str">
        <x:v>15894</x:v>
      </x:c>
      <x:c r="C3410" s="3" t="n">
        <x:v>2</x:v>
      </x:c>
      <x:c r="D3410" s="51" t="n">
        <x:v>40633</x:v>
      </x:c>
      <x:c r="E3410" s="3" t="str">
        <x:v>Recurrente</x:v>
      </x:c>
      <x:c r="F3410" s="13" t="n">
        <x:v>262.9</x:v>
      </x:c>
      <x:c r="G3410" s="13" t="n">
        <x:v>0</x:v>
      </x:c>
      <x:c r="H3410" s="13" t="n">
        <x:f>F3410-G3410</x:f>
        <x:v>262.9</x:v>
      </x:c>
      <x:c r="I3410" s="13" t="n">
        <x:f>IF(C3410=0,"n.a.",F3410/C3410)</x:f>
        <x:v>131.45</x:v>
      </x:c>
      <x:c r="J3410" s="3"/>
      <x:c r="K3410" s="3"/>
      <x:c r="L3410" s="3"/>
    </x:row>
    <x:row r="3411" ht="22" customHeight="1">
      <x:c r="A3411" s="3"/>
      <x:c r="B3411" s="3" t="str">
        <x:v>16936</x:v>
      </x:c>
      <x:c r="C3411" s="3" t="n">
        <x:v>1</x:v>
      </x:c>
      <x:c r="D3411" s="51" t="n">
        <x:v>40861</x:v>
      </x:c>
      <x:c r="E3411" s="3" t="str">
        <x:v>Una compra</x:v>
      </x:c>
      <x:c r="F3411" s="13" t="n">
        <x:v>262.68</x:v>
      </x:c>
      <x:c r="G3411" s="13" t="n">
        <x:v>0</x:v>
      </x:c>
      <x:c r="H3411" s="13" t="n">
        <x:f>F3411-G3411</x:f>
        <x:v>262.68</x:v>
      </x:c>
      <x:c r="I3411" s="13" t="n">
        <x:f>IF(C3411=0,"n.a.",F3411/C3411)</x:f>
        <x:v>262.68</x:v>
      </x:c>
      <x:c r="J3411" s="3"/>
      <x:c r="K3411" s="3"/>
      <x:c r="L3411" s="3"/>
    </x:row>
    <x:row r="3412" ht="22" customHeight="1">
      <x:c r="A3412" s="3"/>
      <x:c r="B3412" s="3" t="str">
        <x:v>16413</x:v>
      </x:c>
      <x:c r="C3412" s="3" t="n">
        <x:v>1</x:v>
      </x:c>
      <x:c r="D3412" s="51" t="n">
        <x:v>40830</x:v>
      </x:c>
      <x:c r="E3412" s="3" t="str">
        <x:v>Una compra</x:v>
      </x:c>
      <x:c r="F3412" s="13" t="n">
        <x:v>262.2</x:v>
      </x:c>
      <x:c r="G3412" s="13" t="n">
        <x:v>0</x:v>
      </x:c>
      <x:c r="H3412" s="13" t="n">
        <x:f>F3412-G3412</x:f>
        <x:v>262.2</x:v>
      </x:c>
      <x:c r="I3412" s="13" t="n">
        <x:f>IF(C3412=0,"n.a.",F3412/C3412)</x:f>
        <x:v>262.2</x:v>
      </x:c>
      <x:c r="J3412" s="3"/>
      <x:c r="K3412" s="3"/>
      <x:c r="L3412" s="3"/>
    </x:row>
    <x:row r="3413" ht="22" customHeight="1">
      <x:c r="A3413" s="3"/>
      <x:c r="B3413" s="3" t="str">
        <x:v>17385</x:v>
      </x:c>
      <x:c r="C3413" s="3" t="n">
        <x:v>1</x:v>
      </x:c>
      <x:c r="D3413" s="51" t="n">
        <x:v>40872</x:v>
      </x:c>
      <x:c r="E3413" s="3" t="str">
        <x:v>Una compra</x:v>
      </x:c>
      <x:c r="F3413" s="13" t="n">
        <x:v>261.11</x:v>
      </x:c>
      <x:c r="G3413" s="13" t="n">
        <x:v>0</x:v>
      </x:c>
      <x:c r="H3413" s="13" t="n">
        <x:f>F3413-G3413</x:f>
        <x:v>261.11</x:v>
      </x:c>
      <x:c r="I3413" s="13" t="n">
        <x:f>IF(C3413=0,"n.a.",F3413/C3413)</x:f>
        <x:v>261.11</x:v>
      </x:c>
      <x:c r="J3413" s="3"/>
      <x:c r="K3413" s="3"/>
      <x:c r="L3413" s="3"/>
    </x:row>
    <x:row r="3414" ht="22" customHeight="1">
      <x:c r="A3414" s="3"/>
      <x:c r="B3414" s="3" t="str">
        <x:v>13189</x:v>
      </x:c>
      <x:c r="C3414" s="3" t="n">
        <x:v>2</x:v>
      </x:c>
      <x:c r="D3414" s="51" t="n">
        <x:v>40868</x:v>
      </x:c>
      <x:c r="E3414" s="3" t="str">
        <x:v>Recurrente</x:v>
      </x:c>
      <x:c r="F3414" s="13" t="n">
        <x:v>260.68</x:v>
      </x:c>
      <x:c r="G3414" s="13" t="n">
        <x:v>0</x:v>
      </x:c>
      <x:c r="H3414" s="13" t="n">
        <x:f>F3414-G3414</x:f>
        <x:v>260.68</x:v>
      </x:c>
      <x:c r="I3414" s="13" t="n">
        <x:f>IF(C3414=0,"n.a.",F3414/C3414)</x:f>
        <x:v>130.34</x:v>
      </x:c>
      <x:c r="J3414" s="3"/>
      <x:c r="K3414" s="3"/>
      <x:c r="L3414" s="3"/>
    </x:row>
    <x:row r="3415" ht="22" customHeight="1">
      <x:c r="A3415" s="3"/>
      <x:c r="B3415" s="3" t="str">
        <x:v>14053</x:v>
      </x:c>
      <x:c r="C3415" s="3" t="n">
        <x:v>2</x:v>
      </x:c>
      <x:c r="D3415" s="51" t="n">
        <x:v>40762</x:v>
      </x:c>
      <x:c r="E3415" s="3" t="str">
        <x:v>Recurrente</x:v>
      </x:c>
      <x:c r="F3415" s="13" t="n">
        <x:v>260.25</x:v>
      </x:c>
      <x:c r="G3415" s="13" t="n">
        <x:v>0</x:v>
      </x:c>
      <x:c r="H3415" s="13" t="n">
        <x:f>F3415-G3415</x:f>
        <x:v>260.25</x:v>
      </x:c>
      <x:c r="I3415" s="13" t="n">
        <x:f>IF(C3415=0,"n.a.",F3415/C3415)</x:f>
        <x:v>130.125</x:v>
      </x:c>
      <x:c r="J3415" s="3"/>
      <x:c r="K3415" s="3"/>
      <x:c r="L3415" s="3"/>
    </x:row>
    <x:row r="3416" ht="22" customHeight="1">
      <x:c r="A3416" s="3"/>
      <x:c r="B3416" s="3" t="str">
        <x:v>15014</x:v>
      </x:c>
      <x:c r="C3416" s="3" t="n">
        <x:v>2</x:v>
      </x:c>
      <x:c r="D3416" s="51" t="n">
        <x:v>40843</x:v>
      </x:c>
      <x:c r="E3416" s="3" t="str">
        <x:v>Recurrente</x:v>
      </x:c>
      <x:c r="F3416" s="13" t="n">
        <x:v>260.17</x:v>
      </x:c>
      <x:c r="G3416" s="13" t="n">
        <x:v>0</x:v>
      </x:c>
      <x:c r="H3416" s="13" t="n">
        <x:f>F3416-G3416</x:f>
        <x:v>260.17</x:v>
      </x:c>
      <x:c r="I3416" s="13" t="n">
        <x:f>IF(C3416=0,"n.a.",F3416/C3416)</x:f>
        <x:v>130.085</x:v>
      </x:c>
      <x:c r="J3416" s="3"/>
      <x:c r="K3416" s="3"/>
      <x:c r="L3416" s="3"/>
    </x:row>
    <x:row r="3417" ht="22" customHeight="1">
      <x:c r="A3417" s="3"/>
      <x:c r="B3417" s="3" t="str">
        <x:v>15107</x:v>
      </x:c>
      <x:c r="C3417" s="3" t="n">
        <x:v>6</x:v>
      </x:c>
      <x:c r="D3417" s="51" t="n">
        <x:v>40575</x:v>
      </x:c>
      <x:c r="E3417" s="3" t="str">
        <x:v>Recurrente</x:v>
      </x:c>
      <x:c r="F3417" s="13" t="n">
        <x:v>319.5</x:v>
      </x:c>
      <x:c r="G3417" s="13" t="n">
        <x:v>59.5</x:v>
      </x:c>
      <x:c r="H3417" s="13" t="n">
        <x:f>F3417-G3417</x:f>
        <x:v>260</x:v>
      </x:c>
      <x:c r="I3417" s="13" t="n">
        <x:f>IF(C3417=0,"n.a.",F3417/C3417)</x:f>
        <x:v>53.25</x:v>
      </x:c>
      <x:c r="J3417" s="3"/>
      <x:c r="K3417" s="3"/>
      <x:c r="L3417" s="3"/>
    </x:row>
    <x:row r="3418" ht="22" customHeight="1">
      <x:c r="A3418" s="3"/>
      <x:c r="B3418" s="3" t="str">
        <x:v>15143</x:v>
      </x:c>
      <x:c r="C3418" s="3" t="n">
        <x:v>1</x:v>
      </x:c>
      <x:c r="D3418" s="51" t="n">
        <x:v>40661</x:v>
      </x:c>
      <x:c r="E3418" s="3" t="str">
        <x:v>Una compra</x:v>
      </x:c>
      <x:c r="F3418" s="13" t="n">
        <x:v>259.45</x:v>
      </x:c>
      <x:c r="G3418" s="13" t="n">
        <x:v>0</x:v>
      </x:c>
      <x:c r="H3418" s="13" t="n">
        <x:f>F3418-G3418</x:f>
        <x:v>259.45</x:v>
      </x:c>
      <x:c r="I3418" s="13" t="n">
        <x:f>IF(C3418=0,"n.a.",F3418/C3418)</x:f>
        <x:v>259.45</x:v>
      </x:c>
      <x:c r="J3418" s="3"/>
      <x:c r="K3418" s="3"/>
      <x:c r="L3418" s="3"/>
    </x:row>
    <x:row r="3419" ht="22" customHeight="1">
      <x:c r="A3419" s="3"/>
      <x:c r="B3419" s="3" t="str">
        <x:v>14149</x:v>
      </x:c>
      <x:c r="C3419" s="3" t="n">
        <x:v>1</x:v>
      </x:c>
      <x:c r="D3419" s="51" t="n">
        <x:v>40666</x:v>
      </x:c>
      <x:c r="E3419" s="3" t="str">
        <x:v>Una compra</x:v>
      </x:c>
      <x:c r="F3419" s="13" t="n">
        <x:v>446.62</x:v>
      </x:c>
      <x:c r="G3419" s="13" t="n">
        <x:v>187.19</x:v>
      </x:c>
      <x:c r="H3419" s="13" t="n">
        <x:f>F3419-G3419</x:f>
        <x:v>259.43</x:v>
      </x:c>
      <x:c r="I3419" s="13" t="n">
        <x:f>IF(C3419=0,"n.a.",F3419/C3419)</x:f>
        <x:v>446.62</x:v>
      </x:c>
      <x:c r="J3419" s="3"/>
      <x:c r="K3419" s="3"/>
      <x:c r="L3419" s="3"/>
    </x:row>
    <x:row r="3420" ht="22" customHeight="1">
      <x:c r="A3420" s="3"/>
      <x:c r="B3420" s="3" t="str">
        <x:v>17125</x:v>
      </x:c>
      <x:c r="C3420" s="3" t="n">
        <x:v>1</x:v>
      </x:c>
      <x:c r="D3420" s="51" t="n">
        <x:v>40836</x:v>
      </x:c>
      <x:c r="E3420" s="3" t="str">
        <x:v>Una compra</x:v>
      </x:c>
      <x:c r="F3420" s="13" t="n">
        <x:v>259.35</x:v>
      </x:c>
      <x:c r="G3420" s="13" t="n">
        <x:v>0</x:v>
      </x:c>
      <x:c r="H3420" s="13" t="n">
        <x:f>F3420-G3420</x:f>
        <x:v>259.35</x:v>
      </x:c>
      <x:c r="I3420" s="13" t="n">
        <x:f>IF(C3420=0,"n.a.",F3420/C3420)</x:f>
        <x:v>259.35</x:v>
      </x:c>
      <x:c r="J3420" s="3"/>
      <x:c r="K3420" s="3"/>
      <x:c r="L3420" s="3"/>
    </x:row>
    <x:row r="3421" ht="22" customHeight="1">
      <x:c r="A3421" s="3"/>
      <x:c r="B3421" s="3" t="str">
        <x:v>13127</x:v>
      </x:c>
      <x:c r="C3421" s="3" t="n">
        <x:v>1</x:v>
      </x:c>
      <x:c r="D3421" s="51" t="n">
        <x:v>40809</x:v>
      </x:c>
      <x:c r="E3421" s="3" t="str">
        <x:v>Una compra</x:v>
      </x:c>
      <x:c r="F3421" s="13" t="n">
        <x:v>259.17</x:v>
      </x:c>
      <x:c r="G3421" s="13" t="n">
        <x:v>0</x:v>
      </x:c>
      <x:c r="H3421" s="13" t="n">
        <x:f>F3421-G3421</x:f>
        <x:v>259.17</x:v>
      </x:c>
      <x:c r="I3421" s="13" t="n">
        <x:f>IF(C3421=0,"n.a.",F3421/C3421)</x:f>
        <x:v>259.17</x:v>
      </x:c>
      <x:c r="J3421" s="3"/>
      <x:c r="K3421" s="3"/>
      <x:c r="L3421" s="3"/>
    </x:row>
    <x:row r="3422" ht="22" customHeight="1">
      <x:c r="A3422" s="3"/>
      <x:c r="B3422" s="3" t="str">
        <x:v>16447</x:v>
      </x:c>
      <x:c r="C3422" s="3" t="n">
        <x:v>1</x:v>
      </x:c>
      <x:c r="D3422" s="51" t="n">
        <x:v>40751</x:v>
      </x:c>
      <x:c r="E3422" s="3" t="str">
        <x:v>Una compra</x:v>
      </x:c>
      <x:c r="F3422" s="13" t="n">
        <x:v>259.01</x:v>
      </x:c>
      <x:c r="G3422" s="13" t="n">
        <x:v>0</x:v>
      </x:c>
      <x:c r="H3422" s="13" t="n">
        <x:f>F3422-G3422</x:f>
        <x:v>259.01</x:v>
      </x:c>
      <x:c r="I3422" s="13" t="n">
        <x:f>IF(C3422=0,"n.a.",F3422/C3422)</x:f>
        <x:v>259.01</x:v>
      </x:c>
      <x:c r="J3422" s="3"/>
      <x:c r="K3422" s="3"/>
      <x:c r="L3422" s="3"/>
    </x:row>
    <x:row r="3423" ht="22" customHeight="1">
      <x:c r="A3423" s="3"/>
      <x:c r="B3423" s="3" t="str">
        <x:v>15577</x:v>
      </x:c>
      <x:c r="C3423" s="3" t="n">
        <x:v>3</x:v>
      </x:c>
      <x:c r="D3423" s="51" t="n">
        <x:v>40735</x:v>
      </x:c>
      <x:c r="E3423" s="3" t="str">
        <x:v>Recurrente</x:v>
      </x:c>
      <x:c r="F3423" s="13" t="n">
        <x:v>258.88</x:v>
      </x:c>
      <x:c r="G3423" s="13" t="n">
        <x:v>0</x:v>
      </x:c>
      <x:c r="H3423" s="13" t="n">
        <x:f>F3423-G3423</x:f>
        <x:v>258.88</x:v>
      </x:c>
      <x:c r="I3423" s="13" t="n">
        <x:f>IF(C3423=0,"n.a.",F3423/C3423)</x:f>
        <x:v>86.29333333333334</x:v>
      </x:c>
      <x:c r="J3423" s="3"/>
      <x:c r="K3423" s="3"/>
      <x:c r="L3423" s="3"/>
    </x:row>
    <x:row r="3424" ht="22" customHeight="1">
      <x:c r="A3424" s="3"/>
      <x:c r="B3424" s="3" t="str">
        <x:v>14915</x:v>
      </x:c>
      <x:c r="C3424" s="3" t="n">
        <x:v>2</x:v>
      </x:c>
      <x:c r="D3424" s="51" t="n">
        <x:v>40795</x:v>
      </x:c>
      <x:c r="E3424" s="3" t="str">
        <x:v>Recurrente</x:v>
      </x:c>
      <x:c r="F3424" s="13" t="n">
        <x:v>307.48</x:v>
      </x:c>
      <x:c r="G3424" s="13" t="n">
        <x:v>48.65</x:v>
      </x:c>
      <x:c r="H3424" s="13" t="n">
        <x:f>F3424-G3424</x:f>
        <x:v>258.83000000000004</x:v>
      </x:c>
      <x:c r="I3424" s="13" t="n">
        <x:f>IF(C3424=0,"n.a.",F3424/C3424)</x:f>
        <x:v>153.74</x:v>
      </x:c>
      <x:c r="J3424" s="3"/>
      <x:c r="K3424" s="3"/>
      <x:c r="L3424" s="3"/>
    </x:row>
    <x:row r="3425" ht="22" customHeight="1">
      <x:c r="A3425" s="3"/>
      <x:c r="B3425" s="3" t="str">
        <x:v>14350</x:v>
      </x:c>
      <x:c r="C3425" s="3" t="n">
        <x:v>1</x:v>
      </x:c>
      <x:c r="D3425" s="51" t="n">
        <x:v>40612</x:v>
      </x:c>
      <x:c r="E3425" s="3" t="str">
        <x:v>Una compra</x:v>
      </x:c>
      <x:c r="F3425" s="13" t="n">
        <x:v>282.93</x:v>
      </x:c>
      <x:c r="G3425" s="13" t="n">
        <x:v>24.23</x:v>
      </x:c>
      <x:c r="H3425" s="13" t="n">
        <x:f>F3425-G3425</x:f>
        <x:v>258.7</x:v>
      </x:c>
      <x:c r="I3425" s="13" t="n">
        <x:f>IF(C3425=0,"n.a.",F3425/C3425)</x:f>
        <x:v>282.93</x:v>
      </x:c>
      <x:c r="J3425" s="3"/>
      <x:c r="K3425" s="3"/>
      <x:c r="L3425" s="3"/>
    </x:row>
    <x:row r="3426" ht="22" customHeight="1">
      <x:c r="A3426" s="3"/>
      <x:c r="B3426" s="3" t="str">
        <x:v>13277</x:v>
      </x:c>
      <x:c r="C3426" s="3" t="n">
        <x:v>4</x:v>
      </x:c>
      <x:c r="D3426" s="51" t="n">
        <x:v>40871</x:v>
      </x:c>
      <x:c r="E3426" s="3" t="str">
        <x:v>Recurrente</x:v>
      </x:c>
      <x:c r="F3426" s="13" t="n">
        <x:v>258.4</x:v>
      </x:c>
      <x:c r="G3426" s="13" t="n">
        <x:v>0</x:v>
      </x:c>
      <x:c r="H3426" s="13" t="n">
        <x:f>F3426-G3426</x:f>
        <x:v>258.4</x:v>
      </x:c>
      <x:c r="I3426" s="13" t="n">
        <x:f>IF(C3426=0,"n.a.",F3426/C3426)</x:f>
        <x:v>64.6</x:v>
      </x:c>
      <x:c r="J3426" s="3"/>
      <x:c r="K3426" s="3"/>
      <x:c r="L3426" s="3"/>
    </x:row>
    <x:row r="3427" ht="22" customHeight="1">
      <x:c r="A3427" s="3"/>
      <x:c r="B3427" s="3" t="str">
        <x:v>13227</x:v>
      </x:c>
      <x:c r="C3427" s="3" t="n">
        <x:v>1</x:v>
      </x:c>
      <x:c r="D3427" s="51" t="n">
        <x:v>40685</x:v>
      </x:c>
      <x:c r="E3427" s="3" t="str">
        <x:v>Una compra</x:v>
      </x:c>
      <x:c r="F3427" s="13" t="n">
        <x:v>257.7</x:v>
      </x:c>
      <x:c r="G3427" s="13" t="n">
        <x:v>0</x:v>
      </x:c>
      <x:c r="H3427" s="13" t="n">
        <x:f>F3427-G3427</x:f>
        <x:v>257.7</x:v>
      </x:c>
      <x:c r="I3427" s="13" t="n">
        <x:f>IF(C3427=0,"n.a.",F3427/C3427)</x:f>
        <x:v>257.7</x:v>
      </x:c>
      <x:c r="J3427" s="3"/>
      <x:c r="K3427" s="3"/>
      <x:c r="L3427" s="3"/>
    </x:row>
    <x:row r="3428" ht="22" customHeight="1">
      <x:c r="A3428" s="3"/>
      <x:c r="B3428" s="3" t="str">
        <x:v>14375</x:v>
      </x:c>
      <x:c r="C3428" s="3" t="n">
        <x:v>1</x:v>
      </x:c>
      <x:c r="D3428" s="51" t="n">
        <x:v>40701</x:v>
      </x:c>
      <x:c r="E3428" s="3" t="str">
        <x:v>Una compra</x:v>
      </x:c>
      <x:c r="F3428" s="13" t="n">
        <x:v>257.68</x:v>
      </x:c>
      <x:c r="G3428" s="13" t="n">
        <x:v>0</x:v>
      </x:c>
      <x:c r="H3428" s="13" t="n">
        <x:f>F3428-G3428</x:f>
        <x:v>257.68</x:v>
      </x:c>
      <x:c r="I3428" s="13" t="n">
        <x:f>IF(C3428=0,"n.a.",F3428/C3428)</x:f>
        <x:v>257.68</x:v>
      </x:c>
      <x:c r="J3428" s="3"/>
      <x:c r="K3428" s="3"/>
      <x:c r="L3428" s="3"/>
    </x:row>
    <x:row r="3429" ht="22" customHeight="1">
      <x:c r="A3429" s="3"/>
      <x:c r="B3429" s="3" t="str">
        <x:v>13626</x:v>
      </x:c>
      <x:c r="C3429" s="3" t="n">
        <x:v>1</x:v>
      </x:c>
      <x:c r="D3429" s="51" t="n">
        <x:v>40634</x:v>
      </x:c>
      <x:c r="E3429" s="3" t="str">
        <x:v>Una compra</x:v>
      </x:c>
      <x:c r="F3429" s="13" t="n">
        <x:v>257.23</x:v>
      </x:c>
      <x:c r="G3429" s="13" t="n">
        <x:v>0</x:v>
      </x:c>
      <x:c r="H3429" s="13" t="n">
        <x:f>F3429-G3429</x:f>
        <x:v>257.23</x:v>
      </x:c>
      <x:c r="I3429" s="13" t="n">
        <x:f>IF(C3429=0,"n.a.",F3429/C3429)</x:f>
        <x:v>257.23</x:v>
      </x:c>
      <x:c r="J3429" s="3"/>
      <x:c r="K3429" s="3"/>
      <x:c r="L3429" s="3"/>
    </x:row>
    <x:row r="3430" ht="22" customHeight="1">
      <x:c r="A3430" s="3"/>
      <x:c r="B3430" s="3" t="str">
        <x:v>12703</x:v>
      </x:c>
      <x:c r="C3430" s="3" t="n">
        <x:v>1</x:v>
      </x:c>
      <x:c r="D3430" s="51" t="n">
        <x:v>40815</x:v>
      </x:c>
      <x:c r="E3430" s="3" t="str">
        <x:v>Una compra</x:v>
      </x:c>
      <x:c r="F3430" s="13" t="n">
        <x:v>265.55</x:v>
      </x:c>
      <x:c r="G3430" s="13" t="n">
        <x:v>8.85</x:v>
      </x:c>
      <x:c r="H3430" s="13" t="n">
        <x:f>F3430-G3430</x:f>
        <x:v>256.7</x:v>
      </x:c>
      <x:c r="I3430" s="13" t="n">
        <x:f>IF(C3430=0,"n.a.",F3430/C3430)</x:f>
        <x:v>265.55</x:v>
      </x:c>
      <x:c r="J3430" s="3"/>
      <x:c r="K3430" s="3"/>
      <x:c r="L3430" s="3"/>
    </x:row>
    <x:row r="3431" ht="22" customHeight="1">
      <x:c r="A3431" s="3"/>
      <x:c r="B3431" s="3" t="str">
        <x:v>13806</x:v>
      </x:c>
      <x:c r="C3431" s="3" t="n">
        <x:v>1</x:v>
      </x:c>
      <x:c r="D3431" s="51" t="n">
        <x:v>40823</x:v>
      </x:c>
      <x:c r="E3431" s="3" t="str">
        <x:v>Una compra</x:v>
      </x:c>
      <x:c r="F3431" s="13" t="n">
        <x:v>256.38</x:v>
      </x:c>
      <x:c r="G3431" s="13" t="n">
        <x:v>0</x:v>
      </x:c>
      <x:c r="H3431" s="13" t="n">
        <x:f>F3431-G3431</x:f>
        <x:v>256.38</x:v>
      </x:c>
      <x:c r="I3431" s="13" t="n">
        <x:f>IF(C3431=0,"n.a.",F3431/C3431)</x:f>
        <x:v>256.38</x:v>
      </x:c>
      <x:c r="J3431" s="3"/>
      <x:c r="K3431" s="3"/>
      <x:c r="L3431" s="3"/>
    </x:row>
    <x:row r="3432" ht="22" customHeight="1">
      <x:c r="A3432" s="3"/>
      <x:c r="B3432" s="3" t="str">
        <x:v>17896</x:v>
      </x:c>
      <x:c r="C3432" s="3" t="n">
        <x:v>1</x:v>
      </x:c>
      <x:c r="D3432" s="51" t="n">
        <x:v>40863</x:v>
      </x:c>
      <x:c r="E3432" s="3" t="str">
        <x:v>Una compra</x:v>
      </x:c>
      <x:c r="F3432" s="13" t="n">
        <x:v>256.32</x:v>
      </x:c>
      <x:c r="G3432" s="13" t="n">
        <x:v>0</x:v>
      </x:c>
      <x:c r="H3432" s="13" t="n">
        <x:f>F3432-G3432</x:f>
        <x:v>256.32</x:v>
      </x:c>
      <x:c r="I3432" s="13" t="n">
        <x:f>IF(C3432=0,"n.a.",F3432/C3432)</x:f>
        <x:v>256.32</x:v>
      </x:c>
      <x:c r="J3432" s="3"/>
      <x:c r="K3432" s="3"/>
      <x:c r="L3432" s="3"/>
    </x:row>
    <x:row r="3433" ht="22" customHeight="1">
      <x:c r="A3433" s="3"/>
      <x:c r="B3433" s="3" t="str">
        <x:v>14761</x:v>
      </x:c>
      <x:c r="C3433" s="3" t="n">
        <x:v>2</x:v>
      </x:c>
      <x:c r="D3433" s="51" t="n">
        <x:v>40828</x:v>
      </x:c>
      <x:c r="E3433" s="3" t="str">
        <x:v>Recurrente</x:v>
      </x:c>
      <x:c r="F3433" s="13" t="n">
        <x:v>255.9</x:v>
      </x:c>
      <x:c r="G3433" s="13" t="n">
        <x:v>0</x:v>
      </x:c>
      <x:c r="H3433" s="13" t="n">
        <x:f>F3433-G3433</x:f>
        <x:v>255.9</x:v>
      </x:c>
      <x:c r="I3433" s="13" t="n">
        <x:f>IF(C3433=0,"n.a.",F3433/C3433)</x:f>
        <x:v>127.95</x:v>
      </x:c>
      <x:c r="J3433" s="3"/>
      <x:c r="K3433" s="3"/>
      <x:c r="L3433" s="3"/>
    </x:row>
    <x:row r="3434" ht="22" customHeight="1">
      <x:c r="A3434" s="3"/>
      <x:c r="B3434" s="3" t="str">
        <x:v>15277</x:v>
      </x:c>
      <x:c r="C3434" s="3" t="n">
        <x:v>1</x:v>
      </x:c>
      <x:c r="D3434" s="51" t="n">
        <x:v>40840</x:v>
      </x:c>
      <x:c r="E3434" s="3" t="str">
        <x:v>Una compra</x:v>
      </x:c>
      <x:c r="F3434" s="13" t="n">
        <x:v>255.9</x:v>
      </x:c>
      <x:c r="G3434" s="13" t="n">
        <x:v>0</x:v>
      </x:c>
      <x:c r="H3434" s="13" t="n">
        <x:f>F3434-G3434</x:f>
        <x:v>255.9</x:v>
      </x:c>
      <x:c r="I3434" s="13" t="n">
        <x:f>IF(C3434=0,"n.a.",F3434/C3434)</x:f>
        <x:v>255.9</x:v>
      </x:c>
      <x:c r="J3434" s="3"/>
      <x:c r="K3434" s="3"/>
      <x:c r="L3434" s="3"/>
    </x:row>
    <x:row r="3435" ht="22" customHeight="1">
      <x:c r="A3435" s="3"/>
      <x:c r="B3435" s="3" t="str">
        <x:v>14881</x:v>
      </x:c>
      <x:c r="C3435" s="3" t="n">
        <x:v>1</x:v>
      </x:c>
      <x:c r="D3435" s="51" t="n">
        <x:v>40867</x:v>
      </x:c>
      <x:c r="E3435" s="3" t="str">
        <x:v>Una compra</x:v>
      </x:c>
      <x:c r="F3435" s="13" t="n">
        <x:v>255.4</x:v>
      </x:c>
      <x:c r="G3435" s="13" t="n">
        <x:v>0</x:v>
      </x:c>
      <x:c r="H3435" s="13" t="n">
        <x:f>F3435-G3435</x:f>
        <x:v>255.4</x:v>
      </x:c>
      <x:c r="I3435" s="13" t="n">
        <x:f>IF(C3435=0,"n.a.",F3435/C3435)</x:f>
        <x:v>255.4</x:v>
      </x:c>
      <x:c r="J3435" s="3"/>
      <x:c r="K3435" s="3"/>
      <x:c r="L3435" s="3"/>
    </x:row>
    <x:row r="3436" ht="22" customHeight="1">
      <x:c r="A3436" s="3"/>
      <x:c r="B3436" s="3" t="str">
        <x:v>16226</x:v>
      </x:c>
      <x:c r="C3436" s="3" t="n">
        <x:v>3</x:v>
      </x:c>
      <x:c r="D3436" s="51" t="n">
        <x:v>40683</x:v>
      </x:c>
      <x:c r="E3436" s="3" t="str">
        <x:v>Recurrente</x:v>
      </x:c>
      <x:c r="F3436" s="13" t="n">
        <x:v>255.12</x:v>
      </x:c>
      <x:c r="G3436" s="13" t="n">
        <x:v>0</x:v>
      </x:c>
      <x:c r="H3436" s="13" t="n">
        <x:f>F3436-G3436</x:f>
        <x:v>255.12</x:v>
      </x:c>
      <x:c r="I3436" s="13" t="n">
        <x:f>IF(C3436=0,"n.a.",F3436/C3436)</x:f>
        <x:v>85.04</x:v>
      </x:c>
      <x:c r="J3436" s="3"/>
      <x:c r="K3436" s="3"/>
      <x:c r="L3436" s="3"/>
    </x:row>
    <x:row r="3437" ht="22" customHeight="1">
      <x:c r="A3437" s="3"/>
      <x:c r="B3437" s="3" t="str">
        <x:v>15261</x:v>
      </x:c>
      <x:c r="C3437" s="3" t="n">
        <x:v>1</x:v>
      </x:c>
      <x:c r="D3437" s="51" t="n">
        <x:v>40751</x:v>
      </x:c>
      <x:c r="E3437" s="3" t="str">
        <x:v>Una compra</x:v>
      </x:c>
      <x:c r="F3437" s="13" t="n">
        <x:v>254.82</x:v>
      </x:c>
      <x:c r="G3437" s="13" t="n">
        <x:v>0</x:v>
      </x:c>
      <x:c r="H3437" s="13" t="n">
        <x:f>F3437-G3437</x:f>
        <x:v>254.82</x:v>
      </x:c>
      <x:c r="I3437" s="13" t="n">
        <x:f>IF(C3437=0,"n.a.",F3437/C3437)</x:f>
        <x:v>254.82</x:v>
      </x:c>
      <x:c r="J3437" s="3"/>
      <x:c r="K3437" s="3"/>
      <x:c r="L3437" s="3"/>
    </x:row>
    <x:row r="3438" ht="22" customHeight="1">
      <x:c r="A3438" s="3"/>
      <x:c r="B3438" s="3" t="str">
        <x:v>13121</x:v>
      </x:c>
      <x:c r="C3438" s="3" t="n">
        <x:v>1</x:v>
      </x:c>
      <x:c r="D3438" s="51" t="n">
        <x:v>40617</x:v>
      </x:c>
      <x:c r="E3438" s="3" t="str">
        <x:v>Una compra</x:v>
      </x:c>
      <x:c r="F3438" s="13" t="n">
        <x:v>283.73</x:v>
      </x:c>
      <x:c r="G3438" s="13" t="n">
        <x:v>29</x:v>
      </x:c>
      <x:c r="H3438" s="13" t="n">
        <x:f>F3438-G3438</x:f>
        <x:v>254.73000000000002</x:v>
      </x:c>
      <x:c r="I3438" s="13" t="n">
        <x:f>IF(C3438=0,"n.a.",F3438/C3438)</x:f>
        <x:v>283.73</x:v>
      </x:c>
      <x:c r="J3438" s="3"/>
      <x:c r="K3438" s="3"/>
      <x:c r="L3438" s="3"/>
    </x:row>
    <x:row r="3439" ht="22" customHeight="1">
      <x:c r="A3439" s="3"/>
      <x:c r="B3439" s="3" t="str">
        <x:v>14765</x:v>
      </x:c>
      <x:c r="C3439" s="3" t="n">
        <x:v>3</x:v>
      </x:c>
      <x:c r="D3439" s="51" t="n">
        <x:v>40857</x:v>
      </x:c>
      <x:c r="E3439" s="3" t="str">
        <x:v>Recurrente</x:v>
      </x:c>
      <x:c r="F3439" s="13" t="n">
        <x:v>254.11</x:v>
      </x:c>
      <x:c r="G3439" s="13" t="n">
        <x:v>0</x:v>
      </x:c>
      <x:c r="H3439" s="13" t="n">
        <x:f>F3439-G3439</x:f>
        <x:v>254.11</x:v>
      </x:c>
      <x:c r="I3439" s="13" t="n">
        <x:f>IF(C3439=0,"n.a.",F3439/C3439)</x:f>
        <x:v>84.70333333333333</x:v>
      </x:c>
      <x:c r="J3439" s="3"/>
      <x:c r="K3439" s="3"/>
      <x:c r="L3439" s="3"/>
    </x:row>
    <x:row r="3440" ht="22" customHeight="1">
      <x:c r="A3440" s="3"/>
      <x:c r="B3440" s="3" t="str">
        <x:v>15689</x:v>
      </x:c>
      <x:c r="C3440" s="3" t="n">
        <x:v>2</x:v>
      </x:c>
      <x:c r="D3440" s="51" t="n">
        <x:v>40767</x:v>
      </x:c>
      <x:c r="E3440" s="3" t="str">
        <x:v>Recurrente</x:v>
      </x:c>
      <x:c r="F3440" s="13" t="n">
        <x:v>254.1</x:v>
      </x:c>
      <x:c r="G3440" s="13" t="n">
        <x:v>0</x:v>
      </x:c>
      <x:c r="H3440" s="13" t="n">
        <x:f>F3440-G3440</x:f>
        <x:v>254.1</x:v>
      </x:c>
      <x:c r="I3440" s="13" t="n">
        <x:f>IF(C3440=0,"n.a.",F3440/C3440)</x:f>
        <x:v>127.05</x:v>
      </x:c>
      <x:c r="J3440" s="3"/>
      <x:c r="K3440" s="3"/>
      <x:c r="L3440" s="3"/>
    </x:row>
    <x:row r="3441" ht="22" customHeight="1">
      <x:c r="A3441" s="3"/>
      <x:c r="B3441" s="3" t="str">
        <x:v>13343</x:v>
      </x:c>
      <x:c r="C3441" s="3" t="n">
        <x:v>1</x:v>
      </x:c>
      <x:c r="D3441" s="51" t="n">
        <x:v>40709</x:v>
      </x:c>
      <x:c r="E3441" s="3" t="str">
        <x:v>Una compra</x:v>
      </x:c>
      <x:c r="F3441" s="13" t="n">
        <x:v>303.43</x:v>
      </x:c>
      <x:c r="G3441" s="13" t="n">
        <x:v>49.5</x:v>
      </x:c>
      <x:c r="H3441" s="13" t="n">
        <x:f>F3441-G3441</x:f>
        <x:v>253.93</x:v>
      </x:c>
      <x:c r="I3441" s="13" t="n">
        <x:f>IF(C3441=0,"n.a.",F3441/C3441)</x:f>
        <x:v>303.43</x:v>
      </x:c>
      <x:c r="J3441" s="3"/>
      <x:c r="K3441" s="3"/>
      <x:c r="L3441" s="3"/>
    </x:row>
    <x:row r="3442" ht="22" customHeight="1">
      <x:c r="A3442" s="3"/>
      <x:c r="B3442" s="3" t="str">
        <x:v>12829</x:v>
      </x:c>
      <x:c r="C3442" s="3" t="n">
        <x:v>2</x:v>
      </x:c>
      <x:c r="D3442" s="51" t="n">
        <x:v>40550</x:v>
      </x:c>
      <x:c r="E3442" s="3" t="str">
        <x:v>Recurrente</x:v>
      </x:c>
      <x:c r="F3442" s="13" t="n">
        <x:v>293</x:v>
      </x:c>
      <x:c r="G3442" s="13" t="n">
        <x:v>39.95</x:v>
      </x:c>
      <x:c r="H3442" s="13" t="n">
        <x:f>F3442-G3442</x:f>
        <x:v>253.05</x:v>
      </x:c>
      <x:c r="I3442" s="13" t="n">
        <x:f>IF(C3442=0,"n.a.",F3442/C3442)</x:f>
        <x:v>146.5</x:v>
      </x:c>
      <x:c r="J3442" s="3"/>
      <x:c r="K3442" s="3"/>
      <x:c r="L3442" s="3"/>
    </x:row>
    <x:row r="3443" ht="22" customHeight="1">
      <x:c r="A3443" s="3"/>
      <x:c r="B3443" s="3" t="str">
        <x:v>15759</x:v>
      </x:c>
      <x:c r="C3443" s="3" t="n">
        <x:v>3</x:v>
      </x:c>
      <x:c r="D3443" s="51" t="n">
        <x:v>40668</x:v>
      </x:c>
      <x:c r="E3443" s="3" t="str">
        <x:v>Recurrente</x:v>
      </x:c>
      <x:c r="F3443" s="13" t="n">
        <x:v>253.04</x:v>
      </x:c>
      <x:c r="G3443" s="13" t="n">
        <x:v>0</x:v>
      </x:c>
      <x:c r="H3443" s="13" t="n">
        <x:f>F3443-G3443</x:f>
        <x:v>253.04</x:v>
      </x:c>
      <x:c r="I3443" s="13" t="n">
        <x:f>IF(C3443=0,"n.a.",F3443/C3443)</x:f>
        <x:v>84.34666666666666</x:v>
      </x:c>
      <x:c r="J3443" s="3"/>
      <x:c r="K3443" s="3"/>
      <x:c r="L3443" s="3"/>
    </x:row>
    <x:row r="3444" ht="22" customHeight="1">
      <x:c r="A3444" s="3"/>
      <x:c r="B3444" s="3" t="str">
        <x:v>17860</x:v>
      </x:c>
      <x:c r="C3444" s="3" t="n">
        <x:v>1</x:v>
      </x:c>
      <x:c r="D3444" s="51" t="n">
        <x:v>40518</x:v>
      </x:c>
      <x:c r="E3444" s="3" t="str">
        <x:v>Una compra</x:v>
      </x:c>
      <x:c r="F3444" s="13" t="n">
        <x:v>252.8</x:v>
      </x:c>
      <x:c r="G3444" s="13" t="n">
        <x:v>0</x:v>
      </x:c>
      <x:c r="H3444" s="13" t="n">
        <x:f>F3444-G3444</x:f>
        <x:v>252.8</x:v>
      </x:c>
      <x:c r="I3444" s="13" t="n">
        <x:f>IF(C3444=0,"n.a.",F3444/C3444)</x:f>
        <x:v>252.8</x:v>
      </x:c>
      <x:c r="J3444" s="3"/>
      <x:c r="K3444" s="3"/>
      <x:c r="L3444" s="3"/>
    </x:row>
    <x:row r="3445" ht="22" customHeight="1">
      <x:c r="A3445" s="3"/>
      <x:c r="B3445" s="3" t="str">
        <x:v>15035</x:v>
      </x:c>
      <x:c r="C3445" s="3" t="n">
        <x:v>1</x:v>
      </x:c>
      <x:c r="D3445" s="51" t="n">
        <x:v>40797</x:v>
      </x:c>
      <x:c r="E3445" s="3" t="str">
        <x:v>Una compra</x:v>
      </x:c>
      <x:c r="F3445" s="13" t="n">
        <x:v>252.73</x:v>
      </x:c>
      <x:c r="G3445" s="13" t="n">
        <x:v>0</x:v>
      </x:c>
      <x:c r="H3445" s="13" t="n">
        <x:f>F3445-G3445</x:f>
        <x:v>252.73</x:v>
      </x:c>
      <x:c r="I3445" s="13" t="n">
        <x:f>IF(C3445=0,"n.a.",F3445/C3445)</x:f>
        <x:v>252.73</x:v>
      </x:c>
      <x:c r="J3445" s="3"/>
      <x:c r="K3445" s="3"/>
      <x:c r="L3445" s="3"/>
    </x:row>
    <x:row r="3446" ht="22" customHeight="1">
      <x:c r="A3446" s="3"/>
      <x:c r="B3446" s="3" t="str">
        <x:v>13404</x:v>
      </x:c>
      <x:c r="C3446" s="3" t="n">
        <x:v>2</x:v>
      </x:c>
      <x:c r="D3446" s="51" t="n">
        <x:v>40885</x:v>
      </x:c>
      <x:c r="E3446" s="3" t="str">
        <x:v>Recurrente</x:v>
      </x:c>
      <x:c r="F3446" s="13" t="n">
        <x:v>252.49</x:v>
      </x:c>
      <x:c r="G3446" s="13" t="n">
        <x:v>0</x:v>
      </x:c>
      <x:c r="H3446" s="13" t="n">
        <x:f>F3446-G3446</x:f>
        <x:v>252.49</x:v>
      </x:c>
      <x:c r="I3446" s="13" t="n">
        <x:f>IF(C3446=0,"n.a.",F3446/C3446)</x:f>
        <x:v>126.245</x:v>
      </x:c>
      <x:c r="J3446" s="3"/>
      <x:c r="K3446" s="3"/>
      <x:c r="L3446" s="3"/>
    </x:row>
    <x:row r="3447" ht="22" customHeight="1">
      <x:c r="A3447" s="3"/>
      <x:c r="B3447" s="3" t="str">
        <x:v>15346</x:v>
      </x:c>
      <x:c r="C3447" s="3" t="n">
        <x:v>1</x:v>
      </x:c>
      <x:c r="D3447" s="51" t="n">
        <x:v>40554</x:v>
      </x:c>
      <x:c r="E3447" s="3" t="str">
        <x:v>Una compra</x:v>
      </x:c>
      <x:c r="F3447" s="13" t="n">
        <x:v>252.42</x:v>
      </x:c>
      <x:c r="G3447" s="13" t="n">
        <x:v>0</x:v>
      </x:c>
      <x:c r="H3447" s="13" t="n">
        <x:f>F3447-G3447</x:f>
        <x:v>252.42</x:v>
      </x:c>
      <x:c r="I3447" s="13" t="n">
        <x:f>IF(C3447=0,"n.a.",F3447/C3447)</x:f>
        <x:v>252.42</x:v>
      </x:c>
      <x:c r="J3447" s="3"/>
      <x:c r="K3447" s="3"/>
      <x:c r="L3447" s="3"/>
    </x:row>
    <x:row r="3448" ht="22" customHeight="1">
      <x:c r="A3448" s="3"/>
      <x:c r="B3448" s="3" t="str">
        <x:v>18009</x:v>
      </x:c>
      <x:c r="C3448" s="3" t="n">
        <x:v>1</x:v>
      </x:c>
      <x:c r="D3448" s="51" t="n">
        <x:v>40651</x:v>
      </x:c>
      <x:c r="E3448" s="3" t="str">
        <x:v>Una compra</x:v>
      </x:c>
      <x:c r="F3448" s="13" t="n">
        <x:v>257.34</x:v>
      </x:c>
      <x:c r="G3448" s="13" t="n">
        <x:v>5.1</x:v>
      </x:c>
      <x:c r="H3448" s="13" t="n">
        <x:f>F3448-G3448</x:f>
        <x:v>252.23999999999998</x:v>
      </x:c>
      <x:c r="I3448" s="13" t="n">
        <x:f>IF(C3448=0,"n.a.",F3448/C3448)</x:f>
        <x:v>257.34</x:v>
      </x:c>
      <x:c r="J3448" s="3"/>
      <x:c r="K3448" s="3"/>
      <x:c r="L3448" s="3"/>
    </x:row>
    <x:row r="3449" ht="22" customHeight="1">
      <x:c r="A3449" s="3"/>
      <x:c r="B3449" s="3" t="str">
        <x:v>13645</x:v>
      </x:c>
      <x:c r="C3449" s="3" t="n">
        <x:v>1</x:v>
      </x:c>
      <x:c r="D3449" s="51" t="n">
        <x:v>40766</x:v>
      </x:c>
      <x:c r="E3449" s="3" t="str">
        <x:v>Una compra</x:v>
      </x:c>
      <x:c r="F3449" s="13" t="n">
        <x:v>252.1</x:v>
      </x:c>
      <x:c r="G3449" s="13" t="n">
        <x:v>0</x:v>
      </x:c>
      <x:c r="H3449" s="13" t="n">
        <x:f>F3449-G3449</x:f>
        <x:v>252.1</x:v>
      </x:c>
      <x:c r="I3449" s="13" t="n">
        <x:f>IF(C3449=0,"n.a.",F3449/C3449)</x:f>
        <x:v>252.1</x:v>
      </x:c>
      <x:c r="J3449" s="3"/>
      <x:c r="K3449" s="3"/>
      <x:c r="L3449" s="3"/>
    </x:row>
    <x:row r="3450" ht="22" customHeight="1">
      <x:c r="A3450" s="3"/>
      <x:c r="B3450" s="3" t="str">
        <x:v>13711</x:v>
      </x:c>
      <x:c r="C3450" s="3" t="n">
        <x:v>2</x:v>
      </x:c>
      <x:c r="D3450" s="51" t="n">
        <x:v>40668</x:v>
      </x:c>
      <x:c r="E3450" s="3" t="str">
        <x:v>Recurrente</x:v>
      </x:c>
      <x:c r="F3450" s="13" t="n">
        <x:v>252.06</x:v>
      </x:c>
      <x:c r="G3450" s="13" t="n">
        <x:v>0</x:v>
      </x:c>
      <x:c r="H3450" s="13" t="n">
        <x:f>F3450-G3450</x:f>
        <x:v>252.06</x:v>
      </x:c>
      <x:c r="I3450" s="13" t="n">
        <x:f>IF(C3450=0,"n.a.",F3450/C3450)</x:f>
        <x:v>126.03</x:v>
      </x:c>
      <x:c r="J3450" s="3"/>
      <x:c r="K3450" s="3"/>
      <x:c r="L3450" s="3"/>
    </x:row>
    <x:row r="3451" ht="22" customHeight="1">
      <x:c r="A3451" s="3"/>
      <x:c r="B3451" s="3" t="str">
        <x:v>16836</x:v>
      </x:c>
      <x:c r="C3451" s="3" t="n">
        <x:v>2</x:v>
      </x:c>
      <x:c r="D3451" s="51" t="n">
        <x:v>40847</x:v>
      </x:c>
      <x:c r="E3451" s="3" t="str">
        <x:v>Recurrente</x:v>
      </x:c>
      <x:c r="F3451" s="13" t="n">
        <x:v>251.87</x:v>
      </x:c>
      <x:c r="G3451" s="13" t="n">
        <x:v>0</x:v>
      </x:c>
      <x:c r="H3451" s="13" t="n">
        <x:f>F3451-G3451</x:f>
        <x:v>251.87</x:v>
      </x:c>
      <x:c r="I3451" s="13" t="n">
        <x:f>IF(C3451=0,"n.a.",F3451/C3451)</x:f>
        <x:v>125.935</x:v>
      </x:c>
      <x:c r="J3451" s="3"/>
      <x:c r="K3451" s="3"/>
      <x:c r="L3451" s="3"/>
    </x:row>
    <x:row r="3452" ht="22" customHeight="1">
      <x:c r="A3452" s="3"/>
      <x:c r="B3452" s="3" t="str">
        <x:v>17155</x:v>
      </x:c>
      <x:c r="C3452" s="3" t="n">
        <x:v>2</x:v>
      </x:c>
      <x:c r="D3452" s="51" t="n">
        <x:v>40869</x:v>
      </x:c>
      <x:c r="E3452" s="3" t="str">
        <x:v>Recurrente</x:v>
      </x:c>
      <x:c r="F3452" s="13" t="n">
        <x:v>251.7</x:v>
      </x:c>
      <x:c r="G3452" s="13" t="n">
        <x:v>0</x:v>
      </x:c>
      <x:c r="H3452" s="13" t="n">
        <x:f>F3452-G3452</x:f>
        <x:v>251.7</x:v>
      </x:c>
      <x:c r="I3452" s="13" t="n">
        <x:f>IF(C3452=0,"n.a.",F3452/C3452)</x:f>
        <x:v>125.85</x:v>
      </x:c>
      <x:c r="J3452" s="3"/>
      <x:c r="K3452" s="3"/>
      <x:c r="L3452" s="3"/>
    </x:row>
    <x:row r="3453" ht="22" customHeight="1">
      <x:c r="A3453" s="3"/>
      <x:c r="B3453" s="3" t="str">
        <x:v>16976</x:v>
      </x:c>
      <x:c r="C3453" s="3" t="n">
        <x:v>1</x:v>
      </x:c>
      <x:c r="D3453" s="51" t="n">
        <x:v>40619</x:v>
      </x:c>
      <x:c r="E3453" s="3" t="str">
        <x:v>Una compra</x:v>
      </x:c>
      <x:c r="F3453" s="13" t="n">
        <x:v>251.52</x:v>
      </x:c>
      <x:c r="G3453" s="13" t="n">
        <x:v>0</x:v>
      </x:c>
      <x:c r="H3453" s="13" t="n">
        <x:f>F3453-G3453</x:f>
        <x:v>251.52</x:v>
      </x:c>
      <x:c r="I3453" s="13" t="n">
        <x:f>IF(C3453=0,"n.a.",F3453/C3453)</x:f>
        <x:v>251.52</x:v>
      </x:c>
      <x:c r="J3453" s="3"/>
      <x:c r="K3453" s="3"/>
      <x:c r="L3453" s="3"/>
    </x:row>
    <x:row r="3454" ht="22" customHeight="1">
      <x:c r="A3454" s="3"/>
      <x:c r="B3454" s="3" t="str">
        <x:v>13512</x:v>
      </x:c>
      <x:c r="C3454" s="3" t="n">
        <x:v>1</x:v>
      </x:c>
      <x:c r="D3454" s="51" t="n">
        <x:v>40626</x:v>
      </x:c>
      <x:c r="E3454" s="3" t="str">
        <x:v>Una compra</x:v>
      </x:c>
      <x:c r="F3454" s="13" t="n">
        <x:v>251.21</x:v>
      </x:c>
      <x:c r="G3454" s="13" t="n">
        <x:v>0</x:v>
      </x:c>
      <x:c r="H3454" s="13" t="n">
        <x:f>F3454-G3454</x:f>
        <x:v>251.21</x:v>
      </x:c>
      <x:c r="I3454" s="13" t="n">
        <x:f>IF(C3454=0,"n.a.",F3454/C3454)</x:f>
        <x:v>251.21</x:v>
      </x:c>
      <x:c r="J3454" s="3"/>
      <x:c r="K3454" s="3"/>
      <x:c r="L3454" s="3"/>
    </x:row>
    <x:row r="3455" ht="22" customHeight="1">
      <x:c r="A3455" s="3"/>
      <x:c r="B3455" s="3" t="str">
        <x:v>14764</x:v>
      </x:c>
      <x:c r="C3455" s="3" t="n">
        <x:v>1</x:v>
      </x:c>
      <x:c r="D3455" s="51" t="n">
        <x:v>40840</x:v>
      </x:c>
      <x:c r="E3455" s="3" t="str">
        <x:v>Una compra</x:v>
      </x:c>
      <x:c r="F3455" s="13" t="n">
        <x:v>278.3</x:v>
      </x:c>
      <x:c r="G3455" s="13" t="n">
        <x:v>27.75</x:v>
      </x:c>
      <x:c r="H3455" s="13" t="n">
        <x:f>F3455-G3455</x:f>
        <x:v>250.55</x:v>
      </x:c>
      <x:c r="I3455" s="13" t="n">
        <x:f>IF(C3455=0,"n.a.",F3455/C3455)</x:f>
        <x:v>278.3</x:v>
      </x:c>
      <x:c r="J3455" s="3"/>
      <x:c r="K3455" s="3"/>
      <x:c r="L3455" s="3"/>
    </x:row>
    <x:row r="3456" ht="22" customHeight="1">
      <x:c r="A3456" s="3"/>
      <x:c r="B3456" s="3" t="str">
        <x:v>13207</x:v>
      </x:c>
      <x:c r="C3456" s="3" t="n">
        <x:v>2</x:v>
      </x:c>
      <x:c r="D3456" s="51" t="n">
        <x:v>40871</x:v>
      </x:c>
      <x:c r="E3456" s="3" t="str">
        <x:v>Recurrente</x:v>
      </x:c>
      <x:c r="F3456" s="13" t="n">
        <x:v>250.26</x:v>
      </x:c>
      <x:c r="G3456" s="13" t="n">
        <x:v>0</x:v>
      </x:c>
      <x:c r="H3456" s="13" t="n">
        <x:f>F3456-G3456</x:f>
        <x:v>250.26</x:v>
      </x:c>
      <x:c r="I3456" s="13" t="n">
        <x:f>IF(C3456=0,"n.a.",F3456/C3456)</x:f>
        <x:v>125.13</x:v>
      </x:c>
      <x:c r="J3456" s="3"/>
      <x:c r="K3456" s="3"/>
      <x:c r="L3456" s="3"/>
    </x:row>
    <x:row r="3457" ht="22" customHeight="1">
      <x:c r="A3457" s="3"/>
      <x:c r="B3457" s="3" t="str">
        <x:v>16596</x:v>
      </x:c>
      <x:c r="C3457" s="3" t="n">
        <x:v>2</x:v>
      </x:c>
      <x:c r="D3457" s="51" t="n">
        <x:v>40871</x:v>
      </x:c>
      <x:c r="E3457" s="3" t="str">
        <x:v>Recurrente</x:v>
      </x:c>
      <x:c r="F3457" s="13" t="n">
        <x:v>250.15</x:v>
      </x:c>
      <x:c r="G3457" s="13" t="n">
        <x:v>0</x:v>
      </x:c>
      <x:c r="H3457" s="13" t="n">
        <x:f>F3457-G3457</x:f>
        <x:v>250.15</x:v>
      </x:c>
      <x:c r="I3457" s="13" t="n">
        <x:f>IF(C3457=0,"n.a.",F3457/C3457)</x:f>
        <x:v>125.075</x:v>
      </x:c>
      <x:c r="J3457" s="3"/>
      <x:c r="K3457" s="3"/>
      <x:c r="L3457" s="3"/>
    </x:row>
    <x:row r="3458" ht="22" customHeight="1">
      <x:c r="A3458" s="3"/>
      <x:c r="B3458" s="3" t="str">
        <x:v>17303</x:v>
      </x:c>
      <x:c r="C3458" s="3" t="n">
        <x:v>1</x:v>
      </x:c>
      <x:c r="D3458" s="51" t="n">
        <x:v>40525</x:v>
      </x:c>
      <x:c r="E3458" s="3" t="str">
        <x:v>Una compra</x:v>
      </x:c>
      <x:c r="F3458" s="13" t="n">
        <x:v>250.04</x:v>
      </x:c>
      <x:c r="G3458" s="13" t="n">
        <x:v>0</x:v>
      </x:c>
      <x:c r="H3458" s="13" t="n">
        <x:f>F3458-G3458</x:f>
        <x:v>250.04</x:v>
      </x:c>
      <x:c r="I3458" s="13" t="n">
        <x:f>IF(C3458=0,"n.a.",F3458/C3458)</x:f>
        <x:v>250.04</x:v>
      </x:c>
      <x:c r="J3458" s="3"/>
      <x:c r="K3458" s="3"/>
      <x:c r="L3458" s="3"/>
    </x:row>
    <x:row r="3459" ht="22" customHeight="1">
      <x:c r="A3459" s="3"/>
      <x:c r="B3459" s="3" t="str">
        <x:v>15510</x:v>
      </x:c>
      <x:c r="C3459" s="3" t="n">
        <x:v>1</x:v>
      </x:c>
      <x:c r="D3459" s="51" t="n">
        <x:v>40556</x:v>
      </x:c>
      <x:c r="E3459" s="3" t="str">
        <x:v>Una compra</x:v>
      </x:c>
      <x:c r="F3459" s="13" t="n">
        <x:v>250</x:v>
      </x:c>
      <x:c r="G3459" s="13" t="n">
        <x:v>0</x:v>
      </x:c>
      <x:c r="H3459" s="13" t="n">
        <x:f>F3459-G3459</x:f>
        <x:v>250</x:v>
      </x:c>
      <x:c r="I3459" s="13" t="n">
        <x:f>IF(C3459=0,"n.a.",F3459/C3459)</x:f>
        <x:v>250</x:v>
      </x:c>
      <x:c r="J3459" s="3"/>
      <x:c r="K3459" s="3"/>
      <x:c r="L3459" s="3"/>
    </x:row>
    <x:row r="3460" ht="22" customHeight="1">
      <x:c r="A3460" s="3"/>
      <x:c r="B3460" s="3" t="str">
        <x:v>17456</x:v>
      </x:c>
      <x:c r="C3460" s="3" t="n">
        <x:v>1</x:v>
      </x:c>
      <x:c r="D3460" s="51" t="n">
        <x:v>40521</x:v>
      </x:c>
      <x:c r="E3460" s="3" t="str">
        <x:v>Una compra</x:v>
      </x:c>
      <x:c r="F3460" s="13" t="n">
        <x:v>249.86</x:v>
      </x:c>
      <x:c r="G3460" s="13" t="n">
        <x:v>0</x:v>
      </x:c>
      <x:c r="H3460" s="13" t="n">
        <x:f>F3460-G3460</x:f>
        <x:v>249.86</x:v>
      </x:c>
      <x:c r="I3460" s="13" t="n">
        <x:f>IF(C3460=0,"n.a.",F3460/C3460)</x:f>
        <x:v>249.86</x:v>
      </x:c>
      <x:c r="J3460" s="3"/>
      <x:c r="K3460" s="3"/>
      <x:c r="L3460" s="3"/>
    </x:row>
    <x:row r="3461" ht="22" customHeight="1">
      <x:c r="A3461" s="3"/>
      <x:c r="B3461" s="3" t="str">
        <x:v>17190</x:v>
      </x:c>
      <x:c r="C3461" s="3" t="n">
        <x:v>2</x:v>
      </x:c>
      <x:c r="D3461" s="51" t="n">
        <x:v>40828</x:v>
      </x:c>
      <x:c r="E3461" s="3" t="str">
        <x:v>Recurrente</x:v>
      </x:c>
      <x:c r="F3461" s="13" t="n">
        <x:v>444.74</x:v>
      </x:c>
      <x:c r="G3461" s="13" t="n">
        <x:v>195</x:v>
      </x:c>
      <x:c r="H3461" s="13" t="n">
        <x:f>F3461-G3461</x:f>
        <x:v>249.74</x:v>
      </x:c>
      <x:c r="I3461" s="13" t="n">
        <x:f>IF(C3461=0,"n.a.",F3461/C3461)</x:f>
        <x:v>222.37</x:v>
      </x:c>
      <x:c r="J3461" s="3"/>
      <x:c r="K3461" s="3"/>
      <x:c r="L3461" s="3"/>
    </x:row>
    <x:row r="3462" ht="22" customHeight="1">
      <x:c r="A3462" s="3"/>
      <x:c r="B3462" s="3" t="str">
        <x:v>18005</x:v>
      </x:c>
      <x:c r="C3462" s="3" t="n">
        <x:v>2</x:v>
      </x:c>
      <x:c r="D3462" s="51" t="n">
        <x:v>40883</x:v>
      </x:c>
      <x:c r="E3462" s="3" t="str">
        <x:v>Recurrente</x:v>
      </x:c>
      <x:c r="F3462" s="13" t="n">
        <x:v>249.72</x:v>
      </x:c>
      <x:c r="G3462" s="13" t="n">
        <x:v>0</x:v>
      </x:c>
      <x:c r="H3462" s="13" t="n">
        <x:f>F3462-G3462</x:f>
        <x:v>249.72</x:v>
      </x:c>
      <x:c r="I3462" s="13" t="n">
        <x:f>IF(C3462=0,"n.a.",F3462/C3462)</x:f>
        <x:v>124.86</x:v>
      </x:c>
      <x:c r="J3462" s="3"/>
      <x:c r="K3462" s="3"/>
      <x:c r="L3462" s="3"/>
    </x:row>
    <x:row r="3463" ht="22" customHeight="1">
      <x:c r="A3463" s="3"/>
      <x:c r="B3463" s="3" t="str">
        <x:v>12785</x:v>
      </x:c>
      <x:c r="C3463" s="3" t="n">
        <x:v>1</x:v>
      </x:c>
      <x:c r="D3463" s="51" t="n">
        <x:v>40522</x:v>
      </x:c>
      <x:c r="E3463" s="3" t="str">
        <x:v>Una compra</x:v>
      </x:c>
      <x:c r="F3463" s="13" t="n">
        <x:v>255.95</x:v>
      </x:c>
      <x:c r="G3463" s="13" t="n">
        <x:v>6.24</x:v>
      </x:c>
      <x:c r="H3463" s="13" t="n">
        <x:f>F3463-G3463</x:f>
        <x:v>249.70999999999998</x:v>
      </x:c>
      <x:c r="I3463" s="13" t="n">
        <x:f>IF(C3463=0,"n.a.",F3463/C3463)</x:f>
        <x:v>255.95</x:v>
      </x:c>
      <x:c r="J3463" s="3"/>
      <x:c r="K3463" s="3"/>
      <x:c r="L3463" s="3"/>
    </x:row>
    <x:row r="3464" ht="22" customHeight="1">
      <x:c r="A3464" s="3"/>
      <x:c r="B3464" s="3" t="str">
        <x:v>13061</x:v>
      </x:c>
      <x:c r="C3464" s="3" t="n">
        <x:v>1</x:v>
      </x:c>
      <x:c r="D3464" s="51" t="n">
        <x:v>40814</x:v>
      </x:c>
      <x:c r="E3464" s="3" t="str">
        <x:v>Una compra</x:v>
      </x:c>
      <x:c r="F3464" s="13" t="n">
        <x:v>248.61</x:v>
      </x:c>
      <x:c r="G3464" s="13" t="n">
        <x:v>0</x:v>
      </x:c>
      <x:c r="H3464" s="13" t="n">
        <x:f>F3464-G3464</x:f>
        <x:v>248.61</x:v>
      </x:c>
      <x:c r="I3464" s="13" t="n">
        <x:f>IF(C3464=0,"n.a.",F3464/C3464)</x:f>
        <x:v>248.61</x:v>
      </x:c>
      <x:c r="J3464" s="3"/>
      <x:c r="K3464" s="3"/>
      <x:c r="L3464" s="3"/>
    </x:row>
    <x:row r="3465" ht="22" customHeight="1">
      <x:c r="A3465" s="3"/>
      <x:c r="B3465" s="3" t="str">
        <x:v>17111</x:v>
      </x:c>
      <x:c r="C3465" s="3" t="n">
        <x:v>1</x:v>
      </x:c>
      <x:c r="D3465" s="51" t="n">
        <x:v>40839</x:v>
      </x:c>
      <x:c r="E3465" s="3" t="str">
        <x:v>Una compra</x:v>
      </x:c>
      <x:c r="F3465" s="13" t="n">
        <x:v>248.61</x:v>
      </x:c>
      <x:c r="G3465" s="13" t="n">
        <x:v>0</x:v>
      </x:c>
      <x:c r="H3465" s="13" t="n">
        <x:f>F3465-G3465</x:f>
        <x:v>248.61</x:v>
      </x:c>
      <x:c r="I3465" s="13" t="n">
        <x:f>IF(C3465=0,"n.a.",F3465/C3465)</x:f>
        <x:v>248.61</x:v>
      </x:c>
      <x:c r="J3465" s="3"/>
      <x:c r="K3465" s="3"/>
      <x:c r="L3465" s="3"/>
    </x:row>
    <x:row r="3466" ht="22" customHeight="1">
      <x:c r="A3466" s="3"/>
      <x:c r="B3466" s="3" t="str">
        <x:v>18212</x:v>
      </x:c>
      <x:c r="C3466" s="3" t="n">
        <x:v>1</x:v>
      </x:c>
      <x:c r="D3466" s="51" t="n">
        <x:v>40560</x:v>
      </x:c>
      <x:c r="E3466" s="3" t="str">
        <x:v>Una compra</x:v>
      </x:c>
      <x:c r="F3466" s="13" t="n">
        <x:v>248.42</x:v>
      </x:c>
      <x:c r="G3466" s="13" t="n">
        <x:v>0</x:v>
      </x:c>
      <x:c r="H3466" s="13" t="n">
        <x:f>F3466-G3466</x:f>
        <x:v>248.42</x:v>
      </x:c>
      <x:c r="I3466" s="13" t="n">
        <x:f>IF(C3466=0,"n.a.",F3466/C3466)</x:f>
        <x:v>248.42</x:v>
      </x:c>
      <x:c r="J3466" s="3"/>
      <x:c r="K3466" s="3"/>
      <x:c r="L3466" s="3"/>
    </x:row>
    <x:row r="3467" ht="22" customHeight="1">
      <x:c r="A3467" s="3"/>
      <x:c r="B3467" s="3" t="str">
        <x:v>16510</x:v>
      </x:c>
      <x:c r="C3467" s="3" t="n">
        <x:v>1</x:v>
      </x:c>
      <x:c r="D3467" s="51" t="n">
        <x:v>40514</x:v>
      </x:c>
      <x:c r="E3467" s="3" t="str">
        <x:v>Una compra</x:v>
      </x:c>
      <x:c r="F3467" s="13" t="n">
        <x:v>248.1</x:v>
      </x:c>
      <x:c r="G3467" s="13" t="n">
        <x:v>0</x:v>
      </x:c>
      <x:c r="H3467" s="13" t="n">
        <x:f>F3467-G3467</x:f>
        <x:v>248.1</x:v>
      </x:c>
      <x:c r="I3467" s="13" t="n">
        <x:f>IF(C3467=0,"n.a.",F3467/C3467)</x:f>
        <x:v>248.1</x:v>
      </x:c>
      <x:c r="J3467" s="3"/>
      <x:c r="K3467" s="3"/>
      <x:c r="L3467" s="3"/>
    </x:row>
    <x:row r="3468" ht="22" customHeight="1">
      <x:c r="A3468" s="3"/>
      <x:c r="B3468" s="3" t="str">
        <x:v>15097</x:v>
      </x:c>
      <x:c r="C3468" s="3" t="n">
        <x:v>1</x:v>
      </x:c>
      <x:c r="D3468" s="51" t="n">
        <x:v>40882</x:v>
      </x:c>
      <x:c r="E3468" s="3" t="str">
        <x:v>Una compra</x:v>
      </x:c>
      <x:c r="F3468" s="13" t="n">
        <x:v>248.08</x:v>
      </x:c>
      <x:c r="G3468" s="13" t="n">
        <x:v>0</x:v>
      </x:c>
      <x:c r="H3468" s="13" t="n">
        <x:f>F3468-G3468</x:f>
        <x:v>248.08</x:v>
      </x:c>
      <x:c r="I3468" s="13" t="n">
        <x:f>IF(C3468=0,"n.a.",F3468/C3468)</x:f>
        <x:v>248.08</x:v>
      </x:c>
      <x:c r="J3468" s="3"/>
      <x:c r="K3468" s="3"/>
      <x:c r="L3468" s="3"/>
    </x:row>
    <x:row r="3469" ht="22" customHeight="1">
      <x:c r="A3469" s="3"/>
      <x:c r="B3469" s="3" t="str">
        <x:v>13592</x:v>
      </x:c>
      <x:c r="C3469" s="3" t="n">
        <x:v>4</x:v>
      </x:c>
      <x:c r="D3469" s="51" t="n">
        <x:v>40851</x:v>
      </x:c>
      <x:c r="E3469" s="3" t="str">
        <x:v>Recurrente</x:v>
      </x:c>
      <x:c r="F3469" s="13" t="n">
        <x:v>247.96</x:v>
      </x:c>
      <x:c r="G3469" s="13" t="n">
        <x:v>0</x:v>
      </x:c>
      <x:c r="H3469" s="13" t="n">
        <x:f>F3469-G3469</x:f>
        <x:v>247.96</x:v>
      </x:c>
      <x:c r="I3469" s="13" t="n">
        <x:f>IF(C3469=0,"n.a.",F3469/C3469)</x:f>
        <x:v>61.99</x:v>
      </x:c>
      <x:c r="J3469" s="3"/>
      <x:c r="K3469" s="3"/>
      <x:c r="L3469" s="3"/>
    </x:row>
    <x:row r="3470" ht="22" customHeight="1">
      <x:c r="A3470" s="3"/>
      <x:c r="B3470" s="3" t="str">
        <x:v>14658</x:v>
      </x:c>
      <x:c r="C3470" s="3" t="n">
        <x:v>2</x:v>
      </x:c>
      <x:c r="D3470" s="51" t="n">
        <x:v>40881</x:v>
      </x:c>
      <x:c r="E3470" s="3" t="str">
        <x:v>Recurrente</x:v>
      </x:c>
      <x:c r="F3470" s="13" t="n">
        <x:v>247.15</x:v>
      </x:c>
      <x:c r="G3470" s="13" t="n">
        <x:v>0</x:v>
      </x:c>
      <x:c r="H3470" s="13" t="n">
        <x:f>F3470-G3470</x:f>
        <x:v>247.15</x:v>
      </x:c>
      <x:c r="I3470" s="13" t="n">
        <x:f>IF(C3470=0,"n.a.",F3470/C3470)</x:f>
        <x:v>123.575</x:v>
      </x:c>
      <x:c r="J3470" s="3"/>
      <x:c r="K3470" s="3"/>
      <x:c r="L3470" s="3"/>
    </x:row>
    <x:row r="3471" ht="22" customHeight="1">
      <x:c r="A3471" s="3"/>
      <x:c r="B3471" s="3" t="str">
        <x:v>17051</x:v>
      </x:c>
      <x:c r="C3471" s="3" t="n">
        <x:v>1</x:v>
      </x:c>
      <x:c r="D3471" s="51" t="n">
        <x:v>40692</x:v>
      </x:c>
      <x:c r="E3471" s="3" t="str">
        <x:v>Una compra</x:v>
      </x:c>
      <x:c r="F3471" s="13" t="n">
        <x:v>247.14</x:v>
      </x:c>
      <x:c r="G3471" s="13" t="n">
        <x:v>0</x:v>
      </x:c>
      <x:c r="H3471" s="13" t="n">
        <x:f>F3471-G3471</x:f>
        <x:v>247.14</x:v>
      </x:c>
      <x:c r="I3471" s="13" t="n">
        <x:f>IF(C3471=0,"n.a.",F3471/C3471)</x:f>
        <x:v>247.14</x:v>
      </x:c>
      <x:c r="J3471" s="3"/>
      <x:c r="K3471" s="3"/>
      <x:c r="L3471" s="3"/>
    </x:row>
    <x:row r="3472" ht="22" customHeight="1">
      <x:c r="A3472" s="3"/>
      <x:c r="B3472" s="3" t="str">
        <x:v>15783</x:v>
      </x:c>
      <x:c r="C3472" s="3" t="n">
        <x:v>1</x:v>
      </x:c>
      <x:c r="D3472" s="51" t="n">
        <x:v>40876</x:v>
      </x:c>
      <x:c r="E3472" s="3" t="str">
        <x:v>Una compra</x:v>
      </x:c>
      <x:c r="F3472" s="13" t="n">
        <x:v>246.3</x:v>
      </x:c>
      <x:c r="G3472" s="13" t="n">
        <x:v>0</x:v>
      </x:c>
      <x:c r="H3472" s="13" t="n">
        <x:f>F3472-G3472</x:f>
        <x:v>246.3</x:v>
      </x:c>
      <x:c r="I3472" s="13" t="n">
        <x:f>IF(C3472=0,"n.a.",F3472/C3472)</x:f>
        <x:v>246.3</x:v>
      </x:c>
      <x:c r="J3472" s="3"/>
      <x:c r="K3472" s="3"/>
      <x:c r="L3472" s="3"/>
    </x:row>
    <x:row r="3473" ht="22" customHeight="1">
      <x:c r="A3473" s="3"/>
      <x:c r="B3473" s="3" t="str">
        <x:v>17278</x:v>
      </x:c>
      <x:c r="C3473" s="3" t="n">
        <x:v>1</x:v>
      </x:c>
      <x:c r="D3473" s="51" t="n">
        <x:v>40645</x:v>
      </x:c>
      <x:c r="E3473" s="3" t="str">
        <x:v>Una compra</x:v>
      </x:c>
      <x:c r="F3473" s="13" t="n">
        <x:v>246.04</x:v>
      </x:c>
      <x:c r="G3473" s="13" t="n">
        <x:v>0</x:v>
      </x:c>
      <x:c r="H3473" s="13" t="n">
        <x:f>F3473-G3473</x:f>
        <x:v>246.04</x:v>
      </x:c>
      <x:c r="I3473" s="13" t="n">
        <x:f>IF(C3473=0,"n.a.",F3473/C3473)</x:f>
        <x:v>246.04</x:v>
      </x:c>
      <x:c r="J3473" s="3"/>
      <x:c r="K3473" s="3"/>
      <x:c r="L3473" s="3"/>
    </x:row>
    <x:row r="3474" ht="22" customHeight="1">
      <x:c r="A3474" s="3"/>
      <x:c r="B3474" s="3" t="str">
        <x:v>16024</x:v>
      </x:c>
      <x:c r="C3474" s="3" t="n">
        <x:v>1</x:v>
      </x:c>
      <x:c r="D3474" s="51" t="n">
        <x:v>40874</x:v>
      </x:c>
      <x:c r="E3474" s="3" t="str">
        <x:v>Una compra</x:v>
      </x:c>
      <x:c r="F3474" s="13" t="n">
        <x:v>245.96</x:v>
      </x:c>
      <x:c r="G3474" s="13" t="n">
        <x:v>0</x:v>
      </x:c>
      <x:c r="H3474" s="13" t="n">
        <x:f>F3474-G3474</x:f>
        <x:v>245.96</x:v>
      </x:c>
      <x:c r="I3474" s="13" t="n">
        <x:f>IF(C3474=0,"n.a.",F3474/C3474)</x:f>
        <x:v>245.96</x:v>
      </x:c>
      <x:c r="J3474" s="3"/>
      <x:c r="K3474" s="3"/>
      <x:c r="L3474" s="3"/>
    </x:row>
    <x:row r="3475" ht="22" customHeight="1">
      <x:c r="A3475" s="3"/>
      <x:c r="B3475" s="3" t="str">
        <x:v>16778</x:v>
      </x:c>
      <x:c r="C3475" s="3" t="n">
        <x:v>2</x:v>
      </x:c>
      <x:c r="D3475" s="51" t="n">
        <x:v>40812</x:v>
      </x:c>
      <x:c r="E3475" s="3" t="str">
        <x:v>Recurrente</x:v>
      </x:c>
      <x:c r="F3475" s="13" t="n">
        <x:v>245.94</x:v>
      </x:c>
      <x:c r="G3475" s="13" t="n">
        <x:v>0</x:v>
      </x:c>
      <x:c r="H3475" s="13" t="n">
        <x:f>F3475-G3475</x:f>
        <x:v>245.94</x:v>
      </x:c>
      <x:c r="I3475" s="13" t="n">
        <x:f>IF(C3475=0,"n.a.",F3475/C3475)</x:f>
        <x:v>122.97</x:v>
      </x:c>
      <x:c r="J3475" s="3"/>
      <x:c r="K3475" s="3"/>
      <x:c r="L3475" s="3"/>
    </x:row>
    <x:row r="3476" ht="22" customHeight="1">
      <x:c r="A3476" s="3"/>
      <x:c r="B3476" s="3" t="str">
        <x:v>17771</x:v>
      </x:c>
      <x:c r="C3476" s="3" t="n">
        <x:v>2</x:v>
      </x:c>
      <x:c r="D3476" s="51" t="n">
        <x:v>40830</x:v>
      </x:c>
      <x:c r="E3476" s="3" t="str">
        <x:v>Recurrente</x:v>
      </x:c>
      <x:c r="F3476" s="13" t="n">
        <x:v>245.33</x:v>
      </x:c>
      <x:c r="G3476" s="13" t="n">
        <x:v>0</x:v>
      </x:c>
      <x:c r="H3476" s="13" t="n">
        <x:f>F3476-G3476</x:f>
        <x:v>245.33</x:v>
      </x:c>
      <x:c r="I3476" s="13" t="n">
        <x:f>IF(C3476=0,"n.a.",F3476/C3476)</x:f>
        <x:v>122.665</x:v>
      </x:c>
      <x:c r="J3476" s="3"/>
      <x:c r="K3476" s="3"/>
      <x:c r="L3476" s="3"/>
    </x:row>
    <x:row r="3477" ht="22" customHeight="1">
      <x:c r="A3477" s="3"/>
      <x:c r="B3477" s="3" t="str">
        <x:v>18270</x:v>
      </x:c>
      <x:c r="C3477" s="3" t="n">
        <x:v>2</x:v>
      </x:c>
      <x:c r="D3477" s="51" t="n">
        <x:v>40848</x:v>
      </x:c>
      <x:c r="E3477" s="3" t="str">
        <x:v>Recurrente</x:v>
      </x:c>
      <x:c r="F3477" s="13" t="n">
        <x:v>283.15</x:v>
      </x:c>
      <x:c r="G3477" s="13" t="n">
        <x:v>38.25</x:v>
      </x:c>
      <x:c r="H3477" s="13" t="n">
        <x:f>F3477-G3477</x:f>
        <x:v>244.89999999999998</x:v>
      </x:c>
      <x:c r="I3477" s="13" t="n">
        <x:f>IF(C3477=0,"n.a.",F3477/C3477)</x:f>
        <x:v>141.575</x:v>
      </x:c>
      <x:c r="J3477" s="3"/>
      <x:c r="K3477" s="3"/>
      <x:c r="L3477" s="3"/>
    </x:row>
    <x:row r="3478" ht="22" customHeight="1">
      <x:c r="A3478" s="3"/>
      <x:c r="B3478" s="3" t="str">
        <x:v>15118</x:v>
      </x:c>
      <x:c r="C3478" s="3" t="n">
        <x:v>1</x:v>
      </x:c>
      <x:c r="D3478" s="51" t="n">
        <x:v>40752</x:v>
      </x:c>
      <x:c r="E3478" s="3" t="str">
        <x:v>Una compra</x:v>
      </x:c>
      <x:c r="F3478" s="13" t="n">
        <x:v>244.8</x:v>
      </x:c>
      <x:c r="G3478" s="13" t="n">
        <x:v>0</x:v>
      </x:c>
      <x:c r="H3478" s="13" t="n">
        <x:f>F3478-G3478</x:f>
        <x:v>244.8</x:v>
      </x:c>
      <x:c r="I3478" s="13" t="n">
        <x:f>IF(C3478=0,"n.a.",F3478/C3478)</x:f>
        <x:v>244.8</x:v>
      </x:c>
      <x:c r="J3478" s="3"/>
      <x:c r="K3478" s="3"/>
      <x:c r="L3478" s="3"/>
    </x:row>
    <x:row r="3479" ht="22" customHeight="1">
      <x:c r="A3479" s="3"/>
      <x:c r="B3479" s="3" t="str">
        <x:v>16528</x:v>
      </x:c>
      <x:c r="C3479" s="3" t="n">
        <x:v>1</x:v>
      </x:c>
      <x:c r="D3479" s="51" t="n">
        <x:v>40883</x:v>
      </x:c>
      <x:c r="E3479" s="3" t="str">
        <x:v>Una compra</x:v>
      </x:c>
      <x:c r="F3479" s="13" t="n">
        <x:v>244.41</x:v>
      </x:c>
      <x:c r="G3479" s="13" t="n">
        <x:v>0</x:v>
      </x:c>
      <x:c r="H3479" s="13" t="n">
        <x:f>F3479-G3479</x:f>
        <x:v>244.41</x:v>
      </x:c>
      <x:c r="I3479" s="13" t="n">
        <x:f>IF(C3479=0,"n.a.",F3479/C3479)</x:f>
        <x:v>244.41</x:v>
      </x:c>
      <x:c r="J3479" s="3"/>
      <x:c r="K3479" s="3"/>
      <x:c r="L3479" s="3"/>
    </x:row>
    <x:row r="3480" ht="22" customHeight="1">
      <x:c r="A3480" s="3"/>
      <x:c r="B3480" s="3" t="str">
        <x:v>17892</x:v>
      </x:c>
      <x:c r="C3480" s="3" t="n">
        <x:v>3</x:v>
      </x:c>
      <x:c r="D3480" s="51" t="n">
        <x:v>40830</x:v>
      </x:c>
      <x:c r="E3480" s="3" t="str">
        <x:v>Recurrente</x:v>
      </x:c>
      <x:c r="F3480" s="13" t="n">
        <x:v>244.1</x:v>
      </x:c>
      <x:c r="G3480" s="13" t="n">
        <x:v>0</x:v>
      </x:c>
      <x:c r="H3480" s="13" t="n">
        <x:f>F3480-G3480</x:f>
        <x:v>244.1</x:v>
      </x:c>
      <x:c r="I3480" s="13" t="n">
        <x:f>IF(C3480=0,"n.a.",F3480/C3480)</x:f>
        <x:v>81.36666666666666</x:v>
      </x:c>
      <x:c r="J3480" s="3"/>
      <x:c r="K3480" s="3"/>
      <x:c r="L3480" s="3"/>
    </x:row>
    <x:row r="3481" ht="22" customHeight="1">
      <x:c r="A3481" s="3"/>
      <x:c r="B3481" s="3" t="str">
        <x:v>17925</x:v>
      </x:c>
      <x:c r="C3481" s="3" t="n">
        <x:v>1</x:v>
      </x:c>
      <x:c r="D3481" s="51" t="n">
        <x:v>40514</x:v>
      </x:c>
      <x:c r="E3481" s="3" t="str">
        <x:v>Una compra</x:v>
      </x:c>
      <x:c r="F3481" s="13" t="n">
        <x:v>244.08</x:v>
      </x:c>
      <x:c r="G3481" s="13" t="n">
        <x:v>0</x:v>
      </x:c>
      <x:c r="H3481" s="13" t="n">
        <x:f>F3481-G3481</x:f>
        <x:v>244.08</x:v>
      </x:c>
      <x:c r="I3481" s="13" t="n">
        <x:f>IF(C3481=0,"n.a.",F3481/C3481)</x:f>
        <x:v>244.08</x:v>
      </x:c>
      <x:c r="J3481" s="3"/>
      <x:c r="K3481" s="3"/>
      <x:c r="L3481" s="3"/>
    </x:row>
    <x:row r="3482" ht="22" customHeight="1">
      <x:c r="A3482" s="3"/>
      <x:c r="B3482" s="3" t="str">
        <x:v>13103</x:v>
      </x:c>
      <x:c r="C3482" s="3" t="n">
        <x:v>1</x:v>
      </x:c>
      <x:c r="D3482" s="51" t="n">
        <x:v>40847</x:v>
      </x:c>
      <x:c r="E3482" s="3" t="str">
        <x:v>Una compra</x:v>
      </x:c>
      <x:c r="F3482" s="13" t="n">
        <x:v>243.94</x:v>
      </x:c>
      <x:c r="G3482" s="13" t="n">
        <x:v>0</x:v>
      </x:c>
      <x:c r="H3482" s="13" t="n">
        <x:f>F3482-G3482</x:f>
        <x:v>243.94</x:v>
      </x:c>
      <x:c r="I3482" s="13" t="n">
        <x:f>IF(C3482=0,"n.a.",F3482/C3482)</x:f>
        <x:v>243.94</x:v>
      </x:c>
      <x:c r="J3482" s="3"/>
      <x:c r="K3482" s="3"/>
      <x:c r="L3482" s="3"/>
    </x:row>
    <x:row r="3483" ht="22" customHeight="1">
      <x:c r="A3483" s="3"/>
      <x:c r="B3483" s="3" t="str">
        <x:v>16793</x:v>
      </x:c>
      <x:c r="C3483" s="3" t="n">
        <x:v>1</x:v>
      </x:c>
      <x:c r="D3483" s="51" t="n">
        <x:v>40829</x:v>
      </x:c>
      <x:c r="E3483" s="3" t="str">
        <x:v>Una compra</x:v>
      </x:c>
      <x:c r="F3483" s="13" t="n">
        <x:v>243.84</x:v>
      </x:c>
      <x:c r="G3483" s="13" t="n">
        <x:v>0</x:v>
      </x:c>
      <x:c r="H3483" s="13" t="n">
        <x:f>F3483-G3483</x:f>
        <x:v>243.84</x:v>
      </x:c>
      <x:c r="I3483" s="13" t="n">
        <x:f>IF(C3483=0,"n.a.",F3483/C3483)</x:f>
        <x:v>243.84</x:v>
      </x:c>
      <x:c r="J3483" s="3"/>
      <x:c r="K3483" s="3"/>
      <x:c r="L3483" s="3"/>
    </x:row>
    <x:row r="3484" ht="22" customHeight="1">
      <x:c r="A3484" s="3"/>
      <x:c r="B3484" s="3" t="str">
        <x:v>16048</x:v>
      </x:c>
      <x:c r="C3484" s="3" t="n">
        <x:v>2</x:v>
      </x:c>
      <x:c r="D3484" s="51" t="n">
        <x:v>40513</x:v>
      </x:c>
      <x:c r="E3484" s="3" t="str">
        <x:v>Recurrente</x:v>
      </x:c>
      <x:c r="F3484" s="13" t="n">
        <x:v>256.44</x:v>
      </x:c>
      <x:c r="G3484" s="13" t="n">
        <x:v>12.75</x:v>
      </x:c>
      <x:c r="H3484" s="13" t="n">
        <x:f>F3484-G3484</x:f>
        <x:v>243.69</x:v>
      </x:c>
      <x:c r="I3484" s="13" t="n">
        <x:f>IF(C3484=0,"n.a.",F3484/C3484)</x:f>
        <x:v>128.22</x:v>
      </x:c>
      <x:c r="J3484" s="3"/>
      <x:c r="K3484" s="3"/>
      <x:c r="L3484" s="3"/>
    </x:row>
    <x:row r="3485" ht="22" customHeight="1">
      <x:c r="A3485" s="3"/>
      <x:c r="B3485" s="3" t="str">
        <x:v>16601</x:v>
      </x:c>
      <x:c r="C3485" s="3" t="n">
        <x:v>1</x:v>
      </x:c>
      <x:c r="D3485" s="51" t="n">
        <x:v>40846</x:v>
      </x:c>
      <x:c r="E3485" s="3" t="str">
        <x:v>Una compra</x:v>
      </x:c>
      <x:c r="F3485" s="13" t="n">
        <x:v>243.63</x:v>
      </x:c>
      <x:c r="G3485" s="13" t="n">
        <x:v>0</x:v>
      </x:c>
      <x:c r="H3485" s="13" t="n">
        <x:f>F3485-G3485</x:f>
        <x:v>243.63</x:v>
      </x:c>
      <x:c r="I3485" s="13" t="n">
        <x:f>IF(C3485=0,"n.a.",F3485/C3485)</x:f>
        <x:v>243.63</x:v>
      </x:c>
      <x:c r="J3485" s="3"/>
      <x:c r="K3485" s="3"/>
      <x:c r="L3485" s="3"/>
    </x:row>
    <x:row r="3486" ht="22" customHeight="1">
      <x:c r="A3486" s="3"/>
      <x:c r="B3486" s="3" t="str">
        <x:v>13886</x:v>
      </x:c>
      <x:c r="C3486" s="3" t="n">
        <x:v>1</x:v>
      </x:c>
      <x:c r="D3486" s="51" t="n">
        <x:v>40815</x:v>
      </x:c>
      <x:c r="E3486" s="3" t="str">
        <x:v>Una compra</x:v>
      </x:c>
      <x:c r="F3486" s="13" t="n">
        <x:v>243.56</x:v>
      </x:c>
      <x:c r="G3486" s="13" t="n">
        <x:v>0</x:v>
      </x:c>
      <x:c r="H3486" s="13" t="n">
        <x:f>F3486-G3486</x:f>
        <x:v>243.56</x:v>
      </x:c>
      <x:c r="I3486" s="13" t="n">
        <x:f>IF(C3486=0,"n.a.",F3486/C3486)</x:f>
        <x:v>243.56</x:v>
      </x:c>
      <x:c r="J3486" s="3"/>
      <x:c r="K3486" s="3"/>
      <x:c r="L3486" s="3"/>
    </x:row>
    <x:row r="3487" ht="22" customHeight="1">
      <x:c r="A3487" s="3"/>
      <x:c r="B3487" s="3" t="str">
        <x:v>15634</x:v>
      </x:c>
      <x:c r="C3487" s="3" t="n">
        <x:v>1</x:v>
      </x:c>
      <x:c r="D3487" s="51" t="n">
        <x:v>40869</x:v>
      </x:c>
      <x:c r="E3487" s="3" t="str">
        <x:v>Una compra</x:v>
      </x:c>
      <x:c r="F3487" s="13" t="n">
        <x:v>243.55</x:v>
      </x:c>
      <x:c r="G3487" s="13" t="n">
        <x:v>0</x:v>
      </x:c>
      <x:c r="H3487" s="13" t="n">
        <x:f>F3487-G3487</x:f>
        <x:v>243.55</x:v>
      </x:c>
      <x:c r="I3487" s="13" t="n">
        <x:f>IF(C3487=0,"n.a.",F3487/C3487)</x:f>
        <x:v>243.55</x:v>
      </x:c>
      <x:c r="J3487" s="3"/>
      <x:c r="K3487" s="3"/>
      <x:c r="L3487" s="3"/>
    </x:row>
    <x:row r="3488" ht="22" customHeight="1">
      <x:c r="A3488" s="3"/>
      <x:c r="B3488" s="3" t="str">
        <x:v>17339</x:v>
      </x:c>
      <x:c r="C3488" s="3" t="n">
        <x:v>2</x:v>
      </x:c>
      <x:c r="D3488" s="51" t="n">
        <x:v>40792</x:v>
      </x:c>
      <x:c r="E3488" s="3" t="str">
        <x:v>Recurrente</x:v>
      </x:c>
      <x:c r="F3488" s="13" t="n">
        <x:v>243.36</x:v>
      </x:c>
      <x:c r="G3488" s="13" t="n">
        <x:v>0</x:v>
      </x:c>
      <x:c r="H3488" s="13" t="n">
        <x:f>F3488-G3488</x:f>
        <x:v>243.36</x:v>
      </x:c>
      <x:c r="I3488" s="13" t="n">
        <x:f>IF(C3488=0,"n.a.",F3488/C3488)</x:f>
        <x:v>121.68</x:v>
      </x:c>
      <x:c r="J3488" s="3"/>
      <x:c r="K3488" s="3"/>
      <x:c r="L3488" s="3"/>
    </x:row>
    <x:row r="3489" ht="22" customHeight="1">
      <x:c r="A3489" s="3"/>
      <x:c r="B3489" s="3" t="str">
        <x:v>17908</x:v>
      </x:c>
      <x:c r="C3489" s="3" t="n">
        <x:v>1</x:v>
      </x:c>
      <x:c r="D3489" s="51" t="n">
        <x:v>40513</x:v>
      </x:c>
      <x:c r="E3489" s="3" t="str">
        <x:v>Una compra</x:v>
      </x:c>
      <x:c r="F3489" s="13" t="n">
        <x:v>243.28</x:v>
      </x:c>
      <x:c r="G3489" s="13" t="n">
        <x:v>0</x:v>
      </x:c>
      <x:c r="H3489" s="13" t="n">
        <x:f>F3489-G3489</x:f>
        <x:v>243.28</x:v>
      </x:c>
      <x:c r="I3489" s="13" t="n">
        <x:f>IF(C3489=0,"n.a.",F3489/C3489)</x:f>
        <x:v>243.28</x:v>
      </x:c>
      <x:c r="J3489" s="3"/>
      <x:c r="K3489" s="3"/>
      <x:c r="L3489" s="3"/>
    </x:row>
    <x:row r="3490" ht="22" customHeight="1">
      <x:c r="A3490" s="3"/>
      <x:c r="B3490" s="3" t="str">
        <x:v>14647</x:v>
      </x:c>
      <x:c r="C3490" s="3" t="n">
        <x:v>1</x:v>
      </x:c>
      <x:c r="D3490" s="51" t="n">
        <x:v>40685</x:v>
      </x:c>
      <x:c r="E3490" s="3" t="str">
        <x:v>Una compra</x:v>
      </x:c>
      <x:c r="F3490" s="13" t="n">
        <x:v>243.22</x:v>
      </x:c>
      <x:c r="G3490" s="13" t="n">
        <x:v>0</x:v>
      </x:c>
      <x:c r="H3490" s="13" t="n">
        <x:f>F3490-G3490</x:f>
        <x:v>243.22</x:v>
      </x:c>
      <x:c r="I3490" s="13" t="n">
        <x:f>IF(C3490=0,"n.a.",F3490/C3490)</x:f>
        <x:v>243.22</x:v>
      </x:c>
      <x:c r="J3490" s="3"/>
      <x:c r="K3490" s="3"/>
      <x:c r="L3490" s="3"/>
    </x:row>
    <x:row r="3491" ht="22" customHeight="1">
      <x:c r="A3491" s="3"/>
      <x:c r="B3491" s="3" t="str">
        <x:v>12650</x:v>
      </x:c>
      <x:c r="C3491" s="3" t="n">
        <x:v>1</x:v>
      </x:c>
      <x:c r="D3491" s="51" t="n">
        <x:v>40883</x:v>
      </x:c>
      <x:c r="E3491" s="3" t="str">
        <x:v>Una compra</x:v>
      </x:c>
      <x:c r="F3491" s="13" t="n">
        <x:v>242.44</x:v>
      </x:c>
      <x:c r="G3491" s="13" t="n">
        <x:v>0</x:v>
      </x:c>
      <x:c r="H3491" s="13" t="n">
        <x:f>F3491-G3491</x:f>
        <x:v>242.44</x:v>
      </x:c>
      <x:c r="I3491" s="13" t="n">
        <x:f>IF(C3491=0,"n.a.",F3491/C3491)</x:f>
        <x:v>242.44</x:v>
      </x:c>
      <x:c r="J3491" s="3"/>
      <x:c r="K3491" s="3"/>
      <x:c r="L3491" s="3"/>
    </x:row>
    <x:row r="3492" ht="22" customHeight="1">
      <x:c r="A3492" s="3"/>
      <x:c r="B3492" s="3" t="str">
        <x:v>16215</x:v>
      </x:c>
      <x:c r="C3492" s="3" t="n">
        <x:v>1</x:v>
      </x:c>
      <x:c r="D3492" s="51" t="n">
        <x:v>40806</x:v>
      </x:c>
      <x:c r="E3492" s="3" t="str">
        <x:v>Una compra</x:v>
      </x:c>
      <x:c r="F3492" s="13" t="n">
        <x:v>242.35</x:v>
      </x:c>
      <x:c r="G3492" s="13" t="n">
        <x:v>0</x:v>
      </x:c>
      <x:c r="H3492" s="13" t="n">
        <x:f>F3492-G3492</x:f>
        <x:v>242.35</x:v>
      </x:c>
      <x:c r="I3492" s="13" t="n">
        <x:f>IF(C3492=0,"n.a.",F3492/C3492)</x:f>
        <x:v>242.35</x:v>
      </x:c>
      <x:c r="J3492" s="3"/>
      <x:c r="K3492" s="3"/>
      <x:c r="L3492" s="3"/>
    </x:row>
    <x:row r="3493" ht="22" customHeight="1">
      <x:c r="A3493" s="3"/>
      <x:c r="B3493" s="3" t="str">
        <x:v>16330</x:v>
      </x:c>
      <x:c r="C3493" s="3" t="n">
        <x:v>3</x:v>
      </x:c>
      <x:c r="D3493" s="51" t="n">
        <x:v>40869</x:v>
      </x:c>
      <x:c r="E3493" s="3" t="str">
        <x:v>Recurrente</x:v>
      </x:c>
      <x:c r="F3493" s="13" t="n">
        <x:v>251.91</x:v>
      </x:c>
      <x:c r="G3493" s="13" t="n">
        <x:v>9.7</x:v>
      </x:c>
      <x:c r="H3493" s="13" t="n">
        <x:f>F3493-G3493</x:f>
        <x:v>242.21</x:v>
      </x:c>
      <x:c r="I3493" s="13" t="n">
        <x:f>IF(C3493=0,"n.a.",F3493/C3493)</x:f>
        <x:v>83.97</x:v>
      </x:c>
      <x:c r="J3493" s="3"/>
      <x:c r="K3493" s="3"/>
      <x:c r="L3493" s="3"/>
    </x:row>
    <x:row r="3494" ht="22" customHeight="1">
      <x:c r="A3494" s="3"/>
      <x:c r="B3494" s="3" t="str">
        <x:v>15776</x:v>
      </x:c>
      <x:c r="C3494" s="3" t="n">
        <x:v>1</x:v>
      </x:c>
      <x:c r="D3494" s="51" t="n">
        <x:v>40753</x:v>
      </x:c>
      <x:c r="E3494" s="3" t="str">
        <x:v>Una compra</x:v>
      </x:c>
      <x:c r="F3494" s="13" t="n">
        <x:v>241.62</x:v>
      </x:c>
      <x:c r="G3494" s="13" t="n">
        <x:v>0</x:v>
      </x:c>
      <x:c r="H3494" s="13" t="n">
        <x:f>F3494-G3494</x:f>
        <x:v>241.62</x:v>
      </x:c>
      <x:c r="I3494" s="13" t="n">
        <x:f>IF(C3494=0,"n.a.",F3494/C3494)</x:f>
        <x:v>241.62</x:v>
      </x:c>
      <x:c r="J3494" s="3"/>
      <x:c r="K3494" s="3"/>
      <x:c r="L3494" s="3"/>
    </x:row>
    <x:row r="3495" ht="22" customHeight="1">
      <x:c r="A3495" s="3"/>
      <x:c r="B3495" s="3" t="str">
        <x:v>14523</x:v>
      </x:c>
      <x:c r="C3495" s="3" t="n">
        <x:v>1</x:v>
      </x:c>
      <x:c r="D3495" s="51" t="n">
        <x:v>40778</x:v>
      </x:c>
      <x:c r="E3495" s="3" t="str">
        <x:v>Una compra</x:v>
      </x:c>
      <x:c r="F3495" s="13" t="n">
        <x:v>241.09</x:v>
      </x:c>
      <x:c r="G3495" s="13" t="n">
        <x:v>0</x:v>
      </x:c>
      <x:c r="H3495" s="13" t="n">
        <x:f>F3495-G3495</x:f>
        <x:v>241.09</x:v>
      </x:c>
      <x:c r="I3495" s="13" t="n">
        <x:f>IF(C3495=0,"n.a.",F3495/C3495)</x:f>
        <x:v>241.09</x:v>
      </x:c>
      <x:c r="J3495" s="3"/>
      <x:c r="K3495" s="3"/>
      <x:c r="L3495" s="3"/>
    </x:row>
    <x:row r="3496" ht="22" customHeight="1">
      <x:c r="A3496" s="3"/>
      <x:c r="B3496" s="3" t="str">
        <x:v>16427</x:v>
      </x:c>
      <x:c r="C3496" s="3" t="n">
        <x:v>2</x:v>
      </x:c>
      <x:c r="D3496" s="51" t="n">
        <x:v>40623</x:v>
      </x:c>
      <x:c r="E3496" s="3" t="str">
        <x:v>Recurrente</x:v>
      </x:c>
      <x:c r="F3496" s="13" t="n">
        <x:v>241.06</x:v>
      </x:c>
      <x:c r="G3496" s="13" t="n">
        <x:v>0</x:v>
      </x:c>
      <x:c r="H3496" s="13" t="n">
        <x:f>F3496-G3496</x:f>
        <x:v>241.06</x:v>
      </x:c>
      <x:c r="I3496" s="13" t="n">
        <x:f>IF(C3496=0,"n.a.",F3496/C3496)</x:f>
        <x:v>120.53</x:v>
      </x:c>
      <x:c r="J3496" s="3"/>
      <x:c r="K3496" s="3"/>
      <x:c r="L3496" s="3"/>
    </x:row>
    <x:row r="3497" ht="22" customHeight="1">
      <x:c r="A3497" s="3"/>
      <x:c r="B3497" s="3" t="str">
        <x:v>15286</x:v>
      </x:c>
      <x:c r="C3497" s="3" t="n">
        <x:v>1</x:v>
      </x:c>
      <x:c r="D3497" s="51" t="n">
        <x:v>40837</x:v>
      </x:c>
      <x:c r="E3497" s="3" t="str">
        <x:v>Una compra</x:v>
      </x:c>
      <x:c r="F3497" s="13" t="n">
        <x:v>240.55</x:v>
      </x:c>
      <x:c r="G3497" s="13" t="n">
        <x:v>0</x:v>
      </x:c>
      <x:c r="H3497" s="13" t="n">
        <x:f>F3497-G3497</x:f>
        <x:v>240.55</x:v>
      </x:c>
      <x:c r="I3497" s="13" t="n">
        <x:f>IF(C3497=0,"n.a.",F3497/C3497)</x:f>
        <x:v>240.55</x:v>
      </x:c>
      <x:c r="J3497" s="3"/>
      <x:c r="K3497" s="3"/>
      <x:c r="L3497" s="3"/>
    </x:row>
    <x:row r="3498" ht="22" customHeight="1">
      <x:c r="A3498" s="3"/>
      <x:c r="B3498" s="3" t="str">
        <x:v>15154</x:v>
      </x:c>
      <x:c r="C3498" s="3" t="n">
        <x:v>1</x:v>
      </x:c>
      <x:c r="D3498" s="51" t="n">
        <x:v>40811</x:v>
      </x:c>
      <x:c r="E3498" s="3" t="str">
        <x:v>Una compra</x:v>
      </x:c>
      <x:c r="F3498" s="13" t="n">
        <x:v>296.42</x:v>
      </x:c>
      <x:c r="G3498" s="13" t="n">
        <x:v>56.15</x:v>
      </x:c>
      <x:c r="H3498" s="13" t="n">
        <x:f>F3498-G3498</x:f>
        <x:v>240.27</x:v>
      </x:c>
      <x:c r="I3498" s="13" t="n">
        <x:f>IF(C3498=0,"n.a.",F3498/C3498)</x:f>
        <x:v>296.42</x:v>
      </x:c>
      <x:c r="J3498" s="3"/>
      <x:c r="K3498" s="3"/>
      <x:c r="L3498" s="3"/>
    </x:row>
    <x:row r="3499" ht="22" customHeight="1">
      <x:c r="A3499" s="3"/>
      <x:c r="B3499" s="3" t="str">
        <x:v>13565</x:v>
      </x:c>
      <x:c r="C3499" s="3" t="n">
        <x:v>2</x:v>
      </x:c>
      <x:c r="D3499" s="51" t="n">
        <x:v>40867</x:v>
      </x:c>
      <x:c r="E3499" s="3" t="str">
        <x:v>Recurrente</x:v>
      </x:c>
      <x:c r="F3499" s="13" t="n">
        <x:v>240.22</x:v>
      </x:c>
      <x:c r="G3499" s="13" t="n">
        <x:v>0</x:v>
      </x:c>
      <x:c r="H3499" s="13" t="n">
        <x:f>F3499-G3499</x:f>
        <x:v>240.22</x:v>
      </x:c>
      <x:c r="I3499" s="13" t="n">
        <x:f>IF(C3499=0,"n.a.",F3499/C3499)</x:f>
        <x:v>120.11</x:v>
      </x:c>
      <x:c r="J3499" s="3"/>
      <x:c r="K3499" s="3"/>
      <x:c r="L3499" s="3"/>
    </x:row>
    <x:row r="3500" ht="22" customHeight="1">
      <x:c r="A3500" s="3"/>
      <x:c r="B3500" s="3" t="str">
        <x:v>17256</x:v>
      </x:c>
      <x:c r="C3500" s="3" t="n">
        <x:v>2</x:v>
      </x:c>
      <x:c r="D3500" s="51" t="n">
        <x:v>40779</x:v>
      </x:c>
      <x:c r="E3500" s="3" t="str">
        <x:v>Recurrente</x:v>
      </x:c>
      <x:c r="F3500" s="13" t="n">
        <x:v>240</x:v>
      </x:c>
      <x:c r="G3500" s="13" t="n">
        <x:v>0</x:v>
      </x:c>
      <x:c r="H3500" s="13" t="n">
        <x:f>F3500-G3500</x:f>
        <x:v>240</x:v>
      </x:c>
      <x:c r="I3500" s="13" t="n">
        <x:f>IF(C3500=0,"n.a.",F3500/C3500)</x:f>
        <x:v>120</x:v>
      </x:c>
      <x:c r="J3500" s="3"/>
      <x:c r="K3500" s="3"/>
      <x:c r="L3500" s="3"/>
    </x:row>
    <x:row r="3501" ht="22" customHeight="1">
      <x:c r="A3501" s="3"/>
      <x:c r="B3501" s="3" t="str">
        <x:v>17181</x:v>
      </x:c>
      <x:c r="C3501" s="3" t="n">
        <x:v>2</x:v>
      </x:c>
      <x:c r="D3501" s="51" t="n">
        <x:v>40829</x:v>
      </x:c>
      <x:c r="E3501" s="3" t="str">
        <x:v>Recurrente</x:v>
      </x:c>
      <x:c r="F3501" s="13" t="n">
        <x:v>239.92</x:v>
      </x:c>
      <x:c r="G3501" s="13" t="n">
        <x:v>0</x:v>
      </x:c>
      <x:c r="H3501" s="13" t="n">
        <x:f>F3501-G3501</x:f>
        <x:v>239.92</x:v>
      </x:c>
      <x:c r="I3501" s="13" t="n">
        <x:f>IF(C3501=0,"n.a.",F3501/C3501)</x:f>
        <x:v>119.96</x:v>
      </x:c>
      <x:c r="J3501" s="3"/>
      <x:c r="K3501" s="3"/>
      <x:c r="L3501" s="3"/>
    </x:row>
    <x:row r="3502" ht="22" customHeight="1">
      <x:c r="A3502" s="3"/>
      <x:c r="B3502" s="3" t="str">
        <x:v>15690</x:v>
      </x:c>
      <x:c r="C3502" s="3" t="n">
        <x:v>2</x:v>
      </x:c>
      <x:c r="D3502" s="51" t="n">
        <x:v>40882</x:v>
      </x:c>
      <x:c r="E3502" s="3" t="str">
        <x:v>Recurrente</x:v>
      </x:c>
      <x:c r="F3502" s="13" t="n">
        <x:v>239.76</x:v>
      </x:c>
      <x:c r="G3502" s="13" t="n">
        <x:v>0</x:v>
      </x:c>
      <x:c r="H3502" s="13" t="n">
        <x:f>F3502-G3502</x:f>
        <x:v>239.76</x:v>
      </x:c>
      <x:c r="I3502" s="13" t="n">
        <x:f>IF(C3502=0,"n.a.",F3502/C3502)</x:f>
        <x:v>119.88</x:v>
      </x:c>
      <x:c r="J3502" s="3"/>
      <x:c r="K3502" s="3"/>
      <x:c r="L3502" s="3"/>
    </x:row>
    <x:row r="3503" ht="22" customHeight="1">
      <x:c r="A3503" s="3"/>
      <x:c r="B3503" s="3" t="str">
        <x:v>13570</x:v>
      </x:c>
      <x:c r="C3503" s="3" t="n">
        <x:v>1</x:v>
      </x:c>
      <x:c r="D3503" s="51" t="n">
        <x:v>40643</x:v>
      </x:c>
      <x:c r="E3503" s="3" t="str">
        <x:v>Una compra</x:v>
      </x:c>
      <x:c r="F3503" s="13" t="n">
        <x:v>239.49</x:v>
      </x:c>
      <x:c r="G3503" s="13" t="n">
        <x:v>0</x:v>
      </x:c>
      <x:c r="H3503" s="13" t="n">
        <x:f>F3503-G3503</x:f>
        <x:v>239.49</x:v>
      </x:c>
      <x:c r="I3503" s="13" t="n">
        <x:f>IF(C3503=0,"n.a.",F3503/C3503)</x:f>
        <x:v>239.49</x:v>
      </x:c>
      <x:c r="J3503" s="3"/>
      <x:c r="K3503" s="3"/>
      <x:c r="L3503" s="3"/>
    </x:row>
    <x:row r="3504" ht="22" customHeight="1">
      <x:c r="A3504" s="3"/>
      <x:c r="B3504" s="3" t="str">
        <x:v>17684</x:v>
      </x:c>
      <x:c r="C3504" s="3" t="n">
        <x:v>1</x:v>
      </x:c>
      <x:c r="D3504" s="51" t="n">
        <x:v>40843</x:v>
      </x:c>
      <x:c r="E3504" s="3" t="str">
        <x:v>Una compra</x:v>
      </x:c>
      <x:c r="F3504" s="13" t="n">
        <x:v>239.41</x:v>
      </x:c>
      <x:c r="G3504" s="13" t="n">
        <x:v>0</x:v>
      </x:c>
      <x:c r="H3504" s="13" t="n">
        <x:f>F3504-G3504</x:f>
        <x:v>239.41</x:v>
      </x:c>
      <x:c r="I3504" s="13" t="n">
        <x:f>IF(C3504=0,"n.a.",F3504/C3504)</x:f>
        <x:v>239.41</x:v>
      </x:c>
      <x:c r="J3504" s="3"/>
      <x:c r="K3504" s="3"/>
      <x:c r="L3504" s="3"/>
    </x:row>
    <x:row r="3505" ht="22" customHeight="1">
      <x:c r="A3505" s="3"/>
      <x:c r="B3505" s="3" t="str">
        <x:v>16756</x:v>
      </x:c>
      <x:c r="C3505" s="3" t="n">
        <x:v>1</x:v>
      </x:c>
      <x:c r="D3505" s="51" t="n">
        <x:v>40672</x:v>
      </x:c>
      <x:c r="E3505" s="3" t="str">
        <x:v>Una compra</x:v>
      </x:c>
      <x:c r="F3505" s="13" t="n">
        <x:v>239.4</x:v>
      </x:c>
      <x:c r="G3505" s="13" t="n">
        <x:v>0</x:v>
      </x:c>
      <x:c r="H3505" s="13" t="n">
        <x:f>F3505-G3505</x:f>
        <x:v>239.4</x:v>
      </x:c>
      <x:c r="I3505" s="13" t="n">
        <x:f>IF(C3505=0,"n.a.",F3505/C3505)</x:f>
        <x:v>239.4</x:v>
      </x:c>
      <x:c r="J3505" s="3"/>
      <x:c r="K3505" s="3"/>
      <x:c r="L3505" s="3"/>
    </x:row>
    <x:row r="3506" ht="22" customHeight="1">
      <x:c r="A3506" s="3"/>
      <x:c r="B3506" s="3" t="str">
        <x:v>12561</x:v>
      </x:c>
      <x:c r="C3506" s="3" t="n">
        <x:v>1</x:v>
      </x:c>
      <x:c r="D3506" s="51" t="n">
        <x:v>40584</x:v>
      </x:c>
      <x:c r="E3506" s="3" t="str">
        <x:v>Una compra</x:v>
      </x:c>
      <x:c r="F3506" s="13" t="n">
        <x:v>238.85</x:v>
      </x:c>
      <x:c r="G3506" s="13" t="n">
        <x:v>0</x:v>
      </x:c>
      <x:c r="H3506" s="13" t="n">
        <x:f>F3506-G3506</x:f>
        <x:v>238.85</x:v>
      </x:c>
      <x:c r="I3506" s="13" t="n">
        <x:f>IF(C3506=0,"n.a.",F3506/C3506)</x:f>
        <x:v>238.85</x:v>
      </x:c>
      <x:c r="J3506" s="3"/>
      <x:c r="K3506" s="3"/>
      <x:c r="L3506" s="3"/>
    </x:row>
    <x:row r="3507" ht="22" customHeight="1">
      <x:c r="A3507" s="3"/>
      <x:c r="B3507" s="3" t="str">
        <x:v>15850</x:v>
      </x:c>
      <x:c r="C3507" s="3" t="n">
        <x:v>2</x:v>
      </x:c>
      <x:c r="D3507" s="51" t="n">
        <x:v>40867</x:v>
      </x:c>
      <x:c r="E3507" s="3" t="str">
        <x:v>Recurrente</x:v>
      </x:c>
      <x:c r="F3507" s="13" t="n">
        <x:v>238.85</x:v>
      </x:c>
      <x:c r="G3507" s="13" t="n">
        <x:v>0</x:v>
      </x:c>
      <x:c r="H3507" s="13" t="n">
        <x:f>F3507-G3507</x:f>
        <x:v>238.85</x:v>
      </x:c>
      <x:c r="I3507" s="13" t="n">
        <x:f>IF(C3507=0,"n.a.",F3507/C3507)</x:f>
        <x:v>119.425</x:v>
      </x:c>
      <x:c r="J3507" s="3"/>
      <x:c r="K3507" s="3"/>
      <x:c r="L3507" s="3"/>
    </x:row>
    <x:row r="3508" ht="22" customHeight="1">
      <x:c r="A3508" s="3"/>
      <x:c r="B3508" s="3" t="str">
        <x:v>17877</x:v>
      </x:c>
      <x:c r="C3508" s="3" t="n">
        <x:v>1</x:v>
      </x:c>
      <x:c r="D3508" s="51" t="n">
        <x:v>40716</x:v>
      </x:c>
      <x:c r="E3508" s="3" t="str">
        <x:v>Una compra</x:v>
      </x:c>
      <x:c r="F3508" s="13" t="n">
        <x:v>237.61</x:v>
      </x:c>
      <x:c r="G3508" s="13" t="n">
        <x:v>0</x:v>
      </x:c>
      <x:c r="H3508" s="13" t="n">
        <x:f>F3508-G3508</x:f>
        <x:v>237.61</x:v>
      </x:c>
      <x:c r="I3508" s="13" t="n">
        <x:f>IF(C3508=0,"n.a.",F3508/C3508)</x:f>
        <x:v>237.61</x:v>
      </x:c>
      <x:c r="J3508" s="3"/>
      <x:c r="K3508" s="3"/>
      <x:c r="L3508" s="3"/>
    </x:row>
    <x:row r="3509" ht="22" customHeight="1">
      <x:c r="A3509" s="3"/>
      <x:c r="B3509" s="3" t="str">
        <x:v>15457</x:v>
      </x:c>
      <x:c r="C3509" s="3" t="n">
        <x:v>1</x:v>
      </x:c>
      <x:c r="D3509" s="51" t="n">
        <x:v>40624</x:v>
      </x:c>
      <x:c r="E3509" s="3" t="str">
        <x:v>Una compra</x:v>
      </x:c>
      <x:c r="F3509" s="13" t="n">
        <x:v>237.07</x:v>
      </x:c>
      <x:c r="G3509" s="13" t="n">
        <x:v>0</x:v>
      </x:c>
      <x:c r="H3509" s="13" t="n">
        <x:f>F3509-G3509</x:f>
        <x:v>237.07</x:v>
      </x:c>
      <x:c r="I3509" s="13" t="n">
        <x:f>IF(C3509=0,"n.a.",F3509/C3509)</x:f>
        <x:v>237.07</x:v>
      </x:c>
      <x:c r="J3509" s="3"/>
      <x:c r="K3509" s="3"/>
      <x:c r="L3509" s="3"/>
    </x:row>
    <x:row r="3510" ht="22" customHeight="1">
      <x:c r="A3510" s="3"/>
      <x:c r="B3510" s="3" t="str">
        <x:v>18024</x:v>
      </x:c>
      <x:c r="C3510" s="3" t="n">
        <x:v>2</x:v>
      </x:c>
      <x:c r="D3510" s="51" t="n">
        <x:v>40734</x:v>
      </x:c>
      <x:c r="E3510" s="3" t="str">
        <x:v>Recurrente</x:v>
      </x:c>
      <x:c r="F3510" s="13" t="n">
        <x:v>389.78</x:v>
      </x:c>
      <x:c r="G3510" s="13" t="n">
        <x:v>153</x:v>
      </x:c>
      <x:c r="H3510" s="13" t="n">
        <x:f>F3510-G3510</x:f>
        <x:v>236.77999999999997</x:v>
      </x:c>
      <x:c r="I3510" s="13" t="n">
        <x:f>IF(C3510=0,"n.a.",F3510/C3510)</x:f>
        <x:v>194.89</x:v>
      </x:c>
      <x:c r="J3510" s="3"/>
      <x:c r="K3510" s="3"/>
      <x:c r="L3510" s="3"/>
    </x:row>
    <x:row r="3511" ht="22" customHeight="1">
      <x:c r="A3511" s="3"/>
      <x:c r="B3511" s="3" t="str">
        <x:v>12604</x:v>
      </x:c>
      <x:c r="C3511" s="3" t="n">
        <x:v>2</x:v>
      </x:c>
      <x:c r="D3511" s="51" t="n">
        <x:v>40807</x:v>
      </x:c>
      <x:c r="E3511" s="3" t="str">
        <x:v>Recurrente</x:v>
      </x:c>
      <x:c r="F3511" s="13" t="n">
        <x:v>236.18</x:v>
      </x:c>
      <x:c r="G3511" s="13" t="n">
        <x:v>0</x:v>
      </x:c>
      <x:c r="H3511" s="13" t="n">
        <x:f>F3511-G3511</x:f>
        <x:v>236.18</x:v>
      </x:c>
      <x:c r="I3511" s="13" t="n">
        <x:f>IF(C3511=0,"n.a.",F3511/C3511)</x:f>
        <x:v>118.09</x:v>
      </x:c>
      <x:c r="J3511" s="3"/>
      <x:c r="K3511" s="3"/>
      <x:c r="L3511" s="3"/>
    </x:row>
    <x:row r="3512" ht="22" customHeight="1">
      <x:c r="A3512" s="3"/>
      <x:c r="B3512" s="3" t="str">
        <x:v>16026</x:v>
      </x:c>
      <x:c r="C3512" s="3" t="n">
        <x:v>1</x:v>
      </x:c>
      <x:c r="D3512" s="51" t="n">
        <x:v>40843</x:v>
      </x:c>
      <x:c r="E3512" s="3" t="str">
        <x:v>Una compra</x:v>
      </x:c>
      <x:c r="F3512" s="13" t="n">
        <x:v>236.09</x:v>
      </x:c>
      <x:c r="G3512" s="13" t="n">
        <x:v>0</x:v>
      </x:c>
      <x:c r="H3512" s="13" t="n">
        <x:f>F3512-G3512</x:f>
        <x:v>236.09</x:v>
      </x:c>
      <x:c r="I3512" s="13" t="n">
        <x:f>IF(C3512=0,"n.a.",F3512/C3512)</x:f>
        <x:v>236.09</x:v>
      </x:c>
      <x:c r="J3512" s="3"/>
      <x:c r="K3512" s="3"/>
      <x:c r="L3512" s="3"/>
    </x:row>
    <x:row r="3513" ht="22" customHeight="1">
      <x:c r="A3513" s="3"/>
      <x:c r="B3513" s="3" t="str">
        <x:v>13187</x:v>
      </x:c>
      <x:c r="C3513" s="3" t="n">
        <x:v>1</x:v>
      </x:c>
      <x:c r="D3513" s="51" t="n">
        <x:v>40549</x:v>
      </x:c>
      <x:c r="E3513" s="3" t="str">
        <x:v>Una compra</x:v>
      </x:c>
      <x:c r="F3513" s="13" t="n">
        <x:v>236.02</x:v>
      </x:c>
      <x:c r="G3513" s="13" t="n">
        <x:v>0</x:v>
      </x:c>
      <x:c r="H3513" s="13" t="n">
        <x:f>F3513-G3513</x:f>
        <x:v>236.02</x:v>
      </x:c>
      <x:c r="I3513" s="13" t="n">
        <x:f>IF(C3513=0,"n.a.",F3513/C3513)</x:f>
        <x:v>236.02</x:v>
      </x:c>
      <x:c r="J3513" s="3"/>
      <x:c r="K3513" s="3"/>
      <x:c r="L3513" s="3"/>
    </x:row>
    <x:row r="3514" ht="22" customHeight="1">
      <x:c r="A3514" s="3"/>
      <x:c r="B3514" s="3" t="str">
        <x:v>15598</x:v>
      </x:c>
      <x:c r="C3514" s="3" t="n">
        <x:v>1</x:v>
      </x:c>
      <x:c r="D3514" s="51" t="n">
        <x:v>40833</x:v>
      </x:c>
      <x:c r="E3514" s="3" t="str">
        <x:v>Una compra</x:v>
      </x:c>
      <x:c r="F3514" s="13" t="n">
        <x:v>240.68</x:v>
      </x:c>
      <x:c r="G3514" s="13" t="n">
        <x:v>5</x:v>
      </x:c>
      <x:c r="H3514" s="13" t="n">
        <x:f>F3514-G3514</x:f>
        <x:v>235.68</x:v>
      </x:c>
      <x:c r="I3514" s="13" t="n">
        <x:f>IF(C3514=0,"n.a.",F3514/C3514)</x:f>
        <x:v>240.68</x:v>
      </x:c>
      <x:c r="J3514" s="3"/>
      <x:c r="K3514" s="3"/>
      <x:c r="L3514" s="3"/>
    </x:row>
    <x:row r="3515" ht="22" customHeight="1">
      <x:c r="A3515" s="3"/>
      <x:c r="B3515" s="3" t="str">
        <x:v>15462</x:v>
      </x:c>
      <x:c r="C3515" s="3" t="n">
        <x:v>3</x:v>
      </x:c>
      <x:c r="D3515" s="51" t="n">
        <x:v>40792</x:v>
      </x:c>
      <x:c r="E3515" s="3" t="str">
        <x:v>Recurrente</x:v>
      </x:c>
      <x:c r="F3515" s="13" t="n">
        <x:v>234.6</x:v>
      </x:c>
      <x:c r="G3515" s="13" t="n">
        <x:v>0</x:v>
      </x:c>
      <x:c r="H3515" s="13" t="n">
        <x:f>F3515-G3515</x:f>
        <x:v>234.6</x:v>
      </x:c>
      <x:c r="I3515" s="13" t="n">
        <x:f>IF(C3515=0,"n.a.",F3515/C3515)</x:f>
        <x:v>78.2</x:v>
      </x:c>
      <x:c r="J3515" s="3"/>
      <x:c r="K3515" s="3"/>
      <x:c r="L3515" s="3"/>
    </x:row>
    <x:row r="3516" ht="22" customHeight="1">
      <x:c r="A3516" s="3"/>
      <x:c r="B3516" s="3" t="str">
        <x:v>14473</x:v>
      </x:c>
      <x:c r="C3516" s="3" t="n">
        <x:v>2</x:v>
      </x:c>
      <x:c r="D3516" s="51" t="n">
        <x:v>40812</x:v>
      </x:c>
      <x:c r="E3516" s="3" t="str">
        <x:v>Recurrente</x:v>
      </x:c>
      <x:c r="F3516" s="13" t="n">
        <x:v>234.34</x:v>
      </x:c>
      <x:c r="G3516" s="13" t="n">
        <x:v>0</x:v>
      </x:c>
      <x:c r="H3516" s="13" t="n">
        <x:f>F3516-G3516</x:f>
        <x:v>234.34</x:v>
      </x:c>
      <x:c r="I3516" s="13" t="n">
        <x:f>IF(C3516=0,"n.a.",F3516/C3516)</x:f>
        <x:v>117.17</x:v>
      </x:c>
      <x:c r="J3516" s="3"/>
      <x:c r="K3516" s="3"/>
      <x:c r="L3516" s="3"/>
    </x:row>
    <x:row r="3517" ht="22" customHeight="1">
      <x:c r="A3517" s="3"/>
      <x:c r="B3517" s="3" t="str">
        <x:v>17060</x:v>
      </x:c>
      <x:c r="C3517" s="3" t="n">
        <x:v>1</x:v>
      </x:c>
      <x:c r="D3517" s="51" t="n">
        <x:v>40620</x:v>
      </x:c>
      <x:c r="E3517" s="3" t="str">
        <x:v>Una compra</x:v>
      </x:c>
      <x:c r="F3517" s="13" t="n">
        <x:v>234.24</x:v>
      </x:c>
      <x:c r="G3517" s="13" t="n">
        <x:v>0</x:v>
      </x:c>
      <x:c r="H3517" s="13" t="n">
        <x:f>F3517-G3517</x:f>
        <x:v>234.24</x:v>
      </x:c>
      <x:c r="I3517" s="13" t="n">
        <x:f>IF(C3517=0,"n.a.",F3517/C3517)</x:f>
        <x:v>234.24</x:v>
      </x:c>
      <x:c r="J3517" s="3"/>
      <x:c r="K3517" s="3"/>
      <x:c r="L3517" s="3"/>
    </x:row>
    <x:row r="3518" ht="22" customHeight="1">
      <x:c r="A3518" s="3"/>
      <x:c r="B3518" s="3" t="str">
        <x:v>16961</x:v>
      </x:c>
      <x:c r="C3518" s="3" t="n">
        <x:v>1</x:v>
      </x:c>
      <x:c r="D3518" s="51" t="n">
        <x:v>40770</x:v>
      </x:c>
      <x:c r="E3518" s="3" t="str">
        <x:v>Una compra</x:v>
      </x:c>
      <x:c r="F3518" s="13" t="n">
        <x:v>234.17</x:v>
      </x:c>
      <x:c r="G3518" s="13" t="n">
        <x:v>0</x:v>
      </x:c>
      <x:c r="H3518" s="13" t="n">
        <x:f>F3518-G3518</x:f>
        <x:v>234.17</x:v>
      </x:c>
      <x:c r="I3518" s="13" t="n">
        <x:f>IF(C3518=0,"n.a.",F3518/C3518)</x:f>
        <x:v>234.17</x:v>
      </x:c>
      <x:c r="J3518" s="3"/>
      <x:c r="K3518" s="3"/>
      <x:c r="L3518" s="3"/>
    </x:row>
    <x:row r="3519" ht="22" customHeight="1">
      <x:c r="A3519" s="3"/>
      <x:c r="B3519" s="3" t="str">
        <x:v>15483</x:v>
      </x:c>
      <x:c r="C3519" s="3" t="n">
        <x:v>4</x:v>
      </x:c>
      <x:c r="D3519" s="51" t="n">
        <x:v>40725</x:v>
      </x:c>
      <x:c r="E3519" s="3" t="str">
        <x:v>Recurrente</x:v>
      </x:c>
      <x:c r="F3519" s="13" t="n">
        <x:v>233.81</x:v>
      </x:c>
      <x:c r="G3519" s="13" t="n">
        <x:v>0</x:v>
      </x:c>
      <x:c r="H3519" s="13" t="n">
        <x:f>F3519-G3519</x:f>
        <x:v>233.81</x:v>
      </x:c>
      <x:c r="I3519" s="13" t="n">
        <x:f>IF(C3519=0,"n.a.",F3519/C3519)</x:f>
        <x:v>58.4525</x:v>
      </x:c>
      <x:c r="J3519" s="3"/>
      <x:c r="K3519" s="3"/>
      <x:c r="L3519" s="3"/>
    </x:row>
    <x:row r="3520" ht="22" customHeight="1">
      <x:c r="A3520" s="3"/>
      <x:c r="B3520" s="3" t="str">
        <x:v>13348</x:v>
      </x:c>
      <x:c r="C3520" s="3" t="n">
        <x:v>1</x:v>
      </x:c>
      <x:c r="D3520" s="51" t="n">
        <x:v>40822</x:v>
      </x:c>
      <x:c r="E3520" s="3" t="str">
        <x:v>Una compra</x:v>
      </x:c>
      <x:c r="F3520" s="13" t="n">
        <x:v>233.76</x:v>
      </x:c>
      <x:c r="G3520" s="13" t="n">
        <x:v>0</x:v>
      </x:c>
      <x:c r="H3520" s="13" t="n">
        <x:f>F3520-G3520</x:f>
        <x:v>233.76</x:v>
      </x:c>
      <x:c r="I3520" s="13" t="n">
        <x:f>IF(C3520=0,"n.a.",F3520/C3520)</x:f>
        <x:v>233.76</x:v>
      </x:c>
      <x:c r="J3520" s="3"/>
      <x:c r="K3520" s="3"/>
      <x:c r="L3520" s="3"/>
    </x:row>
    <x:row r="3521" ht="22" customHeight="1">
      <x:c r="A3521" s="3"/>
      <x:c r="B3521" s="3" t="str">
        <x:v>16583</x:v>
      </x:c>
      <x:c r="C3521" s="3" t="n">
        <x:v>1</x:v>
      </x:c>
      <x:c r="D3521" s="51" t="n">
        <x:v>40513</x:v>
      </x:c>
      <x:c r="E3521" s="3" t="str">
        <x:v>Una compra</x:v>
      </x:c>
      <x:c r="F3521" s="13" t="n">
        <x:v>233.45</x:v>
      </x:c>
      <x:c r="G3521" s="13" t="n">
        <x:v>0</x:v>
      </x:c>
      <x:c r="H3521" s="13" t="n">
        <x:f>F3521-G3521</x:f>
        <x:v>233.45</x:v>
      </x:c>
      <x:c r="I3521" s="13" t="n">
        <x:f>IF(C3521=0,"n.a.",F3521/C3521)</x:f>
        <x:v>233.45</x:v>
      </x:c>
      <x:c r="J3521" s="3"/>
      <x:c r="K3521" s="3"/>
      <x:c r="L3521" s="3"/>
    </x:row>
    <x:row r="3522" ht="22" customHeight="1">
      <x:c r="A3522" s="3"/>
      <x:c r="B3522" s="3" t="str">
        <x:v>14995</x:v>
      </x:c>
      <x:c r="C3522" s="3" t="n">
        <x:v>2</x:v>
      </x:c>
      <x:c r="D3522" s="51" t="n">
        <x:v>40848</x:v>
      </x:c>
      <x:c r="E3522" s="3" t="str">
        <x:v>Recurrente</x:v>
      </x:c>
      <x:c r="F3522" s="13" t="n">
        <x:v>233.23</x:v>
      </x:c>
      <x:c r="G3522" s="13" t="n">
        <x:v>0</x:v>
      </x:c>
      <x:c r="H3522" s="13" t="n">
        <x:f>F3522-G3522</x:f>
        <x:v>233.23</x:v>
      </x:c>
      <x:c r="I3522" s="13" t="n">
        <x:f>IF(C3522=0,"n.a.",F3522/C3522)</x:f>
        <x:v>116.615</x:v>
      </x:c>
      <x:c r="J3522" s="3"/>
      <x:c r="K3522" s="3"/>
      <x:c r="L3522" s="3"/>
    </x:row>
    <x:row r="3523" ht="22" customHeight="1">
      <x:c r="A3523" s="3"/>
      <x:c r="B3523" s="3" t="str">
        <x:v>13678</x:v>
      </x:c>
      <x:c r="C3523" s="3" t="n">
        <x:v>1</x:v>
      </x:c>
      <x:c r="D3523" s="51" t="n">
        <x:v>40735</x:v>
      </x:c>
      <x:c r="E3523" s="3" t="str">
        <x:v>Una compra</x:v>
      </x:c>
      <x:c r="F3523" s="13" t="n">
        <x:v>232.6</x:v>
      </x:c>
      <x:c r="G3523" s="13" t="n">
        <x:v>0</x:v>
      </x:c>
      <x:c r="H3523" s="13" t="n">
        <x:f>F3523-G3523</x:f>
        <x:v>232.6</x:v>
      </x:c>
      <x:c r="I3523" s="13" t="n">
        <x:f>IF(C3523=0,"n.a.",F3523/C3523)</x:f>
        <x:v>232.6</x:v>
      </x:c>
      <x:c r="J3523" s="3"/>
      <x:c r="K3523" s="3"/>
      <x:c r="L3523" s="3"/>
    </x:row>
    <x:row r="3524" ht="22" customHeight="1">
      <x:c r="A3524" s="3"/>
      <x:c r="B3524" s="3" t="str">
        <x:v>18213</x:v>
      </x:c>
      <x:c r="C3524" s="3" t="n">
        <x:v>1</x:v>
      </x:c>
      <x:c r="D3524" s="51" t="n">
        <x:v>40650</x:v>
      </x:c>
      <x:c r="E3524" s="3" t="str">
        <x:v>Una compra</x:v>
      </x:c>
      <x:c r="F3524" s="13" t="n">
        <x:v>232.48</x:v>
      </x:c>
      <x:c r="G3524" s="13" t="n">
        <x:v>0</x:v>
      </x:c>
      <x:c r="H3524" s="13" t="n">
        <x:f>F3524-G3524</x:f>
        <x:v>232.48</x:v>
      </x:c>
      <x:c r="I3524" s="13" t="n">
        <x:f>IF(C3524=0,"n.a.",F3524/C3524)</x:f>
        <x:v>232.48</x:v>
      </x:c>
      <x:c r="J3524" s="3"/>
      <x:c r="K3524" s="3"/>
      <x:c r="L3524" s="3"/>
    </x:row>
    <x:row r="3525" ht="22" customHeight="1">
      <x:c r="A3525" s="3"/>
      <x:c r="B3525" s="3" t="str">
        <x:v>16117</x:v>
      </x:c>
      <x:c r="C3525" s="3" t="n">
        <x:v>1</x:v>
      </x:c>
      <x:c r="D3525" s="51" t="n">
        <x:v>40697</x:v>
      </x:c>
      <x:c r="E3525" s="3" t="str">
        <x:v>Una compra</x:v>
      </x:c>
      <x:c r="F3525" s="13" t="n">
        <x:v>232.21</x:v>
      </x:c>
      <x:c r="G3525" s="13" t="n">
        <x:v>0</x:v>
      </x:c>
      <x:c r="H3525" s="13" t="n">
        <x:f>F3525-G3525</x:f>
        <x:v>232.21</x:v>
      </x:c>
      <x:c r="I3525" s="13" t="n">
        <x:f>IF(C3525=0,"n.a.",F3525/C3525)</x:f>
        <x:v>232.21</x:v>
      </x:c>
      <x:c r="J3525" s="3"/>
      <x:c r="K3525" s="3"/>
      <x:c r="L3525" s="3"/>
    </x:row>
    <x:row r="3526" ht="22" customHeight="1">
      <x:c r="A3526" s="3"/>
      <x:c r="B3526" s="3" t="str">
        <x:v>15257</x:v>
      </x:c>
      <x:c r="C3526" s="3" t="n">
        <x:v>1</x:v>
      </x:c>
      <x:c r="D3526" s="51" t="n">
        <x:v>40603</x:v>
      </x:c>
      <x:c r="E3526" s="3" t="str">
        <x:v>Una compra</x:v>
      </x:c>
      <x:c r="F3526" s="13" t="n">
        <x:v>317.15</x:v>
      </x:c>
      <x:c r="G3526" s="13" t="n">
        <x:v>85</x:v>
      </x:c>
      <x:c r="H3526" s="13" t="n">
        <x:f>F3526-G3526</x:f>
        <x:v>232.14999999999998</x:v>
      </x:c>
      <x:c r="I3526" s="13" t="n">
        <x:f>IF(C3526=0,"n.a.",F3526/C3526)</x:f>
        <x:v>317.15</x:v>
      </x:c>
      <x:c r="J3526" s="3"/>
      <x:c r="K3526" s="3"/>
      <x:c r="L3526" s="3"/>
    </x:row>
    <x:row r="3527" ht="22" customHeight="1">
      <x:c r="A3527" s="3"/>
      <x:c r="B3527" s="3" t="str">
        <x:v>15393</x:v>
      </x:c>
      <x:c r="C3527" s="3" t="n">
        <x:v>2</x:v>
      </x:c>
      <x:c r="D3527" s="51" t="n">
        <x:v>40870</x:v>
      </x:c>
      <x:c r="E3527" s="3" t="str">
        <x:v>Recurrente</x:v>
      </x:c>
      <x:c r="F3527" s="13" t="n">
        <x:v>231.86</x:v>
      </x:c>
      <x:c r="G3527" s="13" t="n">
        <x:v>0</x:v>
      </x:c>
      <x:c r="H3527" s="13" t="n">
        <x:f>F3527-G3527</x:f>
        <x:v>231.86</x:v>
      </x:c>
      <x:c r="I3527" s="13" t="n">
        <x:f>IF(C3527=0,"n.a.",F3527/C3527)</x:f>
        <x:v>115.93</x:v>
      </x:c>
      <x:c r="J3527" s="3"/>
      <x:c r="K3527" s="3"/>
      <x:c r="L3527" s="3"/>
    </x:row>
    <x:row r="3528" ht="22" customHeight="1">
      <x:c r="A3528" s="3"/>
      <x:c r="B3528" s="3" t="str">
        <x:v>16641</x:v>
      </x:c>
      <x:c r="C3528" s="3" t="n">
        <x:v>1</x:v>
      </x:c>
      <x:c r="D3528" s="51" t="n">
        <x:v>40781</x:v>
      </x:c>
      <x:c r="E3528" s="3" t="str">
        <x:v>Una compra</x:v>
      </x:c>
      <x:c r="F3528" s="13" t="n">
        <x:v>231.1</x:v>
      </x:c>
      <x:c r="G3528" s="13" t="n">
        <x:v>0</x:v>
      </x:c>
      <x:c r="H3528" s="13" t="n">
        <x:f>F3528-G3528</x:f>
        <x:v>231.1</x:v>
      </x:c>
      <x:c r="I3528" s="13" t="n">
        <x:f>IF(C3528=0,"n.a.",F3528/C3528)</x:f>
        <x:v>231.1</x:v>
      </x:c>
      <x:c r="J3528" s="3"/>
      <x:c r="K3528" s="3"/>
      <x:c r="L3528" s="3"/>
    </x:row>
    <x:row r="3529" ht="22" customHeight="1">
      <x:c r="A3529" s="3"/>
      <x:c r="B3529" s="3" t="str">
        <x:v>16321</x:v>
      </x:c>
      <x:c r="C3529" s="3" t="n">
        <x:v>5</x:v>
      </x:c>
      <x:c r="D3529" s="51" t="n">
        <x:v>40814</x:v>
      </x:c>
      <x:c r="E3529" s="3" t="str">
        <x:v>Recurrente</x:v>
      </x:c>
      <x:c r="F3529" s="13" t="n">
        <x:v>373.65</x:v>
      </x:c>
      <x:c r="G3529" s="13" t="n">
        <x:v>142.95</x:v>
      </x:c>
      <x:c r="H3529" s="13" t="n">
        <x:f>F3529-G3529</x:f>
        <x:v>230.7</x:v>
      </x:c>
      <x:c r="I3529" s="13" t="n">
        <x:f>IF(C3529=0,"n.a.",F3529/C3529)</x:f>
        <x:v>74.72999999999999</x:v>
      </x:c>
      <x:c r="J3529" s="3"/>
      <x:c r="K3529" s="3"/>
      <x:c r="L3529" s="3"/>
    </x:row>
    <x:row r="3530" ht="22" customHeight="1">
      <x:c r="A3530" s="3"/>
      <x:c r="B3530" s="3" t="str">
        <x:v>15866</x:v>
      </x:c>
      <x:c r="C3530" s="3" t="n">
        <x:v>1</x:v>
      </x:c>
      <x:c r="D3530" s="51" t="n">
        <x:v>40785</x:v>
      </x:c>
      <x:c r="E3530" s="3" t="str">
        <x:v>Una compra</x:v>
      </x:c>
      <x:c r="F3530" s="13" t="n">
        <x:v>230.53</x:v>
      </x:c>
      <x:c r="G3530" s="13" t="n">
        <x:v>0</x:v>
      </x:c>
      <x:c r="H3530" s="13" t="n">
        <x:f>F3530-G3530</x:f>
        <x:v>230.53</x:v>
      </x:c>
      <x:c r="I3530" s="13" t="n">
        <x:f>IF(C3530=0,"n.a.",F3530/C3530)</x:f>
        <x:v>230.53</x:v>
      </x:c>
      <x:c r="J3530" s="3"/>
      <x:c r="K3530" s="3"/>
      <x:c r="L3530" s="3"/>
    </x:row>
    <x:row r="3531" ht="22" customHeight="1">
      <x:c r="A3531" s="3"/>
      <x:c r="B3531" s="3" t="str">
        <x:v>16445</x:v>
      </x:c>
      <x:c r="C3531" s="3" t="n">
        <x:v>1</x:v>
      </x:c>
      <x:c r="D3531" s="51" t="n">
        <x:v>40853</x:v>
      </x:c>
      <x:c r="E3531" s="3" t="str">
        <x:v>Una compra</x:v>
      </x:c>
      <x:c r="F3531" s="13" t="n">
        <x:v>230.51</x:v>
      </x:c>
      <x:c r="G3531" s="13" t="n">
        <x:v>0</x:v>
      </x:c>
      <x:c r="H3531" s="13" t="n">
        <x:f>F3531-G3531</x:f>
        <x:v>230.51</x:v>
      </x:c>
      <x:c r="I3531" s="13" t="n">
        <x:f>IF(C3531=0,"n.a.",F3531/C3531)</x:f>
        <x:v>230.51</x:v>
      </x:c>
      <x:c r="J3531" s="3"/>
      <x:c r="K3531" s="3"/>
      <x:c r="L3531" s="3"/>
    </x:row>
    <x:row r="3532" ht="22" customHeight="1">
      <x:c r="A3532" s="3"/>
      <x:c r="B3532" s="3" t="str">
        <x:v>13786</x:v>
      </x:c>
      <x:c r="C3532" s="3" t="n">
        <x:v>1</x:v>
      </x:c>
      <x:c r="D3532" s="51" t="n">
        <x:v>40519</x:v>
      </x:c>
      <x:c r="E3532" s="3" t="str">
        <x:v>Una compra</x:v>
      </x:c>
      <x:c r="F3532" s="13" t="n">
        <x:v>230.4</x:v>
      </x:c>
      <x:c r="G3532" s="13" t="n">
        <x:v>0</x:v>
      </x:c>
      <x:c r="H3532" s="13" t="n">
        <x:f>F3532-G3532</x:f>
        <x:v>230.4</x:v>
      </x:c>
      <x:c r="I3532" s="13" t="n">
        <x:f>IF(C3532=0,"n.a.",F3532/C3532)</x:f>
        <x:v>230.4</x:v>
      </x:c>
      <x:c r="J3532" s="3"/>
      <x:c r="K3532" s="3"/>
      <x:c r="L3532" s="3"/>
    </x:row>
    <x:row r="3533" ht="22" customHeight="1">
      <x:c r="A3533" s="3"/>
      <x:c r="B3533" s="3" t="str">
        <x:v>16926</x:v>
      </x:c>
      <x:c r="C3533" s="3" t="n">
        <x:v>1</x:v>
      </x:c>
      <x:c r="D3533" s="51" t="n">
        <x:v>40515</x:v>
      </x:c>
      <x:c r="E3533" s="3" t="str">
        <x:v>Una compra</x:v>
      </x:c>
      <x:c r="F3533" s="13" t="n">
        <x:v>230.25</x:v>
      </x:c>
      <x:c r="G3533" s="13" t="n">
        <x:v>0</x:v>
      </x:c>
      <x:c r="H3533" s="13" t="n">
        <x:f>F3533-G3533</x:f>
        <x:v>230.25</x:v>
      </x:c>
      <x:c r="I3533" s="13" t="n">
        <x:f>IF(C3533=0,"n.a.",F3533/C3533)</x:f>
        <x:v>230.25</x:v>
      </x:c>
      <x:c r="J3533" s="3"/>
      <x:c r="K3533" s="3"/>
      <x:c r="L3533" s="3"/>
    </x:row>
    <x:row r="3534" ht="22" customHeight="1">
      <x:c r="A3534" s="3"/>
      <x:c r="B3534" s="3" t="str">
        <x:v>13960</x:v>
      </x:c>
      <x:c r="C3534" s="3" t="n">
        <x:v>2</x:v>
      </x:c>
      <x:c r="D3534" s="51" t="n">
        <x:v>40865</x:v>
      </x:c>
      <x:c r="E3534" s="3" t="str">
        <x:v>Recurrente</x:v>
      </x:c>
      <x:c r="F3534" s="13" t="n">
        <x:v>230.22</x:v>
      </x:c>
      <x:c r="G3534" s="13" t="n">
        <x:v>0</x:v>
      </x:c>
      <x:c r="H3534" s="13" t="n">
        <x:f>F3534-G3534</x:f>
        <x:v>230.22</x:v>
      </x:c>
      <x:c r="I3534" s="13" t="n">
        <x:f>IF(C3534=0,"n.a.",F3534/C3534)</x:f>
        <x:v>115.11</x:v>
      </x:c>
      <x:c r="J3534" s="3"/>
      <x:c r="K3534" s="3"/>
      <x:c r="L3534" s="3"/>
    </x:row>
    <x:row r="3535" ht="22" customHeight="1">
      <x:c r="A3535" s="3"/>
      <x:c r="B3535" s="3" t="str">
        <x:v>14311</x:v>
      </x:c>
      <x:c r="C3535" s="3" t="n">
        <x:v>1</x:v>
      </x:c>
      <x:c r="D3535" s="51" t="n">
        <x:v>40644</x:v>
      </x:c>
      <x:c r="E3535" s="3" t="str">
        <x:v>Una compra</x:v>
      </x:c>
      <x:c r="F3535" s="13" t="n">
        <x:v>310.26</x:v>
      </x:c>
      <x:c r="G3535" s="13" t="n">
        <x:v>80.55</x:v>
      </x:c>
      <x:c r="H3535" s="13" t="n">
        <x:f>F3535-G3535</x:f>
        <x:v>229.70999999999998</x:v>
      </x:c>
      <x:c r="I3535" s="13" t="n">
        <x:f>IF(C3535=0,"n.a.",F3535/C3535)</x:f>
        <x:v>310.26</x:v>
      </x:c>
      <x:c r="J3535" s="3"/>
      <x:c r="K3535" s="3"/>
      <x:c r="L3535" s="3"/>
    </x:row>
    <x:row r="3536" ht="22" customHeight="1">
      <x:c r="A3536" s="3"/>
      <x:c r="B3536" s="3" t="str">
        <x:v>12812</x:v>
      </x:c>
      <x:c r="C3536" s="3" t="n">
        <x:v>1</x:v>
      </x:c>
      <x:c r="D3536" s="51" t="n">
        <x:v>40842</x:v>
      </x:c>
      <x:c r="E3536" s="3" t="str">
        <x:v>Una compra</x:v>
      </x:c>
      <x:c r="F3536" s="13" t="n">
        <x:v>229.64</x:v>
      </x:c>
      <x:c r="G3536" s="13" t="n">
        <x:v>0</x:v>
      </x:c>
      <x:c r="H3536" s="13" t="n">
        <x:f>F3536-G3536</x:f>
        <x:v>229.64</x:v>
      </x:c>
      <x:c r="I3536" s="13" t="n">
        <x:f>IF(C3536=0,"n.a.",F3536/C3536)</x:f>
        <x:v>229.64</x:v>
      </x:c>
      <x:c r="J3536" s="3"/>
      <x:c r="K3536" s="3"/>
      <x:c r="L3536" s="3"/>
    </x:row>
    <x:row r="3537" ht="22" customHeight="1">
      <x:c r="A3537" s="3"/>
      <x:c r="B3537" s="3" t="str">
        <x:v>13474</x:v>
      </x:c>
      <x:c r="C3537" s="3" t="n">
        <x:v>1</x:v>
      </x:c>
      <x:c r="D3537" s="51" t="n">
        <x:v>40650</x:v>
      </x:c>
      <x:c r="E3537" s="3" t="str">
        <x:v>Una compra</x:v>
      </x:c>
      <x:c r="F3537" s="13" t="n">
        <x:v>229.59</x:v>
      </x:c>
      <x:c r="G3537" s="13" t="n">
        <x:v>0</x:v>
      </x:c>
      <x:c r="H3537" s="13" t="n">
        <x:f>F3537-G3537</x:f>
        <x:v>229.59</x:v>
      </x:c>
      <x:c r="I3537" s="13" t="n">
        <x:f>IF(C3537=0,"n.a.",F3537/C3537)</x:f>
        <x:v>229.59</x:v>
      </x:c>
      <x:c r="J3537" s="3"/>
      <x:c r="K3537" s="3"/>
      <x:c r="L3537" s="3"/>
    </x:row>
    <x:row r="3538" ht="22" customHeight="1">
      <x:c r="A3538" s="3"/>
      <x:c r="B3538" s="3" t="str">
        <x:v>15528</x:v>
      </x:c>
      <x:c r="C3538" s="3" t="n">
        <x:v>1</x:v>
      </x:c>
      <x:c r="D3538" s="51" t="n">
        <x:v>40632</x:v>
      </x:c>
      <x:c r="E3538" s="3" t="str">
        <x:v>Una compra</x:v>
      </x:c>
      <x:c r="F3538" s="13" t="n">
        <x:v>229.33</x:v>
      </x:c>
      <x:c r="G3538" s="13" t="n">
        <x:v>0</x:v>
      </x:c>
      <x:c r="H3538" s="13" t="n">
        <x:f>F3538-G3538</x:f>
        <x:v>229.33</x:v>
      </x:c>
      <x:c r="I3538" s="13" t="n">
        <x:f>IF(C3538=0,"n.a.",F3538/C3538)</x:f>
        <x:v>229.33</x:v>
      </x:c>
      <x:c r="J3538" s="3"/>
      <x:c r="K3538" s="3"/>
      <x:c r="L3538" s="3"/>
    </x:row>
    <x:row r="3539" ht="22" customHeight="1">
      <x:c r="A3539" s="3"/>
      <x:c r="B3539" s="3" t="str">
        <x:v>17347</x:v>
      </x:c>
      <x:c r="C3539" s="3" t="n">
        <x:v>1</x:v>
      </x:c>
      <x:c r="D3539" s="51" t="n">
        <x:v>40800</x:v>
      </x:c>
      <x:c r="E3539" s="3" t="str">
        <x:v>Una compra</x:v>
      </x:c>
      <x:c r="F3539" s="13" t="n">
        <x:v>228.96</x:v>
      </x:c>
      <x:c r="G3539" s="13" t="n">
        <x:v>0</x:v>
      </x:c>
      <x:c r="H3539" s="13" t="n">
        <x:f>F3539-G3539</x:f>
        <x:v>228.96</x:v>
      </x:c>
      <x:c r="I3539" s="13" t="n">
        <x:f>IF(C3539=0,"n.a.",F3539/C3539)</x:f>
        <x:v>228.96</x:v>
      </x:c>
      <x:c r="J3539" s="3"/>
      <x:c r="K3539" s="3"/>
      <x:c r="L3539" s="3"/>
    </x:row>
    <x:row r="3540" ht="22" customHeight="1">
      <x:c r="A3540" s="3"/>
      <x:c r="B3540" s="3" t="str">
        <x:v>13146</x:v>
      </x:c>
      <x:c r="C3540" s="3" t="n">
        <x:v>1</x:v>
      </x:c>
      <x:c r="D3540" s="51" t="n">
        <x:v>40860</x:v>
      </x:c>
      <x:c r="E3540" s="3" t="str">
        <x:v>Una compra</x:v>
      </x:c>
      <x:c r="F3540" s="13" t="n">
        <x:v>228.91</x:v>
      </x:c>
      <x:c r="G3540" s="13" t="n">
        <x:v>0</x:v>
      </x:c>
      <x:c r="H3540" s="13" t="n">
        <x:f>F3540-G3540</x:f>
        <x:v>228.91</x:v>
      </x:c>
      <x:c r="I3540" s="13" t="n">
        <x:f>IF(C3540=0,"n.a.",F3540/C3540)</x:f>
        <x:v>228.91</x:v>
      </x:c>
      <x:c r="J3540" s="3"/>
      <x:c r="K3540" s="3"/>
      <x:c r="L3540" s="3"/>
    </x:row>
    <x:row r="3541" ht="22" customHeight="1">
      <x:c r="A3541" s="3"/>
      <x:c r="B3541" s="3" t="str">
        <x:v>13712</x:v>
      </x:c>
      <x:c r="C3541" s="3" t="n">
        <x:v>1</x:v>
      </x:c>
      <x:c r="D3541" s="51" t="n">
        <x:v>40640</x:v>
      </x:c>
      <x:c r="E3541" s="3" t="str">
        <x:v>Una compra</x:v>
      </x:c>
      <x:c r="F3541" s="13" t="n">
        <x:v>228.84</x:v>
      </x:c>
      <x:c r="G3541" s="13" t="n">
        <x:v>0</x:v>
      </x:c>
      <x:c r="H3541" s="13" t="n">
        <x:f>F3541-G3541</x:f>
        <x:v>228.84</x:v>
      </x:c>
      <x:c r="I3541" s="13" t="n">
        <x:f>IF(C3541=0,"n.a.",F3541/C3541)</x:f>
        <x:v>228.84</x:v>
      </x:c>
      <x:c r="J3541" s="3"/>
      <x:c r="K3541" s="3"/>
      <x:c r="L3541" s="3"/>
    </x:row>
    <x:row r="3542" ht="22" customHeight="1">
      <x:c r="A3542" s="3"/>
      <x:c r="B3542" s="3" t="str">
        <x:v>13070</x:v>
      </x:c>
      <x:c r="C3542" s="3" t="n">
        <x:v>1</x:v>
      </x:c>
      <x:c r="D3542" s="51" t="n">
        <x:v>40694</x:v>
      </x:c>
      <x:c r="E3542" s="3" t="str">
        <x:v>Una compra</x:v>
      </x:c>
      <x:c r="F3542" s="13" t="n">
        <x:v>228.8</x:v>
      </x:c>
      <x:c r="G3542" s="13" t="n">
        <x:v>0</x:v>
      </x:c>
      <x:c r="H3542" s="13" t="n">
        <x:f>F3542-G3542</x:f>
        <x:v>228.8</x:v>
      </x:c>
      <x:c r="I3542" s="13" t="n">
        <x:f>IF(C3542=0,"n.a.",F3542/C3542)</x:f>
        <x:v>228.8</x:v>
      </x:c>
      <x:c r="J3542" s="3"/>
      <x:c r="K3542" s="3"/>
      <x:c r="L3542" s="3"/>
    </x:row>
    <x:row r="3543" ht="22" customHeight="1">
      <x:c r="A3543" s="3"/>
      <x:c r="B3543" s="3" t="str">
        <x:v>14205</x:v>
      </x:c>
      <x:c r="C3543" s="3" t="n">
        <x:v>2</x:v>
      </x:c>
      <x:c r="D3543" s="51" t="n">
        <x:v>40870</x:v>
      </x:c>
      <x:c r="E3543" s="3" t="str">
        <x:v>Recurrente</x:v>
      </x:c>
      <x:c r="F3543" s="13" t="n">
        <x:v>466.7</x:v>
      </x:c>
      <x:c r="G3543" s="13" t="n">
        <x:v>238.2</x:v>
      </x:c>
      <x:c r="H3543" s="13" t="n">
        <x:f>F3543-G3543</x:f>
        <x:v>228.5</x:v>
      </x:c>
      <x:c r="I3543" s="13" t="n">
        <x:f>IF(C3543=0,"n.a.",F3543/C3543)</x:f>
        <x:v>233.35</x:v>
      </x:c>
      <x:c r="J3543" s="3"/>
      <x:c r="K3543" s="3"/>
      <x:c r="L3543" s="3"/>
    </x:row>
    <x:row r="3544" ht="22" customHeight="1">
      <x:c r="A3544" s="3"/>
      <x:c r="B3544" s="3" t="str">
        <x:v>17969</x:v>
      </x:c>
      <x:c r="C3544" s="3" t="n">
        <x:v>2</x:v>
      </x:c>
      <x:c r="D3544" s="51" t="n">
        <x:v>40720</x:v>
      </x:c>
      <x:c r="E3544" s="3" t="str">
        <x:v>Recurrente</x:v>
      </x:c>
      <x:c r="F3544" s="13" t="n">
        <x:v>228.2</x:v>
      </x:c>
      <x:c r="G3544" s="13" t="n">
        <x:v>0</x:v>
      </x:c>
      <x:c r="H3544" s="13" t="n">
        <x:f>F3544-G3544</x:f>
        <x:v>228.2</x:v>
      </x:c>
      <x:c r="I3544" s="13" t="n">
        <x:f>IF(C3544=0,"n.a.",F3544/C3544)</x:f>
        <x:v>114.1</x:v>
      </x:c>
      <x:c r="J3544" s="3"/>
      <x:c r="K3544" s="3"/>
      <x:c r="L3544" s="3"/>
    </x:row>
    <x:row r="3545" ht="22" customHeight="1">
      <x:c r="A3545" s="3"/>
      <x:c r="B3545" s="3" t="str">
        <x:v>16527</x:v>
      </x:c>
      <x:c r="C3545" s="3" t="n">
        <x:v>1</x:v>
      </x:c>
      <x:c r="D3545" s="51" t="n">
        <x:v>40805</x:v>
      </x:c>
      <x:c r="E3545" s="3" t="str">
        <x:v>Una compra</x:v>
      </x:c>
      <x:c r="F3545" s="13" t="n">
        <x:v>228.06</x:v>
      </x:c>
      <x:c r="G3545" s="13" t="n">
        <x:v>0</x:v>
      </x:c>
      <x:c r="H3545" s="13" t="n">
        <x:f>F3545-G3545</x:f>
        <x:v>228.06</x:v>
      </x:c>
      <x:c r="I3545" s="13" t="n">
        <x:f>IF(C3545=0,"n.a.",F3545/C3545)</x:f>
        <x:v>228.06</x:v>
      </x:c>
      <x:c r="J3545" s="3"/>
      <x:c r="K3545" s="3"/>
      <x:c r="L3545" s="3"/>
    </x:row>
    <x:row r="3546" ht="22" customHeight="1">
      <x:c r="A3546" s="3"/>
      <x:c r="B3546" s="3" t="str">
        <x:v>14569</x:v>
      </x:c>
      <x:c r="C3546" s="3" t="n">
        <x:v>1</x:v>
      </x:c>
      <x:c r="D3546" s="51" t="n">
        <x:v>40885</x:v>
      </x:c>
      <x:c r="E3546" s="3" t="str">
        <x:v>Una compra</x:v>
      </x:c>
      <x:c r="F3546" s="13" t="n">
        <x:v>227.39</x:v>
      </x:c>
      <x:c r="G3546" s="13" t="n">
        <x:v>0</x:v>
      </x:c>
      <x:c r="H3546" s="13" t="n">
        <x:f>F3546-G3546</x:f>
        <x:v>227.39</x:v>
      </x:c>
      <x:c r="I3546" s="13" t="n">
        <x:f>IF(C3546=0,"n.a.",F3546/C3546)</x:f>
        <x:v>227.39</x:v>
      </x:c>
      <x:c r="J3546" s="3"/>
      <x:c r="K3546" s="3"/>
      <x:c r="L3546" s="3"/>
    </x:row>
    <x:row r="3547" ht="22" customHeight="1">
      <x:c r="A3547" s="3"/>
      <x:c r="B3547" s="3" t="str">
        <x:v>12492</x:v>
      </x:c>
      <x:c r="C3547" s="3" t="n">
        <x:v>2</x:v>
      </x:c>
      <x:c r="D3547" s="51" t="n">
        <x:v>40823</x:v>
      </x:c>
      <x:c r="E3547" s="3" t="str">
        <x:v>Recurrente</x:v>
      </x:c>
      <x:c r="F3547" s="13" t="n">
        <x:v>227.21</x:v>
      </x:c>
      <x:c r="G3547" s="13" t="n">
        <x:v>0</x:v>
      </x:c>
      <x:c r="H3547" s="13" t="n">
        <x:f>F3547-G3547</x:f>
        <x:v>227.21</x:v>
      </x:c>
      <x:c r="I3547" s="13" t="n">
        <x:f>IF(C3547=0,"n.a.",F3547/C3547)</x:f>
        <x:v>113.605</x:v>
      </x:c>
      <x:c r="J3547" s="3"/>
      <x:c r="K3547" s="3"/>
      <x:c r="L3547" s="3"/>
    </x:row>
    <x:row r="3548" ht="22" customHeight="1">
      <x:c r="A3548" s="3"/>
      <x:c r="B3548" s="3" t="str">
        <x:v>12660</x:v>
      </x:c>
      <x:c r="C3548" s="3" t="n">
        <x:v>1</x:v>
      </x:c>
      <x:c r="D3548" s="51" t="n">
        <x:v>40875</x:v>
      </x:c>
      <x:c r="E3548" s="3" t="str">
        <x:v>Una compra</x:v>
      </x:c>
      <x:c r="F3548" s="13" t="n">
        <x:v>227.1</x:v>
      </x:c>
      <x:c r="G3548" s="13" t="n">
        <x:v>0</x:v>
      </x:c>
      <x:c r="H3548" s="13" t="n">
        <x:f>F3548-G3548</x:f>
        <x:v>227.1</x:v>
      </x:c>
      <x:c r="I3548" s="13" t="n">
        <x:f>IF(C3548=0,"n.a.",F3548/C3548)</x:f>
        <x:v>227.1</x:v>
      </x:c>
      <x:c r="J3548" s="3"/>
      <x:c r="K3548" s="3"/>
      <x:c r="L3548" s="3"/>
    </x:row>
    <x:row r="3549" ht="22" customHeight="1">
      <x:c r="A3549" s="3"/>
      <x:c r="B3549" s="3" t="str">
        <x:v>17212</x:v>
      </x:c>
      <x:c r="C3549" s="3" t="n">
        <x:v>1</x:v>
      </x:c>
      <x:c r="D3549" s="51" t="n">
        <x:v>40633</x:v>
      </x:c>
      <x:c r="E3549" s="3" t="str">
        <x:v>Una compra</x:v>
      </x:c>
      <x:c r="F3549" s="13" t="n">
        <x:v>226.85</x:v>
      </x:c>
      <x:c r="G3549" s="13" t="n">
        <x:v>0</x:v>
      </x:c>
      <x:c r="H3549" s="13" t="n">
        <x:f>F3549-G3549</x:f>
        <x:v>226.85</x:v>
      </x:c>
      <x:c r="I3549" s="13" t="n">
        <x:f>IF(C3549=0,"n.a.",F3549/C3549)</x:f>
        <x:v>226.85</x:v>
      </x:c>
      <x:c r="J3549" s="3"/>
      <x:c r="K3549" s="3"/>
      <x:c r="L3549" s="3"/>
    </x:row>
    <x:row r="3550" ht="22" customHeight="1">
      <x:c r="A3550" s="3"/>
      <x:c r="B3550" s="3" t="str">
        <x:v>17194</x:v>
      </x:c>
      <x:c r="C3550" s="3" t="n">
        <x:v>1</x:v>
      </x:c>
      <x:c r="D3550" s="51" t="n">
        <x:v>40526</x:v>
      </x:c>
      <x:c r="E3550" s="3" t="str">
        <x:v>Una compra</x:v>
      </x:c>
      <x:c r="F3550" s="13" t="n">
        <x:v>226.78</x:v>
      </x:c>
      <x:c r="G3550" s="13" t="n">
        <x:v>0</x:v>
      </x:c>
      <x:c r="H3550" s="13" t="n">
        <x:f>F3550-G3550</x:f>
        <x:v>226.78</x:v>
      </x:c>
      <x:c r="I3550" s="13" t="n">
        <x:f>IF(C3550=0,"n.a.",F3550/C3550)</x:f>
        <x:v>226.78</x:v>
      </x:c>
      <x:c r="J3550" s="3"/>
      <x:c r="K3550" s="3"/>
      <x:c r="L3550" s="3"/>
    </x:row>
    <x:row r="3551" ht="22" customHeight="1">
      <x:c r="A3551" s="3"/>
      <x:c r="B3551" s="3" t="str">
        <x:v>17572</x:v>
      </x:c>
      <x:c r="C3551" s="3" t="n">
        <x:v>4</x:v>
      </x:c>
      <x:c r="D3551" s="51" t="n">
        <x:v>40815</x:v>
      </x:c>
      <x:c r="E3551" s="3" t="str">
        <x:v>Recurrente</x:v>
      </x:c>
      <x:c r="F3551" s="13" t="n">
        <x:v>226.75</x:v>
      </x:c>
      <x:c r="G3551" s="13" t="n">
        <x:v>0</x:v>
      </x:c>
      <x:c r="H3551" s="13" t="n">
        <x:f>F3551-G3551</x:f>
        <x:v>226.75</x:v>
      </x:c>
      <x:c r="I3551" s="13" t="n">
        <x:f>IF(C3551=0,"n.a.",F3551/C3551)</x:f>
        <x:v>56.6875</x:v>
      </x:c>
      <x:c r="J3551" s="3"/>
      <x:c r="K3551" s="3"/>
      <x:c r="L3551" s="3"/>
    </x:row>
    <x:row r="3552" ht="22" customHeight="1">
      <x:c r="A3552" s="3"/>
      <x:c r="B3552" s="3" t="str">
        <x:v>16315</x:v>
      </x:c>
      <x:c r="C3552" s="3" t="n">
        <x:v>1</x:v>
      </x:c>
      <x:c r="D3552" s="51" t="n">
        <x:v>40556</x:v>
      </x:c>
      <x:c r="E3552" s="3" t="str">
        <x:v>Una compra</x:v>
      </x:c>
      <x:c r="F3552" s="13" t="n">
        <x:v>226.37</x:v>
      </x:c>
      <x:c r="G3552" s="13" t="n">
        <x:v>0</x:v>
      </x:c>
      <x:c r="H3552" s="13" t="n">
        <x:f>F3552-G3552</x:f>
        <x:v>226.37</x:v>
      </x:c>
      <x:c r="I3552" s="13" t="n">
        <x:f>IF(C3552=0,"n.a.",F3552/C3552)</x:f>
        <x:v>226.37</x:v>
      </x:c>
      <x:c r="J3552" s="3"/>
      <x:c r="K3552" s="3"/>
      <x:c r="L3552" s="3"/>
    </x:row>
    <x:row r="3553" ht="22" customHeight="1">
      <x:c r="A3553" s="3"/>
      <x:c r="B3553" s="3" t="str">
        <x:v>16777</x:v>
      </x:c>
      <x:c r="C3553" s="3" t="n">
        <x:v>2</x:v>
      </x:c>
      <x:c r="D3553" s="51" t="n">
        <x:v>40806</x:v>
      </x:c>
      <x:c r="E3553" s="3" t="str">
        <x:v>Recurrente</x:v>
      </x:c>
      <x:c r="F3553" s="13" t="n">
        <x:v>226.35</x:v>
      </x:c>
      <x:c r="G3553" s="13" t="n">
        <x:v>0</x:v>
      </x:c>
      <x:c r="H3553" s="13" t="n">
        <x:f>F3553-G3553</x:f>
        <x:v>226.35</x:v>
      </x:c>
      <x:c r="I3553" s="13" t="n">
        <x:f>IF(C3553=0,"n.a.",F3553/C3553)</x:f>
        <x:v>113.175</x:v>
      </x:c>
      <x:c r="J3553" s="3"/>
      <x:c r="K3553" s="3"/>
      <x:c r="L3553" s="3"/>
    </x:row>
    <x:row r="3554" ht="22" customHeight="1">
      <x:c r="A3554" s="3"/>
      <x:c r="B3554" s="3" t="str">
        <x:v>12672</x:v>
      </x:c>
      <x:c r="C3554" s="3" t="n">
        <x:v>1</x:v>
      </x:c>
      <x:c r="D3554" s="51" t="n">
        <x:v>40557</x:v>
      </x:c>
      <x:c r="E3554" s="3" t="str">
        <x:v>Una compra</x:v>
      </x:c>
      <x:c r="F3554" s="13" t="n">
        <x:v>225.9</x:v>
      </x:c>
      <x:c r="G3554" s="13" t="n">
        <x:v>0</x:v>
      </x:c>
      <x:c r="H3554" s="13" t="n">
        <x:f>F3554-G3554</x:f>
        <x:v>225.9</x:v>
      </x:c>
      <x:c r="I3554" s="13" t="n">
        <x:f>IF(C3554=0,"n.a.",F3554/C3554)</x:f>
        <x:v>225.9</x:v>
      </x:c>
      <x:c r="J3554" s="3"/>
      <x:c r="K3554" s="3"/>
      <x:c r="L3554" s="3"/>
    </x:row>
    <x:row r="3555" ht="22" customHeight="1">
      <x:c r="A3555" s="3"/>
      <x:c r="B3555" s="3" t="str">
        <x:v>17789</x:v>
      </x:c>
      <x:c r="C3555" s="3" t="n">
        <x:v>1</x:v>
      </x:c>
      <x:c r="D3555" s="51" t="n">
        <x:v>40605</x:v>
      </x:c>
      <x:c r="E3555" s="3" t="str">
        <x:v>Una compra</x:v>
      </x:c>
      <x:c r="F3555" s="13" t="n">
        <x:v>225.9</x:v>
      </x:c>
      <x:c r="G3555" s="13" t="n">
        <x:v>0</x:v>
      </x:c>
      <x:c r="H3555" s="13" t="n">
        <x:f>F3555-G3555</x:f>
        <x:v>225.9</x:v>
      </x:c>
      <x:c r="I3555" s="13" t="n">
        <x:f>IF(C3555=0,"n.a.",F3555/C3555)</x:f>
        <x:v>225.9</x:v>
      </x:c>
      <x:c r="J3555" s="3"/>
      <x:c r="K3555" s="3"/>
      <x:c r="L3555" s="3"/>
    </x:row>
    <x:row r="3556" ht="22" customHeight="1">
      <x:c r="A3556" s="3"/>
      <x:c r="B3556" s="3" t="str">
        <x:v>14624</x:v>
      </x:c>
      <x:c r="C3556" s="3" t="n">
        <x:v>2</x:v>
      </x:c>
      <x:c r="D3556" s="51" t="n">
        <x:v>40829</x:v>
      </x:c>
      <x:c r="E3556" s="3" t="str">
        <x:v>Recurrente</x:v>
      </x:c>
      <x:c r="F3556" s="13" t="n">
        <x:v>225.85</x:v>
      </x:c>
      <x:c r="G3556" s="13" t="n">
        <x:v>0</x:v>
      </x:c>
      <x:c r="H3556" s="13" t="n">
        <x:f>F3556-G3556</x:f>
        <x:v>225.85</x:v>
      </x:c>
      <x:c r="I3556" s="13" t="n">
        <x:f>IF(C3556=0,"n.a.",F3556/C3556)</x:f>
        <x:v>112.925</x:v>
      </x:c>
      <x:c r="J3556" s="3"/>
      <x:c r="K3556" s="3"/>
      <x:c r="L3556" s="3"/>
    </x:row>
    <x:row r="3557" ht="22" customHeight="1">
      <x:c r="A3557" s="3"/>
      <x:c r="B3557" s="3" t="str">
        <x:v>14357</x:v>
      </x:c>
      <x:c r="C3557" s="3" t="n">
        <x:v>1</x:v>
      </x:c>
      <x:c r="D3557" s="51" t="n">
        <x:v>40843</x:v>
      </x:c>
      <x:c r="E3557" s="3" t="str">
        <x:v>Una compra</x:v>
      </x:c>
      <x:c r="F3557" s="13" t="n">
        <x:v>225.77</x:v>
      </x:c>
      <x:c r="G3557" s="13" t="n">
        <x:v>0</x:v>
      </x:c>
      <x:c r="H3557" s="13" t="n">
        <x:f>F3557-G3557</x:f>
        <x:v>225.77</x:v>
      </x:c>
      <x:c r="I3557" s="13" t="n">
        <x:f>IF(C3557=0,"n.a.",F3557/C3557)</x:f>
        <x:v>225.77</x:v>
      </x:c>
      <x:c r="J3557" s="3"/>
      <x:c r="K3557" s="3"/>
      <x:c r="L3557" s="3"/>
    </x:row>
    <x:row r="3558" ht="22" customHeight="1">
      <x:c r="A3558" s="3"/>
      <x:c r="B3558" s="3" t="str">
        <x:v>14052</x:v>
      </x:c>
      <x:c r="C3558" s="3" t="n">
        <x:v>1</x:v>
      </x:c>
      <x:c r="D3558" s="51" t="n">
        <x:v>40867</x:v>
      </x:c>
      <x:c r="E3558" s="3" t="str">
        <x:v>Una compra</x:v>
      </x:c>
      <x:c r="F3558" s="13" t="n">
        <x:v>225.36</x:v>
      </x:c>
      <x:c r="G3558" s="13" t="n">
        <x:v>0</x:v>
      </x:c>
      <x:c r="H3558" s="13" t="n">
        <x:f>F3558-G3558</x:f>
        <x:v>225.36</x:v>
      </x:c>
      <x:c r="I3558" s="13" t="n">
        <x:f>IF(C3558=0,"n.a.",F3558/C3558)</x:f>
        <x:v>225.36</x:v>
      </x:c>
      <x:c r="J3558" s="3"/>
      <x:c r="K3558" s="3"/>
      <x:c r="L3558" s="3"/>
    </x:row>
    <x:row r="3559" ht="22" customHeight="1">
      <x:c r="A3559" s="3"/>
      <x:c r="B3559" s="3" t="str">
        <x:v>16587</x:v>
      </x:c>
      <x:c r="C3559" s="3" t="n">
        <x:v>1</x:v>
      </x:c>
      <x:c r="D3559" s="51" t="n">
        <x:v>40654</x:v>
      </x:c>
      <x:c r="E3559" s="3" t="str">
        <x:v>Una compra</x:v>
      </x:c>
      <x:c r="F3559" s="13" t="n">
        <x:v>225.15</x:v>
      </x:c>
      <x:c r="G3559" s="13" t="n">
        <x:v>0</x:v>
      </x:c>
      <x:c r="H3559" s="13" t="n">
        <x:f>F3559-G3559</x:f>
        <x:v>225.15</x:v>
      </x:c>
      <x:c r="I3559" s="13" t="n">
        <x:f>IF(C3559=0,"n.a.",F3559/C3559)</x:f>
        <x:v>225.15</x:v>
      </x:c>
      <x:c r="J3559" s="3"/>
      <x:c r="K3559" s="3"/>
      <x:c r="L3559" s="3"/>
    </x:row>
    <x:row r="3560" ht="22" customHeight="1">
      <x:c r="A3560" s="3"/>
      <x:c r="B3560" s="3" t="str">
        <x:v>17171</x:v>
      </x:c>
      <x:c r="C3560" s="3" t="n">
        <x:v>1</x:v>
      </x:c>
      <x:c r="D3560" s="51" t="n">
        <x:v>40597</x:v>
      </x:c>
      <x:c r="E3560" s="3" t="str">
        <x:v>Una compra</x:v>
      </x:c>
      <x:c r="F3560" s="13" t="n">
        <x:v>224.91</x:v>
      </x:c>
      <x:c r="G3560" s="13" t="n">
        <x:v>0</x:v>
      </x:c>
      <x:c r="H3560" s="13" t="n">
        <x:f>F3560-G3560</x:f>
        <x:v>224.91</x:v>
      </x:c>
      <x:c r="I3560" s="13" t="n">
        <x:f>IF(C3560=0,"n.a.",F3560/C3560)</x:f>
        <x:v>224.91</x:v>
      </x:c>
      <x:c r="J3560" s="3"/>
      <x:c r="K3560" s="3"/>
      <x:c r="L3560" s="3"/>
    </x:row>
    <x:row r="3561" ht="22" customHeight="1">
      <x:c r="A3561" s="3"/>
      <x:c r="B3561" s="3" t="str">
        <x:v>15175</x:v>
      </x:c>
      <x:c r="C3561" s="3" t="n">
        <x:v>1</x:v>
      </x:c>
      <x:c r="D3561" s="51" t="n">
        <x:v>40815</x:v>
      </x:c>
      <x:c r="E3561" s="3" t="str">
        <x:v>Una compra</x:v>
      </x:c>
      <x:c r="F3561" s="13" t="n">
        <x:v>224.14</x:v>
      </x:c>
      <x:c r="G3561" s="13" t="n">
        <x:v>0</x:v>
      </x:c>
      <x:c r="H3561" s="13" t="n">
        <x:f>F3561-G3561</x:f>
        <x:v>224.14</x:v>
      </x:c>
      <x:c r="I3561" s="13" t="n">
        <x:f>IF(C3561=0,"n.a.",F3561/C3561)</x:f>
        <x:v>224.14</x:v>
      </x:c>
      <x:c r="J3561" s="3"/>
      <x:c r="K3561" s="3"/>
      <x:c r="L3561" s="3"/>
    </x:row>
    <x:row r="3562" ht="22" customHeight="1">
      <x:c r="A3562" s="3"/>
      <x:c r="B3562" s="3" t="str">
        <x:v>16471</x:v>
      </x:c>
      <x:c r="C3562" s="3" t="n">
        <x:v>1</x:v>
      </x:c>
      <x:c r="D3562" s="51" t="n">
        <x:v>40612</x:v>
      </x:c>
      <x:c r="E3562" s="3" t="str">
        <x:v>Una compra</x:v>
      </x:c>
      <x:c r="F3562" s="13" t="n">
        <x:v>223.95</x:v>
      </x:c>
      <x:c r="G3562" s="13" t="n">
        <x:v>0</x:v>
      </x:c>
      <x:c r="H3562" s="13" t="n">
        <x:f>F3562-G3562</x:f>
        <x:v>223.95</x:v>
      </x:c>
      <x:c r="I3562" s="13" t="n">
        <x:f>IF(C3562=0,"n.a.",F3562/C3562)</x:f>
        <x:v>223.95</x:v>
      </x:c>
      <x:c r="J3562" s="3"/>
      <x:c r="K3562" s="3"/>
      <x:c r="L3562" s="3"/>
    </x:row>
    <x:row r="3563" ht="22" customHeight="1">
      <x:c r="A3563" s="3"/>
      <x:c r="B3563" s="3" t="str">
        <x:v>16753</x:v>
      </x:c>
      <x:c r="C3563" s="3" t="n">
        <x:v>1</x:v>
      </x:c>
      <x:c r="D3563" s="51" t="n">
        <x:v>40828</x:v>
      </x:c>
      <x:c r="E3563" s="3" t="str">
        <x:v>Una compra</x:v>
      </x:c>
      <x:c r="F3563" s="13" t="n">
        <x:v>223.92</x:v>
      </x:c>
      <x:c r="G3563" s="13" t="n">
        <x:v>0</x:v>
      </x:c>
      <x:c r="H3563" s="13" t="n">
        <x:f>F3563-G3563</x:f>
        <x:v>223.92</x:v>
      </x:c>
      <x:c r="I3563" s="13" t="n">
        <x:f>IF(C3563=0,"n.a.",F3563/C3563)</x:f>
        <x:v>223.92</x:v>
      </x:c>
      <x:c r="J3563" s="3"/>
      <x:c r="K3563" s="3"/>
      <x:c r="L3563" s="3"/>
    </x:row>
    <x:row r="3564" ht="22" customHeight="1">
      <x:c r="A3564" s="3"/>
      <x:c r="B3564" s="3" t="str">
        <x:v>14929</x:v>
      </x:c>
      <x:c r="C3564" s="3" t="n">
        <x:v>1</x:v>
      </x:c>
      <x:c r="D3564" s="51" t="n">
        <x:v>40854</x:v>
      </x:c>
      <x:c r="E3564" s="3" t="str">
        <x:v>Una compra</x:v>
      </x:c>
      <x:c r="F3564" s="13" t="n">
        <x:v>223.88</x:v>
      </x:c>
      <x:c r="G3564" s="13" t="n">
        <x:v>0</x:v>
      </x:c>
      <x:c r="H3564" s="13" t="n">
        <x:f>F3564-G3564</x:f>
        <x:v>223.88</x:v>
      </x:c>
      <x:c r="I3564" s="13" t="n">
        <x:f>IF(C3564=0,"n.a.",F3564/C3564)</x:f>
        <x:v>223.88</x:v>
      </x:c>
      <x:c r="J3564" s="3"/>
      <x:c r="K3564" s="3"/>
      <x:c r="L3564" s="3"/>
    </x:row>
    <x:row r="3565" ht="22" customHeight="1">
      <x:c r="A3565" s="3"/>
      <x:c r="B3565" s="3" t="str">
        <x:v>13926</x:v>
      </x:c>
      <x:c r="C3565" s="3" t="n">
        <x:v>1</x:v>
      </x:c>
      <x:c r="D3565" s="51" t="n">
        <x:v>40863</x:v>
      </x:c>
      <x:c r="E3565" s="3" t="str">
        <x:v>Una compra</x:v>
      </x:c>
      <x:c r="F3565" s="13" t="n">
        <x:v>223.85</x:v>
      </x:c>
      <x:c r="G3565" s="13" t="n">
        <x:v>0</x:v>
      </x:c>
      <x:c r="H3565" s="13" t="n">
        <x:f>F3565-G3565</x:f>
        <x:v>223.85</x:v>
      </x:c>
      <x:c r="I3565" s="13" t="n">
        <x:f>IF(C3565=0,"n.a.",F3565/C3565)</x:f>
        <x:v>223.85</x:v>
      </x:c>
      <x:c r="J3565" s="3"/>
      <x:c r="K3565" s="3"/>
      <x:c r="L3565" s="3"/>
    </x:row>
    <x:row r="3566" ht="22" customHeight="1">
      <x:c r="A3566" s="3"/>
      <x:c r="B3566" s="3" t="str">
        <x:v>18101</x:v>
      </x:c>
      <x:c r="C3566" s="3" t="n">
        <x:v>2</x:v>
      </x:c>
      <x:c r="D3566" s="51" t="n">
        <x:v>40875</x:v>
      </x:c>
      <x:c r="E3566" s="3" t="str">
        <x:v>Recurrente</x:v>
      </x:c>
      <x:c r="F3566" s="13" t="n">
        <x:v>223.65</x:v>
      </x:c>
      <x:c r="G3566" s="13" t="n">
        <x:v>0</x:v>
      </x:c>
      <x:c r="H3566" s="13" t="n">
        <x:f>F3566-G3566</x:f>
        <x:v>223.65</x:v>
      </x:c>
      <x:c r="I3566" s="13" t="n">
        <x:f>IF(C3566=0,"n.a.",F3566/C3566)</x:f>
        <x:v>111.825</x:v>
      </x:c>
      <x:c r="J3566" s="3"/>
      <x:c r="K3566" s="3"/>
      <x:c r="L3566" s="3"/>
    </x:row>
    <x:row r="3567" ht="22" customHeight="1">
      <x:c r="A3567" s="3"/>
      <x:c r="B3567" s="3" t="str">
        <x:v>15637</x:v>
      </x:c>
      <x:c r="C3567" s="3" t="n">
        <x:v>1</x:v>
      </x:c>
      <x:c r="D3567" s="51" t="n">
        <x:v>40834</x:v>
      </x:c>
      <x:c r="E3567" s="3" t="str">
        <x:v>Una compra</x:v>
      </x:c>
      <x:c r="F3567" s="13" t="n">
        <x:v>223.36</x:v>
      </x:c>
      <x:c r="G3567" s="13" t="n">
        <x:v>0</x:v>
      </x:c>
      <x:c r="H3567" s="13" t="n">
        <x:f>F3567-G3567</x:f>
        <x:v>223.36</x:v>
      </x:c>
      <x:c r="I3567" s="13" t="n">
        <x:f>IF(C3567=0,"n.a.",F3567/C3567)</x:f>
        <x:v>223.36</x:v>
      </x:c>
      <x:c r="J3567" s="3"/>
      <x:c r="K3567" s="3"/>
      <x:c r="L3567" s="3"/>
    </x:row>
    <x:row r="3568" ht="22" customHeight="1">
      <x:c r="A3568" s="3"/>
      <x:c r="B3568" s="3" t="str">
        <x:v>17534</x:v>
      </x:c>
      <x:c r="C3568" s="3" t="n">
        <x:v>1</x:v>
      </x:c>
      <x:c r="D3568" s="51" t="n">
        <x:v>40833</x:v>
      </x:c>
      <x:c r="E3568" s="3" t="str">
        <x:v>Una compra</x:v>
      </x:c>
      <x:c r="F3568" s="13" t="n">
        <x:v>223.36</x:v>
      </x:c>
      <x:c r="G3568" s="13" t="n">
        <x:v>0</x:v>
      </x:c>
      <x:c r="H3568" s="13" t="n">
        <x:f>F3568-G3568</x:f>
        <x:v>223.36</x:v>
      </x:c>
      <x:c r="I3568" s="13" t="n">
        <x:f>IF(C3568=0,"n.a.",F3568/C3568)</x:f>
        <x:v>223.36</x:v>
      </x:c>
      <x:c r="J3568" s="3"/>
      <x:c r="K3568" s="3"/>
      <x:c r="L3568" s="3"/>
    </x:row>
    <x:row r="3569" ht="22" customHeight="1">
      <x:c r="A3569" s="3"/>
      <x:c r="B3569" s="3" t="str">
        <x:v>13382</x:v>
      </x:c>
      <x:c r="C3569" s="3" t="n">
        <x:v>1</x:v>
      </x:c>
      <x:c r="D3569" s="51" t="n">
        <x:v>40606</x:v>
      </x:c>
      <x:c r="E3569" s="3" t="str">
        <x:v>Una compra</x:v>
      </x:c>
      <x:c r="F3569" s="13" t="n">
        <x:v>222.99</x:v>
      </x:c>
      <x:c r="G3569" s="13" t="n">
        <x:v>0</x:v>
      </x:c>
      <x:c r="H3569" s="13" t="n">
        <x:f>F3569-G3569</x:f>
        <x:v>222.99</x:v>
      </x:c>
      <x:c r="I3569" s="13" t="n">
        <x:f>IF(C3569=0,"n.a.",F3569/C3569)</x:f>
        <x:v>222.99</x:v>
      </x:c>
      <x:c r="J3569" s="3"/>
      <x:c r="K3569" s="3"/>
      <x:c r="L3569" s="3"/>
    </x:row>
    <x:row r="3570" ht="22" customHeight="1">
      <x:c r="A3570" s="3"/>
      <x:c r="B3570" s="3" t="str">
        <x:v>15897</x:v>
      </x:c>
      <x:c r="C3570" s="3" t="n">
        <x:v>2</x:v>
      </x:c>
      <x:c r="D3570" s="51" t="n">
        <x:v>40692</x:v>
      </x:c>
      <x:c r="E3570" s="3" t="str">
        <x:v>Recurrente</x:v>
      </x:c>
      <x:c r="F3570" s="13" t="n">
        <x:v>222.05</x:v>
      </x:c>
      <x:c r="G3570" s="13" t="n">
        <x:v>0</x:v>
      </x:c>
      <x:c r="H3570" s="13" t="n">
        <x:f>F3570-G3570</x:f>
        <x:v>222.05</x:v>
      </x:c>
      <x:c r="I3570" s="13" t="n">
        <x:f>IF(C3570=0,"n.a.",F3570/C3570)</x:f>
        <x:v>111.025</x:v>
      </x:c>
      <x:c r="J3570" s="3"/>
      <x:c r="K3570" s="3"/>
      <x:c r="L3570" s="3"/>
    </x:row>
    <x:row r="3571" ht="22" customHeight="1">
      <x:c r="A3571" s="3"/>
      <x:c r="B3571" s="3" t="str">
        <x:v>14598</x:v>
      </x:c>
      <x:c r="C3571" s="3" t="n">
        <x:v>1</x:v>
      </x:c>
      <x:c r="D3571" s="51" t="n">
        <x:v>40842</x:v>
      </x:c>
      <x:c r="E3571" s="3" t="str">
        <x:v>Una compra</x:v>
      </x:c>
      <x:c r="F3571" s="13" t="n">
        <x:v>221.97</x:v>
      </x:c>
      <x:c r="G3571" s="13" t="n">
        <x:v>0</x:v>
      </x:c>
      <x:c r="H3571" s="13" t="n">
        <x:f>F3571-G3571</x:f>
        <x:v>221.97</x:v>
      </x:c>
      <x:c r="I3571" s="13" t="n">
        <x:f>IF(C3571=0,"n.a.",F3571/C3571)</x:f>
        <x:v>221.97</x:v>
      </x:c>
      <x:c r="J3571" s="3"/>
      <x:c r="K3571" s="3"/>
      <x:c r="L3571" s="3"/>
    </x:row>
    <x:row r="3572" ht="22" customHeight="1">
      <x:c r="A3572" s="3"/>
      <x:c r="B3572" s="3" t="str">
        <x:v>14960</x:v>
      </x:c>
      <x:c r="C3572" s="3" t="n">
        <x:v>2</x:v>
      </x:c>
      <x:c r="D3572" s="51" t="n">
        <x:v>40878</x:v>
      </x:c>
      <x:c r="E3572" s="3" t="str">
        <x:v>Recurrente</x:v>
      </x:c>
      <x:c r="F3572" s="13" t="n">
        <x:v>221.27</x:v>
      </x:c>
      <x:c r="G3572" s="13" t="n">
        <x:v>0</x:v>
      </x:c>
      <x:c r="H3572" s="13" t="n">
        <x:f>F3572-G3572</x:f>
        <x:v>221.27</x:v>
      </x:c>
      <x:c r="I3572" s="13" t="n">
        <x:f>IF(C3572=0,"n.a.",F3572/C3572)</x:f>
        <x:v>110.635</x:v>
      </x:c>
      <x:c r="J3572" s="3"/>
      <x:c r="K3572" s="3"/>
      <x:c r="L3572" s="3"/>
    </x:row>
    <x:row r="3573" ht="22" customHeight="1">
      <x:c r="A3573" s="3"/>
      <x:c r="B3573" s="3" t="str">
        <x:v>16392</x:v>
      </x:c>
      <x:c r="C3573" s="3" t="n">
        <x:v>1</x:v>
      </x:c>
      <x:c r="D3573" s="51" t="n">
        <x:v>40617</x:v>
      </x:c>
      <x:c r="E3573" s="3" t="str">
        <x:v>Una compra</x:v>
      </x:c>
      <x:c r="F3573" s="13" t="n">
        <x:v>221.19</x:v>
      </x:c>
      <x:c r="G3573" s="13" t="n">
        <x:v>0</x:v>
      </x:c>
      <x:c r="H3573" s="13" t="n">
        <x:f>F3573-G3573</x:f>
        <x:v>221.19</x:v>
      </x:c>
      <x:c r="I3573" s="13" t="n">
        <x:f>IF(C3573=0,"n.a.",F3573/C3573)</x:f>
        <x:v>221.19</x:v>
      </x:c>
      <x:c r="J3573" s="3"/>
      <x:c r="K3573" s="3"/>
      <x:c r="L3573" s="3"/>
    </x:row>
    <x:row r="3574" ht="22" customHeight="1">
      <x:c r="A3574" s="3"/>
      <x:c r="B3574" s="3" t="str">
        <x:v>13419</x:v>
      </x:c>
      <x:c r="C3574" s="3" t="n">
        <x:v>1</x:v>
      </x:c>
      <x:c r="D3574" s="51" t="n">
        <x:v>40823</x:v>
      </x:c>
      <x:c r="E3574" s="3" t="str">
        <x:v>Una compra</x:v>
      </x:c>
      <x:c r="F3574" s="13" t="n">
        <x:v>221.06</x:v>
      </x:c>
      <x:c r="G3574" s="13" t="n">
        <x:v>0</x:v>
      </x:c>
      <x:c r="H3574" s="13" t="n">
        <x:f>F3574-G3574</x:f>
        <x:v>221.06</x:v>
      </x:c>
      <x:c r="I3574" s="13" t="n">
        <x:f>IF(C3574=0,"n.a.",F3574/C3574)</x:f>
        <x:v>221.06</x:v>
      </x:c>
      <x:c r="J3574" s="3"/>
      <x:c r="K3574" s="3"/>
      <x:c r="L3574" s="3"/>
    </x:row>
    <x:row r="3575" ht="22" customHeight="1">
      <x:c r="A3575" s="3"/>
      <x:c r="B3575" s="3" t="str">
        <x:v>15790</x:v>
      </x:c>
      <x:c r="C3575" s="3" t="n">
        <x:v>1</x:v>
      </x:c>
      <x:c r="D3575" s="51" t="n">
        <x:v>40876</x:v>
      </x:c>
      <x:c r="E3575" s="3" t="str">
        <x:v>Una compra</x:v>
      </x:c>
      <x:c r="F3575" s="13" t="n">
        <x:v>220.85</x:v>
      </x:c>
      <x:c r="G3575" s="13" t="n">
        <x:v>0</x:v>
      </x:c>
      <x:c r="H3575" s="13" t="n">
        <x:f>F3575-G3575</x:f>
        <x:v>220.85</x:v>
      </x:c>
      <x:c r="I3575" s="13" t="n">
        <x:f>IF(C3575=0,"n.a.",F3575/C3575)</x:f>
        <x:v>220.85</x:v>
      </x:c>
      <x:c r="J3575" s="3"/>
      <x:c r="K3575" s="3"/>
      <x:c r="L3575" s="3"/>
    </x:row>
    <x:row r="3576" ht="22" customHeight="1">
      <x:c r="A3576" s="3"/>
      <x:c r="B3576" s="3" t="str">
        <x:v>18030</x:v>
      </x:c>
      <x:c r="C3576" s="3" t="n">
        <x:v>2</x:v>
      </x:c>
      <x:c r="D3576" s="51" t="n">
        <x:v>40882</x:v>
      </x:c>
      <x:c r="E3576" s="3" t="str">
        <x:v>Recurrente</x:v>
      </x:c>
      <x:c r="F3576" s="13" t="n">
        <x:v>230.65</x:v>
      </x:c>
      <x:c r="G3576" s="13" t="n">
        <x:v>9.95</x:v>
      </x:c>
      <x:c r="H3576" s="13" t="n">
        <x:f>F3576-G3576</x:f>
        <x:v>220.70000000000002</x:v>
      </x:c>
      <x:c r="I3576" s="13" t="n">
        <x:f>IF(C3576=0,"n.a.",F3576/C3576)</x:f>
        <x:v>115.325</x:v>
      </x:c>
      <x:c r="J3576" s="3"/>
      <x:c r="K3576" s="3"/>
      <x:c r="L3576" s="3"/>
    </x:row>
    <x:row r="3577" ht="22" customHeight="1">
      <x:c r="A3577" s="3"/>
      <x:c r="B3577" s="3" t="str">
        <x:v>16482</x:v>
      </x:c>
      <x:c r="C3577" s="3" t="n">
        <x:v>1</x:v>
      </x:c>
      <x:c r="D3577" s="51" t="n">
        <x:v>40871</x:v>
      </x:c>
      <x:c r="E3577" s="3" t="str">
        <x:v>Una compra</x:v>
      </x:c>
      <x:c r="F3577" s="13" t="n">
        <x:v>220.62</x:v>
      </x:c>
      <x:c r="G3577" s="13" t="n">
        <x:v>0</x:v>
      </x:c>
      <x:c r="H3577" s="13" t="n">
        <x:f>F3577-G3577</x:f>
        <x:v>220.62</x:v>
      </x:c>
      <x:c r="I3577" s="13" t="n">
        <x:f>IF(C3577=0,"n.a.",F3577/C3577)</x:f>
        <x:v>220.62</x:v>
      </x:c>
      <x:c r="J3577" s="3"/>
      <x:c r="K3577" s="3"/>
      <x:c r="L3577" s="3"/>
    </x:row>
    <x:row r="3578" ht="22" customHeight="1">
      <x:c r="A3578" s="3"/>
      <x:c r="B3578" s="3" t="str">
        <x:v>13079</x:v>
      </x:c>
      <x:c r="C3578" s="3" t="n">
        <x:v>5</x:v>
      </x:c>
      <x:c r="D3578" s="51" t="n">
        <x:v>40882</x:v>
      </x:c>
      <x:c r="E3578" s="3" t="str">
        <x:v>Recurrente</x:v>
      </x:c>
      <x:c r="F3578" s="13" t="n">
        <x:v>220.1</x:v>
      </x:c>
      <x:c r="G3578" s="13" t="n">
        <x:v>0</x:v>
      </x:c>
      <x:c r="H3578" s="13" t="n">
        <x:f>F3578-G3578</x:f>
        <x:v>220.1</x:v>
      </x:c>
      <x:c r="I3578" s="13" t="n">
        <x:f>IF(C3578=0,"n.a.",F3578/C3578)</x:f>
        <x:v>44.019999999999996</x:v>
      </x:c>
      <x:c r="J3578" s="3"/>
      <x:c r="K3578" s="3"/>
      <x:c r="L3578" s="3"/>
    </x:row>
    <x:row r="3579" ht="22" customHeight="1">
      <x:c r="A3579" s="3"/>
      <x:c r="B3579" s="3" t="str">
        <x:v>18114</x:v>
      </x:c>
      <x:c r="C3579" s="3" t="n">
        <x:v>1</x:v>
      </x:c>
      <x:c r="D3579" s="51" t="n">
        <x:v>40596</x:v>
      </x:c>
      <x:c r="E3579" s="3" t="str">
        <x:v>Una compra</x:v>
      </x:c>
      <x:c r="F3579" s="13" t="n">
        <x:v>220.1</x:v>
      </x:c>
      <x:c r="G3579" s="13" t="n">
        <x:v>0</x:v>
      </x:c>
      <x:c r="H3579" s="13" t="n">
        <x:f>F3579-G3579</x:f>
        <x:v>220.1</x:v>
      </x:c>
      <x:c r="I3579" s="13" t="n">
        <x:f>IF(C3579=0,"n.a.",F3579/C3579)</x:f>
        <x:v>220.1</x:v>
      </x:c>
      <x:c r="J3579" s="3"/>
      <x:c r="K3579" s="3"/>
      <x:c r="L3579" s="3"/>
    </x:row>
    <x:row r="3580" ht="22" customHeight="1">
      <x:c r="A3580" s="3"/>
      <x:c r="B3580" s="3" t="str">
        <x:v>13600</x:v>
      </x:c>
      <x:c r="C3580" s="3" t="n">
        <x:v>1</x:v>
      </x:c>
      <x:c r="D3580" s="51" t="n">
        <x:v>40574</x:v>
      </x:c>
      <x:c r="E3580" s="3" t="str">
        <x:v>Una compra</x:v>
      </x:c>
      <x:c r="F3580" s="13" t="n">
        <x:v>219.52</x:v>
      </x:c>
      <x:c r="G3580" s="13" t="n">
        <x:v>0</x:v>
      </x:c>
      <x:c r="H3580" s="13" t="n">
        <x:f>F3580-G3580</x:f>
        <x:v>219.52</x:v>
      </x:c>
      <x:c r="I3580" s="13" t="n">
        <x:f>IF(C3580=0,"n.a.",F3580/C3580)</x:f>
        <x:v>219.52</x:v>
      </x:c>
      <x:c r="J3580" s="3"/>
      <x:c r="K3580" s="3"/>
      <x:c r="L3580" s="3"/>
    </x:row>
    <x:row r="3581" ht="22" customHeight="1">
      <x:c r="A3581" s="3"/>
      <x:c r="B3581" s="3" t="str">
        <x:v>15096</x:v>
      </x:c>
      <x:c r="C3581" s="3" t="n">
        <x:v>1</x:v>
      </x:c>
      <x:c r="D3581" s="51" t="n">
        <x:v>40844</x:v>
      </x:c>
      <x:c r="E3581" s="3" t="str">
        <x:v>Una compra</x:v>
      </x:c>
      <x:c r="F3581" s="13" t="n">
        <x:v>219.39</x:v>
      </x:c>
      <x:c r="G3581" s="13" t="n">
        <x:v>0</x:v>
      </x:c>
      <x:c r="H3581" s="13" t="n">
        <x:f>F3581-G3581</x:f>
        <x:v>219.39</x:v>
      </x:c>
      <x:c r="I3581" s="13" t="n">
        <x:f>IF(C3581=0,"n.a.",F3581/C3581)</x:f>
        <x:v>219.39</x:v>
      </x:c>
      <x:c r="J3581" s="3"/>
      <x:c r="K3581" s="3"/>
      <x:c r="L3581" s="3"/>
    </x:row>
    <x:row r="3582" ht="22" customHeight="1">
      <x:c r="A3582" s="3"/>
      <x:c r="B3582" s="3" t="str">
        <x:v>16895</x:v>
      </x:c>
      <x:c r="C3582" s="3" t="n">
        <x:v>1</x:v>
      </x:c>
      <x:c r="D3582" s="51" t="n">
        <x:v>40822</x:v>
      </x:c>
      <x:c r="E3582" s="3" t="str">
        <x:v>Una compra</x:v>
      </x:c>
      <x:c r="F3582" s="13" t="n">
        <x:v>219.14</x:v>
      </x:c>
      <x:c r="G3582" s="13" t="n">
        <x:v>0</x:v>
      </x:c>
      <x:c r="H3582" s="13" t="n">
        <x:f>F3582-G3582</x:f>
        <x:v>219.14</x:v>
      </x:c>
      <x:c r="I3582" s="13" t="n">
        <x:f>IF(C3582=0,"n.a.",F3582/C3582)</x:f>
        <x:v>219.14</x:v>
      </x:c>
      <x:c r="J3582" s="3"/>
      <x:c r="K3582" s="3"/>
      <x:c r="L3582" s="3"/>
    </x:row>
    <x:row r="3583" ht="22" customHeight="1">
      <x:c r="A3583" s="3"/>
      <x:c r="B3583" s="3" t="str">
        <x:v>13669</x:v>
      </x:c>
      <x:c r="C3583" s="3" t="n">
        <x:v>2</x:v>
      </x:c>
      <x:c r="D3583" s="51" t="n">
        <x:v>40836</x:v>
      </x:c>
      <x:c r="E3583" s="3" t="str">
        <x:v>Recurrente</x:v>
      </x:c>
      <x:c r="F3583" s="13" t="n">
        <x:v>218.55</x:v>
      </x:c>
      <x:c r="G3583" s="13" t="n">
        <x:v>0</x:v>
      </x:c>
      <x:c r="H3583" s="13" t="n">
        <x:f>F3583-G3583</x:f>
        <x:v>218.55</x:v>
      </x:c>
      <x:c r="I3583" s="13" t="n">
        <x:f>IF(C3583=0,"n.a.",F3583/C3583)</x:f>
        <x:v>109.275</x:v>
      </x:c>
      <x:c r="J3583" s="3"/>
      <x:c r="K3583" s="3"/>
      <x:c r="L3583" s="3"/>
    </x:row>
    <x:row r="3584" ht="22" customHeight="1">
      <x:c r="A3584" s="3"/>
      <x:c r="B3584" s="3" t="str">
        <x:v>17619</x:v>
      </x:c>
      <x:c r="C3584" s="3" t="n">
        <x:v>1</x:v>
      </x:c>
      <x:c r="D3584" s="51" t="n">
        <x:v>40574</x:v>
      </x:c>
      <x:c r="E3584" s="3" t="str">
        <x:v>Una compra</x:v>
      </x:c>
      <x:c r="F3584" s="13" t="n">
        <x:v>218.52</x:v>
      </x:c>
      <x:c r="G3584" s="13" t="n">
        <x:v>0</x:v>
      </x:c>
      <x:c r="H3584" s="13" t="n">
        <x:f>F3584-G3584</x:f>
        <x:v>218.52</x:v>
      </x:c>
      <x:c r="I3584" s="13" t="n">
        <x:f>IF(C3584=0,"n.a.",F3584/C3584)</x:f>
        <x:v>218.52</x:v>
      </x:c>
      <x:c r="J3584" s="3"/>
      <x:c r="K3584" s="3"/>
      <x:c r="L3584" s="3"/>
    </x:row>
    <x:row r="3585" ht="22" customHeight="1">
      <x:c r="A3585" s="3"/>
      <x:c r="B3585" s="3" t="str">
        <x:v>13428</x:v>
      </x:c>
      <x:c r="C3585" s="3" t="n">
        <x:v>1</x:v>
      </x:c>
      <x:c r="D3585" s="51" t="n">
        <x:v>40876</x:v>
      </x:c>
      <x:c r="E3585" s="3" t="str">
        <x:v>Una compra</x:v>
      </x:c>
      <x:c r="F3585" s="13" t="n">
        <x:v>218.47</x:v>
      </x:c>
      <x:c r="G3585" s="13" t="n">
        <x:v>0</x:v>
      </x:c>
      <x:c r="H3585" s="13" t="n">
        <x:f>F3585-G3585</x:f>
        <x:v>218.47</x:v>
      </x:c>
      <x:c r="I3585" s="13" t="n">
        <x:f>IF(C3585=0,"n.a.",F3585/C3585)</x:f>
        <x:v>218.47</x:v>
      </x:c>
      <x:c r="J3585" s="3"/>
      <x:c r="K3585" s="3"/>
      <x:c r="L3585" s="3"/>
    </x:row>
    <x:row r="3586" ht="22" customHeight="1">
      <x:c r="A3586" s="3"/>
      <x:c r="B3586" s="3" t="str">
        <x:v>12732</x:v>
      </x:c>
      <x:c r="C3586" s="3" t="n">
        <x:v>1</x:v>
      </x:c>
      <x:c r="D3586" s="51" t="n">
        <x:v>40707</x:v>
      </x:c>
      <x:c r="E3586" s="3" t="str">
        <x:v>Una compra</x:v>
      </x:c>
      <x:c r="F3586" s="13" t="n">
        <x:v>218.26</x:v>
      </x:c>
      <x:c r="G3586" s="13" t="n">
        <x:v>0</x:v>
      </x:c>
      <x:c r="H3586" s="13" t="n">
        <x:f>F3586-G3586</x:f>
        <x:v>218.26</x:v>
      </x:c>
      <x:c r="I3586" s="13" t="n">
        <x:f>IF(C3586=0,"n.a.",F3586/C3586)</x:f>
        <x:v>218.26</x:v>
      </x:c>
      <x:c r="J3586" s="3"/>
      <x:c r="K3586" s="3"/>
      <x:c r="L3586" s="3"/>
    </x:row>
    <x:row r="3587" ht="22" customHeight="1">
      <x:c r="A3587" s="3"/>
      <x:c r="B3587" s="3" t="str">
        <x:v>16634</x:v>
      </x:c>
      <x:c r="C3587" s="3" t="n">
        <x:v>2</x:v>
      </x:c>
      <x:c r="D3587" s="51" t="n">
        <x:v>40664</x:v>
      </x:c>
      <x:c r="E3587" s="3" t="str">
        <x:v>Recurrente</x:v>
      </x:c>
      <x:c r="F3587" s="13" t="n">
        <x:v>217.9</x:v>
      </x:c>
      <x:c r="G3587" s="13" t="n">
        <x:v>0</x:v>
      </x:c>
      <x:c r="H3587" s="13" t="n">
        <x:f>F3587-G3587</x:f>
        <x:v>217.9</x:v>
      </x:c>
      <x:c r="I3587" s="13" t="n">
        <x:f>IF(C3587=0,"n.a.",F3587/C3587)</x:f>
        <x:v>108.95</x:v>
      </x:c>
      <x:c r="J3587" s="3"/>
      <x:c r="K3587" s="3"/>
      <x:c r="L3587" s="3"/>
    </x:row>
    <x:row r="3588" ht="22" customHeight="1">
      <x:c r="A3588" s="3"/>
      <x:c r="B3588" s="3" t="str">
        <x:v>14570</x:v>
      </x:c>
      <x:c r="C3588" s="3" t="n">
        <x:v>2</x:v>
      </x:c>
      <x:c r="D3588" s="51" t="n">
        <x:v>40606</x:v>
      </x:c>
      <x:c r="E3588" s="3" t="str">
        <x:v>Recurrente</x:v>
      </x:c>
      <x:c r="F3588" s="13" t="n">
        <x:v>217.21</x:v>
      </x:c>
      <x:c r="G3588" s="13" t="n">
        <x:v>0</x:v>
      </x:c>
      <x:c r="H3588" s="13" t="n">
        <x:f>F3588-G3588</x:f>
        <x:v>217.21</x:v>
      </x:c>
      <x:c r="I3588" s="13" t="n">
        <x:f>IF(C3588=0,"n.a.",F3588/C3588)</x:f>
        <x:v>108.605</x:v>
      </x:c>
      <x:c r="J3588" s="3"/>
      <x:c r="K3588" s="3"/>
      <x:c r="L3588" s="3"/>
    </x:row>
    <x:row r="3589" ht="22" customHeight="1">
      <x:c r="A3589" s="3"/>
      <x:c r="B3589" s="3" t="str">
        <x:v>15554</x:v>
      </x:c>
      <x:c r="C3589" s="3" t="n">
        <x:v>1</x:v>
      </x:c>
      <x:c r="D3589" s="51" t="n">
        <x:v>40609</x:v>
      </x:c>
      <x:c r="E3589" s="3" t="str">
        <x:v>Una compra</x:v>
      </x:c>
      <x:c r="F3589" s="13" t="n">
        <x:v>217.2</x:v>
      </x:c>
      <x:c r="G3589" s="13" t="n">
        <x:v>0</x:v>
      </x:c>
      <x:c r="H3589" s="13" t="n">
        <x:f>F3589-G3589</x:f>
        <x:v>217.2</x:v>
      </x:c>
      <x:c r="I3589" s="13" t="n">
        <x:f>IF(C3589=0,"n.a.",F3589/C3589)</x:f>
        <x:v>217.2</x:v>
      </x:c>
      <x:c r="J3589" s="3"/>
      <x:c r="K3589" s="3"/>
      <x:c r="L3589" s="3"/>
    </x:row>
    <x:row r="3590" ht="22" customHeight="1">
      <x:c r="A3590" s="3"/>
      <x:c r="B3590" s="3" t="str">
        <x:v>13739</x:v>
      </x:c>
      <x:c r="C3590" s="3" t="n">
        <x:v>1</x:v>
      </x:c>
      <x:c r="D3590" s="51" t="n">
        <x:v>40868</x:v>
      </x:c>
      <x:c r="E3590" s="3" t="str">
        <x:v>Una compra</x:v>
      </x:c>
      <x:c r="F3590" s="13" t="n">
        <x:v>216.9</x:v>
      </x:c>
      <x:c r="G3590" s="13" t="n">
        <x:v>0</x:v>
      </x:c>
      <x:c r="H3590" s="13" t="n">
        <x:f>F3590-G3590</x:f>
        <x:v>216.9</x:v>
      </x:c>
      <x:c r="I3590" s="13" t="n">
        <x:f>IF(C3590=0,"n.a.",F3590/C3590)</x:f>
        <x:v>216.9</x:v>
      </x:c>
      <x:c r="J3590" s="3"/>
      <x:c r="K3590" s="3"/>
      <x:c r="L3590" s="3"/>
    </x:row>
    <x:row r="3591" ht="22" customHeight="1">
      <x:c r="A3591" s="3"/>
      <x:c r="B3591" s="3" t="str">
        <x:v>13503</x:v>
      </x:c>
      <x:c r="C3591" s="3" t="n">
        <x:v>1</x:v>
      </x:c>
      <x:c r="D3591" s="51" t="n">
        <x:v>40815</x:v>
      </x:c>
      <x:c r="E3591" s="3" t="str">
        <x:v>Una compra</x:v>
      </x:c>
      <x:c r="F3591" s="13" t="n">
        <x:v>216.85</x:v>
      </x:c>
      <x:c r="G3591" s="13" t="n">
        <x:v>0</x:v>
      </x:c>
      <x:c r="H3591" s="13" t="n">
        <x:f>F3591-G3591</x:f>
        <x:v>216.85</x:v>
      </x:c>
      <x:c r="I3591" s="13" t="n">
        <x:f>IF(C3591=0,"n.a.",F3591/C3591)</x:f>
        <x:v>216.85</x:v>
      </x:c>
      <x:c r="J3591" s="3"/>
      <x:c r="K3591" s="3"/>
      <x:c r="L3591" s="3"/>
    </x:row>
    <x:row r="3592" ht="22" customHeight="1">
      <x:c r="A3592" s="3"/>
      <x:c r="B3592" s="3" t="str">
        <x:v>15460</x:v>
      </x:c>
      <x:c r="C3592" s="3" t="n">
        <x:v>1</x:v>
      </x:c>
      <x:c r="D3592" s="51" t="n">
        <x:v>40532</x:v>
      </x:c>
      <x:c r="E3592" s="3" t="str">
        <x:v>Una compra</x:v>
      </x:c>
      <x:c r="F3592" s="13" t="n">
        <x:v>216.76</x:v>
      </x:c>
      <x:c r="G3592" s="13" t="n">
        <x:v>0</x:v>
      </x:c>
      <x:c r="H3592" s="13" t="n">
        <x:f>F3592-G3592</x:f>
        <x:v>216.76</x:v>
      </x:c>
      <x:c r="I3592" s="13" t="n">
        <x:f>IF(C3592=0,"n.a.",F3592/C3592)</x:f>
        <x:v>216.76</x:v>
      </x:c>
      <x:c r="J3592" s="3"/>
      <x:c r="K3592" s="3"/>
      <x:c r="L3592" s="3"/>
    </x:row>
    <x:row r="3593" ht="22" customHeight="1">
      <x:c r="A3593" s="3"/>
      <x:c r="B3593" s="3" t="str">
        <x:v>12897</x:v>
      </x:c>
      <x:c r="C3593" s="3" t="n">
        <x:v>2</x:v>
      </x:c>
      <x:c r="D3593" s="51" t="n">
        <x:v>40682</x:v>
      </x:c>
      <x:c r="E3593" s="3" t="str">
        <x:v>Recurrente</x:v>
      </x:c>
      <x:c r="F3593" s="13" t="n">
        <x:v>216.5</x:v>
      </x:c>
      <x:c r="G3593" s="13" t="n">
        <x:v>0</x:v>
      </x:c>
      <x:c r="H3593" s="13" t="n">
        <x:f>F3593-G3593</x:f>
        <x:v>216.5</x:v>
      </x:c>
      <x:c r="I3593" s="13" t="n">
        <x:f>IF(C3593=0,"n.a.",F3593/C3593)</x:f>
        <x:v>108.25</x:v>
      </x:c>
      <x:c r="J3593" s="3"/>
      <x:c r="K3593" s="3"/>
      <x:c r="L3593" s="3"/>
    </x:row>
    <x:row r="3594" ht="22" customHeight="1">
      <x:c r="A3594" s="3"/>
      <x:c r="B3594" s="3" t="str">
        <x:v>12430</x:v>
      </x:c>
      <x:c r="C3594" s="3" t="n">
        <x:v>1</x:v>
      </x:c>
      <x:c r="D3594" s="51" t="n">
        <x:v>40843</x:v>
      </x:c>
      <x:c r="E3594" s="3" t="str">
        <x:v>Una compra</x:v>
      </x:c>
      <x:c r="F3594" s="13" t="n">
        <x:v>216.4</x:v>
      </x:c>
      <x:c r="G3594" s="13" t="n">
        <x:v>0</x:v>
      </x:c>
      <x:c r="H3594" s="13" t="n">
        <x:f>F3594-G3594</x:f>
        <x:v>216.4</x:v>
      </x:c>
      <x:c r="I3594" s="13" t="n">
        <x:f>IF(C3594=0,"n.a.",F3594/C3594)</x:f>
        <x:v>216.4</x:v>
      </x:c>
      <x:c r="J3594" s="3"/>
      <x:c r="K3594" s="3"/>
      <x:c r="L3594" s="3"/>
    </x:row>
    <x:row r="3595" ht="22" customHeight="1">
      <x:c r="A3595" s="3"/>
      <x:c r="B3595" s="3" t="str">
        <x:v>15604</x:v>
      </x:c>
      <x:c r="C3595" s="3" t="n">
        <x:v>1</x:v>
      </x:c>
      <x:c r="D3595" s="51" t="n">
        <x:v>40834</x:v>
      </x:c>
      <x:c r="E3595" s="3" t="str">
        <x:v>Una compra</x:v>
      </x:c>
      <x:c r="F3595" s="13" t="n">
        <x:v>216.39</x:v>
      </x:c>
      <x:c r="G3595" s="13" t="n">
        <x:v>0</x:v>
      </x:c>
      <x:c r="H3595" s="13" t="n">
        <x:f>F3595-G3595</x:f>
        <x:v>216.39</x:v>
      </x:c>
      <x:c r="I3595" s="13" t="n">
        <x:f>IF(C3595=0,"n.a.",F3595/C3595)</x:f>
        <x:v>216.39</x:v>
      </x:c>
      <x:c r="J3595" s="3"/>
      <x:c r="K3595" s="3"/>
      <x:c r="L3595" s="3"/>
    </x:row>
    <x:row r="3596" ht="22" customHeight="1">
      <x:c r="A3596" s="3"/>
      <x:c r="B3596" s="3" t="str">
        <x:v>17436</x:v>
      </x:c>
      <x:c r="C3596" s="3" t="n">
        <x:v>2</x:v>
      </x:c>
      <x:c r="D3596" s="51" t="n">
        <x:v>40885</x:v>
      </x:c>
      <x:c r="E3596" s="3" t="str">
        <x:v>Recurrente</x:v>
      </x:c>
      <x:c r="F3596" s="13" t="n">
        <x:v>216.3</x:v>
      </x:c>
      <x:c r="G3596" s="13" t="n">
        <x:v>0</x:v>
      </x:c>
      <x:c r="H3596" s="13" t="n">
        <x:f>F3596-G3596</x:f>
        <x:v>216.3</x:v>
      </x:c>
      <x:c r="I3596" s="13" t="n">
        <x:f>IF(C3596=0,"n.a.",F3596/C3596)</x:f>
        <x:v>108.15</x:v>
      </x:c>
      <x:c r="J3596" s="3"/>
      <x:c r="K3596" s="3"/>
      <x:c r="L3596" s="3"/>
    </x:row>
    <x:row r="3597" ht="22" customHeight="1">
      <x:c r="A3597" s="3"/>
      <x:c r="B3597" s="3" t="str">
        <x:v>14104</x:v>
      </x:c>
      <x:c r="C3597" s="3" t="n">
        <x:v>2</x:v>
      </x:c>
      <x:c r="D3597" s="51" t="n">
        <x:v>40732</x:v>
      </x:c>
      <x:c r="E3597" s="3" t="str">
        <x:v>Recurrente</x:v>
      </x:c>
      <x:c r="F3597" s="13" t="n">
        <x:v>216.21</x:v>
      </x:c>
      <x:c r="G3597" s="13" t="n">
        <x:v>0</x:v>
      </x:c>
      <x:c r="H3597" s="13" t="n">
        <x:f>F3597-G3597</x:f>
        <x:v>216.21</x:v>
      </x:c>
      <x:c r="I3597" s="13" t="n">
        <x:f>IF(C3597=0,"n.a.",F3597/C3597)</x:f>
        <x:v>108.105</x:v>
      </x:c>
      <x:c r="J3597" s="3"/>
      <x:c r="K3597" s="3"/>
      <x:c r="L3597" s="3"/>
    </x:row>
    <x:row r="3598" ht="22" customHeight="1">
      <x:c r="A3598" s="3"/>
      <x:c r="B3598" s="3" t="str">
        <x:v>13858</x:v>
      </x:c>
      <x:c r="C3598" s="3" t="n">
        <x:v>1</x:v>
      </x:c>
      <x:c r="D3598" s="51" t="n">
        <x:v>40829</x:v>
      </x:c>
      <x:c r="E3598" s="3" t="str">
        <x:v>Una compra</x:v>
      </x:c>
      <x:c r="F3598" s="13" t="n">
        <x:v>216.17</x:v>
      </x:c>
      <x:c r="G3598" s="13" t="n">
        <x:v>0</x:v>
      </x:c>
      <x:c r="H3598" s="13" t="n">
        <x:f>F3598-G3598</x:f>
        <x:v>216.17</x:v>
      </x:c>
      <x:c r="I3598" s="13" t="n">
        <x:f>IF(C3598=0,"n.a.",F3598/C3598)</x:f>
        <x:v>216.17</x:v>
      </x:c>
      <x:c r="J3598" s="3"/>
      <x:c r="K3598" s="3"/>
      <x:c r="L3598" s="3"/>
    </x:row>
    <x:row r="3599" ht="22" customHeight="1">
      <x:c r="A3599" s="3"/>
      <x:c r="B3599" s="3" t="str">
        <x:v>16179</x:v>
      </x:c>
      <x:c r="C3599" s="3" t="n">
        <x:v>1</x:v>
      </x:c>
      <x:c r="D3599" s="51" t="n">
        <x:v>40826</x:v>
      </x:c>
      <x:c r="E3599" s="3" t="str">
        <x:v>Una compra</x:v>
      </x:c>
      <x:c r="F3599" s="13" t="n">
        <x:v>215.83</x:v>
      </x:c>
      <x:c r="G3599" s="13" t="n">
        <x:v>0</x:v>
      </x:c>
      <x:c r="H3599" s="13" t="n">
        <x:f>F3599-G3599</x:f>
        <x:v>215.83</x:v>
      </x:c>
      <x:c r="I3599" s="13" t="n">
        <x:f>IF(C3599=0,"n.a.",F3599/C3599)</x:f>
        <x:v>215.83</x:v>
      </x:c>
      <x:c r="J3599" s="3"/>
      <x:c r="K3599" s="3"/>
      <x:c r="L3599" s="3"/>
    </x:row>
    <x:row r="3600" ht="22" customHeight="1">
      <x:c r="A3600" s="3"/>
      <x:c r="B3600" s="3" t="str">
        <x:v>15052</x:v>
      </x:c>
      <x:c r="C3600" s="3" t="n">
        <x:v>1</x:v>
      </x:c>
      <x:c r="D3600" s="51" t="n">
        <x:v>40567</x:v>
      </x:c>
      <x:c r="E3600" s="3" t="str">
        <x:v>Una compra</x:v>
      </x:c>
      <x:c r="F3600" s="13" t="n">
        <x:v>215.78</x:v>
      </x:c>
      <x:c r="G3600" s="13" t="n">
        <x:v>0</x:v>
      </x:c>
      <x:c r="H3600" s="13" t="n">
        <x:f>F3600-G3600</x:f>
        <x:v>215.78</x:v>
      </x:c>
      <x:c r="I3600" s="13" t="n">
        <x:f>IF(C3600=0,"n.a.",F3600/C3600)</x:f>
        <x:v>215.78</x:v>
      </x:c>
      <x:c r="J3600" s="3"/>
      <x:c r="K3600" s="3"/>
      <x:c r="L3600" s="3"/>
    </x:row>
    <x:row r="3601" ht="22" customHeight="1">
      <x:c r="A3601" s="3"/>
      <x:c r="B3601" s="3" t="str">
        <x:v>14476</x:v>
      </x:c>
      <x:c r="C3601" s="3" t="n">
        <x:v>1</x:v>
      </x:c>
      <x:c r="D3601" s="51" t="n">
        <x:v>40629</x:v>
      </x:c>
      <x:c r="E3601" s="3" t="str">
        <x:v>Una compra</x:v>
      </x:c>
      <x:c r="F3601" s="13" t="n">
        <x:v>215.7</x:v>
      </x:c>
      <x:c r="G3601" s="13" t="n">
        <x:v>0</x:v>
      </x:c>
      <x:c r="H3601" s="13" t="n">
        <x:f>F3601-G3601</x:f>
        <x:v>215.7</x:v>
      </x:c>
      <x:c r="I3601" s="13" t="n">
        <x:f>IF(C3601=0,"n.a.",F3601/C3601)</x:f>
        <x:v>215.7</x:v>
      </x:c>
      <x:c r="J3601" s="3"/>
      <x:c r="K3601" s="3"/>
      <x:c r="L3601" s="3"/>
    </x:row>
    <x:row r="3602" ht="22" customHeight="1">
      <x:c r="A3602" s="3"/>
      <x:c r="B3602" s="3" t="str">
        <x:v>16189</x:v>
      </x:c>
      <x:c r="C3602" s="3" t="n">
        <x:v>2</x:v>
      </x:c>
      <x:c r="D3602" s="51" t="n">
        <x:v>40871</x:v>
      </x:c>
      <x:c r="E3602" s="3" t="str">
        <x:v>Recurrente</x:v>
      </x:c>
      <x:c r="F3602" s="13" t="n">
        <x:v>215.48</x:v>
      </x:c>
      <x:c r="G3602" s="13" t="n">
        <x:v>0</x:v>
      </x:c>
      <x:c r="H3602" s="13" t="n">
        <x:f>F3602-G3602</x:f>
        <x:v>215.48</x:v>
      </x:c>
      <x:c r="I3602" s="13" t="n">
        <x:f>IF(C3602=0,"n.a.",F3602/C3602)</x:f>
        <x:v>107.74</x:v>
      </x:c>
      <x:c r="J3602" s="3"/>
      <x:c r="K3602" s="3"/>
      <x:c r="L3602" s="3"/>
    </x:row>
    <x:row r="3603" ht="22" customHeight="1">
      <x:c r="A3603" s="3"/>
      <x:c r="B3603" s="3" t="str">
        <x:v>16190</x:v>
      </x:c>
      <x:c r="C3603" s="3" t="n">
        <x:v>1</x:v>
      </x:c>
      <x:c r="D3603" s="51" t="n">
        <x:v>40846</x:v>
      </x:c>
      <x:c r="E3603" s="3" t="str">
        <x:v>Una compra</x:v>
      </x:c>
      <x:c r="F3603" s="13" t="n">
        <x:v>215.08</x:v>
      </x:c>
      <x:c r="G3603" s="13" t="n">
        <x:v>0</x:v>
      </x:c>
      <x:c r="H3603" s="13" t="n">
        <x:f>F3603-G3603</x:f>
        <x:v>215.08</x:v>
      </x:c>
      <x:c r="I3603" s="13" t="n">
        <x:f>IF(C3603=0,"n.a.",F3603/C3603)</x:f>
        <x:v>215.08</x:v>
      </x:c>
      <x:c r="J3603" s="3"/>
      <x:c r="K3603" s="3"/>
      <x:c r="L3603" s="3"/>
    </x:row>
    <x:row r="3604" ht="22" customHeight="1">
      <x:c r="A3604" s="3"/>
      <x:c r="B3604" s="3" t="str">
        <x:v>12831</x:v>
      </x:c>
      <x:c r="C3604" s="3" t="n">
        <x:v>1</x:v>
      </x:c>
      <x:c r="D3604" s="51" t="n">
        <x:v>40624</x:v>
      </x:c>
      <x:c r="E3604" s="3" t="str">
        <x:v>Una compra</x:v>
      </x:c>
      <x:c r="F3604" s="13" t="n">
        <x:v>215.05</x:v>
      </x:c>
      <x:c r="G3604" s="13" t="n">
        <x:v>0</x:v>
      </x:c>
      <x:c r="H3604" s="13" t="n">
        <x:f>F3604-G3604</x:f>
        <x:v>215.05</x:v>
      </x:c>
      <x:c r="I3604" s="13" t="n">
        <x:f>IF(C3604=0,"n.a.",F3604/C3604)</x:f>
        <x:v>215.05</x:v>
      </x:c>
      <x:c r="J3604" s="3"/>
      <x:c r="K3604" s="3"/>
      <x:c r="L3604" s="3"/>
    </x:row>
    <x:row r="3605" ht="22" customHeight="1">
      <x:c r="A3605" s="3"/>
      <x:c r="B3605" s="3" t="str">
        <x:v>16338</x:v>
      </x:c>
      <x:c r="C3605" s="3" t="n">
        <x:v>1</x:v>
      </x:c>
      <x:c r="D3605" s="51" t="n">
        <x:v>40729</x:v>
      </x:c>
      <x:c r="E3605" s="3" t="str">
        <x:v>Una compra</x:v>
      </x:c>
      <x:c r="F3605" s="13" t="n">
        <x:v>214.8</x:v>
      </x:c>
      <x:c r="G3605" s="13" t="n">
        <x:v>0</x:v>
      </x:c>
      <x:c r="H3605" s="13" t="n">
        <x:f>F3605-G3605</x:f>
        <x:v>214.8</x:v>
      </x:c>
      <x:c r="I3605" s="13" t="n">
        <x:f>IF(C3605=0,"n.a.",F3605/C3605)</x:f>
        <x:v>214.8</x:v>
      </x:c>
      <x:c r="J3605" s="3"/>
      <x:c r="K3605" s="3"/>
      <x:c r="L3605" s="3"/>
    </x:row>
    <x:row r="3606" ht="22" customHeight="1">
      <x:c r="A3606" s="3"/>
      <x:c r="B3606" s="3" t="str">
        <x:v>16411</x:v>
      </x:c>
      <x:c r="C3606" s="3" t="n">
        <x:v>2</x:v>
      </x:c>
      <x:c r="D3606" s="51" t="n">
        <x:v>40867</x:v>
      </x:c>
      <x:c r="E3606" s="3" t="str">
        <x:v>Recurrente</x:v>
      </x:c>
      <x:c r="F3606" s="13" t="n">
        <x:v>214.65</x:v>
      </x:c>
      <x:c r="G3606" s="13" t="n">
        <x:v>0</x:v>
      </x:c>
      <x:c r="H3606" s="13" t="n">
        <x:f>F3606-G3606</x:f>
        <x:v>214.65</x:v>
      </x:c>
      <x:c r="I3606" s="13" t="n">
        <x:f>IF(C3606=0,"n.a.",F3606/C3606)</x:f>
        <x:v>107.325</x:v>
      </x:c>
      <x:c r="J3606" s="3"/>
      <x:c r="K3606" s="3"/>
      <x:c r="L3606" s="3"/>
    </x:row>
    <x:row r="3607" ht="22" customHeight="1">
      <x:c r="A3607" s="3"/>
      <x:c r="B3607" s="3" t="str">
        <x:v>16846</x:v>
      </x:c>
      <x:c r="C3607" s="3" t="n">
        <x:v>1</x:v>
      </x:c>
      <x:c r="D3607" s="51" t="n">
        <x:v>40836</x:v>
      </x:c>
      <x:c r="E3607" s="3" t="str">
        <x:v>Una compra</x:v>
      </x:c>
      <x:c r="F3607" s="13" t="n">
        <x:v>214.32</x:v>
      </x:c>
      <x:c r="G3607" s="13" t="n">
        <x:v>0</x:v>
      </x:c>
      <x:c r="H3607" s="13" t="n">
        <x:f>F3607-G3607</x:f>
        <x:v>214.32</x:v>
      </x:c>
      <x:c r="I3607" s="13" t="n">
        <x:f>IF(C3607=0,"n.a.",F3607/C3607)</x:f>
        <x:v>214.32</x:v>
      </x:c>
      <x:c r="J3607" s="3"/>
      <x:c r="K3607" s="3"/>
      <x:c r="L3607" s="3"/>
    </x:row>
    <x:row r="3608" ht="22" customHeight="1">
      <x:c r="A3608" s="3"/>
      <x:c r="B3608" s="3" t="str">
        <x:v>14793</x:v>
      </x:c>
      <x:c r="C3608" s="3" t="n">
        <x:v>1</x:v>
      </x:c>
      <x:c r="D3608" s="51" t="n">
        <x:v>40865</x:v>
      </x:c>
      <x:c r="E3608" s="3" t="str">
        <x:v>Una compra</x:v>
      </x:c>
      <x:c r="F3608" s="13" t="n">
        <x:v>228.99</x:v>
      </x:c>
      <x:c r="G3608" s="13" t="n">
        <x:v>14.85</x:v>
      </x:c>
      <x:c r="H3608" s="13" t="n">
        <x:f>F3608-G3608</x:f>
        <x:v>214.14000000000001</x:v>
      </x:c>
      <x:c r="I3608" s="13" t="n">
        <x:f>IF(C3608=0,"n.a.",F3608/C3608)</x:f>
        <x:v>228.99</x:v>
      </x:c>
      <x:c r="J3608" s="3"/>
      <x:c r="K3608" s="3"/>
      <x:c r="L3608" s="3"/>
    </x:row>
    <x:row r="3609" ht="22" customHeight="1">
      <x:c r="A3609" s="3"/>
      <x:c r="B3609" s="3" t="str">
        <x:v>16647</x:v>
      </x:c>
      <x:c r="C3609" s="3" t="n">
        <x:v>2</x:v>
      </x:c>
      <x:c r="D3609" s="51" t="n">
        <x:v>40717</x:v>
      </x:c>
      <x:c r="E3609" s="3" t="str">
        <x:v>Recurrente</x:v>
      </x:c>
      <x:c r="F3609" s="13" t="n">
        <x:v>214.06</x:v>
      </x:c>
      <x:c r="G3609" s="13" t="n">
        <x:v>0</x:v>
      </x:c>
      <x:c r="H3609" s="13" t="n">
        <x:f>F3609-G3609</x:f>
        <x:v>214.06</x:v>
      </x:c>
      <x:c r="I3609" s="13" t="n">
        <x:f>IF(C3609=0,"n.a.",F3609/C3609)</x:f>
        <x:v>107.03</x:v>
      </x:c>
      <x:c r="J3609" s="3"/>
      <x:c r="K3609" s="3"/>
      <x:c r="L3609" s="3"/>
    </x:row>
    <x:row r="3610" ht="22" customHeight="1">
      <x:c r="A3610" s="3"/>
      <x:c r="B3610" s="3" t="str">
        <x:v>14601</x:v>
      </x:c>
      <x:c r="C3610" s="3" t="n">
        <x:v>1</x:v>
      </x:c>
      <x:c r="D3610" s="51" t="n">
        <x:v>40876</x:v>
      </x:c>
      <x:c r="E3610" s="3" t="str">
        <x:v>Una compra</x:v>
      </x:c>
      <x:c r="F3610" s="13" t="n">
        <x:v>213.96</x:v>
      </x:c>
      <x:c r="G3610" s="13" t="n">
        <x:v>0</x:v>
      </x:c>
      <x:c r="H3610" s="13" t="n">
        <x:f>F3610-G3610</x:f>
        <x:v>213.96</x:v>
      </x:c>
      <x:c r="I3610" s="13" t="n">
        <x:f>IF(C3610=0,"n.a.",F3610/C3610)</x:f>
        <x:v>213.96</x:v>
      </x:c>
      <x:c r="J3610" s="3"/>
      <x:c r="K3610" s="3"/>
      <x:c r="L3610" s="3"/>
    </x:row>
    <x:row r="3611" ht="22" customHeight="1">
      <x:c r="A3611" s="3"/>
      <x:c r="B3611" s="3" t="str">
        <x:v>13621</x:v>
      </x:c>
      <x:c r="C3611" s="3" t="n">
        <x:v>1</x:v>
      </x:c>
      <x:c r="D3611" s="51" t="n">
        <x:v>40770</x:v>
      </x:c>
      <x:c r="E3611" s="3" t="str">
        <x:v>Una compra</x:v>
      </x:c>
      <x:c r="F3611" s="13" t="n">
        <x:v>213.85</x:v>
      </x:c>
      <x:c r="G3611" s="13" t="n">
        <x:v>0</x:v>
      </x:c>
      <x:c r="H3611" s="13" t="n">
        <x:f>F3611-G3611</x:f>
        <x:v>213.85</x:v>
      </x:c>
      <x:c r="I3611" s="13" t="n">
        <x:f>IF(C3611=0,"n.a.",F3611/C3611)</x:f>
        <x:v>213.85</x:v>
      </x:c>
      <x:c r="J3611" s="3"/>
      <x:c r="K3611" s="3"/>
      <x:c r="L3611" s="3"/>
    </x:row>
    <x:row r="3612" ht="22" customHeight="1">
      <x:c r="A3612" s="3"/>
      <x:c r="B3612" s="3" t="str">
        <x:v>17153</x:v>
      </x:c>
      <x:c r="C3612" s="3" t="n">
        <x:v>1</x:v>
      </x:c>
      <x:c r="D3612" s="51" t="n">
        <x:v>40862</x:v>
      </x:c>
      <x:c r="E3612" s="3" t="str">
        <x:v>Una compra</x:v>
      </x:c>
      <x:c r="F3612" s="13" t="n">
        <x:v>213.78</x:v>
      </x:c>
      <x:c r="G3612" s="13" t="n">
        <x:v>0</x:v>
      </x:c>
      <x:c r="H3612" s="13" t="n">
        <x:f>F3612-G3612</x:f>
        <x:v>213.78</x:v>
      </x:c>
      <x:c r="I3612" s="13" t="n">
        <x:f>IF(C3612=0,"n.a.",F3612/C3612)</x:f>
        <x:v>213.78</x:v>
      </x:c>
      <x:c r="J3612" s="3"/>
      <x:c r="K3612" s="3"/>
      <x:c r="L3612" s="3"/>
    </x:row>
    <x:row r="3613" ht="22" customHeight="1">
      <x:c r="A3613" s="3"/>
      <x:c r="B3613" s="3" t="str">
        <x:v>13369</x:v>
      </x:c>
      <x:c r="C3613" s="3" t="n">
        <x:v>1</x:v>
      </x:c>
      <x:c r="D3613" s="51" t="n">
        <x:v>40521</x:v>
      </x:c>
      <x:c r="E3613" s="3" t="str">
        <x:v>Una compra</x:v>
      </x:c>
      <x:c r="F3613" s="13" t="n">
        <x:v>258.28</x:v>
      </x:c>
      <x:c r="G3613" s="13" t="n">
        <x:v>44.53</x:v>
      </x:c>
      <x:c r="H3613" s="13" t="n">
        <x:f>F3613-G3613</x:f>
        <x:v>213.74999999999997</x:v>
      </x:c>
      <x:c r="I3613" s="13" t="n">
        <x:f>IF(C3613=0,"n.a.",F3613/C3613)</x:f>
        <x:v>258.28</x:v>
      </x:c>
      <x:c r="J3613" s="3"/>
      <x:c r="K3613" s="3"/>
      <x:c r="L3613" s="3"/>
    </x:row>
    <x:row r="3614" ht="22" customHeight="1">
      <x:c r="A3614" s="3"/>
      <x:c r="B3614" s="3" t="str">
        <x:v>14241</x:v>
      </x:c>
      <x:c r="C3614" s="3" t="n">
        <x:v>1</x:v>
      </x:c>
      <x:c r="D3614" s="51" t="n">
        <x:v>40703</x:v>
      </x:c>
      <x:c r="E3614" s="3" t="str">
        <x:v>Una compra</x:v>
      </x:c>
      <x:c r="F3614" s="13" t="n">
        <x:v>213.7</x:v>
      </x:c>
      <x:c r="G3614" s="13" t="n">
        <x:v>0</x:v>
      </x:c>
      <x:c r="H3614" s="13" t="n">
        <x:f>F3614-G3614</x:f>
        <x:v>213.7</x:v>
      </x:c>
      <x:c r="I3614" s="13" t="n">
        <x:f>IF(C3614=0,"n.a.",F3614/C3614)</x:f>
        <x:v>213.7</x:v>
      </x:c>
      <x:c r="J3614" s="3"/>
      <x:c r="K3614" s="3"/>
      <x:c r="L3614" s="3"/>
    </x:row>
    <x:row r="3615" ht="22" customHeight="1">
      <x:c r="A3615" s="3"/>
      <x:c r="B3615" s="3" t="str">
        <x:v>13411</x:v>
      </x:c>
      <x:c r="C3615" s="3" t="n">
        <x:v>1</x:v>
      </x:c>
      <x:c r="D3615" s="51" t="n">
        <x:v>40779</x:v>
      </x:c>
      <x:c r="E3615" s="3" t="str">
        <x:v>Una compra</x:v>
      </x:c>
      <x:c r="F3615" s="13" t="n">
        <x:v>213.55</x:v>
      </x:c>
      <x:c r="G3615" s="13" t="n">
        <x:v>0</x:v>
      </x:c>
      <x:c r="H3615" s="13" t="n">
        <x:f>F3615-G3615</x:f>
        <x:v>213.55</x:v>
      </x:c>
      <x:c r="I3615" s="13" t="n">
        <x:f>IF(C3615=0,"n.a.",F3615/C3615)</x:f>
        <x:v>213.55</x:v>
      </x:c>
      <x:c r="J3615" s="3"/>
      <x:c r="K3615" s="3"/>
      <x:c r="L3615" s="3"/>
    </x:row>
    <x:row r="3616" ht="22" customHeight="1">
      <x:c r="A3616" s="3"/>
      <x:c r="B3616" s="3" t="str">
        <x:v>16591</x:v>
      </x:c>
      <x:c r="C3616" s="3" t="n">
        <x:v>1</x:v>
      </x:c>
      <x:c r="D3616" s="51" t="n">
        <x:v>40818</x:v>
      </x:c>
      <x:c r="E3616" s="3" t="str">
        <x:v>Una compra</x:v>
      </x:c>
      <x:c r="F3616" s="13" t="n">
        <x:v>213.5</x:v>
      </x:c>
      <x:c r="G3616" s="13" t="n">
        <x:v>0</x:v>
      </x:c>
      <x:c r="H3616" s="13" t="n">
        <x:f>F3616-G3616</x:f>
        <x:v>213.5</x:v>
      </x:c>
      <x:c r="I3616" s="13" t="n">
        <x:f>IF(C3616=0,"n.a.",F3616/C3616)</x:f>
        <x:v>213.5</x:v>
      </x:c>
      <x:c r="J3616" s="3"/>
      <x:c r="K3616" s="3"/>
      <x:c r="L3616" s="3"/>
    </x:row>
    <x:row r="3617" ht="22" customHeight="1">
      <x:c r="A3617" s="3"/>
      <x:c r="B3617" s="3" t="str">
        <x:v>15540</x:v>
      </x:c>
      <x:c r="C3617" s="3" t="n">
        <x:v>1</x:v>
      </x:c>
      <x:c r="D3617" s="51" t="n">
        <x:v>40875</x:v>
      </x:c>
      <x:c r="E3617" s="3" t="str">
        <x:v>Una compra</x:v>
      </x:c>
      <x:c r="F3617" s="13" t="n">
        <x:v>213.3</x:v>
      </x:c>
      <x:c r="G3617" s="13" t="n">
        <x:v>0</x:v>
      </x:c>
      <x:c r="H3617" s="13" t="n">
        <x:f>F3617-G3617</x:f>
        <x:v>213.3</x:v>
      </x:c>
      <x:c r="I3617" s="13" t="n">
        <x:f>IF(C3617=0,"n.a.",F3617/C3617)</x:f>
        <x:v>213.3</x:v>
      </x:c>
      <x:c r="J3617" s="3"/>
      <x:c r="K3617" s="3"/>
      <x:c r="L3617" s="3"/>
    </x:row>
    <x:row r="3618" ht="22" customHeight="1">
      <x:c r="A3618" s="3"/>
      <x:c r="B3618" s="3" t="str">
        <x:v>14984</x:v>
      </x:c>
      <x:c r="C3618" s="3" t="n">
        <x:v>2</x:v>
      </x:c>
      <x:c r="D3618" s="51" t="n">
        <x:v>40867</x:v>
      </x:c>
      <x:c r="E3618" s="3" t="str">
        <x:v>Recurrente</x:v>
      </x:c>
      <x:c r="F3618" s="13" t="n">
        <x:v>213.27</x:v>
      </x:c>
      <x:c r="G3618" s="13" t="n">
        <x:v>0</x:v>
      </x:c>
      <x:c r="H3618" s="13" t="n">
        <x:f>F3618-G3618</x:f>
        <x:v>213.27</x:v>
      </x:c>
      <x:c r="I3618" s="13" t="n">
        <x:f>IF(C3618=0,"n.a.",F3618/C3618)</x:f>
        <x:v>106.635</x:v>
      </x:c>
      <x:c r="J3618" s="3"/>
      <x:c r="K3618" s="3"/>
      <x:c r="L3618" s="3"/>
    </x:row>
    <x:row r="3619" ht="22" customHeight="1">
      <x:c r="A3619" s="3"/>
      <x:c r="B3619" s="3" t="str">
        <x:v>16897</x:v>
      </x:c>
      <x:c r="C3619" s="3" t="n">
        <x:v>2</x:v>
      </x:c>
      <x:c r="D3619" s="51" t="n">
        <x:v>40587</x:v>
      </x:c>
      <x:c r="E3619" s="3" t="str">
        <x:v>Recurrente</x:v>
      </x:c>
      <x:c r="F3619" s="13" t="n">
        <x:v>289.78</x:v>
      </x:c>
      <x:c r="G3619" s="13" t="n">
        <x:v>76.75</x:v>
      </x:c>
      <x:c r="H3619" s="13" t="n">
        <x:f>F3619-G3619</x:f>
        <x:v>213.02999999999997</x:v>
      </x:c>
      <x:c r="I3619" s="13" t="n">
        <x:f>IF(C3619=0,"n.a.",F3619/C3619)</x:f>
        <x:v>144.89</x:v>
      </x:c>
      <x:c r="J3619" s="3"/>
      <x:c r="K3619" s="3"/>
      <x:c r="L3619" s="3"/>
    </x:row>
    <x:row r="3620" ht="22" customHeight="1">
      <x:c r="A3620" s="3"/>
      <x:c r="B3620" s="3" t="str">
        <x:v>16519</x:v>
      </x:c>
      <x:c r="C3620" s="3" t="n">
        <x:v>2</x:v>
      </x:c>
      <x:c r="D3620" s="51" t="n">
        <x:v>40861</x:v>
      </x:c>
      <x:c r="E3620" s="3" t="str">
        <x:v>Recurrente</x:v>
      </x:c>
      <x:c r="F3620" s="13" t="n">
        <x:v>212.98</x:v>
      </x:c>
      <x:c r="G3620" s="13" t="n">
        <x:v>0</x:v>
      </x:c>
      <x:c r="H3620" s="13" t="n">
        <x:f>F3620-G3620</x:f>
        <x:v>212.98</x:v>
      </x:c>
      <x:c r="I3620" s="13" t="n">
        <x:f>IF(C3620=0,"n.a.",F3620/C3620)</x:f>
        <x:v>106.49</x:v>
      </x:c>
      <x:c r="J3620" s="3"/>
      <x:c r="K3620" s="3"/>
      <x:c r="L3620" s="3"/>
    </x:row>
    <x:row r="3621" ht="22" customHeight="1">
      <x:c r="A3621" s="3"/>
      <x:c r="B3621" s="3" t="str">
        <x:v>18193</x:v>
      </x:c>
      <x:c r="C3621" s="3" t="n">
        <x:v>1</x:v>
      </x:c>
      <x:c r="D3621" s="51" t="n">
        <x:v>40721</x:v>
      </x:c>
      <x:c r="E3621" s="3" t="str">
        <x:v>Una compra</x:v>
      </x:c>
      <x:c r="F3621" s="13" t="n">
        <x:v>243.76</x:v>
      </x:c>
      <x:c r="G3621" s="13" t="n">
        <x:v>30.8</x:v>
      </x:c>
      <x:c r="H3621" s="13" t="n">
        <x:f>F3621-G3621</x:f>
        <x:v>212.95999999999998</x:v>
      </x:c>
      <x:c r="I3621" s="13" t="n">
        <x:f>IF(C3621=0,"n.a.",F3621/C3621)</x:f>
        <x:v>243.76</x:v>
      </x:c>
      <x:c r="J3621" s="3"/>
      <x:c r="K3621" s="3"/>
      <x:c r="L3621" s="3"/>
    </x:row>
    <x:row r="3622" ht="22" customHeight="1">
      <x:c r="A3622" s="3"/>
      <x:c r="B3622" s="3" t="str">
        <x:v>16302</x:v>
      </x:c>
      <x:c r="C3622" s="3" t="n">
        <x:v>1</x:v>
      </x:c>
      <x:c r="D3622" s="51" t="n">
        <x:v>40760</x:v>
      </x:c>
      <x:c r="E3622" s="3" t="str">
        <x:v>Una compra</x:v>
      </x:c>
      <x:c r="F3622" s="13" t="n">
        <x:v>233.22</x:v>
      </x:c>
      <x:c r="G3622" s="13" t="n">
        <x:v>20.4</x:v>
      </x:c>
      <x:c r="H3622" s="13" t="n">
        <x:f>F3622-G3622</x:f>
        <x:v>212.82</x:v>
      </x:c>
      <x:c r="I3622" s="13" t="n">
        <x:f>IF(C3622=0,"n.a.",F3622/C3622)</x:f>
        <x:v>233.22</x:v>
      </x:c>
      <x:c r="J3622" s="3"/>
      <x:c r="K3622" s="3"/>
      <x:c r="L3622" s="3"/>
    </x:row>
    <x:row r="3623" ht="22" customHeight="1">
      <x:c r="A3623" s="3"/>
      <x:c r="B3623" s="3" t="str">
        <x:v>17580</x:v>
      </x:c>
      <x:c r="C3623" s="3" t="n">
        <x:v>3</x:v>
      </x:c>
      <x:c r="D3623" s="51" t="n">
        <x:v>40634</x:v>
      </x:c>
      <x:c r="E3623" s="3" t="str">
        <x:v>Recurrente</x:v>
      </x:c>
      <x:c r="F3623" s="13" t="n">
        <x:v>212.77</x:v>
      </x:c>
      <x:c r="G3623" s="13" t="n">
        <x:v>0</x:v>
      </x:c>
      <x:c r="H3623" s="13" t="n">
        <x:f>F3623-G3623</x:f>
        <x:v>212.77</x:v>
      </x:c>
      <x:c r="I3623" s="13" t="n">
        <x:f>IF(C3623=0,"n.a.",F3623/C3623)</x:f>
        <x:v>70.92333333333333</x:v>
      </x:c>
      <x:c r="J3623" s="3"/>
      <x:c r="K3623" s="3"/>
      <x:c r="L3623" s="3"/>
    </x:row>
    <x:row r="3624" ht="22" customHeight="1">
      <x:c r="A3624" s="3"/>
      <x:c r="B3624" s="3" t="str">
        <x:v>15724</x:v>
      </x:c>
      <x:c r="C3624" s="3" t="n">
        <x:v>2</x:v>
      </x:c>
      <x:c r="D3624" s="51" t="n">
        <x:v>40685</x:v>
      </x:c>
      <x:c r="E3624" s="3" t="str">
        <x:v>Recurrente</x:v>
      </x:c>
      <x:c r="F3624" s="13" t="n">
        <x:v>218.25</x:v>
      </x:c>
      <x:c r="G3624" s="13" t="n">
        <x:v>5.95</x:v>
      </x:c>
      <x:c r="H3624" s="13" t="n">
        <x:f>F3624-G3624</x:f>
        <x:v>212.3</x:v>
      </x:c>
      <x:c r="I3624" s="13" t="n">
        <x:f>IF(C3624=0,"n.a.",F3624/C3624)</x:f>
        <x:v>109.125</x:v>
      </x:c>
      <x:c r="J3624" s="3"/>
      <x:c r="K3624" s="3"/>
      <x:c r="L3624" s="3"/>
    </x:row>
    <x:row r="3625" ht="22" customHeight="1">
      <x:c r="A3625" s="3"/>
      <x:c r="B3625" s="3" t="str">
        <x:v>16017</x:v>
      </x:c>
      <x:c r="C3625" s="3" t="n">
        <x:v>1</x:v>
      </x:c>
      <x:c r="D3625" s="51" t="n">
        <x:v>40839</x:v>
      </x:c>
      <x:c r="E3625" s="3" t="str">
        <x:v>Una compra</x:v>
      </x:c>
      <x:c r="F3625" s="13" t="n">
        <x:v>211.88</x:v>
      </x:c>
      <x:c r="G3625" s="13" t="n">
        <x:v>0</x:v>
      </x:c>
      <x:c r="H3625" s="13" t="n">
        <x:f>F3625-G3625</x:f>
        <x:v>211.88</x:v>
      </x:c>
      <x:c r="I3625" s="13" t="n">
        <x:f>IF(C3625=0,"n.a.",F3625/C3625)</x:f>
        <x:v>211.88</x:v>
      </x:c>
      <x:c r="J3625" s="3"/>
      <x:c r="K3625" s="3"/>
      <x:c r="L3625" s="3"/>
    </x:row>
    <x:row r="3626" ht="22" customHeight="1">
      <x:c r="A3626" s="3"/>
      <x:c r="B3626" s="3" t="str">
        <x:v>15703</x:v>
      </x:c>
      <x:c r="C3626" s="3" t="n">
        <x:v>1</x:v>
      </x:c>
      <x:c r="D3626" s="51" t="n">
        <x:v>40622</x:v>
      </x:c>
      <x:c r="E3626" s="3" t="str">
        <x:v>Una compra</x:v>
      </x:c>
      <x:c r="F3626" s="13" t="n">
        <x:v>211.5</x:v>
      </x:c>
      <x:c r="G3626" s="13" t="n">
        <x:v>0</x:v>
      </x:c>
      <x:c r="H3626" s="13" t="n">
        <x:f>F3626-G3626</x:f>
        <x:v>211.5</x:v>
      </x:c>
      <x:c r="I3626" s="13" t="n">
        <x:f>IF(C3626=0,"n.a.",F3626/C3626)</x:f>
        <x:v>211.5</x:v>
      </x:c>
      <x:c r="J3626" s="3"/>
      <x:c r="K3626" s="3"/>
      <x:c r="L3626" s="3"/>
    </x:row>
    <x:row r="3627" ht="22" customHeight="1">
      <x:c r="A3627" s="3"/>
      <x:c r="B3627" s="3" t="str">
        <x:v>16415</x:v>
      </x:c>
      <x:c r="C3627" s="3" t="n">
        <x:v>1</x:v>
      </x:c>
      <x:c r="D3627" s="51" t="n">
        <x:v>40842</x:v>
      </x:c>
      <x:c r="E3627" s="3" t="str">
        <x:v>Una compra</x:v>
      </x:c>
      <x:c r="F3627" s="13" t="n">
        <x:v>210.35</x:v>
      </x:c>
      <x:c r="G3627" s="13" t="n">
        <x:v>0</x:v>
      </x:c>
      <x:c r="H3627" s="13" t="n">
        <x:f>F3627-G3627</x:f>
        <x:v>210.35</x:v>
      </x:c>
      <x:c r="I3627" s="13" t="n">
        <x:f>IF(C3627=0,"n.a.",F3627/C3627)</x:f>
        <x:v>210.35</x:v>
      </x:c>
      <x:c r="J3627" s="3"/>
      <x:c r="K3627" s="3"/>
      <x:c r="L3627" s="3"/>
    </x:row>
    <x:row r="3628" ht="22" customHeight="1">
      <x:c r="A3628" s="3"/>
      <x:c r="B3628" s="3" t="str">
        <x:v>16356</x:v>
      </x:c>
      <x:c r="C3628" s="3" t="n">
        <x:v>3</x:v>
      </x:c>
      <x:c r="D3628" s="51" t="n">
        <x:v>40689</x:v>
      </x:c>
      <x:c r="E3628" s="3" t="str">
        <x:v>Recurrente</x:v>
      </x:c>
      <x:c r="F3628" s="13" t="n">
        <x:v>211.77</x:v>
      </x:c>
      <x:c r="G3628" s="13" t="n">
        <x:v>1.45</x:v>
      </x:c>
      <x:c r="H3628" s="13" t="n">
        <x:f>F3628-G3628</x:f>
        <x:v>210.32000000000002</x:v>
      </x:c>
      <x:c r="I3628" s="13" t="n">
        <x:f>IF(C3628=0,"n.a.",F3628/C3628)</x:f>
        <x:v>70.59</x:v>
      </x:c>
      <x:c r="J3628" s="3"/>
      <x:c r="K3628" s="3"/>
      <x:c r="L3628" s="3"/>
    </x:row>
    <x:row r="3629" ht="22" customHeight="1">
      <x:c r="A3629" s="3"/>
      <x:c r="B3629" s="3" t="str">
        <x:v>13532</x:v>
      </x:c>
      <x:c r="C3629" s="3" t="n">
        <x:v>1</x:v>
      </x:c>
      <x:c r="D3629" s="51" t="n">
        <x:v>40853</x:v>
      </x:c>
      <x:c r="E3629" s="3" t="str">
        <x:v>Una compra</x:v>
      </x:c>
      <x:c r="F3629" s="13" t="n">
        <x:v>210.31</x:v>
      </x:c>
      <x:c r="G3629" s="13" t="n">
        <x:v>0</x:v>
      </x:c>
      <x:c r="H3629" s="13" t="n">
        <x:f>F3629-G3629</x:f>
        <x:v>210.31</x:v>
      </x:c>
      <x:c r="I3629" s="13" t="n">
        <x:f>IF(C3629=0,"n.a.",F3629/C3629)</x:f>
        <x:v>210.31</x:v>
      </x:c>
      <x:c r="J3629" s="3"/>
      <x:c r="K3629" s="3"/>
      <x:c r="L3629" s="3"/>
    </x:row>
    <x:row r="3630" ht="22" customHeight="1">
      <x:c r="A3630" s="3"/>
      <x:c r="B3630" s="3" t="str">
        <x:v>13828</x:v>
      </x:c>
      <x:c r="C3630" s="3" t="n">
        <x:v>1</x:v>
      </x:c>
      <x:c r="D3630" s="51" t="n">
        <x:v>40864</x:v>
      </x:c>
      <x:c r="E3630" s="3" t="str">
        <x:v>Una compra</x:v>
      </x:c>
      <x:c r="F3630" s="13" t="n">
        <x:v>209.49</x:v>
      </x:c>
      <x:c r="G3630" s="13" t="n">
        <x:v>0</x:v>
      </x:c>
      <x:c r="H3630" s="13" t="n">
        <x:f>F3630-G3630</x:f>
        <x:v>209.49</x:v>
      </x:c>
      <x:c r="I3630" s="13" t="n">
        <x:f>IF(C3630=0,"n.a.",F3630/C3630)</x:f>
        <x:v>209.49</x:v>
      </x:c>
      <x:c r="J3630" s="3"/>
      <x:c r="K3630" s="3"/>
      <x:c r="L3630" s="3"/>
    </x:row>
    <x:row r="3631" ht="22" customHeight="1">
      <x:c r="A3631" s="3"/>
      <x:c r="B3631" s="3" t="str">
        <x:v>17855</x:v>
      </x:c>
      <x:c r="C3631" s="3" t="n">
        <x:v>1</x:v>
      </x:c>
      <x:c r="D3631" s="51" t="n">
        <x:v>40514</x:v>
      </x:c>
      <x:c r="E3631" s="3" t="str">
        <x:v>Una compra</x:v>
      </x:c>
      <x:c r="F3631" s="13" t="n">
        <x:v>208.97</x:v>
      </x:c>
      <x:c r="G3631" s="13" t="n">
        <x:v>0</x:v>
      </x:c>
      <x:c r="H3631" s="13" t="n">
        <x:f>F3631-G3631</x:f>
        <x:v>208.97</x:v>
      </x:c>
      <x:c r="I3631" s="13" t="n">
        <x:f>IF(C3631=0,"n.a.",F3631/C3631)</x:f>
        <x:v>208.97</x:v>
      </x:c>
      <x:c r="J3631" s="3"/>
      <x:c r="K3631" s="3"/>
      <x:c r="L3631" s="3"/>
    </x:row>
    <x:row r="3632" ht="22" customHeight="1">
      <x:c r="A3632" s="3"/>
      <x:c r="B3632" s="3" t="str">
        <x:v>15327</x:v>
      </x:c>
      <x:c r="C3632" s="3" t="n">
        <x:v>1</x:v>
      </x:c>
      <x:c r="D3632" s="51" t="n">
        <x:v>40834</x:v>
      </x:c>
      <x:c r="E3632" s="3" t="str">
        <x:v>Una compra</x:v>
      </x:c>
      <x:c r="F3632" s="13" t="n">
        <x:v>208.75</x:v>
      </x:c>
      <x:c r="G3632" s="13" t="n">
        <x:v>0</x:v>
      </x:c>
      <x:c r="H3632" s="13" t="n">
        <x:f>F3632-G3632</x:f>
        <x:v>208.75</x:v>
      </x:c>
      <x:c r="I3632" s="13" t="n">
        <x:f>IF(C3632=0,"n.a.",F3632/C3632)</x:f>
        <x:v>208.75</x:v>
      </x:c>
      <x:c r="J3632" s="3"/>
      <x:c r="K3632" s="3"/>
      <x:c r="L3632" s="3"/>
    </x:row>
    <x:row r="3633" ht="22" customHeight="1">
      <x:c r="A3633" s="3"/>
      <x:c r="B3633" s="3" t="str">
        <x:v>17514</x:v>
      </x:c>
      <x:c r="C3633" s="3" t="n">
        <x:v>1</x:v>
      </x:c>
      <x:c r="D3633" s="51" t="n">
        <x:v>40758</x:v>
      </x:c>
      <x:c r="E3633" s="3" t="str">
        <x:v>Una compra</x:v>
      </x:c>
      <x:c r="F3633" s="13" t="n">
        <x:v>208.65</x:v>
      </x:c>
      <x:c r="G3633" s="13" t="n">
        <x:v>0</x:v>
      </x:c>
      <x:c r="H3633" s="13" t="n">
        <x:f>F3633-G3633</x:f>
        <x:v>208.65</x:v>
      </x:c>
      <x:c r="I3633" s="13" t="n">
        <x:f>IF(C3633=0,"n.a.",F3633/C3633)</x:f>
        <x:v>208.65</x:v>
      </x:c>
      <x:c r="J3633" s="3"/>
      <x:c r="K3633" s="3"/>
      <x:c r="L3633" s="3"/>
    </x:row>
    <x:row r="3634" ht="22" customHeight="1">
      <x:c r="A3634" s="3"/>
      <x:c r="B3634" s="3" t="str">
        <x:v>16690</x:v>
      </x:c>
      <x:c r="C3634" s="3" t="n">
        <x:v>2</x:v>
      </x:c>
      <x:c r="D3634" s="51" t="n">
        <x:v>40814</x:v>
      </x:c>
      <x:c r="E3634" s="3" t="str">
        <x:v>Recurrente</x:v>
      </x:c>
      <x:c r="F3634" s="13" t="n">
        <x:v>225.58</x:v>
      </x:c>
      <x:c r="G3634" s="13" t="n">
        <x:v>16.95</x:v>
      </x:c>
      <x:c r="H3634" s="13" t="n">
        <x:f>F3634-G3634</x:f>
        <x:v>208.63000000000002</x:v>
      </x:c>
      <x:c r="I3634" s="13" t="n">
        <x:f>IF(C3634=0,"n.a.",F3634/C3634)</x:f>
        <x:v>112.79</x:v>
      </x:c>
      <x:c r="J3634" s="3"/>
      <x:c r="K3634" s="3"/>
      <x:c r="L3634" s="3"/>
    </x:row>
    <x:row r="3635" ht="22" customHeight="1">
      <x:c r="A3635" s="3"/>
      <x:c r="B3635" s="3" t="str">
        <x:v>16914</x:v>
      </x:c>
      <x:c r="C3635" s="3" t="n">
        <x:v>1</x:v>
      </x:c>
      <x:c r="D3635" s="51" t="n">
        <x:v>40850</x:v>
      </x:c>
      <x:c r="E3635" s="3" t="str">
        <x:v>Una compra</x:v>
      </x:c>
      <x:c r="F3635" s="13" t="n">
        <x:v>208.46</x:v>
      </x:c>
      <x:c r="G3635" s="13" t="n">
        <x:v>0</x:v>
      </x:c>
      <x:c r="H3635" s="13" t="n">
        <x:f>F3635-G3635</x:f>
        <x:v>208.46</x:v>
      </x:c>
      <x:c r="I3635" s="13" t="n">
        <x:f>IF(C3635=0,"n.a.",F3635/C3635)</x:f>
        <x:v>208.46</x:v>
      </x:c>
      <x:c r="J3635" s="3"/>
      <x:c r="K3635" s="3"/>
      <x:c r="L3635" s="3"/>
    </x:row>
    <x:row r="3636" ht="22" customHeight="1">
      <x:c r="A3636" s="3"/>
      <x:c r="B3636" s="3" t="str">
        <x:v>16457</x:v>
      </x:c>
      <x:c r="C3636" s="3" t="n">
        <x:v>1</x:v>
      </x:c>
      <x:c r="D3636" s="51" t="n">
        <x:v>40668</x:v>
      </x:c>
      <x:c r="E3636" s="3" t="str">
        <x:v>Una compra</x:v>
      </x:c>
      <x:c r="F3636" s="13" t="n">
        <x:v>208.36</x:v>
      </x:c>
      <x:c r="G3636" s="13" t="n">
        <x:v>0</x:v>
      </x:c>
      <x:c r="H3636" s="13" t="n">
        <x:f>F3636-G3636</x:f>
        <x:v>208.36</x:v>
      </x:c>
      <x:c r="I3636" s="13" t="n">
        <x:f>IF(C3636=0,"n.a.",F3636/C3636)</x:f>
        <x:v>208.36</x:v>
      </x:c>
      <x:c r="J3636" s="3"/>
      <x:c r="K3636" s="3"/>
      <x:c r="L3636" s="3"/>
    </x:row>
    <x:row r="3637" ht="22" customHeight="1">
      <x:c r="A3637" s="3"/>
      <x:c r="B3637" s="3" t="str">
        <x:v>18191</x:v>
      </x:c>
      <x:c r="C3637" s="3" t="n">
        <x:v>1</x:v>
      </x:c>
      <x:c r="D3637" s="51" t="n">
        <x:v>40625</x:v>
      </x:c>
      <x:c r="E3637" s="3" t="str">
        <x:v>Una compra</x:v>
      </x:c>
      <x:c r="F3637" s="13" t="n">
        <x:v>207.8</x:v>
      </x:c>
      <x:c r="G3637" s="13" t="n">
        <x:v>0</x:v>
      </x:c>
      <x:c r="H3637" s="13" t="n">
        <x:f>F3637-G3637</x:f>
        <x:v>207.8</x:v>
      </x:c>
      <x:c r="I3637" s="13" t="n">
        <x:f>IF(C3637=0,"n.a.",F3637/C3637)</x:f>
        <x:v>207.8</x:v>
      </x:c>
      <x:c r="J3637" s="3"/>
      <x:c r="K3637" s="3"/>
      <x:c r="L3637" s="3"/>
    </x:row>
    <x:row r="3638" ht="22" customHeight="1">
      <x:c r="A3638" s="3"/>
      <x:c r="B3638" s="3" t="str">
        <x:v>16866</x:v>
      </x:c>
      <x:c r="C3638" s="3" t="n">
        <x:v>3</x:v>
      </x:c>
      <x:c r="D3638" s="51" t="n">
        <x:v>40746</x:v>
      </x:c>
      <x:c r="E3638" s="3" t="str">
        <x:v>Recurrente</x:v>
      </x:c>
      <x:c r="F3638" s="13" t="n">
        <x:v>207.74</x:v>
      </x:c>
      <x:c r="G3638" s="13" t="n">
        <x:v>0</x:v>
      </x:c>
      <x:c r="H3638" s="13" t="n">
        <x:f>F3638-G3638</x:f>
        <x:v>207.74</x:v>
      </x:c>
      <x:c r="I3638" s="13" t="n">
        <x:f>IF(C3638=0,"n.a.",F3638/C3638)</x:f>
        <x:v>69.24666666666667</x:v>
      </x:c>
      <x:c r="J3638" s="3"/>
      <x:c r="K3638" s="3"/>
      <x:c r="L3638" s="3"/>
    </x:row>
    <x:row r="3639" ht="22" customHeight="1">
      <x:c r="A3639" s="3"/>
      <x:c r="B3639" s="3" t="str">
        <x:v>16323</x:v>
      </x:c>
      <x:c r="C3639" s="3" t="n">
        <x:v>1</x:v>
      </x:c>
      <x:c r="D3639" s="51" t="n">
        <x:v>40690</x:v>
      </x:c>
      <x:c r="E3639" s="3" t="str">
        <x:v>Una compra</x:v>
      </x:c>
      <x:c r="F3639" s="13" t="n">
        <x:v>207.5</x:v>
      </x:c>
      <x:c r="G3639" s="13" t="n">
        <x:v>0</x:v>
      </x:c>
      <x:c r="H3639" s="13" t="n">
        <x:f>F3639-G3639</x:f>
        <x:v>207.5</x:v>
      </x:c>
      <x:c r="I3639" s="13" t="n">
        <x:f>IF(C3639=0,"n.a.",F3639/C3639)</x:f>
        <x:v>207.5</x:v>
      </x:c>
      <x:c r="J3639" s="3"/>
      <x:c r="K3639" s="3"/>
      <x:c r="L3639" s="3"/>
    </x:row>
    <x:row r="3640" ht="22" customHeight="1">
      <x:c r="A3640" s="3"/>
      <x:c r="B3640" s="3" t="str">
        <x:v>16752</x:v>
      </x:c>
      <x:c r="C3640" s="3" t="n">
        <x:v>1</x:v>
      </x:c>
      <x:c r="D3640" s="51" t="n">
        <x:v>40514</x:v>
      </x:c>
      <x:c r="E3640" s="3" t="str">
        <x:v>Una compra</x:v>
      </x:c>
      <x:c r="F3640" s="13" t="n">
        <x:v>207.5</x:v>
      </x:c>
      <x:c r="G3640" s="13" t="n">
        <x:v>0</x:v>
      </x:c>
      <x:c r="H3640" s="13" t="n">
        <x:f>F3640-G3640</x:f>
        <x:v>207.5</x:v>
      </x:c>
      <x:c r="I3640" s="13" t="n">
        <x:f>IF(C3640=0,"n.a.",F3640/C3640)</x:f>
        <x:v>207.5</x:v>
      </x:c>
      <x:c r="J3640" s="3"/>
      <x:c r="K3640" s="3"/>
      <x:c r="L3640" s="3"/>
    </x:row>
    <x:row r="3641" ht="22" customHeight="1">
      <x:c r="A3641" s="3"/>
      <x:c r="B3641" s="3" t="str">
        <x:v>17923</x:v>
      </x:c>
      <x:c r="C3641" s="3" t="n">
        <x:v>1</x:v>
      </x:c>
      <x:c r="D3641" s="51" t="n">
        <x:v>40604</x:v>
      </x:c>
      <x:c r="E3641" s="3" t="str">
        <x:v>Una compra</x:v>
      </x:c>
      <x:c r="F3641" s="13" t="n">
        <x:v>207.5</x:v>
      </x:c>
      <x:c r="G3641" s="13" t="n">
        <x:v>0</x:v>
      </x:c>
      <x:c r="H3641" s="13" t="n">
        <x:f>F3641-G3641</x:f>
        <x:v>207.5</x:v>
      </x:c>
      <x:c r="I3641" s="13" t="n">
        <x:f>IF(C3641=0,"n.a.",F3641/C3641)</x:f>
        <x:v>207.5</x:v>
      </x:c>
      <x:c r="J3641" s="3"/>
      <x:c r="K3641" s="3"/>
      <x:c r="L3641" s="3"/>
    </x:row>
    <x:row r="3642" ht="22" customHeight="1">
      <x:c r="A3642" s="3"/>
      <x:c r="B3642" s="3" t="str">
        <x:v>13099</x:v>
      </x:c>
      <x:c r="C3642" s="3" t="n">
        <x:v>1</x:v>
      </x:c>
      <x:c r="D3642" s="51" t="n">
        <x:v>40787</x:v>
      </x:c>
      <x:c r="E3642" s="3" t="str">
        <x:v>Una compra</x:v>
      </x:c>
      <x:c r="F3642" s="13" t="n">
        <x:v>207.36</x:v>
      </x:c>
      <x:c r="G3642" s="13" t="n">
        <x:v>0</x:v>
      </x:c>
      <x:c r="H3642" s="13" t="n">
        <x:f>F3642-G3642</x:f>
        <x:v>207.36</x:v>
      </x:c>
      <x:c r="I3642" s="13" t="n">
        <x:f>IF(C3642=0,"n.a.",F3642/C3642)</x:f>
        <x:v>207.36</x:v>
      </x:c>
      <x:c r="J3642" s="3"/>
      <x:c r="K3642" s="3"/>
      <x:c r="L3642" s="3"/>
    </x:row>
    <x:row r="3643" ht="22" customHeight="1">
      <x:c r="A3643" s="3"/>
      <x:c r="B3643" s="3" t="str">
        <x:v>15925</x:v>
      </x:c>
      <x:c r="C3643" s="3" t="n">
        <x:v>1</x:v>
      </x:c>
      <x:c r="D3643" s="51" t="n">
        <x:v>40692</x:v>
      </x:c>
      <x:c r="E3643" s="3" t="str">
        <x:v>Una compra</x:v>
      </x:c>
      <x:c r="F3643" s="13" t="n">
        <x:v>207.15</x:v>
      </x:c>
      <x:c r="G3643" s="13" t="n">
        <x:v>0</x:v>
      </x:c>
      <x:c r="H3643" s="13" t="n">
        <x:f>F3643-G3643</x:f>
        <x:v>207.15</x:v>
      </x:c>
      <x:c r="I3643" s="13" t="n">
        <x:f>IF(C3643=0,"n.a.",F3643/C3643)</x:f>
        <x:v>207.15</x:v>
      </x:c>
      <x:c r="J3643" s="3"/>
      <x:c r="K3643" s="3"/>
      <x:c r="L3643" s="3"/>
    </x:row>
    <x:row r="3644" ht="22" customHeight="1">
      <x:c r="A3644" s="3"/>
      <x:c r="B3644" s="3" t="str">
        <x:v>15820</x:v>
      </x:c>
      <x:c r="C3644" s="3" t="n">
        <x:v>1</x:v>
      </x:c>
      <x:c r="D3644" s="51" t="n">
        <x:v>40567</x:v>
      </x:c>
      <x:c r="E3644" s="3" t="str">
        <x:v>Una compra</x:v>
      </x:c>
      <x:c r="F3644" s="13" t="n">
        <x:v>206.98</x:v>
      </x:c>
      <x:c r="G3644" s="13" t="n">
        <x:v>0</x:v>
      </x:c>
      <x:c r="H3644" s="13" t="n">
        <x:f>F3644-G3644</x:f>
        <x:v>206.98</x:v>
      </x:c>
      <x:c r="I3644" s="13" t="n">
        <x:f>IF(C3644=0,"n.a.",F3644/C3644)</x:f>
        <x:v>206.98</x:v>
      </x:c>
      <x:c r="J3644" s="3"/>
      <x:c r="K3644" s="3"/>
      <x:c r="L3644" s="3"/>
    </x:row>
    <x:row r="3645" ht="22" customHeight="1">
      <x:c r="A3645" s="3"/>
      <x:c r="B3645" s="3" t="str">
        <x:v>14964</x:v>
      </x:c>
      <x:c r="C3645" s="3" t="n">
        <x:v>1</x:v>
      </x:c>
      <x:c r="D3645" s="51" t="n">
        <x:v>40639</x:v>
      </x:c>
      <x:c r="E3645" s="3" t="str">
        <x:v>Una compra</x:v>
      </x:c>
      <x:c r="F3645" s="13" t="n">
        <x:v>206.21</x:v>
      </x:c>
      <x:c r="G3645" s="13" t="n">
        <x:v>0</x:v>
      </x:c>
      <x:c r="H3645" s="13" t="n">
        <x:f>F3645-G3645</x:f>
        <x:v>206.21</x:v>
      </x:c>
      <x:c r="I3645" s="13" t="n">
        <x:f>IF(C3645=0,"n.a.",F3645/C3645)</x:f>
        <x:v>206.21</x:v>
      </x:c>
      <x:c r="J3645" s="3"/>
      <x:c r="K3645" s="3"/>
      <x:c r="L3645" s="3"/>
    </x:row>
    <x:row r="3646" ht="22" customHeight="1">
      <x:c r="A3646" s="3"/>
      <x:c r="B3646" s="3" t="str">
        <x:v>18110</x:v>
      </x:c>
      <x:c r="C3646" s="3" t="n">
        <x:v>1</x:v>
      </x:c>
      <x:c r="D3646" s="51" t="n">
        <x:v>40867</x:v>
      </x:c>
      <x:c r="E3646" s="3" t="str">
        <x:v>Una compra</x:v>
      </x:c>
      <x:c r="F3646" s="13" t="n">
        <x:v>236.3</x:v>
      </x:c>
      <x:c r="G3646" s="13" t="n">
        <x:v>30.25</x:v>
      </x:c>
      <x:c r="H3646" s="13" t="n">
        <x:f>F3646-G3646</x:f>
        <x:v>206.05</x:v>
      </x:c>
      <x:c r="I3646" s="13" t="n">
        <x:f>IF(C3646=0,"n.a.",F3646/C3646)</x:f>
        <x:v>236.3</x:v>
      </x:c>
      <x:c r="J3646" s="3"/>
      <x:c r="K3646" s="3"/>
      <x:c r="L3646" s="3"/>
    </x:row>
    <x:row r="3647" ht="22" customHeight="1">
      <x:c r="A3647" s="3"/>
      <x:c r="B3647" s="3" t="str">
        <x:v>13065</x:v>
      </x:c>
      <x:c r="C3647" s="3" t="n">
        <x:v>1</x:v>
      </x:c>
      <x:c r="D3647" s="51" t="n">
        <x:v>40513</x:v>
      </x:c>
      <x:c r="E3647" s="3" t="str">
        <x:v>Una compra</x:v>
      </x:c>
      <x:c r="F3647" s="13" t="n">
        <x:v>205.86</x:v>
      </x:c>
      <x:c r="G3647" s="13" t="n">
        <x:v>0</x:v>
      </x:c>
      <x:c r="H3647" s="13" t="n">
        <x:f>F3647-G3647</x:f>
        <x:v>205.86</x:v>
      </x:c>
      <x:c r="I3647" s="13" t="n">
        <x:f>IF(C3647=0,"n.a.",F3647/C3647)</x:f>
        <x:v>205.86</x:v>
      </x:c>
      <x:c r="J3647" s="3"/>
      <x:c r="K3647" s="3"/>
      <x:c r="L3647" s="3"/>
    </x:row>
    <x:row r="3648" ht="22" customHeight="1">
      <x:c r="A3648" s="3"/>
      <x:c r="B3648" s="3" t="str">
        <x:v>17670</x:v>
      </x:c>
      <x:c r="C3648" s="3" t="n">
        <x:v>1</x:v>
      </x:c>
      <x:c r="D3648" s="51" t="n">
        <x:v>40659</x:v>
      </x:c>
      <x:c r="E3648" s="3" t="str">
        <x:v>Una compra</x:v>
      </x:c>
      <x:c r="F3648" s="13" t="n">
        <x:v>205.7</x:v>
      </x:c>
      <x:c r="G3648" s="13" t="n">
        <x:v>0</x:v>
      </x:c>
      <x:c r="H3648" s="13" t="n">
        <x:f>F3648-G3648</x:f>
        <x:v>205.7</x:v>
      </x:c>
      <x:c r="I3648" s="13" t="n">
        <x:f>IF(C3648=0,"n.a.",F3648/C3648)</x:f>
        <x:v>205.7</x:v>
      </x:c>
      <x:c r="J3648" s="3"/>
      <x:c r="K3648" s="3"/>
      <x:c r="L3648" s="3"/>
    </x:row>
    <x:row r="3649" ht="22" customHeight="1">
      <x:c r="A3649" s="3"/>
      <x:c r="B3649" s="3" t="str">
        <x:v>15307</x:v>
      </x:c>
      <x:c r="C3649" s="3" t="n">
        <x:v>1</x:v>
      </x:c>
      <x:c r="D3649" s="51" t="n">
        <x:v>40791</x:v>
      </x:c>
      <x:c r="E3649" s="3" t="str">
        <x:v>Una compra</x:v>
      </x:c>
      <x:c r="F3649" s="13" t="n">
        <x:v>205.3</x:v>
      </x:c>
      <x:c r="G3649" s="13" t="n">
        <x:v>0</x:v>
      </x:c>
      <x:c r="H3649" s="13" t="n">
        <x:f>F3649-G3649</x:f>
        <x:v>205.3</x:v>
      </x:c>
      <x:c r="I3649" s="13" t="n">
        <x:f>IF(C3649=0,"n.a.",F3649/C3649)</x:f>
        <x:v>205.3</x:v>
      </x:c>
      <x:c r="J3649" s="3"/>
      <x:c r="K3649" s="3"/>
      <x:c r="L3649" s="3"/>
    </x:row>
    <x:row r="3650" ht="22" customHeight="1">
      <x:c r="A3650" s="3"/>
      <x:c r="B3650" s="3" t="str">
        <x:v>15758</x:v>
      </x:c>
      <x:c r="C3650" s="3" t="n">
        <x:v>1</x:v>
      </x:c>
      <x:c r="D3650" s="51" t="n">
        <x:v>40862</x:v>
      </x:c>
      <x:c r="E3650" s="3" t="str">
        <x:v>Una compra</x:v>
      </x:c>
      <x:c r="F3650" s="13" t="n">
        <x:v>205.25</x:v>
      </x:c>
      <x:c r="G3650" s="13" t="n">
        <x:v>0</x:v>
      </x:c>
      <x:c r="H3650" s="13" t="n">
        <x:f>F3650-G3650</x:f>
        <x:v>205.25</x:v>
      </x:c>
      <x:c r="I3650" s="13" t="n">
        <x:f>IF(C3650=0,"n.a.",F3650/C3650)</x:f>
        <x:v>205.25</x:v>
      </x:c>
      <x:c r="J3650" s="3"/>
      <x:c r="K3650" s="3"/>
      <x:c r="L3650" s="3"/>
    </x:row>
    <x:row r="3651" ht="22" customHeight="1">
      <x:c r="A3651" s="3"/>
      <x:c r="B3651" s="3" t="str">
        <x:v>13513</x:v>
      </x:c>
      <x:c r="C3651" s="3" t="n">
        <x:v>1</x:v>
      </x:c>
      <x:c r="D3651" s="51" t="n">
        <x:v>40760</x:v>
      </x:c>
      <x:c r="E3651" s="3" t="str">
        <x:v>Una compra</x:v>
      </x:c>
      <x:c r="F3651" s="13" t="n">
        <x:v>205.1</x:v>
      </x:c>
      <x:c r="G3651" s="13" t="n">
        <x:v>0</x:v>
      </x:c>
      <x:c r="H3651" s="13" t="n">
        <x:f>F3651-G3651</x:f>
        <x:v>205.1</x:v>
      </x:c>
      <x:c r="I3651" s="13" t="n">
        <x:f>IF(C3651=0,"n.a.",F3651/C3651)</x:f>
        <x:v>205.1</x:v>
      </x:c>
      <x:c r="J3651" s="3"/>
      <x:c r="K3651" s="3"/>
      <x:c r="L3651" s="3"/>
    </x:row>
    <x:row r="3652" ht="22" customHeight="1">
      <x:c r="A3652" s="3"/>
      <x:c r="B3652" s="3" t="str">
        <x:v>15319</x:v>
      </x:c>
      <x:c r="C3652" s="3" t="n">
        <x:v>1</x:v>
      </x:c>
      <x:c r="D3652" s="51" t="n">
        <x:v>40603</x:v>
      </x:c>
      <x:c r="E3652" s="3" t="str">
        <x:v>Una compra</x:v>
      </x:c>
      <x:c r="F3652" s="13" t="n">
        <x:v>204.5</x:v>
      </x:c>
      <x:c r="G3652" s="13" t="n">
        <x:v>0</x:v>
      </x:c>
      <x:c r="H3652" s="13" t="n">
        <x:f>F3652-G3652</x:f>
        <x:v>204.5</x:v>
      </x:c>
      <x:c r="I3652" s="13" t="n">
        <x:f>IF(C3652=0,"n.a.",F3652/C3652)</x:f>
        <x:v>204.5</x:v>
      </x:c>
      <x:c r="J3652" s="3"/>
      <x:c r="K3652" s="3"/>
      <x:c r="L3652" s="3"/>
    </x:row>
    <x:row r="3653" ht="22" customHeight="1">
      <x:c r="A3653" s="3"/>
      <x:c r="B3653" s="3" t="str">
        <x:v>18126</x:v>
      </x:c>
      <x:c r="C3653" s="3" t="n">
        <x:v>1</x:v>
      </x:c>
      <x:c r="D3653" s="51" t="n">
        <x:v>40826</x:v>
      </x:c>
      <x:c r="E3653" s="3" t="str">
        <x:v>Una compra</x:v>
      </x:c>
      <x:c r="F3653" s="13" t="n">
        <x:v>204.49</x:v>
      </x:c>
      <x:c r="G3653" s="13" t="n">
        <x:v>0</x:v>
      </x:c>
      <x:c r="H3653" s="13" t="n">
        <x:f>F3653-G3653</x:f>
        <x:v>204.49</x:v>
      </x:c>
      <x:c r="I3653" s="13" t="n">
        <x:f>IF(C3653=0,"n.a.",F3653/C3653)</x:f>
        <x:v>204.49</x:v>
      </x:c>
      <x:c r="J3653" s="3"/>
      <x:c r="K3653" s="3"/>
      <x:c r="L3653" s="3"/>
    </x:row>
    <x:row r="3654" ht="22" customHeight="1">
      <x:c r="A3654" s="3"/>
      <x:c r="B3654" s="3" t="str">
        <x:v>16619</x:v>
      </x:c>
      <x:c r="C3654" s="3" t="n">
        <x:v>1</x:v>
      </x:c>
      <x:c r="D3654" s="51" t="n">
        <x:v>40623</x:v>
      </x:c>
      <x:c r="E3654" s="3" t="str">
        <x:v>Una compra</x:v>
      </x:c>
      <x:c r="F3654" s="13" t="n">
        <x:v>226.21</x:v>
      </x:c>
      <x:c r="G3654" s="13" t="n">
        <x:v>21.8</x:v>
      </x:c>
      <x:c r="H3654" s="13" t="n">
        <x:f>F3654-G3654</x:f>
        <x:v>204.41</x:v>
      </x:c>
      <x:c r="I3654" s="13" t="n">
        <x:f>IF(C3654=0,"n.a.",F3654/C3654)</x:f>
        <x:v>226.21</x:v>
      </x:c>
      <x:c r="J3654" s="3"/>
      <x:c r="K3654" s="3"/>
      <x:c r="L3654" s="3"/>
    </x:row>
    <x:row r="3655" ht="22" customHeight="1">
      <x:c r="A3655" s="3"/>
      <x:c r="B3655" s="3" t="str">
        <x:v>17206</x:v>
      </x:c>
      <x:c r="C3655" s="3" t="n">
        <x:v>1</x:v>
      </x:c>
      <x:c r="D3655" s="51" t="n">
        <x:v>40833</x:v>
      </x:c>
      <x:c r="E3655" s="3" t="str">
        <x:v>Una compra</x:v>
      </x:c>
      <x:c r="F3655" s="13" t="n">
        <x:v>204.24</x:v>
      </x:c>
      <x:c r="G3655" s="13" t="n">
        <x:v>0</x:v>
      </x:c>
      <x:c r="H3655" s="13" t="n">
        <x:f>F3655-G3655</x:f>
        <x:v>204.24</x:v>
      </x:c>
      <x:c r="I3655" s="13" t="n">
        <x:f>IF(C3655=0,"n.a.",F3655/C3655)</x:f>
        <x:v>204.24</x:v>
      </x:c>
      <x:c r="J3655" s="3"/>
      <x:c r="K3655" s="3"/>
      <x:c r="L3655" s="3"/>
    </x:row>
    <x:row r="3656" ht="22" customHeight="1">
      <x:c r="A3656" s="3"/>
      <x:c r="B3656" s="3" t="str">
        <x:v>13017</x:v>
      </x:c>
      <x:c r="C3656" s="3" t="n">
        <x:v>1</x:v>
      </x:c>
      <x:c r="D3656" s="51" t="n">
        <x:v>40879</x:v>
      </x:c>
      <x:c r="E3656" s="3" t="str">
        <x:v>Una compra</x:v>
      </x:c>
      <x:c r="F3656" s="13" t="n">
        <x:v>204</x:v>
      </x:c>
      <x:c r="G3656" s="13" t="n">
        <x:v>0</x:v>
      </x:c>
      <x:c r="H3656" s="13" t="n">
        <x:f>F3656-G3656</x:f>
        <x:v>204</x:v>
      </x:c>
      <x:c r="I3656" s="13" t="n">
        <x:f>IF(C3656=0,"n.a.",F3656/C3656)</x:f>
        <x:v>204</x:v>
      </x:c>
      <x:c r="J3656" s="3"/>
      <x:c r="K3656" s="3"/>
      <x:c r="L3656" s="3"/>
    </x:row>
    <x:row r="3657" ht="22" customHeight="1">
      <x:c r="A3657" s="3"/>
      <x:c r="B3657" s="3" t="str">
        <x:v>18273</x:v>
      </x:c>
      <x:c r="C3657" s="3" t="n">
        <x:v>3</x:v>
      </x:c>
      <x:c r="D3657" s="51" t="n">
        <x:v>40884</x:v>
      </x:c>
      <x:c r="E3657" s="3" t="str">
        <x:v>Recurrente</x:v>
      </x:c>
      <x:c r="F3657" s="13" t="n">
        <x:v>204</x:v>
      </x:c>
      <x:c r="G3657" s="13" t="n">
        <x:v>0</x:v>
      </x:c>
      <x:c r="H3657" s="13" t="n">
        <x:f>F3657-G3657</x:f>
        <x:v>204</x:v>
      </x:c>
      <x:c r="I3657" s="13" t="n">
        <x:f>IF(C3657=0,"n.a.",F3657/C3657)</x:f>
        <x:v>68</x:v>
      </x:c>
      <x:c r="J3657" s="3"/>
      <x:c r="K3657" s="3"/>
      <x:c r="L3657" s="3"/>
    </x:row>
    <x:row r="3658" ht="22" customHeight="1">
      <x:c r="A3658" s="3"/>
      <x:c r="B3658" s="3" t="str">
        <x:v>17187</x:v>
      </x:c>
      <x:c r="C3658" s="3" t="n">
        <x:v>1</x:v>
      </x:c>
      <x:c r="D3658" s="51" t="n">
        <x:v>40660</x:v>
      </x:c>
      <x:c r="E3658" s="3" t="str">
        <x:v>Una compra</x:v>
      </x:c>
      <x:c r="F3658" s="13" t="n">
        <x:v>203.95</x:v>
      </x:c>
      <x:c r="G3658" s="13" t="n">
        <x:v>0</x:v>
      </x:c>
      <x:c r="H3658" s="13" t="n">
        <x:f>F3658-G3658</x:f>
        <x:v>203.95</x:v>
      </x:c>
      <x:c r="I3658" s="13" t="n">
        <x:f>IF(C3658=0,"n.a.",F3658/C3658)</x:f>
        <x:v>203.95</x:v>
      </x:c>
      <x:c r="J3658" s="3"/>
      <x:c r="K3658" s="3"/>
      <x:c r="L3658" s="3"/>
    </x:row>
    <x:row r="3659" ht="22" customHeight="1">
      <x:c r="A3659" s="3"/>
      <x:c r="B3659" s="3" t="str">
        <x:v>17394</x:v>
      </x:c>
      <x:c r="C3659" s="3" t="n">
        <x:v>1</x:v>
      </x:c>
      <x:c r="D3659" s="51" t="n">
        <x:v>40667</x:v>
      </x:c>
      <x:c r="E3659" s="3" t="str">
        <x:v>Una compra</x:v>
      </x:c>
      <x:c r="F3659" s="13" t="n">
        <x:v>203.87</x:v>
      </x:c>
      <x:c r="G3659" s="13" t="n">
        <x:v>0</x:v>
      </x:c>
      <x:c r="H3659" s="13" t="n">
        <x:f>F3659-G3659</x:f>
        <x:v>203.87</x:v>
      </x:c>
      <x:c r="I3659" s="13" t="n">
        <x:f>IF(C3659=0,"n.a.",F3659/C3659)</x:f>
        <x:v>203.87</x:v>
      </x:c>
      <x:c r="J3659" s="3"/>
      <x:c r="K3659" s="3"/>
      <x:c r="L3659" s="3"/>
    </x:row>
    <x:row r="3660" ht="22" customHeight="1">
      <x:c r="A3660" s="3"/>
      <x:c r="B3660" s="3" t="str">
        <x:v>17889</x:v>
      </x:c>
      <x:c r="C3660" s="3" t="n">
        <x:v>2</x:v>
      </x:c>
      <x:c r="D3660" s="51" t="n">
        <x:v>40674</x:v>
      </x:c>
      <x:c r="E3660" s="3" t="str">
        <x:v>Recurrente</x:v>
      </x:c>
      <x:c r="F3660" s="13" t="n">
        <x:v>203.87</x:v>
      </x:c>
      <x:c r="G3660" s="13" t="n">
        <x:v>0</x:v>
      </x:c>
      <x:c r="H3660" s="13" t="n">
        <x:f>F3660-G3660</x:f>
        <x:v>203.87</x:v>
      </x:c>
      <x:c r="I3660" s="13" t="n">
        <x:f>IF(C3660=0,"n.a.",F3660/C3660)</x:f>
        <x:v>101.935</x:v>
      </x:c>
      <x:c r="J3660" s="3"/>
      <x:c r="K3660" s="3"/>
      <x:c r="L3660" s="3"/>
    </x:row>
    <x:row r="3661" ht="22" customHeight="1">
      <x:c r="A3661" s="3"/>
      <x:c r="B3661" s="3" t="str">
        <x:v>17891</x:v>
      </x:c>
      <x:c r="C3661" s="3" t="n">
        <x:v>1</x:v>
      </x:c>
      <x:c r="D3661" s="51" t="n">
        <x:v>40724</x:v>
      </x:c>
      <x:c r="E3661" s="3" t="str">
        <x:v>Una compra</x:v>
      </x:c>
      <x:c r="F3661" s="13" t="n">
        <x:v>203.86</x:v>
      </x:c>
      <x:c r="G3661" s="13" t="n">
        <x:v>0</x:v>
      </x:c>
      <x:c r="H3661" s="13" t="n">
        <x:f>F3661-G3661</x:f>
        <x:v>203.86</x:v>
      </x:c>
      <x:c r="I3661" s="13" t="n">
        <x:f>IF(C3661=0,"n.a.",F3661/C3661)</x:f>
        <x:v>203.86</x:v>
      </x:c>
      <x:c r="J3661" s="3"/>
      <x:c r="K3661" s="3"/>
      <x:c r="L3661" s="3"/>
    </x:row>
    <x:row r="3662" ht="22" customHeight="1">
      <x:c r="A3662" s="3"/>
      <x:c r="B3662" s="3" t="str">
        <x:v>17376</x:v>
      </x:c>
      <x:c r="C3662" s="3" t="n">
        <x:v>2</x:v>
      </x:c>
      <x:c r="D3662" s="51" t="n">
        <x:v>40816</x:v>
      </x:c>
      <x:c r="E3662" s="3" t="str">
        <x:v>Recurrente</x:v>
      </x:c>
      <x:c r="F3662" s="13" t="n">
        <x:v>203.2</x:v>
      </x:c>
      <x:c r="G3662" s="13" t="n">
        <x:v>0</x:v>
      </x:c>
      <x:c r="H3662" s="13" t="n">
        <x:f>F3662-G3662</x:f>
        <x:v>203.2</x:v>
      </x:c>
      <x:c r="I3662" s="13" t="n">
        <x:f>IF(C3662=0,"n.a.",F3662/C3662)</x:f>
        <x:v>101.6</x:v>
      </x:c>
      <x:c r="J3662" s="3"/>
      <x:c r="K3662" s="3"/>
      <x:c r="L3662" s="3"/>
    </x:row>
    <x:row r="3663" ht="22" customHeight="1">
      <x:c r="A3663" s="3"/>
      <x:c r="B3663" s="3" t="str">
        <x:v>15723</x:v>
      </x:c>
      <x:c r="C3663" s="3" t="n">
        <x:v>1</x:v>
      </x:c>
      <x:c r="D3663" s="51" t="n">
        <x:v>40522</x:v>
      </x:c>
      <x:c r="E3663" s="3" t="str">
        <x:v>Una compra</x:v>
      </x:c>
      <x:c r="F3663" s="13" t="n">
        <x:v>203.1</x:v>
      </x:c>
      <x:c r="G3663" s="13" t="n">
        <x:v>0</x:v>
      </x:c>
      <x:c r="H3663" s="13" t="n">
        <x:f>F3663-G3663</x:f>
        <x:v>203.1</x:v>
      </x:c>
      <x:c r="I3663" s="13" t="n">
        <x:f>IF(C3663=0,"n.a.",F3663/C3663)</x:f>
        <x:v>203.1</x:v>
      </x:c>
      <x:c r="J3663" s="3"/>
      <x:c r="K3663" s="3"/>
      <x:c r="L3663" s="3"/>
    </x:row>
    <x:row r="3664" ht="22" customHeight="1">
      <x:c r="A3664" s="3"/>
      <x:c r="B3664" s="3" t="str">
        <x:v>14381</x:v>
      </x:c>
      <x:c r="C3664" s="3" t="n">
        <x:v>1</x:v>
      </x:c>
      <x:c r="D3664" s="51" t="n">
        <x:v>40834</x:v>
      </x:c>
      <x:c r="E3664" s="3" t="str">
        <x:v>Una compra</x:v>
      </x:c>
      <x:c r="F3664" s="13" t="n">
        <x:v>202.68</x:v>
      </x:c>
      <x:c r="G3664" s="13" t="n">
        <x:v>0</x:v>
      </x:c>
      <x:c r="H3664" s="13" t="n">
        <x:f>F3664-G3664</x:f>
        <x:v>202.68</x:v>
      </x:c>
      <x:c r="I3664" s="13" t="n">
        <x:f>IF(C3664=0,"n.a.",F3664/C3664)</x:f>
        <x:v>202.68</x:v>
      </x:c>
      <x:c r="J3664" s="3"/>
      <x:c r="K3664" s="3"/>
      <x:c r="L3664" s="3"/>
    </x:row>
    <x:row r="3665" ht="22" customHeight="1">
      <x:c r="A3665" s="3"/>
      <x:c r="B3665" s="3" t="str">
        <x:v>18169</x:v>
      </x:c>
      <x:c r="C3665" s="3" t="n">
        <x:v>1</x:v>
      </x:c>
      <x:c r="D3665" s="51" t="n">
        <x:v>40826</x:v>
      </x:c>
      <x:c r="E3665" s="3" t="str">
        <x:v>Una compra</x:v>
      </x:c>
      <x:c r="F3665" s="13" t="n">
        <x:v>202.65</x:v>
      </x:c>
      <x:c r="G3665" s="13" t="n">
        <x:v>0</x:v>
      </x:c>
      <x:c r="H3665" s="13" t="n">
        <x:f>F3665-G3665</x:f>
        <x:v>202.65</x:v>
      </x:c>
      <x:c r="I3665" s="13" t="n">
        <x:f>IF(C3665=0,"n.a.",F3665/C3665)</x:f>
        <x:v>202.65</x:v>
      </x:c>
      <x:c r="J3665" s="3"/>
      <x:c r="K3665" s="3"/>
      <x:c r="L3665" s="3"/>
    </x:row>
    <x:row r="3666" ht="22" customHeight="1">
      <x:c r="A3666" s="3"/>
      <x:c r="B3666" s="3" t="str">
        <x:v>12718</x:v>
      </x:c>
      <x:c r="C3666" s="3" t="n">
        <x:v>1</x:v>
      </x:c>
      <x:c r="D3666" s="51" t="n">
        <x:v>40815</x:v>
      </x:c>
      <x:c r="E3666" s="3" t="str">
        <x:v>Una compra</x:v>
      </x:c>
      <x:c r="F3666" s="13" t="n">
        <x:v>202.25</x:v>
      </x:c>
      <x:c r="G3666" s="13" t="n">
        <x:v>0</x:v>
      </x:c>
      <x:c r="H3666" s="13" t="n">
        <x:f>F3666-G3666</x:f>
        <x:v>202.25</x:v>
      </x:c>
      <x:c r="I3666" s="13" t="n">
        <x:f>IF(C3666=0,"n.a.",F3666/C3666)</x:f>
        <x:v>202.25</x:v>
      </x:c>
      <x:c r="J3666" s="3"/>
      <x:c r="K3666" s="3"/>
      <x:c r="L3666" s="3"/>
    </x:row>
    <x:row r="3667" ht="22" customHeight="1">
      <x:c r="A3667" s="3"/>
      <x:c r="B3667" s="3" t="str">
        <x:v>14385</x:v>
      </x:c>
      <x:c r="C3667" s="3" t="n">
        <x:v>3</x:v>
      </x:c>
      <x:c r="D3667" s="51" t="n">
        <x:v>40877</x:v>
      </x:c>
      <x:c r="E3667" s="3" t="str">
        <x:v>Recurrente</x:v>
      </x:c>
      <x:c r="F3667" s="13" t="n">
        <x:v>202.11</x:v>
      </x:c>
      <x:c r="G3667" s="13" t="n">
        <x:v>0</x:v>
      </x:c>
      <x:c r="H3667" s="13" t="n">
        <x:f>F3667-G3667</x:f>
        <x:v>202.11</x:v>
      </x:c>
      <x:c r="I3667" s="13" t="n">
        <x:f>IF(C3667=0,"n.a.",F3667/C3667)</x:f>
        <x:v>67.37</x:v>
      </x:c>
      <x:c r="J3667" s="3"/>
      <x:c r="K3667" s="3"/>
      <x:c r="L3667" s="3"/>
    </x:row>
    <x:row r="3668" ht="22" customHeight="1">
      <x:c r="A3668" s="3"/>
      <x:c r="B3668" s="3" t="str">
        <x:v>15347</x:v>
      </x:c>
      <x:c r="C3668" s="3" t="n">
        <x:v>1</x:v>
      </x:c>
      <x:c r="D3668" s="51" t="n">
        <x:v>40520</x:v>
      </x:c>
      <x:c r="E3668" s="3" t="str">
        <x:v>Una compra</x:v>
      </x:c>
      <x:c r="F3668" s="13" t="n">
        <x:v>201.6</x:v>
      </x:c>
      <x:c r="G3668" s="13" t="n">
        <x:v>0</x:v>
      </x:c>
      <x:c r="H3668" s="13" t="n">
        <x:f>F3668-G3668</x:f>
        <x:v>201.6</x:v>
      </x:c>
      <x:c r="I3668" s="13" t="n">
        <x:f>IF(C3668=0,"n.a.",F3668/C3668)</x:f>
        <x:v>201.6</x:v>
      </x:c>
      <x:c r="J3668" s="3"/>
      <x:c r="K3668" s="3"/>
      <x:c r="L3668" s="3"/>
    </x:row>
    <x:row r="3669" ht="22" customHeight="1">
      <x:c r="A3669" s="3"/>
      <x:c r="B3669" s="3" t="str">
        <x:v>13859</x:v>
      </x:c>
      <x:c r="C3669" s="3" t="n">
        <x:v>1</x:v>
      </x:c>
      <x:c r="D3669" s="51" t="n">
        <x:v>40560</x:v>
      </x:c>
      <x:c r="E3669" s="3" t="str">
        <x:v>Una compra</x:v>
      </x:c>
      <x:c r="F3669" s="13" t="n">
        <x:v>201.16</x:v>
      </x:c>
      <x:c r="G3669" s="13" t="n">
        <x:v>0</x:v>
      </x:c>
      <x:c r="H3669" s="13" t="n">
        <x:f>F3669-G3669</x:f>
        <x:v>201.16</x:v>
      </x:c>
      <x:c r="I3669" s="13" t="n">
        <x:f>IF(C3669=0,"n.a.",F3669/C3669)</x:f>
        <x:v>201.16</x:v>
      </x:c>
      <x:c r="J3669" s="3"/>
      <x:c r="K3669" s="3"/>
      <x:c r="L3669" s="3"/>
    </x:row>
    <x:row r="3670" ht="22" customHeight="1">
      <x:c r="A3670" s="3"/>
      <x:c r="B3670" s="3" t="str">
        <x:v>12702</x:v>
      </x:c>
      <x:c r="C3670" s="3" t="n">
        <x:v>1</x:v>
      </x:c>
      <x:c r="D3670" s="51" t="n">
        <x:v>40867</x:v>
      </x:c>
      <x:c r="E3670" s="3" t="str">
        <x:v>Una compra</x:v>
      </x:c>
      <x:c r="F3670" s="13" t="n">
        <x:v>201</x:v>
      </x:c>
      <x:c r="G3670" s="13" t="n">
        <x:v>0</x:v>
      </x:c>
      <x:c r="H3670" s="13" t="n">
        <x:f>F3670-G3670</x:f>
        <x:v>201</x:v>
      </x:c>
      <x:c r="I3670" s="13" t="n">
        <x:f>IF(C3670=0,"n.a.",F3670/C3670)</x:f>
        <x:v>201</x:v>
      </x:c>
      <x:c r="J3670" s="3"/>
      <x:c r="K3670" s="3"/>
      <x:c r="L3670" s="3"/>
    </x:row>
    <x:row r="3671" ht="22" customHeight="1">
      <x:c r="A3671" s="3"/>
      <x:c r="B3671" s="3" t="str">
        <x:v>12995</x:v>
      </x:c>
      <x:c r="C3671" s="3" t="n">
        <x:v>1</x:v>
      </x:c>
      <x:c r="D3671" s="51" t="n">
        <x:v>40801</x:v>
      </x:c>
      <x:c r="E3671" s="3" t="str">
        <x:v>Una compra</x:v>
      </x:c>
      <x:c r="F3671" s="13" t="n">
        <x:v>211.32</x:v>
      </x:c>
      <x:c r="G3671" s="13" t="n">
        <x:v>10.6</x:v>
      </x:c>
      <x:c r="H3671" s="13" t="n">
        <x:f>F3671-G3671</x:f>
        <x:v>200.72</x:v>
      </x:c>
      <x:c r="I3671" s="13" t="n">
        <x:f>IF(C3671=0,"n.a.",F3671/C3671)</x:f>
        <x:v>211.32</x:v>
      </x:c>
      <x:c r="J3671" s="3"/>
      <x:c r="K3671" s="3"/>
      <x:c r="L3671" s="3"/>
    </x:row>
    <x:row r="3672" ht="22" customHeight="1">
      <x:c r="A3672" s="3"/>
      <x:c r="B3672" s="3" t="str">
        <x:v>13262</x:v>
      </x:c>
      <x:c r="C3672" s="3" t="n">
        <x:v>1</x:v>
      </x:c>
      <x:c r="D3672" s="51" t="n">
        <x:v>40623</x:v>
      </x:c>
      <x:c r="E3672" s="3" t="str">
        <x:v>Una compra</x:v>
      </x:c>
      <x:c r="F3672" s="13" t="n">
        <x:v>200.29</x:v>
      </x:c>
      <x:c r="G3672" s="13" t="n">
        <x:v>0</x:v>
      </x:c>
      <x:c r="H3672" s="13" t="n">
        <x:f>F3672-G3672</x:f>
        <x:v>200.29</x:v>
      </x:c>
      <x:c r="I3672" s="13" t="n">
        <x:f>IF(C3672=0,"n.a.",F3672/C3672)</x:f>
        <x:v>200.29</x:v>
      </x:c>
      <x:c r="J3672" s="3"/>
      <x:c r="K3672" s="3"/>
      <x:c r="L3672" s="3"/>
    </x:row>
    <x:row r="3673" ht="22" customHeight="1">
      <x:c r="A3673" s="3"/>
      <x:c r="B3673" s="3" t="str">
        <x:v>15437</x:v>
      </x:c>
      <x:c r="C3673" s="3" t="n">
        <x:v>1</x:v>
      </x:c>
      <x:c r="D3673" s="51" t="n">
        <x:v>40624</x:v>
      </x:c>
      <x:c r="E3673" s="3" t="str">
        <x:v>Una compra</x:v>
      </x:c>
      <x:c r="F3673" s="13" t="n">
        <x:v>200.16</x:v>
      </x:c>
      <x:c r="G3673" s="13" t="n">
        <x:v>0</x:v>
      </x:c>
      <x:c r="H3673" s="13" t="n">
        <x:f>F3673-G3673</x:f>
        <x:v>200.16</x:v>
      </x:c>
      <x:c r="I3673" s="13" t="n">
        <x:f>IF(C3673=0,"n.a.",F3673/C3673)</x:f>
        <x:v>200.16</x:v>
      </x:c>
      <x:c r="J3673" s="3"/>
      <x:c r="K3673" s="3"/>
      <x:c r="L3673" s="3"/>
    </x:row>
    <x:row r="3674" ht="22" customHeight="1">
      <x:c r="A3674" s="3"/>
      <x:c r="B3674" s="3" t="str">
        <x:v>13980</x:v>
      </x:c>
      <x:c r="C3674" s="3" t="n">
        <x:v>1</x:v>
      </x:c>
      <x:c r="D3674" s="51" t="n">
        <x:v>40826</x:v>
      </x:c>
      <x:c r="E3674" s="3" t="str">
        <x:v>Una compra</x:v>
      </x:c>
      <x:c r="F3674" s="13" t="n">
        <x:v>200.14</x:v>
      </x:c>
      <x:c r="G3674" s="13" t="n">
        <x:v>0</x:v>
      </x:c>
      <x:c r="H3674" s="13" t="n">
        <x:f>F3674-G3674</x:f>
        <x:v>200.14</x:v>
      </x:c>
      <x:c r="I3674" s="13" t="n">
        <x:f>IF(C3674=0,"n.a.",F3674/C3674)</x:f>
        <x:v>200.14</x:v>
      </x:c>
      <x:c r="J3674" s="3"/>
      <x:c r="K3674" s="3"/>
      <x:c r="L3674" s="3"/>
    </x:row>
    <x:row r="3675" ht="22" customHeight="1">
      <x:c r="A3675" s="3"/>
      <x:c r="B3675" s="3" t="str">
        <x:v>14782</x:v>
      </x:c>
      <x:c r="C3675" s="3" t="n">
        <x:v>1</x:v>
      </x:c>
      <x:c r="D3675" s="51" t="n">
        <x:v>40567</x:v>
      </x:c>
      <x:c r="E3675" s="3" t="str">
        <x:v>Una compra</x:v>
      </x:c>
      <x:c r="F3675" s="13" t="n">
        <x:v>200.1</x:v>
      </x:c>
      <x:c r="G3675" s="13" t="n">
        <x:v>0</x:v>
      </x:c>
      <x:c r="H3675" s="13" t="n">
        <x:f>F3675-G3675</x:f>
        <x:v>200.1</x:v>
      </x:c>
      <x:c r="I3675" s="13" t="n">
        <x:f>IF(C3675=0,"n.a.",F3675/C3675)</x:f>
        <x:v>200.1</x:v>
      </x:c>
      <x:c r="J3675" s="3"/>
      <x:c r="K3675" s="3"/>
      <x:c r="L3675" s="3"/>
    </x:row>
    <x:row r="3676" ht="22" customHeight="1">
      <x:c r="A3676" s="3"/>
      <x:c r="B3676" s="3" t="str">
        <x:v>13723</x:v>
      </x:c>
      <x:c r="C3676" s="3" t="n">
        <x:v>1</x:v>
      </x:c>
      <x:c r="D3676" s="51" t="n">
        <x:v>40669</x:v>
      </x:c>
      <x:c r="E3676" s="3" t="str">
        <x:v>Una compra</x:v>
      </x:c>
      <x:c r="F3676" s="13" t="n">
        <x:v>199.85</x:v>
      </x:c>
      <x:c r="G3676" s="13" t="n">
        <x:v>0</x:v>
      </x:c>
      <x:c r="H3676" s="13" t="n">
        <x:f>F3676-G3676</x:f>
        <x:v>199.85</x:v>
      </x:c>
      <x:c r="I3676" s="13" t="n">
        <x:f>IF(C3676=0,"n.a.",F3676/C3676)</x:f>
        <x:v>199.85</x:v>
      </x:c>
      <x:c r="J3676" s="3"/>
      <x:c r="K3676" s="3"/>
      <x:c r="L3676" s="3"/>
    </x:row>
    <x:row r="3677" ht="22" customHeight="1">
      <x:c r="A3677" s="3"/>
      <x:c r="B3677" s="3" t="str">
        <x:v>15593</x:v>
      </x:c>
      <x:c r="C3677" s="3" t="n">
        <x:v>1</x:v>
      </x:c>
      <x:c r="D3677" s="51" t="n">
        <x:v>40816</x:v>
      </x:c>
      <x:c r="E3677" s="3" t="str">
        <x:v>Una compra</x:v>
      </x:c>
      <x:c r="F3677" s="13" t="n">
        <x:v>199.8</x:v>
      </x:c>
      <x:c r="G3677" s="13" t="n">
        <x:v>0</x:v>
      </x:c>
      <x:c r="H3677" s="13" t="n">
        <x:f>F3677-G3677</x:f>
        <x:v>199.8</x:v>
      </x:c>
      <x:c r="I3677" s="13" t="n">
        <x:f>IF(C3677=0,"n.a.",F3677/C3677)</x:f>
        <x:v>199.8</x:v>
      </x:c>
      <x:c r="J3677" s="3"/>
      <x:c r="K3677" s="3"/>
      <x:c r="L3677" s="3"/>
    </x:row>
    <x:row r="3678" ht="22" customHeight="1">
      <x:c r="A3678" s="3"/>
      <x:c r="B3678" s="3" t="str">
        <x:v>13322</x:v>
      </x:c>
      <x:c r="C3678" s="3" t="n">
        <x:v>1</x:v>
      </x:c>
      <x:c r="D3678" s="51" t="n">
        <x:v>40869</x:v>
      </x:c>
      <x:c r="E3678" s="3" t="str">
        <x:v>Una compra</x:v>
      </x:c>
      <x:c r="F3678" s="13" t="n">
        <x:v>199.48</x:v>
      </x:c>
      <x:c r="G3678" s="13" t="n">
        <x:v>0</x:v>
      </x:c>
      <x:c r="H3678" s="13" t="n">
        <x:f>F3678-G3678</x:f>
        <x:v>199.48</x:v>
      </x:c>
      <x:c r="I3678" s="13" t="n">
        <x:f>IF(C3678=0,"n.a.",F3678/C3678)</x:f>
        <x:v>199.48</x:v>
      </x:c>
      <x:c r="J3678" s="3"/>
      <x:c r="K3678" s="3"/>
      <x:c r="L3678" s="3"/>
    </x:row>
    <x:row r="3679" ht="22" customHeight="1">
      <x:c r="A3679" s="3"/>
      <x:c r="B3679" s="3" t="str">
        <x:v>17383</x:v>
      </x:c>
      <x:c r="C3679" s="3" t="n">
        <x:v>1</x:v>
      </x:c>
      <x:c r="D3679" s="51" t="n">
        <x:v>40882</x:v>
      </x:c>
      <x:c r="E3679" s="3" t="str">
        <x:v>Una compra</x:v>
      </x:c>
      <x:c r="F3679" s="13" t="n">
        <x:v>199.29</x:v>
      </x:c>
      <x:c r="G3679" s="13" t="n">
        <x:v>0</x:v>
      </x:c>
      <x:c r="H3679" s="13" t="n">
        <x:f>F3679-G3679</x:f>
        <x:v>199.29</x:v>
      </x:c>
      <x:c r="I3679" s="13" t="n">
        <x:f>IF(C3679=0,"n.a.",F3679/C3679)</x:f>
        <x:v>199.29</x:v>
      </x:c>
      <x:c r="J3679" s="3"/>
      <x:c r="K3679" s="3"/>
      <x:c r="L3679" s="3"/>
    </x:row>
    <x:row r="3680" ht="22" customHeight="1">
      <x:c r="A3680" s="3"/>
      <x:c r="B3680" s="3" t="str">
        <x:v>16832</x:v>
      </x:c>
      <x:c r="C3680" s="3" t="n">
        <x:v>3</x:v>
      </x:c>
      <x:c r="D3680" s="51" t="n">
        <x:v>40702</x:v>
      </x:c>
      <x:c r="E3680" s="3" t="str">
        <x:v>Recurrente</x:v>
      </x:c>
      <x:c r="F3680" s="13" t="n">
        <x:v>199.15</x:v>
      </x:c>
      <x:c r="G3680" s="13" t="n">
        <x:v>0</x:v>
      </x:c>
      <x:c r="H3680" s="13" t="n">
        <x:f>F3680-G3680</x:f>
        <x:v>199.15</x:v>
      </x:c>
      <x:c r="I3680" s="13" t="n">
        <x:f>IF(C3680=0,"n.a.",F3680/C3680)</x:f>
        <x:v>66.38333333333334</x:v>
      </x:c>
      <x:c r="J3680" s="3"/>
      <x:c r="K3680" s="3"/>
      <x:c r="L3680" s="3"/>
    </x:row>
    <x:row r="3681" ht="22" customHeight="1">
      <x:c r="A3681" s="3"/>
      <x:c r="B3681" s="3" t="str">
        <x:v>17987</x:v>
      </x:c>
      <x:c r="C3681" s="3" t="n">
        <x:v>1</x:v>
      </x:c>
      <x:c r="D3681" s="51" t="n">
        <x:v>40701</x:v>
      </x:c>
      <x:c r="E3681" s="3" t="str">
        <x:v>Una compra</x:v>
      </x:c>
      <x:c r="F3681" s="13" t="n">
        <x:v>198.57</x:v>
      </x:c>
      <x:c r="G3681" s="13" t="n">
        <x:v>0</x:v>
      </x:c>
      <x:c r="H3681" s="13" t="n">
        <x:f>F3681-G3681</x:f>
        <x:v>198.57</x:v>
      </x:c>
      <x:c r="I3681" s="13" t="n">
        <x:f>IF(C3681=0,"n.a.",F3681/C3681)</x:f>
        <x:v>198.57</x:v>
      </x:c>
      <x:c r="J3681" s="3"/>
      <x:c r="K3681" s="3"/>
      <x:c r="L3681" s="3"/>
    </x:row>
    <x:row r="3682" ht="22" customHeight="1">
      <x:c r="A3682" s="3"/>
      <x:c r="B3682" s="3" t="str">
        <x:v>13295</x:v>
      </x:c>
      <x:c r="C3682" s="3" t="n">
        <x:v>1</x:v>
      </x:c>
      <x:c r="D3682" s="51" t="n">
        <x:v>40527</x:v>
      </x:c>
      <x:c r="E3682" s="3" t="str">
        <x:v>Una compra</x:v>
      </x:c>
      <x:c r="F3682" s="13" t="n">
        <x:v>201.2</x:v>
      </x:c>
      <x:c r="G3682" s="13" t="n">
        <x:v>3.25</x:v>
      </x:c>
      <x:c r="H3682" s="13" t="n">
        <x:f>F3682-G3682</x:f>
        <x:v>197.95</x:v>
      </x:c>
      <x:c r="I3682" s="13" t="n">
        <x:f>IF(C3682=0,"n.a.",F3682/C3682)</x:f>
        <x:v>201.2</x:v>
      </x:c>
      <x:c r="J3682" s="3"/>
      <x:c r="K3682" s="3"/>
      <x:c r="L3682" s="3"/>
    </x:row>
    <x:row r="3683" ht="22" customHeight="1">
      <x:c r="A3683" s="3"/>
      <x:c r="B3683" s="3" t="str">
        <x:v>16178</x:v>
      </x:c>
      <x:c r="C3683" s="3" t="n">
        <x:v>1</x:v>
      </x:c>
      <x:c r="D3683" s="51" t="n">
        <x:v>40748</x:v>
      </x:c>
      <x:c r="E3683" s="3" t="str">
        <x:v>Una compra</x:v>
      </x:c>
      <x:c r="F3683" s="13" t="n">
        <x:v>197.9</x:v>
      </x:c>
      <x:c r="G3683" s="13" t="n">
        <x:v>0</x:v>
      </x:c>
      <x:c r="H3683" s="13" t="n">
        <x:f>F3683-G3683</x:f>
        <x:v>197.9</x:v>
      </x:c>
      <x:c r="I3683" s="13" t="n">
        <x:f>IF(C3683=0,"n.a.",F3683/C3683)</x:f>
        <x:v>197.9</x:v>
      </x:c>
      <x:c r="J3683" s="3"/>
      <x:c r="K3683" s="3"/>
      <x:c r="L3683" s="3"/>
    </x:row>
    <x:row r="3684" ht="22" customHeight="1">
      <x:c r="A3684" s="3"/>
      <x:c r="B3684" s="3" t="str">
        <x:v>12450</x:v>
      </x:c>
      <x:c r="C3684" s="3" t="n">
        <x:v>2</x:v>
      </x:c>
      <x:c r="D3684" s="51" t="n">
        <x:v>40730</x:v>
      </x:c>
      <x:c r="E3684" s="3" t="str">
        <x:v>Recurrente</x:v>
      </x:c>
      <x:c r="F3684" s="13" t="n">
        <x:v>197.88</x:v>
      </x:c>
      <x:c r="G3684" s="13" t="n">
        <x:v>0</x:v>
      </x:c>
      <x:c r="H3684" s="13" t="n">
        <x:f>F3684-G3684</x:f>
        <x:v>197.88</x:v>
      </x:c>
      <x:c r="I3684" s="13" t="n">
        <x:f>IF(C3684=0,"n.a.",F3684/C3684)</x:f>
        <x:v>98.94</x:v>
      </x:c>
      <x:c r="J3684" s="3"/>
      <x:c r="K3684" s="3"/>
      <x:c r="L3684" s="3"/>
    </x:row>
    <x:row r="3685" ht="22" customHeight="1">
      <x:c r="A3685" s="3"/>
      <x:c r="B3685" s="3" t="str">
        <x:v>17843</x:v>
      </x:c>
      <x:c r="C3685" s="3" t="n">
        <x:v>1</x:v>
      </x:c>
      <x:c r="D3685" s="51" t="n">
        <x:v>40583</x:v>
      </x:c>
      <x:c r="E3685" s="3" t="str">
        <x:v>Una compra</x:v>
      </x:c>
      <x:c r="F3685" s="13" t="n">
        <x:v>197.73</x:v>
      </x:c>
      <x:c r="G3685" s="13" t="n">
        <x:v>0</x:v>
      </x:c>
      <x:c r="H3685" s="13" t="n">
        <x:f>F3685-G3685</x:f>
        <x:v>197.73</x:v>
      </x:c>
      <x:c r="I3685" s="13" t="n">
        <x:f>IF(C3685=0,"n.a.",F3685/C3685)</x:f>
        <x:v>197.73</x:v>
      </x:c>
      <x:c r="J3685" s="3"/>
      <x:c r="K3685" s="3"/>
      <x:c r="L3685" s="3"/>
    </x:row>
    <x:row r="3686" ht="22" customHeight="1">
      <x:c r="A3686" s="3"/>
      <x:c r="B3686" s="3" t="str">
        <x:v>14185</x:v>
      </x:c>
      <x:c r="C3686" s="3" t="n">
        <x:v>1</x:v>
      </x:c>
      <x:c r="D3686" s="51" t="n">
        <x:v>40555</x:v>
      </x:c>
      <x:c r="E3686" s="3" t="str">
        <x:v>Una compra</x:v>
      </x:c>
      <x:c r="F3686" s="13" t="n">
        <x:v>197.65</x:v>
      </x:c>
      <x:c r="G3686" s="13" t="n">
        <x:v>0</x:v>
      </x:c>
      <x:c r="H3686" s="13" t="n">
        <x:f>F3686-G3686</x:f>
        <x:v>197.65</x:v>
      </x:c>
      <x:c r="I3686" s="13" t="n">
        <x:f>IF(C3686=0,"n.a.",F3686/C3686)</x:f>
        <x:v>197.65</x:v>
      </x:c>
      <x:c r="J3686" s="3"/>
      <x:c r="K3686" s="3"/>
      <x:c r="L3686" s="3"/>
    </x:row>
    <x:row r="3687" ht="22" customHeight="1">
      <x:c r="A3687" s="3"/>
      <x:c r="B3687" s="3" t="str">
        <x:v>14789</x:v>
      </x:c>
      <x:c r="C3687" s="3" t="n">
        <x:v>1</x:v>
      </x:c>
      <x:c r="D3687" s="51" t="n">
        <x:v>40858</x:v>
      </x:c>
      <x:c r="E3687" s="3" t="str">
        <x:v>Una compra</x:v>
      </x:c>
      <x:c r="F3687" s="13" t="n">
        <x:v>197.64</x:v>
      </x:c>
      <x:c r="G3687" s="13" t="n">
        <x:v>0</x:v>
      </x:c>
      <x:c r="H3687" s="13" t="n">
        <x:f>F3687-G3687</x:f>
        <x:v>197.64</x:v>
      </x:c>
      <x:c r="I3687" s="13" t="n">
        <x:f>IF(C3687=0,"n.a.",F3687/C3687)</x:f>
        <x:v>197.64</x:v>
      </x:c>
      <x:c r="J3687" s="3"/>
      <x:c r="K3687" s="3"/>
      <x:c r="L3687" s="3"/>
    </x:row>
    <x:row r="3688" ht="22" customHeight="1">
      <x:c r="A3688" s="3"/>
      <x:c r="B3688" s="3" t="str">
        <x:v>17301</x:v>
      </x:c>
      <x:c r="C3688" s="3" t="n">
        <x:v>1</x:v>
      </x:c>
      <x:c r="D3688" s="51" t="n">
        <x:v>40865</x:v>
      </x:c>
      <x:c r="E3688" s="3" t="str">
        <x:v>Una compra</x:v>
      </x:c>
      <x:c r="F3688" s="13" t="n">
        <x:v>197.63</x:v>
      </x:c>
      <x:c r="G3688" s="13" t="n">
        <x:v>0</x:v>
      </x:c>
      <x:c r="H3688" s="13" t="n">
        <x:f>F3688-G3688</x:f>
        <x:v>197.63</x:v>
      </x:c>
      <x:c r="I3688" s="13" t="n">
        <x:f>IF(C3688=0,"n.a.",F3688/C3688)</x:f>
        <x:v>197.63</x:v>
      </x:c>
      <x:c r="J3688" s="3"/>
      <x:c r="K3688" s="3"/>
      <x:c r="L3688" s="3"/>
    </x:row>
    <x:row r="3689" ht="22" customHeight="1">
      <x:c r="A3689" s="3"/>
      <x:c r="B3689" s="3" t="str">
        <x:v>13349</x:v>
      </x:c>
      <x:c r="C3689" s="3" t="n">
        <x:v>1</x:v>
      </x:c>
      <x:c r="D3689" s="51" t="n">
        <x:v>40876</x:v>
      </x:c>
      <x:c r="E3689" s="3" t="str">
        <x:v>Una compra</x:v>
      </x:c>
      <x:c r="F3689" s="13" t="n">
        <x:v>197.32</x:v>
      </x:c>
      <x:c r="G3689" s="13" t="n">
        <x:v>0</x:v>
      </x:c>
      <x:c r="H3689" s="13" t="n">
        <x:f>F3689-G3689</x:f>
        <x:v>197.32</x:v>
      </x:c>
      <x:c r="I3689" s="13" t="n">
        <x:f>IF(C3689=0,"n.a.",F3689/C3689)</x:f>
        <x:v>197.32</x:v>
      </x:c>
      <x:c r="J3689" s="3"/>
      <x:c r="K3689" s="3"/>
      <x:c r="L3689" s="3"/>
    </x:row>
    <x:row r="3690" ht="22" customHeight="1">
      <x:c r="A3690" s="3"/>
      <x:c r="B3690" s="3" t="str">
        <x:v>16829</x:v>
      </x:c>
      <x:c r="C3690" s="3" t="n">
        <x:v>1</x:v>
      </x:c>
      <x:c r="D3690" s="51" t="n">
        <x:v>40730</x:v>
      </x:c>
      <x:c r="E3690" s="3" t="str">
        <x:v>Una compra</x:v>
      </x:c>
      <x:c r="F3690" s="13" t="n">
        <x:v>197.22</x:v>
      </x:c>
      <x:c r="G3690" s="13" t="n">
        <x:v>0</x:v>
      </x:c>
      <x:c r="H3690" s="13" t="n">
        <x:f>F3690-G3690</x:f>
        <x:v>197.22</x:v>
      </x:c>
      <x:c r="I3690" s="13" t="n">
        <x:f>IF(C3690=0,"n.a.",F3690/C3690)</x:f>
        <x:v>197.22</x:v>
      </x:c>
      <x:c r="J3690" s="3"/>
      <x:c r="K3690" s="3"/>
      <x:c r="L3690" s="3"/>
    </x:row>
    <x:row r="3691" ht="22" customHeight="1">
      <x:c r="A3691" s="3"/>
      <x:c r="B3691" s="3" t="str">
        <x:v>14304</x:v>
      </x:c>
      <x:c r="C3691" s="3" t="n">
        <x:v>1</x:v>
      </x:c>
      <x:c r="D3691" s="51" t="n">
        <x:v>40664</x:v>
      </x:c>
      <x:c r="E3691" s="3" t="str">
        <x:v>Una compra</x:v>
      </x:c>
      <x:c r="F3691" s="13" t="n">
        <x:v>383.45</x:v>
      </x:c>
      <x:c r="G3691" s="13" t="n">
        <x:v>186.35</x:v>
      </x:c>
      <x:c r="H3691" s="13" t="n">
        <x:f>F3691-G3691</x:f>
        <x:v>197.1</x:v>
      </x:c>
      <x:c r="I3691" s="13" t="n">
        <x:f>IF(C3691=0,"n.a.",F3691/C3691)</x:f>
        <x:v>383.45</x:v>
      </x:c>
      <x:c r="J3691" s="3"/>
      <x:c r="K3691" s="3"/>
      <x:c r="L3691" s="3"/>
    </x:row>
    <x:row r="3692" ht="22" customHeight="1">
      <x:c r="A3692" s="3"/>
      <x:c r="B3692" s="3" t="str">
        <x:v>15234</x:v>
      </x:c>
      <x:c r="C3692" s="3" t="n">
        <x:v>1</x:v>
      </x:c>
      <x:c r="D3692" s="51" t="n">
        <x:v>40610</x:v>
      </x:c>
      <x:c r="E3692" s="3" t="str">
        <x:v>Una compra</x:v>
      </x:c>
      <x:c r="F3692" s="13" t="n">
        <x:v>197</x:v>
      </x:c>
      <x:c r="G3692" s="13" t="n">
        <x:v>0</x:v>
      </x:c>
      <x:c r="H3692" s="13" t="n">
        <x:f>F3692-G3692</x:f>
        <x:v>197</x:v>
      </x:c>
      <x:c r="I3692" s="13" t="n">
        <x:f>IF(C3692=0,"n.a.",F3692/C3692)</x:f>
        <x:v>197</x:v>
      </x:c>
      <x:c r="J3692" s="3"/>
      <x:c r="K3692" s="3"/>
      <x:c r="L3692" s="3"/>
    </x:row>
    <x:row r="3693" ht="22" customHeight="1">
      <x:c r="A3693" s="3"/>
      <x:c r="B3693" s="3" t="str">
        <x:v>13436</x:v>
      </x:c>
      <x:c r="C3693" s="3" t="n">
        <x:v>1</x:v>
      </x:c>
      <x:c r="D3693" s="51" t="n">
        <x:v>40885</x:v>
      </x:c>
      <x:c r="E3693" s="3" t="str">
        <x:v>Una compra</x:v>
      </x:c>
      <x:c r="F3693" s="13" t="n">
        <x:v>196.89</x:v>
      </x:c>
      <x:c r="G3693" s="13" t="n">
        <x:v>0</x:v>
      </x:c>
      <x:c r="H3693" s="13" t="n">
        <x:f>F3693-G3693</x:f>
        <x:v>196.89</x:v>
      </x:c>
      <x:c r="I3693" s="13" t="n">
        <x:f>IF(C3693=0,"n.a.",F3693/C3693)</x:f>
        <x:v>196.89</x:v>
      </x:c>
      <x:c r="J3693" s="3"/>
      <x:c r="K3693" s="3"/>
      <x:c r="L3693" s="3"/>
    </x:row>
    <x:row r="3694" ht="22" customHeight="1">
      <x:c r="A3694" s="3"/>
      <x:c r="B3694" s="3" t="str">
        <x:v>13978</x:v>
      </x:c>
      <x:c r="C3694" s="3" t="n">
        <x:v>2</x:v>
      </x:c>
      <x:c r="D3694" s="51" t="n">
        <x:v>40872</x:v>
      </x:c>
      <x:c r="E3694" s="3" t="str">
        <x:v>Recurrente</x:v>
      </x:c>
      <x:c r="F3694" s="13" t="n">
        <x:v>196.79</x:v>
      </x:c>
      <x:c r="G3694" s="13" t="n">
        <x:v>0</x:v>
      </x:c>
      <x:c r="H3694" s="13" t="n">
        <x:f>F3694-G3694</x:f>
        <x:v>196.79</x:v>
      </x:c>
      <x:c r="I3694" s="13" t="n">
        <x:f>IF(C3694=0,"n.a.",F3694/C3694)</x:f>
        <x:v>98.395</x:v>
      </x:c>
      <x:c r="J3694" s="3"/>
      <x:c r="K3694" s="3"/>
      <x:c r="L3694" s="3"/>
    </x:row>
    <x:row r="3695" ht="22" customHeight="1">
      <x:c r="A3695" s="3"/>
      <x:c r="B3695" s="3" t="str">
        <x:v>14830</x:v>
      </x:c>
      <x:c r="C3695" s="3" t="n">
        <x:v>1</x:v>
      </x:c>
      <x:c r="D3695" s="51" t="n">
        <x:v>40833</x:v>
      </x:c>
      <x:c r="E3695" s="3" t="str">
        <x:v>Una compra</x:v>
      </x:c>
      <x:c r="F3695" s="13" t="n">
        <x:v>196.28</x:v>
      </x:c>
      <x:c r="G3695" s="13" t="n">
        <x:v>0</x:v>
      </x:c>
      <x:c r="H3695" s="13" t="n">
        <x:f>F3695-G3695</x:f>
        <x:v>196.28</x:v>
      </x:c>
      <x:c r="I3695" s="13" t="n">
        <x:f>IF(C3695=0,"n.a.",F3695/C3695)</x:f>
        <x:v>196.28</x:v>
      </x:c>
      <x:c r="J3695" s="3"/>
      <x:c r="K3695" s="3"/>
      <x:c r="L3695" s="3"/>
    </x:row>
    <x:row r="3696" ht="22" customHeight="1">
      <x:c r="A3696" s="3"/>
      <x:c r="B3696" s="3" t="str">
        <x:v>13284</x:v>
      </x:c>
      <x:c r="C3696" s="3" t="n">
        <x:v>1</x:v>
      </x:c>
      <x:c r="D3696" s="51" t="n">
        <x:v>40556</x:v>
      </x:c>
      <x:c r="E3696" s="3" t="str">
        <x:v>Una compra</x:v>
      </x:c>
      <x:c r="F3696" s="13" t="n">
        <x:v>201.19</x:v>
      </x:c>
      <x:c r="G3696" s="13" t="n">
        <x:v>5.04</x:v>
      </x:c>
      <x:c r="H3696" s="13" t="n">
        <x:f>F3696-G3696</x:f>
        <x:v>196.15</x:v>
      </x:c>
      <x:c r="I3696" s="13" t="n">
        <x:f>IF(C3696=0,"n.a.",F3696/C3696)</x:f>
        <x:v>201.19</x:v>
      </x:c>
      <x:c r="J3696" s="3"/>
      <x:c r="K3696" s="3"/>
      <x:c r="L3696" s="3"/>
    </x:row>
    <x:row r="3697" ht="22" customHeight="1">
      <x:c r="A3697" s="3"/>
      <x:c r="B3697" s="3" t="str">
        <x:v>17660</x:v>
      </x:c>
      <x:c r="C3697" s="3" t="n">
        <x:v>1</x:v>
      </x:c>
      <x:c r="D3697" s="51" t="n">
        <x:v>40745</x:v>
      </x:c>
      <x:c r="E3697" s="3" t="str">
        <x:v>Una compra</x:v>
      </x:c>
      <x:c r="F3697" s="13" t="n">
        <x:v>196</x:v>
      </x:c>
      <x:c r="G3697" s="13" t="n">
        <x:v>0</x:v>
      </x:c>
      <x:c r="H3697" s="13" t="n">
        <x:f>F3697-G3697</x:f>
        <x:v>196</x:v>
      </x:c>
      <x:c r="I3697" s="13" t="n">
        <x:f>IF(C3697=0,"n.a.",F3697/C3697)</x:f>
        <x:v>196</x:v>
      </x:c>
      <x:c r="J3697" s="3"/>
      <x:c r="K3697" s="3"/>
      <x:c r="L3697" s="3"/>
    </x:row>
    <x:row r="3698" ht="22" customHeight="1">
      <x:c r="A3698" s="3"/>
      <x:c r="B3698" s="3" t="str">
        <x:v>16112</x:v>
      </x:c>
      <x:c r="C3698" s="3" t="n">
        <x:v>4</x:v>
      </x:c>
      <x:c r="D3698" s="51" t="n">
        <x:v>40743</x:v>
      </x:c>
      <x:c r="E3698" s="3" t="str">
        <x:v>Recurrente</x:v>
      </x:c>
      <x:c r="F3698" s="13" t="n">
        <x:v>195.74</x:v>
      </x:c>
      <x:c r="G3698" s="13" t="n">
        <x:v>0</x:v>
      </x:c>
      <x:c r="H3698" s="13" t="n">
        <x:f>F3698-G3698</x:f>
        <x:v>195.74</x:v>
      </x:c>
      <x:c r="I3698" s="13" t="n">
        <x:f>IF(C3698=0,"n.a.",F3698/C3698)</x:f>
        <x:v>48.935</x:v>
      </x:c>
      <x:c r="J3698" s="3"/>
      <x:c r="K3698" s="3"/>
      <x:c r="L3698" s="3"/>
    </x:row>
    <x:row r="3699" ht="22" customHeight="1">
      <x:c r="A3699" s="3"/>
      <x:c r="B3699" s="3" t="str">
        <x:v>12402</x:v>
      </x:c>
      <x:c r="C3699" s="3" t="n">
        <x:v>1</x:v>
      </x:c>
      <x:c r="D3699" s="51" t="n">
        <x:v>40563</x:v>
      </x:c>
      <x:c r="E3699" s="3" t="str">
        <x:v>Una compra</x:v>
      </x:c>
      <x:c r="F3699" s="13" t="n">
        <x:v>195.6</x:v>
      </x:c>
      <x:c r="G3699" s="13" t="n">
        <x:v>0</x:v>
      </x:c>
      <x:c r="H3699" s="13" t="n">
        <x:f>F3699-G3699</x:f>
        <x:v>195.6</x:v>
      </x:c>
      <x:c r="I3699" s="13" t="n">
        <x:f>IF(C3699=0,"n.a.",F3699/C3699)</x:f>
        <x:v>195.6</x:v>
      </x:c>
      <x:c r="J3699" s="3"/>
      <x:c r="K3699" s="3"/>
      <x:c r="L3699" s="3"/>
    </x:row>
    <x:row r="3700" ht="22" customHeight="1">
      <x:c r="A3700" s="3"/>
      <x:c r="B3700" s="3" t="str">
        <x:v>13792</x:v>
      </x:c>
      <x:c r="C3700" s="3" t="n">
        <x:v>2</x:v>
      </x:c>
      <x:c r="D3700" s="51" t="n">
        <x:v>40820</x:v>
      </x:c>
      <x:c r="E3700" s="3" t="str">
        <x:v>Recurrente</x:v>
      </x:c>
      <x:c r="F3700" s="13" t="n">
        <x:v>195.55</x:v>
      </x:c>
      <x:c r="G3700" s="13" t="n">
        <x:v>0</x:v>
      </x:c>
      <x:c r="H3700" s="13" t="n">
        <x:f>F3700-G3700</x:f>
        <x:v>195.55</x:v>
      </x:c>
      <x:c r="I3700" s="13" t="n">
        <x:f>IF(C3700=0,"n.a.",F3700/C3700)</x:f>
        <x:v>97.775</x:v>
      </x:c>
      <x:c r="J3700" s="3"/>
      <x:c r="K3700" s="3"/>
      <x:c r="L3700" s="3"/>
    </x:row>
    <x:row r="3701" ht="22" customHeight="1">
      <x:c r="A3701" s="3"/>
      <x:c r="B3701" s="3" t="str">
        <x:v>15612</x:v>
      </x:c>
      <x:c r="C3701" s="3" t="n">
        <x:v>2</x:v>
      </x:c>
      <x:c r="D3701" s="51" t="n">
        <x:v>40850</x:v>
      </x:c>
      <x:c r="E3701" s="3" t="str">
        <x:v>Recurrente</x:v>
      </x:c>
      <x:c r="F3701" s="13" t="n">
        <x:v>195.15</x:v>
      </x:c>
      <x:c r="G3701" s="13" t="n">
        <x:v>0</x:v>
      </x:c>
      <x:c r="H3701" s="13" t="n">
        <x:f>F3701-G3701</x:f>
        <x:v>195.15</x:v>
      </x:c>
      <x:c r="I3701" s="13" t="n">
        <x:f>IF(C3701=0,"n.a.",F3701/C3701)</x:f>
        <x:v>97.575</x:v>
      </x:c>
      <x:c r="J3701" s="3"/>
      <x:c r="K3701" s="3"/>
      <x:c r="L3701" s="3"/>
    </x:row>
    <x:row r="3702" ht="22" customHeight="1">
      <x:c r="A3702" s="3"/>
      <x:c r="B3702" s="3" t="str">
        <x:v>14100</x:v>
      </x:c>
      <x:c r="C3702" s="3" t="n">
        <x:v>1</x:v>
      </x:c>
      <x:c r="D3702" s="51" t="n">
        <x:v>40749</x:v>
      </x:c>
      <x:c r="E3702" s="3" t="str">
        <x:v>Una compra</x:v>
      </x:c>
      <x:c r="F3702" s="13" t="n">
        <x:v>194.9</x:v>
      </x:c>
      <x:c r="G3702" s="13" t="n">
        <x:v>0</x:v>
      </x:c>
      <x:c r="H3702" s="13" t="n">
        <x:f>F3702-G3702</x:f>
        <x:v>194.9</x:v>
      </x:c>
      <x:c r="I3702" s="13" t="n">
        <x:f>IF(C3702=0,"n.a.",F3702/C3702)</x:f>
        <x:v>194.9</x:v>
      </x:c>
      <x:c r="J3702" s="3"/>
      <x:c r="K3702" s="3"/>
      <x:c r="L3702" s="3"/>
    </x:row>
    <x:row r="3703" ht="22" customHeight="1">
      <x:c r="A3703" s="3"/>
      <x:c r="B3703" s="3" t="str">
        <x:v>16887</x:v>
      </x:c>
      <x:c r="C3703" s="3" t="n">
        <x:v>1</x:v>
      </x:c>
      <x:c r="D3703" s="51" t="n">
        <x:v>40851</x:v>
      </x:c>
      <x:c r="E3703" s="3" t="str">
        <x:v>Una compra</x:v>
      </x:c>
      <x:c r="F3703" s="13" t="n">
        <x:v>194.88</x:v>
      </x:c>
      <x:c r="G3703" s="13" t="n">
        <x:v>0</x:v>
      </x:c>
      <x:c r="H3703" s="13" t="n">
        <x:f>F3703-G3703</x:f>
        <x:v>194.88</x:v>
      </x:c>
      <x:c r="I3703" s="13" t="n">
        <x:f>IF(C3703=0,"n.a.",F3703/C3703)</x:f>
        <x:v>194.88</x:v>
      </x:c>
      <x:c r="J3703" s="3"/>
      <x:c r="K3703" s="3"/>
      <x:c r="L3703" s="3"/>
    </x:row>
    <x:row r="3704" ht="22" customHeight="1">
      <x:c r="A3704" s="3"/>
      <x:c r="B3704" s="3" t="str">
        <x:v>17475</x:v>
      </x:c>
      <x:c r="C3704" s="3" t="n">
        <x:v>1</x:v>
      </x:c>
      <x:c r="D3704" s="51" t="n">
        <x:v>40807</x:v>
      </x:c>
      <x:c r="E3704" s="3" t="str">
        <x:v>Una compra</x:v>
      </x:c>
      <x:c r="F3704" s="13" t="n">
        <x:v>194.37</x:v>
      </x:c>
      <x:c r="G3704" s="13" t="n">
        <x:v>0</x:v>
      </x:c>
      <x:c r="H3704" s="13" t="n">
        <x:f>F3704-G3704</x:f>
        <x:v>194.37</x:v>
      </x:c>
      <x:c r="I3704" s="13" t="n">
        <x:f>IF(C3704=0,"n.a.",F3704/C3704)</x:f>
        <x:v>194.37</x:v>
      </x:c>
      <x:c r="J3704" s="3"/>
      <x:c r="K3704" s="3"/>
      <x:c r="L3704" s="3"/>
    </x:row>
    <x:row r="3705" ht="22" customHeight="1">
      <x:c r="A3705" s="3"/>
      <x:c r="B3705" s="3" t="str">
        <x:v>15683</x:v>
      </x:c>
      <x:c r="C3705" s="3" t="n">
        <x:v>1</x:v>
      </x:c>
      <x:c r="D3705" s="51" t="n">
        <x:v>40769</x:v>
      </x:c>
      <x:c r="E3705" s="3" t="str">
        <x:v>Una compra</x:v>
      </x:c>
      <x:c r="F3705" s="13" t="n">
        <x:v>193.75</x:v>
      </x:c>
      <x:c r="G3705" s="13" t="n">
        <x:v>0</x:v>
      </x:c>
      <x:c r="H3705" s="13" t="n">
        <x:f>F3705-G3705</x:f>
        <x:v>193.75</x:v>
      </x:c>
      <x:c r="I3705" s="13" t="n">
        <x:f>IF(C3705=0,"n.a.",F3705/C3705)</x:f>
        <x:v>193.75</x:v>
      </x:c>
      <x:c r="J3705" s="3"/>
      <x:c r="K3705" s="3"/>
      <x:c r="L3705" s="3"/>
    </x:row>
    <x:row r="3706" ht="22" customHeight="1">
      <x:c r="A3706" s="3"/>
      <x:c r="B3706" s="3" t="str">
        <x:v>15198</x:v>
      </x:c>
      <x:c r="C3706" s="3" t="n">
        <x:v>2</x:v>
      </x:c>
      <x:c r="D3706" s="51" t="n">
        <x:v>40794</x:v>
      </x:c>
      <x:c r="E3706" s="3" t="str">
        <x:v>Recurrente</x:v>
      </x:c>
      <x:c r="F3706" s="13" t="n">
        <x:v>193.64</x:v>
      </x:c>
      <x:c r="G3706" s="13" t="n">
        <x:v>0</x:v>
      </x:c>
      <x:c r="H3706" s="13" t="n">
        <x:f>F3706-G3706</x:f>
        <x:v>193.64</x:v>
      </x:c>
      <x:c r="I3706" s="13" t="n">
        <x:f>IF(C3706=0,"n.a.",F3706/C3706)</x:f>
        <x:v>96.82</x:v>
      </x:c>
      <x:c r="J3706" s="3"/>
      <x:c r="K3706" s="3"/>
      <x:c r="L3706" s="3"/>
    </x:row>
    <x:row r="3707" ht="22" customHeight="1">
      <x:c r="A3707" s="3"/>
      <x:c r="B3707" s="3" t="str">
        <x:v>17343</x:v>
      </x:c>
      <x:c r="C3707" s="3" t="n">
        <x:v>1</x:v>
      </x:c>
      <x:c r="D3707" s="51" t="n">
        <x:v>40531</x:v>
      </x:c>
      <x:c r="E3707" s="3" t="str">
        <x:v>Una compra</x:v>
      </x:c>
      <x:c r="F3707" s="13" t="n">
        <x:v>193.64</x:v>
      </x:c>
      <x:c r="G3707" s="13" t="n">
        <x:v>0</x:v>
      </x:c>
      <x:c r="H3707" s="13" t="n">
        <x:f>F3707-G3707</x:f>
        <x:v>193.64</x:v>
      </x:c>
      <x:c r="I3707" s="13" t="n">
        <x:f>IF(C3707=0,"n.a.",F3707/C3707)</x:f>
        <x:v>193.64</x:v>
      </x:c>
      <x:c r="J3707" s="3"/>
      <x:c r="K3707" s="3"/>
      <x:c r="L3707" s="3"/>
    </x:row>
    <x:row r="3708" ht="22" customHeight="1">
      <x:c r="A3708" s="3"/>
      <x:c r="B3708" s="3" t="str">
        <x:v>16847</x:v>
      </x:c>
      <x:c r="C3708" s="3" t="n">
        <x:v>1</x:v>
      </x:c>
      <x:c r="D3708" s="51" t="n">
        <x:v>40843</x:v>
      </x:c>
      <x:c r="E3708" s="3" t="str">
        <x:v>Una compra</x:v>
      </x:c>
      <x:c r="F3708" s="13" t="n">
        <x:v>193.44</x:v>
      </x:c>
      <x:c r="G3708" s="13" t="n">
        <x:v>0</x:v>
      </x:c>
      <x:c r="H3708" s="13" t="n">
        <x:f>F3708-G3708</x:f>
        <x:v>193.44</x:v>
      </x:c>
      <x:c r="I3708" s="13" t="n">
        <x:f>IF(C3708=0,"n.a.",F3708/C3708)</x:f>
        <x:v>193.44</x:v>
      </x:c>
      <x:c r="J3708" s="3"/>
      <x:c r="K3708" s="3"/>
      <x:c r="L3708" s="3"/>
    </x:row>
    <x:row r="3709" ht="22" customHeight="1">
      <x:c r="A3709" s="3"/>
      <x:c r="B3709" s="3" t="str">
        <x:v>17608</x:v>
      </x:c>
      <x:c r="C3709" s="3" t="n">
        <x:v>2</x:v>
      </x:c>
      <x:c r="D3709" s="51" t="n">
        <x:v>40853</x:v>
      </x:c>
      <x:c r="E3709" s="3" t="str">
        <x:v>Recurrente</x:v>
      </x:c>
      <x:c r="F3709" s="13" t="n">
        <x:v>193.42</x:v>
      </x:c>
      <x:c r="G3709" s="13" t="n">
        <x:v>0</x:v>
      </x:c>
      <x:c r="H3709" s="13" t="n">
        <x:f>F3709-G3709</x:f>
        <x:v>193.42</x:v>
      </x:c>
      <x:c r="I3709" s="13" t="n">
        <x:f>IF(C3709=0,"n.a.",F3709/C3709)</x:f>
        <x:v>96.71</x:v>
      </x:c>
      <x:c r="J3709" s="3"/>
      <x:c r="K3709" s="3"/>
      <x:c r="L3709" s="3"/>
    </x:row>
    <x:row r="3710" ht="22" customHeight="1">
      <x:c r="A3710" s="3"/>
      <x:c r="B3710" s="3" t="str">
        <x:v>14806</x:v>
      </x:c>
      <x:c r="C3710" s="3" t="n">
        <x:v>1</x:v>
      </x:c>
      <x:c r="D3710" s="51" t="n">
        <x:v>40811</x:v>
      </x:c>
      <x:c r="E3710" s="3" t="str">
        <x:v>Una compra</x:v>
      </x:c>
      <x:c r="F3710" s="13" t="n">
        <x:v>193.39</x:v>
      </x:c>
      <x:c r="G3710" s="13" t="n">
        <x:v>0</x:v>
      </x:c>
      <x:c r="H3710" s="13" t="n">
        <x:f>F3710-G3710</x:f>
        <x:v>193.39</x:v>
      </x:c>
      <x:c r="I3710" s="13" t="n">
        <x:f>IF(C3710=0,"n.a.",F3710/C3710)</x:f>
        <x:v>193.39</x:v>
      </x:c>
      <x:c r="J3710" s="3"/>
      <x:c r="K3710" s="3"/>
      <x:c r="L3710" s="3"/>
    </x:row>
    <x:row r="3711" ht="22" customHeight="1">
      <x:c r="A3711" s="3"/>
      <x:c r="B3711" s="3" t="str">
        <x:v>14801</x:v>
      </x:c>
      <x:c r="C3711" s="3" t="n">
        <x:v>1</x:v>
      </x:c>
      <x:c r="D3711" s="51" t="n">
        <x:v>40825</x:v>
      </x:c>
      <x:c r="E3711" s="3" t="str">
        <x:v>Una compra</x:v>
      </x:c>
      <x:c r="F3711" s="13" t="n">
        <x:v>193.14</x:v>
      </x:c>
      <x:c r="G3711" s="13" t="n">
        <x:v>0</x:v>
      </x:c>
      <x:c r="H3711" s="13" t="n">
        <x:f>F3711-G3711</x:f>
        <x:v>193.14</x:v>
      </x:c>
      <x:c r="I3711" s="13" t="n">
        <x:f>IF(C3711=0,"n.a.",F3711/C3711)</x:f>
        <x:v>193.14</x:v>
      </x:c>
      <x:c r="J3711" s="3"/>
      <x:c r="K3711" s="3"/>
      <x:c r="L3711" s="3"/>
    </x:row>
    <x:row r="3712" ht="22" customHeight="1">
      <x:c r="A3712" s="3"/>
      <x:c r="B3712" s="3" t="str">
        <x:v>13568</x:v>
      </x:c>
      <x:c r="C3712" s="3" t="n">
        <x:v>1</x:v>
      </x:c>
      <x:c r="D3712" s="51" t="n">
        <x:v>40713</x:v>
      </x:c>
      <x:c r="E3712" s="3" t="str">
        <x:v>Una compra</x:v>
      </x:c>
      <x:c r="F3712" s="13" t="n">
        <x:v>192.85</x:v>
      </x:c>
      <x:c r="G3712" s="13" t="n">
        <x:v>0</x:v>
      </x:c>
      <x:c r="H3712" s="13" t="n">
        <x:f>F3712-G3712</x:f>
        <x:v>192.85</x:v>
      </x:c>
      <x:c r="I3712" s="13" t="n">
        <x:f>IF(C3712=0,"n.a.",F3712/C3712)</x:f>
        <x:v>192.85</x:v>
      </x:c>
      <x:c r="J3712" s="3"/>
      <x:c r="K3712" s="3"/>
      <x:c r="L3712" s="3"/>
    </x:row>
    <x:row r="3713" ht="22" customHeight="1">
      <x:c r="A3713" s="3"/>
      <x:c r="B3713" s="3" t="str">
        <x:v>16965</x:v>
      </x:c>
      <x:c r="C3713" s="3" t="n">
        <x:v>1</x:v>
      </x:c>
      <x:c r="D3713" s="51" t="n">
        <x:v>40660</x:v>
      </x:c>
      <x:c r="E3713" s="3" t="str">
        <x:v>Una compra</x:v>
      </x:c>
      <x:c r="F3713" s="13" t="n">
        <x:v>192.07</x:v>
      </x:c>
      <x:c r="G3713" s="13" t="n">
        <x:v>0</x:v>
      </x:c>
      <x:c r="H3713" s="13" t="n">
        <x:f>F3713-G3713</x:f>
        <x:v>192.07</x:v>
      </x:c>
      <x:c r="I3713" s="13" t="n">
        <x:f>IF(C3713=0,"n.a.",F3713/C3713)</x:f>
        <x:v>192.07</x:v>
      </x:c>
      <x:c r="J3713" s="3"/>
      <x:c r="K3713" s="3"/>
      <x:c r="L3713" s="3"/>
    </x:row>
    <x:row r="3714" ht="22" customHeight="1">
      <x:c r="A3714" s="3"/>
      <x:c r="B3714" s="3" t="str">
        <x:v>15909</x:v>
      </x:c>
      <x:c r="C3714" s="3" t="n">
        <x:v>1</x:v>
      </x:c>
      <x:c r="D3714" s="51" t="n">
        <x:v>40713</x:v>
      </x:c>
      <x:c r="E3714" s="3" t="str">
        <x:v>Una compra</x:v>
      </x:c>
      <x:c r="F3714" s="13" t="n">
        <x:v>191.94</x:v>
      </x:c>
      <x:c r="G3714" s="13" t="n">
        <x:v>0</x:v>
      </x:c>
      <x:c r="H3714" s="13" t="n">
        <x:f>F3714-G3714</x:f>
        <x:v>191.94</x:v>
      </x:c>
      <x:c r="I3714" s="13" t="n">
        <x:f>IF(C3714=0,"n.a.",F3714/C3714)</x:f>
        <x:v>191.94</x:v>
      </x:c>
      <x:c r="J3714" s="3"/>
      <x:c r="K3714" s="3"/>
      <x:c r="L3714" s="3"/>
    </x:row>
    <x:row r="3715" ht="22" customHeight="1">
      <x:c r="A3715" s="3"/>
      <x:c r="B3715" s="3" t="str">
        <x:v>14966</x:v>
      </x:c>
      <x:c r="C3715" s="3" t="n">
        <x:v>1</x:v>
      </x:c>
      <x:c r="D3715" s="51" t="n">
        <x:v>40872</x:v>
      </x:c>
      <x:c r="E3715" s="3" t="str">
        <x:v>Una compra</x:v>
      </x:c>
      <x:c r="F3715" s="13" t="n">
        <x:v>191.32</x:v>
      </x:c>
      <x:c r="G3715" s="13" t="n">
        <x:v>0</x:v>
      </x:c>
      <x:c r="H3715" s="13" t="n">
        <x:f>F3715-G3715</x:f>
        <x:v>191.32</x:v>
      </x:c>
      <x:c r="I3715" s="13" t="n">
        <x:f>IF(C3715=0,"n.a.",F3715/C3715)</x:f>
        <x:v>191.32</x:v>
      </x:c>
      <x:c r="J3715" s="3"/>
      <x:c r="K3715" s="3"/>
      <x:c r="L3715" s="3"/>
    </x:row>
    <x:row r="3716" ht="22" customHeight="1">
      <x:c r="A3716" s="3"/>
      <x:c r="B3716" s="3" t="str">
        <x:v>17988</x:v>
      </x:c>
      <x:c r="C3716" s="3" t="n">
        <x:v>7</x:v>
      </x:c>
      <x:c r="D3716" s="51" t="n">
        <x:v>40875</x:v>
      </x:c>
      <x:c r="E3716" s="3" t="str">
        <x:v>Recurrente</x:v>
      </x:c>
      <x:c r="F3716" s="13" t="n">
        <x:v>201.12</x:v>
      </x:c>
      <x:c r="G3716" s="13" t="n">
        <x:v>9.95</x:v>
      </x:c>
      <x:c r="H3716" s="13" t="n">
        <x:f>F3716-G3716</x:f>
        <x:v>191.17000000000002</x:v>
      </x:c>
      <x:c r="I3716" s="13" t="n">
        <x:f>IF(C3716=0,"n.a.",F3716/C3716)</x:f>
        <x:v>28.731428571428573</x:v>
      </x:c>
      <x:c r="J3716" s="3"/>
      <x:c r="K3716" s="3"/>
      <x:c r="L3716" s="3"/>
    </x:row>
    <x:row r="3717" ht="22" customHeight="1">
      <x:c r="A3717" s="3"/>
      <x:c r="B3717" s="3" t="str">
        <x:v>15692</x:v>
      </x:c>
      <x:c r="C3717" s="3" t="n">
        <x:v>1</x:v>
      </x:c>
      <x:c r="D3717" s="51" t="n">
        <x:v>40858</x:v>
      </x:c>
      <x:c r="E3717" s="3" t="str">
        <x:v>Una compra</x:v>
      </x:c>
      <x:c r="F3717" s="13" t="n">
        <x:v>191.04</x:v>
      </x:c>
      <x:c r="G3717" s="13" t="n">
        <x:v>0</x:v>
      </x:c>
      <x:c r="H3717" s="13" t="n">
        <x:f>F3717-G3717</x:f>
        <x:v>191.04</x:v>
      </x:c>
      <x:c r="I3717" s="13" t="n">
        <x:f>IF(C3717=0,"n.a.",F3717/C3717)</x:f>
        <x:v>191.04</x:v>
      </x:c>
      <x:c r="J3717" s="3"/>
      <x:c r="K3717" s="3"/>
      <x:c r="L3717" s="3"/>
    </x:row>
    <x:row r="3718" ht="22" customHeight="1">
      <x:c r="A3718" s="3"/>
      <x:c r="B3718" s="3" t="str">
        <x:v>17233</x:v>
      </x:c>
      <x:c r="C3718" s="3" t="n">
        <x:v>1</x:v>
      </x:c>
      <x:c r="D3718" s="51" t="n">
        <x:v>40851</x:v>
      </x:c>
      <x:c r="E3718" s="3" t="str">
        <x:v>Una compra</x:v>
      </x:c>
      <x:c r="F3718" s="13" t="n">
        <x:v>190.88</x:v>
      </x:c>
      <x:c r="G3718" s="13" t="n">
        <x:v>0</x:v>
      </x:c>
      <x:c r="H3718" s="13" t="n">
        <x:f>F3718-G3718</x:f>
        <x:v>190.88</x:v>
      </x:c>
      <x:c r="I3718" s="13" t="n">
        <x:f>IF(C3718=0,"n.a.",F3718/C3718)</x:f>
        <x:v>190.88</x:v>
      </x:c>
      <x:c r="J3718" s="3"/>
      <x:c r="K3718" s="3"/>
      <x:c r="L3718" s="3"/>
    </x:row>
    <x:row r="3719" ht="22" customHeight="1">
      <x:c r="A3719" s="3"/>
      <x:c r="B3719" s="3" t="str">
        <x:v>13033</x:v>
      </x:c>
      <x:c r="C3719" s="3" t="n">
        <x:v>1</x:v>
      </x:c>
      <x:c r="D3719" s="51" t="n">
        <x:v>40529</x:v>
      </x:c>
      <x:c r="E3719" s="3" t="str">
        <x:v>Una compra</x:v>
      </x:c>
      <x:c r="F3719" s="13" t="n">
        <x:v>190.55</x:v>
      </x:c>
      <x:c r="G3719" s="13" t="n">
        <x:v>0</x:v>
      </x:c>
      <x:c r="H3719" s="13" t="n">
        <x:f>F3719-G3719</x:f>
        <x:v>190.55</x:v>
      </x:c>
      <x:c r="I3719" s="13" t="n">
        <x:f>IF(C3719=0,"n.a.",F3719/C3719)</x:f>
        <x:v>190.55</x:v>
      </x:c>
      <x:c r="J3719" s="3"/>
      <x:c r="K3719" s="3"/>
      <x:c r="L3719" s="3"/>
    </x:row>
    <x:row r="3720" ht="22" customHeight="1">
      <x:c r="A3720" s="3"/>
      <x:c r="B3720" s="3" t="str">
        <x:v>15412</x:v>
      </x:c>
      <x:c r="C3720" s="3" t="n">
        <x:v>1</x:v>
      </x:c>
      <x:c r="D3720" s="51" t="n">
        <x:v>40715</x:v>
      </x:c>
      <x:c r="E3720" s="3" t="str">
        <x:v>Una compra</x:v>
      </x:c>
      <x:c r="F3720" s="13" t="n">
        <x:v>190.53</x:v>
      </x:c>
      <x:c r="G3720" s="13" t="n">
        <x:v>0</x:v>
      </x:c>
      <x:c r="H3720" s="13" t="n">
        <x:f>F3720-G3720</x:f>
        <x:v>190.53</x:v>
      </x:c>
      <x:c r="I3720" s="13" t="n">
        <x:f>IF(C3720=0,"n.a.",F3720/C3720)</x:f>
        <x:v>190.53</x:v>
      </x:c>
      <x:c r="J3720" s="3"/>
      <x:c r="K3720" s="3"/>
      <x:c r="L3720" s="3"/>
    </x:row>
    <x:row r="3721" ht="22" customHeight="1">
      <x:c r="A3721" s="3"/>
      <x:c r="B3721" s="3" t="str">
        <x:v>14501</x:v>
      </x:c>
      <x:c r="C3721" s="3" t="n">
        <x:v>2</x:v>
      </x:c>
      <x:c r="D3721" s="51" t="n">
        <x:v>40703</x:v>
      </x:c>
      <x:c r="E3721" s="3" t="str">
        <x:v>Recurrente</x:v>
      </x:c>
      <x:c r="F3721" s="13" t="n">
        <x:v>251.21</x:v>
      </x:c>
      <x:c r="G3721" s="13" t="n">
        <x:v>60.9</x:v>
      </x:c>
      <x:c r="H3721" s="13" t="n">
        <x:f>F3721-G3721</x:f>
        <x:v>190.31</x:v>
      </x:c>
      <x:c r="I3721" s="13" t="n">
        <x:f>IF(C3721=0,"n.a.",F3721/C3721)</x:f>
        <x:v>125.605</x:v>
      </x:c>
      <x:c r="J3721" s="3"/>
      <x:c r="K3721" s="3"/>
      <x:c r="L3721" s="3"/>
    </x:row>
    <x:row r="3722" ht="22" customHeight="1">
      <x:c r="A3722" s="3"/>
      <x:c r="B3722" s="3" t="str">
        <x:v>13972</x:v>
      </x:c>
      <x:c r="C3722" s="3" t="n">
        <x:v>2</x:v>
      </x:c>
      <x:c r="D3722" s="51" t="n">
        <x:v>40816</x:v>
      </x:c>
      <x:c r="E3722" s="3" t="str">
        <x:v>Recurrente</x:v>
      </x:c>
      <x:c r="F3722" s="13" t="n">
        <x:v>190.25</x:v>
      </x:c>
      <x:c r="G3722" s="13" t="n">
        <x:v>0</x:v>
      </x:c>
      <x:c r="H3722" s="13" t="n">
        <x:f>F3722-G3722</x:f>
        <x:v>190.25</x:v>
      </x:c>
      <x:c r="I3722" s="13" t="n">
        <x:f>IF(C3722=0,"n.a.",F3722/C3722)</x:f>
        <x:v>95.125</x:v>
      </x:c>
      <x:c r="J3722" s="3"/>
      <x:c r="K3722" s="3"/>
      <x:c r="L3722" s="3"/>
    </x:row>
    <x:row r="3723" ht="22" customHeight="1">
      <x:c r="A3723" s="3"/>
      <x:c r="B3723" s="3" t="str">
        <x:v>17885</x:v>
      </x:c>
      <x:c r="C3723" s="3" t="n">
        <x:v>1</x:v>
      </x:c>
      <x:c r="D3723" s="51" t="n">
        <x:v>40874</x:v>
      </x:c>
      <x:c r="E3723" s="3" t="str">
        <x:v>Una compra</x:v>
      </x:c>
      <x:c r="F3723" s="13" t="n">
        <x:v>190.19</x:v>
      </x:c>
      <x:c r="G3723" s="13" t="n">
        <x:v>0</x:v>
      </x:c>
      <x:c r="H3723" s="13" t="n">
        <x:f>F3723-G3723</x:f>
        <x:v>190.19</x:v>
      </x:c>
      <x:c r="I3723" s="13" t="n">
        <x:f>IF(C3723=0,"n.a.",F3723/C3723)</x:f>
        <x:v>190.19</x:v>
      </x:c>
      <x:c r="J3723" s="3"/>
      <x:c r="K3723" s="3"/>
      <x:c r="L3723" s="3"/>
    </x:row>
    <x:row r="3724" ht="22" customHeight="1">
      <x:c r="A3724" s="3"/>
      <x:c r="B3724" s="3" t="str">
        <x:v>17166</x:v>
      </x:c>
      <x:c r="C3724" s="3" t="n">
        <x:v>2</x:v>
      </x:c>
      <x:c r="D3724" s="51" t="n">
        <x:v>40848</x:v>
      </x:c>
      <x:c r="E3724" s="3" t="str">
        <x:v>Recurrente</x:v>
      </x:c>
      <x:c r="F3724" s="13" t="n">
        <x:v>206.34</x:v>
      </x:c>
      <x:c r="G3724" s="13" t="n">
        <x:v>16.85</x:v>
      </x:c>
      <x:c r="H3724" s="13" t="n">
        <x:f>F3724-G3724</x:f>
        <x:v>189.49</x:v>
      </x:c>
      <x:c r="I3724" s="13" t="n">
        <x:f>IF(C3724=0,"n.a.",F3724/C3724)</x:f>
        <x:v>103.17</x:v>
      </x:c>
      <x:c r="J3724" s="3"/>
      <x:c r="K3724" s="3"/>
      <x:c r="L3724" s="3"/>
    </x:row>
    <x:row r="3725" ht="22" customHeight="1">
      <x:c r="A3725" s="3"/>
      <x:c r="B3725" s="3" t="str">
        <x:v>13663</x:v>
      </x:c>
      <x:c r="C3725" s="3" t="n">
        <x:v>1</x:v>
      </x:c>
      <x:c r="D3725" s="51" t="n">
        <x:v>40707</x:v>
      </x:c>
      <x:c r="E3725" s="3" t="str">
        <x:v>Una compra</x:v>
      </x:c>
      <x:c r="F3725" s="13" t="n">
        <x:v>189.47</x:v>
      </x:c>
      <x:c r="G3725" s="13" t="n">
        <x:v>0</x:v>
      </x:c>
      <x:c r="H3725" s="13" t="n">
        <x:f>F3725-G3725</x:f>
        <x:v>189.47</x:v>
      </x:c>
      <x:c r="I3725" s="13" t="n">
        <x:f>IF(C3725=0,"n.a.",F3725/C3725)</x:f>
        <x:v>189.47</x:v>
      </x:c>
      <x:c r="J3725" s="3"/>
      <x:c r="K3725" s="3"/>
      <x:c r="L3725" s="3"/>
    </x:row>
    <x:row r="3726" ht="22" customHeight="1">
      <x:c r="A3726" s="3"/>
      <x:c r="B3726" s="3" t="str">
        <x:v>18045</x:v>
      </x:c>
      <x:c r="C3726" s="3" t="n">
        <x:v>1</x:v>
      </x:c>
      <x:c r="D3726" s="51" t="n">
        <x:v>40841</x:v>
      </x:c>
      <x:c r="E3726" s="3" t="str">
        <x:v>Una compra</x:v>
      </x:c>
      <x:c r="F3726" s="13" t="n">
        <x:v>189.4</x:v>
      </x:c>
      <x:c r="G3726" s="13" t="n">
        <x:v>0</x:v>
      </x:c>
      <x:c r="H3726" s="13" t="n">
        <x:f>F3726-G3726</x:f>
        <x:v>189.4</x:v>
      </x:c>
      <x:c r="I3726" s="13" t="n">
        <x:f>IF(C3726=0,"n.a.",F3726/C3726)</x:f>
        <x:v>189.4</x:v>
      </x:c>
      <x:c r="J3726" s="3"/>
      <x:c r="K3726" s="3"/>
      <x:c r="L3726" s="3"/>
    </x:row>
    <x:row r="3727" ht="22" customHeight="1">
      <x:c r="A3727" s="3"/>
      <x:c r="B3727" s="3" t="str">
        <x:v>16448</x:v>
      </x:c>
      <x:c r="C3727" s="3" t="n">
        <x:v>1</x:v>
      </x:c>
      <x:c r="D3727" s="51" t="n">
        <x:v>40688</x:v>
      </x:c>
      <x:c r="E3727" s="3" t="str">
        <x:v>Una compra</x:v>
      </x:c>
      <x:c r="F3727" s="13" t="n">
        <x:v>188.89</x:v>
      </x:c>
      <x:c r="G3727" s="13" t="n">
        <x:v>0</x:v>
      </x:c>
      <x:c r="H3727" s="13" t="n">
        <x:f>F3727-G3727</x:f>
        <x:v>188.89</x:v>
      </x:c>
      <x:c r="I3727" s="13" t="n">
        <x:f>IF(C3727=0,"n.a.",F3727/C3727)</x:f>
        <x:v>188.89</x:v>
      </x:c>
      <x:c r="J3727" s="3"/>
      <x:c r="K3727" s="3"/>
      <x:c r="L3727" s="3"/>
    </x:row>
    <x:row r="3728" ht="22" customHeight="1">
      <x:c r="A3728" s="3"/>
      <x:c r="B3728" s="3" t="str">
        <x:v>14697</x:v>
      </x:c>
      <x:c r="C3728" s="3" t="n">
        <x:v>2</x:v>
      </x:c>
      <x:c r="D3728" s="51" t="n">
        <x:v>40668</x:v>
      </x:c>
      <x:c r="E3728" s="3" t="str">
        <x:v>Recurrente</x:v>
      </x:c>
      <x:c r="F3728" s="13" t="n">
        <x:v>188.61</x:v>
      </x:c>
      <x:c r="G3728" s="13" t="n">
        <x:v>0</x:v>
      </x:c>
      <x:c r="H3728" s="13" t="n">
        <x:f>F3728-G3728</x:f>
        <x:v>188.61</x:v>
      </x:c>
      <x:c r="I3728" s="13" t="n">
        <x:f>IF(C3728=0,"n.a.",F3728/C3728)</x:f>
        <x:v>94.305</x:v>
      </x:c>
      <x:c r="J3728" s="3"/>
      <x:c r="K3728" s="3"/>
      <x:c r="L3728" s="3"/>
    </x:row>
    <x:row r="3729" ht="22" customHeight="1">
      <x:c r="A3729" s="3"/>
      <x:c r="B3729" s="3" t="str">
        <x:v>12893</x:v>
      </x:c>
      <x:c r="C3729" s="3" t="n">
        <x:v>1</x:v>
      </x:c>
      <x:c r="D3729" s="51" t="n">
        <x:v>40856</x:v>
      </x:c>
      <x:c r="E3729" s="3" t="str">
        <x:v>Una compra</x:v>
      </x:c>
      <x:c r="F3729" s="13" t="n">
        <x:v>188.14</x:v>
      </x:c>
      <x:c r="G3729" s="13" t="n">
        <x:v>0</x:v>
      </x:c>
      <x:c r="H3729" s="13" t="n">
        <x:f>F3729-G3729</x:f>
        <x:v>188.14</x:v>
      </x:c>
      <x:c r="I3729" s="13" t="n">
        <x:f>IF(C3729=0,"n.a.",F3729/C3729)</x:f>
        <x:v>188.14</x:v>
      </x:c>
      <x:c r="J3729" s="3"/>
      <x:c r="K3729" s="3"/>
      <x:c r="L3729" s="3"/>
    </x:row>
    <x:row r="3730" ht="22" customHeight="1">
      <x:c r="A3730" s="3"/>
      <x:c r="B3730" s="3" t="str">
        <x:v>17781</x:v>
      </x:c>
      <x:c r="C3730" s="3" t="n">
        <x:v>2</x:v>
      </x:c>
      <x:c r="D3730" s="51" t="n">
        <x:v>40727</x:v>
      </x:c>
      <x:c r="E3730" s="3" t="str">
        <x:v>Recurrente</x:v>
      </x:c>
      <x:c r="F3730" s="13" t="n">
        <x:v>188.02</x:v>
      </x:c>
      <x:c r="G3730" s="13" t="n">
        <x:v>0</x:v>
      </x:c>
      <x:c r="H3730" s="13" t="n">
        <x:f>F3730-G3730</x:f>
        <x:v>188.02</x:v>
      </x:c>
      <x:c r="I3730" s="13" t="n">
        <x:f>IF(C3730=0,"n.a.",F3730/C3730)</x:f>
        <x:v>94.01</x:v>
      </x:c>
      <x:c r="J3730" s="3"/>
      <x:c r="K3730" s="3"/>
      <x:c r="L3730" s="3"/>
    </x:row>
    <x:row r="3731" ht="22" customHeight="1">
      <x:c r="A3731" s="3"/>
      <x:c r="B3731" s="3" t="str">
        <x:v>14722</x:v>
      </x:c>
      <x:c r="C3731" s="3" t="n">
        <x:v>1</x:v>
      </x:c>
      <x:c r="D3731" s="51" t="n">
        <x:v>40739</x:v>
      </x:c>
      <x:c r="E3731" s="3" t="str">
        <x:v>Una compra</x:v>
      </x:c>
      <x:c r="F3731" s="13" t="n">
        <x:v>187.92</x:v>
      </x:c>
      <x:c r="G3731" s="13" t="n">
        <x:v>0</x:v>
      </x:c>
      <x:c r="H3731" s="13" t="n">
        <x:f>F3731-G3731</x:f>
        <x:v>187.92</x:v>
      </x:c>
      <x:c r="I3731" s="13" t="n">
        <x:f>IF(C3731=0,"n.a.",F3731/C3731)</x:f>
        <x:v>187.92</x:v>
      </x:c>
      <x:c r="J3731" s="3"/>
      <x:c r="K3731" s="3"/>
      <x:c r="L3731" s="3"/>
    </x:row>
    <x:row r="3732" ht="22" customHeight="1">
      <x:c r="A3732" s="3"/>
      <x:c r="B3732" s="3" t="str">
        <x:v>17279</x:v>
      </x:c>
      <x:c r="C3732" s="3" t="n">
        <x:v>1</x:v>
      </x:c>
      <x:c r="D3732" s="51" t="n">
        <x:v>40829</x:v>
      </x:c>
      <x:c r="E3732" s="3" t="str">
        <x:v>Una compra</x:v>
      </x:c>
      <x:c r="F3732" s="13" t="n">
        <x:v>187.83</x:v>
      </x:c>
      <x:c r="G3732" s="13" t="n">
        <x:v>0</x:v>
      </x:c>
      <x:c r="H3732" s="13" t="n">
        <x:f>F3732-G3732</x:f>
        <x:v>187.83</x:v>
      </x:c>
      <x:c r="I3732" s="13" t="n">
        <x:f>IF(C3732=0,"n.a.",F3732/C3732)</x:f>
        <x:v>187.83</x:v>
      </x:c>
      <x:c r="J3732" s="3"/>
      <x:c r="K3732" s="3"/>
      <x:c r="L3732" s="3"/>
    </x:row>
    <x:row r="3733" ht="22" customHeight="1">
      <x:c r="A3733" s="3"/>
      <x:c r="B3733" s="3" t="str">
        <x:v>18013</x:v>
      </x:c>
      <x:c r="C3733" s="3" t="n">
        <x:v>2</x:v>
      </x:c>
      <x:c r="D3733" s="51" t="n">
        <x:v>40731</x:v>
      </x:c>
      <x:c r="E3733" s="3" t="str">
        <x:v>Recurrente</x:v>
      </x:c>
      <x:c r="F3733" s="13" t="n">
        <x:v>187.29</x:v>
      </x:c>
      <x:c r="G3733" s="13" t="n">
        <x:v>0</x:v>
      </x:c>
      <x:c r="H3733" s="13" t="n">
        <x:f>F3733-G3733</x:f>
        <x:v>187.29</x:v>
      </x:c>
      <x:c r="I3733" s="13" t="n">
        <x:f>IF(C3733=0,"n.a.",F3733/C3733)</x:f>
        <x:v>93.645</x:v>
      </x:c>
      <x:c r="J3733" s="3"/>
      <x:c r="K3733" s="3"/>
      <x:c r="L3733" s="3"/>
    </x:row>
    <x:row r="3734" ht="22" customHeight="1">
      <x:c r="A3734" s="3"/>
      <x:c r="B3734" s="3" t="str">
        <x:v>16124</x:v>
      </x:c>
      <x:c r="C3734" s="3" t="n">
        <x:v>1</x:v>
      </x:c>
      <x:c r="D3734" s="51" t="n">
        <x:v>40569</x:v>
      </x:c>
      <x:c r="E3734" s="3" t="str">
        <x:v>Una compra</x:v>
      </x:c>
      <x:c r="F3734" s="13" t="n">
        <x:v>249</x:v>
      </x:c>
      <x:c r="G3734" s="13" t="n">
        <x:v>61.85</x:v>
      </x:c>
      <x:c r="H3734" s="13" t="n">
        <x:f>F3734-G3734</x:f>
        <x:v>187.15</x:v>
      </x:c>
      <x:c r="I3734" s="13" t="n">
        <x:f>IF(C3734=0,"n.a.",F3734/C3734)</x:f>
        <x:v>249</x:v>
      </x:c>
      <x:c r="J3734" s="3"/>
      <x:c r="K3734" s="3"/>
      <x:c r="L3734" s="3"/>
    </x:row>
    <x:row r="3735" ht="22" customHeight="1">
      <x:c r="A3735" s="3"/>
      <x:c r="B3735" s="3" t="str">
        <x:v>17693</x:v>
      </x:c>
      <x:c r="C3735" s="3" t="n">
        <x:v>1</x:v>
      </x:c>
      <x:c r="D3735" s="51" t="n">
        <x:v>40749</x:v>
      </x:c>
      <x:c r="E3735" s="3" t="str">
        <x:v>Una compra</x:v>
      </x:c>
      <x:c r="F3735" s="13" t="n">
        <x:v>200.47</x:v>
      </x:c>
      <x:c r="G3735" s="13" t="n">
        <x:v>13.45</x:v>
      </x:c>
      <x:c r="H3735" s="13" t="n">
        <x:f>F3735-G3735</x:f>
        <x:v>187.02</x:v>
      </x:c>
      <x:c r="I3735" s="13" t="n">
        <x:f>IF(C3735=0,"n.a.",F3735/C3735)</x:f>
        <x:v>200.47</x:v>
      </x:c>
      <x:c r="J3735" s="3"/>
      <x:c r="K3735" s="3"/>
      <x:c r="L3735" s="3"/>
    </x:row>
    <x:row r="3736" ht="22" customHeight="1">
      <x:c r="A3736" s="3"/>
      <x:c r="B3736" s="3" t="str">
        <x:v>14551</x:v>
      </x:c>
      <x:c r="C3736" s="3" t="n">
        <x:v>2</x:v>
      </x:c>
      <x:c r="D3736" s="51" t="n">
        <x:v>40868</x:v>
      </x:c>
      <x:c r="E3736" s="3" t="str">
        <x:v>Recurrente</x:v>
      </x:c>
      <x:c r="F3736" s="13" t="n">
        <x:v>186.23</x:v>
      </x:c>
      <x:c r="G3736" s="13" t="n">
        <x:v>0</x:v>
      </x:c>
      <x:c r="H3736" s="13" t="n">
        <x:f>F3736-G3736</x:f>
        <x:v>186.23</x:v>
      </x:c>
      <x:c r="I3736" s="13" t="n">
        <x:f>IF(C3736=0,"n.a.",F3736/C3736)</x:f>
        <x:v>93.115</x:v>
      </x:c>
      <x:c r="J3736" s="3"/>
      <x:c r="K3736" s="3"/>
      <x:c r="L3736" s="3"/>
    </x:row>
    <x:row r="3737" ht="22" customHeight="1">
      <x:c r="A3737" s="3"/>
      <x:c r="B3737" s="3" t="str">
        <x:v>15567</x:v>
      </x:c>
      <x:c r="C3737" s="3" t="n">
        <x:v>1</x:v>
      </x:c>
      <x:c r="D3737" s="51" t="n">
        <x:v>40868</x:v>
      </x:c>
      <x:c r="E3737" s="3" t="str">
        <x:v>Una compra</x:v>
      </x:c>
      <x:c r="F3737" s="13" t="n">
        <x:v>186.01</x:v>
      </x:c>
      <x:c r="G3737" s="13" t="n">
        <x:v>0</x:v>
      </x:c>
      <x:c r="H3737" s="13" t="n">
        <x:f>F3737-G3737</x:f>
        <x:v>186.01</x:v>
      </x:c>
      <x:c r="I3737" s="13" t="n">
        <x:f>IF(C3737=0,"n.a.",F3737/C3737)</x:f>
        <x:v>186.01</x:v>
      </x:c>
      <x:c r="J3737" s="3"/>
      <x:c r="K3737" s="3"/>
      <x:c r="L3737" s="3"/>
    </x:row>
    <x:row r="3738" ht="22" customHeight="1">
      <x:c r="A3738" s="3"/>
      <x:c r="B3738" s="3" t="str">
        <x:v>17574</x:v>
      </x:c>
      <x:c r="C3738" s="3" t="n">
        <x:v>1</x:v>
      </x:c>
      <x:c r="D3738" s="51" t="n">
        <x:v>40644</x:v>
      </x:c>
      <x:c r="E3738" s="3" t="str">
        <x:v>Una compra</x:v>
      </x:c>
      <x:c r="F3738" s="13" t="n">
        <x:v>185.65</x:v>
      </x:c>
      <x:c r="G3738" s="13" t="n">
        <x:v>0</x:v>
      </x:c>
      <x:c r="H3738" s="13" t="n">
        <x:f>F3738-G3738</x:f>
        <x:v>185.65</x:v>
      </x:c>
      <x:c r="I3738" s="13" t="n">
        <x:f>IF(C3738=0,"n.a.",F3738/C3738)</x:f>
        <x:v>185.65</x:v>
      </x:c>
      <x:c r="J3738" s="3"/>
      <x:c r="K3738" s="3"/>
      <x:c r="L3738" s="3"/>
    </x:row>
    <x:row r="3739" ht="22" customHeight="1">
      <x:c r="A3739" s="3"/>
      <x:c r="B3739" s="3" t="str">
        <x:v>17010</x:v>
      </x:c>
      <x:c r="C3739" s="3" t="n">
        <x:v>1</x:v>
      </x:c>
      <x:c r="D3739" s="51" t="n">
        <x:v>40868</x:v>
      </x:c>
      <x:c r="E3739" s="3" t="str">
        <x:v>Una compra</x:v>
      </x:c>
      <x:c r="F3739" s="13" t="n">
        <x:v>195.36</x:v>
      </x:c>
      <x:c r="G3739" s="13" t="n">
        <x:v>9.9</x:v>
      </x:c>
      <x:c r="H3739" s="13" t="n">
        <x:f>F3739-G3739</x:f>
        <x:v>185.46</x:v>
      </x:c>
      <x:c r="I3739" s="13" t="n">
        <x:f>IF(C3739=0,"n.a.",F3739/C3739)</x:f>
        <x:v>195.36</x:v>
      </x:c>
      <x:c r="J3739" s="3"/>
      <x:c r="K3739" s="3"/>
      <x:c r="L3739" s="3"/>
    </x:row>
    <x:row r="3740" ht="22" customHeight="1">
      <x:c r="A3740" s="3"/>
      <x:c r="B3740" s="3" t="str">
        <x:v>14199</x:v>
      </x:c>
      <x:c r="C3740" s="3" t="n">
        <x:v>1</x:v>
      </x:c>
      <x:c r="D3740" s="51" t="n">
        <x:v>40668</x:v>
      </x:c>
      <x:c r="E3740" s="3" t="str">
        <x:v>Una compra</x:v>
      </x:c>
      <x:c r="F3740" s="13" t="n">
        <x:v>185.4</x:v>
      </x:c>
      <x:c r="G3740" s="13" t="n">
        <x:v>0</x:v>
      </x:c>
      <x:c r="H3740" s="13" t="n">
        <x:f>F3740-G3740</x:f>
        <x:v>185.4</x:v>
      </x:c>
      <x:c r="I3740" s="13" t="n">
        <x:f>IF(C3740=0,"n.a.",F3740/C3740)</x:f>
        <x:v>185.4</x:v>
      </x:c>
      <x:c r="J3740" s="3"/>
      <x:c r="K3740" s="3"/>
      <x:c r="L3740" s="3"/>
    </x:row>
    <x:row r="3741" ht="22" customHeight="1">
      <x:c r="A3741" s="3"/>
      <x:c r="B3741" s="3" t="str">
        <x:v>16097</x:v>
      </x:c>
      <x:c r="C3741" s="3" t="n">
        <x:v>1</x:v>
      </x:c>
      <x:c r="D3741" s="51" t="n">
        <x:v>40646</x:v>
      </x:c>
      <x:c r="E3741" s="3" t="str">
        <x:v>Una compra</x:v>
      </x:c>
      <x:c r="F3741" s="13" t="n">
        <x:v>185.05</x:v>
      </x:c>
      <x:c r="G3741" s="13" t="n">
        <x:v>0</x:v>
      </x:c>
      <x:c r="H3741" s="13" t="n">
        <x:f>F3741-G3741</x:f>
        <x:v>185.05</x:v>
      </x:c>
      <x:c r="I3741" s="13" t="n">
        <x:f>IF(C3741=0,"n.a.",F3741/C3741)</x:f>
        <x:v>185.05</x:v>
      </x:c>
      <x:c r="J3741" s="3"/>
      <x:c r="K3741" s="3"/>
      <x:c r="L3741" s="3"/>
    </x:row>
    <x:row r="3742" ht="22" customHeight="1">
      <x:c r="A3742" s="3"/>
      <x:c r="B3742" s="3" t="str">
        <x:v>13482</x:v>
      </x:c>
      <x:c r="C3742" s="3" t="n">
        <x:v>1</x:v>
      </x:c>
      <x:c r="D3742" s="51" t="n">
        <x:v>40654</x:v>
      </x:c>
      <x:c r="E3742" s="3" t="str">
        <x:v>Una compra</x:v>
      </x:c>
      <x:c r="F3742" s="13" t="n">
        <x:v>184.64</x:v>
      </x:c>
      <x:c r="G3742" s="13" t="n">
        <x:v>0</x:v>
      </x:c>
      <x:c r="H3742" s="13" t="n">
        <x:f>F3742-G3742</x:f>
        <x:v>184.64</x:v>
      </x:c>
      <x:c r="I3742" s="13" t="n">
        <x:f>IF(C3742=0,"n.a.",F3742/C3742)</x:f>
        <x:v>184.64</x:v>
      </x:c>
      <x:c r="J3742" s="3"/>
      <x:c r="K3742" s="3"/>
      <x:c r="L3742" s="3"/>
    </x:row>
    <x:row r="3743" ht="22" customHeight="1">
      <x:c r="A3743" s="3"/>
      <x:c r="B3743" s="3" t="str">
        <x:v>17928</x:v>
      </x:c>
      <x:c r="C3743" s="3" t="n">
        <x:v>2</x:v>
      </x:c>
      <x:c r="D3743" s="51" t="n">
        <x:v>40841</x:v>
      </x:c>
      <x:c r="E3743" s="3" t="str">
        <x:v>Recurrente</x:v>
      </x:c>
      <x:c r="F3743" s="13" t="n">
        <x:v>184.46</x:v>
      </x:c>
      <x:c r="G3743" s="13" t="n">
        <x:v>0</x:v>
      </x:c>
      <x:c r="H3743" s="13" t="n">
        <x:f>F3743-G3743</x:f>
        <x:v>184.46</x:v>
      </x:c>
      <x:c r="I3743" s="13" t="n">
        <x:f>IF(C3743=0,"n.a.",F3743/C3743)</x:f>
        <x:v>92.23</x:v>
      </x:c>
      <x:c r="J3743" s="3"/>
      <x:c r="K3743" s="3"/>
      <x:c r="L3743" s="3"/>
    </x:row>
    <x:row r="3744" ht="22" customHeight="1">
      <x:c r="A3744" s="3"/>
      <x:c r="B3744" s="3" t="str">
        <x:v>17680</x:v>
      </x:c>
      <x:c r="C3744" s="3" t="n">
        <x:v>1</x:v>
      </x:c>
      <x:c r="D3744" s="51" t="n">
        <x:v>40863</x:v>
      </x:c>
      <x:c r="E3744" s="3" t="str">
        <x:v>Una compra</x:v>
      </x:c>
      <x:c r="F3744" s="13" t="n">
        <x:v>184.4</x:v>
      </x:c>
      <x:c r="G3744" s="13" t="n">
        <x:v>0</x:v>
      </x:c>
      <x:c r="H3744" s="13" t="n">
        <x:f>F3744-G3744</x:f>
        <x:v>184.4</x:v>
      </x:c>
      <x:c r="I3744" s="13" t="n">
        <x:f>IF(C3744=0,"n.a.",F3744/C3744)</x:f>
        <x:v>184.4</x:v>
      </x:c>
      <x:c r="J3744" s="3"/>
      <x:c r="K3744" s="3"/>
      <x:c r="L3744" s="3"/>
    </x:row>
    <x:row r="3745" ht="22" customHeight="1">
      <x:c r="A3745" s="3"/>
      <x:c r="B3745" s="3" t="str">
        <x:v>16433</x:v>
      </x:c>
      <x:c r="C3745" s="3" t="n">
        <x:v>1</x:v>
      </x:c>
      <x:c r="D3745" s="51" t="n">
        <x:v>40858</x:v>
      </x:c>
      <x:c r="E3745" s="3" t="str">
        <x:v>Una compra</x:v>
      </x:c>
      <x:c r="F3745" s="13" t="n">
        <x:v>184.26</x:v>
      </x:c>
      <x:c r="G3745" s="13" t="n">
        <x:v>0</x:v>
      </x:c>
      <x:c r="H3745" s="13" t="n">
        <x:f>F3745-G3745</x:f>
        <x:v>184.26</x:v>
      </x:c>
      <x:c r="I3745" s="13" t="n">
        <x:f>IF(C3745=0,"n.a.",F3745/C3745)</x:f>
        <x:v>184.26</x:v>
      </x:c>
      <x:c r="J3745" s="3"/>
      <x:c r="K3745" s="3"/>
      <x:c r="L3745" s="3"/>
    </x:row>
    <x:row r="3746" ht="22" customHeight="1">
      <x:c r="A3746" s="3"/>
      <x:c r="B3746" s="3" t="str">
        <x:v>15124</x:v>
      </x:c>
      <x:c r="C3746" s="3" t="n">
        <x:v>2</x:v>
      </x:c>
      <x:c r="D3746" s="51" t="n">
        <x:v>40864</x:v>
      </x:c>
      <x:c r="E3746" s="3" t="str">
        <x:v>Recurrente</x:v>
      </x:c>
      <x:c r="F3746" s="13" t="n">
        <x:v>184.19</x:v>
      </x:c>
      <x:c r="G3746" s="13" t="n">
        <x:v>0</x:v>
      </x:c>
      <x:c r="H3746" s="13" t="n">
        <x:f>F3746-G3746</x:f>
        <x:v>184.19</x:v>
      </x:c>
      <x:c r="I3746" s="13" t="n">
        <x:f>IF(C3746=0,"n.a.",F3746/C3746)</x:f>
        <x:v>92.095</x:v>
      </x:c>
      <x:c r="J3746" s="3"/>
      <x:c r="K3746" s="3"/>
      <x:c r="L3746" s="3"/>
    </x:row>
    <x:row r="3747" ht="22" customHeight="1">
      <x:c r="A3747" s="3"/>
      <x:c r="B3747" s="3" t="str">
        <x:v>16680</x:v>
      </x:c>
      <x:c r="C3747" s="3" t="n">
        <x:v>1</x:v>
      </x:c>
      <x:c r="D3747" s="51" t="n">
        <x:v>40843</x:v>
      </x:c>
      <x:c r="E3747" s="3" t="str">
        <x:v>Una compra</x:v>
      </x:c>
      <x:c r="F3747" s="13" t="n">
        <x:v>183.7</x:v>
      </x:c>
      <x:c r="G3747" s="13" t="n">
        <x:v>0</x:v>
      </x:c>
      <x:c r="H3747" s="13" t="n">
        <x:f>F3747-G3747</x:f>
        <x:v>183.7</x:v>
      </x:c>
      <x:c r="I3747" s="13" t="n">
        <x:f>IF(C3747=0,"n.a.",F3747/C3747)</x:f>
        <x:v>183.7</x:v>
      </x:c>
      <x:c r="J3747" s="3"/>
      <x:c r="K3747" s="3"/>
      <x:c r="L3747" s="3"/>
    </x:row>
    <x:row r="3748" ht="22" customHeight="1">
      <x:c r="A3748" s="3"/>
      <x:c r="B3748" s="3" t="str">
        <x:v>14059</x:v>
      </x:c>
      <x:c r="C3748" s="3" t="n">
        <x:v>1</x:v>
      </x:c>
      <x:c r="D3748" s="51" t="n">
        <x:v>40620</x:v>
      </x:c>
      <x:c r="E3748" s="3" t="str">
        <x:v>Una compra</x:v>
      </x:c>
      <x:c r="F3748" s="13" t="n">
        <x:v>183.6</x:v>
      </x:c>
      <x:c r="G3748" s="13" t="n">
        <x:v>0</x:v>
      </x:c>
      <x:c r="H3748" s="13" t="n">
        <x:f>F3748-G3748</x:f>
        <x:v>183.6</x:v>
      </x:c>
      <x:c r="I3748" s="13" t="n">
        <x:f>IF(C3748=0,"n.a.",F3748/C3748)</x:f>
        <x:v>183.6</x:v>
      </x:c>
      <x:c r="J3748" s="3"/>
      <x:c r="K3748" s="3"/>
      <x:c r="L3748" s="3"/>
    </x:row>
    <x:row r="3749" ht="22" customHeight="1">
      <x:c r="A3749" s="3"/>
      <x:c r="B3749" s="3" t="str">
        <x:v>13460</x:v>
      </x:c>
      <x:c r="C3749" s="3" t="n">
        <x:v>2</x:v>
      </x:c>
      <x:c r="D3749" s="51" t="n">
        <x:v>40857</x:v>
      </x:c>
      <x:c r="E3749" s="3" t="str">
        <x:v>Recurrente</x:v>
      </x:c>
      <x:c r="F3749" s="13" t="n">
        <x:v>183.44</x:v>
      </x:c>
      <x:c r="G3749" s="13" t="n">
        <x:v>0</x:v>
      </x:c>
      <x:c r="H3749" s="13" t="n">
        <x:f>F3749-G3749</x:f>
        <x:v>183.44</x:v>
      </x:c>
      <x:c r="I3749" s="13" t="n">
        <x:f>IF(C3749=0,"n.a.",F3749/C3749)</x:f>
        <x:v>91.72</x:v>
      </x:c>
      <x:c r="J3749" s="3"/>
      <x:c r="K3749" s="3"/>
      <x:c r="L3749" s="3"/>
    </x:row>
    <x:row r="3750" ht="22" customHeight="1">
      <x:c r="A3750" s="3"/>
      <x:c r="B3750" s="3" t="str">
        <x:v>13059</x:v>
      </x:c>
      <x:c r="C3750" s="3" t="n">
        <x:v>1</x:v>
      </x:c>
      <x:c r="D3750" s="51" t="n">
        <x:v>40637</x:v>
      </x:c>
      <x:c r="E3750" s="3" t="str">
        <x:v>Una compra</x:v>
      </x:c>
      <x:c r="F3750" s="13" t="n">
        <x:v>183.4</x:v>
      </x:c>
      <x:c r="G3750" s="13" t="n">
        <x:v>0</x:v>
      </x:c>
      <x:c r="H3750" s="13" t="n">
        <x:f>F3750-G3750</x:f>
        <x:v>183.4</x:v>
      </x:c>
      <x:c r="I3750" s="13" t="n">
        <x:f>IF(C3750=0,"n.a.",F3750/C3750)</x:f>
        <x:v>183.4</x:v>
      </x:c>
      <x:c r="J3750" s="3"/>
      <x:c r="K3750" s="3"/>
      <x:c r="L3750" s="3"/>
    </x:row>
    <x:row r="3751" ht="22" customHeight="1">
      <x:c r="A3751" s="3"/>
      <x:c r="B3751" s="3" t="str">
        <x:v>15746</x:v>
      </x:c>
      <x:c r="C3751" s="3" t="n">
        <x:v>1</x:v>
      </x:c>
      <x:c r="D3751" s="51" t="n">
        <x:v>40752</x:v>
      </x:c>
      <x:c r="E3751" s="3" t="str">
        <x:v>Una compra</x:v>
      </x:c>
      <x:c r="F3751" s="13" t="n">
        <x:v>196.88</x:v>
      </x:c>
      <x:c r="G3751" s="13" t="n">
        <x:v>13.92</x:v>
      </x:c>
      <x:c r="H3751" s="13" t="n">
        <x:f>F3751-G3751</x:f>
        <x:v>182.96</x:v>
      </x:c>
      <x:c r="I3751" s="13" t="n">
        <x:f>IF(C3751=0,"n.a.",F3751/C3751)</x:f>
        <x:v>196.88</x:v>
      </x:c>
      <x:c r="J3751" s="3"/>
      <x:c r="K3751" s="3"/>
      <x:c r="L3751" s="3"/>
    </x:row>
    <x:row r="3752" ht="22" customHeight="1">
      <x:c r="A3752" s="3"/>
      <x:c r="B3752" s="3" t="str">
        <x:v>17772</x:v>
      </x:c>
      <x:c r="C3752" s="3" t="n">
        <x:v>2</x:v>
      </x:c>
      <x:c r="D3752" s="51" t="n">
        <x:v>40876</x:v>
      </x:c>
      <x:c r="E3752" s="3" t="str">
        <x:v>Recurrente</x:v>
      </x:c>
      <x:c r="F3752" s="13" t="n">
        <x:v>182.77</x:v>
      </x:c>
      <x:c r="G3752" s="13" t="n">
        <x:v>0</x:v>
      </x:c>
      <x:c r="H3752" s="13" t="n">
        <x:f>F3752-G3752</x:f>
        <x:v>182.77</x:v>
      </x:c>
      <x:c r="I3752" s="13" t="n">
        <x:f>IF(C3752=0,"n.a.",F3752/C3752)</x:f>
        <x:v>91.385</x:v>
      </x:c>
      <x:c r="J3752" s="3"/>
      <x:c r="K3752" s="3"/>
      <x:c r="L3752" s="3"/>
    </x:row>
    <x:row r="3753" ht="22" customHeight="1">
      <x:c r="A3753" s="3"/>
      <x:c r="B3753" s="3" t="str">
        <x:v>12574</x:v>
      </x:c>
      <x:c r="C3753" s="3" t="n">
        <x:v>1</x:v>
      </x:c>
      <x:c r="D3753" s="51" t="n">
        <x:v>40571</x:v>
      </x:c>
      <x:c r="E3753" s="3" t="str">
        <x:v>Una compra</x:v>
      </x:c>
      <x:c r="F3753" s="13" t="n">
        <x:v>182.45</x:v>
      </x:c>
      <x:c r="G3753" s="13" t="n">
        <x:v>0</x:v>
      </x:c>
      <x:c r="H3753" s="13" t="n">
        <x:f>F3753-G3753</x:f>
        <x:v>182.45</x:v>
      </x:c>
      <x:c r="I3753" s="13" t="n">
        <x:f>IF(C3753=0,"n.a.",F3753/C3753)</x:f>
        <x:v>182.45</x:v>
      </x:c>
      <x:c r="J3753" s="3"/>
      <x:c r="K3753" s="3"/>
      <x:c r="L3753" s="3"/>
    </x:row>
    <x:row r="3754" ht="22" customHeight="1">
      <x:c r="A3754" s="3"/>
      <x:c r="B3754" s="3" t="str">
        <x:v>14082</x:v>
      </x:c>
      <x:c r="C3754" s="3" t="n">
        <x:v>1</x:v>
      </x:c>
      <x:c r="D3754" s="51" t="n">
        <x:v>40522</x:v>
      </x:c>
      <x:c r="E3754" s="3" t="str">
        <x:v>Una compra</x:v>
      </x:c>
      <x:c r="F3754" s="13" t="n">
        <x:v>182.25</x:v>
      </x:c>
      <x:c r="G3754" s="13" t="n">
        <x:v>0</x:v>
      </x:c>
      <x:c r="H3754" s="13" t="n">
        <x:f>F3754-G3754</x:f>
        <x:v>182.25</x:v>
      </x:c>
      <x:c r="I3754" s="13" t="n">
        <x:f>IF(C3754=0,"n.a.",F3754/C3754)</x:f>
        <x:v>182.25</x:v>
      </x:c>
      <x:c r="J3754" s="3"/>
      <x:c r="K3754" s="3"/>
      <x:c r="L3754" s="3"/>
    </x:row>
    <x:row r="3755" ht="22" customHeight="1">
      <x:c r="A3755" s="3"/>
      <x:c r="B3755" s="3" t="str">
        <x:v>14087</x:v>
      </x:c>
      <x:c r="C3755" s="3" t="n">
        <x:v>1</x:v>
      </x:c>
      <x:c r="D3755" s="51" t="n">
        <x:v>40884</x:v>
      </x:c>
      <x:c r="E3755" s="3" t="str">
        <x:v>Una compra</x:v>
      </x:c>
      <x:c r="F3755" s="13" t="n">
        <x:v>194.42</x:v>
      </x:c>
      <x:c r="G3755" s="13" t="n">
        <x:v>12.75</x:v>
      </x:c>
      <x:c r="H3755" s="13" t="n">
        <x:f>F3755-G3755</x:f>
        <x:v>181.67</x:v>
      </x:c>
      <x:c r="I3755" s="13" t="n">
        <x:f>IF(C3755=0,"n.a.",F3755/C3755)</x:f>
        <x:v>194.42</x:v>
      </x:c>
      <x:c r="J3755" s="3"/>
      <x:c r="K3755" s="3"/>
      <x:c r="L3755" s="3"/>
    </x:row>
    <x:row r="3756" ht="22" customHeight="1">
      <x:c r="A3756" s="3"/>
      <x:c r="B3756" s="3" t="str">
        <x:v>18119</x:v>
      </x:c>
      <x:c r="C3756" s="3" t="n">
        <x:v>1</x:v>
      </x:c>
      <x:c r="D3756" s="51" t="n">
        <x:v>40519</x:v>
      </x:c>
      <x:c r="E3756" s="3" t="str">
        <x:v>Una compra</x:v>
      </x:c>
      <x:c r="F3756" s="13" t="n">
        <x:v>181.12</x:v>
      </x:c>
      <x:c r="G3756" s="13" t="n">
        <x:v>0</x:v>
      </x:c>
      <x:c r="H3756" s="13" t="n">
        <x:f>F3756-G3756</x:f>
        <x:v>181.12</x:v>
      </x:c>
      <x:c r="I3756" s="13" t="n">
        <x:f>IF(C3756=0,"n.a.",F3756/C3756)</x:f>
        <x:v>181.12</x:v>
      </x:c>
      <x:c r="J3756" s="3"/>
      <x:c r="K3756" s="3"/>
      <x:c r="L3756" s="3"/>
    </x:row>
    <x:row r="3757" ht="22" customHeight="1">
      <x:c r="A3757" s="3"/>
      <x:c r="B3757" s="3" t="str">
        <x:v>15886</x:v>
      </x:c>
      <x:c r="C3757" s="3" t="n">
        <x:v>1</x:v>
      </x:c>
      <x:c r="D3757" s="51" t="n">
        <x:v>40826</x:v>
      </x:c>
      <x:c r="E3757" s="3" t="str">
        <x:v>Una compra</x:v>
      </x:c>
      <x:c r="F3757" s="13" t="n">
        <x:v>181.09</x:v>
      </x:c>
      <x:c r="G3757" s="13" t="n">
        <x:v>0</x:v>
      </x:c>
      <x:c r="H3757" s="13" t="n">
        <x:f>F3757-G3757</x:f>
        <x:v>181.09</x:v>
      </x:c>
      <x:c r="I3757" s="13" t="n">
        <x:f>IF(C3757=0,"n.a.",F3757/C3757)</x:f>
        <x:v>181.09</x:v>
      </x:c>
      <x:c r="J3757" s="3"/>
      <x:c r="K3757" s="3"/>
      <x:c r="L3757" s="3"/>
    </x:row>
    <x:row r="3758" ht="22" customHeight="1">
      <x:c r="A3758" s="3"/>
      <x:c r="B3758" s="3" t="str">
        <x:v>16594</x:v>
      </x:c>
      <x:c r="C3758" s="3" t="n">
        <x:v>1</x:v>
      </x:c>
      <x:c r="D3758" s="51" t="n">
        <x:v>40811</x:v>
      </x:c>
      <x:c r="E3758" s="3" t="str">
        <x:v>Una compra</x:v>
      </x:c>
      <x:c r="F3758" s="13" t="n">
        <x:v>181.09</x:v>
      </x:c>
      <x:c r="G3758" s="13" t="n">
        <x:v>0</x:v>
      </x:c>
      <x:c r="H3758" s="13" t="n">
        <x:f>F3758-G3758</x:f>
        <x:v>181.09</x:v>
      </x:c>
      <x:c r="I3758" s="13" t="n">
        <x:f>IF(C3758=0,"n.a.",F3758/C3758)</x:f>
        <x:v>181.09</x:v>
      </x:c>
      <x:c r="J3758" s="3"/>
      <x:c r="K3758" s="3"/>
      <x:c r="L3758" s="3"/>
    </x:row>
    <x:row r="3759" ht="22" customHeight="1">
      <x:c r="A3759" s="3"/>
      <x:c r="B3759" s="3" t="str">
        <x:v>15945</x:v>
      </x:c>
      <x:c r="C3759" s="3" t="n">
        <x:v>1</x:v>
      </x:c>
      <x:c r="D3759" s="51" t="n">
        <x:v>40521</x:v>
      </x:c>
      <x:c r="E3759" s="3" t="str">
        <x:v>Una compra</x:v>
      </x:c>
      <x:c r="F3759" s="13" t="n">
        <x:v>181</x:v>
      </x:c>
      <x:c r="G3759" s="13" t="n">
        <x:v>0</x:v>
      </x:c>
      <x:c r="H3759" s="13" t="n">
        <x:f>F3759-G3759</x:f>
        <x:v>181</x:v>
      </x:c>
      <x:c r="I3759" s="13" t="n">
        <x:f>IF(C3759=0,"n.a.",F3759/C3759)</x:f>
        <x:v>181</x:v>
      </x:c>
      <x:c r="J3759" s="3"/>
      <x:c r="K3759" s="3"/>
      <x:c r="L3759" s="3"/>
    </x:row>
    <x:row r="3760" ht="22" customHeight="1">
      <x:c r="A3760" s="3"/>
      <x:c r="B3760" s="3" t="str">
        <x:v>15292</x:v>
      </x:c>
      <x:c r="C3760" s="3" t="n">
        <x:v>1</x:v>
      </x:c>
      <x:c r="D3760" s="51" t="n">
        <x:v>40685</x:v>
      </x:c>
      <x:c r="E3760" s="3" t="str">
        <x:v>Una compra</x:v>
      </x:c>
      <x:c r="F3760" s="13" t="n">
        <x:v>180.94</x:v>
      </x:c>
      <x:c r="G3760" s="13" t="n">
        <x:v>0</x:v>
      </x:c>
      <x:c r="H3760" s="13" t="n">
        <x:f>F3760-G3760</x:f>
        <x:v>180.94</x:v>
      </x:c>
      <x:c r="I3760" s="13" t="n">
        <x:f>IF(C3760=0,"n.a.",F3760/C3760)</x:f>
        <x:v>180.94</x:v>
      </x:c>
      <x:c r="J3760" s="3"/>
      <x:c r="K3760" s="3"/>
      <x:c r="L3760" s="3"/>
    </x:row>
    <x:row r="3761" ht="22" customHeight="1">
      <x:c r="A3761" s="3"/>
      <x:c r="B3761" s="3" t="str">
        <x:v>16835</x:v>
      </x:c>
      <x:c r="C3761" s="3" t="n">
        <x:v>2</x:v>
      </x:c>
      <x:c r="D3761" s="51" t="n">
        <x:v>40758</x:v>
      </x:c>
      <x:c r="E3761" s="3" t="str">
        <x:v>Recurrente</x:v>
      </x:c>
      <x:c r="F3761" s="13" t="n">
        <x:v>180.85</x:v>
      </x:c>
      <x:c r="G3761" s="13" t="n">
        <x:v>0</x:v>
      </x:c>
      <x:c r="H3761" s="13" t="n">
        <x:f>F3761-G3761</x:f>
        <x:v>180.85</x:v>
      </x:c>
      <x:c r="I3761" s="13" t="n">
        <x:f>IF(C3761=0,"n.a.",F3761/C3761)</x:f>
        <x:v>90.425</x:v>
      </x:c>
      <x:c r="J3761" s="3"/>
      <x:c r="K3761" s="3"/>
      <x:c r="L3761" s="3"/>
    </x:row>
    <x:row r="3762" ht="22" customHeight="1">
      <x:c r="A3762" s="3"/>
      <x:c r="B3762" s="3" t="str">
        <x:v>18280</x:v>
      </x:c>
      <x:c r="C3762" s="3" t="n">
        <x:v>1</x:v>
      </x:c>
      <x:c r="D3762" s="51" t="n">
        <x:v>40609</x:v>
      </x:c>
      <x:c r="E3762" s="3" t="str">
        <x:v>Una compra</x:v>
      </x:c>
      <x:c r="F3762" s="13" t="n">
        <x:v>180.6</x:v>
      </x:c>
      <x:c r="G3762" s="13" t="n">
        <x:v>0</x:v>
      </x:c>
      <x:c r="H3762" s="13" t="n">
        <x:f>F3762-G3762</x:f>
        <x:v>180.6</x:v>
      </x:c>
      <x:c r="I3762" s="13" t="n">
        <x:f>IF(C3762=0,"n.a.",F3762/C3762)</x:f>
        <x:v>180.6</x:v>
      </x:c>
      <x:c r="J3762" s="3"/>
      <x:c r="K3762" s="3"/>
      <x:c r="L3762" s="3"/>
    </x:row>
    <x:row r="3763" ht="22" customHeight="1">
      <x:c r="A3763" s="3"/>
      <x:c r="B3763" s="3" t="str">
        <x:v>13710</x:v>
      </x:c>
      <x:c r="C3763" s="3" t="n">
        <x:v>1</x:v>
      </x:c>
      <x:c r="D3763" s="51" t="n">
        <x:v>40855</x:v>
      </x:c>
      <x:c r="E3763" s="3" t="str">
        <x:v>Una compra</x:v>
      </x:c>
      <x:c r="F3763" s="13" t="n">
        <x:v>180.48</x:v>
      </x:c>
      <x:c r="G3763" s="13" t="n">
        <x:v>0</x:v>
      </x:c>
      <x:c r="H3763" s="13" t="n">
        <x:f>F3763-G3763</x:f>
        <x:v>180.48</x:v>
      </x:c>
      <x:c r="I3763" s="13" t="n">
        <x:f>IF(C3763=0,"n.a.",F3763/C3763)</x:f>
        <x:v>180.48</x:v>
      </x:c>
      <x:c r="J3763" s="3"/>
      <x:c r="K3763" s="3"/>
      <x:c r="L3763" s="3"/>
    </x:row>
    <x:row r="3764" ht="22" customHeight="1">
      <x:c r="A3764" s="3"/>
      <x:c r="B3764" s="3" t="str">
        <x:v>15041</x:v>
      </x:c>
      <x:c r="C3764" s="3" t="n">
        <x:v>1</x:v>
      </x:c>
      <x:c r="D3764" s="51" t="n">
        <x:v>40716</x:v>
      </x:c>
      <x:c r="E3764" s="3" t="str">
        <x:v>Una compra</x:v>
      </x:c>
      <x:c r="F3764" s="13" t="n">
        <x:v>180.35</x:v>
      </x:c>
      <x:c r="G3764" s="13" t="n">
        <x:v>0</x:v>
      </x:c>
      <x:c r="H3764" s="13" t="n">
        <x:f>F3764-G3764</x:f>
        <x:v>180.35</x:v>
      </x:c>
      <x:c r="I3764" s="13" t="n">
        <x:f>IF(C3764=0,"n.a.",F3764/C3764)</x:f>
        <x:v>180.35</x:v>
      </x:c>
      <x:c r="J3764" s="3"/>
      <x:c r="K3764" s="3"/>
      <x:c r="L3764" s="3"/>
    </x:row>
    <x:row r="3765" ht="22" customHeight="1">
      <x:c r="A3765" s="3"/>
      <x:c r="B3765" s="3" t="str">
        <x:v>14666</x:v>
      </x:c>
      <x:c r="C3765" s="3" t="n">
        <x:v>1</x:v>
      </x:c>
      <x:c r="D3765" s="51" t="n">
        <x:v>40862</x:v>
      </x:c>
      <x:c r="E3765" s="3" t="str">
        <x:v>Una compra</x:v>
      </x:c>
      <x:c r="F3765" s="13" t="n">
        <x:v>179.95</x:v>
      </x:c>
      <x:c r="G3765" s="13" t="n">
        <x:v>0</x:v>
      </x:c>
      <x:c r="H3765" s="13" t="n">
        <x:f>F3765-G3765</x:f>
        <x:v>179.95</x:v>
      </x:c>
      <x:c r="I3765" s="13" t="n">
        <x:f>IF(C3765=0,"n.a.",F3765/C3765)</x:f>
        <x:v>179.95</x:v>
      </x:c>
      <x:c r="J3765" s="3"/>
      <x:c r="K3765" s="3"/>
      <x:c r="L3765" s="3"/>
    </x:row>
    <x:row r="3766" ht="22" customHeight="1">
      <x:c r="A3766" s="3"/>
      <x:c r="B3766" s="3" t="str">
        <x:v>12586</x:v>
      </x:c>
      <x:c r="C3766" s="3" t="n">
        <x:v>1</x:v>
      </x:c>
      <x:c r="D3766" s="51" t="n">
        <x:v>40869</x:v>
      </x:c>
      <x:c r="E3766" s="3" t="str">
        <x:v>Una compra</x:v>
      </x:c>
      <x:c r="F3766" s="13" t="n">
        <x:v>196.94</x:v>
      </x:c>
      <x:c r="G3766" s="13" t="n">
        <x:v>17</x:v>
      </x:c>
      <x:c r="H3766" s="13" t="n">
        <x:f>F3766-G3766</x:f>
        <x:v>179.94</x:v>
      </x:c>
      <x:c r="I3766" s="13" t="n">
        <x:f>IF(C3766=0,"n.a.",F3766/C3766)</x:f>
        <x:v>196.94</x:v>
      </x:c>
      <x:c r="J3766" s="3"/>
      <x:c r="K3766" s="3"/>
      <x:c r="L3766" s="3"/>
    </x:row>
    <x:row r="3767" ht="22" customHeight="1">
      <x:c r="A3767" s="3"/>
      <x:c r="B3767" s="3" t="str">
        <x:v>12581</x:v>
      </x:c>
      <x:c r="C3767" s="3" t="n">
        <x:v>1</x:v>
      </x:c>
      <x:c r="D3767" s="51" t="n">
        <x:v>40847</x:v>
      </x:c>
      <x:c r="E3767" s="3" t="str">
        <x:v>Una compra</x:v>
      </x:c>
      <x:c r="F3767" s="13" t="n">
        <x:v>179.71</x:v>
      </x:c>
      <x:c r="G3767" s="13" t="n">
        <x:v>0</x:v>
      </x:c>
      <x:c r="H3767" s="13" t="n">
        <x:f>F3767-G3767</x:f>
        <x:v>179.71</x:v>
      </x:c>
      <x:c r="I3767" s="13" t="n">
        <x:f>IF(C3767=0,"n.a.",F3767/C3767)</x:f>
        <x:v>179.71</x:v>
      </x:c>
      <x:c r="J3767" s="3"/>
      <x:c r="K3767" s="3"/>
      <x:c r="L3767" s="3"/>
    </x:row>
    <x:row r="3768" ht="22" customHeight="1">
      <x:c r="A3768" s="3"/>
      <x:c r="B3768" s="3" t="str">
        <x:v>13826</x:v>
      </x:c>
      <x:c r="C3768" s="3" t="n">
        <x:v>1</x:v>
      </x:c>
      <x:c r="D3768" s="51" t="n">
        <x:v>40710</x:v>
      </x:c>
      <x:c r="E3768" s="3" t="str">
        <x:v>Una compra</x:v>
      </x:c>
      <x:c r="F3768" s="13" t="n">
        <x:v>189.5</x:v>
      </x:c>
      <x:c r="G3768" s="13" t="n">
        <x:v>9.95</x:v>
      </x:c>
      <x:c r="H3768" s="13" t="n">
        <x:f>F3768-G3768</x:f>
        <x:v>179.55</x:v>
      </x:c>
      <x:c r="I3768" s="13" t="n">
        <x:f>IF(C3768=0,"n.a.",F3768/C3768)</x:f>
        <x:v>189.5</x:v>
      </x:c>
      <x:c r="J3768" s="3"/>
      <x:c r="K3768" s="3"/>
      <x:c r="L3768" s="3"/>
    </x:row>
    <x:row r="3769" ht="22" customHeight="1">
      <x:c r="A3769" s="3"/>
      <x:c r="B3769" s="3" t="str">
        <x:v>18147</x:v>
      </x:c>
      <x:c r="C3769" s="3" t="n">
        <x:v>2</x:v>
      </x:c>
      <x:c r="D3769" s="51" t="n">
        <x:v>40841</x:v>
      </x:c>
      <x:c r="E3769" s="3" t="str">
        <x:v>Recurrente</x:v>
      </x:c>
      <x:c r="F3769" s="13" t="n">
        <x:v>179.34</x:v>
      </x:c>
      <x:c r="G3769" s="13" t="n">
        <x:v>0</x:v>
      </x:c>
      <x:c r="H3769" s="13" t="n">
        <x:f>F3769-G3769</x:f>
        <x:v>179.34</x:v>
      </x:c>
      <x:c r="I3769" s="13" t="n">
        <x:f>IF(C3769=0,"n.a.",F3769/C3769)</x:f>
        <x:v>89.67</x:v>
      </x:c>
      <x:c r="J3769" s="3"/>
      <x:c r="K3769" s="3"/>
      <x:c r="L3769" s="3"/>
    </x:row>
    <x:row r="3770" ht="22" customHeight="1">
      <x:c r="A3770" s="3"/>
      <x:c r="B3770" s="3" t="str">
        <x:v>15895</x:v>
      </x:c>
      <x:c r="C3770" s="3" t="n">
        <x:v>1</x:v>
      </x:c>
      <x:c r="D3770" s="51" t="n">
        <x:v>40737</x:v>
      </x:c>
      <x:c r="E3770" s="3" t="str">
        <x:v>Una compra</x:v>
      </x:c>
      <x:c r="F3770" s="13" t="n">
        <x:v>179.17</x:v>
      </x:c>
      <x:c r="G3770" s="13" t="n">
        <x:v>0</x:v>
      </x:c>
      <x:c r="H3770" s="13" t="n">
        <x:f>F3770-G3770</x:f>
        <x:v>179.17</x:v>
      </x:c>
      <x:c r="I3770" s="13" t="n">
        <x:f>IF(C3770=0,"n.a.",F3770/C3770)</x:f>
        <x:v>179.17</x:v>
      </x:c>
      <x:c r="J3770" s="3"/>
      <x:c r="K3770" s="3"/>
      <x:c r="L3770" s="3"/>
    </x:row>
    <x:row r="3771" ht="22" customHeight="1">
      <x:c r="A3771" s="3"/>
      <x:c r="B3771" s="3" t="str">
        <x:v>15454</x:v>
      </x:c>
      <x:c r="C3771" s="3" t="n">
        <x:v>1</x:v>
      </x:c>
      <x:c r="D3771" s="51" t="n">
        <x:v>40524</x:v>
      </x:c>
      <x:c r="E3771" s="3" t="str">
        <x:v>Una compra</x:v>
      </x:c>
      <x:c r="F3771" s="13" t="n">
        <x:v>179.1</x:v>
      </x:c>
      <x:c r="G3771" s="13" t="n">
        <x:v>0</x:v>
      </x:c>
      <x:c r="H3771" s="13" t="n">
        <x:f>F3771-G3771</x:f>
        <x:v>179.1</x:v>
      </x:c>
      <x:c r="I3771" s="13" t="n">
        <x:f>IF(C3771=0,"n.a.",F3771/C3771)</x:f>
        <x:v>179.1</x:v>
      </x:c>
      <x:c r="J3771" s="3"/>
      <x:c r="K3771" s="3"/>
      <x:c r="L3771" s="3"/>
    </x:row>
    <x:row r="3772" ht="22" customHeight="1">
      <x:c r="A3772" s="3"/>
      <x:c r="B3772" s="3" t="str">
        <x:v>14705</x:v>
      </x:c>
      <x:c r="C3772" s="3" t="n">
        <x:v>1</x:v>
      </x:c>
      <x:c r="D3772" s="51" t="n">
        <x:v>40688</x:v>
      </x:c>
      <x:c r="E3772" s="3" t="str">
        <x:v>Una compra</x:v>
      </x:c>
      <x:c r="F3772" s="13" t="n">
        <x:v>179</x:v>
      </x:c>
      <x:c r="G3772" s="13" t="n">
        <x:v>0</x:v>
      </x:c>
      <x:c r="H3772" s="13" t="n">
        <x:f>F3772-G3772</x:f>
        <x:v>179</x:v>
      </x:c>
      <x:c r="I3772" s="13" t="n">
        <x:f>IF(C3772=0,"n.a.",F3772/C3772)</x:f>
        <x:v>179</x:v>
      </x:c>
      <x:c r="J3772" s="3"/>
      <x:c r="K3772" s="3"/>
      <x:c r="L3772" s="3"/>
    </x:row>
    <x:row r="3773" ht="22" customHeight="1">
      <x:c r="A3773" s="3"/>
      <x:c r="B3773" s="3" t="str">
        <x:v>16990</x:v>
      </x:c>
      <x:c r="C3773" s="3" t="n">
        <x:v>1</x:v>
      </x:c>
      <x:c r="D3773" s="51" t="n">
        <x:v>40668</x:v>
      </x:c>
      <x:c r="E3773" s="3" t="str">
        <x:v>Una compra</x:v>
      </x:c>
      <x:c r="F3773" s="13" t="n">
        <x:v>179</x:v>
      </x:c>
      <x:c r="G3773" s="13" t="n">
        <x:v>0</x:v>
      </x:c>
      <x:c r="H3773" s="13" t="n">
        <x:f>F3773-G3773</x:f>
        <x:v>179</x:v>
      </x:c>
      <x:c r="I3773" s="13" t="n">
        <x:f>IF(C3773=0,"n.a.",F3773/C3773)</x:f>
        <x:v>179</x:v>
      </x:c>
      <x:c r="J3773" s="3"/>
      <x:c r="K3773" s="3"/>
      <x:c r="L3773" s="3"/>
    </x:row>
    <x:row r="3774" ht="22" customHeight="1">
      <x:c r="A3774" s="3"/>
      <x:c r="B3774" s="3" t="str">
        <x:v>15139</x:v>
      </x:c>
      <x:c r="C3774" s="3" t="n">
        <x:v>2</x:v>
      </x:c>
      <x:c r="D3774" s="51" t="n">
        <x:v>40647</x:v>
      </x:c>
      <x:c r="E3774" s="3" t="str">
        <x:v>Recurrente</x:v>
      </x:c>
      <x:c r="F3774" s="13" t="n">
        <x:v>178.96</x:v>
      </x:c>
      <x:c r="G3774" s="13" t="n">
        <x:v>0</x:v>
      </x:c>
      <x:c r="H3774" s="13" t="n">
        <x:f>F3774-G3774</x:f>
        <x:v>178.96</x:v>
      </x:c>
      <x:c r="I3774" s="13" t="n">
        <x:f>IF(C3774=0,"n.a.",F3774/C3774)</x:f>
        <x:v>89.48</x:v>
      </x:c>
      <x:c r="J3774" s="3"/>
      <x:c r="K3774" s="3"/>
      <x:c r="L3774" s="3"/>
    </x:row>
    <x:row r="3775" ht="22" customHeight="1">
      <x:c r="A3775" s="3"/>
      <x:c r="B3775" s="3" t="str">
        <x:v>16620</x:v>
      </x:c>
      <x:c r="C3775" s="3" t="n">
        <x:v>2</x:v>
      </x:c>
      <x:c r="D3775" s="51" t="n">
        <x:v>40883</x:v>
      </x:c>
      <x:c r="E3775" s="3" t="str">
        <x:v>Recurrente</x:v>
      </x:c>
      <x:c r="F3775" s="13" t="n">
        <x:v>178.96</x:v>
      </x:c>
      <x:c r="G3775" s="13" t="n">
        <x:v>0</x:v>
      </x:c>
      <x:c r="H3775" s="13" t="n">
        <x:f>F3775-G3775</x:f>
        <x:v>178.96</x:v>
      </x:c>
      <x:c r="I3775" s="13" t="n">
        <x:f>IF(C3775=0,"n.a.",F3775/C3775)</x:f>
        <x:v>89.48</x:v>
      </x:c>
      <x:c r="J3775" s="3"/>
      <x:c r="K3775" s="3"/>
      <x:c r="L3775" s="3"/>
    </x:row>
    <x:row r="3776" ht="22" customHeight="1">
      <x:c r="A3776" s="3"/>
      <x:c r="B3776" s="3" t="str">
        <x:v>15262</x:v>
      </x:c>
      <x:c r="C3776" s="3" t="n">
        <x:v>1</x:v>
      </x:c>
      <x:c r="D3776" s="51" t="n">
        <x:v>40563</x:v>
      </x:c>
      <x:c r="E3776" s="3" t="str">
        <x:v>Una compra</x:v>
      </x:c>
      <x:c r="F3776" s="13" t="n">
        <x:v>178.95</x:v>
      </x:c>
      <x:c r="G3776" s="13" t="n">
        <x:v>0</x:v>
      </x:c>
      <x:c r="H3776" s="13" t="n">
        <x:f>F3776-G3776</x:f>
        <x:v>178.95</x:v>
      </x:c>
      <x:c r="I3776" s="13" t="n">
        <x:f>IF(C3776=0,"n.a.",F3776/C3776)</x:f>
        <x:v>178.95</x:v>
      </x:c>
      <x:c r="J3776" s="3"/>
      <x:c r="K3776" s="3"/>
      <x:c r="L3776" s="3"/>
    </x:row>
    <x:row r="3777" ht="22" customHeight="1">
      <x:c r="A3777" s="3"/>
      <x:c r="B3777" s="3" t="str">
        <x:v>17904</x:v>
      </x:c>
      <x:c r="C3777" s="3" t="n">
        <x:v>1</x:v>
      </x:c>
      <x:c r="D3777" s="51" t="n">
        <x:v>40865</x:v>
      </x:c>
      <x:c r="E3777" s="3" t="str">
        <x:v>Una compra</x:v>
      </x:c>
      <x:c r="F3777" s="13" t="n">
        <x:v>191.67</x:v>
      </x:c>
      <x:c r="G3777" s="13" t="n">
        <x:v>12.75</x:v>
      </x:c>
      <x:c r="H3777" s="13" t="n">
        <x:f>F3777-G3777</x:f>
        <x:v>178.92</x:v>
      </x:c>
      <x:c r="I3777" s="13" t="n">
        <x:f>IF(C3777=0,"n.a.",F3777/C3777)</x:f>
        <x:v>191.67</x:v>
      </x:c>
      <x:c r="J3777" s="3"/>
      <x:c r="K3777" s="3"/>
      <x:c r="L3777" s="3"/>
    </x:row>
    <x:row r="3778" ht="22" customHeight="1">
      <x:c r="A3778" s="3"/>
      <x:c r="B3778" s="3" t="str">
        <x:v>13778</x:v>
      </x:c>
      <x:c r="C3778" s="3" t="n">
        <x:v>1</x:v>
      </x:c>
      <x:c r="D3778" s="51" t="n">
        <x:v>40783</x:v>
      </x:c>
      <x:c r="E3778" s="3" t="str">
        <x:v>Una compra</x:v>
      </x:c>
      <x:c r="F3778" s="13" t="n">
        <x:v>178.7</x:v>
      </x:c>
      <x:c r="G3778" s="13" t="n">
        <x:v>0</x:v>
      </x:c>
      <x:c r="H3778" s="13" t="n">
        <x:f>F3778-G3778</x:f>
        <x:v>178.7</x:v>
      </x:c>
      <x:c r="I3778" s="13" t="n">
        <x:f>IF(C3778=0,"n.a.",F3778/C3778)</x:f>
        <x:v>178.7</x:v>
      </x:c>
      <x:c r="J3778" s="3"/>
      <x:c r="K3778" s="3"/>
      <x:c r="L3778" s="3"/>
    </x:row>
    <x:row r="3779" ht="22" customHeight="1">
      <x:c r="A3779" s="3"/>
      <x:c r="B3779" s="3" t="str">
        <x:v>17879</x:v>
      </x:c>
      <x:c r="C3779" s="3" t="n">
        <x:v>1</x:v>
      </x:c>
      <x:c r="D3779" s="51" t="n">
        <x:v>40713</x:v>
      </x:c>
      <x:c r="E3779" s="3" t="str">
        <x:v>Una compra</x:v>
      </x:c>
      <x:c r="F3779" s="13" t="n">
        <x:v>178.52</x:v>
      </x:c>
      <x:c r="G3779" s="13" t="n">
        <x:v>0</x:v>
      </x:c>
      <x:c r="H3779" s="13" t="n">
        <x:f>F3779-G3779</x:f>
        <x:v>178.52</x:v>
      </x:c>
      <x:c r="I3779" s="13" t="n">
        <x:f>IF(C3779=0,"n.a.",F3779/C3779)</x:f>
        <x:v>178.52</x:v>
      </x:c>
      <x:c r="J3779" s="3"/>
      <x:c r="K3779" s="3"/>
      <x:c r="L3779" s="3"/>
    </x:row>
    <x:row r="3780" ht="22" customHeight="1">
      <x:c r="A3780" s="3"/>
      <x:c r="B3780" s="3" t="str">
        <x:v>13008</x:v>
      </x:c>
      <x:c r="C3780" s="3" t="n">
        <x:v>1</x:v>
      </x:c>
      <x:c r="D3780" s="51" t="n">
        <x:v>40563</x:v>
      </x:c>
      <x:c r="E3780" s="3" t="str">
        <x:v>Una compra</x:v>
      </x:c>
      <x:c r="F3780" s="13" t="n">
        <x:v>229.47</x:v>
      </x:c>
      <x:c r="G3780" s="13" t="n">
        <x:v>51</x:v>
      </x:c>
      <x:c r="H3780" s="13" t="n">
        <x:f>F3780-G3780</x:f>
        <x:v>178.47</x:v>
      </x:c>
      <x:c r="I3780" s="13" t="n">
        <x:f>IF(C3780=0,"n.a.",F3780/C3780)</x:f>
        <x:v>229.47</x:v>
      </x:c>
      <x:c r="J3780" s="3"/>
      <x:c r="K3780" s="3"/>
      <x:c r="L3780" s="3"/>
    </x:row>
    <x:row r="3781" ht="22" customHeight="1">
      <x:c r="A3781" s="3"/>
      <x:c r="B3781" s="3" t="str">
        <x:v>13271</x:v>
      </x:c>
      <x:c r="C3781" s="3" t="n">
        <x:v>1</x:v>
      </x:c>
      <x:c r="D3781" s="51" t="n">
        <x:v>40849</x:v>
      </x:c>
      <x:c r="E3781" s="3" t="str">
        <x:v>Una compra</x:v>
      </x:c>
      <x:c r="F3781" s="13" t="n">
        <x:v>217.38</x:v>
      </x:c>
      <x:c r="G3781" s="13" t="n">
        <x:v>39.12</x:v>
      </x:c>
      <x:c r="H3781" s="13" t="n">
        <x:f>F3781-G3781</x:f>
        <x:v>178.26</x:v>
      </x:c>
      <x:c r="I3781" s="13" t="n">
        <x:f>IF(C3781=0,"n.a.",F3781/C3781)</x:f>
        <x:v>217.38</x:v>
      </x:c>
      <x:c r="J3781" s="3"/>
      <x:c r="K3781" s="3"/>
      <x:c r="L3781" s="3"/>
    </x:row>
    <x:row r="3782" ht="22" customHeight="1">
      <x:c r="A3782" s="3"/>
      <x:c r="B3782" s="3" t="str">
        <x:v>17253</x:v>
      </x:c>
      <x:c r="C3782" s="3" t="n">
        <x:v>1</x:v>
      </x:c>
      <x:c r="D3782" s="51" t="n">
        <x:v>40868</x:v>
      </x:c>
      <x:c r="E3782" s="3" t="str">
        <x:v>Una compra</x:v>
      </x:c>
      <x:c r="F3782" s="13" t="n">
        <x:v>178.26</x:v>
      </x:c>
      <x:c r="G3782" s="13" t="n">
        <x:v>0</x:v>
      </x:c>
      <x:c r="H3782" s="13" t="n">
        <x:f>F3782-G3782</x:f>
        <x:v>178.26</x:v>
      </x:c>
      <x:c r="I3782" s="13" t="n">
        <x:f>IF(C3782=0,"n.a.",F3782/C3782)</x:f>
        <x:v>178.26</x:v>
      </x:c>
      <x:c r="J3782" s="3"/>
      <x:c r="K3782" s="3"/>
      <x:c r="L3782" s="3"/>
    </x:row>
    <x:row r="3783" ht="22" customHeight="1">
      <x:c r="A3783" s="3"/>
      <x:c r="B3783" s="3" t="str">
        <x:v>17356</x:v>
      </x:c>
      <x:c r="C3783" s="3" t="n">
        <x:v>1</x:v>
      </x:c>
      <x:c r="D3783" s="51" t="n">
        <x:v>40575</x:v>
      </x:c>
      <x:c r="E3783" s="3" t="str">
        <x:v>Una compra</x:v>
      </x:c>
      <x:c r="F3783" s="13" t="n">
        <x:v>178.22</x:v>
      </x:c>
      <x:c r="G3783" s="13" t="n">
        <x:v>0</x:v>
      </x:c>
      <x:c r="H3783" s="13" t="n">
        <x:f>F3783-G3783</x:f>
        <x:v>178.22</x:v>
      </x:c>
      <x:c r="I3783" s="13" t="n">
        <x:f>IF(C3783=0,"n.a.",F3783/C3783)</x:f>
        <x:v>178.22</x:v>
      </x:c>
      <x:c r="J3783" s="3"/>
      <x:c r="K3783" s="3"/>
      <x:c r="L3783" s="3"/>
    </x:row>
    <x:row r="3784" ht="22" customHeight="1">
      <x:c r="A3784" s="3"/>
      <x:c r="B3784" s="3" t="str">
        <x:v>12791</x:v>
      </x:c>
      <x:c r="C3784" s="3" t="n">
        <x:v>1</x:v>
      </x:c>
      <x:c r="D3784" s="51" t="n">
        <x:v>40513</x:v>
      </x:c>
      <x:c r="E3784" s="3" t="str">
        <x:v>Una compra</x:v>
      </x:c>
      <x:c r="F3784" s="13" t="n">
        <x:v>177.6</x:v>
      </x:c>
      <x:c r="G3784" s="13" t="n">
        <x:v>0</x:v>
      </x:c>
      <x:c r="H3784" s="13" t="n">
        <x:f>F3784-G3784</x:f>
        <x:v>177.6</x:v>
      </x:c>
      <x:c r="I3784" s="13" t="n">
        <x:f>IF(C3784=0,"n.a.",F3784/C3784)</x:f>
        <x:v>177.6</x:v>
      </x:c>
      <x:c r="J3784" s="3"/>
      <x:c r="K3784" s="3"/>
      <x:c r="L3784" s="3"/>
    </x:row>
    <x:row r="3785" ht="22" customHeight="1">
      <x:c r="A3785" s="3"/>
      <x:c r="B3785" s="3" t="str">
        <x:v>13618</x:v>
      </x:c>
      <x:c r="C3785" s="3" t="n">
        <x:v>1</x:v>
      </x:c>
      <x:c r="D3785" s="51" t="n">
        <x:v>40713</x:v>
      </x:c>
      <x:c r="E3785" s="3" t="str">
        <x:v>Una compra</x:v>
      </x:c>
      <x:c r="F3785" s="13" t="n">
        <x:v>177.34</x:v>
      </x:c>
      <x:c r="G3785" s="13" t="n">
        <x:v>0</x:v>
      </x:c>
      <x:c r="H3785" s="13" t="n">
        <x:f>F3785-G3785</x:f>
        <x:v>177.34</x:v>
      </x:c>
      <x:c r="I3785" s="13" t="n">
        <x:f>IF(C3785=0,"n.a.",F3785/C3785)</x:f>
        <x:v>177.34</x:v>
      </x:c>
      <x:c r="J3785" s="3"/>
      <x:c r="K3785" s="3"/>
      <x:c r="L3785" s="3"/>
    </x:row>
    <x:row r="3786" ht="22" customHeight="1">
      <x:c r="A3786" s="3"/>
      <x:c r="B3786" s="3" t="str">
        <x:v>13072</x:v>
      </x:c>
      <x:c r="C3786" s="3" t="n">
        <x:v>1</x:v>
      </x:c>
      <x:c r="D3786" s="51" t="n">
        <x:v>40620</x:v>
      </x:c>
      <x:c r="E3786" s="3" t="str">
        <x:v>Una compra</x:v>
      </x:c>
      <x:c r="F3786" s="13" t="n">
        <x:v>177.15</x:v>
      </x:c>
      <x:c r="G3786" s="13" t="n">
        <x:v>0</x:v>
      </x:c>
      <x:c r="H3786" s="13" t="n">
        <x:f>F3786-G3786</x:f>
        <x:v>177.15</x:v>
      </x:c>
      <x:c r="I3786" s="13" t="n">
        <x:f>IF(C3786=0,"n.a.",F3786/C3786)</x:f>
        <x:v>177.15</x:v>
      </x:c>
      <x:c r="J3786" s="3"/>
      <x:c r="K3786" s="3"/>
      <x:c r="L3786" s="3"/>
    </x:row>
    <x:row r="3787" ht="22" customHeight="1">
      <x:c r="A3787" s="3"/>
      <x:c r="B3787" s="3" t="str">
        <x:v>17440</x:v>
      </x:c>
      <x:c r="C3787" s="3" t="n">
        <x:v>3</x:v>
      </x:c>
      <x:c r="D3787" s="51" t="n">
        <x:v>40730</x:v>
      </x:c>
      <x:c r="E3787" s="3" t="str">
        <x:v>Recurrente</x:v>
      </x:c>
      <x:c r="F3787" s="13" t="n">
        <x:v>186.42</x:v>
      </x:c>
      <x:c r="G3787" s="13" t="n">
        <x:v>9.32</x:v>
      </x:c>
      <x:c r="H3787" s="13" t="n">
        <x:f>F3787-G3787</x:f>
        <x:v>177.1</x:v>
      </x:c>
      <x:c r="I3787" s="13" t="n">
        <x:f>IF(C3787=0,"n.a.",F3787/C3787)</x:f>
        <x:v>62.13999999999999</x:v>
      </x:c>
      <x:c r="J3787" s="3"/>
      <x:c r="K3787" s="3"/>
      <x:c r="L3787" s="3"/>
    </x:row>
    <x:row r="3788" ht="22" customHeight="1">
      <x:c r="A3788" s="3"/>
      <x:c r="B3788" s="3" t="str">
        <x:v>17947</x:v>
      </x:c>
      <x:c r="C3788" s="3" t="n">
        <x:v>1</x:v>
      </x:c>
      <x:c r="D3788" s="51" t="n">
        <x:v>40849</x:v>
      </x:c>
      <x:c r="E3788" s="3" t="str">
        <x:v>Una compra</x:v>
      </x:c>
      <x:c r="F3788" s="13" t="n">
        <x:v>176.68</x:v>
      </x:c>
      <x:c r="G3788" s="13" t="n">
        <x:v>0</x:v>
      </x:c>
      <x:c r="H3788" s="13" t="n">
        <x:f>F3788-G3788</x:f>
        <x:v>176.68</x:v>
      </x:c>
      <x:c r="I3788" s="13" t="n">
        <x:f>IF(C3788=0,"n.a.",F3788/C3788)</x:f>
        <x:v>176.68</x:v>
      </x:c>
      <x:c r="J3788" s="3"/>
      <x:c r="K3788" s="3"/>
      <x:c r="L3788" s="3"/>
    </x:row>
    <x:row r="3789" ht="22" customHeight="1">
      <x:c r="A3789" s="3"/>
      <x:c r="B3789" s="3" t="str">
        <x:v>16080</x:v>
      </x:c>
      <x:c r="C3789" s="3" t="n">
        <x:v>2</x:v>
      </x:c>
      <x:c r="D3789" s="51" t="n">
        <x:v>40805</x:v>
      </x:c>
      <x:c r="E3789" s="3" t="str">
        <x:v>Recurrente</x:v>
      </x:c>
      <x:c r="F3789" s="13" t="n">
        <x:v>217.16</x:v>
      </x:c>
      <x:c r="G3789" s="13" t="n">
        <x:v>40.56</x:v>
      </x:c>
      <x:c r="H3789" s="13" t="n">
        <x:f>F3789-G3789</x:f>
        <x:v>176.6</x:v>
      </x:c>
      <x:c r="I3789" s="13" t="n">
        <x:f>IF(C3789=0,"n.a.",F3789/C3789)</x:f>
        <x:v>108.58</x:v>
      </x:c>
      <x:c r="J3789" s="3"/>
      <x:c r="K3789" s="3"/>
      <x:c r="L3789" s="3"/>
    </x:row>
    <x:row r="3790" ht="22" customHeight="1">
      <x:c r="A3790" s="3"/>
      <x:c r="B3790" s="3" t="str">
        <x:v>18282</x:v>
      </x:c>
      <x:c r="C3790" s="3" t="n">
        <x:v>2</x:v>
      </x:c>
      <x:c r="D3790" s="51" t="n">
        <x:v>40879</x:v>
      </x:c>
      <x:c r="E3790" s="3" t="str">
        <x:v>Recurrente</x:v>
      </x:c>
      <x:c r="F3790" s="13" t="n">
        <x:v>178.05</x:v>
      </x:c>
      <x:c r="G3790" s="13" t="n">
        <x:v>1.45</x:v>
      </x:c>
      <x:c r="H3790" s="13" t="n">
        <x:f>F3790-G3790</x:f>
        <x:v>176.60000000000002</x:v>
      </x:c>
      <x:c r="I3790" s="13" t="n">
        <x:f>IF(C3790=0,"n.a.",F3790/C3790)</x:f>
        <x:v>89.025</x:v>
      </x:c>
      <x:c r="J3790" s="3"/>
      <x:c r="K3790" s="3"/>
      <x:c r="L3790" s="3"/>
    </x:row>
    <x:row r="3791" ht="22" customHeight="1">
      <x:c r="A3791" s="3"/>
      <x:c r="B3791" s="3" t="str">
        <x:v>12923</x:v>
      </x:c>
      <x:c r="C3791" s="3" t="n">
        <x:v>1</x:v>
      </x:c>
      <x:c r="D3791" s="51" t="n">
        <x:v>40822</x:v>
      </x:c>
      <x:c r="E3791" s="3" t="str">
        <x:v>Una compra</x:v>
      </x:c>
      <x:c r="F3791" s="13" t="n">
        <x:v>175.72</x:v>
      </x:c>
      <x:c r="G3791" s="13" t="n">
        <x:v>0</x:v>
      </x:c>
      <x:c r="H3791" s="13" t="n">
        <x:f>F3791-G3791</x:f>
        <x:v>175.72</x:v>
      </x:c>
      <x:c r="I3791" s="13" t="n">
        <x:f>IF(C3791=0,"n.a.",F3791/C3791)</x:f>
        <x:v>175.72</x:v>
      </x:c>
      <x:c r="J3791" s="3"/>
      <x:c r="K3791" s="3"/>
      <x:c r="L3791" s="3"/>
    </x:row>
    <x:row r="3792" ht="22" customHeight="1">
      <x:c r="A3792" s="3"/>
      <x:c r="B3792" s="3" t="str">
        <x:v>17582</x:v>
      </x:c>
      <x:c r="C3792" s="3" t="n">
        <x:v>1</x:v>
      </x:c>
      <x:c r="D3792" s="51" t="n">
        <x:v>40650</x:v>
      </x:c>
      <x:c r="E3792" s="3" t="str">
        <x:v>Una compra</x:v>
      </x:c>
      <x:c r="F3792" s="13" t="n">
        <x:v>175.27</x:v>
      </x:c>
      <x:c r="G3792" s="13" t="n">
        <x:v>0</x:v>
      </x:c>
      <x:c r="H3792" s="13" t="n">
        <x:f>F3792-G3792</x:f>
        <x:v>175.27</x:v>
      </x:c>
      <x:c r="I3792" s="13" t="n">
        <x:f>IF(C3792=0,"n.a.",F3792/C3792)</x:f>
        <x:v>175.27</x:v>
      </x:c>
      <x:c r="J3792" s="3"/>
      <x:c r="K3792" s="3"/>
      <x:c r="L3792" s="3"/>
    </x:row>
    <x:row r="3793" ht="22" customHeight="1">
      <x:c r="A3793" s="3"/>
      <x:c r="B3793" s="3" t="str">
        <x:v>16144</x:v>
      </x:c>
      <x:c r="C3793" s="3" t="n">
        <x:v>1</x:v>
      </x:c>
      <x:c r="D3793" s="51" t="n">
        <x:v>40640</x:v>
      </x:c>
      <x:c r="E3793" s="3" t="str">
        <x:v>Una compra</x:v>
      </x:c>
      <x:c r="F3793" s="13" t="n">
        <x:v>175.2</x:v>
      </x:c>
      <x:c r="G3793" s="13" t="n">
        <x:v>0</x:v>
      </x:c>
      <x:c r="H3793" s="13" t="n">
        <x:f>F3793-G3793</x:f>
        <x:v>175.2</x:v>
      </x:c>
      <x:c r="I3793" s="13" t="n">
        <x:f>IF(C3793=0,"n.a.",F3793/C3793)</x:f>
        <x:v>175.2</x:v>
      </x:c>
      <x:c r="J3793" s="3"/>
      <x:c r="K3793" s="3"/>
      <x:c r="L3793" s="3"/>
    </x:row>
    <x:row r="3794" ht="22" customHeight="1">
      <x:c r="A3794" s="3"/>
      <x:c r="B3794" s="3" t="str">
        <x:v>17331</x:v>
      </x:c>
      <x:c r="C3794" s="3" t="n">
        <x:v>1</x:v>
      </x:c>
      <x:c r="D3794" s="51" t="n">
        <x:v>40763</x:v>
      </x:c>
      <x:c r="E3794" s="3" t="str">
        <x:v>Una compra</x:v>
      </x:c>
      <x:c r="F3794" s="13" t="n">
        <x:v>175.2</x:v>
      </x:c>
      <x:c r="G3794" s="13" t="n">
        <x:v>0</x:v>
      </x:c>
      <x:c r="H3794" s="13" t="n">
        <x:f>F3794-G3794</x:f>
        <x:v>175.2</x:v>
      </x:c>
      <x:c r="I3794" s="13" t="n">
        <x:f>IF(C3794=0,"n.a.",F3794/C3794)</x:f>
        <x:v>175.2</x:v>
      </x:c>
      <x:c r="J3794" s="3"/>
      <x:c r="K3794" s="3"/>
      <x:c r="L3794" s="3"/>
    </x:row>
    <x:row r="3795" ht="22" customHeight="1">
      <x:c r="A3795" s="3"/>
      <x:c r="B3795" s="3" t="str">
        <x:v>12361</x:v>
      </x:c>
      <x:c r="C3795" s="3" t="n">
        <x:v>1</x:v>
      </x:c>
      <x:c r="D3795" s="51" t="n">
        <x:v>40599</x:v>
      </x:c>
      <x:c r="E3795" s="3" t="str">
        <x:v>Una compra</x:v>
      </x:c>
      <x:c r="F3795" s="13" t="n">
        <x:v>174.9</x:v>
      </x:c>
      <x:c r="G3795" s="13" t="n">
        <x:v>0</x:v>
      </x:c>
      <x:c r="H3795" s="13" t="n">
        <x:f>F3795-G3795</x:f>
        <x:v>174.9</x:v>
      </x:c>
      <x:c r="I3795" s="13" t="n">
        <x:f>IF(C3795=0,"n.a.",F3795/C3795)</x:f>
        <x:v>174.9</x:v>
      </x:c>
      <x:c r="J3795" s="3"/>
      <x:c r="K3795" s="3"/>
      <x:c r="L3795" s="3"/>
    </x:row>
    <x:row r="3796" ht="22" customHeight="1">
      <x:c r="A3796" s="3"/>
      <x:c r="B3796" s="3" t="str">
        <x:v>12588</x:v>
      </x:c>
      <x:c r="C3796" s="3" t="n">
        <x:v>1</x:v>
      </x:c>
      <x:c r="D3796" s="51" t="n">
        <x:v>40847</x:v>
      </x:c>
      <x:c r="E3796" s="3" t="str">
        <x:v>Una compra</x:v>
      </x:c>
      <x:c r="F3796" s="13" t="n">
        <x:v>174.9</x:v>
      </x:c>
      <x:c r="G3796" s="13" t="n">
        <x:v>0</x:v>
      </x:c>
      <x:c r="H3796" s="13" t="n">
        <x:f>F3796-G3796</x:f>
        <x:v>174.9</x:v>
      </x:c>
      <x:c r="I3796" s="13" t="n">
        <x:f>IF(C3796=0,"n.a.",F3796/C3796)</x:f>
        <x:v>174.9</x:v>
      </x:c>
      <x:c r="J3796" s="3"/>
      <x:c r="K3796" s="3"/>
      <x:c r="L3796" s="3"/>
    </x:row>
    <x:row r="3797" ht="22" customHeight="1">
      <x:c r="A3797" s="3"/>
      <x:c r="B3797" s="3" t="str">
        <x:v>18010</x:v>
      </x:c>
      <x:c r="C3797" s="3" t="n">
        <x:v>1</x:v>
      </x:c>
      <x:c r="D3797" s="51" t="n">
        <x:v>40630</x:v>
      </x:c>
      <x:c r="E3797" s="3" t="str">
        <x:v>Una compra</x:v>
      </x:c>
      <x:c r="F3797" s="13" t="n">
        <x:v>174.8</x:v>
      </x:c>
      <x:c r="G3797" s="13" t="n">
        <x:v>0</x:v>
      </x:c>
      <x:c r="H3797" s="13" t="n">
        <x:f>F3797-G3797</x:f>
        <x:v>174.8</x:v>
      </x:c>
      <x:c r="I3797" s="13" t="n">
        <x:f>IF(C3797=0,"n.a.",F3797/C3797)</x:f>
        <x:v>174.8</x:v>
      </x:c>
      <x:c r="J3797" s="3"/>
      <x:c r="K3797" s="3"/>
      <x:c r="L3797" s="3"/>
    </x:row>
    <x:row r="3798" ht="22" customHeight="1">
      <x:c r="A3798" s="3"/>
      <x:c r="B3798" s="3" t="str">
        <x:v>14355</x:v>
      </x:c>
      <x:c r="C3798" s="3" t="n">
        <x:v>1</x:v>
      </x:c>
      <x:c r="D3798" s="51" t="n">
        <x:v>40521</x:v>
      </x:c>
      <x:c r="E3798" s="3" t="str">
        <x:v>Una compra</x:v>
      </x:c>
      <x:c r="F3798" s="13" t="n">
        <x:v>174.4</x:v>
      </x:c>
      <x:c r="G3798" s="13" t="n">
        <x:v>0</x:v>
      </x:c>
      <x:c r="H3798" s="13" t="n">
        <x:f>F3798-G3798</x:f>
        <x:v>174.4</x:v>
      </x:c>
      <x:c r="I3798" s="13" t="n">
        <x:f>IF(C3798=0,"n.a.",F3798/C3798)</x:f>
        <x:v>174.4</x:v>
      </x:c>
      <x:c r="J3798" s="3"/>
      <x:c r="K3798" s="3"/>
      <x:c r="L3798" s="3"/>
    </x:row>
    <x:row r="3799" ht="22" customHeight="1">
      <x:c r="A3799" s="3"/>
      <x:c r="B3799" s="3" t="str">
        <x:v>13560</x:v>
      </x:c>
      <x:c r="C3799" s="3" t="n">
        <x:v>1</x:v>
      </x:c>
      <x:c r="D3799" s="51" t="n">
        <x:v>40879</x:v>
      </x:c>
      <x:c r="E3799" s="3" t="str">
        <x:v>Una compra</x:v>
      </x:c>
      <x:c r="F3799" s="13" t="n">
        <x:v>174.37</x:v>
      </x:c>
      <x:c r="G3799" s="13" t="n">
        <x:v>0</x:v>
      </x:c>
      <x:c r="H3799" s="13" t="n">
        <x:f>F3799-G3799</x:f>
        <x:v>174.37</x:v>
      </x:c>
      <x:c r="I3799" s="13" t="n">
        <x:f>IF(C3799=0,"n.a.",F3799/C3799)</x:f>
        <x:v>174.37</x:v>
      </x:c>
      <x:c r="J3799" s="3"/>
      <x:c r="K3799" s="3"/>
      <x:c r="L3799" s="3"/>
    </x:row>
    <x:row r="3800" ht="22" customHeight="1">
      <x:c r="A3800" s="3"/>
      <x:c r="B3800" s="3" t="str">
        <x:v>14518</x:v>
      </x:c>
      <x:c r="C3800" s="3" t="n">
        <x:v>1</x:v>
      </x:c>
      <x:c r="D3800" s="51" t="n">
        <x:v>40822</x:v>
      </x:c>
      <x:c r="E3800" s="3" t="str">
        <x:v>Una compra</x:v>
      </x:c>
      <x:c r="F3800" s="13" t="n">
        <x:v>174.37</x:v>
      </x:c>
      <x:c r="G3800" s="13" t="n">
        <x:v>0</x:v>
      </x:c>
      <x:c r="H3800" s="13" t="n">
        <x:f>F3800-G3800</x:f>
        <x:v>174.37</x:v>
      </x:c>
      <x:c r="I3800" s="13" t="n">
        <x:f>IF(C3800=0,"n.a.",F3800/C3800)</x:f>
        <x:v>174.37</x:v>
      </x:c>
      <x:c r="J3800" s="3"/>
      <x:c r="K3800" s="3"/>
      <x:c r="L3800" s="3"/>
    </x:row>
    <x:row r="3801" ht="22" customHeight="1">
      <x:c r="A3801" s="3"/>
      <x:c r="B3801" s="3" t="str">
        <x:v>15335</x:v>
      </x:c>
      <x:c r="C3801" s="3" t="n">
        <x:v>1</x:v>
      </x:c>
      <x:c r="D3801" s="51" t="n">
        <x:v>40833</x:v>
      </x:c>
      <x:c r="E3801" s="3" t="str">
        <x:v>Una compra</x:v>
      </x:c>
      <x:c r="F3801" s="13" t="n">
        <x:v>173.97</x:v>
      </x:c>
      <x:c r="G3801" s="13" t="n">
        <x:v>0</x:v>
      </x:c>
      <x:c r="H3801" s="13" t="n">
        <x:f>F3801-G3801</x:f>
        <x:v>173.97</x:v>
      </x:c>
      <x:c r="I3801" s="13" t="n">
        <x:f>IF(C3801=0,"n.a.",F3801/C3801)</x:f>
        <x:v>173.97</x:v>
      </x:c>
      <x:c r="J3801" s="3"/>
      <x:c r="K3801" s="3"/>
      <x:c r="L3801" s="3"/>
    </x:row>
    <x:row r="3802" ht="22" customHeight="1">
      <x:c r="A3802" s="3"/>
      <x:c r="B3802" s="3" t="str">
        <x:v>18278</x:v>
      </x:c>
      <x:c r="C3802" s="3" t="n">
        <x:v>1</x:v>
      </x:c>
      <x:c r="D3802" s="51" t="n">
        <x:v>40813</x:v>
      </x:c>
      <x:c r="E3802" s="3" t="str">
        <x:v>Una compra</x:v>
      </x:c>
      <x:c r="F3802" s="13" t="n">
        <x:v>173.9</x:v>
      </x:c>
      <x:c r="G3802" s="13" t="n">
        <x:v>0</x:v>
      </x:c>
      <x:c r="H3802" s="13" t="n">
        <x:f>F3802-G3802</x:f>
        <x:v>173.9</x:v>
      </x:c>
      <x:c r="I3802" s="13" t="n">
        <x:f>IF(C3802=0,"n.a.",F3802/C3802)</x:f>
        <x:v>173.9</x:v>
      </x:c>
      <x:c r="J3802" s="3"/>
      <x:c r="K3802" s="3"/>
      <x:c r="L3802" s="3"/>
    </x:row>
    <x:row r="3803" ht="22" customHeight="1">
      <x:c r="A3803" s="3"/>
      <x:c r="B3803" s="3" t="str">
        <x:v>14798</x:v>
      </x:c>
      <x:c r="C3803" s="3" t="n">
        <x:v>3</x:v>
      </x:c>
      <x:c r="D3803" s="51" t="n">
        <x:v>40834</x:v>
      </x:c>
      <x:c r="E3803" s="3" t="str">
        <x:v>Recurrente</x:v>
      </x:c>
      <x:c r="F3803" s="13" t="n">
        <x:v>173.74</x:v>
      </x:c>
      <x:c r="G3803" s="13" t="n">
        <x:v>0</x:v>
      </x:c>
      <x:c r="H3803" s="13" t="n">
        <x:f>F3803-G3803</x:f>
        <x:v>173.74</x:v>
      </x:c>
      <x:c r="I3803" s="13" t="n">
        <x:f>IF(C3803=0,"n.a.",F3803/C3803)</x:f>
        <x:v>57.913333333333334</x:v>
      </x:c>
      <x:c r="J3803" s="3"/>
      <x:c r="K3803" s="3"/>
      <x:c r="L3803" s="3"/>
    </x:row>
    <x:row r="3804" ht="22" customHeight="1">
      <x:c r="A3804" s="3"/>
      <x:c r="B3804" s="3" t="str">
        <x:v>16565</x:v>
      </x:c>
      <x:c r="C3804" s="3" t="n">
        <x:v>1</x:v>
      </x:c>
      <x:c r="D3804" s="51" t="n">
        <x:v>40522</x:v>
      </x:c>
      <x:c r="E3804" s="3" t="str">
        <x:v>Una compra</x:v>
      </x:c>
      <x:c r="F3804" s="13" t="n">
        <x:v>173.7</x:v>
      </x:c>
      <x:c r="G3804" s="13" t="n">
        <x:v>0</x:v>
      </x:c>
      <x:c r="H3804" s="13" t="n">
        <x:f>F3804-G3804</x:f>
        <x:v>173.7</x:v>
      </x:c>
      <x:c r="I3804" s="13" t="n">
        <x:f>IF(C3804=0,"n.a.",F3804/C3804)</x:f>
        <x:v>173.7</x:v>
      </x:c>
      <x:c r="J3804" s="3"/>
      <x:c r="K3804" s="3"/>
      <x:c r="L3804" s="3"/>
    </x:row>
    <x:row r="3805" ht="22" customHeight="1">
      <x:c r="A3805" s="3"/>
      <x:c r="B3805" s="3" t="str">
        <x:v>15565</x:v>
      </x:c>
      <x:c r="C3805" s="3" t="n">
        <x:v>2</x:v>
      </x:c>
      <x:c r="D3805" s="51" t="n">
        <x:v>40836</x:v>
      </x:c>
      <x:c r="E3805" s="3" t="str">
        <x:v>Recurrente</x:v>
      </x:c>
      <x:c r="F3805" s="13" t="n">
        <x:v>173.16</x:v>
      </x:c>
      <x:c r="G3805" s="13" t="n">
        <x:v>0</x:v>
      </x:c>
      <x:c r="H3805" s="13" t="n">
        <x:f>F3805-G3805</x:f>
        <x:v>173.16</x:v>
      </x:c>
      <x:c r="I3805" s="13" t="n">
        <x:f>IF(C3805=0,"n.a.",F3805/C3805)</x:f>
        <x:v>86.58</x:v>
      </x:c>
      <x:c r="J3805" s="3"/>
      <x:c r="K3805" s="3"/>
      <x:c r="L3805" s="3"/>
    </x:row>
    <x:row r="3806" ht="22" customHeight="1">
      <x:c r="A3806" s="3"/>
      <x:c r="B3806" s="3" t="str">
        <x:v>15670</x:v>
      </x:c>
      <x:c r="C3806" s="3" t="n">
        <x:v>1</x:v>
      </x:c>
      <x:c r="D3806" s="51" t="n">
        <x:v>40590</x:v>
      </x:c>
      <x:c r="E3806" s="3" t="str">
        <x:v>Una compra</x:v>
      </x:c>
      <x:c r="F3806" s="13" t="n">
        <x:v>173.05</x:v>
      </x:c>
      <x:c r="G3806" s="13" t="n">
        <x:v>0</x:v>
      </x:c>
      <x:c r="H3806" s="13" t="n">
        <x:f>F3806-G3806</x:f>
        <x:v>173.05</x:v>
      </x:c>
      <x:c r="I3806" s="13" t="n">
        <x:f>IF(C3806=0,"n.a.",F3806/C3806)</x:f>
        <x:v>173.05</x:v>
      </x:c>
      <x:c r="J3806" s="3"/>
      <x:c r="K3806" s="3"/>
      <x:c r="L3806" s="3"/>
    </x:row>
    <x:row r="3807" ht="22" customHeight="1">
      <x:c r="A3807" s="3"/>
      <x:c r="B3807" s="3" t="str">
        <x:v>14693</x:v>
      </x:c>
      <x:c r="C3807" s="3" t="n">
        <x:v>1</x:v>
      </x:c>
      <x:c r="D3807" s="51" t="n">
        <x:v>40622</x:v>
      </x:c>
      <x:c r="E3807" s="3" t="str">
        <x:v>Una compra</x:v>
      </x:c>
      <x:c r="F3807" s="13" t="n">
        <x:v>172.9</x:v>
      </x:c>
      <x:c r="G3807" s="13" t="n">
        <x:v>0</x:v>
      </x:c>
      <x:c r="H3807" s="13" t="n">
        <x:f>F3807-G3807</x:f>
        <x:v>172.9</x:v>
      </x:c>
      <x:c r="I3807" s="13" t="n">
        <x:f>IF(C3807=0,"n.a.",F3807/C3807)</x:f>
        <x:v>172.9</x:v>
      </x:c>
      <x:c r="J3807" s="3"/>
      <x:c r="K3807" s="3"/>
      <x:c r="L3807" s="3"/>
    </x:row>
    <x:row r="3808" ht="22" customHeight="1">
      <x:c r="A3808" s="3"/>
      <x:c r="B3808" s="3" t="str">
        <x:v>18048</x:v>
      </x:c>
      <x:c r="C3808" s="3" t="n">
        <x:v>2</x:v>
      </x:c>
      <x:c r="D3808" s="51" t="n">
        <x:v>40683</x:v>
      </x:c>
      <x:c r="E3808" s="3" t="str">
        <x:v>Recurrente</x:v>
      </x:c>
      <x:c r="F3808" s="13" t="n">
        <x:v>172.29</x:v>
      </x:c>
      <x:c r="G3808" s="13" t="n">
        <x:v>0</x:v>
      </x:c>
      <x:c r="H3808" s="13" t="n">
        <x:f>F3808-G3808</x:f>
        <x:v>172.29</x:v>
      </x:c>
      <x:c r="I3808" s="13" t="n">
        <x:f>IF(C3808=0,"n.a.",F3808/C3808)</x:f>
        <x:v>86.145</x:v>
      </x:c>
      <x:c r="J3808" s="3"/>
      <x:c r="K3808" s="3"/>
      <x:c r="L3808" s="3"/>
    </x:row>
    <x:row r="3809" ht="22" customHeight="1">
      <x:c r="A3809" s="3"/>
      <x:c r="B3809" s="3" t="str">
        <x:v>13690</x:v>
      </x:c>
      <x:c r="C3809" s="3" t="n">
        <x:v>1</x:v>
      </x:c>
      <x:c r="D3809" s="51" t="n">
        <x:v>40827</x:v>
      </x:c>
      <x:c r="E3809" s="3" t="str">
        <x:v>Una compra</x:v>
      </x:c>
      <x:c r="F3809" s="13" t="n">
        <x:v>172.25</x:v>
      </x:c>
      <x:c r="G3809" s="13" t="n">
        <x:v>0</x:v>
      </x:c>
      <x:c r="H3809" s="13" t="n">
        <x:f>F3809-G3809</x:f>
        <x:v>172.25</x:v>
      </x:c>
      <x:c r="I3809" s="13" t="n">
        <x:f>IF(C3809=0,"n.a.",F3809/C3809)</x:f>
        <x:v>172.25</x:v>
      </x:c>
      <x:c r="J3809" s="3"/>
      <x:c r="K3809" s="3"/>
      <x:c r="L3809" s="3"/>
    </x:row>
    <x:row r="3810" ht="22" customHeight="1">
      <x:c r="A3810" s="3"/>
      <x:c r="B3810" s="3" t="str">
        <x:v>13922</x:v>
      </x:c>
      <x:c r="C3810" s="3" t="n">
        <x:v>1</x:v>
      </x:c>
      <x:c r="D3810" s="51" t="n">
        <x:v>40535</x:v>
      </x:c>
      <x:c r="E3810" s="3" t="str">
        <x:v>Una compra</x:v>
      </x:c>
      <x:c r="F3810" s="13" t="n">
        <x:v>172.25</x:v>
      </x:c>
      <x:c r="G3810" s="13" t="n">
        <x:v>0</x:v>
      </x:c>
      <x:c r="H3810" s="13" t="n">
        <x:f>F3810-G3810</x:f>
        <x:v>172.25</x:v>
      </x:c>
      <x:c r="I3810" s="13" t="n">
        <x:f>IF(C3810=0,"n.a.",F3810/C3810)</x:f>
        <x:v>172.25</x:v>
      </x:c>
      <x:c r="J3810" s="3"/>
      <x:c r="K3810" s="3"/>
      <x:c r="L3810" s="3"/>
    </x:row>
    <x:row r="3811" ht="22" customHeight="1">
      <x:c r="A3811" s="3"/>
      <x:c r="B3811" s="3" t="str">
        <x:v>14536</x:v>
      </x:c>
      <x:c r="C3811" s="3" t="n">
        <x:v>1</x:v>
      </x:c>
      <x:c r="D3811" s="51" t="n">
        <x:v>40627</x:v>
      </x:c>
      <x:c r="E3811" s="3" t="str">
        <x:v>Una compra</x:v>
      </x:c>
      <x:c r="F3811" s="13" t="n">
        <x:v>171.8</x:v>
      </x:c>
      <x:c r="G3811" s="13" t="n">
        <x:v>0</x:v>
      </x:c>
      <x:c r="H3811" s="13" t="n">
        <x:f>F3811-G3811</x:f>
        <x:v>171.8</x:v>
      </x:c>
      <x:c r="I3811" s="13" t="n">
        <x:f>IF(C3811=0,"n.a.",F3811/C3811)</x:f>
        <x:v>171.8</x:v>
      </x:c>
      <x:c r="J3811" s="3"/>
      <x:c r="K3811" s="3"/>
      <x:c r="L3811" s="3"/>
    </x:row>
    <x:row r="3812" ht="22" customHeight="1">
      <x:c r="A3812" s="3"/>
      <x:c r="B3812" s="3" t="str">
        <x:v>16773</x:v>
      </x:c>
      <x:c r="C3812" s="3" t="n">
        <x:v>1</x:v>
      </x:c>
      <x:c r="D3812" s="51" t="n">
        <x:v>40829</x:v>
      </x:c>
      <x:c r="E3812" s="3" t="str">
        <x:v>Una compra</x:v>
      </x:c>
      <x:c r="F3812" s="13" t="n">
        <x:v>171.59</x:v>
      </x:c>
      <x:c r="G3812" s="13" t="n">
        <x:v>0</x:v>
      </x:c>
      <x:c r="H3812" s="13" t="n">
        <x:f>F3812-G3812</x:f>
        <x:v>171.59</x:v>
      </x:c>
      <x:c r="I3812" s="13" t="n">
        <x:f>IF(C3812=0,"n.a.",F3812/C3812)</x:f>
        <x:v>171.59</x:v>
      </x:c>
      <x:c r="J3812" s="3"/>
      <x:c r="K3812" s="3"/>
      <x:c r="L3812" s="3"/>
    </x:row>
    <x:row r="3813" ht="22" customHeight="1">
      <x:c r="A3813" s="3"/>
      <x:c r="B3813" s="3" t="str">
        <x:v>17245</x:v>
      </x:c>
      <x:c r="C3813" s="3" t="n">
        <x:v>1</x:v>
      </x:c>
      <x:c r="D3813" s="51" t="n">
        <x:v>40682</x:v>
      </x:c>
      <x:c r="E3813" s="3" t="str">
        <x:v>Una compra</x:v>
      </x:c>
      <x:c r="F3813" s="13" t="n">
        <x:v>171.45</x:v>
      </x:c>
      <x:c r="G3813" s="13" t="n">
        <x:v>0</x:v>
      </x:c>
      <x:c r="H3813" s="13" t="n">
        <x:f>F3813-G3813</x:f>
        <x:v>171.45</x:v>
      </x:c>
      <x:c r="I3813" s="13" t="n">
        <x:f>IF(C3813=0,"n.a.",F3813/C3813)</x:f>
        <x:v>171.45</x:v>
      </x:c>
      <x:c r="J3813" s="3"/>
      <x:c r="K3813" s="3"/>
      <x:c r="L3813" s="3"/>
    </x:row>
    <x:row r="3814" ht="22" customHeight="1">
      <x:c r="A3814" s="3"/>
      <x:c r="B3814" s="3" t="str">
        <x:v>15432</x:v>
      </x:c>
      <x:c r="C3814" s="3" t="n">
        <x:v>1</x:v>
      </x:c>
      <x:c r="D3814" s="51" t="n">
        <x:v>40863</x:v>
      </x:c>
      <x:c r="E3814" s="3" t="str">
        <x:v>Una compra</x:v>
      </x:c>
      <x:c r="F3814" s="13" t="n">
        <x:v>171.19</x:v>
      </x:c>
      <x:c r="G3814" s="13" t="n">
        <x:v>0</x:v>
      </x:c>
      <x:c r="H3814" s="13" t="n">
        <x:f>F3814-G3814</x:f>
        <x:v>171.19</x:v>
      </x:c>
      <x:c r="I3814" s="13" t="n">
        <x:f>IF(C3814=0,"n.a.",F3814/C3814)</x:f>
        <x:v>171.19</x:v>
      </x:c>
      <x:c r="J3814" s="3"/>
      <x:c r="K3814" s="3"/>
      <x:c r="L3814" s="3"/>
    </x:row>
    <x:row r="3815" ht="22" customHeight="1">
      <x:c r="A3815" s="3"/>
      <x:c r="B3815" s="3" t="str">
        <x:v>17542</x:v>
      </x:c>
      <x:c r="C3815" s="3" t="n">
        <x:v>1</x:v>
      </x:c>
      <x:c r="D3815" s="51" t="n">
        <x:v>40617</x:v>
      </x:c>
      <x:c r="E3815" s="3" t="str">
        <x:v>Una compra</x:v>
      </x:c>
      <x:c r="F3815" s="13" t="n">
        <x:v>170.75</x:v>
      </x:c>
      <x:c r="G3815" s="13" t="n">
        <x:v>0</x:v>
      </x:c>
      <x:c r="H3815" s="13" t="n">
        <x:f>F3815-G3815</x:f>
        <x:v>170.75</x:v>
      </x:c>
      <x:c r="I3815" s="13" t="n">
        <x:f>IF(C3815=0,"n.a.",F3815/C3815)</x:f>
        <x:v>170.75</x:v>
      </x:c>
      <x:c r="J3815" s="3"/>
      <x:c r="K3815" s="3"/>
      <x:c r="L3815" s="3"/>
    </x:row>
    <x:row r="3816" ht="22" customHeight="1">
      <x:c r="A3816" s="3"/>
      <x:c r="B3816" s="3" t="str">
        <x:v>18058</x:v>
      </x:c>
      <x:c r="C3816" s="3" t="n">
        <x:v>1</x:v>
      </x:c>
      <x:c r="D3816" s="51" t="n">
        <x:v>40877</x:v>
      </x:c>
      <x:c r="E3816" s="3" t="str">
        <x:v>Una compra</x:v>
      </x:c>
      <x:c r="F3816" s="13" t="n">
        <x:v>170.16</x:v>
      </x:c>
      <x:c r="G3816" s="13" t="n">
        <x:v>0</x:v>
      </x:c>
      <x:c r="H3816" s="13" t="n">
        <x:f>F3816-G3816</x:f>
        <x:v>170.16</x:v>
      </x:c>
      <x:c r="I3816" s="13" t="n">
        <x:f>IF(C3816=0,"n.a.",F3816/C3816)</x:f>
        <x:v>170.16</x:v>
      </x:c>
      <x:c r="J3816" s="3"/>
      <x:c r="K3816" s="3"/>
      <x:c r="L3816" s="3"/>
    </x:row>
    <x:row r="3817" ht="22" customHeight="1">
      <x:c r="A3817" s="3"/>
      <x:c r="B3817" s="3" t="str">
        <x:v>15016</x:v>
      </x:c>
      <x:c r="C3817" s="3" t="n">
        <x:v>1</x:v>
      </x:c>
      <x:c r="D3817" s="51" t="n">
        <x:v>40714</x:v>
      </x:c>
      <x:c r="E3817" s="3" t="str">
        <x:v>Una compra</x:v>
      </x:c>
      <x:c r="F3817" s="13" t="n">
        <x:v>170.04</x:v>
      </x:c>
      <x:c r="G3817" s="13" t="n">
        <x:v>0</x:v>
      </x:c>
      <x:c r="H3817" s="13" t="n">
        <x:f>F3817-G3817</x:f>
        <x:v>170.04</x:v>
      </x:c>
      <x:c r="I3817" s="13" t="n">
        <x:f>IF(C3817=0,"n.a.",F3817/C3817)</x:f>
        <x:v>170.04</x:v>
      </x:c>
      <x:c r="J3817" s="3"/>
      <x:c r="K3817" s="3"/>
      <x:c r="L3817" s="3"/>
    </x:row>
    <x:row r="3818" ht="22" customHeight="1">
      <x:c r="A3818" s="3"/>
      <x:c r="B3818" s="3" t="str">
        <x:v>16921</x:v>
      </x:c>
      <x:c r="C3818" s="3" t="n">
        <x:v>1</x:v>
      </x:c>
      <x:c r="D3818" s="51" t="n">
        <x:v>40825</x:v>
      </x:c>
      <x:c r="E3818" s="3" t="str">
        <x:v>Una compra</x:v>
      </x:c>
      <x:c r="F3818" s="13" t="n">
        <x:v>169.79</x:v>
      </x:c>
      <x:c r="G3818" s="13" t="n">
        <x:v>0</x:v>
      </x:c>
      <x:c r="H3818" s="13" t="n">
        <x:f>F3818-G3818</x:f>
        <x:v>169.79</x:v>
      </x:c>
      <x:c r="I3818" s="13" t="n">
        <x:f>IF(C3818=0,"n.a.",F3818/C3818)</x:f>
        <x:v>169.79</x:v>
      </x:c>
      <x:c r="J3818" s="3"/>
      <x:c r="K3818" s="3"/>
      <x:c r="L3818" s="3"/>
    </x:row>
    <x:row r="3819" ht="22" customHeight="1">
      <x:c r="A3819" s="3"/>
      <x:c r="B3819" s="3" t="str">
        <x:v>13962</x:v>
      </x:c>
      <x:c r="C3819" s="3" t="n">
        <x:v>2</x:v>
      </x:c>
      <x:c r="D3819" s="51" t="n">
        <x:v>40865</x:v>
      </x:c>
      <x:c r="E3819" s="3" t="str">
        <x:v>Recurrente</x:v>
      </x:c>
      <x:c r="F3819" s="13" t="n">
        <x:v>169.55</x:v>
      </x:c>
      <x:c r="G3819" s="13" t="n">
        <x:v>0</x:v>
      </x:c>
      <x:c r="H3819" s="13" t="n">
        <x:f>F3819-G3819</x:f>
        <x:v>169.55</x:v>
      </x:c>
      <x:c r="I3819" s="13" t="n">
        <x:f>IF(C3819=0,"n.a.",F3819/C3819)</x:f>
        <x:v>84.775</x:v>
      </x:c>
      <x:c r="J3819" s="3"/>
      <x:c r="K3819" s="3"/>
      <x:c r="L3819" s="3"/>
    </x:row>
    <x:row r="3820" ht="22" customHeight="1">
      <x:c r="A3820" s="3"/>
      <x:c r="B3820" s="3" t="str">
        <x:v>14218</x:v>
      </x:c>
      <x:c r="C3820" s="3" t="n">
        <x:v>1</x:v>
      </x:c>
      <x:c r="D3820" s="51" t="n">
        <x:v>40844</x:v>
      </x:c>
      <x:c r="E3820" s="3" t="str">
        <x:v>Una compra</x:v>
      </x:c>
      <x:c r="F3820" s="13" t="n">
        <x:v>169.48</x:v>
      </x:c>
      <x:c r="G3820" s="13" t="n">
        <x:v>0</x:v>
      </x:c>
      <x:c r="H3820" s="13" t="n">
        <x:f>F3820-G3820</x:f>
        <x:v>169.48</x:v>
      </x:c>
      <x:c r="I3820" s="13" t="n">
        <x:f>IF(C3820=0,"n.a.",F3820/C3820)</x:f>
        <x:v>169.48</x:v>
      </x:c>
      <x:c r="J3820" s="3"/>
      <x:c r="K3820" s="3"/>
      <x:c r="L3820" s="3"/>
    </x:row>
    <x:row r="3821" ht="22" customHeight="1">
      <x:c r="A3821" s="3"/>
      <x:c r="B3821" s="3" t="str">
        <x:v>18004</x:v>
      </x:c>
      <x:c r="C3821" s="3" t="n">
        <x:v>1</x:v>
      </x:c>
      <x:c r="D3821" s="51" t="n">
        <x:v>40524</x:v>
      </x:c>
      <x:c r="E3821" s="3" t="str">
        <x:v>Una compra</x:v>
      </x:c>
      <x:c r="F3821" s="13" t="n">
        <x:v>169.47</x:v>
      </x:c>
      <x:c r="G3821" s="13" t="n">
        <x:v>0</x:v>
      </x:c>
      <x:c r="H3821" s="13" t="n">
        <x:f>F3821-G3821</x:f>
        <x:v>169.47</x:v>
      </x:c>
      <x:c r="I3821" s="13" t="n">
        <x:f>IF(C3821=0,"n.a.",F3821/C3821)</x:f>
        <x:v>169.47</x:v>
      </x:c>
      <x:c r="J3821" s="3"/>
      <x:c r="K3821" s="3"/>
      <x:c r="L3821" s="3"/>
    </x:row>
    <x:row r="3822" ht="22" customHeight="1">
      <x:c r="A3822" s="3"/>
      <x:c r="B3822" s="3" t="str">
        <x:v>14578</x:v>
      </x:c>
      <x:c r="C3822" s="3" t="n">
        <x:v>1</x:v>
      </x:c>
      <x:c r="D3822" s="51" t="n">
        <x:v>40883</x:v>
      </x:c>
      <x:c r="E3822" s="3" t="str">
        <x:v>Una compra</x:v>
      </x:c>
      <x:c r="F3822" s="13" t="n">
        <x:v>168.63</x:v>
      </x:c>
      <x:c r="G3822" s="13" t="n">
        <x:v>0</x:v>
      </x:c>
      <x:c r="H3822" s="13" t="n">
        <x:f>F3822-G3822</x:f>
        <x:v>168.63</x:v>
      </x:c>
      <x:c r="I3822" s="13" t="n">
        <x:f>IF(C3822=0,"n.a.",F3822/C3822)</x:f>
        <x:v>168.63</x:v>
      </x:c>
      <x:c r="J3822" s="3"/>
      <x:c r="K3822" s="3"/>
      <x:c r="L3822" s="3"/>
    </x:row>
    <x:row r="3823" ht="22" customHeight="1">
      <x:c r="A3823" s="3"/>
      <x:c r="B3823" s="3" t="str">
        <x:v>14860</x:v>
      </x:c>
      <x:c r="C3823" s="3" t="n">
        <x:v>1</x:v>
      </x:c>
      <x:c r="D3823" s="51" t="n">
        <x:v>40867</x:v>
      </x:c>
      <x:c r="E3823" s="3" t="str">
        <x:v>Una compra</x:v>
      </x:c>
      <x:c r="F3823" s="13" t="n">
        <x:v>170.32</x:v>
      </x:c>
      <x:c r="G3823" s="13" t="n">
        <x:v>1.7</x:v>
      </x:c>
      <x:c r="H3823" s="13" t="n">
        <x:f>F3823-G3823</x:f>
        <x:v>168.62</x:v>
      </x:c>
      <x:c r="I3823" s="13" t="n">
        <x:f>IF(C3823=0,"n.a.",F3823/C3823)</x:f>
        <x:v>170.32</x:v>
      </x:c>
      <x:c r="J3823" s="3"/>
      <x:c r="K3823" s="3"/>
      <x:c r="L3823" s="3"/>
    </x:row>
    <x:row r="3824" ht="22" customHeight="1">
      <x:c r="A3824" s="3"/>
      <x:c r="B3824" s="3" t="str">
        <x:v>17367</x:v>
      </x:c>
      <x:c r="C3824" s="3" t="n">
        <x:v>1</x:v>
      </x:c>
      <x:c r="D3824" s="51" t="n">
        <x:v>40648</x:v>
      </x:c>
      <x:c r="E3824" s="3" t="str">
        <x:v>Una compra</x:v>
      </x:c>
      <x:c r="F3824" s="13" t="n">
        <x:v>168.4</x:v>
      </x:c>
      <x:c r="G3824" s="13" t="n">
        <x:v>0</x:v>
      </x:c>
      <x:c r="H3824" s="13" t="n">
        <x:f>F3824-G3824</x:f>
        <x:v>168.4</x:v>
      </x:c>
      <x:c r="I3824" s="13" t="n">
        <x:f>IF(C3824=0,"n.a.",F3824/C3824)</x:f>
        <x:v>168.4</x:v>
      </x:c>
      <x:c r="J3824" s="3"/>
      <x:c r="K3824" s="3"/>
      <x:c r="L3824" s="3"/>
    </x:row>
    <x:row r="3825" ht="22" customHeight="1">
      <x:c r="A3825" s="3"/>
      <x:c r="B3825" s="3" t="str">
        <x:v>18099</x:v>
      </x:c>
      <x:c r="C3825" s="3" t="n">
        <x:v>1</x:v>
      </x:c>
      <x:c r="D3825" s="51" t="n">
        <x:v>40759</x:v>
      </x:c>
      <x:c r="E3825" s="3" t="str">
        <x:v>Una compra</x:v>
      </x:c>
      <x:c r="F3825" s="13" t="n">
        <x:v>168.31</x:v>
      </x:c>
      <x:c r="G3825" s="13" t="n">
        <x:v>0</x:v>
      </x:c>
      <x:c r="H3825" s="13" t="n">
        <x:f>F3825-G3825</x:f>
        <x:v>168.31</x:v>
      </x:c>
      <x:c r="I3825" s="13" t="n">
        <x:f>IF(C3825=0,"n.a.",F3825/C3825)</x:f>
        <x:v>168.31</x:v>
      </x:c>
      <x:c r="J3825" s="3"/>
      <x:c r="K3825" s="3"/>
      <x:c r="L3825" s="3"/>
    </x:row>
    <x:row r="3826" ht="22" customHeight="1">
      <x:c r="A3826" s="3"/>
      <x:c r="B3826" s="3" t="str">
        <x:v>16282</x:v>
      </x:c>
      <x:c r="C3826" s="3" t="n">
        <x:v>1</x:v>
      </x:c>
      <x:c r="D3826" s="51" t="n">
        <x:v>40547</x:v>
      </x:c>
      <x:c r="E3826" s="3" t="str">
        <x:v>Una compra</x:v>
      </x:c>
      <x:c r="F3826" s="13" t="n">
        <x:v>168.3</x:v>
      </x:c>
      <x:c r="G3826" s="13" t="n">
        <x:v>0</x:v>
      </x:c>
      <x:c r="H3826" s="13" t="n">
        <x:f>F3826-G3826</x:f>
        <x:v>168.3</x:v>
      </x:c>
      <x:c r="I3826" s="13" t="n">
        <x:f>IF(C3826=0,"n.a.",F3826/C3826)</x:f>
        <x:v>168.3</x:v>
      </x:c>
      <x:c r="J3826" s="3"/>
      <x:c r="K3826" s="3"/>
      <x:c r="L3826" s="3"/>
    </x:row>
    <x:row r="3827" ht="22" customHeight="1">
      <x:c r="A3827" s="3"/>
      <x:c r="B3827" s="3" t="str">
        <x:v>17737</x:v>
      </x:c>
      <x:c r="C3827" s="3" t="n">
        <x:v>2</x:v>
      </x:c>
      <x:c r="D3827" s="51" t="n">
        <x:v>40877</x:v>
      </x:c>
      <x:c r="E3827" s="3" t="str">
        <x:v>Recurrente</x:v>
      </x:c>
      <x:c r="F3827" s="13" t="n">
        <x:v>168.24</x:v>
      </x:c>
      <x:c r="G3827" s="13" t="n">
        <x:v>0</x:v>
      </x:c>
      <x:c r="H3827" s="13" t="n">
        <x:f>F3827-G3827</x:f>
        <x:v>168.24</x:v>
      </x:c>
      <x:c r="I3827" s="13" t="n">
        <x:f>IF(C3827=0,"n.a.",F3827/C3827)</x:f>
        <x:v>84.12</x:v>
      </x:c>
      <x:c r="J3827" s="3"/>
      <x:c r="K3827" s="3"/>
      <x:c r="L3827" s="3"/>
    </x:row>
    <x:row r="3828" ht="22" customHeight="1">
      <x:c r="A3828" s="3"/>
      <x:c r="B3828" s="3" t="str">
        <x:v>15986</x:v>
      </x:c>
      <x:c r="C3828" s="3" t="n">
        <x:v>1</x:v>
      </x:c>
      <x:c r="D3828" s="51" t="n">
        <x:v>40856</x:v>
      </x:c>
      <x:c r="E3828" s="3" t="str">
        <x:v>Una compra</x:v>
      </x:c>
      <x:c r="F3828" s="13" t="n">
        <x:v>168.12</x:v>
      </x:c>
      <x:c r="G3828" s="13" t="n">
        <x:v>0</x:v>
      </x:c>
      <x:c r="H3828" s="13" t="n">
        <x:f>F3828-G3828</x:f>
        <x:v>168.12</x:v>
      </x:c>
      <x:c r="I3828" s="13" t="n">
        <x:f>IF(C3828=0,"n.a.",F3828/C3828)</x:f>
        <x:v>168.12</x:v>
      </x:c>
      <x:c r="J3828" s="3"/>
      <x:c r="K3828" s="3"/>
      <x:c r="L3828" s="3"/>
    </x:row>
    <x:row r="3829" ht="22" customHeight="1">
      <x:c r="A3829" s="3"/>
      <x:c r="B3829" s="3" t="str">
        <x:v>12551</x:v>
      </x:c>
      <x:c r="C3829" s="3" t="n">
        <x:v>1</x:v>
      </x:c>
      <x:c r="D3829" s="51" t="n">
        <x:v>40529</x:v>
      </x:c>
      <x:c r="E3829" s="3" t="str">
        <x:v>Una compra</x:v>
      </x:c>
      <x:c r="F3829" s="13" t="n">
        <x:v>168</x:v>
      </x:c>
      <x:c r="G3829" s="13" t="n">
        <x:v>0</x:v>
      </x:c>
      <x:c r="H3829" s="13" t="n">
        <x:f>F3829-G3829</x:f>
        <x:v>168</x:v>
      </x:c>
      <x:c r="I3829" s="13" t="n">
        <x:f>IF(C3829=0,"n.a.",F3829/C3829)</x:f>
        <x:v>168</x:v>
      </x:c>
      <x:c r="J3829" s="3"/>
      <x:c r="K3829" s="3"/>
      <x:c r="L3829" s="3"/>
    </x:row>
    <x:row r="3830" ht="22" customHeight="1">
      <x:c r="A3830" s="3"/>
      <x:c r="B3830" s="3" t="str">
        <x:v>15374</x:v>
      </x:c>
      <x:c r="C3830" s="3" t="n">
        <x:v>1</x:v>
      </x:c>
      <x:c r="D3830" s="51" t="n">
        <x:v>40758</x:v>
      </x:c>
      <x:c r="E3830" s="3" t="str">
        <x:v>Una compra</x:v>
      </x:c>
      <x:c r="F3830" s="13" t="n">
        <x:v>168</x:v>
      </x:c>
      <x:c r="G3830" s="13" t="n">
        <x:v>0</x:v>
      </x:c>
      <x:c r="H3830" s="13" t="n">
        <x:f>F3830-G3830</x:f>
        <x:v>168</x:v>
      </x:c>
      <x:c r="I3830" s="13" t="n">
        <x:f>IF(C3830=0,"n.a.",F3830/C3830)</x:f>
        <x:v>168</x:v>
      </x:c>
      <x:c r="J3830" s="3"/>
      <x:c r="K3830" s="3"/>
      <x:c r="L3830" s="3"/>
    </x:row>
    <x:row r="3831" ht="22" customHeight="1">
      <x:c r="A3831" s="3"/>
      <x:c r="B3831" s="3" t="str">
        <x:v>18088</x:v>
      </x:c>
      <x:c r="C3831" s="3" t="n">
        <x:v>1</x:v>
      </x:c>
      <x:c r="D3831" s="51" t="n">
        <x:v>40825</x:v>
      </x:c>
      <x:c r="E3831" s="3" t="str">
        <x:v>Una compra</x:v>
      </x:c>
      <x:c r="F3831" s="13" t="n">
        <x:v>167.67</x:v>
      </x:c>
      <x:c r="G3831" s="13" t="n">
        <x:v>0</x:v>
      </x:c>
      <x:c r="H3831" s="13" t="n">
        <x:f>F3831-G3831</x:f>
        <x:v>167.67</x:v>
      </x:c>
      <x:c r="I3831" s="13" t="n">
        <x:f>IF(C3831=0,"n.a.",F3831/C3831)</x:f>
        <x:v>167.67</x:v>
      </x:c>
      <x:c r="J3831" s="3"/>
      <x:c r="K3831" s="3"/>
      <x:c r="L3831" s="3"/>
    </x:row>
    <x:row r="3832" ht="22" customHeight="1">
      <x:c r="A3832" s="3"/>
      <x:c r="B3832" s="3" t="str">
        <x:v>17561</x:v>
      </x:c>
      <x:c r="C3832" s="3" t="n">
        <x:v>1</x:v>
      </x:c>
      <x:c r="D3832" s="51" t="n">
        <x:v>40867</x:v>
      </x:c>
      <x:c r="E3832" s="3" t="str">
        <x:v>Una compra</x:v>
      </x:c>
      <x:c r="F3832" s="13" t="n">
        <x:v>167.62</x:v>
      </x:c>
      <x:c r="G3832" s="13" t="n">
        <x:v>0</x:v>
      </x:c>
      <x:c r="H3832" s="13" t="n">
        <x:f>F3832-G3832</x:f>
        <x:v>167.62</x:v>
      </x:c>
      <x:c r="I3832" s="13" t="n">
        <x:f>IF(C3832=0,"n.a.",F3832/C3832)</x:f>
        <x:v>167.62</x:v>
      </x:c>
      <x:c r="J3832" s="3"/>
      <x:c r="K3832" s="3"/>
      <x:c r="L3832" s="3"/>
    </x:row>
    <x:row r="3833" ht="22" customHeight="1">
      <x:c r="A3833" s="3"/>
      <x:c r="B3833" s="3" t="str">
        <x:v>16952</x:v>
      </x:c>
      <x:c r="C3833" s="3" t="n">
        <x:v>2</x:v>
      </x:c>
      <x:c r="D3833" s="51" t="n">
        <x:v>40777</x:v>
      </x:c>
      <x:c r="E3833" s="3" t="str">
        <x:v>Recurrente</x:v>
      </x:c>
      <x:c r="F3833" s="13" t="n">
        <x:v>167.61</x:v>
      </x:c>
      <x:c r="G3833" s="13" t="n">
        <x:v>0</x:v>
      </x:c>
      <x:c r="H3833" s="13" t="n">
        <x:f>F3833-G3833</x:f>
        <x:v>167.61</x:v>
      </x:c>
      <x:c r="I3833" s="13" t="n">
        <x:f>IF(C3833=0,"n.a.",F3833/C3833)</x:f>
        <x:v>83.805</x:v>
      </x:c>
      <x:c r="J3833" s="3"/>
      <x:c r="K3833" s="3"/>
      <x:c r="L3833" s="3"/>
    </x:row>
    <x:row r="3834" ht="22" customHeight="1">
      <x:c r="A3834" s="3"/>
      <x:c r="B3834" s="3" t="str">
        <x:v>13598</x:v>
      </x:c>
      <x:c r="C3834" s="3" t="n">
        <x:v>1</x:v>
      </x:c>
      <x:c r="D3834" s="51" t="n">
        <x:v>40839</x:v>
      </x:c>
      <x:c r="E3834" s="3" t="str">
        <x:v>Una compra</x:v>
      </x:c>
      <x:c r="F3834" s="13" t="n">
        <x:v>180.17</x:v>
      </x:c>
      <x:c r="G3834" s="13" t="n">
        <x:v>12.75</x:v>
      </x:c>
      <x:c r="H3834" s="13" t="n">
        <x:f>F3834-G3834</x:f>
        <x:v>167.42</x:v>
      </x:c>
      <x:c r="I3834" s="13" t="n">
        <x:f>IF(C3834=0,"n.a.",F3834/C3834)</x:f>
        <x:v>180.17</x:v>
      </x:c>
      <x:c r="J3834" s="3"/>
      <x:c r="K3834" s="3"/>
      <x:c r="L3834" s="3"/>
    </x:row>
    <x:row r="3835" ht="22" customHeight="1">
      <x:c r="A3835" s="3"/>
      <x:c r="B3835" s="3" t="str">
        <x:v>16405</x:v>
      </x:c>
      <x:c r="C3835" s="3" t="n">
        <x:v>2</x:v>
      </x:c>
      <x:c r="D3835" s="51" t="n">
        <x:v>40584</x:v>
      </x:c>
      <x:c r="E3835" s="3" t="str">
        <x:v>Recurrente</x:v>
      </x:c>
      <x:c r="F3835" s="13" t="n">
        <x:v>167.25</x:v>
      </x:c>
      <x:c r="G3835" s="13" t="n">
        <x:v>0</x:v>
      </x:c>
      <x:c r="H3835" s="13" t="n">
        <x:f>F3835-G3835</x:f>
        <x:v>167.25</x:v>
      </x:c>
      <x:c r="I3835" s="13" t="n">
        <x:f>IF(C3835=0,"n.a.",F3835/C3835)</x:f>
        <x:v>83.625</x:v>
      </x:c>
      <x:c r="J3835" s="3"/>
      <x:c r="K3835" s="3"/>
      <x:c r="L3835" s="3"/>
    </x:row>
    <x:row r="3836" ht="22" customHeight="1">
      <x:c r="A3836" s="3"/>
      <x:c r="B3836" s="3" t="str">
        <x:v>14326</x:v>
      </x:c>
      <x:c r="C3836" s="3" t="n">
        <x:v>1</x:v>
      </x:c>
      <x:c r="D3836" s="51" t="n">
        <x:v>40644</x:v>
      </x:c>
      <x:c r="E3836" s="3" t="str">
        <x:v>Una compra</x:v>
      </x:c>
      <x:c r="F3836" s="13" t="n">
        <x:v>183.85</x:v>
      </x:c>
      <x:c r="G3836" s="13" t="n">
        <x:v>17</x:v>
      </x:c>
      <x:c r="H3836" s="13" t="n">
        <x:f>F3836-G3836</x:f>
        <x:v>166.85</x:v>
      </x:c>
      <x:c r="I3836" s="13" t="n">
        <x:f>IF(C3836=0,"n.a.",F3836/C3836)</x:f>
        <x:v>183.85</x:v>
      </x:c>
      <x:c r="J3836" s="3"/>
      <x:c r="K3836" s="3"/>
      <x:c r="L3836" s="3"/>
    </x:row>
    <x:row r="3837" ht="22" customHeight="1">
      <x:c r="A3837" s="3"/>
      <x:c r="B3837" s="3" t="str">
        <x:v>12797</x:v>
      </x:c>
      <x:c r="C3837" s="3" t="n">
        <x:v>1</x:v>
      </x:c>
      <x:c r="D3837" s="51" t="n">
        <x:v>40521</x:v>
      </x:c>
      <x:c r="E3837" s="3" t="str">
        <x:v>Una compra</x:v>
      </x:c>
      <x:c r="F3837" s="13" t="n">
        <x:v>226.03</x:v>
      </x:c>
      <x:c r="G3837" s="13" t="n">
        <x:v>59.85</x:v>
      </x:c>
      <x:c r="H3837" s="13" t="n">
        <x:f>F3837-G3837</x:f>
        <x:v>166.18</x:v>
      </x:c>
      <x:c r="I3837" s="13" t="n">
        <x:f>IF(C3837=0,"n.a.",F3837/C3837)</x:f>
        <x:v>226.03</x:v>
      </x:c>
      <x:c r="J3837" s="3"/>
      <x:c r="K3837" s="3"/>
      <x:c r="L3837" s="3"/>
    </x:row>
    <x:row r="3838" ht="22" customHeight="1">
      <x:c r="A3838" s="3"/>
      <x:c r="B3838" s="3" t="str">
        <x:v>17650</x:v>
      </x:c>
      <x:c r="C3838" s="3" t="n">
        <x:v>1</x:v>
      </x:c>
      <x:c r="D3838" s="51" t="n">
        <x:v>40865</x:v>
      </x:c>
      <x:c r="E3838" s="3" t="str">
        <x:v>Una compra</x:v>
      </x:c>
      <x:c r="F3838" s="13" t="n">
        <x:v>166.08</x:v>
      </x:c>
      <x:c r="G3838" s="13" t="n">
        <x:v>0</x:v>
      </x:c>
      <x:c r="H3838" s="13" t="n">
        <x:f>F3838-G3838</x:f>
        <x:v>166.08</x:v>
      </x:c>
      <x:c r="I3838" s="13" t="n">
        <x:f>IF(C3838=0,"n.a.",F3838/C3838)</x:f>
        <x:v>166.08</x:v>
      </x:c>
      <x:c r="J3838" s="3"/>
      <x:c r="K3838" s="3"/>
      <x:c r="L3838" s="3"/>
    </x:row>
    <x:row r="3839" ht="22" customHeight="1">
      <x:c r="A3839" s="3"/>
      <x:c r="B3839" s="3" t="str">
        <x:v>14485</x:v>
      </x:c>
      <x:c r="C3839" s="3" t="n">
        <x:v>1</x:v>
      </x:c>
      <x:c r="D3839" s="51" t="n">
        <x:v>40848</x:v>
      </x:c>
      <x:c r="E3839" s="3" t="str">
        <x:v>Una compra</x:v>
      </x:c>
      <x:c r="F3839" s="13" t="n">
        <x:v>165.75</x:v>
      </x:c>
      <x:c r="G3839" s="13" t="n">
        <x:v>0</x:v>
      </x:c>
      <x:c r="H3839" s="13" t="n">
        <x:f>F3839-G3839</x:f>
        <x:v>165.75</x:v>
      </x:c>
      <x:c r="I3839" s="13" t="n">
        <x:f>IF(C3839=0,"n.a.",F3839/C3839)</x:f>
        <x:v>165.75</x:v>
      </x:c>
      <x:c r="J3839" s="3"/>
      <x:c r="K3839" s="3"/>
      <x:c r="L3839" s="3"/>
    </x:row>
    <x:row r="3840" ht="22" customHeight="1">
      <x:c r="A3840" s="3"/>
      <x:c r="B3840" s="3" t="str">
        <x:v>14552</x:v>
      </x:c>
      <x:c r="C3840" s="3" t="n">
        <x:v>1</x:v>
      </x:c>
      <x:c r="D3840" s="51" t="n">
        <x:v>40735</x:v>
      </x:c>
      <x:c r="E3840" s="3" t="str">
        <x:v>Una compra</x:v>
      </x:c>
      <x:c r="F3840" s="13" t="n">
        <x:v>165.07</x:v>
      </x:c>
      <x:c r="G3840" s="13" t="n">
        <x:v>0</x:v>
      </x:c>
      <x:c r="H3840" s="13" t="n">
        <x:f>F3840-G3840</x:f>
        <x:v>165.07</x:v>
      </x:c>
      <x:c r="I3840" s="13" t="n">
        <x:f>IF(C3840=0,"n.a.",F3840/C3840)</x:f>
        <x:v>165.07</x:v>
      </x:c>
      <x:c r="J3840" s="3"/>
      <x:c r="K3840" s="3"/>
      <x:c r="L3840" s="3"/>
    </x:row>
    <x:row r="3841" ht="22" customHeight="1">
      <x:c r="A3841" s="3"/>
      <x:c r="B3841" s="3" t="str">
        <x:v>18042</x:v>
      </x:c>
      <x:c r="C3841" s="3" t="n">
        <x:v>1</x:v>
      </x:c>
      <x:c r="D3841" s="51" t="n">
        <x:v>40833</x:v>
      </x:c>
      <x:c r="E3841" s="3" t="str">
        <x:v>Una compra</x:v>
      </x:c>
      <x:c r="F3841" s="13" t="n">
        <x:v>165.05</x:v>
      </x:c>
      <x:c r="G3841" s="13" t="n">
        <x:v>0</x:v>
      </x:c>
      <x:c r="H3841" s="13" t="n">
        <x:f>F3841-G3841</x:f>
        <x:v>165.05</x:v>
      </x:c>
      <x:c r="I3841" s="13" t="n">
        <x:f>IF(C3841=0,"n.a.",F3841/C3841)</x:f>
        <x:v>165.05</x:v>
      </x:c>
      <x:c r="J3841" s="3"/>
      <x:c r="K3841" s="3"/>
      <x:c r="L3841" s="3"/>
    </x:row>
    <x:row r="3842" ht="22" customHeight="1">
      <x:c r="A3842" s="3"/>
      <x:c r="B3842" s="3" t="str">
        <x:v>13470</x:v>
      </x:c>
      <x:c r="C3842" s="3" t="n">
        <x:v>2</x:v>
      </x:c>
      <x:c r="D3842" s="51" t="n">
        <x:v>40787</x:v>
      </x:c>
      <x:c r="E3842" s="3" t="str">
        <x:v>Recurrente</x:v>
      </x:c>
      <x:c r="F3842" s="13" t="n">
        <x:v>165</x:v>
      </x:c>
      <x:c r="G3842" s="13" t="n">
        <x:v>0</x:v>
      </x:c>
      <x:c r="H3842" s="13" t="n">
        <x:f>F3842-G3842</x:f>
        <x:v>165</x:v>
      </x:c>
      <x:c r="I3842" s="13" t="n">
        <x:f>IF(C3842=0,"n.a.",F3842/C3842)</x:f>
        <x:v>82.5</x:v>
      </x:c>
      <x:c r="J3842" s="3"/>
      <x:c r="K3842" s="3"/>
      <x:c r="L3842" s="3"/>
    </x:row>
    <x:row r="3843" ht="22" customHeight="1">
      <x:c r="A3843" s="3"/>
      <x:c r="B3843" s="3" t="str">
        <x:v>15316</x:v>
      </x:c>
      <x:c r="C3843" s="3" t="n">
        <x:v>1</x:v>
      </x:c>
      <x:c r="D3843" s="51" t="n">
        <x:v>40560</x:v>
      </x:c>
      <x:c r="E3843" s="3" t="str">
        <x:v>Una compra</x:v>
      </x:c>
      <x:c r="F3843" s="13" t="n">
        <x:v>165</x:v>
      </x:c>
      <x:c r="G3843" s="13" t="n">
        <x:v>0</x:v>
      </x:c>
      <x:c r="H3843" s="13" t="n">
        <x:f>F3843-G3843</x:f>
        <x:v>165</x:v>
      </x:c>
      <x:c r="I3843" s="13" t="n">
        <x:f>IF(C3843=0,"n.a.",F3843/C3843)</x:f>
        <x:v>165</x:v>
      </x:c>
      <x:c r="J3843" s="3"/>
      <x:c r="K3843" s="3"/>
      <x:c r="L3843" s="3"/>
    </x:row>
    <x:row r="3844" ht="22" customHeight="1">
      <x:c r="A3844" s="3"/>
      <x:c r="B3844" s="3" t="str">
        <x:v>15904</x:v>
      </x:c>
      <x:c r="C3844" s="3" t="n">
        <x:v>1</x:v>
      </x:c>
      <x:c r="D3844" s="51" t="n">
        <x:v>40878</x:v>
      </x:c>
      <x:c r="E3844" s="3" t="str">
        <x:v>Una compra</x:v>
      </x:c>
      <x:c r="F3844" s="13" t="n">
        <x:v>164.68</x:v>
      </x:c>
      <x:c r="G3844" s="13" t="n">
        <x:v>0</x:v>
      </x:c>
      <x:c r="H3844" s="13" t="n">
        <x:f>F3844-G3844</x:f>
        <x:v>164.68</x:v>
      </x:c>
      <x:c r="I3844" s="13" t="n">
        <x:f>IF(C3844=0,"n.a.",F3844/C3844)</x:f>
        <x:v>164.68</x:v>
      </x:c>
      <x:c r="J3844" s="3"/>
      <x:c r="K3844" s="3"/>
      <x:c r="L3844" s="3"/>
    </x:row>
    <x:row r="3845" ht="22" customHeight="1">
      <x:c r="A3845" s="3"/>
      <x:c r="B3845" s="3" t="str">
        <x:v>17535</x:v>
      </x:c>
      <x:c r="C3845" s="3" t="n">
        <x:v>1</x:v>
      </x:c>
      <x:c r="D3845" s="51" t="n">
        <x:v>40606</x:v>
      </x:c>
      <x:c r="E3845" s="3" t="str">
        <x:v>Una compra</x:v>
      </x:c>
      <x:c r="F3845" s="13" t="n">
        <x:v>164.4</x:v>
      </x:c>
      <x:c r="G3845" s="13" t="n">
        <x:v>0</x:v>
      </x:c>
      <x:c r="H3845" s="13" t="n">
        <x:f>F3845-G3845</x:f>
        <x:v>164.4</x:v>
      </x:c>
      <x:c r="I3845" s="13" t="n">
        <x:f>IF(C3845=0,"n.a.",F3845/C3845)</x:f>
        <x:v>164.4</x:v>
      </x:c>
      <x:c r="J3845" s="3"/>
      <x:c r="K3845" s="3"/>
      <x:c r="L3845" s="3"/>
    </x:row>
    <x:row r="3846" ht="22" customHeight="1">
      <x:c r="A3846" s="3"/>
      <x:c r="B3846" s="3" t="str">
        <x:v>13603</x:v>
      </x:c>
      <x:c r="C3846" s="3" t="n">
        <x:v>1</x:v>
      </x:c>
      <x:c r="D3846" s="51" t="n">
        <x:v>40860</x:v>
      </x:c>
      <x:c r="E3846" s="3" t="str">
        <x:v>Una compra</x:v>
      </x:c>
      <x:c r="F3846" s="13" t="n">
        <x:v>164.34</x:v>
      </x:c>
      <x:c r="G3846" s="13" t="n">
        <x:v>0</x:v>
      </x:c>
      <x:c r="H3846" s="13" t="n">
        <x:f>F3846-G3846</x:f>
        <x:v>164.34</x:v>
      </x:c>
      <x:c r="I3846" s="13" t="n">
        <x:f>IF(C3846=0,"n.a.",F3846/C3846)</x:f>
        <x:v>164.34</x:v>
      </x:c>
      <x:c r="J3846" s="3"/>
      <x:c r="K3846" s="3"/>
      <x:c r="L3846" s="3"/>
    </x:row>
    <x:row r="3847" ht="22" customHeight="1">
      <x:c r="A3847" s="3"/>
      <x:c r="B3847" s="3" t="str">
        <x:v>12920</x:v>
      </x:c>
      <x:c r="C3847" s="3" t="n">
        <x:v>1</x:v>
      </x:c>
      <x:c r="D3847" s="51" t="n">
        <x:v>40869</x:v>
      </x:c>
      <x:c r="E3847" s="3" t="str">
        <x:v>Una compra</x:v>
      </x:c>
      <x:c r="F3847" s="13" t="n">
        <x:v>164.23</x:v>
      </x:c>
      <x:c r="G3847" s="13" t="n">
        <x:v>0</x:v>
      </x:c>
      <x:c r="H3847" s="13" t="n">
        <x:f>F3847-G3847</x:f>
        <x:v>164.23</x:v>
      </x:c>
      <x:c r="I3847" s="13" t="n">
        <x:f>IF(C3847=0,"n.a.",F3847/C3847)</x:f>
        <x:v>164.23</x:v>
      </x:c>
      <x:c r="J3847" s="3"/>
      <x:c r="K3847" s="3"/>
      <x:c r="L3847" s="3"/>
    </x:row>
    <x:row r="3848" ht="22" customHeight="1">
      <x:c r="A3848" s="3"/>
      <x:c r="B3848" s="3" t="str">
        <x:v>18200</x:v>
      </x:c>
      <x:c r="C3848" s="3" t="n">
        <x:v>1</x:v>
      </x:c>
      <x:c r="D3848" s="51" t="n">
        <x:v>40780</x:v>
      </x:c>
      <x:c r="E3848" s="3" t="str">
        <x:v>Una compra</x:v>
      </x:c>
      <x:c r="F3848" s="13" t="n">
        <x:v>163.8</x:v>
      </x:c>
      <x:c r="G3848" s="13" t="n">
        <x:v>0</x:v>
      </x:c>
      <x:c r="H3848" s="13" t="n">
        <x:f>F3848-G3848</x:f>
        <x:v>163.8</x:v>
      </x:c>
      <x:c r="I3848" s="13" t="n">
        <x:f>IF(C3848=0,"n.a.",F3848/C3848)</x:f>
        <x:v>163.8</x:v>
      </x:c>
      <x:c r="J3848" s="3"/>
      <x:c r="K3848" s="3"/>
      <x:c r="L3848" s="3"/>
    </x:row>
    <x:row r="3849" ht="22" customHeight="1">
      <x:c r="A3849" s="3"/>
      <x:c r="B3849" s="3" t="str">
        <x:v>14354</x:v>
      </x:c>
      <x:c r="C3849" s="3" t="n">
        <x:v>2</x:v>
      </x:c>
      <x:c r="D3849" s="51" t="n">
        <x:v>40881</x:v>
      </x:c>
      <x:c r="E3849" s="3" t="str">
        <x:v>Recurrente</x:v>
      </x:c>
      <x:c r="F3849" s="13" t="n">
        <x:v>163.62</x:v>
      </x:c>
      <x:c r="G3849" s="13" t="n">
        <x:v>0</x:v>
      </x:c>
      <x:c r="H3849" s="13" t="n">
        <x:f>F3849-G3849</x:f>
        <x:v>163.62</x:v>
      </x:c>
      <x:c r="I3849" s="13" t="n">
        <x:f>IF(C3849=0,"n.a.",F3849/C3849)</x:f>
        <x:v>81.81</x:v>
      </x:c>
      <x:c r="J3849" s="3"/>
      <x:c r="K3849" s="3"/>
      <x:c r="L3849" s="3"/>
    </x:row>
    <x:row r="3850" ht="22" customHeight="1">
      <x:c r="A3850" s="3"/>
      <x:c r="B3850" s="3" t="str">
        <x:v>15920</x:v>
      </x:c>
      <x:c r="C3850" s="3" t="n">
        <x:v>3</x:v>
      </x:c>
      <x:c r="D3850" s="51" t="n">
        <x:v>40732</x:v>
      </x:c>
      <x:c r="E3850" s="3" t="str">
        <x:v>Recurrente</x:v>
      </x:c>
      <x:c r="F3850" s="13" t="n">
        <x:v>163.55</x:v>
      </x:c>
      <x:c r="G3850" s="13" t="n">
        <x:v>0</x:v>
      </x:c>
      <x:c r="H3850" s="13" t="n">
        <x:f>F3850-G3850</x:f>
        <x:v>163.55</x:v>
      </x:c>
      <x:c r="I3850" s="13" t="n">
        <x:f>IF(C3850=0,"n.a.",F3850/C3850)</x:f>
        <x:v>54.51666666666667</x:v>
      </x:c>
      <x:c r="J3850" s="3"/>
      <x:c r="K3850" s="3"/>
      <x:c r="L3850" s="3"/>
    </x:row>
    <x:row r="3851" ht="22" customHeight="1">
      <x:c r="A3851" s="3"/>
      <x:c r="B3851" s="3" t="str">
        <x:v>17110</x:v>
      </x:c>
      <x:c r="C3851" s="3" t="n">
        <x:v>1</x:v>
      </x:c>
      <x:c r="D3851" s="51" t="n">
        <x:v>40721</x:v>
      </x:c>
      <x:c r="E3851" s="3" t="str">
        <x:v>Una compra</x:v>
      </x:c>
      <x:c r="F3851" s="13" t="n">
        <x:v>163.3</x:v>
      </x:c>
      <x:c r="G3851" s="13" t="n">
        <x:v>0</x:v>
      </x:c>
      <x:c r="H3851" s="13" t="n">
        <x:f>F3851-G3851</x:f>
        <x:v>163.3</x:v>
      </x:c>
      <x:c r="I3851" s="13" t="n">
        <x:f>IF(C3851=0,"n.a.",F3851/C3851)</x:f>
        <x:v>163.3</x:v>
      </x:c>
      <x:c r="J3851" s="3"/>
      <x:c r="K3851" s="3"/>
      <x:c r="L3851" s="3"/>
    </x:row>
    <x:row r="3852" ht="22" customHeight="1">
      <x:c r="A3852" s="3"/>
      <x:c r="B3852" s="3" t="str">
        <x:v>13223</x:v>
      </x:c>
      <x:c r="C3852" s="3" t="n">
        <x:v>2</x:v>
      </x:c>
      <x:c r="D3852" s="51" t="n">
        <x:v>40686</x:v>
      </x:c>
      <x:c r="E3852" s="3" t="str">
        <x:v>Recurrente</x:v>
      </x:c>
      <x:c r="F3852" s="13" t="n">
        <x:v>163.2</x:v>
      </x:c>
      <x:c r="G3852" s="13" t="n">
        <x:v>0</x:v>
      </x:c>
      <x:c r="H3852" s="13" t="n">
        <x:f>F3852-G3852</x:f>
        <x:v>163.2</x:v>
      </x:c>
      <x:c r="I3852" s="13" t="n">
        <x:f>IF(C3852=0,"n.a.",F3852/C3852)</x:f>
        <x:v>81.6</x:v>
      </x:c>
      <x:c r="J3852" s="3"/>
      <x:c r="K3852" s="3"/>
      <x:c r="L3852" s="3"/>
    </x:row>
    <x:row r="3853" ht="22" customHeight="1">
      <x:c r="A3853" s="3"/>
      <x:c r="B3853" s="3" t="str">
        <x:v>16406</x:v>
      </x:c>
      <x:c r="C3853" s="3" t="n">
        <x:v>1</x:v>
      </x:c>
      <x:c r="D3853" s="51" t="n">
        <x:v>40868</x:v>
      </x:c>
      <x:c r="E3853" s="3" t="str">
        <x:v>Una compra</x:v>
      </x:c>
      <x:c r="F3853" s="13" t="n">
        <x:v>163.07</x:v>
      </x:c>
      <x:c r="G3853" s="13" t="n">
        <x:v>0</x:v>
      </x:c>
      <x:c r="H3853" s="13" t="n">
        <x:f>F3853-G3853</x:f>
        <x:v>163.07</x:v>
      </x:c>
      <x:c r="I3853" s="13" t="n">
        <x:f>IF(C3853=0,"n.a.",F3853/C3853)</x:f>
        <x:v>163.07</x:v>
      </x:c>
      <x:c r="J3853" s="3"/>
      <x:c r="K3853" s="3"/>
      <x:c r="L3853" s="3"/>
    </x:row>
    <x:row r="3854" ht="22" customHeight="1">
      <x:c r="A3854" s="3"/>
      <x:c r="B3854" s="3" t="str">
        <x:v>15167</x:v>
      </x:c>
      <x:c r="C3854" s="3" t="n">
        <x:v>1</x:v>
      </x:c>
      <x:c r="D3854" s="51" t="n">
        <x:v>40566</x:v>
      </x:c>
      <x:c r="E3854" s="3" t="str">
        <x:v>Una compra</x:v>
      </x:c>
      <x:c r="F3854" s="13" t="n">
        <x:v>163</x:v>
      </x:c>
      <x:c r="G3854" s="13" t="n">
        <x:v>0</x:v>
      </x:c>
      <x:c r="H3854" s="13" t="n">
        <x:f>F3854-G3854</x:f>
        <x:v>163</x:v>
      </x:c>
      <x:c r="I3854" s="13" t="n">
        <x:f>IF(C3854=0,"n.a.",F3854/C3854)</x:f>
        <x:v>163</x:v>
      </x:c>
      <x:c r="J3854" s="3"/>
      <x:c r="K3854" s="3"/>
      <x:c r="L3854" s="3"/>
    </x:row>
    <x:row r="3855" ht="22" customHeight="1">
      <x:c r="A3855" s="3"/>
      <x:c r="B3855" s="3" t="str">
        <x:v>16517</x:v>
      </x:c>
      <x:c r="C3855" s="3" t="n">
        <x:v>1</x:v>
      </x:c>
      <x:c r="D3855" s="51" t="n">
        <x:v>40609</x:v>
      </x:c>
      <x:c r="E3855" s="3" t="str">
        <x:v>Una compra</x:v>
      </x:c>
      <x:c r="F3855" s="13" t="n">
        <x:v>162.7</x:v>
      </x:c>
      <x:c r="G3855" s="13" t="n">
        <x:v>0</x:v>
      </x:c>
      <x:c r="H3855" s="13" t="n">
        <x:f>F3855-G3855</x:f>
        <x:v>162.7</x:v>
      </x:c>
      <x:c r="I3855" s="13" t="n">
        <x:f>IF(C3855=0,"n.a.",F3855/C3855)</x:f>
        <x:v>162.7</x:v>
      </x:c>
      <x:c r="J3855" s="3"/>
      <x:c r="K3855" s="3"/>
      <x:c r="L3855" s="3"/>
    </x:row>
    <x:row r="3856" ht="22" customHeight="1">
      <x:c r="A3856" s="3"/>
      <x:c r="B3856" s="3" t="str">
        <x:v>15733</x:v>
      </x:c>
      <x:c r="C3856" s="3" t="n">
        <x:v>1</x:v>
      </x:c>
      <x:c r="D3856" s="51" t="n">
        <x:v>40604</x:v>
      </x:c>
      <x:c r="E3856" s="3" t="str">
        <x:v>Una compra</x:v>
      </x:c>
      <x:c r="F3856" s="13" t="n">
        <x:v>162.3</x:v>
      </x:c>
      <x:c r="G3856" s="13" t="n">
        <x:v>0</x:v>
      </x:c>
      <x:c r="H3856" s="13" t="n">
        <x:f>F3856-G3856</x:f>
        <x:v>162.3</x:v>
      </x:c>
      <x:c r="I3856" s="13" t="n">
        <x:f>IF(C3856=0,"n.a.",F3856/C3856)</x:f>
        <x:v>162.3</x:v>
      </x:c>
      <x:c r="J3856" s="3"/>
      <x:c r="K3856" s="3"/>
      <x:c r="L3856" s="3"/>
    </x:row>
    <x:row r="3857" ht="22" customHeight="1">
      <x:c r="A3857" s="3"/>
      <x:c r="B3857" s="3" t="str">
        <x:v>15325</x:v>
      </x:c>
      <x:c r="C3857" s="3" t="n">
        <x:v>1</x:v>
      </x:c>
      <x:c r="D3857" s="51" t="n">
        <x:v>40783</x:v>
      </x:c>
      <x:c r="E3857" s="3" t="str">
        <x:v>Una compra</x:v>
      </x:c>
      <x:c r="F3857" s="13" t="n">
        <x:v>162.29</x:v>
      </x:c>
      <x:c r="G3857" s="13" t="n">
        <x:v>0</x:v>
      </x:c>
      <x:c r="H3857" s="13" t="n">
        <x:f>F3857-G3857</x:f>
        <x:v>162.29</x:v>
      </x:c>
      <x:c r="I3857" s="13" t="n">
        <x:f>IF(C3857=0,"n.a.",F3857/C3857)</x:f>
        <x:v>162.29</x:v>
      </x:c>
      <x:c r="J3857" s="3"/>
      <x:c r="K3857" s="3"/>
      <x:c r="L3857" s="3"/>
    </x:row>
    <x:row r="3858" ht="22" customHeight="1">
      <x:c r="A3858" s="3"/>
      <x:c r="B3858" s="3" t="str">
        <x:v>12622</x:v>
      </x:c>
      <x:c r="C3858" s="3" t="n">
        <x:v>1</x:v>
      </x:c>
      <x:c r="D3858" s="51" t="n">
        <x:v>40654</x:v>
      </x:c>
      <x:c r="E3858" s="3" t="str">
        <x:v>Una compra</x:v>
      </x:c>
      <x:c r="F3858" s="13" t="n">
        <x:v>162.1</x:v>
      </x:c>
      <x:c r="G3858" s="13" t="n">
        <x:v>0</x:v>
      </x:c>
      <x:c r="H3858" s="13" t="n">
        <x:f>F3858-G3858</x:f>
        <x:v>162.1</x:v>
      </x:c>
      <x:c r="I3858" s="13" t="n">
        <x:f>IF(C3858=0,"n.a.",F3858/C3858)</x:f>
        <x:v>162.1</x:v>
      </x:c>
      <x:c r="J3858" s="3"/>
      <x:c r="K3858" s="3"/>
      <x:c r="L3858" s="3"/>
    </x:row>
    <x:row r="3859" ht="22" customHeight="1">
      <x:c r="A3859" s="3"/>
      <x:c r="B3859" s="3" t="str">
        <x:v>16932</x:v>
      </x:c>
      <x:c r="C3859" s="3" t="n">
        <x:v>1</x:v>
      </x:c>
      <x:c r="D3859" s="51" t="n">
        <x:v>40833</x:v>
      </x:c>
      <x:c r="E3859" s="3" t="str">
        <x:v>Una compra</x:v>
      </x:c>
      <x:c r="F3859" s="13" t="n">
        <x:v>161.94</x:v>
      </x:c>
      <x:c r="G3859" s="13" t="n">
        <x:v>0</x:v>
      </x:c>
      <x:c r="H3859" s="13" t="n">
        <x:f>F3859-G3859</x:f>
        <x:v>161.94</x:v>
      </x:c>
      <x:c r="I3859" s="13" t="n">
        <x:f>IF(C3859=0,"n.a.",F3859/C3859)</x:f>
        <x:v>161.94</x:v>
      </x:c>
      <x:c r="J3859" s="3"/>
      <x:c r="K3859" s="3"/>
      <x:c r="L3859" s="3"/>
    </x:row>
    <x:row r="3860" ht="22" customHeight="1">
      <x:c r="A3860" s="3"/>
      <x:c r="B3860" s="3" t="str">
        <x:v>17600</x:v>
      </x:c>
      <x:c r="C3860" s="3" t="n">
        <x:v>1</x:v>
      </x:c>
      <x:c r="D3860" s="51" t="n">
        <x:v>40869</x:v>
      </x:c>
      <x:c r="E3860" s="3" t="str">
        <x:v>Una compra</x:v>
      </x:c>
      <x:c r="F3860" s="13" t="n">
        <x:v>161.67</x:v>
      </x:c>
      <x:c r="G3860" s="13" t="n">
        <x:v>0</x:v>
      </x:c>
      <x:c r="H3860" s="13" t="n">
        <x:f>F3860-G3860</x:f>
        <x:v>161.67</x:v>
      </x:c>
      <x:c r="I3860" s="13" t="n">
        <x:f>IF(C3860=0,"n.a.",F3860/C3860)</x:f>
        <x:v>161.67</x:v>
      </x:c>
      <x:c r="J3860" s="3"/>
      <x:c r="K3860" s="3"/>
      <x:c r="L3860" s="3"/>
    </x:row>
    <x:row r="3861" ht="22" customHeight="1">
      <x:c r="A3861" s="3"/>
      <x:c r="B3861" s="3" t="str">
        <x:v>15458</x:v>
      </x:c>
      <x:c r="C3861" s="3" t="n">
        <x:v>1</x:v>
      </x:c>
      <x:c r="D3861" s="51" t="n">
        <x:v>40861</x:v>
      </x:c>
      <x:c r="E3861" s="3" t="str">
        <x:v>Una compra</x:v>
      </x:c>
      <x:c r="F3861" s="13" t="n">
        <x:v>161.64</x:v>
      </x:c>
      <x:c r="G3861" s="13" t="n">
        <x:v>0</x:v>
      </x:c>
      <x:c r="H3861" s="13" t="n">
        <x:f>F3861-G3861</x:f>
        <x:v>161.64</x:v>
      </x:c>
      <x:c r="I3861" s="13" t="n">
        <x:f>IF(C3861=0,"n.a.",F3861/C3861)</x:f>
        <x:v>161.64</x:v>
      </x:c>
      <x:c r="J3861" s="3"/>
      <x:c r="K3861" s="3"/>
      <x:c r="L3861" s="3"/>
    </x:row>
    <x:row r="3862" ht="22" customHeight="1">
      <x:c r="A3862" s="3"/>
      <x:c r="B3862" s="3" t="str">
        <x:v>16113</x:v>
      </x:c>
      <x:c r="C3862" s="3" t="n">
        <x:v>1</x:v>
      </x:c>
      <x:c r="D3862" s="51" t="n">
        <x:v>40703</x:v>
      </x:c>
      <x:c r="E3862" s="3" t="str">
        <x:v>Una compra</x:v>
      </x:c>
      <x:c r="F3862" s="13" t="n">
        <x:v>161.38</x:v>
      </x:c>
      <x:c r="G3862" s="13" t="n">
        <x:v>0</x:v>
      </x:c>
      <x:c r="H3862" s="13" t="n">
        <x:f>F3862-G3862</x:f>
        <x:v>161.38</x:v>
      </x:c>
      <x:c r="I3862" s="13" t="n">
        <x:f>IF(C3862=0,"n.a.",F3862/C3862)</x:f>
        <x:v>161.38</x:v>
      </x:c>
      <x:c r="J3862" s="3"/>
      <x:c r="K3862" s="3"/>
      <x:c r="L3862" s="3"/>
    </x:row>
    <x:row r="3863" ht="22" customHeight="1">
      <x:c r="A3863" s="3"/>
      <x:c r="B3863" s="3" t="str">
        <x:v>14362</x:v>
      </x:c>
      <x:c r="C3863" s="3" t="n">
        <x:v>1</x:v>
      </x:c>
      <x:c r="D3863" s="51" t="n">
        <x:v>40864</x:v>
      </x:c>
      <x:c r="E3863" s="3" t="str">
        <x:v>Una compra</x:v>
      </x:c>
      <x:c r="F3863" s="13" t="n">
        <x:v>161.2</x:v>
      </x:c>
      <x:c r="G3863" s="13" t="n">
        <x:v>0</x:v>
      </x:c>
      <x:c r="H3863" s="13" t="n">
        <x:f>F3863-G3863</x:f>
        <x:v>161.2</x:v>
      </x:c>
      <x:c r="I3863" s="13" t="n">
        <x:f>IF(C3863=0,"n.a.",F3863/C3863)</x:f>
        <x:v>161.2</x:v>
      </x:c>
      <x:c r="J3863" s="3"/>
      <x:c r="K3863" s="3"/>
      <x:c r="L3863" s="3"/>
    </x:row>
    <x:row r="3864" ht="22" customHeight="1">
      <x:c r="A3864" s="3"/>
      <x:c r="B3864" s="3" t="str">
        <x:v>16403</x:v>
      </x:c>
      <x:c r="C3864" s="3" t="n">
        <x:v>1</x:v>
      </x:c>
      <x:c r="D3864" s="51" t="n">
        <x:v>40574</x:v>
      </x:c>
      <x:c r="E3864" s="3" t="str">
        <x:v>Una compra</x:v>
      </x:c>
      <x:c r="F3864" s="13" t="n">
        <x:v>177.5</x:v>
      </x:c>
      <x:c r="G3864" s="13" t="n">
        <x:v>16.45</x:v>
      </x:c>
      <x:c r="H3864" s="13" t="n">
        <x:f>F3864-G3864</x:f>
        <x:v>161.05</x:v>
      </x:c>
      <x:c r="I3864" s="13" t="n">
        <x:f>IF(C3864=0,"n.a.",F3864/C3864)</x:f>
        <x:v>177.5</x:v>
      </x:c>
      <x:c r="J3864" s="3"/>
      <x:c r="K3864" s="3"/>
      <x:c r="L3864" s="3"/>
    </x:row>
    <x:row r="3865" ht="22" customHeight="1">
      <x:c r="A3865" s="3"/>
      <x:c r="B3865" s="3" t="str">
        <x:v>14204</x:v>
      </x:c>
      <x:c r="C3865" s="3" t="n">
        <x:v>1</x:v>
      </x:c>
      <x:c r="D3865" s="51" t="n">
        <x:v>40884</x:v>
      </x:c>
      <x:c r="E3865" s="3" t="str">
        <x:v>Una compra</x:v>
      </x:c>
      <x:c r="F3865" s="13" t="n">
        <x:v>161.03</x:v>
      </x:c>
      <x:c r="G3865" s="13" t="n">
        <x:v>0</x:v>
      </x:c>
      <x:c r="H3865" s="13" t="n">
        <x:f>F3865-G3865</x:f>
        <x:v>161.03</x:v>
      </x:c>
      <x:c r="I3865" s="13" t="n">
        <x:f>IF(C3865=0,"n.a.",F3865/C3865)</x:f>
        <x:v>161.03</x:v>
      </x:c>
      <x:c r="J3865" s="3"/>
      <x:c r="K3865" s="3"/>
      <x:c r="L3865" s="3"/>
    </x:row>
    <x:row r="3866" ht="22" customHeight="1">
      <x:c r="A3866" s="3"/>
      <x:c r="B3866" s="3" t="str">
        <x:v>14089</x:v>
      </x:c>
      <x:c r="C3866" s="3" t="n">
        <x:v>1</x:v>
      </x:c>
      <x:c r="D3866" s="51" t="n">
        <x:v>40830</x:v>
      </x:c>
      <x:c r="E3866" s="3" t="str">
        <x:v>Una compra</x:v>
      </x:c>
      <x:c r="F3866" s="13" t="n">
        <x:v>161</x:v>
      </x:c>
      <x:c r="G3866" s="13" t="n">
        <x:v>0</x:v>
      </x:c>
      <x:c r="H3866" s="13" t="n">
        <x:f>F3866-G3866</x:f>
        <x:v>161</x:v>
      </x:c>
      <x:c r="I3866" s="13" t="n">
        <x:f>IF(C3866=0,"n.a.",F3866/C3866)</x:f>
        <x:v>161</x:v>
      </x:c>
      <x:c r="J3866" s="3"/>
      <x:c r="K3866" s="3"/>
      <x:c r="L3866" s="3"/>
    </x:row>
    <x:row r="3867" ht="22" customHeight="1">
      <x:c r="A3867" s="3"/>
      <x:c r="B3867" s="3" t="str">
        <x:v>14237</x:v>
      </x:c>
      <x:c r="C3867" s="3" t="n">
        <x:v>1</x:v>
      </x:c>
      <x:c r="D3867" s="51" t="n">
        <x:v>40513</x:v>
      </x:c>
      <x:c r="E3867" s="3" t="str">
        <x:v>Una compra</x:v>
      </x:c>
      <x:c r="F3867" s="13" t="n">
        <x:v>161</x:v>
      </x:c>
      <x:c r="G3867" s="13" t="n">
        <x:v>0</x:v>
      </x:c>
      <x:c r="H3867" s="13" t="n">
        <x:f>F3867-G3867</x:f>
        <x:v>161</x:v>
      </x:c>
      <x:c r="I3867" s="13" t="n">
        <x:f>IF(C3867=0,"n.a.",F3867/C3867)</x:f>
        <x:v>161</x:v>
      </x:c>
      <x:c r="J3867" s="3"/>
      <x:c r="K3867" s="3"/>
      <x:c r="L3867" s="3"/>
    </x:row>
    <x:row r="3868" ht="22" customHeight="1">
      <x:c r="A3868" s="3"/>
      <x:c r="B3868" s="3" t="str">
        <x:v>13229</x:v>
      </x:c>
      <x:c r="C3868" s="3" t="n">
        <x:v>1</x:v>
      </x:c>
      <x:c r="D3868" s="51" t="n">
        <x:v>40661</x:v>
      </x:c>
      <x:c r="E3868" s="3" t="str">
        <x:v>Una compra</x:v>
      </x:c>
      <x:c r="F3868" s="13" t="n">
        <x:v>160.95</x:v>
      </x:c>
      <x:c r="G3868" s="13" t="n">
        <x:v>0</x:v>
      </x:c>
      <x:c r="H3868" s="13" t="n">
        <x:f>F3868-G3868</x:f>
        <x:v>160.95</x:v>
      </x:c>
      <x:c r="I3868" s="13" t="n">
        <x:f>IF(C3868=0,"n.a.",F3868/C3868)</x:f>
        <x:v>160.95</x:v>
      </x:c>
      <x:c r="J3868" s="3"/>
      <x:c r="K3868" s="3"/>
      <x:c r="L3868" s="3"/>
    </x:row>
    <x:row r="3869" ht="22" customHeight="1">
      <x:c r="A3869" s="3"/>
      <x:c r="B3869" s="3" t="str">
        <x:v>15852</x:v>
      </x:c>
      <x:c r="C3869" s="3" t="n">
        <x:v>2</x:v>
      </x:c>
      <x:c r="D3869" s="51" t="n">
        <x:v>40700</x:v>
      </x:c>
      <x:c r="E3869" s="3" t="str">
        <x:v>Recurrente</x:v>
      </x:c>
      <x:c r="F3869" s="13" t="n">
        <x:v>160.71</x:v>
      </x:c>
      <x:c r="G3869" s="13" t="n">
        <x:v>0</x:v>
      </x:c>
      <x:c r="H3869" s="13" t="n">
        <x:f>F3869-G3869</x:f>
        <x:v>160.71</x:v>
      </x:c>
      <x:c r="I3869" s="13" t="n">
        <x:f>IF(C3869=0,"n.a.",F3869/C3869)</x:f>
        <x:v>80.355</x:v>
      </x:c>
      <x:c r="J3869" s="3"/>
      <x:c r="K3869" s="3"/>
      <x:c r="L3869" s="3"/>
    </x:row>
    <x:row r="3870" ht="22" customHeight="1">
      <x:c r="A3870" s="3"/>
      <x:c r="B3870" s="3" t="str">
        <x:v>17344</x:v>
      </x:c>
      <x:c r="C3870" s="3" t="n">
        <x:v>1</x:v>
      </x:c>
      <x:c r="D3870" s="51" t="n">
        <x:v>40840</x:v>
      </x:c>
      <x:c r="E3870" s="3" t="str">
        <x:v>Una compra</x:v>
      </x:c>
      <x:c r="F3870" s="13" t="n">
        <x:v>160.57</x:v>
      </x:c>
      <x:c r="G3870" s="13" t="n">
        <x:v>0</x:v>
      </x:c>
      <x:c r="H3870" s="13" t="n">
        <x:f>F3870-G3870</x:f>
        <x:v>160.57</x:v>
      </x:c>
      <x:c r="I3870" s="13" t="n">
        <x:f>IF(C3870=0,"n.a.",F3870/C3870)</x:f>
        <x:v>160.57</x:v>
      </x:c>
      <x:c r="J3870" s="3"/>
      <x:c r="K3870" s="3"/>
      <x:c r="L3870" s="3"/>
    </x:row>
    <x:row r="3871" ht="22" customHeight="1">
      <x:c r="A3871" s="3"/>
      <x:c r="B3871" s="3" t="str">
        <x:v>12573</x:v>
      </x:c>
      <x:c r="C3871" s="3" t="n">
        <x:v>1</x:v>
      </x:c>
      <x:c r="D3871" s="51" t="n">
        <x:v>40659</x:v>
      </x:c>
      <x:c r="E3871" s="3" t="str">
        <x:v>Una compra</x:v>
      </x:c>
      <x:c r="F3871" s="13" t="n">
        <x:v>160.54</x:v>
      </x:c>
      <x:c r="G3871" s="13" t="n">
        <x:v>0</x:v>
      </x:c>
      <x:c r="H3871" s="13" t="n">
        <x:f>F3871-G3871</x:f>
        <x:v>160.54</x:v>
      </x:c>
      <x:c r="I3871" s="13" t="n">
        <x:f>IF(C3871=0,"n.a.",F3871/C3871)</x:f>
        <x:v>160.54</x:v>
      </x:c>
      <x:c r="J3871" s="3"/>
      <x:c r="K3871" s="3"/>
      <x:c r="L3871" s="3"/>
    </x:row>
    <x:row r="3872" ht="22" customHeight="1">
      <x:c r="A3872" s="3"/>
      <x:c r="B3872" s="3" t="str">
        <x:v>18203</x:v>
      </x:c>
      <x:c r="C3872" s="3" t="n">
        <x:v>1</x:v>
      </x:c>
      <x:c r="D3872" s="51" t="n">
        <x:v>40729</x:v>
      </x:c>
      <x:c r="E3872" s="3" t="str">
        <x:v>Una compra</x:v>
      </x:c>
      <x:c r="F3872" s="13" t="n">
        <x:v>160.42</x:v>
      </x:c>
      <x:c r="G3872" s="13" t="n">
        <x:v>0</x:v>
      </x:c>
      <x:c r="H3872" s="13" t="n">
        <x:f>F3872-G3872</x:f>
        <x:v>160.42</x:v>
      </x:c>
      <x:c r="I3872" s="13" t="n">
        <x:f>IF(C3872=0,"n.a.",F3872/C3872)</x:f>
        <x:v>160.42</x:v>
      </x:c>
      <x:c r="J3872" s="3"/>
      <x:c r="K3872" s="3"/>
      <x:c r="L3872" s="3"/>
    </x:row>
    <x:row r="3873" ht="22" customHeight="1">
      <x:c r="A3873" s="3"/>
      <x:c r="B3873" s="3" t="str">
        <x:v>18146</x:v>
      </x:c>
      <x:c r="C3873" s="3" t="n">
        <x:v>2</x:v>
      </x:c>
      <x:c r="D3873" s="51" t="n">
        <x:v>40746</x:v>
      </x:c>
      <x:c r="E3873" s="3" t="str">
        <x:v>Recurrente</x:v>
      </x:c>
      <x:c r="F3873" s="13" t="n">
        <x:v>160.35</x:v>
      </x:c>
      <x:c r="G3873" s="13" t="n">
        <x:v>0</x:v>
      </x:c>
      <x:c r="H3873" s="13" t="n">
        <x:f>F3873-G3873</x:f>
        <x:v>160.35</x:v>
      </x:c>
      <x:c r="I3873" s="13" t="n">
        <x:f>IF(C3873=0,"n.a.",F3873/C3873)</x:f>
        <x:v>80.175</x:v>
      </x:c>
      <x:c r="J3873" s="3"/>
      <x:c r="K3873" s="3"/>
      <x:c r="L3873" s="3"/>
    </x:row>
    <x:row r="3874" ht="22" customHeight="1">
      <x:c r="A3874" s="3"/>
      <x:c r="B3874" s="3" t="str">
        <x:v>14714</x:v>
      </x:c>
      <x:c r="C3874" s="3" t="n">
        <x:v>1</x:v>
      </x:c>
      <x:c r="D3874" s="51" t="n">
        <x:v>40862</x:v>
      </x:c>
      <x:c r="E3874" s="3" t="str">
        <x:v>Una compra</x:v>
      </x:c>
      <x:c r="F3874" s="13" t="n">
        <x:v>160.19</x:v>
      </x:c>
      <x:c r="G3874" s="13" t="n">
        <x:v>0</x:v>
      </x:c>
      <x:c r="H3874" s="13" t="n">
        <x:f>F3874-G3874</x:f>
        <x:v>160.19</x:v>
      </x:c>
      <x:c r="I3874" s="13" t="n">
        <x:f>IF(C3874=0,"n.a.",F3874/C3874)</x:f>
        <x:v>160.19</x:v>
      </x:c>
      <x:c r="J3874" s="3"/>
      <x:c r="K3874" s="3"/>
      <x:c r="L3874" s="3"/>
    </x:row>
    <x:row r="3875" ht="22" customHeight="1">
      <x:c r="A3875" s="3"/>
      <x:c r="B3875" s="3" t="str">
        <x:v>12966</x:v>
      </x:c>
      <x:c r="C3875" s="3" t="n">
        <x:v>1</x:v>
      </x:c>
      <x:c r="D3875" s="51" t="n">
        <x:v>40877</x:v>
      </x:c>
      <x:c r="E3875" s="3" t="str">
        <x:v>Una compra</x:v>
      </x:c>
      <x:c r="F3875" s="13" t="n">
        <x:v>160.18</x:v>
      </x:c>
      <x:c r="G3875" s="13" t="n">
        <x:v>0</x:v>
      </x:c>
      <x:c r="H3875" s="13" t="n">
        <x:f>F3875-G3875</x:f>
        <x:v>160.18</x:v>
      </x:c>
      <x:c r="I3875" s="13" t="n">
        <x:f>IF(C3875=0,"n.a.",F3875/C3875)</x:f>
        <x:v>160.18</x:v>
      </x:c>
      <x:c r="J3875" s="3"/>
      <x:c r="K3875" s="3"/>
      <x:c r="L3875" s="3"/>
    </x:row>
    <x:row r="3876" ht="22" customHeight="1">
      <x:c r="A3876" s="3"/>
      <x:c r="B3876" s="3" t="str">
        <x:v>16213</x:v>
      </x:c>
      <x:c r="C3876" s="3" t="n">
        <x:v>1</x:v>
      </x:c>
      <x:c r="D3876" s="51" t="n">
        <x:v>40808</x:v>
      </x:c>
      <x:c r="E3876" s="3" t="str">
        <x:v>Una compra</x:v>
      </x:c>
      <x:c r="F3876" s="13" t="n">
        <x:v>159</x:v>
      </x:c>
      <x:c r="G3876" s="13" t="n">
        <x:v>0</x:v>
      </x:c>
      <x:c r="H3876" s="13" t="n">
        <x:f>F3876-G3876</x:f>
        <x:v>159</x:v>
      </x:c>
      <x:c r="I3876" s="13" t="n">
        <x:f>IF(C3876=0,"n.a.",F3876/C3876)</x:f>
        <x:v>159</x:v>
      </x:c>
      <x:c r="J3876" s="3"/>
      <x:c r="K3876" s="3"/>
      <x:c r="L3876" s="3"/>
    </x:row>
    <x:row r="3877" ht="22" customHeight="1">
      <x:c r="A3877" s="3"/>
      <x:c r="B3877" s="3" t="str">
        <x:v>18224</x:v>
      </x:c>
      <x:c r="C3877" s="3" t="n">
        <x:v>1</x:v>
      </x:c>
      <x:c r="D3877" s="51" t="n">
        <x:v>40623</x:v>
      </x:c>
      <x:c r="E3877" s="3" t="str">
        <x:v>Una compra</x:v>
      </x:c>
      <x:c r="F3877" s="13" t="n">
        <x:v>158.95</x:v>
      </x:c>
      <x:c r="G3877" s="13" t="n">
        <x:v>0</x:v>
      </x:c>
      <x:c r="H3877" s="13" t="n">
        <x:f>F3877-G3877</x:f>
        <x:v>158.95</x:v>
      </x:c>
      <x:c r="I3877" s="13" t="n">
        <x:f>IF(C3877=0,"n.a.",F3877/C3877)</x:f>
        <x:v>158.95</x:v>
      </x:c>
      <x:c r="J3877" s="3"/>
      <x:c r="K3877" s="3"/>
      <x:c r="L3877" s="3"/>
    </x:row>
    <x:row r="3878" ht="22" customHeight="1">
      <x:c r="A3878" s="3"/>
      <x:c r="B3878" s="3" t="str">
        <x:v>13937</x:v>
      </x:c>
      <x:c r="C3878" s="3" t="n">
        <x:v>1</x:v>
      </x:c>
      <x:c r="D3878" s="51" t="n">
        <x:v>40717</x:v>
      </x:c>
      <x:c r="E3878" s="3" t="str">
        <x:v>Una compra</x:v>
      </x:c>
      <x:c r="F3878" s="13" t="n">
        <x:v>158.85</x:v>
      </x:c>
      <x:c r="G3878" s="13" t="n">
        <x:v>0</x:v>
      </x:c>
      <x:c r="H3878" s="13" t="n">
        <x:f>F3878-G3878</x:f>
        <x:v>158.85</x:v>
      </x:c>
      <x:c r="I3878" s="13" t="n">
        <x:f>IF(C3878=0,"n.a.",F3878/C3878)</x:f>
        <x:v>158.85</x:v>
      </x:c>
      <x:c r="J3878" s="3"/>
      <x:c r="K3878" s="3"/>
      <x:c r="L3878" s="3"/>
    </x:row>
    <x:row r="3879" ht="22" customHeight="1">
      <x:c r="A3879" s="3"/>
      <x:c r="B3879" s="3" t="str">
        <x:v>17165</x:v>
      </x:c>
      <x:c r="C3879" s="3" t="n">
        <x:v>1</x:v>
      </x:c>
      <x:c r="D3879" s="51" t="n">
        <x:v>40602</x:v>
      </x:c>
      <x:c r="E3879" s="3" t="str">
        <x:v>Una compra</x:v>
      </x:c>
      <x:c r="F3879" s="13" t="n">
        <x:v>158.68</x:v>
      </x:c>
      <x:c r="G3879" s="13" t="n">
        <x:v>0</x:v>
      </x:c>
      <x:c r="H3879" s="13" t="n">
        <x:f>F3879-G3879</x:f>
        <x:v>158.68</x:v>
      </x:c>
      <x:c r="I3879" s="13" t="n">
        <x:f>IF(C3879=0,"n.a.",F3879/C3879)</x:f>
        <x:v>158.68</x:v>
      </x:c>
      <x:c r="J3879" s="3"/>
      <x:c r="K3879" s="3"/>
      <x:c r="L3879" s="3"/>
    </x:row>
    <x:row r="3880" ht="22" customHeight="1">
      <x:c r="A3880" s="3"/>
      <x:c r="B3880" s="3" t="str">
        <x:v>12509</x:v>
      </x:c>
      <x:c r="C3880" s="3" t="n">
        <x:v>1</x:v>
      </x:c>
      <x:c r="D3880" s="51" t="n">
        <x:v>40602</x:v>
      </x:c>
      <x:c r="E3880" s="3" t="str">
        <x:v>Una compra</x:v>
      </x:c>
      <x:c r="F3880" s="13" t="n">
        <x:v>158.5</x:v>
      </x:c>
      <x:c r="G3880" s="13" t="n">
        <x:v>0</x:v>
      </x:c>
      <x:c r="H3880" s="13" t="n">
        <x:f>F3880-G3880</x:f>
        <x:v>158.5</x:v>
      </x:c>
      <x:c r="I3880" s="13" t="n">
        <x:f>IF(C3880=0,"n.a.",F3880/C3880)</x:f>
        <x:v>158.5</x:v>
      </x:c>
      <x:c r="J3880" s="3"/>
      <x:c r="K3880" s="3"/>
      <x:c r="L3880" s="3"/>
    </x:row>
    <x:row r="3881" ht="22" customHeight="1">
      <x:c r="A3881" s="3"/>
      <x:c r="B3881" s="3" t="str">
        <x:v>18014</x:v>
      </x:c>
      <x:c r="C3881" s="3" t="n">
        <x:v>1</x:v>
      </x:c>
      <x:c r="D3881" s="51" t="n">
        <x:v>40858</x:v>
      </x:c>
      <x:c r="E3881" s="3" t="str">
        <x:v>Una compra</x:v>
      </x:c>
      <x:c r="F3881" s="13" t="n">
        <x:v>158.47</x:v>
      </x:c>
      <x:c r="G3881" s="13" t="n">
        <x:v>0</x:v>
      </x:c>
      <x:c r="H3881" s="13" t="n">
        <x:f>F3881-G3881</x:f>
        <x:v>158.47</x:v>
      </x:c>
      <x:c r="I3881" s="13" t="n">
        <x:f>IF(C3881=0,"n.a.",F3881/C3881)</x:f>
        <x:v>158.47</x:v>
      </x:c>
      <x:c r="J3881" s="3"/>
      <x:c r="K3881" s="3"/>
      <x:c r="L3881" s="3"/>
    </x:row>
    <x:row r="3882" ht="22" customHeight="1">
      <x:c r="A3882" s="3"/>
      <x:c r="B3882" s="3" t="str">
        <x:v>15160</x:v>
      </x:c>
      <x:c r="C3882" s="3" t="n">
        <x:v>1</x:v>
      </x:c>
      <x:c r="D3882" s="51" t="n">
        <x:v>40529</x:v>
      </x:c>
      <x:c r="E3882" s="3" t="str">
        <x:v>Una compra</x:v>
      </x:c>
      <x:c r="F3882" s="13" t="n">
        <x:v>158.16</x:v>
      </x:c>
      <x:c r="G3882" s="13" t="n">
        <x:v>0</x:v>
      </x:c>
      <x:c r="H3882" s="13" t="n">
        <x:f>F3882-G3882</x:f>
        <x:v>158.16</x:v>
      </x:c>
      <x:c r="I3882" s="13" t="n">
        <x:f>IF(C3882=0,"n.a.",F3882/C3882)</x:f>
        <x:v>158.16</x:v>
      </x:c>
      <x:c r="J3882" s="3"/>
      <x:c r="K3882" s="3"/>
      <x:c r="L3882" s="3"/>
    </x:row>
    <x:row r="3883" ht="22" customHeight="1">
      <x:c r="A3883" s="3"/>
      <x:c r="B3883" s="3" t="str">
        <x:v>15348</x:v>
      </x:c>
      <x:c r="C3883" s="3" t="n">
        <x:v>1</x:v>
      </x:c>
      <x:c r="D3883" s="51" t="n">
        <x:v>40814</x:v>
      </x:c>
      <x:c r="E3883" s="3" t="str">
        <x:v>Una compra</x:v>
      </x:c>
      <x:c r="F3883" s="13" t="n">
        <x:v>158.04</x:v>
      </x:c>
      <x:c r="G3883" s="13" t="n">
        <x:v>0</x:v>
      </x:c>
      <x:c r="H3883" s="13" t="n">
        <x:f>F3883-G3883</x:f>
        <x:v>158.04</x:v>
      </x:c>
      <x:c r="I3883" s="13" t="n">
        <x:f>IF(C3883=0,"n.a.",F3883/C3883)</x:f>
        <x:v>158.04</x:v>
      </x:c>
      <x:c r="J3883" s="3"/>
      <x:c r="K3883" s="3"/>
      <x:c r="L3883" s="3"/>
    </x:row>
    <x:row r="3884" ht="22" customHeight="1">
      <x:c r="A3884" s="3"/>
      <x:c r="B3884" s="3" t="str">
        <x:v>15988</x:v>
      </x:c>
      <x:c r="C3884" s="3" t="n">
        <x:v>1</x:v>
      </x:c>
      <x:c r="D3884" s="51" t="n">
        <x:v>40867</x:v>
      </x:c>
      <x:c r="E3884" s="3" t="str">
        <x:v>Una compra</x:v>
      </x:c>
      <x:c r="F3884" s="13" t="n">
        <x:v>158.03</x:v>
      </x:c>
      <x:c r="G3884" s="13" t="n">
        <x:v>0</x:v>
      </x:c>
      <x:c r="H3884" s="13" t="n">
        <x:f>F3884-G3884</x:f>
        <x:v>158.03</x:v>
      </x:c>
      <x:c r="I3884" s="13" t="n">
        <x:f>IF(C3884=0,"n.a.",F3884/C3884)</x:f>
        <x:v>158.03</x:v>
      </x:c>
      <x:c r="J3884" s="3"/>
      <x:c r="K3884" s="3"/>
      <x:c r="L3884" s="3"/>
    </x:row>
    <x:row r="3885" ht="22" customHeight="1">
      <x:c r="A3885" s="3"/>
      <x:c r="B3885" s="3" t="str">
        <x:v>17556</x:v>
      </x:c>
      <x:c r="C3885" s="3" t="n">
        <x:v>1</x:v>
      </x:c>
      <x:c r="D3885" s="51" t="n">
        <x:v>40681</x:v>
      </x:c>
      <x:c r="E3885" s="3" t="str">
        <x:v>Una compra</x:v>
      </x:c>
      <x:c r="F3885" s="13" t="n">
        <x:v>157.9</x:v>
      </x:c>
      <x:c r="G3885" s="13" t="n">
        <x:v>0</x:v>
      </x:c>
      <x:c r="H3885" s="13" t="n">
        <x:f>F3885-G3885</x:f>
        <x:v>157.9</x:v>
      </x:c>
      <x:c r="I3885" s="13" t="n">
        <x:f>IF(C3885=0,"n.a.",F3885/C3885)</x:f>
        <x:v>157.9</x:v>
      </x:c>
      <x:c r="J3885" s="3"/>
      <x:c r="K3885" s="3"/>
      <x:c r="L3885" s="3"/>
    </x:row>
    <x:row r="3886" ht="22" customHeight="1">
      <x:c r="A3886" s="3"/>
      <x:c r="B3886" s="3" t="str">
        <x:v>14295</x:v>
      </x:c>
      <x:c r="C3886" s="3" t="n">
        <x:v>1</x:v>
      </x:c>
      <x:c r="D3886" s="51" t="n">
        <x:v>40846</x:v>
      </x:c>
      <x:c r="E3886" s="3" t="str">
        <x:v>Una compra</x:v>
      </x:c>
      <x:c r="F3886" s="13" t="n">
        <x:v>166.2</x:v>
      </x:c>
      <x:c r="G3886" s="13" t="n">
        <x:v>8.5</x:v>
      </x:c>
      <x:c r="H3886" s="13" t="n">
        <x:f>F3886-G3886</x:f>
        <x:v>157.7</x:v>
      </x:c>
      <x:c r="I3886" s="13" t="n">
        <x:f>IF(C3886=0,"n.a.",F3886/C3886)</x:f>
        <x:v>166.2</x:v>
      </x:c>
      <x:c r="J3886" s="3"/>
      <x:c r="K3886" s="3"/>
      <x:c r="L3886" s="3"/>
    </x:row>
    <x:row r="3887" ht="22" customHeight="1">
      <x:c r="A3887" s="3"/>
      <x:c r="B3887" s="3" t="str">
        <x:v>14799</x:v>
      </x:c>
      <x:c r="C3887" s="3" t="n">
        <x:v>1</x:v>
      </x:c>
      <x:c r="D3887" s="51" t="n">
        <x:v>40835</x:v>
      </x:c>
      <x:c r="E3887" s="3" t="str">
        <x:v>Una compra</x:v>
      </x:c>
      <x:c r="F3887" s="13" t="n">
        <x:v>157.7</x:v>
      </x:c>
      <x:c r="G3887" s="13" t="n">
        <x:v>0</x:v>
      </x:c>
      <x:c r="H3887" s="13" t="n">
        <x:f>F3887-G3887</x:f>
        <x:v>157.7</x:v>
      </x:c>
      <x:c r="I3887" s="13" t="n">
        <x:f>IF(C3887=0,"n.a.",F3887/C3887)</x:f>
        <x:v>157.7</x:v>
      </x:c>
      <x:c r="J3887" s="3"/>
      <x:c r="K3887" s="3"/>
      <x:c r="L3887" s="3"/>
    </x:row>
    <x:row r="3888" ht="22" customHeight="1">
      <x:c r="A3888" s="3"/>
      <x:c r="B3888" s="3" t="str">
        <x:v>14148</x:v>
      </x:c>
      <x:c r="C3888" s="3" t="n">
        <x:v>1</x:v>
      </x:c>
      <x:c r="D3888" s="51" t="n">
        <x:v>40653</x:v>
      </x:c>
      <x:c r="E3888" s="3" t="str">
        <x:v>Una compra</x:v>
      </x:c>
      <x:c r="F3888" s="13" t="n">
        <x:v>157.2</x:v>
      </x:c>
      <x:c r="G3888" s="13" t="n">
        <x:v>0</x:v>
      </x:c>
      <x:c r="H3888" s="13" t="n">
        <x:f>F3888-G3888</x:f>
        <x:v>157.2</x:v>
      </x:c>
      <x:c r="I3888" s="13" t="n">
        <x:f>IF(C3888=0,"n.a.",F3888/C3888)</x:f>
        <x:v>157.2</x:v>
      </x:c>
      <x:c r="J3888" s="3"/>
      <x:c r="K3888" s="3"/>
      <x:c r="L3888" s="3"/>
    </x:row>
    <x:row r="3889" ht="22" customHeight="1">
      <x:c r="A3889" s="3"/>
      <x:c r="B3889" s="3" t="str">
        <x:v>17128</x:v>
      </x:c>
      <x:c r="C3889" s="3" t="n">
        <x:v>1</x:v>
      </x:c>
      <x:c r="D3889" s="51" t="n">
        <x:v>40552</x:v>
      </x:c>
      <x:c r="E3889" s="3" t="str">
        <x:v>Una compra</x:v>
      </x:c>
      <x:c r="F3889" s="13" t="n">
        <x:v>157.09</x:v>
      </x:c>
      <x:c r="G3889" s="13" t="n">
        <x:v>0</x:v>
      </x:c>
      <x:c r="H3889" s="13" t="n">
        <x:f>F3889-G3889</x:f>
        <x:v>157.09</x:v>
      </x:c>
      <x:c r="I3889" s="13" t="n">
        <x:f>IF(C3889=0,"n.a.",F3889/C3889)</x:f>
        <x:v>157.09</x:v>
      </x:c>
      <x:c r="J3889" s="3"/>
      <x:c r="K3889" s="3"/>
      <x:c r="L3889" s="3"/>
    </x:row>
    <x:row r="3890" ht="22" customHeight="1">
      <x:c r="A3890" s="3"/>
      <x:c r="B3890" s="3" t="str">
        <x:v>14585</x:v>
      </x:c>
      <x:c r="C3890" s="3" t="n">
        <x:v>1</x:v>
      </x:c>
      <x:c r="D3890" s="51" t="n">
        <x:v>40836</x:v>
      </x:c>
      <x:c r="E3890" s="3" t="str">
        <x:v>Una compra</x:v>
      </x:c>
      <x:c r="F3890" s="13" t="n">
        <x:v>157.05</x:v>
      </x:c>
      <x:c r="G3890" s="13" t="n">
        <x:v>0</x:v>
      </x:c>
      <x:c r="H3890" s="13" t="n">
        <x:f>F3890-G3890</x:f>
        <x:v>157.05</x:v>
      </x:c>
      <x:c r="I3890" s="13" t="n">
        <x:f>IF(C3890=0,"n.a.",F3890/C3890)</x:f>
        <x:v>157.05</x:v>
      </x:c>
      <x:c r="J3890" s="3"/>
      <x:c r="K3890" s="3"/>
      <x:c r="L3890" s="3"/>
    </x:row>
    <x:row r="3891" ht="22" customHeight="1">
      <x:c r="A3891" s="3"/>
      <x:c r="B3891" s="3" t="str">
        <x:v>17118</x:v>
      </x:c>
      <x:c r="C3891" s="3" t="n">
        <x:v>1</x:v>
      </x:c>
      <x:c r="D3891" s="51" t="n">
        <x:v>40569</x:v>
      </x:c>
      <x:c r="E3891" s="3" t="str">
        <x:v>Una compra</x:v>
      </x:c>
      <x:c r="F3891" s="13" t="n">
        <x:v>157.02</x:v>
      </x:c>
      <x:c r="G3891" s="13" t="n">
        <x:v>0</x:v>
      </x:c>
      <x:c r="H3891" s="13" t="n">
        <x:f>F3891-G3891</x:f>
        <x:v>157.02</x:v>
      </x:c>
      <x:c r="I3891" s="13" t="n">
        <x:f>IF(C3891=0,"n.a.",F3891/C3891)</x:f>
        <x:v>157.02</x:v>
      </x:c>
      <x:c r="J3891" s="3"/>
      <x:c r="K3891" s="3"/>
      <x:c r="L3891" s="3"/>
    </x:row>
    <x:row r="3892" ht="22" customHeight="1">
      <x:c r="A3892" s="3"/>
      <x:c r="B3892" s="3" t="str">
        <x:v>15007</x:v>
      </x:c>
      <x:c r="C3892" s="3" t="n">
        <x:v>1</x:v>
      </x:c>
      <x:c r="D3892" s="51" t="n">
        <x:v>40727</x:v>
      </x:c>
      <x:c r="E3892" s="3" t="str">
        <x:v>Una compra</x:v>
      </x:c>
      <x:c r="F3892" s="13" t="n">
        <x:v>156.91</x:v>
      </x:c>
      <x:c r="G3892" s="13" t="n">
        <x:v>0</x:v>
      </x:c>
      <x:c r="H3892" s="13" t="n">
        <x:f>F3892-G3892</x:f>
        <x:v>156.91</x:v>
      </x:c>
      <x:c r="I3892" s="13" t="n">
        <x:f>IF(C3892=0,"n.a.",F3892/C3892)</x:f>
        <x:v>156.91</x:v>
      </x:c>
      <x:c r="J3892" s="3"/>
      <x:c r="K3892" s="3"/>
      <x:c r="L3892" s="3"/>
    </x:row>
    <x:row r="3893" ht="22" customHeight="1">
      <x:c r="A3893" s="3"/>
      <x:c r="B3893" s="3" t="str">
        <x:v>14406</x:v>
      </x:c>
      <x:c r="C3893" s="3" t="n">
        <x:v>1</x:v>
      </x:c>
      <x:c r="D3893" s="51" t="n">
        <x:v>40767</x:v>
      </x:c>
      <x:c r="E3893" s="3" t="str">
        <x:v>Una compra</x:v>
      </x:c>
      <x:c r="F3893" s="13" t="n">
        <x:v>156.75</x:v>
      </x:c>
      <x:c r="G3893" s="13" t="n">
        <x:v>0</x:v>
      </x:c>
      <x:c r="H3893" s="13" t="n">
        <x:f>F3893-G3893</x:f>
        <x:v>156.75</x:v>
      </x:c>
      <x:c r="I3893" s="13" t="n">
        <x:f>IF(C3893=0,"n.a.",F3893/C3893)</x:f>
        <x:v>156.75</x:v>
      </x:c>
      <x:c r="J3893" s="3"/>
      <x:c r="K3893" s="3"/>
      <x:c r="L3893" s="3"/>
    </x:row>
    <x:row r="3894" ht="22" customHeight="1">
      <x:c r="A3894" s="3"/>
      <x:c r="B3894" s="3" t="str">
        <x:v>12522</x:v>
      </x:c>
      <x:c r="C3894" s="3" t="n">
        <x:v>2</x:v>
      </x:c>
      <x:c r="D3894" s="51" t="n">
        <x:v>40847</x:v>
      </x:c>
      <x:c r="E3894" s="3" t="str">
        <x:v>Recurrente</x:v>
      </x:c>
      <x:c r="F3894" s="13" t="n">
        <x:v>156.72</x:v>
      </x:c>
      <x:c r="G3894" s="13" t="n">
        <x:v>0</x:v>
      </x:c>
      <x:c r="H3894" s="13" t="n">
        <x:f>F3894-G3894</x:f>
        <x:v>156.72</x:v>
      </x:c>
      <x:c r="I3894" s="13" t="n">
        <x:f>IF(C3894=0,"n.a.",F3894/C3894)</x:f>
        <x:v>78.36</x:v>
      </x:c>
      <x:c r="J3894" s="3"/>
      <x:c r="K3894" s="3"/>
      <x:c r="L3894" s="3"/>
    </x:row>
    <x:row r="3895" ht="22" customHeight="1">
      <x:c r="A3895" s="3"/>
      <x:c r="B3895" s="3" t="str">
        <x:v>15438</x:v>
      </x:c>
      <x:c r="C3895" s="3" t="n">
        <x:v>1</x:v>
      </x:c>
      <x:c r="D3895" s="51" t="n">
        <x:v>40755</x:v>
      </x:c>
      <x:c r="E3895" s="3" t="str">
        <x:v>Una compra</x:v>
      </x:c>
      <x:c r="F3895" s="13" t="n">
        <x:v>156.58</x:v>
      </x:c>
      <x:c r="G3895" s="13" t="n">
        <x:v>0</x:v>
      </x:c>
      <x:c r="H3895" s="13" t="n">
        <x:f>F3895-G3895</x:f>
        <x:v>156.58</x:v>
      </x:c>
      <x:c r="I3895" s="13" t="n">
        <x:f>IF(C3895=0,"n.a.",F3895/C3895)</x:f>
        <x:v>156.58</x:v>
      </x:c>
      <x:c r="J3895" s="3"/>
      <x:c r="K3895" s="3"/>
      <x:c r="L3895" s="3"/>
    </x:row>
    <x:row r="3896" ht="22" customHeight="1">
      <x:c r="A3896" s="3"/>
      <x:c r="B3896" s="3" t="str">
        <x:v>15263</x:v>
      </x:c>
      <x:c r="C3896" s="3" t="n">
        <x:v>1</x:v>
      </x:c>
      <x:c r="D3896" s="51" t="n">
        <x:v>40780</x:v>
      </x:c>
      <x:c r="E3896" s="3" t="str">
        <x:v>Una compra</x:v>
      </x:c>
      <x:c r="F3896" s="13" t="n">
        <x:v>156.51</x:v>
      </x:c>
      <x:c r="G3896" s="13" t="n">
        <x:v>0</x:v>
      </x:c>
      <x:c r="H3896" s="13" t="n">
        <x:f>F3896-G3896</x:f>
        <x:v>156.51</x:v>
      </x:c>
      <x:c r="I3896" s="13" t="n">
        <x:f>IF(C3896=0,"n.a.",F3896/C3896)</x:f>
        <x:v>156.51</x:v>
      </x:c>
      <x:c r="J3896" s="3"/>
      <x:c r="K3896" s="3"/>
      <x:c r="L3896" s="3"/>
    </x:row>
    <x:row r="3897" ht="22" customHeight="1">
      <x:c r="A3897" s="3"/>
      <x:c r="B3897" s="3" t="str">
        <x:v>14287</x:v>
      </x:c>
      <x:c r="C3897" s="3" t="n">
        <x:v>3</x:v>
      </x:c>
      <x:c r="D3897" s="51" t="n">
        <x:v>40878</x:v>
      </x:c>
      <x:c r="E3897" s="3" t="str">
        <x:v>Recurrente</x:v>
      </x:c>
      <x:c r="F3897" s="13" t="n">
        <x:v>176.63</x:v>
      </x:c>
      <x:c r="G3897" s="13" t="n">
        <x:v>20.4</x:v>
      </x:c>
      <x:c r="H3897" s="13" t="n">
        <x:f>F3897-G3897</x:f>
        <x:v>156.23</x:v>
      </x:c>
      <x:c r="I3897" s="13" t="n">
        <x:f>IF(C3897=0,"n.a.",F3897/C3897)</x:f>
        <x:v>58.876666666666665</x:v>
      </x:c>
      <x:c r="J3897" s="3"/>
      <x:c r="K3897" s="3"/>
      <x:c r="L3897" s="3"/>
    </x:row>
    <x:row r="3898" ht="22" customHeight="1">
      <x:c r="A3898" s="3"/>
      <x:c r="B3898" s="3" t="str">
        <x:v>16861</x:v>
      </x:c>
      <x:c r="C3898" s="3" t="n">
        <x:v>2</x:v>
      </x:c>
      <x:c r="D3898" s="51" t="n">
        <x:v>40827</x:v>
      </x:c>
      <x:c r="E3898" s="3" t="str">
        <x:v>Recurrente</x:v>
      </x:c>
      <x:c r="F3898" s="13" t="n">
        <x:v>173.76</x:v>
      </x:c>
      <x:c r="G3898" s="13" t="n">
        <x:v>17.7</x:v>
      </x:c>
      <x:c r="H3898" s="13" t="n">
        <x:f>F3898-G3898</x:f>
        <x:v>156.06</x:v>
      </x:c>
      <x:c r="I3898" s="13" t="n">
        <x:f>IF(C3898=0,"n.a.",F3898/C3898)</x:f>
        <x:v>86.88</x:v>
      </x:c>
      <x:c r="J3898" s="3"/>
      <x:c r="K3898" s="3"/>
      <x:c r="L3898" s="3"/>
    </x:row>
    <x:row r="3899" ht="22" customHeight="1">
      <x:c r="A3899" s="3"/>
      <x:c r="B3899" s="3" t="str">
        <x:v>13898</x:v>
      </x:c>
      <x:c r="C3899" s="3" t="n">
        <x:v>1</x:v>
      </x:c>
      <x:c r="D3899" s="51" t="n">
        <x:v>40561</x:v>
      </x:c>
      <x:c r="E3899" s="3" t="str">
        <x:v>Una compra</x:v>
      </x:c>
      <x:c r="F3899" s="13" t="n">
        <x:v>155.93</x:v>
      </x:c>
      <x:c r="G3899" s="13" t="n">
        <x:v>0</x:v>
      </x:c>
      <x:c r="H3899" s="13" t="n">
        <x:f>F3899-G3899</x:f>
        <x:v>155.93</x:v>
      </x:c>
      <x:c r="I3899" s="13" t="n">
        <x:f>IF(C3899=0,"n.a.",F3899/C3899)</x:f>
        <x:v>155.93</x:v>
      </x:c>
      <x:c r="J3899" s="3"/>
      <x:c r="K3899" s="3"/>
      <x:c r="L3899" s="3"/>
    </x:row>
    <x:row r="3900" ht="22" customHeight="1">
      <x:c r="A3900" s="3"/>
      <x:c r="B3900" s="3" t="str">
        <x:v>17871</x:v>
      </x:c>
      <x:c r="C3900" s="3" t="n">
        <x:v>1</x:v>
      </x:c>
      <x:c r="D3900" s="51" t="n">
        <x:v>40682</x:v>
      </x:c>
      <x:c r="E3900" s="3" t="str">
        <x:v>Una compra</x:v>
      </x:c>
      <x:c r="F3900" s="13" t="n">
        <x:v>155.9</x:v>
      </x:c>
      <x:c r="G3900" s="13" t="n">
        <x:v>0</x:v>
      </x:c>
      <x:c r="H3900" s="13" t="n">
        <x:f>F3900-G3900</x:f>
        <x:v>155.9</x:v>
      </x:c>
      <x:c r="I3900" s="13" t="n">
        <x:f>IF(C3900=0,"n.a.",F3900/C3900)</x:f>
        <x:v>155.9</x:v>
      </x:c>
      <x:c r="J3900" s="3"/>
      <x:c r="K3900" s="3"/>
      <x:c r="L3900" s="3"/>
    </x:row>
    <x:row r="3901" ht="22" customHeight="1">
      <x:c r="A3901" s="3"/>
      <x:c r="B3901" s="3" t="str">
        <x:v>17899</x:v>
      </x:c>
      <x:c r="C3901" s="3" t="n">
        <x:v>1</x:v>
      </x:c>
      <x:c r="D3901" s="51" t="n">
        <x:v>40727</x:v>
      </x:c>
      <x:c r="E3901" s="3" t="str">
        <x:v>Una compra</x:v>
      </x:c>
      <x:c r="F3901" s="13" t="n">
        <x:v>155.8</x:v>
      </x:c>
      <x:c r="G3901" s="13" t="n">
        <x:v>0</x:v>
      </x:c>
      <x:c r="H3901" s="13" t="n">
        <x:f>F3901-G3901</x:f>
        <x:v>155.8</x:v>
      </x:c>
      <x:c r="I3901" s="13" t="n">
        <x:f>IF(C3901=0,"n.a.",F3901/C3901)</x:f>
        <x:v>155.8</x:v>
      </x:c>
      <x:c r="J3901" s="3"/>
      <x:c r="K3901" s="3"/>
      <x:c r="L3901" s="3"/>
    </x:row>
    <x:row r="3902" ht="22" customHeight="1">
      <x:c r="A3902" s="3"/>
      <x:c r="B3902" s="3" t="str">
        <x:v>12441</x:v>
      </x:c>
      <x:c r="C3902" s="3" t="n">
        <x:v>1</x:v>
      </x:c>
      <x:c r="D3902" s="51" t="n">
        <x:v>40520</x:v>
      </x:c>
      <x:c r="E3902" s="3" t="str">
        <x:v>Una compra</x:v>
      </x:c>
      <x:c r="F3902" s="13" t="n">
        <x:v>155.55</x:v>
      </x:c>
      <x:c r="G3902" s="13" t="n">
        <x:v>0</x:v>
      </x:c>
      <x:c r="H3902" s="13" t="n">
        <x:f>F3902-G3902</x:f>
        <x:v>155.55</x:v>
      </x:c>
      <x:c r="I3902" s="13" t="n">
        <x:f>IF(C3902=0,"n.a.",F3902/C3902)</x:f>
        <x:v>155.55</x:v>
      </x:c>
      <x:c r="J3902" s="3"/>
      <x:c r="K3902" s="3"/>
      <x:c r="L3902" s="3"/>
    </x:row>
    <x:row r="3903" ht="22" customHeight="1">
      <x:c r="A3903" s="3"/>
      <x:c r="B3903" s="3" t="str">
        <x:v>14813</x:v>
      </x:c>
      <x:c r="C3903" s="3" t="n">
        <x:v>2</x:v>
      </x:c>
      <x:c r="D3903" s="51" t="n">
        <x:v>40517</x:v>
      </x:c>
      <x:c r="E3903" s="3" t="str">
        <x:v>Recurrente</x:v>
      </x:c>
      <x:c r="F3903" s="13" t="n">
        <x:v>155.43</x:v>
      </x:c>
      <x:c r="G3903" s="13" t="n">
        <x:v>0</x:v>
      </x:c>
      <x:c r="H3903" s="13" t="n">
        <x:f>F3903-G3903</x:f>
        <x:v>155.43</x:v>
      </x:c>
      <x:c r="I3903" s="13" t="n">
        <x:f>IF(C3903=0,"n.a.",F3903/C3903)</x:f>
        <x:v>77.715</x:v>
      </x:c>
      <x:c r="J3903" s="3"/>
      <x:c r="K3903" s="3"/>
      <x:c r="L3903" s="3"/>
    </x:row>
    <x:row r="3904" ht="22" customHeight="1">
      <x:c r="A3904" s="3"/>
      <x:c r="B3904" s="3" t="str">
        <x:v>17832</x:v>
      </x:c>
      <x:c r="C3904" s="3" t="n">
        <x:v>1</x:v>
      </x:c>
      <x:c r="D3904" s="51" t="n">
        <x:v>40837</x:v>
      </x:c>
      <x:c r="E3904" s="3" t="str">
        <x:v>Una compra</x:v>
      </x:c>
      <x:c r="F3904" s="13" t="n">
        <x:v>155.37</x:v>
      </x:c>
      <x:c r="G3904" s="13" t="n">
        <x:v>0</x:v>
      </x:c>
      <x:c r="H3904" s="13" t="n">
        <x:f>F3904-G3904</x:f>
        <x:v>155.37</x:v>
      </x:c>
      <x:c r="I3904" s="13" t="n">
        <x:f>IF(C3904=0,"n.a.",F3904/C3904)</x:f>
        <x:v>155.37</x:v>
      </x:c>
      <x:c r="J3904" s="3"/>
      <x:c r="K3904" s="3"/>
      <x:c r="L3904" s="3"/>
    </x:row>
    <x:row r="3905" ht="22" customHeight="1">
      <x:c r="A3905" s="3"/>
      <x:c r="B3905" s="3" t="str">
        <x:v>16720</x:v>
      </x:c>
      <x:c r="C3905" s="3" t="n">
        <x:v>1</x:v>
      </x:c>
      <x:c r="D3905" s="51" t="n">
        <x:v>40860</x:v>
      </x:c>
      <x:c r="E3905" s="3" t="str">
        <x:v>Una compra</x:v>
      </x:c>
      <x:c r="F3905" s="13" t="n">
        <x:v>155.24</x:v>
      </x:c>
      <x:c r="G3905" s="13" t="n">
        <x:v>0</x:v>
      </x:c>
      <x:c r="H3905" s="13" t="n">
        <x:f>F3905-G3905</x:f>
        <x:v>155.24</x:v>
      </x:c>
      <x:c r="I3905" s="13" t="n">
        <x:f>IF(C3905=0,"n.a.",F3905/C3905)</x:f>
        <x:v>155.24</x:v>
      </x:c>
      <x:c r="J3905" s="3"/>
      <x:c r="K3905" s="3"/>
      <x:c r="L3905" s="3"/>
    </x:row>
    <x:row r="3906" ht="22" customHeight="1">
      <x:c r="A3906" s="3"/>
      <x:c r="B3906" s="3" t="str">
        <x:v>15447</x:v>
      </x:c>
      <x:c r="C3906" s="3" t="n">
        <x:v>1</x:v>
      </x:c>
      <x:c r="D3906" s="51" t="n">
        <x:v>40556</x:v>
      </x:c>
      <x:c r="E3906" s="3" t="str">
        <x:v>Una compra</x:v>
      </x:c>
      <x:c r="F3906" s="13" t="n">
        <x:v>155.17</x:v>
      </x:c>
      <x:c r="G3906" s="13" t="n">
        <x:v>0</x:v>
      </x:c>
      <x:c r="H3906" s="13" t="n">
        <x:f>F3906-G3906</x:f>
        <x:v>155.17</x:v>
      </x:c>
      <x:c r="I3906" s="13" t="n">
        <x:f>IF(C3906=0,"n.a.",F3906/C3906)</x:f>
        <x:v>155.17</x:v>
      </x:c>
      <x:c r="J3906" s="3"/>
      <x:c r="K3906" s="3"/>
      <x:c r="L3906" s="3"/>
    </x:row>
    <x:row r="3907" ht="22" customHeight="1">
      <x:c r="A3907" s="3"/>
      <x:c r="B3907" s="3" t="str">
        <x:v>13809</x:v>
      </x:c>
      <x:c r="C3907" s="3" t="n">
        <x:v>1</x:v>
      </x:c>
      <x:c r="D3907" s="51" t="n">
        <x:v>40581</x:v>
      </x:c>
      <x:c r="E3907" s="3" t="str">
        <x:v>Una compra</x:v>
      </x:c>
      <x:c r="F3907" s="13" t="n">
        <x:v>155.05</x:v>
      </x:c>
      <x:c r="G3907" s="13" t="n">
        <x:v>0</x:v>
      </x:c>
      <x:c r="H3907" s="13" t="n">
        <x:f>F3907-G3907</x:f>
        <x:v>155.05</x:v>
      </x:c>
      <x:c r="I3907" s="13" t="n">
        <x:f>IF(C3907=0,"n.a.",F3907/C3907)</x:f>
        <x:v>155.05</x:v>
      </x:c>
      <x:c r="J3907" s="3"/>
      <x:c r="K3907" s="3"/>
      <x:c r="L3907" s="3"/>
    </x:row>
    <x:row r="3908" ht="22" customHeight="1">
      <x:c r="A3908" s="3"/>
      <x:c r="B3908" s="3" t="str">
        <x:v>14368</x:v>
      </x:c>
      <x:c r="C3908" s="3" t="n">
        <x:v>1</x:v>
      </x:c>
      <x:c r="D3908" s="51" t="n">
        <x:v>40567</x:v>
      </x:c>
      <x:c r="E3908" s="3" t="str">
        <x:v>Una compra</x:v>
      </x:c>
      <x:c r="F3908" s="13" t="n">
        <x:v>155</x:v>
      </x:c>
      <x:c r="G3908" s="13" t="n">
        <x:v>0</x:v>
      </x:c>
      <x:c r="H3908" s="13" t="n">
        <x:f>F3908-G3908</x:f>
        <x:v>155</x:v>
      </x:c>
      <x:c r="I3908" s="13" t="n">
        <x:f>IF(C3908=0,"n.a.",F3908/C3908)</x:f>
        <x:v>155</x:v>
      </x:c>
      <x:c r="J3908" s="3"/>
      <x:c r="K3908" s="3"/>
      <x:c r="L3908" s="3"/>
    </x:row>
    <x:row r="3909" ht="22" customHeight="1">
      <x:c r="A3909" s="3"/>
      <x:c r="B3909" s="3" t="str">
        <x:v>17698</x:v>
      </x:c>
      <x:c r="C3909" s="3" t="n">
        <x:v>1</x:v>
      </x:c>
      <x:c r="D3909" s="51" t="n">
        <x:v>40626</x:v>
      </x:c>
      <x:c r="E3909" s="3" t="str">
        <x:v>Una compra</x:v>
      </x:c>
      <x:c r="F3909" s="13" t="n">
        <x:v>154.95</x:v>
      </x:c>
      <x:c r="G3909" s="13" t="n">
        <x:v>0</x:v>
      </x:c>
      <x:c r="H3909" s="13" t="n">
        <x:f>F3909-G3909</x:f>
        <x:v>154.95</x:v>
      </x:c>
      <x:c r="I3909" s="13" t="n">
        <x:f>IF(C3909=0,"n.a.",F3909/C3909)</x:f>
        <x:v>154.95</x:v>
      </x:c>
      <x:c r="J3909" s="3"/>
      <x:c r="K3909" s="3"/>
      <x:c r="L3909" s="3"/>
    </x:row>
    <x:row r="3910" ht="22" customHeight="1">
      <x:c r="A3910" s="3"/>
      <x:c r="B3910" s="3" t="str">
        <x:v>15740</x:v>
      </x:c>
      <x:c r="C3910" s="3" t="n">
        <x:v>1</x:v>
      </x:c>
      <x:c r="D3910" s="51" t="n">
        <x:v>40837</x:v>
      </x:c>
      <x:c r="E3910" s="3" t="str">
        <x:v>Una compra</x:v>
      </x:c>
      <x:c r="F3910" s="13" t="n">
        <x:v>154.88</x:v>
      </x:c>
      <x:c r="G3910" s="13" t="n">
        <x:v>0</x:v>
      </x:c>
      <x:c r="H3910" s="13" t="n">
        <x:f>F3910-G3910</x:f>
        <x:v>154.88</x:v>
      </x:c>
      <x:c r="I3910" s="13" t="n">
        <x:f>IF(C3910=0,"n.a.",F3910/C3910)</x:f>
        <x:v>154.88</x:v>
      </x:c>
      <x:c r="J3910" s="3"/>
      <x:c r="K3910" s="3"/>
      <x:c r="L3910" s="3"/>
    </x:row>
    <x:row r="3911" ht="22" customHeight="1">
      <x:c r="A3911" s="3"/>
      <x:c r="B3911" s="3" t="str">
        <x:v>17026</x:v>
      </x:c>
      <x:c r="C3911" s="3" t="n">
        <x:v>2</x:v>
      </x:c>
      <x:c r="D3911" s="51" t="n">
        <x:v>40701</x:v>
      </x:c>
      <x:c r="E3911" s="3" t="str">
        <x:v>Recurrente</x:v>
      </x:c>
      <x:c r="F3911" s="13" t="n">
        <x:v>154.83</x:v>
      </x:c>
      <x:c r="G3911" s="13" t="n">
        <x:v>0</x:v>
      </x:c>
      <x:c r="H3911" s="13" t="n">
        <x:f>F3911-G3911</x:f>
        <x:v>154.83</x:v>
      </x:c>
      <x:c r="I3911" s="13" t="n">
        <x:f>IF(C3911=0,"n.a.",F3911/C3911)</x:f>
        <x:v>77.415</x:v>
      </x:c>
      <x:c r="J3911" s="3"/>
      <x:c r="K3911" s="3"/>
      <x:c r="L3911" s="3"/>
    </x:row>
    <x:row r="3912" ht="22" customHeight="1">
      <x:c r="A3912" s="3"/>
      <x:c r="B3912" s="3" t="str">
        <x:v>15226</x:v>
      </x:c>
      <x:c r="C3912" s="3" t="n">
        <x:v>1</x:v>
      </x:c>
      <x:c r="D3912" s="51" t="n">
        <x:v>40576</x:v>
      </x:c>
      <x:c r="E3912" s="3" t="str">
        <x:v>Una compra</x:v>
      </x:c>
      <x:c r="F3912" s="13" t="n">
        <x:v>154.41</x:v>
      </x:c>
      <x:c r="G3912" s="13" t="n">
        <x:v>0</x:v>
      </x:c>
      <x:c r="H3912" s="13" t="n">
        <x:f>F3912-G3912</x:f>
        <x:v>154.41</x:v>
      </x:c>
      <x:c r="I3912" s="13" t="n">
        <x:f>IF(C3912=0,"n.a.",F3912/C3912)</x:f>
        <x:v>154.41</x:v>
      </x:c>
      <x:c r="J3912" s="3"/>
      <x:c r="K3912" s="3"/>
      <x:c r="L3912" s="3"/>
    </x:row>
    <x:row r="3913" ht="22" customHeight="1">
      <x:c r="A3913" s="3"/>
      <x:c r="B3913" s="3" t="str">
        <x:v>17517</x:v>
      </x:c>
      <x:c r="C3913" s="3" t="n">
        <x:v>1</x:v>
      </x:c>
      <x:c r="D3913" s="51" t="n">
        <x:v>40578</x:v>
      </x:c>
      <x:c r="E3913" s="3" t="str">
        <x:v>Una compra</x:v>
      </x:c>
      <x:c r="F3913" s="13" t="n">
        <x:v>153.94</x:v>
      </x:c>
      <x:c r="G3913" s="13" t="n">
        <x:v>0</x:v>
      </x:c>
      <x:c r="H3913" s="13" t="n">
        <x:f>F3913-G3913</x:f>
        <x:v>153.94</x:v>
      </x:c>
      <x:c r="I3913" s="13" t="n">
        <x:f>IF(C3913=0,"n.a.",F3913/C3913)</x:f>
        <x:v>153.94</x:v>
      </x:c>
      <x:c r="J3913" s="3"/>
      <x:c r="K3913" s="3"/>
      <x:c r="L3913" s="3"/>
    </x:row>
    <x:row r="3914" ht="22" customHeight="1">
      <x:c r="A3914" s="3"/>
      <x:c r="B3914" s="3" t="str">
        <x:v>17286</x:v>
      </x:c>
      <x:c r="C3914" s="3" t="n">
        <x:v>1</x:v>
      </x:c>
      <x:c r="D3914" s="51" t="n">
        <x:v>40865</x:v>
      </x:c>
      <x:c r="E3914" s="3" t="str">
        <x:v>Una compra</x:v>
      </x:c>
      <x:c r="F3914" s="13" t="n">
        <x:v>153.92</x:v>
      </x:c>
      <x:c r="G3914" s="13" t="n">
        <x:v>0</x:v>
      </x:c>
      <x:c r="H3914" s="13" t="n">
        <x:f>F3914-G3914</x:f>
        <x:v>153.92</x:v>
      </x:c>
      <x:c r="I3914" s="13" t="n">
        <x:f>IF(C3914=0,"n.a.",F3914/C3914)</x:f>
        <x:v>153.92</x:v>
      </x:c>
      <x:c r="J3914" s="3"/>
      <x:c r="K3914" s="3"/>
      <x:c r="L3914" s="3"/>
    </x:row>
    <x:row r="3915" ht="22" customHeight="1">
      <x:c r="A3915" s="3"/>
      <x:c r="B3915" s="3" t="str">
        <x:v>16351</x:v>
      </x:c>
      <x:c r="C3915" s="3" t="n">
        <x:v>1</x:v>
      </x:c>
      <x:c r="D3915" s="51" t="n">
        <x:v>40554</x:v>
      </x:c>
      <x:c r="E3915" s="3" t="str">
        <x:v>Una compra</x:v>
      </x:c>
      <x:c r="F3915" s="13" t="n">
        <x:v>153.9</x:v>
      </x:c>
      <x:c r="G3915" s="13" t="n">
        <x:v>0</x:v>
      </x:c>
      <x:c r="H3915" s="13" t="n">
        <x:f>F3915-G3915</x:f>
        <x:v>153.9</x:v>
      </x:c>
      <x:c r="I3915" s="13" t="n">
        <x:f>IF(C3915=0,"n.a.",F3915/C3915)</x:f>
        <x:v>153.9</x:v>
      </x:c>
      <x:c r="J3915" s="3"/>
      <x:c r="K3915" s="3"/>
      <x:c r="L3915" s="3"/>
    </x:row>
    <x:row r="3916" ht="22" customHeight="1">
      <x:c r="A3916" s="3"/>
      <x:c r="B3916" s="3" t="str">
        <x:v>12602</x:v>
      </x:c>
      <x:c r="C3916" s="3" t="n">
        <x:v>1</x:v>
      </x:c>
      <x:c r="D3916" s="51" t="n">
        <x:v>40828</x:v>
      </x:c>
      <x:c r="E3916" s="3" t="str">
        <x:v>Una compra</x:v>
      </x:c>
      <x:c r="F3916" s="13" t="n">
        <x:v>153.12</x:v>
      </x:c>
      <x:c r="G3916" s="13" t="n">
        <x:v>0</x:v>
      </x:c>
      <x:c r="H3916" s="13" t="n">
        <x:f>F3916-G3916</x:f>
        <x:v>153.12</x:v>
      </x:c>
      <x:c r="I3916" s="13" t="n">
        <x:f>IF(C3916=0,"n.a.",F3916/C3916)</x:f>
        <x:v>153.12</x:v>
      </x:c>
      <x:c r="J3916" s="3"/>
      <x:c r="K3916" s="3"/>
      <x:c r="L3916" s="3"/>
    </x:row>
    <x:row r="3917" ht="22" customHeight="1">
      <x:c r="A3917" s="3"/>
      <x:c r="B3917" s="3" t="str">
        <x:v>17714</x:v>
      </x:c>
      <x:c r="C3917" s="3" t="n">
        <x:v>1</x:v>
      </x:c>
      <x:c r="D3917" s="51" t="n">
        <x:v>40566</x:v>
      </x:c>
      <x:c r="E3917" s="3" t="str">
        <x:v>Una compra</x:v>
      </x:c>
      <x:c r="F3917" s="13" t="n">
        <x:v>153</x:v>
      </x:c>
      <x:c r="G3917" s="13" t="n">
        <x:v>0</x:v>
      </x:c>
      <x:c r="H3917" s="13" t="n">
        <x:f>F3917-G3917</x:f>
        <x:v>153</x:v>
      </x:c>
      <x:c r="I3917" s="13" t="n">
        <x:f>IF(C3917=0,"n.a.",F3917/C3917)</x:f>
        <x:v>153</x:v>
      </x:c>
      <x:c r="J3917" s="3"/>
      <x:c r="K3917" s="3"/>
      <x:c r="L3917" s="3"/>
    </x:row>
    <x:row r="3918" ht="22" customHeight="1">
      <x:c r="A3918" s="3"/>
      <x:c r="B3918" s="3" t="str">
        <x:v>16248</x:v>
      </x:c>
      <x:c r="C3918" s="3" t="n">
        <x:v>1</x:v>
      </x:c>
      <x:c r="D3918" s="51" t="n">
        <x:v>40825</x:v>
      </x:c>
      <x:c r="E3918" s="3" t="str">
        <x:v>Una compra</x:v>
      </x:c>
      <x:c r="F3918" s="13" t="n">
        <x:v>152.94</x:v>
      </x:c>
      <x:c r="G3918" s="13" t="n">
        <x:v>0</x:v>
      </x:c>
      <x:c r="H3918" s="13" t="n">
        <x:f>F3918-G3918</x:f>
        <x:v>152.94</x:v>
      </x:c>
      <x:c r="I3918" s="13" t="n">
        <x:f>IF(C3918=0,"n.a.",F3918/C3918)</x:f>
        <x:v>152.94</x:v>
      </x:c>
      <x:c r="J3918" s="3"/>
      <x:c r="K3918" s="3"/>
      <x:c r="L3918" s="3"/>
    </x:row>
    <x:row r="3919" ht="22" customHeight="1">
      <x:c r="A3919" s="3"/>
      <x:c r="B3919" s="3" t="str">
        <x:v>17984</x:v>
      </x:c>
      <x:c r="C3919" s="3" t="n">
        <x:v>1</x:v>
      </x:c>
      <x:c r="D3919" s="51" t="n">
        <x:v>40741</x:v>
      </x:c>
      <x:c r="E3919" s="3" t="str">
        <x:v>Una compra</x:v>
      </x:c>
      <x:c r="F3919" s="13" t="n">
        <x:v>152.68</x:v>
      </x:c>
      <x:c r="G3919" s="13" t="n">
        <x:v>0</x:v>
      </x:c>
      <x:c r="H3919" s="13" t="n">
        <x:f>F3919-G3919</x:f>
        <x:v>152.68</x:v>
      </x:c>
      <x:c r="I3919" s="13" t="n">
        <x:f>IF(C3919=0,"n.a.",F3919/C3919)</x:f>
        <x:v>152.68</x:v>
      </x:c>
      <x:c r="J3919" s="3"/>
      <x:c r="K3919" s="3"/>
      <x:c r="L3919" s="3"/>
    </x:row>
    <x:row r="3920" ht="22" customHeight="1">
      <x:c r="A3920" s="3"/>
      <x:c r="B3920" s="3" t="str">
        <x:v>18138</x:v>
      </x:c>
      <x:c r="C3920" s="3" t="n">
        <x:v>1</x:v>
      </x:c>
      <x:c r="D3920" s="51" t="n">
        <x:v>40591</x:v>
      </x:c>
      <x:c r="E3920" s="3" t="str">
        <x:v>Una compra</x:v>
      </x:c>
      <x:c r="F3920" s="13" t="n">
        <x:v>152.65</x:v>
      </x:c>
      <x:c r="G3920" s="13" t="n">
        <x:v>0</x:v>
      </x:c>
      <x:c r="H3920" s="13" t="n">
        <x:f>F3920-G3920</x:f>
        <x:v>152.65</x:v>
      </x:c>
      <x:c r="I3920" s="13" t="n">
        <x:f>IF(C3920=0,"n.a.",F3920/C3920)</x:f>
        <x:v>152.65</x:v>
      </x:c>
      <x:c r="J3920" s="3"/>
      <x:c r="K3920" s="3"/>
      <x:c r="L3920" s="3"/>
    </x:row>
    <x:row r="3921" ht="22" customHeight="1">
      <x:c r="A3921" s="3"/>
      <x:c r="B3921" s="3" t="str">
        <x:v>14066</x:v>
      </x:c>
      <x:c r="C3921" s="3" t="n">
        <x:v>1</x:v>
      </x:c>
      <x:c r="D3921" s="51" t="n">
        <x:v>40620</x:v>
      </x:c>
      <x:c r="E3921" s="3" t="str">
        <x:v>Una compra</x:v>
      </x:c>
      <x:c r="F3921" s="13" t="n">
        <x:v>152.55</x:v>
      </x:c>
      <x:c r="G3921" s="13" t="n">
        <x:v>0</x:v>
      </x:c>
      <x:c r="H3921" s="13" t="n">
        <x:f>F3921-G3921</x:f>
        <x:v>152.55</x:v>
      </x:c>
      <x:c r="I3921" s="13" t="n">
        <x:f>IF(C3921=0,"n.a.",F3921/C3921)</x:f>
        <x:v>152.55</x:v>
      </x:c>
      <x:c r="J3921" s="3"/>
      <x:c r="K3921" s="3"/>
      <x:c r="L3921" s="3"/>
    </x:row>
    <x:row r="3922" ht="22" customHeight="1">
      <x:c r="A3922" s="3"/>
      <x:c r="B3922" s="3" t="str">
        <x:v>17707</x:v>
      </x:c>
      <x:c r="C3922" s="3" t="n">
        <x:v>2</x:v>
      </x:c>
      <x:c r="D3922" s="51" t="n">
        <x:v>40701</x:v>
      </x:c>
      <x:c r="E3922" s="3" t="str">
        <x:v>Recurrente</x:v>
      </x:c>
      <x:c r="F3922" s="13" t="n">
        <x:v>152.4</x:v>
      </x:c>
      <x:c r="G3922" s="13" t="n">
        <x:v>0</x:v>
      </x:c>
      <x:c r="H3922" s="13" t="n">
        <x:f>F3922-G3922</x:f>
        <x:v>152.4</x:v>
      </x:c>
      <x:c r="I3922" s="13" t="n">
        <x:f>IF(C3922=0,"n.a.",F3922/C3922)</x:f>
        <x:v>76.2</x:v>
      </x:c>
      <x:c r="J3922" s="3"/>
      <x:c r="K3922" s="3"/>
      <x:c r="L3922" s="3"/>
    </x:row>
    <x:row r="3923" ht="22" customHeight="1">
      <x:c r="A3923" s="3"/>
      <x:c r="B3923" s="3" t="str">
        <x:v>13514</x:v>
      </x:c>
      <x:c r="C3923" s="3" t="n">
        <x:v>1</x:v>
      </x:c>
      <x:c r="D3923" s="51" t="n">
        <x:v>40813</x:v>
      </x:c>
      <x:c r="E3923" s="3" t="str">
        <x:v>Una compra</x:v>
      </x:c>
      <x:c r="F3923" s="13" t="n">
        <x:v>152.2</x:v>
      </x:c>
      <x:c r="G3923" s="13" t="n">
        <x:v>0</x:v>
      </x:c>
      <x:c r="H3923" s="13" t="n">
        <x:f>F3923-G3923</x:f>
        <x:v>152.2</x:v>
      </x:c>
      <x:c r="I3923" s="13" t="n">
        <x:f>IF(C3923=0,"n.a.",F3923/C3923)</x:f>
        <x:v>152.2</x:v>
      </x:c>
      <x:c r="J3923" s="3"/>
      <x:c r="K3923" s="3"/>
      <x:c r="L3923" s="3"/>
    </x:row>
    <x:row r="3924" ht="22" customHeight="1">
      <x:c r="A3924" s="3"/>
      <x:c r="B3924" s="3" t="str">
        <x:v>14039</x:v>
      </x:c>
      <x:c r="C3924" s="3" t="n">
        <x:v>1</x:v>
      </x:c>
      <x:c r="D3924" s="51" t="n">
        <x:v>40853</x:v>
      </x:c>
      <x:c r="E3924" s="3" t="str">
        <x:v>Una compra</x:v>
      </x:c>
      <x:c r="F3924" s="13" t="n">
        <x:v>152.2</x:v>
      </x:c>
      <x:c r="G3924" s="13" t="n">
        <x:v>0</x:v>
      </x:c>
      <x:c r="H3924" s="13" t="n">
        <x:f>F3924-G3924</x:f>
        <x:v>152.2</x:v>
      </x:c>
      <x:c r="I3924" s="13" t="n">
        <x:f>IF(C3924=0,"n.a.",F3924/C3924)</x:f>
        <x:v>152.2</x:v>
      </x:c>
      <x:c r="J3924" s="3"/>
      <x:c r="K3924" s="3"/>
      <x:c r="L3924" s="3"/>
    </x:row>
    <x:row r="3925" ht="22" customHeight="1">
      <x:c r="A3925" s="3"/>
      <x:c r="B3925" s="3" t="str">
        <x:v>17898</x:v>
      </x:c>
      <x:c r="C3925" s="3" t="n">
        <x:v>2</x:v>
      </x:c>
      <x:c r="D3925" s="51" t="n">
        <x:v>40801</x:v>
      </x:c>
      <x:c r="E3925" s="3" t="str">
        <x:v>Recurrente</x:v>
      </x:c>
      <x:c r="F3925" s="13" t="n">
        <x:v>152.06</x:v>
      </x:c>
      <x:c r="G3925" s="13" t="n">
        <x:v>0</x:v>
      </x:c>
      <x:c r="H3925" s="13" t="n">
        <x:f>F3925-G3925</x:f>
        <x:v>152.06</x:v>
      </x:c>
      <x:c r="I3925" s="13" t="n">
        <x:f>IF(C3925=0,"n.a.",F3925/C3925)</x:f>
        <x:v>76.03</x:v>
      </x:c>
      <x:c r="J3925" s="3"/>
      <x:c r="K3925" s="3"/>
      <x:c r="L3925" s="3"/>
    </x:row>
    <x:row r="3926" ht="22" customHeight="1">
      <x:c r="A3926" s="3"/>
      <x:c r="B3926" s="3" t="str">
        <x:v>16617</x:v>
      </x:c>
      <x:c r="C3926" s="3" t="n">
        <x:v>1</x:v>
      </x:c>
      <x:c r="D3926" s="51" t="n">
        <x:v>40651</x:v>
      </x:c>
      <x:c r="E3926" s="3" t="str">
        <x:v>Una compra</x:v>
      </x:c>
      <x:c r="F3926" s="13" t="n">
        <x:v>151.85</x:v>
      </x:c>
      <x:c r="G3926" s="13" t="n">
        <x:v>0</x:v>
      </x:c>
      <x:c r="H3926" s="13" t="n">
        <x:f>F3926-G3926</x:f>
        <x:v>151.85</x:v>
      </x:c>
      <x:c r="I3926" s="13" t="n">
        <x:f>IF(C3926=0,"n.a.",F3926/C3926)</x:f>
        <x:v>151.85</x:v>
      </x:c>
      <x:c r="J3926" s="3"/>
      <x:c r="K3926" s="3"/>
      <x:c r="L3926" s="3"/>
    </x:row>
    <x:row r="3927" ht="22" customHeight="1">
      <x:c r="A3927" s="3"/>
      <x:c r="B3927" s="3" t="str">
        <x:v>16412</x:v>
      </x:c>
      <x:c r="C3927" s="3" t="n">
        <x:v>1</x:v>
      </x:c>
      <x:c r="D3927" s="51" t="n">
        <x:v>40833</x:v>
      </x:c>
      <x:c r="E3927" s="3" t="str">
        <x:v>Una compra</x:v>
      </x:c>
      <x:c r="F3927" s="13" t="n">
        <x:v>151.83</x:v>
      </x:c>
      <x:c r="G3927" s="13" t="n">
        <x:v>0</x:v>
      </x:c>
      <x:c r="H3927" s="13" t="n">
        <x:f>F3927-G3927</x:f>
        <x:v>151.83</x:v>
      </x:c>
      <x:c r="I3927" s="13" t="n">
        <x:f>IF(C3927=0,"n.a.",F3927/C3927)</x:f>
        <x:v>151.83</x:v>
      </x:c>
      <x:c r="J3927" s="3"/>
      <x:c r="K3927" s="3"/>
      <x:c r="L3927" s="3"/>
    </x:row>
    <x:row r="3928" ht="22" customHeight="1">
      <x:c r="A3928" s="3"/>
      <x:c r="B3928" s="3" t="str">
        <x:v>12547</x:v>
      </x:c>
      <x:c r="C3928" s="3" t="n">
        <x:v>2</x:v>
      </x:c>
      <x:c r="D3928" s="51" t="n">
        <x:v>40689</x:v>
      </x:c>
      <x:c r="E3928" s="3" t="str">
        <x:v>Recurrente</x:v>
      </x:c>
      <x:c r="F3928" s="13" t="n">
        <x:v>151.8</x:v>
      </x:c>
      <x:c r="G3928" s="13" t="n">
        <x:v>0</x:v>
      </x:c>
      <x:c r="H3928" s="13" t="n">
        <x:f>F3928-G3928</x:f>
        <x:v>151.8</x:v>
      </x:c>
      <x:c r="I3928" s="13" t="n">
        <x:f>IF(C3928=0,"n.a.",F3928/C3928)</x:f>
        <x:v>75.9</x:v>
      </x:c>
      <x:c r="J3928" s="3"/>
      <x:c r="K3928" s="3"/>
      <x:c r="L3928" s="3"/>
    </x:row>
    <x:row r="3929" ht="22" customHeight="1">
      <x:c r="A3929" s="3"/>
      <x:c r="B3929" s="3" t="str">
        <x:v>14208</x:v>
      </x:c>
      <x:c r="C3929" s="3" t="n">
        <x:v>1</x:v>
      </x:c>
      <x:c r="D3929" s="51" t="n">
        <x:v>40792</x:v>
      </x:c>
      <x:c r="E3929" s="3" t="str">
        <x:v>Una compra</x:v>
      </x:c>
      <x:c r="F3929" s="13" t="n">
        <x:v>151.74</x:v>
      </x:c>
      <x:c r="G3929" s="13" t="n">
        <x:v>0</x:v>
      </x:c>
      <x:c r="H3929" s="13" t="n">
        <x:f>F3929-G3929</x:f>
        <x:v>151.74</x:v>
      </x:c>
      <x:c r="I3929" s="13" t="n">
        <x:f>IF(C3929=0,"n.a.",F3929/C3929)</x:f>
        <x:v>151.74</x:v>
      </x:c>
      <x:c r="J3929" s="3"/>
      <x:c r="K3929" s="3"/>
      <x:c r="L3929" s="3"/>
    </x:row>
    <x:row r="3930" ht="22" customHeight="1">
      <x:c r="A3930" s="3"/>
      <x:c r="B3930" s="3" t="str">
        <x:v>14046</x:v>
      </x:c>
      <x:c r="C3930" s="3" t="n">
        <x:v>1</x:v>
      </x:c>
      <x:c r="D3930" s="51" t="n">
        <x:v>40602</x:v>
      </x:c>
      <x:c r="E3930" s="3" t="str">
        <x:v>Una compra</x:v>
      </x:c>
      <x:c r="F3930" s="13" t="n">
        <x:v>151.59</x:v>
      </x:c>
      <x:c r="G3930" s="13" t="n">
        <x:v>0</x:v>
      </x:c>
      <x:c r="H3930" s="13" t="n">
        <x:f>F3930-G3930</x:f>
        <x:v>151.59</x:v>
      </x:c>
      <x:c r="I3930" s="13" t="n">
        <x:f>IF(C3930=0,"n.a.",F3930/C3930)</x:f>
        <x:v>151.59</x:v>
      </x:c>
      <x:c r="J3930" s="3"/>
      <x:c r="K3930" s="3"/>
      <x:c r="L3930" s="3"/>
    </x:row>
    <x:row r="3931" ht="22" customHeight="1">
      <x:c r="A3931" s="3"/>
      <x:c r="B3931" s="3" t="str">
        <x:v>16461</x:v>
      </x:c>
      <x:c r="C3931" s="3" t="n">
        <x:v>1</x:v>
      </x:c>
      <x:c r="D3931" s="51" t="n">
        <x:v>40709</x:v>
      </x:c>
      <x:c r="E3931" s="3" t="str">
        <x:v>Una compra</x:v>
      </x:c>
      <x:c r="F3931" s="13" t="n">
        <x:v>151.42</x:v>
      </x:c>
      <x:c r="G3931" s="13" t="n">
        <x:v>0</x:v>
      </x:c>
      <x:c r="H3931" s="13" t="n">
        <x:f>F3931-G3931</x:f>
        <x:v>151.42</x:v>
      </x:c>
      <x:c r="I3931" s="13" t="n">
        <x:f>IF(C3931=0,"n.a.",F3931/C3931)</x:f>
        <x:v>151.42</x:v>
      </x:c>
      <x:c r="J3931" s="3"/>
      <x:c r="K3931" s="3"/>
      <x:c r="L3931" s="3"/>
    </x:row>
    <x:row r="3932" ht="22" customHeight="1">
      <x:c r="A3932" s="3"/>
      <x:c r="B3932" s="3" t="str">
        <x:v>13697</x:v>
      </x:c>
      <x:c r="C3932" s="3" t="n">
        <x:v>1</x:v>
      </x:c>
      <x:c r="D3932" s="51" t="n">
        <x:v>40848</x:v>
      </x:c>
      <x:c r="E3932" s="3" t="str">
        <x:v>Una compra</x:v>
      </x:c>
      <x:c r="F3932" s="13" t="n">
        <x:v>151.3</x:v>
      </x:c>
      <x:c r="G3932" s="13" t="n">
        <x:v>0</x:v>
      </x:c>
      <x:c r="H3932" s="13" t="n">
        <x:f>F3932-G3932</x:f>
        <x:v>151.3</x:v>
      </x:c>
      <x:c r="I3932" s="13" t="n">
        <x:f>IF(C3932=0,"n.a.",F3932/C3932)</x:f>
        <x:v>151.3</x:v>
      </x:c>
      <x:c r="J3932" s="3"/>
      <x:c r="K3932" s="3"/>
      <x:c r="L3932" s="3"/>
    </x:row>
    <x:row r="3933" ht="22" customHeight="1">
      <x:c r="A3933" s="3"/>
      <x:c r="B3933" s="3" t="str">
        <x:v>16337</x:v>
      </x:c>
      <x:c r="C3933" s="3" t="n">
        <x:v>1</x:v>
      </x:c>
      <x:c r="D3933" s="51" t="n">
        <x:v>40850</x:v>
      </x:c>
      <x:c r="E3933" s="3" t="str">
        <x:v>Una compra</x:v>
      </x:c>
      <x:c r="F3933" s="13" t="n">
        <x:v>151.05</x:v>
      </x:c>
      <x:c r="G3933" s="13" t="n">
        <x:v>0</x:v>
      </x:c>
      <x:c r="H3933" s="13" t="n">
        <x:f>F3933-G3933</x:f>
        <x:v>151.05</x:v>
      </x:c>
      <x:c r="I3933" s="13" t="n">
        <x:f>IF(C3933=0,"n.a.",F3933/C3933)</x:f>
        <x:v>151.05</x:v>
      </x:c>
      <x:c r="J3933" s="3"/>
      <x:c r="K3933" s="3"/>
      <x:c r="L3933" s="3"/>
    </x:row>
    <x:row r="3934" ht="22" customHeight="1">
      <x:c r="A3934" s="3"/>
      <x:c r="B3934" s="3" t="str">
        <x:v>12367</x:v>
      </x:c>
      <x:c r="C3934" s="3" t="n">
        <x:v>1</x:v>
      </x:c>
      <x:c r="D3934" s="51" t="n">
        <x:v>40882</x:v>
      </x:c>
      <x:c r="E3934" s="3" t="str">
        <x:v>Una compra</x:v>
      </x:c>
      <x:c r="F3934" s="13" t="n">
        <x:v>150.9</x:v>
      </x:c>
      <x:c r="G3934" s="13" t="n">
        <x:v>0</x:v>
      </x:c>
      <x:c r="H3934" s="13" t="n">
        <x:f>F3934-G3934</x:f>
        <x:v>150.9</x:v>
      </x:c>
      <x:c r="I3934" s="13" t="n">
        <x:f>IF(C3934=0,"n.a.",F3934/C3934)</x:f>
        <x:v>150.9</x:v>
      </x:c>
      <x:c r="J3934" s="3"/>
      <x:c r="K3934" s="3"/>
      <x:c r="L3934" s="3"/>
    </x:row>
    <x:row r="3935" ht="22" customHeight="1">
      <x:c r="A3935" s="3"/>
      <x:c r="B3935" s="3" t="str">
        <x:v>15717</x:v>
      </x:c>
      <x:c r="C3935" s="3" t="n">
        <x:v>1</x:v>
      </x:c>
      <x:c r="D3935" s="51" t="n">
        <x:v>40652</x:v>
      </x:c>
      <x:c r="E3935" s="3" t="str">
        <x:v>Una compra</x:v>
      </x:c>
      <x:c r="F3935" s="13" t="n">
        <x:v>150.3</x:v>
      </x:c>
      <x:c r="G3935" s="13" t="n">
        <x:v>0</x:v>
      </x:c>
      <x:c r="H3935" s="13" t="n">
        <x:f>F3935-G3935</x:f>
        <x:v>150.3</x:v>
      </x:c>
      <x:c r="I3935" s="13" t="n">
        <x:f>IF(C3935=0,"n.a.",F3935/C3935)</x:f>
        <x:v>150.3</x:v>
      </x:c>
      <x:c r="J3935" s="3"/>
      <x:c r="K3935" s="3"/>
      <x:c r="L3935" s="3"/>
    </x:row>
    <x:row r="3936" ht="22" customHeight="1">
      <x:c r="A3936" s="3"/>
      <x:c r="B3936" s="3" t="str">
        <x:v>17234</x:v>
      </x:c>
      <x:c r="C3936" s="3" t="n">
        <x:v>1</x:v>
      </x:c>
      <x:c r="D3936" s="51" t="n">
        <x:v>40704</x:v>
      </x:c>
      <x:c r="E3936" s="3" t="str">
        <x:v>Una compra</x:v>
      </x:c>
      <x:c r="F3936" s="13" t="n">
        <x:v>149.89</x:v>
      </x:c>
      <x:c r="G3936" s="13" t="n">
        <x:v>0</x:v>
      </x:c>
      <x:c r="H3936" s="13" t="n">
        <x:f>F3936-G3936</x:f>
        <x:v>149.89</x:v>
      </x:c>
      <x:c r="I3936" s="13" t="n">
        <x:f>IF(C3936=0,"n.a.",F3936/C3936)</x:f>
        <x:v>149.89</x:v>
      </x:c>
      <x:c r="J3936" s="3"/>
      <x:c r="K3936" s="3"/>
      <x:c r="L3936" s="3"/>
    </x:row>
    <x:row r="3937" ht="22" customHeight="1">
      <x:c r="A3937" s="3"/>
      <x:c r="B3937" s="3" t="str">
        <x:v>15869</x:v>
      </x:c>
      <x:c r="C3937" s="3" t="n">
        <x:v>2</x:v>
      </x:c>
      <x:c r="D3937" s="51" t="n">
        <x:v>40609</x:v>
      </x:c>
      <x:c r="E3937" s="3" t="str">
        <x:v>Recurrente</x:v>
      </x:c>
      <x:c r="F3937" s="13" t="n">
        <x:v>149.64</x:v>
      </x:c>
      <x:c r="G3937" s="13" t="n">
        <x:v>0</x:v>
      </x:c>
      <x:c r="H3937" s="13" t="n">
        <x:f>F3937-G3937</x:f>
        <x:v>149.64</x:v>
      </x:c>
      <x:c r="I3937" s="13" t="n">
        <x:f>IF(C3937=0,"n.a.",F3937/C3937)</x:f>
        <x:v>74.82</x:v>
      </x:c>
      <x:c r="J3937" s="3"/>
      <x:c r="K3937" s="3"/>
      <x:c r="L3937" s="3"/>
    </x:row>
    <x:row r="3938" ht="22" customHeight="1">
      <x:c r="A3938" s="3"/>
      <x:c r="B3938" s="3" t="str">
        <x:v>17946</x:v>
      </x:c>
      <x:c r="C3938" s="3" t="n">
        <x:v>2</x:v>
      </x:c>
      <x:c r="D3938" s="51" t="n">
        <x:v>40653</x:v>
      </x:c>
      <x:c r="E3938" s="3" t="str">
        <x:v>Recurrente</x:v>
      </x:c>
      <x:c r="F3938" s="13" t="n">
        <x:v>149.58</x:v>
      </x:c>
      <x:c r="G3938" s="13" t="n">
        <x:v>0</x:v>
      </x:c>
      <x:c r="H3938" s="13" t="n">
        <x:f>F3938-G3938</x:f>
        <x:v>149.58</x:v>
      </x:c>
      <x:c r="I3938" s="13" t="n">
        <x:f>IF(C3938=0,"n.a.",F3938/C3938)</x:f>
        <x:v>74.79</x:v>
      </x:c>
      <x:c r="J3938" s="3"/>
      <x:c r="K3938" s="3"/>
      <x:c r="L3938" s="3"/>
    </x:row>
    <x:row r="3939" ht="22" customHeight="1">
      <x:c r="A3939" s="3"/>
      <x:c r="B3939" s="3" t="str">
        <x:v>18262</x:v>
      </x:c>
      <x:c r="C3939" s="3" t="n">
        <x:v>1</x:v>
      </x:c>
      <x:c r="D3939" s="51" t="n">
        <x:v>40746</x:v>
      </x:c>
      <x:c r="E3939" s="3" t="str">
        <x:v>Una compra</x:v>
      </x:c>
      <x:c r="F3939" s="13" t="n">
        <x:v>149.48</x:v>
      </x:c>
      <x:c r="G3939" s="13" t="n">
        <x:v>0</x:v>
      </x:c>
      <x:c r="H3939" s="13" t="n">
        <x:f>F3939-G3939</x:f>
        <x:v>149.48</x:v>
      </x:c>
      <x:c r="I3939" s="13" t="n">
        <x:f>IF(C3939=0,"n.a.",F3939/C3939)</x:f>
        <x:v>149.48</x:v>
      </x:c>
      <x:c r="J3939" s="3"/>
      <x:c r="K3939" s="3"/>
      <x:c r="L3939" s="3"/>
    </x:row>
    <x:row r="3940" ht="22" customHeight="1">
      <x:c r="A3940" s="3"/>
      <x:c r="B3940" s="3" t="str">
        <x:v>15748</x:v>
      </x:c>
      <x:c r="C3940" s="3" t="n">
        <x:v>1</x:v>
      </x:c>
      <x:c r="D3940" s="51" t="n">
        <x:v>40846</x:v>
      </x:c>
      <x:c r="E3940" s="3" t="str">
        <x:v>Una compra</x:v>
      </x:c>
      <x:c r="F3940" s="13" t="n">
        <x:v>149.31</x:v>
      </x:c>
      <x:c r="G3940" s="13" t="n">
        <x:v>0</x:v>
      </x:c>
      <x:c r="H3940" s="13" t="n">
        <x:f>F3940-G3940</x:f>
        <x:v>149.31</x:v>
      </x:c>
      <x:c r="I3940" s="13" t="n">
        <x:f>IF(C3940=0,"n.a.",F3940/C3940)</x:f>
        <x:v>149.31</x:v>
      </x:c>
      <x:c r="J3940" s="3"/>
      <x:c r="K3940" s="3"/>
      <x:c r="L3940" s="3"/>
    </x:row>
    <x:row r="3941" ht="22" customHeight="1">
      <x:c r="A3941" s="3"/>
      <x:c r="B3941" s="3" t="str">
        <x:v>15435</x:v>
      </x:c>
      <x:c r="C3941" s="3" t="n">
        <x:v>1</x:v>
      </x:c>
      <x:c r="D3941" s="51" t="n">
        <x:v>40864</x:v>
      </x:c>
      <x:c r="E3941" s="3" t="str">
        <x:v>Una compra</x:v>
      </x:c>
      <x:c r="F3941" s="13" t="n">
        <x:v>149.29</x:v>
      </x:c>
      <x:c r="G3941" s="13" t="n">
        <x:v>0</x:v>
      </x:c>
      <x:c r="H3941" s="13" t="n">
        <x:f>F3941-G3941</x:f>
        <x:v>149.29</x:v>
      </x:c>
      <x:c r="I3941" s="13" t="n">
        <x:f>IF(C3941=0,"n.a.",F3941/C3941)</x:f>
        <x:v>149.29</x:v>
      </x:c>
      <x:c r="J3941" s="3"/>
      <x:c r="K3941" s="3"/>
      <x:c r="L3941" s="3"/>
    </x:row>
    <x:row r="3942" ht="22" customHeight="1">
      <x:c r="A3942" s="3"/>
      <x:c r="B3942" s="3" t="str">
        <x:v>13003</x:v>
      </x:c>
      <x:c r="C3942" s="3" t="n">
        <x:v>3</x:v>
      </x:c>
      <x:c r="D3942" s="51" t="n">
        <x:v>40781</x:v>
      </x:c>
      <x:c r="E3942" s="3" t="str">
        <x:v>Recurrente</x:v>
      </x:c>
      <x:c r="F3942" s="13" t="n">
        <x:v>149.05</x:v>
      </x:c>
      <x:c r="G3942" s="13" t="n">
        <x:v>0</x:v>
      </x:c>
      <x:c r="H3942" s="13" t="n">
        <x:f>F3942-G3942</x:f>
        <x:v>149.05</x:v>
      </x:c>
      <x:c r="I3942" s="13" t="n">
        <x:f>IF(C3942=0,"n.a.",F3942/C3942)</x:f>
        <x:v>49.68333333333334</x:v>
      </x:c>
      <x:c r="J3942" s="3"/>
      <x:c r="K3942" s="3"/>
      <x:c r="L3942" s="3"/>
    </x:row>
    <x:row r="3943" ht="22" customHeight="1">
      <x:c r="A3943" s="3"/>
      <x:c r="B3943" s="3" t="str">
        <x:v>17549</x:v>
      </x:c>
      <x:c r="C3943" s="3" t="n">
        <x:v>2</x:v>
      </x:c>
      <x:c r="D3943" s="51" t="n">
        <x:v>40863</x:v>
      </x:c>
      <x:c r="E3943" s="3" t="str">
        <x:v>Recurrente</x:v>
      </x:c>
      <x:c r="F3943" s="13" t="n">
        <x:v>148.86</x:v>
      </x:c>
      <x:c r="G3943" s="13" t="n">
        <x:v>0</x:v>
      </x:c>
      <x:c r="H3943" s="13" t="n">
        <x:f>F3943-G3943</x:f>
        <x:v>148.86</x:v>
      </x:c>
      <x:c r="I3943" s="13" t="n">
        <x:f>IF(C3943=0,"n.a.",F3943/C3943)</x:f>
        <x:v>74.43</x:v>
      </x:c>
      <x:c r="J3943" s="3"/>
      <x:c r="K3943" s="3"/>
      <x:c r="L3943" s="3"/>
    </x:row>
    <x:row r="3944" ht="22" customHeight="1">
      <x:c r="A3944" s="3"/>
      <x:c r="B3944" s="3" t="str">
        <x:v>15526</x:v>
      </x:c>
      <x:c r="C3944" s="3" t="n">
        <x:v>2</x:v>
      </x:c>
      <x:c r="D3944" s="51" t="n">
        <x:v>40853</x:v>
      </x:c>
      <x:c r="E3944" s="3" t="str">
        <x:v>Recurrente</x:v>
      </x:c>
      <x:c r="F3944" s="13" t="n">
        <x:v>148.44</x:v>
      </x:c>
      <x:c r="G3944" s="13" t="n">
        <x:v>0</x:v>
      </x:c>
      <x:c r="H3944" s="13" t="n">
        <x:f>F3944-G3944</x:f>
        <x:v>148.44</x:v>
      </x:c>
      <x:c r="I3944" s="13" t="n">
        <x:f>IF(C3944=0,"n.a.",F3944/C3944)</x:f>
        <x:v>74.22</x:v>
      </x:c>
      <x:c r="J3944" s="3"/>
      <x:c r="K3944" s="3"/>
      <x:c r="L3944" s="3"/>
    </x:row>
    <x:row r="3945" ht="22" customHeight="1">
      <x:c r="A3945" s="3"/>
      <x:c r="B3945" s="3" t="str">
        <x:v>17859</x:v>
      </x:c>
      <x:c r="C3945" s="3" t="n">
        <x:v>1</x:v>
      </x:c>
      <x:c r="D3945" s="51" t="n">
        <x:v>40582</x:v>
      </x:c>
      <x:c r="E3945" s="3" t="str">
        <x:v>Una compra</x:v>
      </x:c>
      <x:c r="F3945" s="13" t="n">
        <x:v>148.21</x:v>
      </x:c>
      <x:c r="G3945" s="13" t="n">
        <x:v>0</x:v>
      </x:c>
      <x:c r="H3945" s="13" t="n">
        <x:f>F3945-G3945</x:f>
        <x:v>148.21</x:v>
      </x:c>
      <x:c r="I3945" s="13" t="n">
        <x:f>IF(C3945=0,"n.a.",F3945/C3945)</x:f>
        <x:v>148.21</x:v>
      </x:c>
      <x:c r="J3945" s="3"/>
      <x:c r="K3945" s="3"/>
      <x:c r="L3945" s="3"/>
    </x:row>
    <x:row r="3946" ht="22" customHeight="1">
      <x:c r="A3946" s="3"/>
      <x:c r="B3946" s="3" t="str">
        <x:v>14968</x:v>
      </x:c>
      <x:c r="C3946" s="3" t="n">
        <x:v>1</x:v>
      </x:c>
      <x:c r="D3946" s="51" t="n">
        <x:v>40856</x:v>
      </x:c>
      <x:c r="E3946" s="3" t="str">
        <x:v>Una compra</x:v>
      </x:c>
      <x:c r="F3946" s="13" t="n">
        <x:v>147.59</x:v>
      </x:c>
      <x:c r="G3946" s="13" t="n">
        <x:v>0</x:v>
      </x:c>
      <x:c r="H3946" s="13" t="n">
        <x:f>F3946-G3946</x:f>
        <x:v>147.59</x:v>
      </x:c>
      <x:c r="I3946" s="13" t="n">
        <x:f>IF(C3946=0,"n.a.",F3946/C3946)</x:f>
        <x:v>147.59</x:v>
      </x:c>
      <x:c r="J3946" s="3"/>
      <x:c r="K3946" s="3"/>
      <x:c r="L3946" s="3"/>
    </x:row>
    <x:row r="3947" ht="22" customHeight="1">
      <x:c r="A3947" s="3"/>
      <x:c r="B3947" s="3" t="str">
        <x:v>14098</x:v>
      </x:c>
      <x:c r="C3947" s="3" t="n">
        <x:v>1</x:v>
      </x:c>
      <x:c r="D3947" s="51" t="n">
        <x:v>40850</x:v>
      </x:c>
      <x:c r="E3947" s="3" t="str">
        <x:v>Una compra</x:v>
      </x:c>
      <x:c r="F3947" s="13" t="n">
        <x:v>147.35</x:v>
      </x:c>
      <x:c r="G3947" s="13" t="n">
        <x:v>0</x:v>
      </x:c>
      <x:c r="H3947" s="13" t="n">
        <x:f>F3947-G3947</x:f>
        <x:v>147.35</x:v>
      </x:c>
      <x:c r="I3947" s="13" t="n">
        <x:f>IF(C3947=0,"n.a.",F3947/C3947)</x:f>
        <x:v>147.35</x:v>
      </x:c>
      <x:c r="J3947" s="3"/>
      <x:c r="K3947" s="3"/>
      <x:c r="L3947" s="3"/>
    </x:row>
    <x:row r="3948" ht="22" customHeight="1">
      <x:c r="A3948" s="3"/>
      <x:c r="B3948" s="3" t="str">
        <x:v>14037</x:v>
      </x:c>
      <x:c r="C3948" s="3" t="n">
        <x:v>2</x:v>
      </x:c>
      <x:c r="D3948" s="51" t="n">
        <x:v>40710</x:v>
      </x:c>
      <x:c r="E3948" s="3" t="str">
        <x:v>Recurrente</x:v>
      </x:c>
      <x:c r="F3948" s="13" t="n">
        <x:v>147.2</x:v>
      </x:c>
      <x:c r="G3948" s="13" t="n">
        <x:v>0</x:v>
      </x:c>
      <x:c r="H3948" s="13" t="n">
        <x:f>F3948-G3948</x:f>
        <x:v>147.2</x:v>
      </x:c>
      <x:c r="I3948" s="13" t="n">
        <x:f>IF(C3948=0,"n.a.",F3948/C3948)</x:f>
        <x:v>73.6</x:v>
      </x:c>
      <x:c r="J3948" s="3"/>
      <x:c r="K3948" s="3"/>
      <x:c r="L3948" s="3"/>
    </x:row>
    <x:row r="3949" ht="22" customHeight="1">
      <x:c r="A3949" s="3"/>
      <x:c r="B3949" s="3" t="str">
        <x:v>12864</x:v>
      </x:c>
      <x:c r="C3949" s="3" t="n">
        <x:v>1</x:v>
      </x:c>
      <x:c r="D3949" s="51" t="n">
        <x:v>40748</x:v>
      </x:c>
      <x:c r="E3949" s="3" t="str">
        <x:v>Una compra</x:v>
      </x:c>
      <x:c r="F3949" s="13" t="n">
        <x:v>147.12</x:v>
      </x:c>
      <x:c r="G3949" s="13" t="n">
        <x:v>0</x:v>
      </x:c>
      <x:c r="H3949" s="13" t="n">
        <x:f>F3949-G3949</x:f>
        <x:v>147.12</x:v>
      </x:c>
      <x:c r="I3949" s="13" t="n">
        <x:f>IF(C3949=0,"n.a.",F3949/C3949)</x:f>
        <x:v>147.12</x:v>
      </x:c>
      <x:c r="J3949" s="3"/>
      <x:c r="K3949" s="3"/>
      <x:c r="L3949" s="3"/>
    </x:row>
    <x:row r="3950" ht="22" customHeight="1">
      <x:c r="A3950" s="3"/>
      <x:c r="B3950" s="3" t="str">
        <x:v>15503</x:v>
      </x:c>
      <x:c r="C3950" s="3" t="n">
        <x:v>1</x:v>
      </x:c>
      <x:c r="D3950" s="51" t="n">
        <x:v>40524</x:v>
      </x:c>
      <x:c r="E3950" s="3" t="str">
        <x:v>Una compra</x:v>
      </x:c>
      <x:c r="F3950" s="13" t="n">
        <x:v>147.09</x:v>
      </x:c>
      <x:c r="G3950" s="13" t="n">
        <x:v>0</x:v>
      </x:c>
      <x:c r="H3950" s="13" t="n">
        <x:f>F3950-G3950</x:f>
        <x:v>147.09</x:v>
      </x:c>
      <x:c r="I3950" s="13" t="n">
        <x:f>IF(C3950=0,"n.a.",F3950/C3950)</x:f>
        <x:v>147.09</x:v>
      </x:c>
      <x:c r="J3950" s="3"/>
      <x:c r="K3950" s="3"/>
      <x:c r="L3950" s="3"/>
    </x:row>
    <x:row r="3951" ht="22" customHeight="1">
      <x:c r="A3951" s="3"/>
      <x:c r="B3951" s="3" t="str">
        <x:v>17030</x:v>
      </x:c>
      <x:c r="C3951" s="3" t="n">
        <x:v>1</x:v>
      </x:c>
      <x:c r="D3951" s="51" t="n">
        <x:v>40823</x:v>
      </x:c>
      <x:c r="E3951" s="3" t="str">
        <x:v>Una compra</x:v>
      </x:c>
      <x:c r="F3951" s="13" t="n">
        <x:v>146.87</x:v>
      </x:c>
      <x:c r="G3951" s="13" t="n">
        <x:v>0</x:v>
      </x:c>
      <x:c r="H3951" s="13" t="n">
        <x:f>F3951-G3951</x:f>
        <x:v>146.87</x:v>
      </x:c>
      <x:c r="I3951" s="13" t="n">
        <x:f>IF(C3951=0,"n.a.",F3951/C3951)</x:f>
        <x:v>146.87</x:v>
      </x:c>
      <x:c r="J3951" s="3"/>
      <x:c r="K3951" s="3"/>
      <x:c r="L3951" s="3"/>
    </x:row>
    <x:row r="3952" ht="22" customHeight="1">
      <x:c r="A3952" s="3"/>
      <x:c r="B3952" s="3" t="str">
        <x:v>14238</x:v>
      </x:c>
      <x:c r="C3952" s="3" t="n">
        <x:v>1</x:v>
      </x:c>
      <x:c r="D3952" s="51" t="n">
        <x:v>40560</x:v>
      </x:c>
      <x:c r="E3952" s="3" t="str">
        <x:v>Una compra</x:v>
      </x:c>
      <x:c r="F3952" s="13" t="n">
        <x:v>146.85</x:v>
      </x:c>
      <x:c r="G3952" s="13" t="n">
        <x:v>0</x:v>
      </x:c>
      <x:c r="H3952" s="13" t="n">
        <x:f>F3952-G3952</x:f>
        <x:v>146.85</x:v>
      </x:c>
      <x:c r="I3952" s="13" t="n">
        <x:f>IF(C3952=0,"n.a.",F3952/C3952)</x:f>
        <x:v>146.85</x:v>
      </x:c>
      <x:c r="J3952" s="3"/>
      <x:c r="K3952" s="3"/>
      <x:c r="L3952" s="3"/>
    </x:row>
    <x:row r="3953" ht="22" customHeight="1">
      <x:c r="A3953" s="3"/>
      <x:c r="B3953" s="3" t="str">
        <x:v>16893</x:v>
      </x:c>
      <x:c r="C3953" s="3" t="n">
        <x:v>1</x:v>
      </x:c>
      <x:c r="D3953" s="51" t="n">
        <x:v>40520</x:v>
      </x:c>
      <x:c r="E3953" s="3" t="str">
        <x:v>Una compra</x:v>
      </x:c>
      <x:c r="F3953" s="13" t="n">
        <x:v>145.93</x:v>
      </x:c>
      <x:c r="G3953" s="13" t="n">
        <x:v>0</x:v>
      </x:c>
      <x:c r="H3953" s="13" t="n">
        <x:f>F3953-G3953</x:f>
        <x:v>145.93</x:v>
      </x:c>
      <x:c r="I3953" s="13" t="n">
        <x:f>IF(C3953=0,"n.a.",F3953/C3953)</x:f>
        <x:v>145.93</x:v>
      </x:c>
      <x:c r="J3953" s="3"/>
      <x:c r="K3953" s="3"/>
      <x:c r="L3953" s="3"/>
    </x:row>
    <x:row r="3954" ht="22" customHeight="1">
      <x:c r="A3954" s="3"/>
      <x:c r="B3954" s="3" t="str">
        <x:v>12641</x:v>
      </x:c>
      <x:c r="C3954" s="3" t="n">
        <x:v>1</x:v>
      </x:c>
      <x:c r="D3954" s="51" t="n">
        <x:v>40771</x:v>
      </x:c>
      <x:c r="E3954" s="3" t="str">
        <x:v>Una compra</x:v>
      </x:c>
      <x:c r="F3954" s="13" t="n">
        <x:v>145.9</x:v>
      </x:c>
      <x:c r="G3954" s="13" t="n">
        <x:v>0</x:v>
      </x:c>
      <x:c r="H3954" s="13" t="n">
        <x:f>F3954-G3954</x:f>
        <x:v>145.9</x:v>
      </x:c>
      <x:c r="I3954" s="13" t="n">
        <x:f>IF(C3954=0,"n.a.",F3954/C3954)</x:f>
        <x:v>145.9</x:v>
      </x:c>
      <x:c r="J3954" s="3"/>
      <x:c r="K3954" s="3"/>
      <x:c r="L3954" s="3"/>
    </x:row>
    <x:row r="3955" ht="22" customHeight="1">
      <x:c r="A3955" s="3"/>
      <x:c r="B3955" s="3" t="str">
        <x:v>13866</x:v>
      </x:c>
      <x:c r="C3955" s="3" t="n">
        <x:v>1</x:v>
      </x:c>
      <x:c r="D3955" s="51" t="n">
        <x:v>40812</x:v>
      </x:c>
      <x:c r="E3955" s="3" t="str">
        <x:v>Una compra</x:v>
      </x:c>
      <x:c r="F3955" s="13" t="n">
        <x:v>145.67</x:v>
      </x:c>
      <x:c r="G3955" s="13" t="n">
        <x:v>0</x:v>
      </x:c>
      <x:c r="H3955" s="13" t="n">
        <x:f>F3955-G3955</x:f>
        <x:v>145.67</x:v>
      </x:c>
      <x:c r="I3955" s="13" t="n">
        <x:f>IF(C3955=0,"n.a.",F3955/C3955)</x:f>
        <x:v>145.67</x:v>
      </x:c>
      <x:c r="J3955" s="3"/>
      <x:c r="K3955" s="3"/>
      <x:c r="L3955" s="3"/>
    </x:row>
    <x:row r="3956" ht="22" customHeight="1">
      <x:c r="A3956" s="3"/>
      <x:c r="B3956" s="3" t="str">
        <x:v>15937</x:v>
      </x:c>
      <x:c r="C3956" s="3" t="n">
        <x:v>1</x:v>
      </x:c>
      <x:c r="D3956" s="51" t="n">
        <x:v>40822</x:v>
      </x:c>
      <x:c r="E3956" s="3" t="str">
        <x:v>Una compra</x:v>
      </x:c>
      <x:c r="F3956" s="13" t="n">
        <x:v>145.35</x:v>
      </x:c>
      <x:c r="G3956" s="13" t="n">
        <x:v>0</x:v>
      </x:c>
      <x:c r="H3956" s="13" t="n">
        <x:f>F3956-G3956</x:f>
        <x:v>145.35</x:v>
      </x:c>
      <x:c r="I3956" s="13" t="n">
        <x:f>IF(C3956=0,"n.a.",F3956/C3956)</x:f>
        <x:v>145.35</x:v>
      </x:c>
      <x:c r="J3956" s="3"/>
      <x:c r="K3956" s="3"/>
      <x:c r="L3956" s="3"/>
    </x:row>
    <x:row r="3957" ht="22" customHeight="1">
      <x:c r="A3957" s="3"/>
      <x:c r="B3957" s="3" t="str">
        <x:v>17524</x:v>
      </x:c>
      <x:c r="C3957" s="3" t="n">
        <x:v>1</x:v>
      </x:c>
      <x:c r="D3957" s="51" t="n">
        <x:v>40525</x:v>
      </x:c>
      <x:c r="E3957" s="3" t="str">
        <x:v>Una compra</x:v>
      </x:c>
      <x:c r="F3957" s="13" t="n">
        <x:v>145</x:v>
      </x:c>
      <x:c r="G3957" s="13" t="n">
        <x:v>0</x:v>
      </x:c>
      <x:c r="H3957" s="13" t="n">
        <x:f>F3957-G3957</x:f>
        <x:v>145</x:v>
      </x:c>
      <x:c r="I3957" s="13" t="n">
        <x:f>IF(C3957=0,"n.a.",F3957/C3957)</x:f>
        <x:v>145</x:v>
      </x:c>
      <x:c r="J3957" s="3"/>
      <x:c r="K3957" s="3"/>
      <x:c r="L3957" s="3"/>
    </x:row>
    <x:row r="3958" ht="22" customHeight="1">
      <x:c r="A3958" s="3"/>
      <x:c r="B3958" s="3" t="str">
        <x:v>16852</x:v>
      </x:c>
      <x:c r="C3958" s="3" t="n">
        <x:v>2</x:v>
      </x:c>
      <x:c r="D3958" s="51" t="n">
        <x:v>40876</x:v>
      </x:c>
      <x:c r="E3958" s="3" t="str">
        <x:v>Recurrente</x:v>
      </x:c>
      <x:c r="F3958" s="13" t="n">
        <x:v>144.91</x:v>
      </x:c>
      <x:c r="G3958" s="13" t="n">
        <x:v>0</x:v>
      </x:c>
      <x:c r="H3958" s="13" t="n">
        <x:f>F3958-G3958</x:f>
        <x:v>144.91</x:v>
      </x:c>
      <x:c r="I3958" s="13" t="n">
        <x:f>IF(C3958=0,"n.a.",F3958/C3958)</x:f>
        <x:v>72.455</x:v>
      </x:c>
      <x:c r="J3958" s="3"/>
      <x:c r="K3958" s="3"/>
      <x:c r="L3958" s="3"/>
    </x:row>
    <x:row r="3959" ht="22" customHeight="1">
      <x:c r="A3959" s="3"/>
      <x:c r="B3959" s="3" t="str">
        <x:v>12974</x:v>
      </x:c>
      <x:c r="C3959" s="3" t="n">
        <x:v>1</x:v>
      </x:c>
      <x:c r="D3959" s="51" t="n">
        <x:v>40689</x:v>
      </x:c>
      <x:c r="E3959" s="3" t="str">
        <x:v>Una compra</x:v>
      </x:c>
      <x:c r="F3959" s="13" t="n">
        <x:v>144.8</x:v>
      </x:c>
      <x:c r="G3959" s="13" t="n">
        <x:v>0</x:v>
      </x:c>
      <x:c r="H3959" s="13" t="n">
        <x:f>F3959-G3959</x:f>
        <x:v>144.8</x:v>
      </x:c>
      <x:c r="I3959" s="13" t="n">
        <x:f>IF(C3959=0,"n.a.",F3959/C3959)</x:f>
        <x:v>144.8</x:v>
      </x:c>
      <x:c r="J3959" s="3"/>
      <x:c r="K3959" s="3"/>
      <x:c r="L3959" s="3"/>
    </x:row>
    <x:row r="3960" ht="22" customHeight="1">
      <x:c r="A3960" s="3"/>
      <x:c r="B3960" s="3" t="str">
        <x:v>12442</x:v>
      </x:c>
      <x:c r="C3960" s="3" t="n">
        <x:v>1</x:v>
      </x:c>
      <x:c r="D3960" s="51" t="n">
        <x:v>40883</x:v>
      </x:c>
      <x:c r="E3960" s="3" t="str">
        <x:v>Una compra</x:v>
      </x:c>
      <x:c r="F3960" s="13" t="n">
        <x:v>144.06</x:v>
      </x:c>
      <x:c r="G3960" s="13" t="n">
        <x:v>0</x:v>
      </x:c>
      <x:c r="H3960" s="13" t="n">
        <x:f>F3960-G3960</x:f>
        <x:v>144.06</x:v>
      </x:c>
      <x:c r="I3960" s="13" t="n">
        <x:f>IF(C3960=0,"n.a.",F3960/C3960)</x:f>
        <x:v>144.06</x:v>
      </x:c>
      <x:c r="J3960" s="3"/>
      <x:c r="K3960" s="3"/>
      <x:c r="L3960" s="3"/>
    </x:row>
    <x:row r="3961" ht="22" customHeight="1">
      <x:c r="A3961" s="3"/>
      <x:c r="B3961" s="3" t="str">
        <x:v>12736</x:v>
      </x:c>
      <x:c r="C3961" s="3" t="n">
        <x:v>1</x:v>
      </x:c>
      <x:c r="D3961" s="51" t="n">
        <x:v>40554</x:v>
      </x:c>
      <x:c r="E3961" s="3" t="str">
        <x:v>Una compra</x:v>
      </x:c>
      <x:c r="F3961" s="13" t="n">
        <x:v>144</x:v>
      </x:c>
      <x:c r="G3961" s="13" t="n">
        <x:v>0</x:v>
      </x:c>
      <x:c r="H3961" s="13" t="n">
        <x:f>F3961-G3961</x:f>
        <x:v>144</x:v>
      </x:c>
      <x:c r="I3961" s="13" t="n">
        <x:f>IF(C3961=0,"n.a.",F3961/C3961)</x:f>
        <x:v>144</x:v>
      </x:c>
      <x:c r="J3961" s="3"/>
      <x:c r="K3961" s="3"/>
      <x:c r="L3961" s="3"/>
    </x:row>
    <x:row r="3962" ht="22" customHeight="1">
      <x:c r="A3962" s="3"/>
      <x:c r="B3962" s="3" t="str">
        <x:v>17186</x:v>
      </x:c>
      <x:c r="C3962" s="3" t="n">
        <x:v>2</x:v>
      </x:c>
      <x:c r="D3962" s="51" t="n">
        <x:v>40840</x:v>
      </x:c>
      <x:c r="E3962" s="3" t="str">
        <x:v>Recurrente</x:v>
      </x:c>
      <x:c r="F3962" s="13" t="n">
        <x:v>144</x:v>
      </x:c>
      <x:c r="G3962" s="13" t="n">
        <x:v>0</x:v>
      </x:c>
      <x:c r="H3962" s="13" t="n">
        <x:f>F3962-G3962</x:f>
        <x:v>144</x:v>
      </x:c>
      <x:c r="I3962" s="13" t="n">
        <x:f>IF(C3962=0,"n.a.",F3962/C3962)</x:f>
        <x:v>72</x:v>
      </x:c>
      <x:c r="J3962" s="3"/>
      <x:c r="K3962" s="3"/>
      <x:c r="L3962" s="3"/>
    </x:row>
    <x:row r="3963" ht="22" customHeight="1">
      <x:c r="A3963" s="3"/>
      <x:c r="B3963" s="3" t="str">
        <x:v>13462</x:v>
      </x:c>
      <x:c r="C3963" s="3" t="n">
        <x:v>1</x:v>
      </x:c>
      <x:c r="D3963" s="51" t="n">
        <x:v>40634</x:v>
      </x:c>
      <x:c r="E3963" s="3" t="str">
        <x:v>Una compra</x:v>
      </x:c>
      <x:c r="F3963" s="13" t="n">
        <x:v>151.5</x:v>
      </x:c>
      <x:c r="G3963" s="13" t="n">
        <x:v>8.25</x:v>
      </x:c>
      <x:c r="H3963" s="13" t="n">
        <x:f>F3963-G3963</x:f>
        <x:v>143.25</x:v>
      </x:c>
      <x:c r="I3963" s="13" t="n">
        <x:f>IF(C3963=0,"n.a.",F3963/C3963)</x:f>
        <x:v>151.5</x:v>
      </x:c>
      <x:c r="J3963" s="3"/>
      <x:c r="K3963" s="3"/>
      <x:c r="L3963" s="3"/>
    </x:row>
    <x:row r="3964" ht="22" customHeight="1">
      <x:c r="A3964" s="3"/>
      <x:c r="B3964" s="3" t="str">
        <x:v>15705</x:v>
      </x:c>
      <x:c r="C3964" s="3" t="n">
        <x:v>1</x:v>
      </x:c>
      <x:c r="D3964" s="51" t="n">
        <x:v>40685</x:v>
      </x:c>
      <x:c r="E3964" s="3" t="str">
        <x:v>Una compra</x:v>
      </x:c>
      <x:c r="F3964" s="13" t="n">
        <x:v>143.1</x:v>
      </x:c>
      <x:c r="G3964" s="13" t="n">
        <x:v>0</x:v>
      </x:c>
      <x:c r="H3964" s="13" t="n">
        <x:f>F3964-G3964</x:f>
        <x:v>143.1</x:v>
      </x:c>
      <x:c r="I3964" s="13" t="n">
        <x:f>IF(C3964=0,"n.a.",F3964/C3964)</x:f>
        <x:v>143.1</x:v>
      </x:c>
      <x:c r="J3964" s="3"/>
      <x:c r="K3964" s="3"/>
      <x:c r="L3964" s="3"/>
    </x:row>
    <x:row r="3965" ht="22" customHeight="1">
      <x:c r="A3965" s="3"/>
      <x:c r="B3965" s="3" t="str">
        <x:v>17935</x:v>
      </x:c>
      <x:c r="C3965" s="3" t="n">
        <x:v>2</x:v>
      </x:c>
      <x:c r="D3965" s="51" t="n">
        <x:v>40748</x:v>
      </x:c>
      <x:c r="E3965" s="3" t="str">
        <x:v>Recurrente</x:v>
      </x:c>
      <x:c r="F3965" s="13" t="n">
        <x:v>142.89</x:v>
      </x:c>
      <x:c r="G3965" s="13" t="n">
        <x:v>0</x:v>
      </x:c>
      <x:c r="H3965" s="13" t="n">
        <x:f>F3965-G3965</x:f>
        <x:v>142.89</x:v>
      </x:c>
      <x:c r="I3965" s="13" t="n">
        <x:f>IF(C3965=0,"n.a.",F3965/C3965)</x:f>
        <x:v>71.445</x:v>
      </x:c>
      <x:c r="J3965" s="3"/>
      <x:c r="K3965" s="3"/>
      <x:c r="L3965" s="3"/>
    </x:row>
    <x:row r="3966" ht="22" customHeight="1">
      <x:c r="A3966" s="3"/>
      <x:c r="B3966" s="3" t="str">
        <x:v>13299</x:v>
      </x:c>
      <x:c r="C3966" s="3" t="n">
        <x:v>1</x:v>
      </x:c>
      <x:c r="D3966" s="51" t="n">
        <x:v>40618</x:v>
      </x:c>
      <x:c r="E3966" s="3" t="str">
        <x:v>Una compra</x:v>
      </x:c>
      <x:c r="F3966" s="13" t="n">
        <x:v>142.5</x:v>
      </x:c>
      <x:c r="G3966" s="13" t="n">
        <x:v>0</x:v>
      </x:c>
      <x:c r="H3966" s="13" t="n">
        <x:f>F3966-G3966</x:f>
        <x:v>142.5</x:v>
      </x:c>
      <x:c r="I3966" s="13" t="n">
        <x:f>IF(C3966=0,"n.a.",F3966/C3966)</x:f>
        <x:v>142.5</x:v>
      </x:c>
      <x:c r="J3966" s="3"/>
      <x:c r="K3966" s="3"/>
      <x:c r="L3966" s="3"/>
    </x:row>
    <x:row r="3967" ht="22" customHeight="1">
      <x:c r="A3967" s="3"/>
      <x:c r="B3967" s="3" t="str">
        <x:v>16287</x:v>
      </x:c>
      <x:c r="C3967" s="3" t="n">
        <x:v>1</x:v>
      </x:c>
      <x:c r="D3967" s="51" t="n">
        <x:v>40717</x:v>
      </x:c>
      <x:c r="E3967" s="3" t="str">
        <x:v>Una compra</x:v>
      </x:c>
      <x:c r="F3967" s="13" t="n">
        <x:v>142.5</x:v>
      </x:c>
      <x:c r="G3967" s="13" t="n">
        <x:v>0</x:v>
      </x:c>
      <x:c r="H3967" s="13" t="n">
        <x:f>F3967-G3967</x:f>
        <x:v>142.5</x:v>
      </x:c>
      <x:c r="I3967" s="13" t="n">
        <x:f>IF(C3967=0,"n.a.",F3967/C3967)</x:f>
        <x:v>142.5</x:v>
      </x:c>
      <x:c r="J3967" s="3"/>
      <x:c r="K3967" s="3"/>
      <x:c r="L3967" s="3"/>
    </x:row>
    <x:row r="3968" ht="22" customHeight="1">
      <x:c r="A3968" s="3"/>
      <x:c r="B3968" s="3" t="str">
        <x:v>13584</x:v>
      </x:c>
      <x:c r="C3968" s="3" t="n">
        <x:v>1</x:v>
      </x:c>
      <x:c r="D3968" s="51" t="n">
        <x:v>40580</x:v>
      </x:c>
      <x:c r="E3968" s="3" t="str">
        <x:v>Una compra</x:v>
      </x:c>
      <x:c r="F3968" s="13" t="n">
        <x:v>142.4</x:v>
      </x:c>
      <x:c r="G3968" s="13" t="n">
        <x:v>0</x:v>
      </x:c>
      <x:c r="H3968" s="13" t="n">
        <x:f>F3968-G3968</x:f>
        <x:v>142.4</x:v>
      </x:c>
      <x:c r="I3968" s="13" t="n">
        <x:f>IF(C3968=0,"n.a.",F3968/C3968)</x:f>
        <x:v>142.4</x:v>
      </x:c>
      <x:c r="J3968" s="3"/>
      <x:c r="K3968" s="3"/>
      <x:c r="L3968" s="3"/>
    </x:row>
    <x:row r="3969" ht="22" customHeight="1">
      <x:c r="A3969" s="3"/>
      <x:c r="B3969" s="3" t="str">
        <x:v>14386</x:v>
      </x:c>
      <x:c r="C3969" s="3" t="n">
        <x:v>1</x:v>
      </x:c>
      <x:c r="D3969" s="51" t="n">
        <x:v>40590</x:v>
      </x:c>
      <x:c r="E3969" s="3" t="str">
        <x:v>Una compra</x:v>
      </x:c>
      <x:c r="F3969" s="13" t="n">
        <x:v>142.4</x:v>
      </x:c>
      <x:c r="G3969" s="13" t="n">
        <x:v>0</x:v>
      </x:c>
      <x:c r="H3969" s="13" t="n">
        <x:f>F3969-G3969</x:f>
        <x:v>142.4</x:v>
      </x:c>
      <x:c r="I3969" s="13" t="n">
        <x:f>IF(C3969=0,"n.a.",F3969/C3969)</x:f>
        <x:v>142.4</x:v>
      </x:c>
      <x:c r="J3969" s="3"/>
      <x:c r="K3969" s="3"/>
      <x:c r="L3969" s="3"/>
    </x:row>
    <x:row r="3970" ht="22" customHeight="1">
      <x:c r="A3970" s="3"/>
      <x:c r="B3970" s="3" t="str">
        <x:v>13561</x:v>
      </x:c>
      <x:c r="C3970" s="3" t="n">
        <x:v>1</x:v>
      </x:c>
      <x:c r="D3970" s="51" t="n">
        <x:v>40671</x:v>
      </x:c>
      <x:c r="E3970" s="3" t="str">
        <x:v>Una compra</x:v>
      </x:c>
      <x:c r="F3970" s="13" t="n">
        <x:v>141.86</x:v>
      </x:c>
      <x:c r="G3970" s="13" t="n">
        <x:v>0</x:v>
      </x:c>
      <x:c r="H3970" s="13" t="n">
        <x:f>F3970-G3970</x:f>
        <x:v>141.86</x:v>
      </x:c>
      <x:c r="I3970" s="13" t="n">
        <x:f>IF(C3970=0,"n.a.",F3970/C3970)</x:f>
        <x:v>141.86</x:v>
      </x:c>
      <x:c r="J3970" s="3"/>
      <x:c r="K3970" s="3"/>
      <x:c r="L3970" s="3"/>
    </x:row>
    <x:row r="3971" ht="22" customHeight="1">
      <x:c r="A3971" s="3"/>
      <x:c r="B3971" s="3" t="str">
        <x:v>14041</x:v>
      </x:c>
      <x:c r="C3971" s="3" t="n">
        <x:v>1</x:v>
      </x:c>
      <x:c r="D3971" s="51" t="n">
        <x:v>40620</x:v>
      </x:c>
      <x:c r="E3971" s="3" t="str">
        <x:v>Una compra</x:v>
      </x:c>
      <x:c r="F3971" s="13" t="n">
        <x:v>141.41</x:v>
      </x:c>
      <x:c r="G3971" s="13" t="n">
        <x:v>0</x:v>
      </x:c>
      <x:c r="H3971" s="13" t="n">
        <x:f>F3971-G3971</x:f>
        <x:v>141.41</x:v>
      </x:c>
      <x:c r="I3971" s="13" t="n">
        <x:f>IF(C3971=0,"n.a.",F3971/C3971)</x:f>
        <x:v>141.41</x:v>
      </x:c>
      <x:c r="J3971" s="3"/>
      <x:c r="K3971" s="3"/>
      <x:c r="L3971" s="3"/>
    </x:row>
    <x:row r="3972" ht="22" customHeight="1">
      <x:c r="A3972" s="3"/>
      <x:c r="B3972" s="3" t="str">
        <x:v>16598</x:v>
      </x:c>
      <x:c r="C3972" s="3" t="n">
        <x:v>1</x:v>
      </x:c>
      <x:c r="D3972" s="51" t="n">
        <x:v>40601</x:v>
      </x:c>
      <x:c r="E3972" s="3" t="str">
        <x:v>Una compra</x:v>
      </x:c>
      <x:c r="F3972" s="13" t="n">
        <x:v>145.05</x:v>
      </x:c>
      <x:c r="G3972" s="13" t="n">
        <x:v>4.35</x:v>
      </x:c>
      <x:c r="H3972" s="13" t="n">
        <x:f>F3972-G3972</x:f>
        <x:v>140.70000000000002</x:v>
      </x:c>
      <x:c r="I3972" s="13" t="n">
        <x:f>IF(C3972=0,"n.a.",F3972/C3972)</x:f>
        <x:v>145.05</x:v>
      </x:c>
      <x:c r="J3972" s="3"/>
      <x:c r="K3972" s="3"/>
      <x:c r="L3972" s="3"/>
    </x:row>
    <x:row r="3973" ht="22" customHeight="1">
      <x:c r="A3973" s="3"/>
      <x:c r="B3973" s="3" t="str">
        <x:v>15388</x:v>
      </x:c>
      <x:c r="C3973" s="3" t="n">
        <x:v>1</x:v>
      </x:c>
      <x:c r="D3973" s="51" t="n">
        <x:v>40616</x:v>
      </x:c>
      <x:c r="E3973" s="3" t="str">
        <x:v>Una compra</x:v>
      </x:c>
      <x:c r="F3973" s="13" t="n">
        <x:v>140.54</x:v>
      </x:c>
      <x:c r="G3973" s="13" t="n">
        <x:v>0</x:v>
      </x:c>
      <x:c r="H3973" s="13" t="n">
        <x:f>F3973-G3973</x:f>
        <x:v>140.54</x:v>
      </x:c>
      <x:c r="I3973" s="13" t="n">
        <x:f>IF(C3973=0,"n.a.",F3973/C3973)</x:f>
        <x:v>140.54</x:v>
      </x:c>
      <x:c r="J3973" s="3"/>
      <x:c r="K3973" s="3"/>
      <x:c r="L3973" s="3"/>
    </x:row>
    <x:row r="3974" ht="22" customHeight="1">
      <x:c r="A3974" s="3"/>
      <x:c r="B3974" s="3" t="str">
        <x:v>13420</x:v>
      </x:c>
      <x:c r="C3974" s="3" t="n">
        <x:v>2</x:v>
      </x:c>
      <x:c r="D3974" s="51" t="n">
        <x:v>40737</x:v>
      </x:c>
      <x:c r="E3974" s="3" t="str">
        <x:v>Recurrente</x:v>
      </x:c>
      <x:c r="F3974" s="13" t="n">
        <x:v>159.85</x:v>
      </x:c>
      <x:c r="G3974" s="13" t="n">
        <x:v>19.5</x:v>
      </x:c>
      <x:c r="H3974" s="13" t="n">
        <x:f>F3974-G3974</x:f>
        <x:v>140.35</x:v>
      </x:c>
      <x:c r="I3974" s="13" t="n">
        <x:f>IF(C3974=0,"n.a.",F3974/C3974)</x:f>
        <x:v>79.925</x:v>
      </x:c>
      <x:c r="J3974" s="3"/>
      <x:c r="K3974" s="3"/>
      <x:c r="L3974" s="3"/>
    </x:row>
    <x:row r="3975" ht="22" customHeight="1">
      <x:c r="A3975" s="3"/>
      <x:c r="B3975" s="3" t="str">
        <x:v>13483</x:v>
      </x:c>
      <x:c r="C3975" s="3" t="n">
        <x:v>1</x:v>
      </x:c>
      <x:c r="D3975" s="51" t="n">
        <x:v>40821</x:v>
      </x:c>
      <x:c r="E3975" s="3" t="str">
        <x:v>Una compra</x:v>
      </x:c>
      <x:c r="F3975" s="13" t="n">
        <x:v>140.34</x:v>
      </x:c>
      <x:c r="G3975" s="13" t="n">
        <x:v>0</x:v>
      </x:c>
      <x:c r="H3975" s="13" t="n">
        <x:f>F3975-G3975</x:f>
        <x:v>140.34</x:v>
      </x:c>
      <x:c r="I3975" s="13" t="n">
        <x:f>IF(C3975=0,"n.a.",F3975/C3975)</x:f>
        <x:v>140.34</x:v>
      </x:c>
      <x:c r="J3975" s="3"/>
      <x:c r="K3975" s="3"/>
      <x:c r="L3975" s="3"/>
    </x:row>
    <x:row r="3976" ht="22" customHeight="1">
      <x:c r="A3976" s="3"/>
      <x:c r="B3976" s="3" t="str">
        <x:v>14494</x:v>
      </x:c>
      <x:c r="C3976" s="3" t="n">
        <x:v>1</x:v>
      </x:c>
      <x:c r="D3976" s="51" t="n">
        <x:v>40861</x:v>
      </x:c>
      <x:c r="E3976" s="3" t="str">
        <x:v>Una compra</x:v>
      </x:c>
      <x:c r="F3976" s="13" t="n">
        <x:v>139.56</x:v>
      </x:c>
      <x:c r="G3976" s="13" t="n">
        <x:v>0</x:v>
      </x:c>
      <x:c r="H3976" s="13" t="n">
        <x:f>F3976-G3976</x:f>
        <x:v>139.56</x:v>
      </x:c>
      <x:c r="I3976" s="13" t="n">
        <x:f>IF(C3976=0,"n.a.",F3976/C3976)</x:f>
        <x:v>139.56</x:v>
      </x:c>
      <x:c r="J3976" s="3"/>
      <x:c r="K3976" s="3"/>
      <x:c r="L3976" s="3"/>
    </x:row>
    <x:row r="3977" ht="22" customHeight="1">
      <x:c r="A3977" s="3"/>
      <x:c r="B3977" s="3" t="str">
        <x:v>14073</x:v>
      </x:c>
      <x:c r="C3977" s="3" t="n">
        <x:v>1</x:v>
      </x:c>
      <x:c r="D3977" s="51" t="n">
        <x:v>40854</x:v>
      </x:c>
      <x:c r="E3977" s="3" t="str">
        <x:v>Una compra</x:v>
      </x:c>
      <x:c r="F3977" s="13" t="n">
        <x:v>151.04</x:v>
      </x:c>
      <x:c r="G3977" s="13" t="n">
        <x:v>11.5</x:v>
      </x:c>
      <x:c r="H3977" s="13" t="n">
        <x:f>F3977-G3977</x:f>
        <x:v>139.54</x:v>
      </x:c>
      <x:c r="I3977" s="13" t="n">
        <x:f>IF(C3977=0,"n.a.",F3977/C3977)</x:f>
        <x:v>151.04</x:v>
      </x:c>
      <x:c r="J3977" s="3"/>
      <x:c r="K3977" s="3"/>
      <x:c r="L3977" s="3"/>
    </x:row>
    <x:row r="3978" ht="22" customHeight="1">
      <x:c r="A3978" s="3"/>
      <x:c r="B3978" s="3" t="str">
        <x:v>14768</x:v>
      </x:c>
      <x:c r="C3978" s="3" t="n">
        <x:v>2</x:v>
      </x:c>
      <x:c r="D3978" s="51" t="n">
        <x:v>40869</x:v>
      </x:c>
      <x:c r="E3978" s="3" t="str">
        <x:v>Recurrente</x:v>
      </x:c>
      <x:c r="F3978" s="13" t="n">
        <x:v>192.6</x:v>
      </x:c>
      <x:c r="G3978" s="13" t="n">
        <x:v>53.1</x:v>
      </x:c>
      <x:c r="H3978" s="13" t="n">
        <x:f>F3978-G3978</x:f>
        <x:v>139.5</x:v>
      </x:c>
      <x:c r="I3978" s="13" t="n">
        <x:f>IF(C3978=0,"n.a.",F3978/C3978)</x:f>
        <x:v>96.3</x:v>
      </x:c>
      <x:c r="J3978" s="3"/>
      <x:c r="K3978" s="3"/>
      <x:c r="L3978" s="3"/>
    </x:row>
    <x:row r="3979" ht="22" customHeight="1">
      <x:c r="A3979" s="3"/>
      <x:c r="B3979" s="3" t="str">
        <x:v>16483</x:v>
      </x:c>
      <x:c r="C3979" s="3" t="n">
        <x:v>1</x:v>
      </x:c>
      <x:c r="D3979" s="51" t="n">
        <x:v>40694</x:v>
      </x:c>
      <x:c r="E3979" s="3" t="str">
        <x:v>Una compra</x:v>
      </x:c>
      <x:c r="F3979" s="13" t="n">
        <x:v>139.35</x:v>
      </x:c>
      <x:c r="G3979" s="13" t="n">
        <x:v>0</x:v>
      </x:c>
      <x:c r="H3979" s="13" t="n">
        <x:f>F3979-G3979</x:f>
        <x:v>139.35</x:v>
      </x:c>
      <x:c r="I3979" s="13" t="n">
        <x:f>IF(C3979=0,"n.a.",F3979/C3979)</x:f>
        <x:v>139.35</x:v>
      </x:c>
      <x:c r="J3979" s="3"/>
      <x:c r="K3979" s="3"/>
      <x:c r="L3979" s="3"/>
    </x:row>
    <x:row r="3980" ht="22" customHeight="1">
      <x:c r="A3980" s="3"/>
      <x:c r="B3980" s="3" t="str">
        <x:v>17718</x:v>
      </x:c>
      <x:c r="C3980" s="3" t="n">
        <x:v>1</x:v>
      </x:c>
      <x:c r="D3980" s="51" t="n">
        <x:v>40654</x:v>
      </x:c>
      <x:c r="E3980" s="3" t="str">
        <x:v>Una compra</x:v>
      </x:c>
      <x:c r="F3980" s="13" t="n">
        <x:v>139.35</x:v>
      </x:c>
      <x:c r="G3980" s="13" t="n">
        <x:v>0</x:v>
      </x:c>
      <x:c r="H3980" s="13" t="n">
        <x:f>F3980-G3980</x:f>
        <x:v>139.35</x:v>
      </x:c>
      <x:c r="I3980" s="13" t="n">
        <x:f>IF(C3980=0,"n.a.",F3980/C3980)</x:f>
        <x:v>139.35</x:v>
      </x:c>
      <x:c r="J3980" s="3"/>
      <x:c r="K3980" s="3"/>
      <x:c r="L3980" s="3"/>
    </x:row>
    <x:row r="3981" ht="22" customHeight="1">
      <x:c r="A3981" s="3"/>
      <x:c r="B3981" s="3" t="str">
        <x:v>14772</x:v>
      </x:c>
      <x:c r="C3981" s="3" t="n">
        <x:v>1</x:v>
      </x:c>
      <x:c r="D3981" s="51" t="n">
        <x:v>40774</x:v>
      </x:c>
      <x:c r="E3981" s="3" t="str">
        <x:v>Una compra</x:v>
      </x:c>
      <x:c r="F3981" s="13" t="n">
        <x:v>139.26</x:v>
      </x:c>
      <x:c r="G3981" s="13" t="n">
        <x:v>0</x:v>
      </x:c>
      <x:c r="H3981" s="13" t="n">
        <x:f>F3981-G3981</x:f>
        <x:v>139.26</x:v>
      </x:c>
      <x:c r="I3981" s="13" t="n">
        <x:f>IF(C3981=0,"n.a.",F3981/C3981)</x:f>
        <x:v>139.26</x:v>
      </x:c>
      <x:c r="J3981" s="3"/>
      <x:c r="K3981" s="3"/>
      <x:c r="L3981" s="3"/>
    </x:row>
    <x:row r="3982" ht="22" customHeight="1">
      <x:c r="A3982" s="3"/>
      <x:c r="B3982" s="3" t="str">
        <x:v>18209</x:v>
      </x:c>
      <x:c r="C3982" s="3" t="n">
        <x:v>1</x:v>
      </x:c>
      <x:c r="D3982" s="51" t="n">
        <x:v>40858</x:v>
      </x:c>
      <x:c r="E3982" s="3" t="str">
        <x:v>Una compra</x:v>
      </x:c>
      <x:c r="F3982" s="13" t="n">
        <x:v>139.1</x:v>
      </x:c>
      <x:c r="G3982" s="13" t="n">
        <x:v>0</x:v>
      </x:c>
      <x:c r="H3982" s="13" t="n">
        <x:f>F3982-G3982</x:f>
        <x:v>139.1</x:v>
      </x:c>
      <x:c r="I3982" s="13" t="n">
        <x:f>IF(C3982=0,"n.a.",F3982/C3982)</x:f>
        <x:v>139.1</x:v>
      </x:c>
      <x:c r="J3982" s="3"/>
      <x:c r="K3982" s="3"/>
      <x:c r="L3982" s="3"/>
    </x:row>
    <x:row r="3983" ht="22" customHeight="1">
      <x:c r="A3983" s="3"/>
      <x:c r="B3983" s="3" t="str">
        <x:v>13273</x:v>
      </x:c>
      <x:c r="C3983" s="3" t="n">
        <x:v>1</x:v>
      </x:c>
      <x:c r="D3983" s="51" t="n">
        <x:v>40773</x:v>
      </x:c>
      <x:c r="E3983" s="3" t="str">
        <x:v>Una compra</x:v>
      </x:c>
      <x:c r="F3983" s="13" t="n">
        <x:v>138.98</x:v>
      </x:c>
      <x:c r="G3983" s="13" t="n">
        <x:v>0</x:v>
      </x:c>
      <x:c r="H3983" s="13" t="n">
        <x:f>F3983-G3983</x:f>
        <x:v>138.98</x:v>
      </x:c>
      <x:c r="I3983" s="13" t="n">
        <x:f>IF(C3983=0,"n.a.",F3983/C3983)</x:f>
        <x:v>138.98</x:v>
      </x:c>
      <x:c r="J3983" s="3"/>
      <x:c r="K3983" s="3"/>
      <x:c r="L3983" s="3"/>
    </x:row>
    <x:row r="3984" ht="22" customHeight="1">
      <x:c r="A3984" s="3"/>
      <x:c r="B3984" s="3" t="str">
        <x:v>18269</x:v>
      </x:c>
      <x:c r="C3984" s="3" t="n">
        <x:v>1</x:v>
      </x:c>
      <x:c r="D3984" s="51" t="n">
        <x:v>40520</x:v>
      </x:c>
      <x:c r="E3984" s="3" t="str">
        <x:v>Una compra</x:v>
      </x:c>
      <x:c r="F3984" s="13" t="n">
        <x:v>168.6</x:v>
      </x:c>
      <x:c r="G3984" s="13" t="n">
        <x:v>29.7</x:v>
      </x:c>
      <x:c r="H3984" s="13" t="n">
        <x:f>F3984-G3984</x:f>
        <x:v>138.9</x:v>
      </x:c>
      <x:c r="I3984" s="13" t="n">
        <x:f>IF(C3984=0,"n.a.",F3984/C3984)</x:f>
        <x:v>168.6</x:v>
      </x:c>
      <x:c r="J3984" s="3"/>
      <x:c r="K3984" s="3"/>
      <x:c r="L3984" s="3"/>
    </x:row>
    <x:row r="3985" ht="22" customHeight="1">
      <x:c r="A3985" s="3"/>
      <x:c r="B3985" s="3" t="str">
        <x:v>12902</x:v>
      </x:c>
      <x:c r="C3985" s="3" t="n">
        <x:v>1</x:v>
      </x:c>
      <x:c r="D3985" s="51" t="n">
        <x:v>40622</x:v>
      </x:c>
      <x:c r="E3985" s="3" t="str">
        <x:v>Una compra</x:v>
      </x:c>
      <x:c r="F3985" s="13" t="n">
        <x:v>138.68</x:v>
      </x:c>
      <x:c r="G3985" s="13" t="n">
        <x:v>0</x:v>
      </x:c>
      <x:c r="H3985" s="13" t="n">
        <x:f>F3985-G3985</x:f>
        <x:v>138.68</x:v>
      </x:c>
      <x:c r="I3985" s="13" t="n">
        <x:f>IF(C3985=0,"n.a.",F3985/C3985)</x:f>
        <x:v>138.68</x:v>
      </x:c>
      <x:c r="J3985" s="3"/>
      <x:c r="K3985" s="3"/>
      <x:c r="L3985" s="3"/>
    </x:row>
    <x:row r="3986" ht="22" customHeight="1">
      <x:c r="A3986" s="3"/>
      <x:c r="B3986" s="3" t="str">
        <x:v>14581</x:v>
      </x:c>
      <x:c r="C3986" s="3" t="n">
        <x:v>1</x:v>
      </x:c>
      <x:c r="D3986" s="51" t="n">
        <x:v>40870</x:v>
      </x:c>
      <x:c r="E3986" s="3" t="str">
        <x:v>Una compra</x:v>
      </x:c>
      <x:c r="F3986" s="13" t="n">
        <x:v>138.6</x:v>
      </x:c>
      <x:c r="G3986" s="13" t="n">
        <x:v>0</x:v>
      </x:c>
      <x:c r="H3986" s="13" t="n">
        <x:f>F3986-G3986</x:f>
        <x:v>138.6</x:v>
      </x:c>
      <x:c r="I3986" s="13" t="n">
        <x:f>IF(C3986=0,"n.a.",F3986/C3986)</x:f>
        <x:v>138.6</x:v>
      </x:c>
      <x:c r="J3986" s="3"/>
      <x:c r="K3986" s="3"/>
      <x:c r="L3986" s="3"/>
    </x:row>
    <x:row r="3987" ht="22" customHeight="1">
      <x:c r="A3987" s="3"/>
      <x:c r="B3987" s="3" t="str">
        <x:v>17122</x:v>
      </x:c>
      <x:c r="C3987" s="3" t="n">
        <x:v>1</x:v>
      </x:c>
      <x:c r="D3987" s="51" t="n">
        <x:v>40767</x:v>
      </x:c>
      <x:c r="E3987" s="3" t="str">
        <x:v>Una compra</x:v>
      </x:c>
      <x:c r="F3987" s="13" t="n">
        <x:v>138.32</x:v>
      </x:c>
      <x:c r="G3987" s="13" t="n">
        <x:v>0</x:v>
      </x:c>
      <x:c r="H3987" s="13" t="n">
        <x:f>F3987-G3987</x:f>
        <x:v>138.32</x:v>
      </x:c>
      <x:c r="I3987" s="13" t="n">
        <x:f>IF(C3987=0,"n.a.",F3987/C3987)</x:f>
        <x:v>138.32</x:v>
      </x:c>
      <x:c r="J3987" s="3"/>
      <x:c r="K3987" s="3"/>
      <x:c r="L3987" s="3"/>
    </x:row>
    <x:row r="3988" ht="22" customHeight="1">
      <x:c r="A3988" s="3"/>
      <x:c r="B3988" s="3" t="str">
        <x:v>13716</x:v>
      </x:c>
      <x:c r="C3988" s="3" t="n">
        <x:v>1</x:v>
      </x:c>
      <x:c r="D3988" s="51" t="n">
        <x:v>40617</x:v>
      </x:c>
      <x:c r="E3988" s="3" t="str">
        <x:v>Una compra</x:v>
      </x:c>
      <x:c r="F3988" s="13" t="n">
        <x:v>138.28</x:v>
      </x:c>
      <x:c r="G3988" s="13" t="n">
        <x:v>0</x:v>
      </x:c>
      <x:c r="H3988" s="13" t="n">
        <x:f>F3988-G3988</x:f>
        <x:v>138.28</x:v>
      </x:c>
      <x:c r="I3988" s="13" t="n">
        <x:f>IF(C3988=0,"n.a.",F3988/C3988)</x:f>
        <x:v>138.28</x:v>
      </x:c>
      <x:c r="J3988" s="3"/>
      <x:c r="K3988" s="3"/>
      <x:c r="L3988" s="3"/>
    </x:row>
    <x:row r="3989" ht="22" customHeight="1">
      <x:c r="A3989" s="3"/>
      <x:c r="B3989" s="3" t="str">
        <x:v>15663</x:v>
      </x:c>
      <x:c r="C3989" s="3" t="n">
        <x:v>1</x:v>
      </x:c>
      <x:c r="D3989" s="51" t="n">
        <x:v>40780</x:v>
      </x:c>
      <x:c r="E3989" s="3" t="str">
        <x:v>Una compra</x:v>
      </x:c>
      <x:c r="F3989" s="13" t="n">
        <x:v>138.14</x:v>
      </x:c>
      <x:c r="G3989" s="13" t="n">
        <x:v>0</x:v>
      </x:c>
      <x:c r="H3989" s="13" t="n">
        <x:f>F3989-G3989</x:f>
        <x:v>138.14</x:v>
      </x:c>
      <x:c r="I3989" s="13" t="n">
        <x:f>IF(C3989=0,"n.a.",F3989/C3989)</x:f>
        <x:v>138.14</x:v>
      </x:c>
      <x:c r="J3989" s="3"/>
      <x:c r="K3989" s="3"/>
      <x:c r="L3989" s="3"/>
    </x:row>
    <x:row r="3990" ht="22" customHeight="1">
      <x:c r="A3990" s="3"/>
      <x:c r="B3990" s="3" t="str">
        <x:v>12512</x:v>
      </x:c>
      <x:c r="C3990" s="3" t="n">
        <x:v>2</x:v>
      </x:c>
      <x:c r="D3990" s="51" t="n">
        <x:v>40820</x:v>
      </x:c>
      <x:c r="E3990" s="3" t="str">
        <x:v>Recurrente</x:v>
      </x:c>
      <x:c r="F3990" s="13" t="n">
        <x:v>138.03</x:v>
      </x:c>
      <x:c r="G3990" s="13" t="n">
        <x:v>0</x:v>
      </x:c>
      <x:c r="H3990" s="13" t="n">
        <x:f>F3990-G3990</x:f>
        <x:v>138.03</x:v>
      </x:c>
      <x:c r="I3990" s="13" t="n">
        <x:f>IF(C3990=0,"n.a.",F3990/C3990)</x:f>
        <x:v>69.015</x:v>
      </x:c>
      <x:c r="J3990" s="3"/>
      <x:c r="K3990" s="3"/>
      <x:c r="L3990" s="3"/>
    </x:row>
    <x:row r="3991" ht="22" customHeight="1">
      <x:c r="A3991" s="3"/>
      <x:c r="B3991" s="3" t="str">
        <x:v>16050</x:v>
      </x:c>
      <x:c r="C3991" s="3" t="n">
        <x:v>1</x:v>
      </x:c>
      <x:c r="D3991" s="51" t="n">
        <x:v>40713</x:v>
      </x:c>
      <x:c r="E3991" s="3" t="str">
        <x:v>Una compra</x:v>
      </x:c>
      <x:c r="F3991" s="13" t="n">
        <x:v>137.9</x:v>
      </x:c>
      <x:c r="G3991" s="13" t="n">
        <x:v>0</x:v>
      </x:c>
      <x:c r="H3991" s="13" t="n">
        <x:f>F3991-G3991</x:f>
        <x:v>137.9</x:v>
      </x:c>
      <x:c r="I3991" s="13" t="n">
        <x:f>IF(C3991=0,"n.a.",F3991/C3991)</x:f>
        <x:v>137.9</x:v>
      </x:c>
      <x:c r="J3991" s="3"/>
      <x:c r="K3991" s="3"/>
      <x:c r="L3991" s="3"/>
    </x:row>
    <x:row r="3992" ht="22" customHeight="1">
      <x:c r="A3992" s="3"/>
      <x:c r="B3992" s="3" t="str">
        <x:v>17709</x:v>
      </x:c>
      <x:c r="C3992" s="3" t="n">
        <x:v>1</x:v>
      </x:c>
      <x:c r="D3992" s="51" t="n">
        <x:v>40717</x:v>
      </x:c>
      <x:c r="E3992" s="3" t="str">
        <x:v>Una compra</x:v>
      </x:c>
      <x:c r="F3992" s="13" t="n">
        <x:v>137.45</x:v>
      </x:c>
      <x:c r="G3992" s="13" t="n">
        <x:v>0</x:v>
      </x:c>
      <x:c r="H3992" s="13" t="n">
        <x:f>F3992-G3992</x:f>
        <x:v>137.45</x:v>
      </x:c>
      <x:c r="I3992" s="13" t="n">
        <x:f>IF(C3992=0,"n.a.",F3992/C3992)</x:f>
        <x:v>137.45</x:v>
      </x:c>
      <x:c r="J3992" s="3"/>
      <x:c r="K3992" s="3"/>
      <x:c r="L3992" s="3"/>
    </x:row>
    <x:row r="3993" ht="22" customHeight="1">
      <x:c r="A3993" s="3"/>
      <x:c r="B3993" s="3" t="str">
        <x:v>12738</x:v>
      </x:c>
      <x:c r="C3993" s="3" t="n">
        <x:v>1</x:v>
      </x:c>
      <x:c r="D3993" s="51" t="n">
        <x:v>40514</x:v>
      </x:c>
      <x:c r="E3993" s="3" t="str">
        <x:v>Una compra</x:v>
      </x:c>
      <x:c r="F3993" s="13" t="n">
        <x:v>137.35</x:v>
      </x:c>
      <x:c r="G3993" s="13" t="n">
        <x:v>0</x:v>
      </x:c>
      <x:c r="H3993" s="13" t="n">
        <x:f>F3993-G3993</x:f>
        <x:v>137.35</x:v>
      </x:c>
      <x:c r="I3993" s="13" t="n">
        <x:f>IF(C3993=0,"n.a.",F3993/C3993)</x:f>
        <x:v>137.35</x:v>
      </x:c>
      <x:c r="J3993" s="3"/>
      <x:c r="K3993" s="3"/>
      <x:c r="L3993" s="3"/>
    </x:row>
    <x:row r="3994" ht="22" customHeight="1">
      <x:c r="A3994" s="3"/>
      <x:c r="B3994" s="3" t="str">
        <x:v>12618</x:v>
      </x:c>
      <x:c r="C3994" s="3" t="n">
        <x:v>1</x:v>
      </x:c>
      <x:c r="D3994" s="51" t="n">
        <x:v>40865</x:v>
      </x:c>
      <x:c r="E3994" s="3" t="str">
        <x:v>Una compra</x:v>
      </x:c>
      <x:c r="F3994" s="13" t="n">
        <x:v>137.31</x:v>
      </x:c>
      <x:c r="G3994" s="13" t="n">
        <x:v>0</x:v>
      </x:c>
      <x:c r="H3994" s="13" t="n">
        <x:f>F3994-G3994</x:f>
        <x:v>137.31</x:v>
      </x:c>
      <x:c r="I3994" s="13" t="n">
        <x:f>IF(C3994=0,"n.a.",F3994/C3994)</x:f>
        <x:v>137.31</x:v>
      </x:c>
      <x:c r="J3994" s="3"/>
      <x:c r="K3994" s="3"/>
      <x:c r="L3994" s="3"/>
    </x:row>
    <x:row r="3995" ht="22" customHeight="1">
      <x:c r="A3995" s="3"/>
      <x:c r="B3995" s="3" t="str">
        <x:v>17468</x:v>
      </x:c>
      <x:c r="C3995" s="3" t="n">
        <x:v>2</x:v>
      </x:c>
      <x:c r="D3995" s="51" t="n">
        <x:v>40876</x:v>
      </x:c>
      <x:c r="E3995" s="3" t="str">
        <x:v>Recurrente</x:v>
      </x:c>
      <x:c r="F3995" s="13" t="n">
        <x:v>137</x:v>
      </x:c>
      <x:c r="G3995" s="13" t="n">
        <x:v>0</x:v>
      </x:c>
      <x:c r="H3995" s="13" t="n">
        <x:f>F3995-G3995</x:f>
        <x:v>137</x:v>
      </x:c>
      <x:c r="I3995" s="13" t="n">
        <x:f>IF(C3995=0,"n.a.",F3995/C3995)</x:f>
        <x:v>68.5</x:v>
      </x:c>
      <x:c r="J3995" s="3"/>
      <x:c r="K3995" s="3"/>
      <x:c r="L3995" s="3"/>
    </x:row>
    <x:row r="3996" ht="22" customHeight="1">
      <x:c r="A3996" s="3"/>
      <x:c r="B3996" s="3" t="str">
        <x:v>15691</x:v>
      </x:c>
      <x:c r="C3996" s="3" t="n">
        <x:v>1</x:v>
      </x:c>
      <x:c r="D3996" s="51" t="n">
        <x:v>40634</x:v>
      </x:c>
      <x:c r="E3996" s="3" t="str">
        <x:v>Una compra</x:v>
      </x:c>
      <x:c r="F3996" s="13" t="n">
        <x:v>136.8</x:v>
      </x:c>
      <x:c r="G3996" s="13" t="n">
        <x:v>0</x:v>
      </x:c>
      <x:c r="H3996" s="13" t="n">
        <x:f>F3996-G3996</x:f>
        <x:v>136.8</x:v>
      </x:c>
      <x:c r="I3996" s="13" t="n">
        <x:f>IF(C3996=0,"n.a.",F3996/C3996)</x:f>
        <x:v>136.8</x:v>
      </x:c>
      <x:c r="J3996" s="3"/>
      <x:c r="K3996" s="3"/>
      <x:c r="L3996" s="3"/>
    </x:row>
    <x:row r="3997" ht="22" customHeight="1">
      <x:c r="A3997" s="3"/>
      <x:c r="B3997" s="3" t="str">
        <x:v>14247</x:v>
      </x:c>
      <x:c r="C3997" s="3" t="n">
        <x:v>1</x:v>
      </x:c>
      <x:c r="D3997" s="51" t="n">
        <x:v>40608</x:v>
      </x:c>
      <x:c r="E3997" s="3" t="str">
        <x:v>Una compra</x:v>
      </x:c>
      <x:c r="F3997" s="13" t="n">
        <x:v>136.77</x:v>
      </x:c>
      <x:c r="G3997" s="13" t="n">
        <x:v>0</x:v>
      </x:c>
      <x:c r="H3997" s="13" t="n">
        <x:f>F3997-G3997</x:f>
        <x:v>136.77</x:v>
      </x:c>
      <x:c r="I3997" s="13" t="n">
        <x:f>IF(C3997=0,"n.a.",F3997/C3997)</x:f>
        <x:v>136.77</x:v>
      </x:c>
      <x:c r="J3997" s="3"/>
      <x:c r="K3997" s="3"/>
      <x:c r="L3997" s="3"/>
    </x:row>
    <x:row r="3998" ht="22" customHeight="1">
      <x:c r="A3998" s="3"/>
      <x:c r="B3998" s="3" t="str">
        <x:v>17972</x:v>
      </x:c>
      <x:c r="C3998" s="3" t="n">
        <x:v>1</x:v>
      </x:c>
      <x:c r="D3998" s="51" t="n">
        <x:v>40645</x:v>
      </x:c>
      <x:c r="E3998" s="3" t="str">
        <x:v>Una compra</x:v>
      </x:c>
      <x:c r="F3998" s="13" t="n">
        <x:v>136.04</x:v>
      </x:c>
      <x:c r="G3998" s="13" t="n">
        <x:v>0</x:v>
      </x:c>
      <x:c r="H3998" s="13" t="n">
        <x:f>F3998-G3998</x:f>
        <x:v>136.04</x:v>
      </x:c>
      <x:c r="I3998" s="13" t="n">
        <x:f>IF(C3998=0,"n.a.",F3998/C3998)</x:f>
        <x:v>136.04</x:v>
      </x:c>
      <x:c r="J3998" s="3"/>
      <x:c r="K3998" s="3"/>
      <x:c r="L3998" s="3"/>
    </x:row>
    <x:row r="3999" ht="22" customHeight="1">
      <x:c r="A3999" s="3"/>
      <x:c r="B3999" s="3" t="str">
        <x:v>12968</x:v>
      </x:c>
      <x:c r="C3999" s="3" t="n">
        <x:v>1</x:v>
      </x:c>
      <x:c r="D3999" s="51" t="n">
        <x:v>40774</x:v>
      </x:c>
      <x:c r="E3999" s="3" t="str">
        <x:v>Una compra</x:v>
      </x:c>
      <x:c r="F3999" s="13" t="n">
        <x:v>135.95</x:v>
      </x:c>
      <x:c r="G3999" s="13" t="n">
        <x:v>0</x:v>
      </x:c>
      <x:c r="H3999" s="13" t="n">
        <x:f>F3999-G3999</x:f>
        <x:v>135.95</x:v>
      </x:c>
      <x:c r="I3999" s="13" t="n">
        <x:f>IF(C3999=0,"n.a.",F3999/C3999)</x:f>
        <x:v>135.95</x:v>
      </x:c>
      <x:c r="J3999" s="3"/>
      <x:c r="K3999" s="3"/>
      <x:c r="L3999" s="3"/>
    </x:row>
    <x:row r="4000" ht="22" customHeight="1">
      <x:c r="A4000" s="3"/>
      <x:c r="B4000" s="3" t="str">
        <x:v>15042</x:v>
      </x:c>
      <x:c r="C4000" s="3" t="n">
        <x:v>1</x:v>
      </x:c>
      <x:c r="D4000" s="51" t="n">
        <x:v>40687</x:v>
      </x:c>
      <x:c r="E4000" s="3" t="str">
        <x:v>Una compra</x:v>
      </x:c>
      <x:c r="F4000" s="13" t="n">
        <x:v>135.93</x:v>
      </x:c>
      <x:c r="G4000" s="13" t="n">
        <x:v>0</x:v>
      </x:c>
      <x:c r="H4000" s="13" t="n">
        <x:f>F4000-G4000</x:f>
        <x:v>135.93</x:v>
      </x:c>
      <x:c r="I4000" s="13" t="n">
        <x:f>IF(C4000=0,"n.a.",F4000/C4000)</x:f>
        <x:v>135.93</x:v>
      </x:c>
      <x:c r="J4000" s="3"/>
      <x:c r="K4000" s="3"/>
      <x:c r="L4000" s="3"/>
    </x:row>
    <x:row r="4001" ht="22" customHeight="1">
      <x:c r="A4001" s="3"/>
      <x:c r="B4001" s="3" t="str">
        <x:v>14889</x:v>
      </x:c>
      <x:c r="C4001" s="3" t="n">
        <x:v>1</x:v>
      </x:c>
      <x:c r="D4001" s="51" t="n">
        <x:v>40550</x:v>
      </x:c>
      <x:c r="E4001" s="3" t="str">
        <x:v>Una compra</x:v>
      </x:c>
      <x:c r="F4001" s="13" t="n">
        <x:v>135.9</x:v>
      </x:c>
      <x:c r="G4001" s="13" t="n">
        <x:v>0</x:v>
      </x:c>
      <x:c r="H4001" s="13" t="n">
        <x:f>F4001-G4001</x:f>
        <x:v>135.9</x:v>
      </x:c>
      <x:c r="I4001" s="13" t="n">
        <x:f>IF(C4001=0,"n.a.",F4001/C4001)</x:f>
        <x:v>135.9</x:v>
      </x:c>
      <x:c r="J4001" s="3"/>
      <x:c r="K4001" s="3"/>
      <x:c r="L4001" s="3"/>
    </x:row>
    <x:row r="4002" ht="22" customHeight="1">
      <x:c r="A4002" s="3"/>
      <x:c r="B4002" s="3" t="str">
        <x:v>15419</x:v>
      </x:c>
      <x:c r="C4002" s="3" t="n">
        <x:v>1</x:v>
      </x:c>
      <x:c r="D4002" s="51" t="n">
        <x:v>40862</x:v>
      </x:c>
      <x:c r="E4002" s="3" t="str">
        <x:v>Una compra</x:v>
      </x:c>
      <x:c r="F4002" s="13" t="n">
        <x:v>135.86</x:v>
      </x:c>
      <x:c r="G4002" s="13" t="n">
        <x:v>0</x:v>
      </x:c>
      <x:c r="H4002" s="13" t="n">
        <x:f>F4002-G4002</x:f>
        <x:v>135.86</x:v>
      </x:c>
      <x:c r="I4002" s="13" t="n">
        <x:f>IF(C4002=0,"n.a.",F4002/C4002)</x:f>
        <x:v>135.86</x:v>
      </x:c>
      <x:c r="J4002" s="3"/>
      <x:c r="K4002" s="3"/>
      <x:c r="L4002" s="3"/>
    </x:row>
    <x:row r="4003" ht="22" customHeight="1">
      <x:c r="A4003" s="3"/>
      <x:c r="B4003" s="3" t="str">
        <x:v>15174</x:v>
      </x:c>
      <x:c r="C4003" s="3" t="n">
        <x:v>1</x:v>
      </x:c>
      <x:c r="D4003" s="51" t="n">
        <x:v>40564</x:v>
      </x:c>
      <x:c r="E4003" s="3" t="str">
        <x:v>Una compra</x:v>
      </x:c>
      <x:c r="F4003" s="13" t="n">
        <x:v>135.75</x:v>
      </x:c>
      <x:c r="G4003" s="13" t="n">
        <x:v>0</x:v>
      </x:c>
      <x:c r="H4003" s="13" t="n">
        <x:f>F4003-G4003</x:f>
        <x:v>135.75</x:v>
      </x:c>
      <x:c r="I4003" s="13" t="n">
        <x:f>IF(C4003=0,"n.a.",F4003/C4003)</x:f>
        <x:v>135.75</x:v>
      </x:c>
      <x:c r="J4003" s="3"/>
      <x:c r="K4003" s="3"/>
      <x:c r="L4003" s="3"/>
    </x:row>
    <x:row r="4004" ht="22" customHeight="1">
      <x:c r="A4004" s="3"/>
      <x:c r="B4004" s="3" t="str">
        <x:v>16114</x:v>
      </x:c>
      <x:c r="C4004" s="3" t="n">
        <x:v>1</x:v>
      </x:c>
      <x:c r="D4004" s="51" t="n">
        <x:v>40716</x:v>
      </x:c>
      <x:c r="E4004" s="3" t="str">
        <x:v>Una compra</x:v>
      </x:c>
      <x:c r="F4004" s="13" t="n">
        <x:v>135.75</x:v>
      </x:c>
      <x:c r="G4004" s="13" t="n">
        <x:v>0</x:v>
      </x:c>
      <x:c r="H4004" s="13" t="n">
        <x:f>F4004-G4004</x:f>
        <x:v>135.75</x:v>
      </x:c>
      <x:c r="I4004" s="13" t="n">
        <x:f>IF(C4004=0,"n.a.",F4004/C4004)</x:f>
        <x:v>135.75</x:v>
      </x:c>
      <x:c r="J4004" s="3"/>
      <x:c r="K4004" s="3"/>
      <x:c r="L4004" s="3"/>
    </x:row>
    <x:row r="4005" ht="22" customHeight="1">
      <x:c r="A4005" s="3"/>
      <x:c r="B4005" s="3" t="str">
        <x:v>15888</x:v>
      </x:c>
      <x:c r="C4005" s="3" t="n">
        <x:v>1</x:v>
      </x:c>
      <x:c r="D4005" s="51" t="n">
        <x:v>40806</x:v>
      </x:c>
      <x:c r="E4005" s="3" t="str">
        <x:v>Una compra</x:v>
      </x:c>
      <x:c r="F4005" s="13" t="n">
        <x:v>162.64</x:v>
      </x:c>
      <x:c r="G4005" s="13" t="n">
        <x:v>27.04</x:v>
      </x:c>
      <x:c r="H4005" s="13" t="n">
        <x:f>F4005-G4005</x:f>
        <x:v>135.6</x:v>
      </x:c>
      <x:c r="I4005" s="13" t="n">
        <x:f>IF(C4005=0,"n.a.",F4005/C4005)</x:f>
        <x:v>162.64</x:v>
      </x:c>
      <x:c r="J4005" s="3"/>
      <x:c r="K4005" s="3"/>
      <x:c r="L4005" s="3"/>
    </x:row>
    <x:row r="4006" ht="22" customHeight="1">
      <x:c r="A4006" s="3"/>
      <x:c r="B4006" s="3" t="str">
        <x:v>16665</x:v>
      </x:c>
      <x:c r="C4006" s="3" t="n">
        <x:v>1</x:v>
      </x:c>
      <x:c r="D4006" s="51" t="n">
        <x:v>40524</x:v>
      </x:c>
      <x:c r="E4006" s="3" t="str">
        <x:v>Una compra</x:v>
      </x:c>
      <x:c r="F4006" s="13" t="n">
        <x:v>135.4</x:v>
      </x:c>
      <x:c r="G4006" s="13" t="n">
        <x:v>0</x:v>
      </x:c>
      <x:c r="H4006" s="13" t="n">
        <x:f>F4006-G4006</x:f>
        <x:v>135.4</x:v>
      </x:c>
      <x:c r="I4006" s="13" t="n">
        <x:f>IF(C4006=0,"n.a.",F4006/C4006)</x:f>
        <x:v>135.4</x:v>
      </x:c>
      <x:c r="J4006" s="3"/>
      <x:c r="K4006" s="3"/>
      <x:c r="L4006" s="3"/>
    </x:row>
    <x:row r="4007" ht="22" customHeight="1">
      <x:c r="A4007" s="3"/>
      <x:c r="B4007" s="3" t="str">
        <x:v>15276</x:v>
      </x:c>
      <x:c r="C4007" s="3" t="n">
        <x:v>1</x:v>
      </x:c>
      <x:c r="D4007" s="51" t="n">
        <x:v>40820</x:v>
      </x:c>
      <x:c r="E4007" s="3" t="str">
        <x:v>Una compra</x:v>
      </x:c>
      <x:c r="F4007" s="13" t="n">
        <x:v>135.31</x:v>
      </x:c>
      <x:c r="G4007" s="13" t="n">
        <x:v>0</x:v>
      </x:c>
      <x:c r="H4007" s="13" t="n">
        <x:f>F4007-G4007</x:f>
        <x:v>135.31</x:v>
      </x:c>
      <x:c r="I4007" s="13" t="n">
        <x:f>IF(C4007=0,"n.a.",F4007/C4007)</x:f>
        <x:v>135.31</x:v>
      </x:c>
      <x:c r="J4007" s="3"/>
      <x:c r="K4007" s="3"/>
      <x:c r="L4007" s="3"/>
    </x:row>
    <x:row r="4008" ht="22" customHeight="1">
      <x:c r="A4008" s="3"/>
      <x:c r="B4008" s="3" t="str">
        <x:v>12851</x:v>
      </x:c>
      <x:c r="C4008" s="3" t="n">
        <x:v>1</x:v>
      </x:c>
      <x:c r="D4008" s="51" t="n">
        <x:v>40790</x:v>
      </x:c>
      <x:c r="E4008" s="3" t="str">
        <x:v>Una compra</x:v>
      </x:c>
      <x:c r="F4008" s="13" t="n">
        <x:v>135.18</x:v>
      </x:c>
      <x:c r="G4008" s="13" t="n">
        <x:v>0</x:v>
      </x:c>
      <x:c r="H4008" s="13" t="n">
        <x:f>F4008-G4008</x:f>
        <x:v>135.18</x:v>
      </x:c>
      <x:c r="I4008" s="13" t="n">
        <x:f>IF(C4008=0,"n.a.",F4008/C4008)</x:f>
        <x:v>135.18</x:v>
      </x:c>
      <x:c r="J4008" s="3"/>
      <x:c r="K4008" s="3"/>
      <x:c r="L4008" s="3"/>
    </x:row>
    <x:row r="4009" ht="22" customHeight="1">
      <x:c r="A4009" s="3"/>
      <x:c r="B4009" s="3" t="str">
        <x:v>16055</x:v>
      </x:c>
      <x:c r="C4009" s="3" t="n">
        <x:v>1</x:v>
      </x:c>
      <x:c r="D4009" s="51" t="n">
        <x:v>40666</x:v>
      </x:c>
      <x:c r="E4009" s="3" t="str">
        <x:v>Una compra</x:v>
      </x:c>
      <x:c r="F4009" s="13" t="n">
        <x:v>134.8</x:v>
      </x:c>
      <x:c r="G4009" s="13" t="n">
        <x:v>0</x:v>
      </x:c>
      <x:c r="H4009" s="13" t="n">
        <x:f>F4009-G4009</x:f>
        <x:v>134.8</x:v>
      </x:c>
      <x:c r="I4009" s="13" t="n">
        <x:f>IF(C4009=0,"n.a.",F4009/C4009)</x:f>
        <x:v>134.8</x:v>
      </x:c>
      <x:c r="J4009" s="3"/>
      <x:c r="K4009" s="3"/>
      <x:c r="L4009" s="3"/>
    </x:row>
    <x:row r="4010" ht="22" customHeight="1">
      <x:c r="A4010" s="3"/>
      <x:c r="B4010" s="3" t="str">
        <x:v>14340</x:v>
      </x:c>
      <x:c r="C4010" s="3" t="n">
        <x:v>1</x:v>
      </x:c>
      <x:c r="D4010" s="51" t="n">
        <x:v>40668</x:v>
      </x:c>
      <x:c r="E4010" s="3" t="str">
        <x:v>Una compra</x:v>
      </x:c>
      <x:c r="F4010" s="13" t="n">
        <x:v>134.7</x:v>
      </x:c>
      <x:c r="G4010" s="13" t="n">
        <x:v>0</x:v>
      </x:c>
      <x:c r="H4010" s="13" t="n">
        <x:f>F4010-G4010</x:f>
        <x:v>134.7</x:v>
      </x:c>
      <x:c r="I4010" s="13" t="n">
        <x:f>IF(C4010=0,"n.a.",F4010/C4010)</x:f>
        <x:v>134.7</x:v>
      </x:c>
      <x:c r="J4010" s="3"/>
      <x:c r="K4010" s="3"/>
      <x:c r="L4010" s="3"/>
    </x:row>
    <x:row r="4011" ht="22" customHeight="1">
      <x:c r="A4011" s="3"/>
      <x:c r="B4011" s="3" t="str">
        <x:v>15562</x:v>
      </x:c>
      <x:c r="C4011" s="3" t="n">
        <x:v>1</x:v>
      </x:c>
      <x:c r="D4011" s="51" t="n">
        <x:v>40535</x:v>
      </x:c>
      <x:c r="E4011" s="3" t="str">
        <x:v>Una compra</x:v>
      </x:c>
      <x:c r="F4011" s="13" t="n">
        <x:v>134.55</x:v>
      </x:c>
      <x:c r="G4011" s="13" t="n">
        <x:v>0</x:v>
      </x:c>
      <x:c r="H4011" s="13" t="n">
        <x:f>F4011-G4011</x:f>
        <x:v>134.55</x:v>
      </x:c>
      <x:c r="I4011" s="13" t="n">
        <x:f>IF(C4011=0,"n.a.",F4011/C4011)</x:f>
        <x:v>134.55</x:v>
      </x:c>
      <x:c r="J4011" s="3"/>
      <x:c r="K4011" s="3"/>
      <x:c r="L4011" s="3"/>
    </x:row>
    <x:row r="4012" ht="22" customHeight="1">
      <x:c r="A4012" s="3"/>
      <x:c r="B4012" s="3" t="str">
        <x:v>14174</x:v>
      </x:c>
      <x:c r="C4012" s="3" t="n">
        <x:v>1</x:v>
      </x:c>
      <x:c r="D4012" s="51" t="n">
        <x:v>40853</x:v>
      </x:c>
      <x:c r="E4012" s="3" t="str">
        <x:v>Una compra</x:v>
      </x:c>
      <x:c r="F4012" s="13" t="n">
        <x:v>134.46</x:v>
      </x:c>
      <x:c r="G4012" s="13" t="n">
        <x:v>0</x:v>
      </x:c>
      <x:c r="H4012" s="13" t="n">
        <x:f>F4012-G4012</x:f>
        <x:v>134.46</x:v>
      </x:c>
      <x:c r="I4012" s="13" t="n">
        <x:f>IF(C4012=0,"n.a.",F4012/C4012)</x:f>
        <x:v>134.46</x:v>
      </x:c>
      <x:c r="J4012" s="3"/>
      <x:c r="K4012" s="3"/>
      <x:c r="L4012" s="3"/>
    </x:row>
    <x:row r="4013" ht="22" customHeight="1">
      <x:c r="A4013" s="3"/>
      <x:c r="B4013" s="3" t="str">
        <x:v>14586</x:v>
      </x:c>
      <x:c r="C4013" s="3" t="n">
        <x:v>1</x:v>
      </x:c>
      <x:c r="D4013" s="51" t="n">
        <x:v>40610</x:v>
      </x:c>
      <x:c r="E4013" s="3" t="str">
        <x:v>Una compra</x:v>
      </x:c>
      <x:c r="F4013" s="13" t="n">
        <x:v>237.36</x:v>
      </x:c>
      <x:c r="G4013" s="13" t="n">
        <x:v>103.2</x:v>
      </x:c>
      <x:c r="H4013" s="13" t="n">
        <x:f>F4013-G4013</x:f>
        <x:v>134.16000000000003</x:v>
      </x:c>
      <x:c r="I4013" s="13" t="n">
        <x:f>IF(C4013=0,"n.a.",F4013/C4013)</x:f>
        <x:v>237.36</x:v>
      </x:c>
      <x:c r="J4013" s="3"/>
      <x:c r="K4013" s="3"/>
      <x:c r="L4013" s="3"/>
    </x:row>
    <x:row r="4014" ht="22" customHeight="1">
      <x:c r="A4014" s="3"/>
      <x:c r="B4014" s="3" t="str">
        <x:v>12837</x:v>
      </x:c>
      <x:c r="C4014" s="3" t="n">
        <x:v>1</x:v>
      </x:c>
      <x:c r="D4014" s="51" t="n">
        <x:v>40713</x:v>
      </x:c>
      <x:c r="E4014" s="3" t="str">
        <x:v>Una compra</x:v>
      </x:c>
      <x:c r="F4014" s="13" t="n">
        <x:v>134.1</x:v>
      </x:c>
      <x:c r="G4014" s="13" t="n">
        <x:v>0</x:v>
      </x:c>
      <x:c r="H4014" s="13" t="n">
        <x:f>F4014-G4014</x:f>
        <x:v>134.1</x:v>
      </x:c>
      <x:c r="I4014" s="13" t="n">
        <x:f>IF(C4014=0,"n.a.",F4014/C4014)</x:f>
        <x:v>134.1</x:v>
      </x:c>
      <x:c r="J4014" s="3"/>
      <x:c r="K4014" s="3"/>
      <x:c r="L4014" s="3"/>
    </x:row>
    <x:row r="4015" ht="22" customHeight="1">
      <x:c r="A4015" s="3"/>
      <x:c r="B4015" s="3" t="str">
        <x:v>14280</x:v>
      </x:c>
      <x:c r="C4015" s="3" t="n">
        <x:v>1</x:v>
      </x:c>
      <x:c r="D4015" s="51" t="n">
        <x:v>40690</x:v>
      </x:c>
      <x:c r="E4015" s="3" t="str">
        <x:v>Una compra</x:v>
      </x:c>
      <x:c r="F4015" s="13" t="n">
        <x:v>134.04</x:v>
      </x:c>
      <x:c r="G4015" s="13" t="n">
        <x:v>0</x:v>
      </x:c>
      <x:c r="H4015" s="13" t="n">
        <x:f>F4015-G4015</x:f>
        <x:v>134.04</x:v>
      </x:c>
      <x:c r="I4015" s="13" t="n">
        <x:f>IF(C4015=0,"n.a.",F4015/C4015)</x:f>
        <x:v>134.04</x:v>
      </x:c>
      <x:c r="J4015" s="3"/>
      <x:c r="K4015" s="3"/>
      <x:c r="L4015" s="3"/>
    </x:row>
    <x:row r="4016" ht="22" customHeight="1">
      <x:c r="A4016" s="3"/>
      <x:c r="B4016" s="3" t="str">
        <x:v>13217</x:v>
      </x:c>
      <x:c r="C4016" s="3" t="n">
        <x:v>3</x:v>
      </x:c>
      <x:c r="D4016" s="51" t="n">
        <x:v>40764</x:v>
      </x:c>
      <x:c r="E4016" s="3" t="str">
        <x:v>Recurrente</x:v>
      </x:c>
      <x:c r="F4016" s="13" t="n">
        <x:v>533.98</x:v>
      </x:c>
      <x:c r="G4016" s="13" t="n">
        <x:v>400.36</x:v>
      </x:c>
      <x:c r="H4016" s="13" t="n">
        <x:f>F4016-G4016</x:f>
        <x:v>133.62</x:v>
      </x:c>
      <x:c r="I4016" s="13" t="n">
        <x:f>IF(C4016=0,"n.a.",F4016/C4016)</x:f>
        <x:v>177.99333333333334</x:v>
      </x:c>
      <x:c r="J4016" s="3"/>
      <x:c r="K4016" s="3"/>
      <x:c r="L4016" s="3"/>
    </x:row>
    <x:row r="4017" ht="22" customHeight="1">
      <x:c r="A4017" s="3"/>
      <x:c r="B4017" s="3" t="str">
        <x:v>14349</x:v>
      </x:c>
      <x:c r="C4017" s="3" t="n">
        <x:v>1</x:v>
      </x:c>
      <x:c r="D4017" s="51" t="n">
        <x:v>40876</x:v>
      </x:c>
      <x:c r="E4017" s="3" t="str">
        <x:v>Una compra</x:v>
      </x:c>
      <x:c r="F4017" s="13" t="n">
        <x:v>133.5</x:v>
      </x:c>
      <x:c r="G4017" s="13" t="n">
        <x:v>0</x:v>
      </x:c>
      <x:c r="H4017" s="13" t="n">
        <x:f>F4017-G4017</x:f>
        <x:v>133.5</x:v>
      </x:c>
      <x:c r="I4017" s="13" t="n">
        <x:f>IF(C4017=0,"n.a.",F4017/C4017)</x:f>
        <x:v>133.5</x:v>
      </x:c>
      <x:c r="J4017" s="3"/>
      <x:c r="K4017" s="3"/>
      <x:c r="L4017" s="3"/>
    </x:row>
    <x:row r="4018" ht="22" customHeight="1">
      <x:c r="A4018" s="3"/>
      <x:c r="B4018" s="3" t="str">
        <x:v>17881</x:v>
      </x:c>
      <x:c r="C4018" s="3" t="n">
        <x:v>1</x:v>
      </x:c>
      <x:c r="D4018" s="51" t="n">
        <x:v>40582</x:v>
      </x:c>
      <x:c r="E4018" s="3" t="str">
        <x:v>Una compra</x:v>
      </x:c>
      <x:c r="F4018" s="13" t="n">
        <x:v>133.35</x:v>
      </x:c>
      <x:c r="G4018" s="13" t="n">
        <x:v>0</x:v>
      </x:c>
      <x:c r="H4018" s="13" t="n">
        <x:f>F4018-G4018</x:f>
        <x:v>133.35</x:v>
      </x:c>
      <x:c r="I4018" s="13" t="n">
        <x:f>IF(C4018=0,"n.a.",F4018/C4018)</x:f>
        <x:v>133.35</x:v>
      </x:c>
      <x:c r="J4018" s="3"/>
      <x:c r="K4018" s="3"/>
      <x:c r="L4018" s="3"/>
    </x:row>
    <x:row r="4019" ht="22" customHeight="1">
      <x:c r="A4019" s="3"/>
      <x:c r="B4019" s="3" t="str">
        <x:v>15709</x:v>
      </x:c>
      <x:c r="C4019" s="3" t="n">
        <x:v>1</x:v>
      </x:c>
      <x:c r="D4019" s="51" t="n">
        <x:v>40603</x:v>
      </x:c>
      <x:c r="E4019" s="3" t="str">
        <x:v>Una compra</x:v>
      </x:c>
      <x:c r="F4019" s="13" t="n">
        <x:v>133.25</x:v>
      </x:c>
      <x:c r="G4019" s="13" t="n">
        <x:v>0</x:v>
      </x:c>
      <x:c r="H4019" s="13" t="n">
        <x:f>F4019-G4019</x:f>
        <x:v>133.25</x:v>
      </x:c>
      <x:c r="I4019" s="13" t="n">
        <x:f>IF(C4019=0,"n.a.",F4019/C4019)</x:f>
        <x:v>133.25</x:v>
      </x:c>
      <x:c r="J4019" s="3"/>
      <x:c r="K4019" s="3"/>
      <x:c r="L4019" s="3"/>
    </x:row>
    <x:row r="4020" ht="22" customHeight="1">
      <x:c r="A4020" s="3"/>
      <x:c r="B4020" s="3" t="str">
        <x:v>17647</x:v>
      </x:c>
      <x:c r="C4020" s="3" t="n">
        <x:v>1</x:v>
      </x:c>
      <x:c r="D4020" s="51" t="n">
        <x:v>40821</x:v>
      </x:c>
      <x:c r="E4020" s="3" t="str">
        <x:v>Una compra</x:v>
      </x:c>
      <x:c r="F4020" s="13" t="n">
        <x:v>133.06</x:v>
      </x:c>
      <x:c r="G4020" s="13" t="n">
        <x:v>0</x:v>
      </x:c>
      <x:c r="H4020" s="13" t="n">
        <x:f>F4020-G4020</x:f>
        <x:v>133.06</x:v>
      </x:c>
      <x:c r="I4020" s="13" t="n">
        <x:f>IF(C4020=0,"n.a.",F4020/C4020)</x:f>
        <x:v>133.06</x:v>
      </x:c>
      <x:c r="J4020" s="3"/>
      <x:c r="K4020" s="3"/>
      <x:c r="L4020" s="3"/>
    </x:row>
    <x:row r="4021" ht="22" customHeight="1">
      <x:c r="A4021" s="3"/>
      <x:c r="B4021" s="3" t="str">
        <x:v>17785</x:v>
      </x:c>
      <x:c r="C4021" s="3" t="n">
        <x:v>1</x:v>
      </x:c>
      <x:c r="D4021" s="51" t="n">
        <x:v>40833</x:v>
      </x:c>
      <x:c r="E4021" s="3" t="str">
        <x:v>Una compra</x:v>
      </x:c>
      <x:c r="F4021" s="13" t="n">
        <x:v>131.94</x:v>
      </x:c>
      <x:c r="G4021" s="13" t="n">
        <x:v>0</x:v>
      </x:c>
      <x:c r="H4021" s="13" t="n">
        <x:f>F4021-G4021</x:f>
        <x:v>131.94</x:v>
      </x:c>
      <x:c r="I4021" s="13" t="n">
        <x:f>IF(C4021=0,"n.a.",F4021/C4021)</x:f>
        <x:v>131.94</x:v>
      </x:c>
      <x:c r="J4021" s="3"/>
      <x:c r="K4021" s="3"/>
      <x:c r="L4021" s="3"/>
    </x:row>
    <x:row r="4022" ht="22" customHeight="1">
      <x:c r="A4022" s="3"/>
      <x:c r="B4022" s="3" t="str">
        <x:v>14438</x:v>
      </x:c>
      <x:c r="C4022" s="3" t="n">
        <x:v>1</x:v>
      </x:c>
      <x:c r="D4022" s="51" t="n">
        <x:v>40580</x:v>
      </x:c>
      <x:c r="E4022" s="3" t="str">
        <x:v>Una compra</x:v>
      </x:c>
      <x:c r="F4022" s="13" t="n">
        <x:v>131.9</x:v>
      </x:c>
      <x:c r="G4022" s="13" t="n">
        <x:v>0</x:v>
      </x:c>
      <x:c r="H4022" s="13" t="n">
        <x:f>F4022-G4022</x:f>
        <x:v>131.9</x:v>
      </x:c>
      <x:c r="I4022" s="13" t="n">
        <x:f>IF(C4022=0,"n.a.",F4022/C4022)</x:f>
        <x:v>131.9</x:v>
      </x:c>
      <x:c r="J4022" s="3"/>
      <x:c r="K4022" s="3"/>
      <x:c r="L4022" s="3"/>
    </x:row>
    <x:row r="4023" ht="22" customHeight="1">
      <x:c r="A4023" s="3"/>
      <x:c r="B4023" s="3" t="str">
        <x:v>17297</x:v>
      </x:c>
      <x:c r="C4023" s="3" t="n">
        <x:v>1</x:v>
      </x:c>
      <x:c r="D4023" s="51" t="n">
        <x:v>40869</x:v>
      </x:c>
      <x:c r="E4023" s="3" t="str">
        <x:v>Una compra</x:v>
      </x:c>
      <x:c r="F4023" s="13" t="n">
        <x:v>131.78</x:v>
      </x:c>
      <x:c r="G4023" s="13" t="n">
        <x:v>0</x:v>
      </x:c>
      <x:c r="H4023" s="13" t="n">
        <x:f>F4023-G4023</x:f>
        <x:v>131.78</x:v>
      </x:c>
      <x:c r="I4023" s="13" t="n">
        <x:f>IF(C4023=0,"n.a.",F4023/C4023)</x:f>
        <x:v>131.78</x:v>
      </x:c>
      <x:c r="J4023" s="3"/>
      <x:c r="K4023" s="3"/>
      <x:c r="L4023" s="3"/>
    </x:row>
    <x:row r="4024" ht="22" customHeight="1">
      <x:c r="A4024" s="3"/>
      <x:c r="B4024" s="3" t="str">
        <x:v>17455</x:v>
      </x:c>
      <x:c r="C4024" s="3" t="n">
        <x:v>1</x:v>
      </x:c>
      <x:c r="D4024" s="51" t="n">
        <x:v>40683</x:v>
      </x:c>
      <x:c r="E4024" s="3" t="str">
        <x:v>Una compra</x:v>
      </x:c>
      <x:c r="F4024" s="13" t="n">
        <x:v>131.7</x:v>
      </x:c>
      <x:c r="G4024" s="13" t="n">
        <x:v>0</x:v>
      </x:c>
      <x:c r="H4024" s="13" t="n">
        <x:f>F4024-G4024</x:f>
        <x:v>131.7</x:v>
      </x:c>
      <x:c r="I4024" s="13" t="n">
        <x:f>IF(C4024=0,"n.a.",F4024/C4024)</x:f>
        <x:v>131.7</x:v>
      </x:c>
      <x:c r="J4024" s="3"/>
      <x:c r="K4024" s="3"/>
      <x:c r="L4024" s="3"/>
    </x:row>
    <x:row r="4025" ht="22" customHeight="1">
      <x:c r="A4025" s="3"/>
      <x:c r="B4025" s="3" t="str">
        <x:v>14795</x:v>
      </x:c>
      <x:c r="C4025" s="3" t="n">
        <x:v>1</x:v>
      </x:c>
      <x:c r="D4025" s="51" t="n">
        <x:v>40720</x:v>
      </x:c>
      <x:c r="E4025" s="3" t="str">
        <x:v>Una compra</x:v>
      </x:c>
      <x:c r="F4025" s="13" t="n">
        <x:v>131.45</x:v>
      </x:c>
      <x:c r="G4025" s="13" t="n">
        <x:v>0</x:v>
      </x:c>
      <x:c r="H4025" s="13" t="n">
        <x:f>F4025-G4025</x:f>
        <x:v>131.45</x:v>
      </x:c>
      <x:c r="I4025" s="13" t="n">
        <x:f>IF(C4025=0,"n.a.",F4025/C4025)</x:f>
        <x:v>131.45</x:v>
      </x:c>
      <x:c r="J4025" s="3"/>
      <x:c r="K4025" s="3"/>
      <x:c r="L4025" s="3"/>
    </x:row>
    <x:row r="4026" ht="22" customHeight="1">
      <x:c r="A4026" s="3"/>
      <x:c r="B4026" s="3" t="str">
        <x:v>12565</x:v>
      </x:c>
      <x:c r="C4026" s="3" t="n">
        <x:v>1</x:v>
      </x:c>
      <x:c r="D4026" s="51" t="n">
        <x:v>40598</x:v>
      </x:c>
      <x:c r="E4026" s="3" t="str">
        <x:v>Una compra</x:v>
      </x:c>
      <x:c r="F4026" s="13" t="n">
        <x:v>145.92</x:v>
      </x:c>
      <x:c r="G4026" s="13" t="n">
        <x:v>14.75</x:v>
      </x:c>
      <x:c r="H4026" s="13" t="n">
        <x:f>F4026-G4026</x:f>
        <x:v>131.17</x:v>
      </x:c>
      <x:c r="I4026" s="13" t="n">
        <x:f>IF(C4026=0,"n.a.",F4026/C4026)</x:f>
        <x:v>145.92</x:v>
      </x:c>
      <x:c r="J4026" s="3"/>
      <x:c r="K4026" s="3"/>
      <x:c r="L4026" s="3"/>
    </x:row>
    <x:row r="4027" ht="22" customHeight="1">
      <x:c r="A4027" s="3"/>
      <x:c r="B4027" s="3" t="str">
        <x:v>15844</x:v>
      </x:c>
      <x:c r="C4027" s="3" t="n">
        <x:v>1</x:v>
      </x:c>
      <x:c r="D4027" s="51" t="n">
        <x:v>40840</x:v>
      </x:c>
      <x:c r="E4027" s="3" t="str">
        <x:v>Una compra</x:v>
      </x:c>
      <x:c r="F4027" s="13" t="n">
        <x:v>130.74</x:v>
      </x:c>
      <x:c r="G4027" s="13" t="n">
        <x:v>0</x:v>
      </x:c>
      <x:c r="H4027" s="13" t="n">
        <x:f>F4027-G4027</x:f>
        <x:v>130.74</x:v>
      </x:c>
      <x:c r="I4027" s="13" t="n">
        <x:f>IF(C4027=0,"n.a.",F4027/C4027)</x:f>
        <x:v>130.74</x:v>
      </x:c>
      <x:c r="J4027" s="3"/>
      <x:c r="K4027" s="3"/>
      <x:c r="L4027" s="3"/>
    </x:row>
    <x:row r="4028" ht="22" customHeight="1">
      <x:c r="A4028" s="3"/>
      <x:c r="B4028" s="3" t="str">
        <x:v>16679</x:v>
      </x:c>
      <x:c r="C4028" s="3" t="n">
        <x:v>1</x:v>
      </x:c>
      <x:c r="D4028" s="51" t="n">
        <x:v>40520</x:v>
      </x:c>
      <x:c r="E4028" s="3" t="str">
        <x:v>Una compra</x:v>
      </x:c>
      <x:c r="F4028" s="13" t="n">
        <x:v>129.75</x:v>
      </x:c>
      <x:c r="G4028" s="13" t="n">
        <x:v>0</x:v>
      </x:c>
      <x:c r="H4028" s="13" t="n">
        <x:f>F4028-G4028</x:f>
        <x:v>129.75</x:v>
      </x:c>
      <x:c r="I4028" s="13" t="n">
        <x:f>IF(C4028=0,"n.a.",F4028/C4028)</x:f>
        <x:v>129.75</x:v>
      </x:c>
      <x:c r="J4028" s="3"/>
      <x:c r="K4028" s="3"/>
      <x:c r="L4028" s="3"/>
    </x:row>
    <x:row r="4029" ht="22" customHeight="1">
      <x:c r="A4029" s="3"/>
      <x:c r="B4029" s="3" t="str">
        <x:v>16623</x:v>
      </x:c>
      <x:c r="C4029" s="3" t="n">
        <x:v>1</x:v>
      </x:c>
      <x:c r="D4029" s="51" t="n">
        <x:v>40641</x:v>
      </x:c>
      <x:c r="E4029" s="3" t="str">
        <x:v>Una compra</x:v>
      </x:c>
      <x:c r="F4029" s="13" t="n">
        <x:v>129.45</x:v>
      </x:c>
      <x:c r="G4029" s="13" t="n">
        <x:v>0</x:v>
      </x:c>
      <x:c r="H4029" s="13" t="n">
        <x:f>F4029-G4029</x:f>
        <x:v>129.45</x:v>
      </x:c>
      <x:c r="I4029" s="13" t="n">
        <x:f>IF(C4029=0,"n.a.",F4029/C4029)</x:f>
        <x:v>129.45</x:v>
      </x:c>
      <x:c r="J4029" s="3"/>
      <x:c r="K4029" s="3"/>
      <x:c r="L4029" s="3"/>
    </x:row>
    <x:row r="4030" ht="22" customHeight="1">
      <x:c r="A4030" s="3"/>
      <x:c r="B4030" s="3" t="str">
        <x:v>14483</x:v>
      </x:c>
      <x:c r="C4030" s="3" t="n">
        <x:v>1</x:v>
      </x:c>
      <x:c r="D4030" s="51" t="n">
        <x:v>40605</x:v>
      </x:c>
      <x:c r="E4030" s="3" t="str">
        <x:v>Una compra</x:v>
      </x:c>
      <x:c r="F4030" s="13" t="n">
        <x:v>137.1</x:v>
      </x:c>
      <x:c r="G4030" s="13" t="n">
        <x:v>7.9</x:v>
      </x:c>
      <x:c r="H4030" s="13" t="n">
        <x:f>F4030-G4030</x:f>
        <x:v>129.2</x:v>
      </x:c>
      <x:c r="I4030" s="13" t="n">
        <x:f>IF(C4030=0,"n.a.",F4030/C4030)</x:f>
        <x:v>137.1</x:v>
      </x:c>
      <x:c r="J4030" s="3"/>
      <x:c r="K4030" s="3"/>
      <x:c r="L4030" s="3"/>
    </x:row>
    <x:row r="4031" ht="22" customHeight="1">
      <x:c r="A4031" s="3"/>
      <x:c r="B4031" s="3" t="str">
        <x:v>15543</x:v>
      </x:c>
      <x:c r="C4031" s="3" t="n">
        <x:v>1</x:v>
      </x:c>
      <x:c r="D4031" s="51" t="n">
        <x:v>40598</x:v>
      </x:c>
      <x:c r="E4031" s="3" t="str">
        <x:v>Una compra</x:v>
      </x:c>
      <x:c r="F4031" s="13" t="n">
        <x:v>127.86</x:v>
      </x:c>
      <x:c r="G4031" s="13" t="n">
        <x:v>0</x:v>
      </x:c>
      <x:c r="H4031" s="13" t="n">
        <x:f>F4031-G4031</x:f>
        <x:v>127.86</x:v>
      </x:c>
      <x:c r="I4031" s="13" t="n">
        <x:f>IF(C4031=0,"n.a.",F4031/C4031)</x:f>
        <x:v>127.86</x:v>
      </x:c>
      <x:c r="J4031" s="3"/>
      <x:c r="K4031" s="3"/>
      <x:c r="L4031" s="3"/>
    </x:row>
    <x:row r="4032" ht="22" customHeight="1">
      <x:c r="A4032" s="3"/>
      <x:c r="B4032" s="3" t="str">
        <x:v>17359</x:v>
      </x:c>
      <x:c r="C4032" s="3" t="n">
        <x:v>1</x:v>
      </x:c>
      <x:c r="D4032" s="51" t="n">
        <x:v>40875</x:v>
      </x:c>
      <x:c r="E4032" s="3" t="str">
        <x:v>Una compra</x:v>
      </x:c>
      <x:c r="F4032" s="13" t="n">
        <x:v>127.86</x:v>
      </x:c>
      <x:c r="G4032" s="13" t="n">
        <x:v>0</x:v>
      </x:c>
      <x:c r="H4032" s="13" t="n">
        <x:f>F4032-G4032</x:f>
        <x:v>127.86</x:v>
      </x:c>
      <x:c r="I4032" s="13" t="n">
        <x:f>IF(C4032=0,"n.a.",F4032/C4032)</x:f>
        <x:v>127.86</x:v>
      </x:c>
      <x:c r="J4032" s="3"/>
      <x:c r="K4032" s="3"/>
      <x:c r="L4032" s="3"/>
    </x:row>
    <x:row r="4033" ht="22" customHeight="1">
      <x:c r="A4033" s="3"/>
      <x:c r="B4033" s="3" t="str">
        <x:v>13781</x:v>
      </x:c>
      <x:c r="C4033" s="3" t="n">
        <x:v>1</x:v>
      </x:c>
      <x:c r="D4033" s="51" t="n">
        <x:v>40636</x:v>
      </x:c>
      <x:c r="E4033" s="3" t="str">
        <x:v>Una compra</x:v>
      </x:c>
      <x:c r="F4033" s="13" t="n">
        <x:v>127.84</x:v>
      </x:c>
      <x:c r="G4033" s="13" t="n">
        <x:v>0</x:v>
      </x:c>
      <x:c r="H4033" s="13" t="n">
        <x:f>F4033-G4033</x:f>
        <x:v>127.84</x:v>
      </x:c>
      <x:c r="I4033" s="13" t="n">
        <x:f>IF(C4033=0,"n.a.",F4033/C4033)</x:f>
        <x:v>127.84</x:v>
      </x:c>
      <x:c r="J4033" s="3"/>
      <x:c r="K4033" s="3"/>
      <x:c r="L4033" s="3"/>
    </x:row>
    <x:row r="4034" ht="22" customHeight="1">
      <x:c r="A4034" s="3"/>
      <x:c r="B4034" s="3" t="str">
        <x:v>15135</x:v>
      </x:c>
      <x:c r="C4034" s="3" t="n">
        <x:v>1</x:v>
      </x:c>
      <x:c r="D4034" s="51" t="n">
        <x:v>40647</x:v>
      </x:c>
      <x:c r="E4034" s="3" t="str">
        <x:v>Una compra</x:v>
      </x:c>
      <x:c r="F4034" s="13" t="n">
        <x:v>139.05</x:v>
      </x:c>
      <x:c r="G4034" s="13" t="n">
        <x:v>11.9</x:v>
      </x:c>
      <x:c r="H4034" s="13" t="n">
        <x:f>F4034-G4034</x:f>
        <x:v>127.15</x:v>
      </x:c>
      <x:c r="I4034" s="13" t="n">
        <x:f>IF(C4034=0,"n.a.",F4034/C4034)</x:f>
        <x:v>139.05</x:v>
      </x:c>
      <x:c r="J4034" s="3"/>
      <x:c r="K4034" s="3"/>
      <x:c r="L4034" s="3"/>
    </x:row>
    <x:row r="4035" ht="22" customHeight="1">
      <x:c r="A4035" s="3"/>
      <x:c r="B4035" s="3" t="str">
        <x:v>15578</x:v>
      </x:c>
      <x:c r="C4035" s="3" t="n">
        <x:v>1</x:v>
      </x:c>
      <x:c r="D4035" s="51" t="n">
        <x:v>40724</x:v>
      </x:c>
      <x:c r="E4035" s="3" t="str">
        <x:v>Una compra</x:v>
      </x:c>
      <x:c r="F4035" s="13" t="n">
        <x:v>127.1</x:v>
      </x:c>
      <x:c r="G4035" s="13" t="n">
        <x:v>0</x:v>
      </x:c>
      <x:c r="H4035" s="13" t="n">
        <x:f>F4035-G4035</x:f>
        <x:v>127.1</x:v>
      </x:c>
      <x:c r="I4035" s="13" t="n">
        <x:f>IF(C4035=0,"n.a.",F4035/C4035)</x:f>
        <x:v>127.1</x:v>
      </x:c>
      <x:c r="J4035" s="3"/>
      <x:c r="K4035" s="3"/>
      <x:c r="L4035" s="3"/>
    </x:row>
    <x:row r="4036" ht="22" customHeight="1">
      <x:c r="A4036" s="3"/>
      <x:c r="B4036" s="3" t="str">
        <x:v>15923</x:v>
      </x:c>
      <x:c r="C4036" s="3" t="n">
        <x:v>1</x:v>
      </x:c>
      <x:c r="D4036" s="51" t="n">
        <x:v>40514</x:v>
      </x:c>
      <x:c r="E4036" s="3" t="str">
        <x:v>Una compra</x:v>
      </x:c>
      <x:c r="F4036" s="13" t="n">
        <x:v>127.08</x:v>
      </x:c>
      <x:c r="G4036" s="13" t="n">
        <x:v>0</x:v>
      </x:c>
      <x:c r="H4036" s="13" t="n">
        <x:f>F4036-G4036</x:f>
        <x:v>127.08</x:v>
      </x:c>
      <x:c r="I4036" s="13" t="n">
        <x:f>IF(C4036=0,"n.a.",F4036/C4036)</x:f>
        <x:v>127.08</x:v>
      </x:c>
      <x:c r="J4036" s="3"/>
      <x:c r="K4036" s="3"/>
      <x:c r="L4036" s="3"/>
    </x:row>
    <x:row r="4037" ht="22" customHeight="1">
      <x:c r="A4037" s="3"/>
      <x:c r="B4037" s="3" t="str">
        <x:v>14962</x:v>
      </x:c>
      <x:c r="C4037" s="3" t="n">
        <x:v>1</x:v>
      </x:c>
      <x:c r="D4037" s="51" t="n">
        <x:v>40616</x:v>
      </x:c>
      <x:c r="E4037" s="3" t="str">
        <x:v>Una compra</x:v>
      </x:c>
      <x:c r="F4037" s="13" t="n">
        <x:v>126.7</x:v>
      </x:c>
      <x:c r="G4037" s="13" t="n">
        <x:v>0</x:v>
      </x:c>
      <x:c r="H4037" s="13" t="n">
        <x:f>F4037-G4037</x:f>
        <x:v>126.7</x:v>
      </x:c>
      <x:c r="I4037" s="13" t="n">
        <x:f>IF(C4037=0,"n.a.",F4037/C4037)</x:f>
        <x:v>126.7</x:v>
      </x:c>
      <x:c r="J4037" s="3"/>
      <x:c r="K4037" s="3"/>
      <x:c r="L4037" s="3"/>
    </x:row>
    <x:row r="4038" ht="22" customHeight="1">
      <x:c r="A4038" s="3"/>
      <x:c r="B4038" s="3" t="str">
        <x:v>13279</x:v>
      </x:c>
      <x:c r="C4038" s="3" t="n">
        <x:v>1</x:v>
      </x:c>
      <x:c r="D4038" s="51" t="n">
        <x:v>40808</x:v>
      </x:c>
      <x:c r="E4038" s="3" t="str">
        <x:v>Una compra</x:v>
      </x:c>
      <x:c r="F4038" s="13" t="n">
        <x:v>137.75</x:v>
      </x:c>
      <x:c r="G4038" s="13" t="n">
        <x:v>11.45</x:v>
      </x:c>
      <x:c r="H4038" s="13" t="n">
        <x:f>F4038-G4038</x:f>
        <x:v>126.3</x:v>
      </x:c>
      <x:c r="I4038" s="13" t="n">
        <x:f>IF(C4038=0,"n.a.",F4038/C4038)</x:f>
        <x:v>137.75</x:v>
      </x:c>
      <x:c r="J4038" s="3"/>
      <x:c r="K4038" s="3"/>
      <x:c r="L4038" s="3"/>
    </x:row>
    <x:row r="4039" ht="22" customHeight="1">
      <x:c r="A4039" s="3"/>
      <x:c r="B4039" s="3" t="str">
        <x:v>16414</x:v>
      </x:c>
      <x:c r="C4039" s="3" t="n">
        <x:v>2</x:v>
      </x:c>
      <x:c r="D4039" s="51" t="n">
        <x:v>40865</x:v>
      </x:c>
      <x:c r="E4039" s="3" t="str">
        <x:v>Recurrente</x:v>
      </x:c>
      <x:c r="F4039" s="13" t="n">
        <x:v>126.25</x:v>
      </x:c>
      <x:c r="G4039" s="13" t="n">
        <x:v>0</x:v>
      </x:c>
      <x:c r="H4039" s="13" t="n">
        <x:f>F4039-G4039</x:f>
        <x:v>126.25</x:v>
      </x:c>
      <x:c r="I4039" s="13" t="n">
        <x:f>IF(C4039=0,"n.a.",F4039/C4039)</x:f>
        <x:v>63.125</x:v>
      </x:c>
      <x:c r="J4039" s="3"/>
      <x:c r="K4039" s="3"/>
      <x:c r="L4039" s="3"/>
    </x:row>
    <x:row r="4040" ht="22" customHeight="1">
      <x:c r="A4040" s="3"/>
      <x:c r="B4040" s="3" t="str">
        <x:v>15463</x:v>
      </x:c>
      <x:c r="C4040" s="3" t="n">
        <x:v>1</x:v>
      </x:c>
      <x:c r="D4040" s="51" t="n">
        <x:v>40857</x:v>
      </x:c>
      <x:c r="E4040" s="3" t="str">
        <x:v>Una compra</x:v>
      </x:c>
      <x:c r="F4040" s="13" t="n">
        <x:v>126.14</x:v>
      </x:c>
      <x:c r="G4040" s="13" t="n">
        <x:v>0</x:v>
      </x:c>
      <x:c r="H4040" s="13" t="n">
        <x:f>F4040-G4040</x:f>
        <x:v>126.14</x:v>
      </x:c>
      <x:c r="I4040" s="13" t="n">
        <x:f>IF(C4040=0,"n.a.",F4040/C4040)</x:f>
        <x:v>126.14</x:v>
      </x:c>
      <x:c r="J4040" s="3"/>
      <x:c r="K4040" s="3"/>
      <x:c r="L4040" s="3"/>
    </x:row>
    <x:row r="4041" ht="22" customHeight="1">
      <x:c r="A4041" s="3"/>
      <x:c r="B4041" s="3" t="str">
        <x:v>16988</x:v>
      </x:c>
      <x:c r="C4041" s="3" t="n">
        <x:v>1</x:v>
      </x:c>
      <x:c r="D4041" s="51" t="n">
        <x:v>40881</x:v>
      </x:c>
      <x:c r="E4041" s="3" t="str">
        <x:v>Una compra</x:v>
      </x:c>
      <x:c r="F4041" s="13" t="n">
        <x:v>126.12</x:v>
      </x:c>
      <x:c r="G4041" s="13" t="n">
        <x:v>0</x:v>
      </x:c>
      <x:c r="H4041" s="13" t="n">
        <x:f>F4041-G4041</x:f>
        <x:v>126.12</x:v>
      </x:c>
      <x:c r="I4041" s="13" t="n">
        <x:f>IF(C4041=0,"n.a.",F4041/C4041)</x:f>
        <x:v>126.12</x:v>
      </x:c>
      <x:c r="J4041" s="3"/>
      <x:c r="K4041" s="3"/>
      <x:c r="L4041" s="3"/>
    </x:row>
    <x:row r="4042" ht="22" customHeight="1">
      <x:c r="A4042" s="3"/>
      <x:c r="B4042" s="3" t="str">
        <x:v>12817</x:v>
      </x:c>
      <x:c r="C4042" s="3" t="n">
        <x:v>1</x:v>
      </x:c>
      <x:c r="D4042" s="51" t="n">
        <x:v>40605</x:v>
      </x:c>
      <x:c r="E4042" s="3" t="str">
        <x:v>Una compra</x:v>
      </x:c>
      <x:c r="F4042" s="13" t="n">
        <x:v>126.04</x:v>
      </x:c>
      <x:c r="G4042" s="13" t="n">
        <x:v>0</x:v>
      </x:c>
      <x:c r="H4042" s="13" t="n">
        <x:f>F4042-G4042</x:f>
        <x:v>126.04</x:v>
      </x:c>
      <x:c r="I4042" s="13" t="n">
        <x:f>IF(C4042=0,"n.a.",F4042/C4042)</x:f>
        <x:v>126.04</x:v>
      </x:c>
      <x:c r="J4042" s="3"/>
      <x:c r="K4042" s="3"/>
      <x:c r="L4042" s="3"/>
    </x:row>
    <x:row r="4043" ht="22" customHeight="1">
      <x:c r="A4043" s="3"/>
      <x:c r="B4043" s="3" t="str">
        <x:v>13522</x:v>
      </x:c>
      <x:c r="C4043" s="3" t="n">
        <x:v>1</x:v>
      </x:c>
      <x:c r="D4043" s="51" t="n">
        <x:v>40856</x:v>
      </x:c>
      <x:c r="E4043" s="3" t="str">
        <x:v>Una compra</x:v>
      </x:c>
      <x:c r="F4043" s="13" t="n">
        <x:v>125.8</x:v>
      </x:c>
      <x:c r="G4043" s="13" t="n">
        <x:v>0</x:v>
      </x:c>
      <x:c r="H4043" s="13" t="n">
        <x:f>F4043-G4043</x:f>
        <x:v>125.8</x:v>
      </x:c>
      <x:c r="I4043" s="13" t="n">
        <x:f>IF(C4043=0,"n.a.",F4043/C4043)</x:f>
        <x:v>125.8</x:v>
      </x:c>
      <x:c r="J4043" s="3"/>
      <x:c r="K4043" s="3"/>
      <x:c r="L4043" s="3"/>
    </x:row>
    <x:row r="4044" ht="22" customHeight="1">
      <x:c r="A4044" s="3"/>
      <x:c r="B4044" s="3" t="str">
        <x:v>14861</x:v>
      </x:c>
      <x:c r="C4044" s="3" t="n">
        <x:v>1</x:v>
      </x:c>
      <x:c r="D4044" s="51" t="n">
        <x:v>40834</x:v>
      </x:c>
      <x:c r="E4044" s="3" t="str">
        <x:v>Una compra</x:v>
      </x:c>
      <x:c r="F4044" s="13" t="n">
        <x:v>125.79</x:v>
      </x:c>
      <x:c r="G4044" s="13" t="n">
        <x:v>0</x:v>
      </x:c>
      <x:c r="H4044" s="13" t="n">
        <x:f>F4044-G4044</x:f>
        <x:v>125.79</x:v>
      </x:c>
      <x:c r="I4044" s="13" t="n">
        <x:f>IF(C4044=0,"n.a.",F4044/C4044)</x:f>
        <x:v>125.79</x:v>
      </x:c>
      <x:c r="J4044" s="3"/>
      <x:c r="K4044" s="3"/>
      <x:c r="L4044" s="3"/>
    </x:row>
    <x:row r="4045" ht="22" customHeight="1">
      <x:c r="A4045" s="3"/>
      <x:c r="B4045" s="3" t="str">
        <x:v>14890</x:v>
      </x:c>
      <x:c r="C4045" s="3" t="n">
        <x:v>1</x:v>
      </x:c>
      <x:c r="D4045" s="51" t="n">
        <x:v>40633</x:v>
      </x:c>
      <x:c r="E4045" s="3" t="str">
        <x:v>Una compra</x:v>
      </x:c>
      <x:c r="F4045" s="13" t="n">
        <x:v>125.65</x:v>
      </x:c>
      <x:c r="G4045" s="13" t="n">
        <x:v>0</x:v>
      </x:c>
      <x:c r="H4045" s="13" t="n">
        <x:f>F4045-G4045</x:f>
        <x:v>125.65</x:v>
      </x:c>
      <x:c r="I4045" s="13" t="n">
        <x:f>IF(C4045=0,"n.a.",F4045/C4045)</x:f>
        <x:v>125.65</x:v>
      </x:c>
      <x:c r="J4045" s="3"/>
      <x:c r="K4045" s="3"/>
      <x:c r="L4045" s="3"/>
    </x:row>
    <x:row r="4046" ht="22" customHeight="1">
      <x:c r="A4046" s="3"/>
      <x:c r="B4046" s="3" t="str">
        <x:v>15017</x:v>
      </x:c>
      <x:c r="C4046" s="3" t="n">
        <x:v>1</x:v>
      </x:c>
      <x:c r="D4046" s="51" t="n">
        <x:v>40853</x:v>
      </x:c>
      <x:c r="E4046" s="3" t="str">
        <x:v>Una compra</x:v>
      </x:c>
      <x:c r="F4046" s="13" t="n">
        <x:v>125.58</x:v>
      </x:c>
      <x:c r="G4046" s="13" t="n">
        <x:v>0</x:v>
      </x:c>
      <x:c r="H4046" s="13" t="n">
        <x:f>F4046-G4046</x:f>
        <x:v>125.58</x:v>
      </x:c>
      <x:c r="I4046" s="13" t="n">
        <x:f>IF(C4046=0,"n.a.",F4046/C4046)</x:f>
        <x:v>125.58</x:v>
      </x:c>
      <x:c r="J4046" s="3"/>
      <x:c r="K4046" s="3"/>
      <x:c r="L4046" s="3"/>
    </x:row>
    <x:row r="4047" ht="22" customHeight="1">
      <x:c r="A4047" s="3"/>
      <x:c r="B4047" s="3" t="str">
        <x:v>12531</x:v>
      </x:c>
      <x:c r="C4047" s="3" t="n">
        <x:v>1</x:v>
      </x:c>
      <x:c r="D4047" s="51" t="n">
        <x:v>40872</x:v>
      </x:c>
      <x:c r="E4047" s="3" t="str">
        <x:v>Una compra</x:v>
      </x:c>
      <x:c r="F4047" s="13" t="n">
        <x:v>125.22</x:v>
      </x:c>
      <x:c r="G4047" s="13" t="n">
        <x:v>0</x:v>
      </x:c>
      <x:c r="H4047" s="13" t="n">
        <x:f>F4047-G4047</x:f>
        <x:v>125.22</x:v>
      </x:c>
      <x:c r="I4047" s="13" t="n">
        <x:f>IF(C4047=0,"n.a.",F4047/C4047)</x:f>
        <x:v>125.22</x:v>
      </x:c>
      <x:c r="J4047" s="3"/>
      <x:c r="K4047" s="3"/>
      <x:c r="L4047" s="3"/>
    </x:row>
    <x:row r="4048" ht="22" customHeight="1">
      <x:c r="A4048" s="3"/>
      <x:c r="B4048" s="3" t="str">
        <x:v>17148</x:v>
      </x:c>
      <x:c r="C4048" s="3" t="n">
        <x:v>1</x:v>
      </x:c>
      <x:c r="D4048" s="51" t="n">
        <x:v>40835</x:v>
      </x:c>
      <x:c r="E4048" s="3" t="str">
        <x:v>Una compra</x:v>
      </x:c>
      <x:c r="F4048" s="13" t="n">
        <x:v>124.88</x:v>
      </x:c>
      <x:c r="G4048" s="13" t="n">
        <x:v>0</x:v>
      </x:c>
      <x:c r="H4048" s="13" t="n">
        <x:f>F4048-G4048</x:f>
        <x:v>124.88</x:v>
      </x:c>
      <x:c r="I4048" s="13" t="n">
        <x:f>IF(C4048=0,"n.a.",F4048/C4048)</x:f>
        <x:v>124.88</x:v>
      </x:c>
      <x:c r="J4048" s="3"/>
      <x:c r="K4048" s="3"/>
      <x:c r="L4048" s="3"/>
    </x:row>
    <x:row r="4049" ht="22" customHeight="1">
      <x:c r="A4049" s="3"/>
      <x:c r="B4049" s="3" t="str">
        <x:v>17578</x:v>
      </x:c>
      <x:c r="C4049" s="3" t="n">
        <x:v>1</x:v>
      </x:c>
      <x:c r="D4049" s="51" t="n">
        <x:v>40668</x:v>
      </x:c>
      <x:c r="E4049" s="3" t="str">
        <x:v>Una compra</x:v>
      </x:c>
      <x:c r="F4049" s="13" t="n">
        <x:v>143.46</x:v>
      </x:c>
      <x:c r="G4049" s="13" t="n">
        <x:v>18.72</x:v>
      </x:c>
      <x:c r="H4049" s="13" t="n">
        <x:f>F4049-G4049</x:f>
        <x:v>124.74000000000001</x:v>
      </x:c>
      <x:c r="I4049" s="13" t="n">
        <x:f>IF(C4049=0,"n.a.",F4049/C4049)</x:f>
        <x:v>143.46</x:v>
      </x:c>
      <x:c r="J4049" s="3"/>
      <x:c r="K4049" s="3"/>
      <x:c r="L4049" s="3"/>
    </x:row>
    <x:row r="4050" ht="22" customHeight="1">
      <x:c r="A4050" s="3"/>
      <x:c r="B4050" s="3" t="str">
        <x:v>16849</x:v>
      </x:c>
      <x:c r="C4050" s="3" t="n">
        <x:v>1</x:v>
      </x:c>
      <x:c r="D4050" s="51" t="n">
        <x:v>40700</x:v>
      </x:c>
      <x:c r="E4050" s="3" t="str">
        <x:v>Una compra</x:v>
      </x:c>
      <x:c r="F4050" s="13" t="n">
        <x:v>124.57</x:v>
      </x:c>
      <x:c r="G4050" s="13" t="n">
        <x:v>0</x:v>
      </x:c>
      <x:c r="H4050" s="13" t="n">
        <x:f>F4050-G4050</x:f>
        <x:v>124.57</x:v>
      </x:c>
      <x:c r="I4050" s="13" t="n">
        <x:f>IF(C4050=0,"n.a.",F4050/C4050)</x:f>
        <x:v>124.57</x:v>
      </x:c>
      <x:c r="J4050" s="3"/>
      <x:c r="K4050" s="3"/>
      <x:c r="L4050" s="3"/>
    </x:row>
    <x:row r="4051" ht="22" customHeight="1">
      <x:c r="A4051" s="3"/>
      <x:c r="B4051" s="3" t="str">
        <x:v>16569</x:v>
      </x:c>
      <x:c r="C4051" s="3" t="n">
        <x:v>1</x:v>
      </x:c>
      <x:c r="D4051" s="51" t="n">
        <x:v>40883</x:v>
      </x:c>
      <x:c r="E4051" s="3" t="str">
        <x:v>Una compra</x:v>
      </x:c>
      <x:c r="F4051" s="13" t="n">
        <x:v>124.2</x:v>
      </x:c>
      <x:c r="G4051" s="13" t="n">
        <x:v>0</x:v>
      </x:c>
      <x:c r="H4051" s="13" t="n">
        <x:f>F4051-G4051</x:f>
        <x:v>124.2</x:v>
      </x:c>
      <x:c r="I4051" s="13" t="n">
        <x:f>IF(C4051=0,"n.a.",F4051/C4051)</x:f>
        <x:v>124.2</x:v>
      </x:c>
      <x:c r="J4051" s="3"/>
      <x:c r="K4051" s="3"/>
      <x:c r="L4051" s="3"/>
    </x:row>
    <x:row r="4052" ht="22" customHeight="1">
      <x:c r="A4052" s="3"/>
      <x:c r="B4052" s="3" t="str">
        <x:v>14495</x:v>
      </x:c>
      <x:c r="C4052" s="3" t="n">
        <x:v>2</x:v>
      </x:c>
      <x:c r="D4052" s="51" t="n">
        <x:v>40836</x:v>
      </x:c>
      <x:c r="E4052" s="3" t="str">
        <x:v>Recurrente</x:v>
      </x:c>
      <x:c r="F4052" s="13" t="n">
        <x:v>123.8</x:v>
      </x:c>
      <x:c r="G4052" s="13" t="n">
        <x:v>0</x:v>
      </x:c>
      <x:c r="H4052" s="13" t="n">
        <x:f>F4052-G4052</x:f>
        <x:v>123.8</x:v>
      </x:c>
      <x:c r="I4052" s="13" t="n">
        <x:f>IF(C4052=0,"n.a.",F4052/C4052)</x:f>
        <x:v>61.9</x:v>
      </x:c>
      <x:c r="J4052" s="3"/>
      <x:c r="K4052" s="3"/>
      <x:c r="L4052" s="3"/>
    </x:row>
    <x:row r="4053" ht="22" customHeight="1">
      <x:c r="A4053" s="3"/>
      <x:c r="B4053" s="3" t="str">
        <x:v>16658</x:v>
      </x:c>
      <x:c r="C4053" s="3" t="n">
        <x:v>1</x:v>
      </x:c>
      <x:c r="D4053" s="51" t="n">
        <x:v>40518</x:v>
      </x:c>
      <x:c r="E4053" s="3" t="str">
        <x:v>Una compra</x:v>
      </x:c>
      <x:c r="F4053" s="13" t="n">
        <x:v>123.24</x:v>
      </x:c>
      <x:c r="G4053" s="13" t="n">
        <x:v>0</x:v>
      </x:c>
      <x:c r="H4053" s="13" t="n">
        <x:f>F4053-G4053</x:f>
        <x:v>123.24</x:v>
      </x:c>
      <x:c r="I4053" s="13" t="n">
        <x:f>IF(C4053=0,"n.a.",F4053/C4053)</x:f>
        <x:v>123.24</x:v>
      </x:c>
      <x:c r="J4053" s="3"/>
      <x:c r="K4053" s="3"/>
      <x:c r="L4053" s="3"/>
    </x:row>
    <x:row r="4054" ht="22" customHeight="1">
      <x:c r="A4054" s="3"/>
      <x:c r="B4054" s="3" t="str">
        <x:v>15917</x:v>
      </x:c>
      <x:c r="C4054" s="3" t="n">
        <x:v>1</x:v>
      </x:c>
      <x:c r="D4054" s="51" t="n">
        <x:v>40639</x:v>
      </x:c>
      <x:c r="E4054" s="3" t="str">
        <x:v>Una compra</x:v>
      </x:c>
      <x:c r="F4054" s="13" t="n">
        <x:v>123.1</x:v>
      </x:c>
      <x:c r="G4054" s="13" t="n">
        <x:v>0</x:v>
      </x:c>
      <x:c r="H4054" s="13" t="n">
        <x:f>F4054-G4054</x:f>
        <x:v>123.1</x:v>
      </x:c>
      <x:c r="I4054" s="13" t="n">
        <x:f>IF(C4054=0,"n.a.",F4054/C4054)</x:f>
        <x:v>123.1</x:v>
      </x:c>
      <x:c r="J4054" s="3"/>
      <x:c r="K4054" s="3"/>
      <x:c r="L4054" s="3"/>
    </x:row>
    <x:row r="4055" ht="22" customHeight="1">
      <x:c r="A4055" s="3"/>
      <x:c r="B4055" s="3" t="str">
        <x:v>17967</x:v>
      </x:c>
      <x:c r="C4055" s="3" t="n">
        <x:v>1</x:v>
      </x:c>
      <x:c r="D4055" s="51" t="n">
        <x:v>40515</x:v>
      </x:c>
      <x:c r="E4055" s="3" t="str">
        <x:v>Una compra</x:v>
      </x:c>
      <x:c r="F4055" s="13" t="n">
        <x:v>123.07</x:v>
      </x:c>
      <x:c r="G4055" s="13" t="n">
        <x:v>0</x:v>
      </x:c>
      <x:c r="H4055" s="13" t="n">
        <x:f>F4055-G4055</x:f>
        <x:v>123.07</x:v>
      </x:c>
      <x:c r="I4055" s="13" t="n">
        <x:f>IF(C4055=0,"n.a.",F4055/C4055)</x:f>
        <x:v>123.07</x:v>
      </x:c>
      <x:c r="J4055" s="3"/>
      <x:c r="K4055" s="3"/>
      <x:c r="L4055" s="3"/>
    </x:row>
    <x:row r="4056" ht="22" customHeight="1">
      <x:c r="A4056" s="3"/>
      <x:c r="B4056" s="3" t="str">
        <x:v>13876</x:v>
      </x:c>
      <x:c r="C4056" s="3" t="n">
        <x:v>1</x:v>
      </x:c>
      <x:c r="D4056" s="51" t="n">
        <x:v>40823</x:v>
      </x:c>
      <x:c r="E4056" s="3" t="str">
        <x:v>Una compra</x:v>
      </x:c>
      <x:c r="F4056" s="13" t="n">
        <x:v>122.7</x:v>
      </x:c>
      <x:c r="G4056" s="13" t="n">
        <x:v>0</x:v>
      </x:c>
      <x:c r="H4056" s="13" t="n">
        <x:f>F4056-G4056</x:f>
        <x:v>122.7</x:v>
      </x:c>
      <x:c r="I4056" s="13" t="n">
        <x:f>IF(C4056=0,"n.a.",F4056/C4056)</x:f>
        <x:v>122.7</x:v>
      </x:c>
      <x:c r="J4056" s="3"/>
      <x:c r="K4056" s="3"/>
      <x:c r="L4056" s="3"/>
    </x:row>
    <x:row r="4057" ht="22" customHeight="1">
      <x:c r="A4057" s="3"/>
      <x:c r="B4057" s="3" t="str">
        <x:v>14413</x:v>
      </x:c>
      <x:c r="C4057" s="3" t="n">
        <x:v>1</x:v>
      </x:c>
      <x:c r="D4057" s="51" t="n">
        <x:v>40524</x:v>
      </x:c>
      <x:c r="E4057" s="3" t="str">
        <x:v>Una compra</x:v>
      </x:c>
      <x:c r="F4057" s="13" t="n">
        <x:v>122.7</x:v>
      </x:c>
      <x:c r="G4057" s="13" t="n">
        <x:v>0</x:v>
      </x:c>
      <x:c r="H4057" s="13" t="n">
        <x:f>F4057-G4057</x:f>
        <x:v>122.7</x:v>
      </x:c>
      <x:c r="I4057" s="13" t="n">
        <x:f>IF(C4057=0,"n.a.",F4057/C4057)</x:f>
        <x:v>122.7</x:v>
      </x:c>
      <x:c r="J4057" s="3"/>
      <x:c r="K4057" s="3"/>
      <x:c r="L4057" s="3"/>
    </x:row>
    <x:row r="4058" ht="22" customHeight="1">
      <x:c r="A4058" s="3"/>
      <x:c r="B4058" s="3" t="str">
        <x:v>13638</x:v>
      </x:c>
      <x:c r="C4058" s="3" t="n">
        <x:v>1</x:v>
      </x:c>
      <x:c r="D4058" s="51" t="n">
        <x:v>40871</x:v>
      </x:c>
      <x:c r="E4058" s="3" t="str">
        <x:v>Una compra</x:v>
      </x:c>
      <x:c r="F4058" s="13" t="n">
        <x:v>122.64</x:v>
      </x:c>
      <x:c r="G4058" s="13" t="n">
        <x:v>0</x:v>
      </x:c>
      <x:c r="H4058" s="13" t="n">
        <x:f>F4058-G4058</x:f>
        <x:v>122.64</x:v>
      </x:c>
      <x:c r="I4058" s="13" t="n">
        <x:f>IF(C4058=0,"n.a.",F4058/C4058)</x:f>
        <x:v>122.64</x:v>
      </x:c>
      <x:c r="J4058" s="3"/>
      <x:c r="K4058" s="3"/>
      <x:c r="L4058" s="3"/>
    </x:row>
    <x:row r="4059" ht="22" customHeight="1">
      <x:c r="A4059" s="3"/>
      <x:c r="B4059" s="3" t="str">
        <x:v>14165</x:v>
      </x:c>
      <x:c r="C4059" s="3" t="n">
        <x:v>1</x:v>
      </x:c>
      <x:c r="D4059" s="51" t="n">
        <x:v>40611</x:v>
      </x:c>
      <x:c r="E4059" s="3" t="str">
        <x:v>Una compra</x:v>
      </x:c>
      <x:c r="F4059" s="13" t="n">
        <x:v>122.54</x:v>
      </x:c>
      <x:c r="G4059" s="13" t="n">
        <x:v>0</x:v>
      </x:c>
      <x:c r="H4059" s="13" t="n">
        <x:f>F4059-G4059</x:f>
        <x:v>122.54</x:v>
      </x:c>
      <x:c r="I4059" s="13" t="n">
        <x:f>IF(C4059=0,"n.a.",F4059/C4059)</x:f>
        <x:v>122.54</x:v>
      </x:c>
      <x:c r="J4059" s="3"/>
      <x:c r="K4059" s="3"/>
      <x:c r="L4059" s="3"/>
    </x:row>
    <x:row r="4060" ht="22" customHeight="1">
      <x:c r="A4060" s="3"/>
      <x:c r="B4060" s="3" t="str">
        <x:v>14076</x:v>
      </x:c>
      <x:c r="C4060" s="3" t="n">
        <x:v>1</x:v>
      </x:c>
      <x:c r="D4060" s="51" t="n">
        <x:v>40757</x:v>
      </x:c>
      <x:c r="E4060" s="3" t="str">
        <x:v>Una compra</x:v>
      </x:c>
      <x:c r="F4060" s="13" t="n">
        <x:v>122.47</x:v>
      </x:c>
      <x:c r="G4060" s="13" t="n">
        <x:v>0</x:v>
      </x:c>
      <x:c r="H4060" s="13" t="n">
        <x:f>F4060-G4060</x:f>
        <x:v>122.47</x:v>
      </x:c>
      <x:c r="I4060" s="13" t="n">
        <x:f>IF(C4060=0,"n.a.",F4060/C4060)</x:f>
        <x:v>122.47</x:v>
      </x:c>
      <x:c r="J4060" s="3"/>
      <x:c r="K4060" s="3"/>
      <x:c r="L4060" s="3"/>
    </x:row>
    <x:row r="4061" ht="22" customHeight="1">
      <x:c r="A4061" s="3"/>
      <x:c r="B4061" s="3" t="str">
        <x:v>18018</x:v>
      </x:c>
      <x:c r="C4061" s="3" t="n">
        <x:v>2</x:v>
      </x:c>
      <x:c r="D4061" s="51" t="n">
        <x:v>40778</x:v>
      </x:c>
      <x:c r="E4061" s="3" t="str">
        <x:v>Recurrente</x:v>
      </x:c>
      <x:c r="F4061" s="13" t="n">
        <x:v>122.14</x:v>
      </x:c>
      <x:c r="G4061" s="13" t="n">
        <x:v>0</x:v>
      </x:c>
      <x:c r="H4061" s="13" t="n">
        <x:f>F4061-G4061</x:f>
        <x:v>122.14</x:v>
      </x:c>
      <x:c r="I4061" s="13" t="n">
        <x:f>IF(C4061=0,"n.a.",F4061/C4061)</x:f>
        <x:v>61.07</x:v>
      </x:c>
      <x:c r="J4061" s="3"/>
      <x:c r="K4061" s="3"/>
      <x:c r="L4061" s="3"/>
    </x:row>
    <x:row r="4062" ht="22" customHeight="1">
      <x:c r="A4062" s="3"/>
      <x:c r="B4062" s="3" t="str">
        <x:v>13244</x:v>
      </x:c>
      <x:c r="C4062" s="3" t="n">
        <x:v>1</x:v>
      </x:c>
      <x:c r="D4062" s="51" t="n">
        <x:v>40794</x:v>
      </x:c>
      <x:c r="E4062" s="3" t="str">
        <x:v>Una compra</x:v>
      </x:c>
      <x:c r="F4062" s="13" t="n">
        <x:v>121.74</x:v>
      </x:c>
      <x:c r="G4062" s="13" t="n">
        <x:v>0</x:v>
      </x:c>
      <x:c r="H4062" s="13" t="n">
        <x:f>F4062-G4062</x:f>
        <x:v>121.74</x:v>
      </x:c>
      <x:c r="I4062" s="13" t="n">
        <x:f>IF(C4062=0,"n.a.",F4062/C4062)</x:f>
        <x:v>121.74</x:v>
      </x:c>
      <x:c r="J4062" s="3"/>
      <x:c r="K4062" s="3"/>
      <x:c r="L4062" s="3"/>
    </x:row>
    <x:row r="4063" ht="22" customHeight="1">
      <x:c r="A4063" s="3"/>
      <x:c r="B4063" s="3" t="str">
        <x:v>13182</x:v>
      </x:c>
      <x:c r="C4063" s="3" t="n">
        <x:v>1</x:v>
      </x:c>
      <x:c r="D4063" s="51" t="n">
        <x:v>40841</x:v>
      </x:c>
      <x:c r="E4063" s="3" t="str">
        <x:v>Una compra</x:v>
      </x:c>
      <x:c r="F4063" s="13" t="n">
        <x:v>121.18</x:v>
      </x:c>
      <x:c r="G4063" s="13" t="n">
        <x:v>0</x:v>
      </x:c>
      <x:c r="H4063" s="13" t="n">
        <x:f>F4063-G4063</x:f>
        <x:v>121.18</x:v>
      </x:c>
      <x:c r="I4063" s="13" t="n">
        <x:f>IF(C4063=0,"n.a.",F4063/C4063)</x:f>
        <x:v>121.18</x:v>
      </x:c>
      <x:c r="J4063" s="3"/>
      <x:c r="K4063" s="3"/>
      <x:c r="L4063" s="3"/>
    </x:row>
    <x:row r="4064" ht="22" customHeight="1">
      <x:c r="A4064" s="3"/>
      <x:c r="B4064" s="3" t="str">
        <x:v>15049</x:v>
      </x:c>
      <x:c r="C4064" s="3" t="n">
        <x:v>1</x:v>
      </x:c>
      <x:c r="D4064" s="51" t="n">
        <x:v>40613</x:v>
      </x:c>
      <x:c r="E4064" s="3" t="str">
        <x:v>Una compra</x:v>
      </x:c>
      <x:c r="F4064" s="13" t="n">
        <x:v>121.17</x:v>
      </x:c>
      <x:c r="G4064" s="13" t="n">
        <x:v>0</x:v>
      </x:c>
      <x:c r="H4064" s="13" t="n">
        <x:f>F4064-G4064</x:f>
        <x:v>121.17</x:v>
      </x:c>
      <x:c r="I4064" s="13" t="n">
        <x:f>IF(C4064=0,"n.a.",F4064/C4064)</x:f>
        <x:v>121.17</x:v>
      </x:c>
      <x:c r="J4064" s="3"/>
      <x:c r="K4064" s="3"/>
      <x:c r="L4064" s="3"/>
    </x:row>
    <x:row r="4065" ht="22" customHeight="1">
      <x:c r="A4065" s="3"/>
      <x:c r="B4065" s="3" t="str">
        <x:v>15512</x:v>
      </x:c>
      <x:c r="C4065" s="3" t="n">
        <x:v>2</x:v>
      </x:c>
      <x:c r="D4065" s="51" t="n">
        <x:v>40731</x:v>
      </x:c>
      <x:c r="E4065" s="3" t="str">
        <x:v>Recurrente</x:v>
      </x:c>
      <x:c r="F4065" s="13" t="n">
        <x:v>121</x:v>
      </x:c>
      <x:c r="G4065" s="13" t="n">
        <x:v>0</x:v>
      </x:c>
      <x:c r="H4065" s="13" t="n">
        <x:f>F4065-G4065</x:f>
        <x:v>121</x:v>
      </x:c>
      <x:c r="I4065" s="13" t="n">
        <x:f>IF(C4065=0,"n.a.",F4065/C4065)</x:f>
        <x:v>60.5</x:v>
      </x:c>
      <x:c r="J4065" s="3"/>
      <x:c r="K4065" s="3"/>
      <x:c r="L4065" s="3"/>
    </x:row>
    <x:row r="4066" ht="22" customHeight="1">
      <x:c r="A4066" s="3"/>
      <x:c r="B4066" s="3" t="str">
        <x:v>16611</x:v>
      </x:c>
      <x:c r="C4066" s="3" t="n">
        <x:v>1</x:v>
      </x:c>
      <x:c r="D4066" s="51" t="n">
        <x:v>40700</x:v>
      </x:c>
      <x:c r="E4066" s="3" t="str">
        <x:v>Una compra</x:v>
      </x:c>
      <x:c r="F4066" s="13" t="n">
        <x:v>129.49</x:v>
      </x:c>
      <x:c r="G4066" s="13" t="n">
        <x:v>8.5</x:v>
      </x:c>
      <x:c r="H4066" s="13" t="n">
        <x:f>F4066-G4066</x:f>
        <x:v>120.99000000000001</x:v>
      </x:c>
      <x:c r="I4066" s="13" t="n">
        <x:f>IF(C4066=0,"n.a.",F4066/C4066)</x:f>
        <x:v>129.49</x:v>
      </x:c>
      <x:c r="J4066" s="3"/>
      <x:c r="K4066" s="3"/>
      <x:c r="L4066" s="3"/>
    </x:row>
    <x:row r="4067" ht="22" customHeight="1">
      <x:c r="A4067" s="3"/>
      <x:c r="B4067" s="3" t="str">
        <x:v>13002</x:v>
      </x:c>
      <x:c r="C4067" s="3" t="n">
        <x:v>1</x:v>
      </x:c>
      <x:c r="D4067" s="51" t="n">
        <x:v>40568</x:v>
      </x:c>
      <x:c r="E4067" s="3" t="str">
        <x:v>Una compra</x:v>
      </x:c>
      <x:c r="F4067" s="13" t="n">
        <x:v>120.95</x:v>
      </x:c>
      <x:c r="G4067" s="13" t="n">
        <x:v>0</x:v>
      </x:c>
      <x:c r="H4067" s="13" t="n">
        <x:f>F4067-G4067</x:f>
        <x:v>120.95</x:v>
      </x:c>
      <x:c r="I4067" s="13" t="n">
        <x:f>IF(C4067=0,"n.a.",F4067/C4067)</x:f>
        <x:v>120.95</x:v>
      </x:c>
      <x:c r="J4067" s="3"/>
      <x:c r="K4067" s="3"/>
      <x:c r="L4067" s="3"/>
    </x:row>
    <x:row r="4068" ht="22" customHeight="1">
      <x:c r="A4068" s="3"/>
      <x:c r="B4068" s="3" t="str">
        <x:v>17446</x:v>
      </x:c>
      <x:c r="C4068" s="3" t="n">
        <x:v>2</x:v>
      </x:c>
      <x:c r="D4068" s="51" t="n">
        <x:v>40710</x:v>
      </x:c>
      <x:c r="E4068" s="3" t="str">
        <x:v>Recurrente</x:v>
      </x:c>
      <x:c r="F4068" s="13" t="n">
        <x:v>120.9</x:v>
      </x:c>
      <x:c r="G4068" s="13" t="n">
        <x:v>0</x:v>
      </x:c>
      <x:c r="H4068" s="13" t="n">
        <x:f>F4068-G4068</x:f>
        <x:v>120.9</x:v>
      </x:c>
      <x:c r="I4068" s="13" t="n">
        <x:f>IF(C4068=0,"n.a.",F4068/C4068)</x:f>
        <x:v>60.45</x:v>
      </x:c>
      <x:c r="J4068" s="3"/>
      <x:c r="K4068" s="3"/>
      <x:c r="L4068" s="3"/>
    </x:row>
    <x:row r="4069" ht="22" customHeight="1">
      <x:c r="A4069" s="3"/>
      <x:c r="B4069" s="3" t="str">
        <x:v>18015</x:v>
      </x:c>
      <x:c r="C4069" s="3" t="n">
        <x:v>1</x:v>
      </x:c>
      <x:c r="D4069" s="51" t="n">
        <x:v>40882</x:v>
      </x:c>
      <x:c r="E4069" s="3" t="str">
        <x:v>Una compra</x:v>
      </x:c>
      <x:c r="F4069" s="13" t="n">
        <x:v>120.03</x:v>
      </x:c>
      <x:c r="G4069" s="13" t="n">
        <x:v>0</x:v>
      </x:c>
      <x:c r="H4069" s="13" t="n">
        <x:f>F4069-G4069</x:f>
        <x:v>120.03</x:v>
      </x:c>
      <x:c r="I4069" s="13" t="n">
        <x:f>IF(C4069=0,"n.a.",F4069/C4069)</x:f>
        <x:v>120.03</x:v>
      </x:c>
      <x:c r="J4069" s="3"/>
      <x:c r="K4069" s="3"/>
      <x:c r="L4069" s="3"/>
    </x:row>
    <x:row r="4070" ht="22" customHeight="1">
      <x:c r="A4070" s="3"/>
      <x:c r="B4070" s="3" t="str">
        <x:v>14259</x:v>
      </x:c>
      <x:c r="C4070" s="3" t="n">
        <x:v>1</x:v>
      </x:c>
      <x:c r="D4070" s="51" t="n">
        <x:v>40745</x:v>
      </x:c>
      <x:c r="E4070" s="3" t="str">
        <x:v>Una compra</x:v>
      </x:c>
      <x:c r="F4070" s="13" t="n">
        <x:v>120</x:v>
      </x:c>
      <x:c r="G4070" s="13" t="n">
        <x:v>0</x:v>
      </x:c>
      <x:c r="H4070" s="13" t="n">
        <x:f>F4070-G4070</x:f>
        <x:v>120</x:v>
      </x:c>
      <x:c r="I4070" s="13" t="n">
        <x:f>IF(C4070=0,"n.a.",F4070/C4070)</x:f>
        <x:v>120</x:v>
      </x:c>
      <x:c r="J4070" s="3"/>
      <x:c r="K4070" s="3"/>
      <x:c r="L4070" s="3"/>
    </x:row>
    <x:row r="4071" ht="22" customHeight="1">
      <x:c r="A4071" s="3"/>
      <x:c r="B4071" s="3" t="str">
        <x:v>14314</x:v>
      </x:c>
      <x:c r="C4071" s="3" t="n">
        <x:v>1</x:v>
      </x:c>
      <x:c r="D4071" s="51" t="n">
        <x:v>40780</x:v>
      </x:c>
      <x:c r="E4071" s="3" t="str">
        <x:v>Una compra</x:v>
      </x:c>
      <x:c r="F4071" s="13" t="n">
        <x:v>120</x:v>
      </x:c>
      <x:c r="G4071" s="13" t="n">
        <x:v>0</x:v>
      </x:c>
      <x:c r="H4071" s="13" t="n">
        <x:f>F4071-G4071</x:f>
        <x:v>120</x:v>
      </x:c>
      <x:c r="I4071" s="13" t="n">
        <x:f>IF(C4071=0,"n.a.",F4071/C4071)</x:f>
        <x:v>120</x:v>
      </x:c>
      <x:c r="J4071" s="3"/>
      <x:c r="K4071" s="3"/>
      <x:c r="L4071" s="3"/>
    </x:row>
    <x:row r="4072" ht="22" customHeight="1">
      <x:c r="A4072" s="3"/>
      <x:c r="B4072" s="3" t="str">
        <x:v>14453</x:v>
      </x:c>
      <x:c r="C4072" s="3" t="n">
        <x:v>1</x:v>
      </x:c>
      <x:c r="D4072" s="51" t="n">
        <x:v>40696</x:v>
      </x:c>
      <x:c r="E4072" s="3" t="str">
        <x:v>Una compra</x:v>
      </x:c>
      <x:c r="F4072" s="13" t="n">
        <x:v>119.93</x:v>
      </x:c>
      <x:c r="G4072" s="13" t="n">
        <x:v>0</x:v>
      </x:c>
      <x:c r="H4072" s="13" t="n">
        <x:f>F4072-G4072</x:f>
        <x:v>119.93</x:v>
      </x:c>
      <x:c r="I4072" s="13" t="n">
        <x:f>IF(C4072=0,"n.a.",F4072/C4072)</x:f>
        <x:v>119.93</x:v>
      </x:c>
      <x:c r="J4072" s="3"/>
      <x:c r="K4072" s="3"/>
      <x:c r="L4072" s="3"/>
    </x:row>
    <x:row r="4073" ht="22" customHeight="1">
      <x:c r="A4073" s="3"/>
      <x:c r="B4073" s="3" t="str">
        <x:v>16542</x:v>
      </x:c>
      <x:c r="C4073" s="3" t="n">
        <x:v>1</x:v>
      </x:c>
      <x:c r="D4073" s="51" t="n">
        <x:v>40833</x:v>
      </x:c>
      <x:c r="E4073" s="3" t="str">
        <x:v>Una compra</x:v>
      </x:c>
      <x:c r="F4073" s="13" t="n">
        <x:v>119.62</x:v>
      </x:c>
      <x:c r="G4073" s="13" t="n">
        <x:v>0</x:v>
      </x:c>
      <x:c r="H4073" s="13" t="n">
        <x:f>F4073-G4073</x:f>
        <x:v>119.62</x:v>
      </x:c>
      <x:c r="I4073" s="13" t="n">
        <x:f>IF(C4073=0,"n.a.",F4073/C4073)</x:f>
        <x:v>119.62</x:v>
      </x:c>
      <x:c r="J4073" s="3"/>
      <x:c r="K4073" s="3"/>
      <x:c r="L4073" s="3"/>
    </x:row>
    <x:row r="4074" ht="22" customHeight="1">
      <x:c r="A4074" s="3"/>
      <x:c r="B4074" s="3" t="str">
        <x:v>15266</x:v>
      </x:c>
      <x:c r="C4074" s="3" t="n">
        <x:v>1</x:v>
      </x:c>
      <x:c r="D4074" s="51" t="n">
        <x:v>40548</x:v>
      </x:c>
      <x:c r="E4074" s="3" t="str">
        <x:v>Una compra</x:v>
      </x:c>
      <x:c r="F4074" s="13" t="n">
        <x:v>119.3</x:v>
      </x:c>
      <x:c r="G4074" s="13" t="n">
        <x:v>0</x:v>
      </x:c>
      <x:c r="H4074" s="13" t="n">
        <x:f>F4074-G4074</x:f>
        <x:v>119.3</x:v>
      </x:c>
      <x:c r="I4074" s="13" t="n">
        <x:f>IF(C4074=0,"n.a.",F4074/C4074)</x:f>
        <x:v>119.3</x:v>
      </x:c>
      <x:c r="J4074" s="3"/>
      <x:c r="K4074" s="3"/>
      <x:c r="L4074" s="3"/>
    </x:row>
    <x:row r="4075" ht="22" customHeight="1">
      <x:c r="A4075" s="3"/>
      <x:c r="B4075" s="3" t="str">
        <x:v>16666</x:v>
      </x:c>
      <x:c r="C4075" s="3" t="n">
        <x:v>1</x:v>
      </x:c>
      <x:c r="D4075" s="51" t="n">
        <x:v>40867</x:v>
      </x:c>
      <x:c r="E4075" s="3" t="str">
        <x:v>Una compra</x:v>
      </x:c>
      <x:c r="F4075" s="13" t="n">
        <x:v>118.98</x:v>
      </x:c>
      <x:c r="G4075" s="13" t="n">
        <x:v>0</x:v>
      </x:c>
      <x:c r="H4075" s="13" t="n">
        <x:f>F4075-G4075</x:f>
        <x:v>118.98</x:v>
      </x:c>
      <x:c r="I4075" s="13" t="n">
        <x:f>IF(C4075=0,"n.a.",F4075/C4075)</x:f>
        <x:v>118.98</x:v>
      </x:c>
      <x:c r="J4075" s="3"/>
      <x:c r="K4075" s="3"/>
      <x:c r="L4075" s="3"/>
    </x:row>
    <x:row r="4076" ht="22" customHeight="1">
      <x:c r="A4076" s="3"/>
      <x:c r="B4076" s="3" t="str">
        <x:v>15843</x:v>
      </x:c>
      <x:c r="C4076" s="3" t="n">
        <x:v>1</x:v>
      </x:c>
      <x:c r="D4076" s="51" t="n">
        <x:v>40583</x:v>
      </x:c>
      <x:c r="E4076" s="3" t="str">
        <x:v>Una compra</x:v>
      </x:c>
      <x:c r="F4076" s="13" t="n">
        <x:v>118.95</x:v>
      </x:c>
      <x:c r="G4076" s="13" t="n">
        <x:v>0</x:v>
      </x:c>
      <x:c r="H4076" s="13" t="n">
        <x:f>F4076-G4076</x:f>
        <x:v>118.95</x:v>
      </x:c>
      <x:c r="I4076" s="13" t="n">
        <x:f>IF(C4076=0,"n.a.",F4076/C4076)</x:f>
        <x:v>118.95</x:v>
      </x:c>
      <x:c r="J4076" s="3"/>
      <x:c r="K4076" s="3"/>
      <x:c r="L4076" s="3"/>
    </x:row>
    <x:row r="4077" ht="22" customHeight="1">
      <x:c r="A4077" s="3"/>
      <x:c r="B4077" s="3" t="str">
        <x:v>17079</x:v>
      </x:c>
      <x:c r="C4077" s="3" t="n">
        <x:v>1</x:v>
      </x:c>
      <x:c r="D4077" s="51" t="n">
        <x:v>40808</x:v>
      </x:c>
      <x:c r="E4077" s="3" t="str">
        <x:v>Una compra</x:v>
      </x:c>
      <x:c r="F4077" s="13" t="n">
        <x:v>118.8</x:v>
      </x:c>
      <x:c r="G4077" s="13" t="n">
        <x:v>0</x:v>
      </x:c>
      <x:c r="H4077" s="13" t="n">
        <x:f>F4077-G4077</x:f>
        <x:v>118.8</x:v>
      </x:c>
      <x:c r="I4077" s="13" t="n">
        <x:f>IF(C4077=0,"n.a.",F4077/C4077)</x:f>
        <x:v>118.8</x:v>
      </x:c>
      <x:c r="J4077" s="3"/>
      <x:c r="K4077" s="3"/>
      <x:c r="L4077" s="3"/>
    </x:row>
    <x:row r="4078" ht="22" customHeight="1">
      <x:c r="A4078" s="3"/>
      <x:c r="B4078" s="3" t="str">
        <x:v>14155</x:v>
      </x:c>
      <x:c r="C4078" s="3" t="n">
        <x:v>1</x:v>
      </x:c>
      <x:c r="D4078" s="51" t="n">
        <x:v>40620</x:v>
      </x:c>
      <x:c r="E4078" s="3" t="str">
        <x:v>Una compra</x:v>
      </x:c>
      <x:c r="F4078" s="13" t="n">
        <x:v>118.75</x:v>
      </x:c>
      <x:c r="G4078" s="13" t="n">
        <x:v>0</x:v>
      </x:c>
      <x:c r="H4078" s="13" t="n">
        <x:f>F4078-G4078</x:f>
        <x:v>118.75</x:v>
      </x:c>
      <x:c r="I4078" s="13" t="n">
        <x:f>IF(C4078=0,"n.a.",F4078/C4078)</x:f>
        <x:v>118.75</x:v>
      </x:c>
      <x:c r="J4078" s="3"/>
      <x:c r="K4078" s="3"/>
      <x:c r="L4078" s="3"/>
    </x:row>
    <x:row r="4079" ht="22" customHeight="1">
      <x:c r="A4079" s="3"/>
      <x:c r="B4079" s="3" t="str">
        <x:v>13581</x:v>
      </x:c>
      <x:c r="C4079" s="3" t="n">
        <x:v>1</x:v>
      </x:c>
      <x:c r="D4079" s="51" t="n">
        <x:v>40577</x:v>
      </x:c>
      <x:c r="E4079" s="3" t="str">
        <x:v>Una compra</x:v>
      </x:c>
      <x:c r="F4079" s="13" t="n">
        <x:v>118</x:v>
      </x:c>
      <x:c r="G4079" s="13" t="n">
        <x:v>0</x:v>
      </x:c>
      <x:c r="H4079" s="13" t="n">
        <x:f>F4079-G4079</x:f>
        <x:v>118</x:v>
      </x:c>
      <x:c r="I4079" s="13" t="n">
        <x:f>IF(C4079=0,"n.a.",F4079/C4079)</x:f>
        <x:v>118</x:v>
      </x:c>
      <x:c r="J4079" s="3"/>
      <x:c r="K4079" s="3"/>
      <x:c r="L4079" s="3"/>
    </x:row>
    <x:row r="4080" ht="22" customHeight="1">
      <x:c r="A4080" s="3"/>
      <x:c r="B4080" s="3" t="str">
        <x:v>13193</x:v>
      </x:c>
      <x:c r="C4080" s="3" t="n">
        <x:v>1</x:v>
      </x:c>
      <x:c r="D4080" s="51" t="n">
        <x:v>40825</x:v>
      </x:c>
      <x:c r="E4080" s="3" t="str">
        <x:v>Una compra</x:v>
      </x:c>
      <x:c r="F4080" s="13" t="n">
        <x:v>117.88</x:v>
      </x:c>
      <x:c r="G4080" s="13" t="n">
        <x:v>0</x:v>
      </x:c>
      <x:c r="H4080" s="13" t="n">
        <x:f>F4080-G4080</x:f>
        <x:v>117.88</x:v>
      </x:c>
      <x:c r="I4080" s="13" t="n">
        <x:f>IF(C4080=0,"n.a.",F4080/C4080)</x:f>
        <x:v>117.88</x:v>
      </x:c>
      <x:c r="J4080" s="3"/>
      <x:c r="K4080" s="3"/>
      <x:c r="L4080" s="3"/>
    </x:row>
    <x:row r="4081" ht="22" customHeight="1">
      <x:c r="A4081" s="3"/>
      <x:c r="B4081" s="3" t="str">
        <x:v>17654</x:v>
      </x:c>
      <x:c r="C4081" s="3" t="n">
        <x:v>1</x:v>
      </x:c>
      <x:c r="D4081" s="51" t="n">
        <x:v>40609</x:v>
      </x:c>
      <x:c r="E4081" s="3" t="str">
        <x:v>Una compra</x:v>
      </x:c>
      <x:c r="F4081" s="13" t="n">
        <x:v>117.55</x:v>
      </x:c>
      <x:c r="G4081" s="13" t="n">
        <x:v>0</x:v>
      </x:c>
      <x:c r="H4081" s="13" t="n">
        <x:f>F4081-G4081</x:f>
        <x:v>117.55</x:v>
      </x:c>
      <x:c r="I4081" s="13" t="n">
        <x:f>IF(C4081=0,"n.a.",F4081/C4081)</x:f>
        <x:v>117.55</x:v>
      </x:c>
      <x:c r="J4081" s="3"/>
      <x:c r="K4081" s="3"/>
      <x:c r="L4081" s="3"/>
    </x:row>
    <x:row r="4082" ht="22" customHeight="1">
      <x:c r="A4082" s="3"/>
      <x:c r="B4082" s="3" t="str">
        <x:v>15836</x:v>
      </x:c>
      <x:c r="C4082" s="3" t="n">
        <x:v>1</x:v>
      </x:c>
      <x:c r="D4082" s="51" t="n">
        <x:v>40836</x:v>
      </x:c>
      <x:c r="E4082" s="3" t="str">
        <x:v>Una compra</x:v>
      </x:c>
      <x:c r="F4082" s="13" t="n">
        <x:v>137.37</x:v>
      </x:c>
      <x:c r="G4082" s="13" t="n">
        <x:v>19.9</x:v>
      </x:c>
      <x:c r="H4082" s="13" t="n">
        <x:f>F4082-G4082</x:f>
        <x:v>117.47</x:v>
      </x:c>
      <x:c r="I4082" s="13" t="n">
        <x:f>IF(C4082=0,"n.a.",F4082/C4082)</x:f>
        <x:v>137.37</x:v>
      </x:c>
      <x:c r="J4082" s="3"/>
      <x:c r="K4082" s="3"/>
      <x:c r="L4082" s="3"/>
    </x:row>
    <x:row r="4083" ht="22" customHeight="1">
      <x:c r="A4083" s="3"/>
      <x:c r="B4083" s="3" t="str">
        <x:v>16959</x:v>
      </x:c>
      <x:c r="C4083" s="3" t="n">
        <x:v>1</x:v>
      </x:c>
      <x:c r="D4083" s="51" t="n">
        <x:v>40799</x:v>
      </x:c>
      <x:c r="E4083" s="3" t="str">
        <x:v>Una compra</x:v>
      </x:c>
      <x:c r="F4083" s="13" t="n">
        <x:v>117.35</x:v>
      </x:c>
      <x:c r="G4083" s="13" t="n">
        <x:v>0</x:v>
      </x:c>
      <x:c r="H4083" s="13" t="n">
        <x:f>F4083-G4083</x:f>
        <x:v>117.35</x:v>
      </x:c>
      <x:c r="I4083" s="13" t="n">
        <x:f>IF(C4083=0,"n.a.",F4083/C4083)</x:f>
        <x:v>117.35</x:v>
      </x:c>
      <x:c r="J4083" s="3"/>
      <x:c r="K4083" s="3"/>
      <x:c r="L4083" s="3"/>
    </x:row>
    <x:row r="4084" ht="22" customHeight="1">
      <x:c r="A4084" s="3"/>
      <x:c r="B4084" s="3" t="str">
        <x:v>13877</x:v>
      </x:c>
      <x:c r="C4084" s="3" t="n">
        <x:v>1</x:v>
      </x:c>
      <x:c r="D4084" s="51" t="n">
        <x:v>40800</x:v>
      </x:c>
      <x:c r="E4084" s="3" t="str">
        <x:v>Una compra</x:v>
      </x:c>
      <x:c r="F4084" s="13" t="n">
        <x:v>117.24</x:v>
      </x:c>
      <x:c r="G4084" s="13" t="n">
        <x:v>0</x:v>
      </x:c>
      <x:c r="H4084" s="13" t="n">
        <x:f>F4084-G4084</x:f>
        <x:v>117.24</x:v>
      </x:c>
      <x:c r="I4084" s="13" t="n">
        <x:f>IF(C4084=0,"n.a.",F4084/C4084)</x:f>
        <x:v>117.24</x:v>
      </x:c>
      <x:c r="J4084" s="3"/>
      <x:c r="K4084" s="3"/>
      <x:c r="L4084" s="3"/>
    </x:row>
    <x:row r="4085" ht="22" customHeight="1">
      <x:c r="A4085" s="3"/>
      <x:c r="B4085" s="3" t="str">
        <x:v>17117</x:v>
      </x:c>
      <x:c r="C4085" s="3" t="n">
        <x:v>1</x:v>
      </x:c>
      <x:c r="D4085" s="51" t="n">
        <x:v>40598</x:v>
      </x:c>
      <x:c r="E4085" s="3" t="str">
        <x:v>Una compra</x:v>
      </x:c>
      <x:c r="F4085" s="13" t="n">
        <x:v>116.2</x:v>
      </x:c>
      <x:c r="G4085" s="13" t="n">
        <x:v>0</x:v>
      </x:c>
      <x:c r="H4085" s="13" t="n">
        <x:f>F4085-G4085</x:f>
        <x:v>116.2</x:v>
      </x:c>
      <x:c r="I4085" s="13" t="n">
        <x:f>IF(C4085=0,"n.a.",F4085/C4085)</x:f>
        <x:v>116.2</x:v>
      </x:c>
      <x:c r="J4085" s="3"/>
      <x:c r="K4085" s="3"/>
      <x:c r="L4085" s="3"/>
    </x:row>
    <x:row r="4086" ht="22" customHeight="1">
      <x:c r="A4086" s="3"/>
      <x:c r="B4086" s="3" t="str">
        <x:v>13170</x:v>
      </x:c>
      <x:c r="C4086" s="3" t="n">
        <x:v>1</x:v>
      </x:c>
      <x:c r="D4086" s="51" t="n">
        <x:v>40860</x:v>
      </x:c>
      <x:c r="E4086" s="3" t="str">
        <x:v>Una compra</x:v>
      </x:c>
      <x:c r="F4086" s="13" t="n">
        <x:v>116.01</x:v>
      </x:c>
      <x:c r="G4086" s="13" t="n">
        <x:v>0</x:v>
      </x:c>
      <x:c r="H4086" s="13" t="n">
        <x:f>F4086-G4086</x:f>
        <x:v>116.01</x:v>
      </x:c>
      <x:c r="I4086" s="13" t="n">
        <x:f>IF(C4086=0,"n.a.",F4086/C4086)</x:f>
        <x:v>116.01</x:v>
      </x:c>
      <x:c r="J4086" s="3"/>
      <x:c r="K4086" s="3"/>
      <x:c r="L4086" s="3"/>
    </x:row>
    <x:row r="4087" ht="22" customHeight="1">
      <x:c r="A4087" s="3"/>
      <x:c r="B4087" s="3" t="str">
        <x:v>17601</x:v>
      </x:c>
      <x:c r="C4087" s="3" t="n">
        <x:v>1</x:v>
      </x:c>
      <x:c r="D4087" s="51" t="n">
        <x:v>40647</x:v>
      </x:c>
      <x:c r="E4087" s="3" t="str">
        <x:v>Una compra</x:v>
      </x:c>
      <x:c r="F4087" s="13" t="n">
        <x:v>116.01</x:v>
      </x:c>
      <x:c r="G4087" s="13" t="n">
        <x:v>0</x:v>
      </x:c>
      <x:c r="H4087" s="13" t="n">
        <x:f>F4087-G4087</x:f>
        <x:v>116.01</x:v>
      </x:c>
      <x:c r="I4087" s="13" t="n">
        <x:f>IF(C4087=0,"n.a.",F4087/C4087)</x:f>
        <x:v>116.01</x:v>
      </x:c>
      <x:c r="J4087" s="3"/>
      <x:c r="K4087" s="3"/>
      <x:c r="L4087" s="3"/>
    </x:row>
    <x:row r="4088" ht="22" customHeight="1">
      <x:c r="A4088" s="3"/>
      <x:c r="B4088" s="3" t="str">
        <x:v>14143</x:v>
      </x:c>
      <x:c r="C4088" s="3" t="n">
        <x:v>1</x:v>
      </x:c>
      <x:c r="D4088" s="51" t="n">
        <x:v>40753</x:v>
      </x:c>
      <x:c r="E4088" s="3" t="str">
        <x:v>Una compra</x:v>
      </x:c>
      <x:c r="F4088" s="13" t="n">
        <x:v>115.8</x:v>
      </x:c>
      <x:c r="G4088" s="13" t="n">
        <x:v>0</x:v>
      </x:c>
      <x:c r="H4088" s="13" t="n">
        <x:f>F4088-G4088</x:f>
        <x:v>115.8</x:v>
      </x:c>
      <x:c r="I4088" s="13" t="n">
        <x:f>IF(C4088=0,"n.a.",F4088/C4088)</x:f>
        <x:v>115.8</x:v>
      </x:c>
      <x:c r="J4088" s="3"/>
      <x:c r="K4088" s="3"/>
      <x:c r="L4088" s="3"/>
    </x:row>
    <x:row r="4089" ht="22" customHeight="1">
      <x:c r="A4089" s="3"/>
      <x:c r="B4089" s="3" t="str">
        <x:v>15350</x:v>
      </x:c>
      <x:c r="C4089" s="3" t="n">
        <x:v>1</x:v>
      </x:c>
      <x:c r="D4089" s="51" t="n">
        <x:v>40513</x:v>
      </x:c>
      <x:c r="E4089" s="3" t="str">
        <x:v>Una compra</x:v>
      </x:c>
      <x:c r="F4089" s="13" t="n">
        <x:v>115.65</x:v>
      </x:c>
      <x:c r="G4089" s="13" t="n">
        <x:v>0</x:v>
      </x:c>
      <x:c r="H4089" s="13" t="n">
        <x:f>F4089-G4089</x:f>
        <x:v>115.65</x:v>
      </x:c>
      <x:c r="I4089" s="13" t="n">
        <x:f>IF(C4089=0,"n.a.",F4089/C4089)</x:f>
        <x:v>115.65</x:v>
      </x:c>
      <x:c r="J4089" s="3"/>
      <x:c r="K4089" s="3"/>
      <x:c r="L4089" s="3"/>
    </x:row>
    <x:row r="4090" ht="22" customHeight="1">
      <x:c r="A4090" s="3"/>
      <x:c r="B4090" s="3" t="str">
        <x:v>13067</x:v>
      </x:c>
      <x:c r="C4090" s="3" t="n">
        <x:v>1</x:v>
      </x:c>
      <x:c r="D4090" s="51" t="n">
        <x:v>40804</x:v>
      </x:c>
      <x:c r="E4090" s="3" t="str">
        <x:v>Una compra</x:v>
      </x:c>
      <x:c r="F4090" s="13" t="n">
        <x:v>115.46</x:v>
      </x:c>
      <x:c r="G4090" s="13" t="n">
        <x:v>0</x:v>
      </x:c>
      <x:c r="H4090" s="13" t="n">
        <x:f>F4090-G4090</x:f>
        <x:v>115.46</x:v>
      </x:c>
      <x:c r="I4090" s="13" t="n">
        <x:f>IF(C4090=0,"n.a.",F4090/C4090)</x:f>
        <x:v>115.46</x:v>
      </x:c>
      <x:c r="J4090" s="3"/>
      <x:c r="K4090" s="3"/>
      <x:c r="L4090" s="3"/>
    </x:row>
    <x:row r="4091" ht="22" customHeight="1">
      <x:c r="A4091" s="3"/>
      <x:c r="B4091" s="3" t="str">
        <x:v>18027</x:v>
      </x:c>
      <x:c r="C4091" s="3" t="n">
        <x:v>1</x:v>
      </x:c>
      <x:c r="D4091" s="51" t="n">
        <x:v>40788</x:v>
      </x:c>
      <x:c r="E4091" s="3" t="str">
        <x:v>Una compra</x:v>
      </x:c>
      <x:c r="F4091" s="13" t="n">
        <x:v>115.31</x:v>
      </x:c>
      <x:c r="G4091" s="13" t="n">
        <x:v>0</x:v>
      </x:c>
      <x:c r="H4091" s="13" t="n">
        <x:f>F4091-G4091</x:f>
        <x:v>115.31</x:v>
      </x:c>
      <x:c r="I4091" s="13" t="n">
        <x:f>IF(C4091=0,"n.a.",F4091/C4091)</x:f>
        <x:v>115.31</x:v>
      </x:c>
      <x:c r="J4091" s="3"/>
      <x:c r="K4091" s="3"/>
      <x:c r="L4091" s="3"/>
    </x:row>
    <x:row r="4092" ht="22" customHeight="1">
      <x:c r="A4092" s="3"/>
      <x:c r="B4092" s="3" t="str">
        <x:v>14972</x:v>
      </x:c>
      <x:c r="C4092" s="3" t="n">
        <x:v>1</x:v>
      </x:c>
      <x:c r="D4092" s="51" t="n">
        <x:v>40758</x:v>
      </x:c>
      <x:c r="E4092" s="3" t="str">
        <x:v>Una compra</x:v>
      </x:c>
      <x:c r="F4092" s="13" t="n">
        <x:v>114.77</x:v>
      </x:c>
      <x:c r="G4092" s="13" t="n">
        <x:v>0</x:v>
      </x:c>
      <x:c r="H4092" s="13" t="n">
        <x:f>F4092-G4092</x:f>
        <x:v>114.77</x:v>
      </x:c>
      <x:c r="I4092" s="13" t="n">
        <x:f>IF(C4092=0,"n.a.",F4092/C4092)</x:f>
        <x:v>114.77</x:v>
      </x:c>
      <x:c r="J4092" s="3"/>
      <x:c r="K4092" s="3"/>
      <x:c r="L4092" s="3"/>
    </x:row>
    <x:row r="4093" ht="22" customHeight="1">
      <x:c r="A4093" s="3"/>
      <x:c r="B4093" s="3" t="str">
        <x:v>13188</x:v>
      </x:c>
      <x:c r="C4093" s="3" t="n">
        <x:v>1</x:v>
      </x:c>
      <x:c r="D4093" s="51" t="n">
        <x:v>40875</x:v>
      </x:c>
      <x:c r="E4093" s="3" t="str">
        <x:v>Una compra</x:v>
      </x:c>
      <x:c r="F4093" s="13" t="n">
        <x:v>114.6</x:v>
      </x:c>
      <x:c r="G4093" s="13" t="n">
        <x:v>0</x:v>
      </x:c>
      <x:c r="H4093" s="13" t="n">
        <x:f>F4093-G4093</x:f>
        <x:v>114.6</x:v>
      </x:c>
      <x:c r="I4093" s="13" t="n">
        <x:f>IF(C4093=0,"n.a.",F4093/C4093)</x:f>
        <x:v>114.6</x:v>
      </x:c>
      <x:c r="J4093" s="3"/>
      <x:c r="K4093" s="3"/>
      <x:c r="L4093" s="3"/>
    </x:row>
    <x:row r="4094" ht="22" customHeight="1">
      <x:c r="A4094" s="3"/>
      <x:c r="B4094" s="3" t="str">
        <x:v>14632</x:v>
      </x:c>
      <x:c r="C4094" s="3" t="n">
        <x:v>1</x:v>
      </x:c>
      <x:c r="D4094" s="51" t="n">
        <x:v>40624</x:v>
      </x:c>
      <x:c r="E4094" s="3" t="str">
        <x:v>Una compra</x:v>
      </x:c>
      <x:c r="F4094" s="13" t="n">
        <x:v>114.56</x:v>
      </x:c>
      <x:c r="G4094" s="13" t="n">
        <x:v>0</x:v>
      </x:c>
      <x:c r="H4094" s="13" t="n">
        <x:f>F4094-G4094</x:f>
        <x:v>114.56</x:v>
      </x:c>
      <x:c r="I4094" s="13" t="n">
        <x:f>IF(C4094=0,"n.a.",F4094/C4094)</x:f>
        <x:v>114.56</x:v>
      </x:c>
      <x:c r="J4094" s="3"/>
      <x:c r="K4094" s="3"/>
      <x:c r="L4094" s="3"/>
    </x:row>
    <x:row r="4095" ht="22" customHeight="1">
      <x:c r="A4095" s="3"/>
      <x:c r="B4095" s="3" t="str">
        <x:v>16247</x:v>
      </x:c>
      <x:c r="C4095" s="3" t="n">
        <x:v>1</x:v>
      </x:c>
      <x:c r="D4095" s="51" t="n">
        <x:v>40716</x:v>
      </x:c>
      <x:c r="E4095" s="3" t="str">
        <x:v>Una compra</x:v>
      </x:c>
      <x:c r="F4095" s="13" t="n">
        <x:v>114.56</x:v>
      </x:c>
      <x:c r="G4095" s="13" t="n">
        <x:v>0</x:v>
      </x:c>
      <x:c r="H4095" s="13" t="n">
        <x:f>F4095-G4095</x:f>
        <x:v>114.56</x:v>
      </x:c>
      <x:c r="I4095" s="13" t="n">
        <x:f>IF(C4095=0,"n.a.",F4095/C4095)</x:f>
        <x:v>114.56</x:v>
      </x:c>
      <x:c r="J4095" s="3"/>
      <x:c r="K4095" s="3"/>
      <x:c r="L4095" s="3"/>
    </x:row>
    <x:row r="4096" ht="22" customHeight="1">
      <x:c r="A4096" s="3"/>
      <x:c r="B4096" s="3" t="str">
        <x:v>14974</x:v>
      </x:c>
      <x:c r="C4096" s="3" t="n">
        <x:v>1</x:v>
      </x:c>
      <x:c r="D4096" s="51" t="n">
        <x:v>40849</x:v>
      </x:c>
      <x:c r="E4096" s="3" t="str">
        <x:v>Una compra</x:v>
      </x:c>
      <x:c r="F4096" s="13" t="n">
        <x:v>114.39</x:v>
      </x:c>
      <x:c r="G4096" s="13" t="n">
        <x:v>0</x:v>
      </x:c>
      <x:c r="H4096" s="13" t="n">
        <x:f>F4096-G4096</x:f>
        <x:v>114.39</x:v>
      </x:c>
      <x:c r="I4096" s="13" t="n">
        <x:f>IF(C4096=0,"n.a.",F4096/C4096)</x:f>
        <x:v>114.39</x:v>
      </x:c>
      <x:c r="J4096" s="3"/>
      <x:c r="K4096" s="3"/>
      <x:c r="L4096" s="3"/>
    </x:row>
    <x:row r="4097" ht="22" customHeight="1">
      <x:c r="A4097" s="3"/>
      <x:c r="B4097" s="3" t="str">
        <x:v>17852</x:v>
      </x:c>
      <x:c r="C4097" s="3" t="n">
        <x:v>2</x:v>
      </x:c>
      <x:c r="D4097" s="51" t="n">
        <x:v>40875</x:v>
      </x:c>
      <x:c r="E4097" s="3" t="str">
        <x:v>Recurrente</x:v>
      </x:c>
      <x:c r="F4097" s="13" t="n">
        <x:v>114.34</x:v>
      </x:c>
      <x:c r="G4097" s="13" t="n">
        <x:v>0</x:v>
      </x:c>
      <x:c r="H4097" s="13" t="n">
        <x:f>F4097-G4097</x:f>
        <x:v>114.34</x:v>
      </x:c>
      <x:c r="I4097" s="13" t="n">
        <x:f>IF(C4097=0,"n.a.",F4097/C4097)</x:f>
        <x:v>57.17</x:v>
      </x:c>
      <x:c r="J4097" s="3"/>
      <x:c r="K4097" s="3"/>
      <x:c r="L4097" s="3"/>
    </x:row>
    <x:row r="4098" ht="22" customHeight="1">
      <x:c r="A4098" s="3"/>
      <x:c r="B4098" s="3" t="str">
        <x:v>17219</x:v>
      </x:c>
      <x:c r="C4098" s="3" t="n">
        <x:v>1</x:v>
      </x:c>
      <x:c r="D4098" s="51" t="n">
        <x:v>40855</x:v>
      </x:c>
      <x:c r="E4098" s="3" t="str">
        <x:v>Una compra</x:v>
      </x:c>
      <x:c r="F4098" s="13" t="n">
        <x:v>114.23</x:v>
      </x:c>
      <x:c r="G4098" s="13" t="n">
        <x:v>0</x:v>
      </x:c>
      <x:c r="H4098" s="13" t="n">
        <x:f>F4098-G4098</x:f>
        <x:v>114.23</x:v>
      </x:c>
      <x:c r="I4098" s="13" t="n">
        <x:f>IF(C4098=0,"n.a.",F4098/C4098)</x:f>
        <x:v>114.23</x:v>
      </x:c>
      <x:c r="J4098" s="3"/>
      <x:c r="K4098" s="3"/>
      <x:c r="L4098" s="3"/>
    </x:row>
    <x:row r="4099" ht="22" customHeight="1">
      <x:c r="A4099" s="3"/>
      <x:c r="B4099" s="3" t="str">
        <x:v>14652</x:v>
      </x:c>
      <x:c r="C4099" s="3" t="n">
        <x:v>1</x:v>
      </x:c>
      <x:c r="D4099" s="51" t="n">
        <x:v>40809</x:v>
      </x:c>
      <x:c r="E4099" s="3" t="str">
        <x:v>Una compra</x:v>
      </x:c>
      <x:c r="F4099" s="13" t="n">
        <x:v>114.18</x:v>
      </x:c>
      <x:c r="G4099" s="13" t="n">
        <x:v>0</x:v>
      </x:c>
      <x:c r="H4099" s="13" t="n">
        <x:f>F4099-G4099</x:f>
        <x:v>114.18</x:v>
      </x:c>
      <x:c r="I4099" s="13" t="n">
        <x:f>IF(C4099=0,"n.a.",F4099/C4099)</x:f>
        <x:v>114.18</x:v>
      </x:c>
      <x:c r="J4099" s="3"/>
      <x:c r="K4099" s="3"/>
      <x:c r="L4099" s="3"/>
    </x:row>
    <x:row r="4100" ht="22" customHeight="1">
      <x:c r="A4100" s="3"/>
      <x:c r="B4100" s="3" t="str">
        <x:v>12938</x:v>
      </x:c>
      <x:c r="C4100" s="3" t="n">
        <x:v>1</x:v>
      </x:c>
      <x:c r="D4100" s="51" t="n">
        <x:v>40861</x:v>
      </x:c>
      <x:c r="E4100" s="3" t="str">
        <x:v>Una compra</x:v>
      </x:c>
      <x:c r="F4100" s="13" t="n">
        <x:v>114.14</x:v>
      </x:c>
      <x:c r="G4100" s="13" t="n">
        <x:v>0</x:v>
      </x:c>
      <x:c r="H4100" s="13" t="n">
        <x:f>F4100-G4100</x:f>
        <x:v>114.14</x:v>
      </x:c>
      <x:c r="I4100" s="13" t="n">
        <x:f>IF(C4100=0,"n.a.",F4100/C4100)</x:f>
        <x:v>114.14</x:v>
      </x:c>
      <x:c r="J4100" s="3"/>
      <x:c r="K4100" s="3"/>
      <x:c r="L4100" s="3"/>
    </x:row>
    <x:row r="4101" ht="22" customHeight="1">
      <x:c r="A4101" s="3"/>
      <x:c r="B4101" s="3" t="str">
        <x:v>14582</x:v>
      </x:c>
      <x:c r="C4101" s="3" t="n">
        <x:v>1</x:v>
      </x:c>
      <x:c r="D4101" s="51" t="n">
        <x:v>40846</x:v>
      </x:c>
      <x:c r="E4101" s="3" t="str">
        <x:v>Una compra</x:v>
      </x:c>
      <x:c r="F4101" s="13" t="n">
        <x:v>114.11</x:v>
      </x:c>
      <x:c r="G4101" s="13" t="n">
        <x:v>0</x:v>
      </x:c>
      <x:c r="H4101" s="13" t="n">
        <x:f>F4101-G4101</x:f>
        <x:v>114.11</x:v>
      </x:c>
      <x:c r="I4101" s="13" t="n">
        <x:f>IF(C4101=0,"n.a.",F4101/C4101)</x:f>
        <x:v>114.11</x:v>
      </x:c>
      <x:c r="J4101" s="3"/>
      <x:c r="K4101" s="3"/>
      <x:c r="L4101" s="3"/>
    </x:row>
    <x:row r="4102" ht="22" customHeight="1">
      <x:c r="A4102" s="3"/>
      <x:c r="B4102" s="3" t="str">
        <x:v>15221</x:v>
      </x:c>
      <x:c r="C4102" s="3" t="n">
        <x:v>1</x:v>
      </x:c>
      <x:c r="D4102" s="51" t="n">
        <x:v>40520</x:v>
      </x:c>
      <x:c r="E4102" s="3" t="str">
        <x:v>Una compra</x:v>
      </x:c>
      <x:c r="F4102" s="13" t="n">
        <x:v>403.25</x:v>
      </x:c>
      <x:c r="G4102" s="13" t="n">
        <x:v>289.15</x:v>
      </x:c>
      <x:c r="H4102" s="13" t="n">
        <x:f>F4102-G4102</x:f>
        <x:v>114.10000000000002</x:v>
      </x:c>
      <x:c r="I4102" s="13" t="n">
        <x:f>IF(C4102=0,"n.a.",F4102/C4102)</x:f>
        <x:v>403.25</x:v>
      </x:c>
      <x:c r="J4102" s="3"/>
      <x:c r="K4102" s="3"/>
      <x:c r="L4102" s="3"/>
    </x:row>
    <x:row r="4103" ht="22" customHeight="1">
      <x:c r="A4103" s="3"/>
      <x:c r="B4103" s="3" t="str">
        <x:v>12651</x:v>
      </x:c>
      <x:c r="C4103" s="3" t="n">
        <x:v>1</x:v>
      </x:c>
      <x:c r="D4103" s="51" t="n">
        <x:v>40552</x:v>
      </x:c>
      <x:c r="E4103" s="3" t="str">
        <x:v>Una compra</x:v>
      </x:c>
      <x:c r="F4103" s="13" t="n">
        <x:v>114</x:v>
      </x:c>
      <x:c r="G4103" s="13" t="n">
        <x:v>0</x:v>
      </x:c>
      <x:c r="H4103" s="13" t="n">
        <x:f>F4103-G4103</x:f>
        <x:v>114</x:v>
      </x:c>
      <x:c r="I4103" s="13" t="n">
        <x:f>IF(C4103=0,"n.a.",F4103/C4103)</x:f>
        <x:v>114</x:v>
      </x:c>
      <x:c r="J4103" s="3"/>
      <x:c r="K4103" s="3"/>
      <x:c r="L4103" s="3"/>
    </x:row>
    <x:row r="4104" ht="22" customHeight="1">
      <x:c r="A4104" s="3"/>
      <x:c r="B4104" s="3" t="str">
        <x:v>14457</x:v>
      </x:c>
      <x:c r="C4104" s="3" t="n">
        <x:v>1</x:v>
      </x:c>
      <x:c r="D4104" s="51" t="n">
        <x:v>40576</x:v>
      </x:c>
      <x:c r="E4104" s="3" t="str">
        <x:v>Una compra</x:v>
      </x:c>
      <x:c r="F4104" s="13" t="n">
        <x:v>113.64</x:v>
      </x:c>
      <x:c r="G4104" s="13" t="n">
        <x:v>0</x:v>
      </x:c>
      <x:c r="H4104" s="13" t="n">
        <x:f>F4104-G4104</x:f>
        <x:v>113.64</x:v>
      </x:c>
      <x:c r="I4104" s="13" t="n">
        <x:f>IF(C4104=0,"n.a.",F4104/C4104)</x:f>
        <x:v>113.64</x:v>
      </x:c>
      <x:c r="J4104" s="3"/>
      <x:c r="K4104" s="3"/>
      <x:c r="L4104" s="3"/>
    </x:row>
    <x:row r="4105" ht="22" customHeight="1">
      <x:c r="A4105" s="3"/>
      <x:c r="B4105" s="3" t="str">
        <x:v>15445</x:v>
      </x:c>
      <x:c r="C4105" s="3" t="n">
        <x:v>1</x:v>
      </x:c>
      <x:c r="D4105" s="51" t="n">
        <x:v>40622</x:v>
      </x:c>
      <x:c r="E4105" s="3" t="str">
        <x:v>Una compra</x:v>
      </x:c>
      <x:c r="F4105" s="13" t="n">
        <x:v>113.5</x:v>
      </x:c>
      <x:c r="G4105" s="13" t="n">
        <x:v>0</x:v>
      </x:c>
      <x:c r="H4105" s="13" t="n">
        <x:f>F4105-G4105</x:f>
        <x:v>113.5</x:v>
      </x:c>
      <x:c r="I4105" s="13" t="n">
        <x:f>IF(C4105=0,"n.a.",F4105/C4105)</x:f>
        <x:v>113.5</x:v>
      </x:c>
      <x:c r="J4105" s="3"/>
      <x:c r="K4105" s="3"/>
      <x:c r="L4105" s="3"/>
    </x:row>
    <x:row r="4106" ht="22" customHeight="1">
      <x:c r="A4106" s="3"/>
      <x:c r="B4106" s="3" t="str">
        <x:v>16828</x:v>
      </x:c>
      <x:c r="C4106" s="3" t="n">
        <x:v>1</x:v>
      </x:c>
      <x:c r="D4106" s="51" t="n">
        <x:v>40774</x:v>
      </x:c>
      <x:c r="E4106" s="3" t="str">
        <x:v>Una compra</x:v>
      </x:c>
      <x:c r="F4106" s="13" t="n">
        <x:v>113.5</x:v>
      </x:c>
      <x:c r="G4106" s="13" t="n">
        <x:v>0</x:v>
      </x:c>
      <x:c r="H4106" s="13" t="n">
        <x:f>F4106-G4106</x:f>
        <x:v>113.5</x:v>
      </x:c>
      <x:c r="I4106" s="13" t="n">
        <x:f>IF(C4106=0,"n.a.",F4106/C4106)</x:f>
        <x:v>113.5</x:v>
      </x:c>
      <x:c r="J4106" s="3"/>
      <x:c r="K4106" s="3"/>
      <x:c r="L4106" s="3"/>
    </x:row>
    <x:row r="4107" ht="22" customHeight="1">
      <x:c r="A4107" s="3"/>
      <x:c r="B4107" s="3" t="str">
        <x:v>17217</x:v>
      </x:c>
      <x:c r="C4107" s="3" t="n">
        <x:v>1</x:v>
      </x:c>
      <x:c r="D4107" s="51" t="n">
        <x:v>40652</x:v>
      </x:c>
      <x:c r="E4107" s="3" t="str">
        <x:v>Una compra</x:v>
      </x:c>
      <x:c r="F4107" s="13" t="n">
        <x:v>113.5</x:v>
      </x:c>
      <x:c r="G4107" s="13" t="n">
        <x:v>0</x:v>
      </x:c>
      <x:c r="H4107" s="13" t="n">
        <x:f>F4107-G4107</x:f>
        <x:v>113.5</x:v>
      </x:c>
      <x:c r="I4107" s="13" t="n">
        <x:f>IF(C4107=0,"n.a.",F4107/C4107)</x:f>
        <x:v>113.5</x:v>
      </x:c>
      <x:c r="J4107" s="3"/>
      <x:c r="K4107" s="3"/>
      <x:c r="L4107" s="3"/>
    </x:row>
    <x:row r="4108" ht="22" customHeight="1">
      <x:c r="A4108" s="3"/>
      <x:c r="B4108" s="3" t="str">
        <x:v>18105</x:v>
      </x:c>
      <x:c r="C4108" s="3" t="n">
        <x:v>1</x:v>
      </x:c>
      <x:c r="D4108" s="51" t="n">
        <x:v>40849</x:v>
      </x:c>
      <x:c r="E4108" s="3" t="str">
        <x:v>Una compra</x:v>
      </x:c>
      <x:c r="F4108" s="13" t="n">
        <x:v>113.48</x:v>
      </x:c>
      <x:c r="G4108" s="13" t="n">
        <x:v>0</x:v>
      </x:c>
      <x:c r="H4108" s="13" t="n">
        <x:f>F4108-G4108</x:f>
        <x:v>113.48</x:v>
      </x:c>
      <x:c r="I4108" s="13" t="n">
        <x:f>IF(C4108=0,"n.a.",F4108/C4108)</x:f>
        <x:v>113.48</x:v>
      </x:c>
      <x:c r="J4108" s="3"/>
      <x:c r="K4108" s="3"/>
      <x:c r="L4108" s="3"/>
    </x:row>
    <x:row r="4109" ht="22" customHeight="1">
      <x:c r="A4109" s="3"/>
      <x:c r="B4109" s="3" t="str">
        <x:v>16913</x:v>
      </x:c>
      <x:c r="C4109" s="3" t="n">
        <x:v>1</x:v>
      </x:c>
      <x:c r="D4109" s="51" t="n">
        <x:v>40596</x:v>
      </x:c>
      <x:c r="E4109" s="3" t="str">
        <x:v>Una compra</x:v>
      </x:c>
      <x:c r="F4109" s="13" t="n">
        <x:v>113.44</x:v>
      </x:c>
      <x:c r="G4109" s="13" t="n">
        <x:v>0</x:v>
      </x:c>
      <x:c r="H4109" s="13" t="n">
        <x:f>F4109-G4109</x:f>
        <x:v>113.44</x:v>
      </x:c>
      <x:c r="I4109" s="13" t="n">
        <x:f>IF(C4109=0,"n.a.",F4109/C4109)</x:f>
        <x:v>113.44</x:v>
      </x:c>
      <x:c r="J4109" s="3"/>
      <x:c r="K4109" s="3"/>
      <x:c r="L4109" s="3"/>
    </x:row>
    <x:row r="4110" ht="22" customHeight="1">
      <x:c r="A4110" s="3"/>
      <x:c r="B4110" s="3" t="str">
        <x:v>15280</x:v>
      </x:c>
      <x:c r="C4110" s="3" t="n">
        <x:v>1</x:v>
      </x:c>
      <x:c r="D4110" s="51" t="n">
        <x:v>40714</x:v>
      </x:c>
      <x:c r="E4110" s="3" t="str">
        <x:v>Una compra</x:v>
      </x:c>
      <x:c r="F4110" s="13" t="n">
        <x:v>113.12</x:v>
      </x:c>
      <x:c r="G4110" s="13" t="n">
        <x:v>0</x:v>
      </x:c>
      <x:c r="H4110" s="13" t="n">
        <x:f>F4110-G4110</x:f>
        <x:v>113.12</x:v>
      </x:c>
      <x:c r="I4110" s="13" t="n">
        <x:f>IF(C4110=0,"n.a.",F4110/C4110)</x:f>
        <x:v>113.12</x:v>
      </x:c>
      <x:c r="J4110" s="3"/>
      <x:c r="K4110" s="3"/>
      <x:c r="L4110" s="3"/>
    </x:row>
    <x:row r="4111" ht="22" customHeight="1">
      <x:c r="A4111" s="3"/>
      <x:c r="B4111" s="3" t="str">
        <x:v>14689</x:v>
      </x:c>
      <x:c r="C4111" s="3" t="n">
        <x:v>1</x:v>
      </x:c>
      <x:c r="D4111" s="51" t="n">
        <x:v>40678</x:v>
      </x:c>
      <x:c r="E4111" s="3" t="str">
        <x:v>Una compra</x:v>
      </x:c>
      <x:c r="F4111" s="13" t="n">
        <x:v>112.8</x:v>
      </x:c>
      <x:c r="G4111" s="13" t="n">
        <x:v>0</x:v>
      </x:c>
      <x:c r="H4111" s="13" t="n">
        <x:f>F4111-G4111</x:f>
        <x:v>112.8</x:v>
      </x:c>
      <x:c r="I4111" s="13" t="n">
        <x:f>IF(C4111=0,"n.a.",F4111/C4111)</x:f>
        <x:v>112.8</x:v>
      </x:c>
      <x:c r="J4111" s="3"/>
      <x:c r="K4111" s="3"/>
      <x:c r="L4111" s="3"/>
    </x:row>
    <x:row r="4112" ht="22" customHeight="1">
      <x:c r="A4112" s="3"/>
      <x:c r="B4112" s="3" t="str">
        <x:v>13161</x:v>
      </x:c>
      <x:c r="C4112" s="3" t="n">
        <x:v>1</x:v>
      </x:c>
      <x:c r="D4112" s="51" t="n">
        <x:v>40573</x:v>
      </x:c>
      <x:c r="E4112" s="3" t="str">
        <x:v>Una compra</x:v>
      </x:c>
      <x:c r="F4112" s="13" t="n">
        <x:v>112.75</x:v>
      </x:c>
      <x:c r="G4112" s="13" t="n">
        <x:v>0</x:v>
      </x:c>
      <x:c r="H4112" s="13" t="n">
        <x:f>F4112-G4112</x:f>
        <x:v>112.75</x:v>
      </x:c>
      <x:c r="I4112" s="13" t="n">
        <x:f>IF(C4112=0,"n.a.",F4112/C4112)</x:f>
        <x:v>112.75</x:v>
      </x:c>
      <x:c r="J4112" s="3"/>
      <x:c r="K4112" s="3"/>
      <x:c r="L4112" s="3"/>
    </x:row>
    <x:row r="4113" ht="22" customHeight="1">
      <x:c r="A4113" s="3"/>
      <x:c r="B4113" s="3" t="str">
        <x:v>16697</x:v>
      </x:c>
      <x:c r="C4113" s="3" t="n">
        <x:v>1</x:v>
      </x:c>
      <x:c r="D4113" s="51" t="n">
        <x:v>40645</x:v>
      </x:c>
      <x:c r="E4113" s="3" t="str">
        <x:v>Una compra</x:v>
      </x:c>
      <x:c r="F4113" s="13" t="n">
        <x:v>112.75</x:v>
      </x:c>
      <x:c r="G4113" s="13" t="n">
        <x:v>0</x:v>
      </x:c>
      <x:c r="H4113" s="13" t="n">
        <x:f>F4113-G4113</x:f>
        <x:v>112.75</x:v>
      </x:c>
      <x:c r="I4113" s="13" t="n">
        <x:f>IF(C4113=0,"n.a.",F4113/C4113)</x:f>
        <x:v>112.75</x:v>
      </x:c>
      <x:c r="J4113" s="3"/>
      <x:c r="K4113" s="3"/>
      <x:c r="L4113" s="3"/>
    </x:row>
    <x:row r="4114" ht="22" customHeight="1">
      <x:c r="A4114" s="3"/>
      <x:c r="B4114" s="3" t="str">
        <x:v>13807</x:v>
      </x:c>
      <x:c r="C4114" s="3" t="n">
        <x:v>1</x:v>
      </x:c>
      <x:c r="D4114" s="51" t="n">
        <x:v>40519</x:v>
      </x:c>
      <x:c r="E4114" s="3" t="str">
        <x:v>Una compra</x:v>
      </x:c>
      <x:c r="F4114" s="13" t="n">
        <x:v>112.6</x:v>
      </x:c>
      <x:c r="G4114" s="13" t="n">
        <x:v>0</x:v>
      </x:c>
      <x:c r="H4114" s="13" t="n">
        <x:f>F4114-G4114</x:f>
        <x:v>112.6</x:v>
      </x:c>
      <x:c r="I4114" s="13" t="n">
        <x:f>IF(C4114=0,"n.a.",F4114/C4114)</x:f>
        <x:v>112.6</x:v>
      </x:c>
      <x:c r="J4114" s="3"/>
      <x:c r="K4114" s="3"/>
      <x:c r="L4114" s="3"/>
    </x:row>
    <x:row r="4115" ht="22" customHeight="1">
      <x:c r="A4115" s="3"/>
      <x:c r="B4115" s="3" t="str">
        <x:v>18129</x:v>
      </x:c>
      <x:c r="C4115" s="3" t="n">
        <x:v>1</x:v>
      </x:c>
      <x:c r="D4115" s="51" t="n">
        <x:v>40643</x:v>
      </x:c>
      <x:c r="E4115" s="3" t="str">
        <x:v>Una compra</x:v>
      </x:c>
      <x:c r="F4115" s="13" t="n">
        <x:v>112.55</x:v>
      </x:c>
      <x:c r="G4115" s="13" t="n">
        <x:v>0</x:v>
      </x:c>
      <x:c r="H4115" s="13" t="n">
        <x:f>F4115-G4115</x:f>
        <x:v>112.55</x:v>
      </x:c>
      <x:c r="I4115" s="13" t="n">
        <x:f>IF(C4115=0,"n.a.",F4115/C4115)</x:f>
        <x:v>112.55</x:v>
      </x:c>
      <x:c r="J4115" s="3"/>
      <x:c r="K4115" s="3"/>
      <x:c r="L4115" s="3"/>
    </x:row>
    <x:row r="4116" ht="22" customHeight="1">
      <x:c r="A4116" s="3"/>
      <x:c r="B4116" s="3" t="str">
        <x:v>15610</x:v>
      </x:c>
      <x:c r="C4116" s="3" t="n">
        <x:v>1</x:v>
      </x:c>
      <x:c r="D4116" s="51" t="n">
        <x:v>40835</x:v>
      </x:c>
      <x:c r="E4116" s="3" t="str">
        <x:v>Una compra</x:v>
      </x:c>
      <x:c r="F4116" s="13" t="n">
        <x:v>112.46</x:v>
      </x:c>
      <x:c r="G4116" s="13" t="n">
        <x:v>0</x:v>
      </x:c>
      <x:c r="H4116" s="13" t="n">
        <x:f>F4116-G4116</x:f>
        <x:v>112.46</x:v>
      </x:c>
      <x:c r="I4116" s="13" t="n">
        <x:f>IF(C4116=0,"n.a.",F4116/C4116)</x:f>
        <x:v>112.46</x:v>
      </x:c>
      <x:c r="J4116" s="3"/>
      <x:c r="K4116" s="3"/>
      <x:c r="L4116" s="3"/>
    </x:row>
    <x:row r="4117" ht="22" customHeight="1">
      <x:c r="A4117" s="3"/>
      <x:c r="B4117" s="3" t="str">
        <x:v>17038</x:v>
      </x:c>
      <x:c r="C4117" s="3" t="n">
        <x:v>1</x:v>
      </x:c>
      <x:c r="D4117" s="51" t="n">
        <x:v>40856</x:v>
      </x:c>
      <x:c r="E4117" s="3" t="str">
        <x:v>Una compra</x:v>
      </x:c>
      <x:c r="F4117" s="13" t="n">
        <x:v>112.4</x:v>
      </x:c>
      <x:c r="G4117" s="13" t="n">
        <x:v>0</x:v>
      </x:c>
      <x:c r="H4117" s="13" t="n">
        <x:f>F4117-G4117</x:f>
        <x:v>112.4</x:v>
      </x:c>
      <x:c r="I4117" s="13" t="n">
        <x:f>IF(C4117=0,"n.a.",F4117/C4117)</x:f>
        <x:v>112.4</x:v>
      </x:c>
      <x:c r="J4117" s="3"/>
      <x:c r="K4117" s="3"/>
      <x:c r="L4117" s="3"/>
    </x:row>
    <x:row r="4118" ht="22" customHeight="1">
      <x:c r="A4118" s="3"/>
      <x:c r="B4118" s="3" t="str">
        <x:v>14271</x:v>
      </x:c>
      <x:c r="C4118" s="3" t="n">
        <x:v>1</x:v>
      </x:c>
      <x:c r="D4118" s="51" t="n">
        <x:v>40661</x:v>
      </x:c>
      <x:c r="E4118" s="3" t="str">
        <x:v>Una compra</x:v>
      </x:c>
      <x:c r="F4118" s="13" t="n">
        <x:v>112.32</x:v>
      </x:c>
      <x:c r="G4118" s="13" t="n">
        <x:v>0</x:v>
      </x:c>
      <x:c r="H4118" s="13" t="n">
        <x:f>F4118-G4118</x:f>
        <x:v>112.32</x:v>
      </x:c>
      <x:c r="I4118" s="13" t="n">
        <x:f>IF(C4118=0,"n.a.",F4118/C4118)</x:f>
        <x:v>112.32</x:v>
      </x:c>
      <x:c r="J4118" s="3"/>
      <x:c r="K4118" s="3"/>
      <x:c r="L4118" s="3"/>
    </x:row>
    <x:row r="4119" ht="22" customHeight="1">
      <x:c r="A4119" s="3"/>
      <x:c r="B4119" s="3" t="str">
        <x:v>17893</x:v>
      </x:c>
      <x:c r="C4119" s="3" t="n">
        <x:v>1</x:v>
      </x:c>
      <x:c r="D4119" s="51" t="n">
        <x:v>40661</x:v>
      </x:c>
      <x:c r="E4119" s="3" t="str">
        <x:v>Una compra</x:v>
      </x:c>
      <x:c r="F4119" s="13" t="n">
        <x:v>112.25</x:v>
      </x:c>
      <x:c r="G4119" s="13" t="n">
        <x:v>0</x:v>
      </x:c>
      <x:c r="H4119" s="13" t="n">
        <x:f>F4119-G4119</x:f>
        <x:v>112.25</x:v>
      </x:c>
      <x:c r="I4119" s="13" t="n">
        <x:f>IF(C4119=0,"n.a.",F4119/C4119)</x:f>
        <x:v>112.25</x:v>
      </x:c>
      <x:c r="J4119" s="3"/>
      <x:c r="K4119" s="3"/>
      <x:c r="L4119" s="3"/>
    </x:row>
    <x:row r="4120" ht="22" customHeight="1">
      <x:c r="A4120" s="3"/>
      <x:c r="B4120" s="3" t="str">
        <x:v>12756</x:v>
      </x:c>
      <x:c r="C4120" s="3" t="n">
        <x:v>1</x:v>
      </x:c>
      <x:c r="D4120" s="51" t="n">
        <x:v>40800</x:v>
      </x:c>
      <x:c r="E4120" s="3" t="str">
        <x:v>Una compra</x:v>
      </x:c>
      <x:c r="F4120" s="13" t="n">
        <x:v>112.08</x:v>
      </x:c>
      <x:c r="G4120" s="13" t="n">
        <x:v>0</x:v>
      </x:c>
      <x:c r="H4120" s="13" t="n">
        <x:f>F4120-G4120</x:f>
        <x:v>112.08</x:v>
      </x:c>
      <x:c r="I4120" s="13" t="n">
        <x:f>IF(C4120=0,"n.a.",F4120/C4120)</x:f>
        <x:v>112.08</x:v>
      </x:c>
      <x:c r="J4120" s="3"/>
      <x:c r="K4120" s="3"/>
      <x:c r="L4120" s="3"/>
    </x:row>
    <x:row r="4121" ht="22" customHeight="1">
      <x:c r="A4121" s="3"/>
      <x:c r="B4121" s="3" t="str">
        <x:v>17274</x:v>
      </x:c>
      <x:c r="C4121" s="3" t="n">
        <x:v>1</x:v>
      </x:c>
      <x:c r="D4121" s="51" t="n">
        <x:v>40851</x:v>
      </x:c>
      <x:c r="E4121" s="3" t="str">
        <x:v>Una compra</x:v>
      </x:c>
      <x:c r="F4121" s="13" t="n">
        <x:v>111.98</x:v>
      </x:c>
      <x:c r="G4121" s="13" t="n">
        <x:v>0</x:v>
      </x:c>
      <x:c r="H4121" s="13" t="n">
        <x:f>F4121-G4121</x:f>
        <x:v>111.98</x:v>
      </x:c>
      <x:c r="I4121" s="13" t="n">
        <x:f>IF(C4121=0,"n.a.",F4121/C4121)</x:f>
        <x:v>111.98</x:v>
      </x:c>
      <x:c r="J4121" s="3"/>
      <x:c r="K4121" s="3"/>
      <x:c r="L4121" s="3"/>
    </x:row>
    <x:row r="4122" ht="22" customHeight="1">
      <x:c r="A4122" s="3"/>
      <x:c r="B4122" s="3" t="str">
        <x:v>17887</x:v>
      </x:c>
      <x:c r="C4122" s="3" t="n">
        <x:v>1</x:v>
      </x:c>
      <x:c r="D4122" s="51" t="n">
        <x:v>40757</x:v>
      </x:c>
      <x:c r="E4122" s="3" t="str">
        <x:v>Una compra</x:v>
      </x:c>
      <x:c r="F4122" s="13" t="n">
        <x:v>111.35</x:v>
      </x:c>
      <x:c r="G4122" s="13" t="n">
        <x:v>0</x:v>
      </x:c>
      <x:c r="H4122" s="13" t="n">
        <x:f>F4122-G4122</x:f>
        <x:v>111.35</x:v>
      </x:c>
      <x:c r="I4122" s="13" t="n">
        <x:f>IF(C4122=0,"n.a.",F4122/C4122)</x:f>
        <x:v>111.35</x:v>
      </x:c>
      <x:c r="J4122" s="3"/>
      <x:c r="K4122" s="3"/>
      <x:c r="L4122" s="3"/>
    </x:row>
    <x:row r="4123" ht="22" customHeight="1">
      <x:c r="A4123" s="3"/>
      <x:c r="B4123" s="3" t="str">
        <x:v>18120</x:v>
      </x:c>
      <x:c r="C4123" s="3" t="n">
        <x:v>1</x:v>
      </x:c>
      <x:c r="D4123" s="51" t="n">
        <x:v>40672</x:v>
      </x:c>
      <x:c r="E4123" s="3" t="str">
        <x:v>Una compra</x:v>
      </x:c>
      <x:c r="F4123" s="13" t="n">
        <x:v>111.15</x:v>
      </x:c>
      <x:c r="G4123" s="13" t="n">
        <x:v>0</x:v>
      </x:c>
      <x:c r="H4123" s="13" t="n">
        <x:f>F4123-G4123</x:f>
        <x:v>111.15</x:v>
      </x:c>
      <x:c r="I4123" s="13" t="n">
        <x:f>IF(C4123=0,"n.a.",F4123/C4123)</x:f>
        <x:v>111.15</x:v>
      </x:c>
      <x:c r="J4123" s="3"/>
      <x:c r="K4123" s="3"/>
      <x:c r="L4123" s="3"/>
    </x:row>
    <x:row r="4124" ht="22" customHeight="1">
      <x:c r="A4124" s="3"/>
      <x:c r="B4124" s="3" t="str">
        <x:v>13508</x:v>
      </x:c>
      <x:c r="C4124" s="3" t="n">
        <x:v>1</x:v>
      </x:c>
      <x:c r="D4124" s="51" t="n">
        <x:v>40643</x:v>
      </x:c>
      <x:c r="E4124" s="3" t="str">
        <x:v>Una compra</x:v>
      </x:c>
      <x:c r="F4124" s="13" t="n">
        <x:v>110.97</x:v>
      </x:c>
      <x:c r="G4124" s="13" t="n">
        <x:v>0</x:v>
      </x:c>
      <x:c r="H4124" s="13" t="n">
        <x:f>F4124-G4124</x:f>
        <x:v>110.97</x:v>
      </x:c>
      <x:c r="I4124" s="13" t="n">
        <x:f>IF(C4124=0,"n.a.",F4124/C4124)</x:f>
        <x:v>110.97</x:v>
      </x:c>
      <x:c r="J4124" s="3"/>
      <x:c r="K4124" s="3"/>
      <x:c r="L4124" s="3"/>
    </x:row>
    <x:row r="4125" ht="22" customHeight="1">
      <x:c r="A4125" s="3"/>
      <x:c r="B4125" s="3" t="str">
        <x:v>13144</x:v>
      </x:c>
      <x:c r="C4125" s="3" t="n">
        <x:v>1</x:v>
      </x:c>
      <x:c r="D4125" s="51" t="n">
        <x:v>40554</x:v>
      </x:c>
      <x:c r="E4125" s="3" t="str">
        <x:v>Una compra</x:v>
      </x:c>
      <x:c r="F4125" s="13" t="n">
        <x:v>110.95</x:v>
      </x:c>
      <x:c r="G4125" s="13" t="n">
        <x:v>0</x:v>
      </x:c>
      <x:c r="H4125" s="13" t="n">
        <x:f>F4125-G4125</x:f>
        <x:v>110.95</x:v>
      </x:c>
      <x:c r="I4125" s="13" t="n">
        <x:f>IF(C4125=0,"n.a.",F4125/C4125)</x:f>
        <x:v>110.95</x:v>
      </x:c>
      <x:c r="J4125" s="3"/>
      <x:c r="K4125" s="3"/>
      <x:c r="L4125" s="3"/>
    </x:row>
    <x:row r="4126" ht="22" customHeight="1">
      <x:c r="A4126" s="3"/>
      <x:c r="B4126" s="3" t="str">
        <x:v>15537</x:v>
      </x:c>
      <x:c r="C4126" s="3" t="n">
        <x:v>1</x:v>
      </x:c>
      <x:c r="D4126" s="51" t="n">
        <x:v>40723</x:v>
      </x:c>
      <x:c r="E4126" s="3" t="str">
        <x:v>Una compra</x:v>
      </x:c>
      <x:c r="F4126" s="13" t="n">
        <x:v>110.92</x:v>
      </x:c>
      <x:c r="G4126" s="13" t="n">
        <x:v>0</x:v>
      </x:c>
      <x:c r="H4126" s="13" t="n">
        <x:f>F4126-G4126</x:f>
        <x:v>110.92</x:v>
      </x:c>
      <x:c r="I4126" s="13" t="n">
        <x:f>IF(C4126=0,"n.a.",F4126/C4126)</x:f>
        <x:v>110.92</x:v>
      </x:c>
      <x:c r="J4126" s="3"/>
      <x:c r="K4126" s="3"/>
      <x:c r="L4126" s="3"/>
    </x:row>
    <x:row r="4127" ht="22" customHeight="1">
      <x:c r="A4127" s="3"/>
      <x:c r="B4127" s="3" t="str">
        <x:v>13519</x:v>
      </x:c>
      <x:c r="C4127" s="3" t="n">
        <x:v>1</x:v>
      </x:c>
      <x:c r="D4127" s="51" t="n">
        <x:v>40808</x:v>
      </x:c>
      <x:c r="E4127" s="3" t="str">
        <x:v>Una compra</x:v>
      </x:c>
      <x:c r="F4127" s="13" t="n">
        <x:v>122.75</x:v>
      </x:c>
      <x:c r="G4127" s="13" t="n">
        <x:v>11.95</x:v>
      </x:c>
      <x:c r="H4127" s="13" t="n">
        <x:f>F4127-G4127</x:f>
        <x:v>110.8</x:v>
      </x:c>
      <x:c r="I4127" s="13" t="n">
        <x:f>IF(C4127=0,"n.a.",F4127/C4127)</x:f>
        <x:v>122.75</x:v>
      </x:c>
      <x:c r="J4127" s="3"/>
      <x:c r="K4127" s="3"/>
      <x:c r="L4127" s="3"/>
    </x:row>
    <x:row r="4128" ht="22" customHeight="1">
      <x:c r="A4128" s="3"/>
      <x:c r="B4128" s="3" t="str">
        <x:v>15853</x:v>
      </x:c>
      <x:c r="C4128" s="3" t="n">
        <x:v>1</x:v>
      </x:c>
      <x:c r="D4128" s="51" t="n">
        <x:v>40835</x:v>
      </x:c>
      <x:c r="E4128" s="3" t="str">
        <x:v>Una compra</x:v>
      </x:c>
      <x:c r="F4128" s="13" t="n">
        <x:v>110.8</x:v>
      </x:c>
      <x:c r="G4128" s="13" t="n">
        <x:v>0</x:v>
      </x:c>
      <x:c r="H4128" s="13" t="n">
        <x:f>F4128-G4128</x:f>
        <x:v>110.8</x:v>
      </x:c>
      <x:c r="I4128" s="13" t="n">
        <x:f>IF(C4128=0,"n.a.",F4128/C4128)</x:f>
        <x:v>110.8</x:v>
      </x:c>
      <x:c r="J4128" s="3"/>
      <x:c r="K4128" s="3"/>
      <x:c r="L4128" s="3"/>
    </x:row>
    <x:row r="4129" ht="22" customHeight="1">
      <x:c r="A4129" s="3"/>
      <x:c r="B4129" s="3" t="str">
        <x:v>17349</x:v>
      </x:c>
      <x:c r="C4129" s="3" t="n">
        <x:v>1</x:v>
      </x:c>
      <x:c r="D4129" s="51" t="n">
        <x:v>40707</x:v>
      </x:c>
      <x:c r="E4129" s="3" t="str">
        <x:v>Una compra</x:v>
      </x:c>
      <x:c r="F4129" s="13" t="n">
        <x:v>110.75</x:v>
      </x:c>
      <x:c r="G4129" s="13" t="n">
        <x:v>0</x:v>
      </x:c>
      <x:c r="H4129" s="13" t="n">
        <x:f>F4129-G4129</x:f>
        <x:v>110.75</x:v>
      </x:c>
      <x:c r="I4129" s="13" t="n">
        <x:f>IF(C4129=0,"n.a.",F4129/C4129)</x:f>
        <x:v>110.75</x:v>
      </x:c>
      <x:c r="J4129" s="3"/>
      <x:c r="K4129" s="3"/>
      <x:c r="L4129" s="3"/>
    </x:row>
    <x:row r="4130" ht="22" customHeight="1">
      <x:c r="A4130" s="3"/>
      <x:c r="B4130" s="3" t="str">
        <x:v>17957</x:v>
      </x:c>
      <x:c r="C4130" s="3" t="n">
        <x:v>1</x:v>
      </x:c>
      <x:c r="D4130" s="51" t="n">
        <x:v>40820</x:v>
      </x:c>
      <x:c r="E4130" s="3" t="str">
        <x:v>Una compra</x:v>
      </x:c>
      <x:c r="F4130" s="13" t="n">
        <x:v>110.72</x:v>
      </x:c>
      <x:c r="G4130" s="13" t="n">
        <x:v>0</x:v>
      </x:c>
      <x:c r="H4130" s="13" t="n">
        <x:f>F4130-G4130</x:f>
        <x:v>110.72</x:v>
      </x:c>
      <x:c r="I4130" s="13" t="n">
        <x:f>IF(C4130=0,"n.a.",F4130/C4130)</x:f>
        <x:v>110.72</x:v>
      </x:c>
      <x:c r="J4130" s="3"/>
      <x:c r="K4130" s="3"/>
      <x:c r="L4130" s="3"/>
    </x:row>
    <x:row r="4131" ht="22" customHeight="1">
      <x:c r="A4131" s="3"/>
      <x:c r="B4131" s="3" t="str">
        <x:v>16963</x:v>
      </x:c>
      <x:c r="C4131" s="3" t="n">
        <x:v>1</x:v>
      </x:c>
      <x:c r="D4131" s="51" t="n">
        <x:v>40699</x:v>
      </x:c>
      <x:c r="E4131" s="3" t="str">
        <x:v>Una compra</x:v>
      </x:c>
      <x:c r="F4131" s="13" t="n">
        <x:v>110.55</x:v>
      </x:c>
      <x:c r="G4131" s="13" t="n">
        <x:v>0</x:v>
      </x:c>
      <x:c r="H4131" s="13" t="n">
        <x:f>F4131-G4131</x:f>
        <x:v>110.55</x:v>
      </x:c>
      <x:c r="I4131" s="13" t="n">
        <x:f>IF(C4131=0,"n.a.",F4131/C4131)</x:f>
        <x:v>110.55</x:v>
      </x:c>
      <x:c r="J4131" s="3"/>
      <x:c r="K4131" s="3"/>
      <x:c r="L4131" s="3"/>
    </x:row>
    <x:row r="4132" ht="22" customHeight="1">
      <x:c r="A4132" s="3"/>
      <x:c r="B4132" s="3" t="str">
        <x:v>14641</x:v>
      </x:c>
      <x:c r="C4132" s="3" t="n">
        <x:v>1</x:v>
      </x:c>
      <x:c r="D4132" s="51" t="n">
        <x:v>40865</x:v>
      </x:c>
      <x:c r="E4132" s="3" t="str">
        <x:v>Una compra</x:v>
      </x:c>
      <x:c r="F4132" s="13" t="n">
        <x:v>110.46</x:v>
      </x:c>
      <x:c r="G4132" s="13" t="n">
        <x:v>0</x:v>
      </x:c>
      <x:c r="H4132" s="13" t="n">
        <x:f>F4132-G4132</x:f>
        <x:v>110.46</x:v>
      </x:c>
      <x:c r="I4132" s="13" t="n">
        <x:f>IF(C4132=0,"n.a.",F4132/C4132)</x:f>
        <x:v>110.46</x:v>
      </x:c>
      <x:c r="J4132" s="3"/>
      <x:c r="K4132" s="3"/>
      <x:c r="L4132" s="3"/>
    </x:row>
    <x:row r="4133" ht="22" customHeight="1">
      <x:c r="A4133" s="3"/>
      <x:c r="B4133" s="3" t="str">
        <x:v>12734</x:v>
      </x:c>
      <x:c r="C4133" s="3" t="n">
        <x:v>1</x:v>
      </x:c>
      <x:c r="D4133" s="51" t="n">
        <x:v>40534</x:v>
      </x:c>
      <x:c r="E4133" s="3" t="str">
        <x:v>Una compra</x:v>
      </x:c>
      <x:c r="F4133" s="13" t="n">
        <x:v>110.4</x:v>
      </x:c>
      <x:c r="G4133" s="13" t="n">
        <x:v>0</x:v>
      </x:c>
      <x:c r="H4133" s="13" t="n">
        <x:f>F4133-G4133</x:f>
        <x:v>110.4</x:v>
      </x:c>
      <x:c r="I4133" s="13" t="n">
        <x:f>IF(C4133=0,"n.a.",F4133/C4133)</x:f>
        <x:v>110.4</x:v>
      </x:c>
      <x:c r="J4133" s="3"/>
      <x:c r="K4133" s="3"/>
      <x:c r="L4133" s="3"/>
    </x:row>
    <x:row r="4134" ht="22" customHeight="1">
      <x:c r="A4134" s="3"/>
      <x:c r="B4134" s="3" t="str">
        <x:v>16792</x:v>
      </x:c>
      <x:c r="C4134" s="3" t="n">
        <x:v>2</x:v>
      </x:c>
      <x:c r="D4134" s="51" t="n">
        <x:v>40604</x:v>
      </x:c>
      <x:c r="E4134" s="3" t="str">
        <x:v>Recurrente</x:v>
      </x:c>
      <x:c r="F4134" s="13" t="n">
        <x:v>110.38</x:v>
      </x:c>
      <x:c r="G4134" s="13" t="n">
        <x:v>0</x:v>
      </x:c>
      <x:c r="H4134" s="13" t="n">
        <x:f>F4134-G4134</x:f>
        <x:v>110.38</x:v>
      </x:c>
      <x:c r="I4134" s="13" t="n">
        <x:f>IF(C4134=0,"n.a.",F4134/C4134)</x:f>
        <x:v>55.19</x:v>
      </x:c>
      <x:c r="J4134" s="3"/>
      <x:c r="K4134" s="3"/>
      <x:c r="L4134" s="3"/>
    </x:row>
    <x:row r="4135" ht="22" customHeight="1">
      <x:c r="A4135" s="3"/>
      <x:c r="B4135" s="3" t="str">
        <x:v>17901</x:v>
      </x:c>
      <x:c r="C4135" s="3" t="n">
        <x:v>1</x:v>
      </x:c>
      <x:c r="D4135" s="51" t="n">
        <x:v>40857</x:v>
      </x:c>
      <x:c r="E4135" s="3" t="str">
        <x:v>Una compra</x:v>
      </x:c>
      <x:c r="F4135" s="13" t="n">
        <x:v>110.38</x:v>
      </x:c>
      <x:c r="G4135" s="13" t="n">
        <x:v>0</x:v>
      </x:c>
      <x:c r="H4135" s="13" t="n">
        <x:f>F4135-G4135</x:f>
        <x:v>110.38</x:v>
      </x:c>
      <x:c r="I4135" s="13" t="n">
        <x:f>IF(C4135=0,"n.a.",F4135/C4135)</x:f>
        <x:v>110.38</x:v>
      </x:c>
      <x:c r="J4135" s="3"/>
      <x:c r="K4135" s="3"/>
      <x:c r="L4135" s="3"/>
    </x:row>
    <x:row r="4136" ht="22" customHeight="1">
      <x:c r="A4136" s="3"/>
      <x:c r="B4136" s="3" t="str">
        <x:v>16339</x:v>
      </x:c>
      <x:c r="C4136" s="3" t="n">
        <x:v>1</x:v>
      </x:c>
      <x:c r="D4136" s="51" t="n">
        <x:v>40602</x:v>
      </x:c>
      <x:c r="E4136" s="3" t="str">
        <x:v>Una compra</x:v>
      </x:c>
      <x:c r="F4136" s="13" t="n">
        <x:v>109.95</x:v>
      </x:c>
      <x:c r="G4136" s="13" t="n">
        <x:v>0</x:v>
      </x:c>
      <x:c r="H4136" s="13" t="n">
        <x:f>F4136-G4136</x:f>
        <x:v>109.95</x:v>
      </x:c>
      <x:c r="I4136" s="13" t="n">
        <x:f>IF(C4136=0,"n.a.",F4136/C4136)</x:f>
        <x:v>109.95</x:v>
      </x:c>
      <x:c r="J4136" s="3"/>
      <x:c r="K4136" s="3"/>
      <x:c r="L4136" s="3"/>
    </x:row>
    <x:row r="4137" ht="22" customHeight="1">
      <x:c r="A4137" s="3"/>
      <x:c r="B4137" s="3" t="str">
        <x:v>17836</x:v>
      </x:c>
      <x:c r="C4137" s="3" t="n">
        <x:v>1</x:v>
      </x:c>
      <x:c r="D4137" s="51" t="n">
        <x:v>40839</x:v>
      </x:c>
      <x:c r="E4137" s="3" t="str">
        <x:v>Una compra</x:v>
      </x:c>
      <x:c r="F4137" s="13" t="n">
        <x:v>109.83</x:v>
      </x:c>
      <x:c r="G4137" s="13" t="n">
        <x:v>0</x:v>
      </x:c>
      <x:c r="H4137" s="13" t="n">
        <x:f>F4137-G4137</x:f>
        <x:v>109.83</x:v>
      </x:c>
      <x:c r="I4137" s="13" t="n">
        <x:f>IF(C4137=0,"n.a.",F4137/C4137)</x:f>
        <x:v>109.83</x:v>
      </x:c>
      <x:c r="J4137" s="3"/>
      <x:c r="K4137" s="3"/>
      <x:c r="L4137" s="3"/>
    </x:row>
    <x:row r="4138" ht="22" customHeight="1">
      <x:c r="A4138" s="3"/>
      <x:c r="B4138" s="3" t="str">
        <x:v>13133</x:v>
      </x:c>
      <x:c r="C4138" s="3" t="n">
        <x:v>2</x:v>
      </x:c>
      <x:c r="D4138" s="51" t="n">
        <x:v>40613</x:v>
      </x:c>
      <x:c r="E4138" s="3" t="str">
        <x:v>Recurrente</x:v>
      </x:c>
      <x:c r="F4138" s="13" t="n">
        <x:v>109.8</x:v>
      </x:c>
      <x:c r="G4138" s="13" t="n">
        <x:v>0</x:v>
      </x:c>
      <x:c r="H4138" s="13" t="n">
        <x:f>F4138-G4138</x:f>
        <x:v>109.8</x:v>
      </x:c>
      <x:c r="I4138" s="13" t="n">
        <x:f>IF(C4138=0,"n.a.",F4138/C4138)</x:f>
        <x:v>54.9</x:v>
      </x:c>
      <x:c r="J4138" s="3"/>
      <x:c r="K4138" s="3"/>
      <x:c r="L4138" s="3"/>
    </x:row>
    <x:row r="4139" ht="22" customHeight="1">
      <x:c r="A4139" s="3"/>
      <x:c r="B4139" s="3" t="str">
        <x:v>16363</x:v>
      </x:c>
      <x:c r="C4139" s="3" t="n">
        <x:v>1</x:v>
      </x:c>
      <x:c r="D4139" s="51" t="n">
        <x:v>40833</x:v>
      </x:c>
      <x:c r="E4139" s="3" t="str">
        <x:v>Una compra</x:v>
      </x:c>
      <x:c r="F4139" s="13" t="n">
        <x:v>109.36</x:v>
      </x:c>
      <x:c r="G4139" s="13" t="n">
        <x:v>0</x:v>
      </x:c>
      <x:c r="H4139" s="13" t="n">
        <x:f>F4139-G4139</x:f>
        <x:v>109.36</x:v>
      </x:c>
      <x:c r="I4139" s="13" t="n">
        <x:f>IF(C4139=0,"n.a.",F4139/C4139)</x:f>
        <x:v>109.36</x:v>
      </x:c>
      <x:c r="J4139" s="3"/>
      <x:c r="K4139" s="3"/>
      <x:c r="L4139" s="3"/>
    </x:row>
    <x:row r="4140" ht="22" customHeight="1">
      <x:c r="A4140" s="3"/>
      <x:c r="B4140" s="3" t="str">
        <x:v>14699</x:v>
      </x:c>
      <x:c r="C4140" s="3" t="n">
        <x:v>1</x:v>
      </x:c>
      <x:c r="D4140" s="51" t="n">
        <x:v>40672</x:v>
      </x:c>
      <x:c r="E4140" s="3" t="str">
        <x:v>Una compra</x:v>
      </x:c>
      <x:c r="F4140" s="13" t="n">
        <x:v>109.13</x:v>
      </x:c>
      <x:c r="G4140" s="13" t="n">
        <x:v>0</x:v>
      </x:c>
      <x:c r="H4140" s="13" t="n">
        <x:f>F4140-G4140</x:f>
        <x:v>109.13</x:v>
      </x:c>
      <x:c r="I4140" s="13" t="n">
        <x:f>IF(C4140=0,"n.a.",F4140/C4140)</x:f>
        <x:v>109.13</x:v>
      </x:c>
      <x:c r="J4140" s="3"/>
      <x:c r="K4140" s="3"/>
      <x:c r="L4140" s="3"/>
    </x:row>
    <x:row r="4141" ht="22" customHeight="1">
      <x:c r="A4141" s="3"/>
      <x:c r="B4141" s="3" t="str">
        <x:v>14345</x:v>
      </x:c>
      <x:c r="C4141" s="3" t="n">
        <x:v>1</x:v>
      </x:c>
      <x:c r="D4141" s="51" t="n">
        <x:v>40848</x:v>
      </x:c>
      <x:c r="E4141" s="3" t="str">
        <x:v>Una compra</x:v>
      </x:c>
      <x:c r="F4141" s="13" t="n">
        <x:v>108.98</x:v>
      </x:c>
      <x:c r="G4141" s="13" t="n">
        <x:v>0</x:v>
      </x:c>
      <x:c r="H4141" s="13" t="n">
        <x:f>F4141-G4141</x:f>
        <x:v>108.98</x:v>
      </x:c>
      <x:c r="I4141" s="13" t="n">
        <x:f>IF(C4141=0,"n.a.",F4141/C4141)</x:f>
        <x:v>108.98</x:v>
      </x:c>
      <x:c r="J4141" s="3"/>
      <x:c r="K4141" s="3"/>
      <x:c r="L4141" s="3"/>
    </x:row>
    <x:row r="4142" ht="22" customHeight="1">
      <x:c r="A4142" s="3"/>
      <x:c r="B4142" s="3" t="str">
        <x:v>17639</x:v>
      </x:c>
      <x:c r="C4142" s="3" t="n">
        <x:v>1</x:v>
      </x:c>
      <x:c r="D4142" s="51" t="n">
        <x:v>40610</x:v>
      </x:c>
      <x:c r="E4142" s="3" t="str">
        <x:v>Una compra</x:v>
      </x:c>
      <x:c r="F4142" s="13" t="n">
        <x:v>108.5</x:v>
      </x:c>
      <x:c r="G4142" s="13" t="n">
        <x:v>0</x:v>
      </x:c>
      <x:c r="H4142" s="13" t="n">
        <x:f>F4142-G4142</x:f>
        <x:v>108.5</x:v>
      </x:c>
      <x:c r="I4142" s="13" t="n">
        <x:f>IF(C4142=0,"n.a.",F4142/C4142)</x:f>
        <x:v>108.5</x:v>
      </x:c>
      <x:c r="J4142" s="3"/>
      <x:c r="K4142" s="3"/>
      <x:c r="L4142" s="3"/>
    </x:row>
    <x:row r="4143" ht="22" customHeight="1">
      <x:c r="A4143" s="3"/>
      <x:c r="B4143" s="3" t="str">
        <x:v>16106</x:v>
      </x:c>
      <x:c r="C4143" s="3" t="n">
        <x:v>1</x:v>
      </x:c>
      <x:c r="D4143" s="51" t="n">
        <x:v>40821</x:v>
      </x:c>
      <x:c r="E4143" s="3" t="str">
        <x:v>Una compra</x:v>
      </x:c>
      <x:c r="F4143" s="13" t="n">
        <x:v>108.38</x:v>
      </x:c>
      <x:c r="G4143" s="13" t="n">
        <x:v>0</x:v>
      </x:c>
      <x:c r="H4143" s="13" t="n">
        <x:f>F4143-G4143</x:f>
        <x:v>108.38</x:v>
      </x:c>
      <x:c r="I4143" s="13" t="n">
        <x:f>IF(C4143=0,"n.a.",F4143/C4143)</x:f>
        <x:v>108.38</x:v>
      </x:c>
      <x:c r="J4143" s="3"/>
      <x:c r="K4143" s="3"/>
      <x:c r="L4143" s="3"/>
    </x:row>
    <x:row r="4144" ht="22" customHeight="1">
      <x:c r="A4144" s="3"/>
      <x:c r="B4144" s="3" t="str">
        <x:v>13226</x:v>
      </x:c>
      <x:c r="C4144" s="3" t="n">
        <x:v>1</x:v>
      </x:c>
      <x:c r="D4144" s="51" t="n">
        <x:v>40613</x:v>
      </x:c>
      <x:c r="E4144" s="3" t="str">
        <x:v>Una compra</x:v>
      </x:c>
      <x:c r="F4144" s="13" t="n">
        <x:v>108.21</x:v>
      </x:c>
      <x:c r="G4144" s="13" t="n">
        <x:v>0</x:v>
      </x:c>
      <x:c r="H4144" s="13" t="n">
        <x:f>F4144-G4144</x:f>
        <x:v>108.21</x:v>
      </x:c>
      <x:c r="I4144" s="13" t="n">
        <x:f>IF(C4144=0,"n.a.",F4144/C4144)</x:f>
        <x:v>108.21</x:v>
      </x:c>
      <x:c r="J4144" s="3"/>
      <x:c r="K4144" s="3"/>
      <x:c r="L4144" s="3"/>
    </x:row>
    <x:row r="4145" ht="22" customHeight="1">
      <x:c r="A4145" s="3"/>
      <x:c r="B4145" s="3" t="str">
        <x:v>12956</x:v>
      </x:c>
      <x:c r="C4145" s="3" t="n">
        <x:v>1</x:v>
      </x:c>
      <x:c r="D4145" s="51" t="n">
        <x:v>40580</x:v>
      </x:c>
      <x:c r="E4145" s="3" t="str">
        <x:v>Una compra</x:v>
      </x:c>
      <x:c r="F4145" s="13" t="n">
        <x:v>108.07</x:v>
      </x:c>
      <x:c r="G4145" s="13" t="n">
        <x:v>0</x:v>
      </x:c>
      <x:c r="H4145" s="13" t="n">
        <x:f>F4145-G4145</x:f>
        <x:v>108.07</x:v>
      </x:c>
      <x:c r="I4145" s="13" t="n">
        <x:f>IF(C4145=0,"n.a.",F4145/C4145)</x:f>
        <x:v>108.07</x:v>
      </x:c>
      <x:c r="J4145" s="3"/>
      <x:c r="K4145" s="3"/>
      <x:c r="L4145" s="3"/>
    </x:row>
    <x:row r="4146" ht="22" customHeight="1">
      <x:c r="A4146" s="3"/>
      <x:c r="B4146" s="3" t="str">
        <x:v>15935</x:v>
      </x:c>
      <x:c r="C4146" s="3" t="n">
        <x:v>1</x:v>
      </x:c>
      <x:c r="D4146" s="51" t="n">
        <x:v>40647</x:v>
      </x:c>
      <x:c r="E4146" s="3" t="str">
        <x:v>Una compra</x:v>
      </x:c>
      <x:c r="F4146" s="13" t="n">
        <x:v>108.04</x:v>
      </x:c>
      <x:c r="G4146" s="13" t="n">
        <x:v>0</x:v>
      </x:c>
      <x:c r="H4146" s="13" t="n">
        <x:f>F4146-G4146</x:f>
        <x:v>108.04</x:v>
      </x:c>
      <x:c r="I4146" s="13" t="n">
        <x:f>IF(C4146=0,"n.a.",F4146/C4146)</x:f>
        <x:v>108.04</x:v>
      </x:c>
      <x:c r="J4146" s="3"/>
      <x:c r="K4146" s="3"/>
      <x:c r="L4146" s="3"/>
    </x:row>
    <x:row r="4147" ht="22" customHeight="1">
      <x:c r="A4147" s="3"/>
      <x:c r="B4147" s="3" t="str">
        <x:v>14661</x:v>
      </x:c>
      <x:c r="C4147" s="3" t="n">
        <x:v>1</x:v>
      </x:c>
      <x:c r="D4147" s="51" t="n">
        <x:v>40860</x:v>
      </x:c>
      <x:c r="E4147" s="3" t="str">
        <x:v>Una compra</x:v>
      </x:c>
      <x:c r="F4147" s="13" t="n">
        <x:v>107.95</x:v>
      </x:c>
      <x:c r="G4147" s="13" t="n">
        <x:v>0</x:v>
      </x:c>
      <x:c r="H4147" s="13" t="n">
        <x:f>F4147-G4147</x:f>
        <x:v>107.95</x:v>
      </x:c>
      <x:c r="I4147" s="13" t="n">
        <x:f>IF(C4147=0,"n.a.",F4147/C4147)</x:f>
        <x:v>107.95</x:v>
      </x:c>
      <x:c r="J4147" s="3"/>
      <x:c r="K4147" s="3"/>
      <x:c r="L4147" s="3"/>
    </x:row>
    <x:row r="4148" ht="22" customHeight="1">
      <x:c r="A4148" s="3"/>
      <x:c r="B4148" s="3" t="str">
        <x:v>16784</x:v>
      </x:c>
      <x:c r="C4148" s="3" t="n">
        <x:v>1</x:v>
      </x:c>
      <x:c r="D4148" s="51" t="n">
        <x:v>40867</x:v>
      </x:c>
      <x:c r="E4148" s="3" t="str">
        <x:v>Una compra</x:v>
      </x:c>
      <x:c r="F4148" s="13" t="n">
        <x:v>107.6</x:v>
      </x:c>
      <x:c r="G4148" s="13" t="n">
        <x:v>0</x:v>
      </x:c>
      <x:c r="H4148" s="13" t="n">
        <x:f>F4148-G4148</x:f>
        <x:v>107.6</x:v>
      </x:c>
      <x:c r="I4148" s="13" t="n">
        <x:f>IF(C4148=0,"n.a.",F4148/C4148)</x:f>
        <x:v>107.6</x:v>
      </x:c>
      <x:c r="J4148" s="3"/>
      <x:c r="K4148" s="3"/>
      <x:c r="L4148" s="3"/>
    </x:row>
    <x:row r="4149" ht="22" customHeight="1">
      <x:c r="A4149" s="3"/>
      <x:c r="B4149" s="3" t="str">
        <x:v>15395</x:v>
      </x:c>
      <x:c r="C4149" s="3" t="n">
        <x:v>1</x:v>
      </x:c>
      <x:c r="D4149" s="51" t="n">
        <x:v>40561</x:v>
      </x:c>
      <x:c r="E4149" s="3" t="str">
        <x:v>Una compra</x:v>
      </x:c>
      <x:c r="F4149" s="13" t="n">
        <x:v>107.45</x:v>
      </x:c>
      <x:c r="G4149" s="13" t="n">
        <x:v>0</x:v>
      </x:c>
      <x:c r="H4149" s="13" t="n">
        <x:f>F4149-G4149</x:f>
        <x:v>107.45</x:v>
      </x:c>
      <x:c r="I4149" s="13" t="n">
        <x:f>IF(C4149=0,"n.a.",F4149/C4149)</x:f>
        <x:v>107.45</x:v>
      </x:c>
      <x:c r="J4149" s="3"/>
      <x:c r="K4149" s="3"/>
      <x:c r="L4149" s="3"/>
    </x:row>
    <x:row r="4150" ht="22" customHeight="1">
      <x:c r="A4150" s="3"/>
      <x:c r="B4150" s="3" t="str">
        <x:v>16757</x:v>
      </x:c>
      <x:c r="C4150" s="3" t="n">
        <x:v>1</x:v>
      </x:c>
      <x:c r="D4150" s="51" t="n">
        <x:v>40568</x:v>
      </x:c>
      <x:c r="E4150" s="3" t="str">
        <x:v>Una compra</x:v>
      </x:c>
      <x:c r="F4150" s="13" t="n">
        <x:v>106.83</x:v>
      </x:c>
      <x:c r="G4150" s="13" t="n">
        <x:v>0</x:v>
      </x:c>
      <x:c r="H4150" s="13" t="n">
        <x:f>F4150-G4150</x:f>
        <x:v>106.83</x:v>
      </x:c>
      <x:c r="I4150" s="13" t="n">
        <x:f>IF(C4150=0,"n.a.",F4150/C4150)</x:f>
        <x:v>106.83</x:v>
      </x:c>
      <x:c r="J4150" s="3"/>
      <x:c r="K4150" s="3"/>
      <x:c r="L4150" s="3"/>
    </x:row>
    <x:row r="4151" ht="22" customHeight="1">
      <x:c r="A4151" s="3"/>
      <x:c r="B4151" s="3" t="str">
        <x:v>15168</x:v>
      </x:c>
      <x:c r="C4151" s="3" t="n">
        <x:v>1</x:v>
      </x:c>
      <x:c r="D4151" s="51" t="n">
        <x:v>40861</x:v>
      </x:c>
      <x:c r="E4151" s="3" t="str">
        <x:v>Una compra</x:v>
      </x:c>
      <x:c r="F4151" s="13" t="n">
        <x:v>106.56</x:v>
      </x:c>
      <x:c r="G4151" s="13" t="n">
        <x:v>0</x:v>
      </x:c>
      <x:c r="H4151" s="13" t="n">
        <x:f>F4151-G4151</x:f>
        <x:v>106.56</x:v>
      </x:c>
      <x:c r="I4151" s="13" t="n">
        <x:f>IF(C4151=0,"n.a.",F4151/C4151)</x:f>
        <x:v>106.56</x:v>
      </x:c>
      <x:c r="J4151" s="3"/>
      <x:c r="K4151" s="3"/>
      <x:c r="L4151" s="3"/>
    </x:row>
    <x:row r="4152" ht="22" customHeight="1">
      <x:c r="A4152" s="3"/>
      <x:c r="B4152" s="3" t="str">
        <x:v>15070</x:v>
      </x:c>
      <x:c r="C4152" s="3" t="n">
        <x:v>1</x:v>
      </x:c>
      <x:c r="D4152" s="51" t="n">
        <x:v>40514</x:v>
      </x:c>
      <x:c r="E4152" s="3" t="str">
        <x:v>Una compra</x:v>
      </x:c>
      <x:c r="F4152" s="13" t="n">
        <x:v>106.2</x:v>
      </x:c>
      <x:c r="G4152" s="13" t="n">
        <x:v>0</x:v>
      </x:c>
      <x:c r="H4152" s="13" t="n">
        <x:f>F4152-G4152</x:f>
        <x:v>106.2</x:v>
      </x:c>
      <x:c r="I4152" s="13" t="n">
        <x:f>IF(C4152=0,"n.a.",F4152/C4152)</x:f>
        <x:v>106.2</x:v>
      </x:c>
      <x:c r="J4152" s="3"/>
      <x:c r="K4152" s="3"/>
      <x:c r="L4152" s="3"/>
    </x:row>
    <x:row r="4153" ht="22" customHeight="1">
      <x:c r="A4153" s="3"/>
      <x:c r="B4153" s="3" t="str">
        <x:v>17791</x:v>
      </x:c>
      <x:c r="C4153" s="3" t="n">
        <x:v>1</x:v>
      </x:c>
      <x:c r="D4153" s="51" t="n">
        <x:v>40857</x:v>
      </x:c>
      <x:c r="E4153" s="3" t="str">
        <x:v>Una compra</x:v>
      </x:c>
      <x:c r="F4153" s="13" t="n">
        <x:v>106.1</x:v>
      </x:c>
      <x:c r="G4153" s="13" t="n">
        <x:v>0</x:v>
      </x:c>
      <x:c r="H4153" s="13" t="n">
        <x:f>F4153-G4153</x:f>
        <x:v>106.1</x:v>
      </x:c>
      <x:c r="I4153" s="13" t="n">
        <x:f>IF(C4153=0,"n.a.",F4153/C4153)</x:f>
        <x:v>106.1</x:v>
      </x:c>
      <x:c r="J4153" s="3"/>
      <x:c r="K4153" s="3"/>
      <x:c r="L4153" s="3"/>
    </x:row>
    <x:row r="4154" ht="22" customHeight="1">
      <x:c r="A4154" s="3"/>
      <x:c r="B4154" s="3" t="str">
        <x:v>12929</x:v>
      </x:c>
      <x:c r="C4154" s="3" t="n">
        <x:v>1</x:v>
      </x:c>
      <x:c r="D4154" s="51" t="n">
        <x:v>40575</x:v>
      </x:c>
      <x:c r="E4154" s="3" t="str">
        <x:v>Una compra</x:v>
      </x:c>
      <x:c r="F4154" s="13" t="n">
        <x:v>117.85</x:v>
      </x:c>
      <x:c r="G4154" s="13" t="n">
        <x:v>12.75</x:v>
      </x:c>
      <x:c r="H4154" s="13" t="n">
        <x:f>F4154-G4154</x:f>
        <x:v>105.1</x:v>
      </x:c>
      <x:c r="I4154" s="13" t="n">
        <x:f>IF(C4154=0,"n.a.",F4154/C4154)</x:f>
        <x:v>117.85</x:v>
      </x:c>
      <x:c r="J4154" s="3"/>
      <x:c r="K4154" s="3"/>
      <x:c r="L4154" s="3"/>
    </x:row>
    <x:row r="4155" ht="22" customHeight="1">
      <x:c r="A4155" s="3"/>
      <x:c r="B4155" s="3" t="str">
        <x:v>15775</x:v>
      </x:c>
      <x:c r="C4155" s="3" t="n">
        <x:v>1</x:v>
      </x:c>
      <x:c r="D4155" s="51" t="n">
        <x:v>40641</x:v>
      </x:c>
      <x:c r="E4155" s="3" t="str">
        <x:v>Una compra</x:v>
      </x:c>
      <x:c r="F4155" s="13" t="n">
        <x:v>104.9</x:v>
      </x:c>
      <x:c r="G4155" s="13" t="n">
        <x:v>0</x:v>
      </x:c>
      <x:c r="H4155" s="13" t="n">
        <x:f>F4155-G4155</x:f>
        <x:v>104.9</x:v>
      </x:c>
      <x:c r="I4155" s="13" t="n">
        <x:f>IF(C4155=0,"n.a.",F4155/C4155)</x:f>
        <x:v>104.9</x:v>
      </x:c>
      <x:c r="J4155" s="3"/>
      <x:c r="K4155" s="3"/>
      <x:c r="L4155" s="3"/>
    </x:row>
    <x:row r="4156" ht="22" customHeight="1">
      <x:c r="A4156" s="3"/>
      <x:c r="B4156" s="3" t="str">
        <x:v>14027</x:v>
      </x:c>
      <x:c r="C4156" s="3" t="n">
        <x:v>1</x:v>
      </x:c>
      <x:c r="D4156" s="51" t="n">
        <x:v>40826</x:v>
      </x:c>
      <x:c r="E4156" s="3" t="str">
        <x:v>Una compra</x:v>
      </x:c>
      <x:c r="F4156" s="13" t="n">
        <x:v>104.82</x:v>
      </x:c>
      <x:c r="G4156" s="13" t="n">
        <x:v>0</x:v>
      </x:c>
      <x:c r="H4156" s="13" t="n">
        <x:f>F4156-G4156</x:f>
        <x:v>104.82</x:v>
      </x:c>
      <x:c r="I4156" s="13" t="n">
        <x:f>IF(C4156=0,"n.a.",F4156/C4156)</x:f>
        <x:v>104.82</x:v>
      </x:c>
      <x:c r="J4156" s="3"/>
      <x:c r="K4156" s="3"/>
      <x:c r="L4156" s="3"/>
    </x:row>
    <x:row r="4157" ht="22" customHeight="1">
      <x:c r="A4157" s="3"/>
      <x:c r="B4157" s="3" t="str">
        <x:v>15607</x:v>
      </x:c>
      <x:c r="C4157" s="3" t="n">
        <x:v>1</x:v>
      </x:c>
      <x:c r="D4157" s="51" t="n">
        <x:v>40550</x:v>
      </x:c>
      <x:c r="E4157" s="3" t="str">
        <x:v>Una compra</x:v>
      </x:c>
      <x:c r="F4157" s="13" t="n">
        <x:v>104.76</x:v>
      </x:c>
      <x:c r="G4157" s="13" t="n">
        <x:v>0</x:v>
      </x:c>
      <x:c r="H4157" s="13" t="n">
        <x:f>F4157-G4157</x:f>
        <x:v>104.76</x:v>
      </x:c>
      <x:c r="I4157" s="13" t="n">
        <x:f>IF(C4157=0,"n.a.",F4157/C4157)</x:f>
        <x:v>104.76</x:v>
      </x:c>
      <x:c r="J4157" s="3"/>
      <x:c r="K4157" s="3"/>
      <x:c r="L4157" s="3"/>
    </x:row>
    <x:row r="4158" ht="22" customHeight="1">
      <x:c r="A4158" s="3"/>
      <x:c r="B4158" s="3" t="str">
        <x:v>15958</x:v>
      </x:c>
      <x:c r="C4158" s="3" t="n">
        <x:v>1</x:v>
      </x:c>
      <x:c r="D4158" s="51" t="n">
        <x:v>40812</x:v>
      </x:c>
      <x:c r="E4158" s="3" t="str">
        <x:v>Una compra</x:v>
      </x:c>
      <x:c r="F4158" s="13" t="n">
        <x:v>104.35</x:v>
      </x:c>
      <x:c r="G4158" s="13" t="n">
        <x:v>0</x:v>
      </x:c>
      <x:c r="H4158" s="13" t="n">
        <x:f>F4158-G4158</x:f>
        <x:v>104.35</x:v>
      </x:c>
      <x:c r="I4158" s="13" t="n">
        <x:f>IF(C4158=0,"n.a.",F4158/C4158)</x:f>
        <x:v>104.35</x:v>
      </x:c>
      <x:c r="J4158" s="3"/>
      <x:c r="K4158" s="3"/>
      <x:c r="L4158" s="3"/>
    </x:row>
    <x:row r="4159" ht="22" customHeight="1">
      <x:c r="A4159" s="3"/>
      <x:c r="B4159" s="3" t="str">
        <x:v>12587</x:v>
      </x:c>
      <x:c r="C4159" s="3" t="n">
        <x:v>1</x:v>
      </x:c>
      <x:c r="D4159" s="51" t="n">
        <x:v>40879</x:v>
      </x:c>
      <x:c r="E4159" s="3" t="str">
        <x:v>Una compra</x:v>
      </x:c>
      <x:c r="F4159" s="13" t="n">
        <x:v>104</x:v>
      </x:c>
      <x:c r="G4159" s="13" t="n">
        <x:v>0</x:v>
      </x:c>
      <x:c r="H4159" s="13" t="n">
        <x:f>F4159-G4159</x:f>
        <x:v>104</x:v>
      </x:c>
      <x:c r="I4159" s="13" t="n">
        <x:f>IF(C4159=0,"n.a.",F4159/C4159)</x:f>
        <x:v>104</x:v>
      </x:c>
      <x:c r="J4159" s="3"/>
      <x:c r="K4159" s="3"/>
      <x:c r="L4159" s="3"/>
    </x:row>
    <x:row r="4160" ht="22" customHeight="1">
      <x:c r="A4160" s="3"/>
      <x:c r="B4160" s="3" t="str">
        <x:v>18174</x:v>
      </x:c>
      <x:c r="C4160" s="3" t="n">
        <x:v>1</x:v>
      </x:c>
      <x:c r="D4160" s="51" t="n">
        <x:v>40879</x:v>
      </x:c>
      <x:c r="E4160" s="3" t="str">
        <x:v>Una compra</x:v>
      </x:c>
      <x:c r="F4160" s="13" t="n">
        <x:v>104</x:v>
      </x:c>
      <x:c r="G4160" s="13" t="n">
        <x:v>0</x:v>
      </x:c>
      <x:c r="H4160" s="13" t="n">
        <x:f>F4160-G4160</x:f>
        <x:v>104</x:v>
      </x:c>
      <x:c r="I4160" s="13" t="n">
        <x:f>IF(C4160=0,"n.a.",F4160/C4160)</x:f>
        <x:v>104</x:v>
      </x:c>
      <x:c r="J4160" s="3"/>
      <x:c r="K4160" s="3"/>
      <x:c r="L4160" s="3"/>
    </x:row>
    <x:row r="4161" ht="22" customHeight="1">
      <x:c r="A4161" s="3"/>
      <x:c r="B4161" s="3" t="str">
        <x:v>18255</x:v>
      </x:c>
      <x:c r="C4161" s="3" t="n">
        <x:v>1</x:v>
      </x:c>
      <x:c r="D4161" s="51" t="n">
        <x:v>40797</x:v>
      </x:c>
      <x:c r="E4161" s="3" t="str">
        <x:v>Una compra</x:v>
      </x:c>
      <x:c r="F4161" s="13" t="n">
        <x:v>103.3</x:v>
      </x:c>
      <x:c r="G4161" s="13" t="n">
        <x:v>0</x:v>
      </x:c>
      <x:c r="H4161" s="13" t="n">
        <x:f>F4161-G4161</x:f>
        <x:v>103.3</x:v>
      </x:c>
      <x:c r="I4161" s="13" t="n">
        <x:f>IF(C4161=0,"n.a.",F4161/C4161)</x:f>
        <x:v>103.3</x:v>
      </x:c>
      <x:c r="J4161" s="3"/>
      <x:c r="K4161" s="3"/>
      <x:c r="L4161" s="3"/>
    </x:row>
    <x:row r="4162" ht="22" customHeight="1">
      <x:c r="A4162" s="3"/>
      <x:c r="B4162" s="3" t="str">
        <x:v>14542</x:v>
      </x:c>
      <x:c r="C4162" s="3" t="n">
        <x:v>1</x:v>
      </x:c>
      <x:c r="D4162" s="51" t="n">
        <x:v>40701</x:v>
      </x:c>
      <x:c r="E4162" s="3" t="str">
        <x:v>Una compra</x:v>
      </x:c>
      <x:c r="F4162" s="13" t="n">
        <x:v>103.25</x:v>
      </x:c>
      <x:c r="G4162" s="13" t="n">
        <x:v>0</x:v>
      </x:c>
      <x:c r="H4162" s="13" t="n">
        <x:f>F4162-G4162</x:f>
        <x:v>103.25</x:v>
      </x:c>
      <x:c r="I4162" s="13" t="n">
        <x:f>IF(C4162=0,"n.a.",F4162/C4162)</x:f>
        <x:v>103.25</x:v>
      </x:c>
      <x:c r="J4162" s="3"/>
      <x:c r="K4162" s="3"/>
      <x:c r="L4162" s="3"/>
    </x:row>
    <x:row r="4163" ht="22" customHeight="1">
      <x:c r="A4163" s="3"/>
      <x:c r="B4163" s="3" t="str">
        <x:v>17962</x:v>
      </x:c>
      <x:c r="C4163" s="3" t="n">
        <x:v>1</x:v>
      </x:c>
      <x:c r="D4163" s="51" t="n">
        <x:v>40744</x:v>
      </x:c>
      <x:c r="E4163" s="3" t="str">
        <x:v>Una compra</x:v>
      </x:c>
      <x:c r="F4163" s="13" t="n">
        <x:v>102.83</x:v>
      </x:c>
      <x:c r="G4163" s="13" t="n">
        <x:v>0</x:v>
      </x:c>
      <x:c r="H4163" s="13" t="n">
        <x:f>F4163-G4163</x:f>
        <x:v>102.83</x:v>
      </x:c>
      <x:c r="I4163" s="13" t="n">
        <x:f>IF(C4163=0,"n.a.",F4163/C4163)</x:f>
        <x:v>102.83</x:v>
      </x:c>
      <x:c r="J4163" s="3"/>
      <x:c r="K4163" s="3"/>
      <x:c r="L4163" s="3"/>
    </x:row>
    <x:row r="4164" ht="22" customHeight="1">
      <x:c r="A4164" s="3"/>
      <x:c r="B4164" s="3" t="str">
        <x:v>18011</x:v>
      </x:c>
      <x:c r="C4164" s="3" t="n">
        <x:v>1</x:v>
      </x:c>
      <x:c r="D4164" s="51" t="n">
        <x:v>40513</x:v>
      </x:c>
      <x:c r="E4164" s="3" t="str">
        <x:v>Una compra</x:v>
      </x:c>
      <x:c r="F4164" s="13" t="n">
        <x:v>102.79</x:v>
      </x:c>
      <x:c r="G4164" s="13" t="n">
        <x:v>0</x:v>
      </x:c>
      <x:c r="H4164" s="13" t="n">
        <x:f>F4164-G4164</x:f>
        <x:v>102.79</x:v>
      </x:c>
      <x:c r="I4164" s="13" t="n">
        <x:f>IF(C4164=0,"n.a.",F4164/C4164)</x:f>
        <x:v>102.79</x:v>
      </x:c>
      <x:c r="J4164" s="3"/>
      <x:c r="K4164" s="3"/>
      <x:c r="L4164" s="3"/>
    </x:row>
    <x:row r="4165" ht="22" customHeight="1">
      <x:c r="A4165" s="3"/>
      <x:c r="B4165" s="3" t="str">
        <x:v>14836</x:v>
      </x:c>
      <x:c r="C4165" s="3" t="n">
        <x:v>3</x:v>
      </x:c>
      <x:c r="D4165" s="51" t="n">
        <x:v>40876</x:v>
      </x:c>
      <x:c r="E4165" s="3" t="str">
        <x:v>Recurrente</x:v>
      </x:c>
      <x:c r="F4165" s="13" t="n">
        <x:v>102.45</x:v>
      </x:c>
      <x:c r="G4165" s="13" t="n">
        <x:v>0</x:v>
      </x:c>
      <x:c r="H4165" s="13" t="n">
        <x:f>F4165-G4165</x:f>
        <x:v>102.45</x:v>
      </x:c>
      <x:c r="I4165" s="13" t="n">
        <x:f>IF(C4165=0,"n.a.",F4165/C4165)</x:f>
        <x:v>34.15</x:v>
      </x:c>
      <x:c r="J4165" s="3"/>
      <x:c r="K4165" s="3"/>
      <x:c r="L4165" s="3"/>
    </x:row>
    <x:row r="4166" ht="22" customHeight="1">
      <x:c r="A4166" s="3"/>
      <x:c r="B4166" s="3" t="str">
        <x:v>14981</x:v>
      </x:c>
      <x:c r="C4166" s="3" t="n">
        <x:v>1</x:v>
      </x:c>
      <x:c r="D4166" s="51" t="n">
        <x:v>40640</x:v>
      </x:c>
      <x:c r="E4166" s="3" t="str">
        <x:v>Una compra</x:v>
      </x:c>
      <x:c r="F4166" s="13" t="n">
        <x:v>102.12</x:v>
      </x:c>
      <x:c r="G4166" s="13" t="n">
        <x:v>0</x:v>
      </x:c>
      <x:c r="H4166" s="13" t="n">
        <x:f>F4166-G4166</x:f>
        <x:v>102.12</x:v>
      </x:c>
      <x:c r="I4166" s="13" t="n">
        <x:f>IF(C4166=0,"n.a.",F4166/C4166)</x:f>
        <x:v>102.12</x:v>
      </x:c>
      <x:c r="J4166" s="3"/>
      <x:c r="K4166" s="3"/>
      <x:c r="L4166" s="3"/>
    </x:row>
    <x:row r="4167" ht="22" customHeight="1">
      <x:c r="A4167" s="3"/>
      <x:c r="B4167" s="3" t="str">
        <x:v>13948</x:v>
      </x:c>
      <x:c r="C4167" s="3" t="n">
        <x:v>1</x:v>
      </x:c>
      <x:c r="D4167" s="51" t="n">
        <x:v>40526</x:v>
      </x:c>
      <x:c r="E4167" s="3" t="str">
        <x:v>Una compra</x:v>
      </x:c>
      <x:c r="F4167" s="13" t="n">
        <x:v>102</x:v>
      </x:c>
      <x:c r="G4167" s="13" t="n">
        <x:v>0</x:v>
      </x:c>
      <x:c r="H4167" s="13" t="n">
        <x:f>F4167-G4167</x:f>
        <x:v>102</x:v>
      </x:c>
      <x:c r="I4167" s="13" t="n">
        <x:f>IF(C4167=0,"n.a.",F4167/C4167)</x:f>
        <x:v>102</x:v>
      </x:c>
      <x:c r="J4167" s="3"/>
      <x:c r="K4167" s="3"/>
      <x:c r="L4167" s="3"/>
    </x:row>
    <x:row r="4168" ht="22" customHeight="1">
      <x:c r="A4168" s="3"/>
      <x:c r="B4168" s="3" t="str">
        <x:v>16462</x:v>
      </x:c>
      <x:c r="C4168" s="3" t="n">
        <x:v>3</x:v>
      </x:c>
      <x:c r="D4168" s="51" t="n">
        <x:v>40813</x:v>
      </x:c>
      <x:c r="E4168" s="3" t="str">
        <x:v>Recurrente</x:v>
      </x:c>
      <x:c r="F4168" s="13" t="n">
        <x:v>136</x:v>
      </x:c>
      <x:c r="G4168" s="13" t="n">
        <x:v>34</x:v>
      </x:c>
      <x:c r="H4168" s="13" t="n">
        <x:f>F4168-G4168</x:f>
        <x:v>102</x:v>
      </x:c>
      <x:c r="I4168" s="13" t="n">
        <x:f>IF(C4168=0,"n.a.",F4168/C4168)</x:f>
        <x:v>45.333333333333336</x:v>
      </x:c>
      <x:c r="J4168" s="3"/>
      <x:c r="K4168" s="3"/>
      <x:c r="L4168" s="3"/>
    </x:row>
    <x:row r="4169" ht="22" customHeight="1">
      <x:c r="A4169" s="3"/>
      <x:c r="B4169" s="3" t="str">
        <x:v>16516</x:v>
      </x:c>
      <x:c r="C4169" s="3" t="n">
        <x:v>1</x:v>
      </x:c>
      <x:c r="D4169" s="51" t="n">
        <x:v>40856</x:v>
      </x:c>
      <x:c r="E4169" s="3" t="str">
        <x:v>Una compra</x:v>
      </x:c>
      <x:c r="F4169" s="13" t="n">
        <x:v>101.7</x:v>
      </x:c>
      <x:c r="G4169" s="13" t="n">
        <x:v>0</x:v>
      </x:c>
      <x:c r="H4169" s="13" t="n">
        <x:f>F4169-G4169</x:f>
        <x:v>101.7</x:v>
      </x:c>
      <x:c r="I4169" s="13" t="n">
        <x:f>IF(C4169=0,"n.a.",F4169/C4169)</x:f>
        <x:v>101.7</x:v>
      </x:c>
      <x:c r="J4169" s="3"/>
      <x:c r="K4169" s="3"/>
      <x:c r="L4169" s="3"/>
    </x:row>
    <x:row r="4170" ht="22" customHeight="1">
      <x:c r="A4170" s="3"/>
      <x:c r="B4170" s="3" t="str">
        <x:v>18068</x:v>
      </x:c>
      <x:c r="C4170" s="3" t="n">
        <x:v>1</x:v>
      </x:c>
      <x:c r="D4170" s="51" t="n">
        <x:v>40597</x:v>
      </x:c>
      <x:c r="E4170" s="3" t="str">
        <x:v>Una compra</x:v>
      </x:c>
      <x:c r="F4170" s="13" t="n">
        <x:v>101.7</x:v>
      </x:c>
      <x:c r="G4170" s="13" t="n">
        <x:v>0</x:v>
      </x:c>
      <x:c r="H4170" s="13" t="n">
        <x:f>F4170-G4170</x:f>
        <x:v>101.7</x:v>
      </x:c>
      <x:c r="I4170" s="13" t="n">
        <x:f>IF(C4170=0,"n.a.",F4170/C4170)</x:f>
        <x:v>101.7</x:v>
      </x:c>
      <x:c r="J4170" s="3"/>
      <x:c r="K4170" s="3"/>
      <x:c r="L4170" s="3"/>
    </x:row>
    <x:row r="4171" ht="22" customHeight="1">
      <x:c r="A4171" s="3"/>
      <x:c r="B4171" s="3" t="str">
        <x:v>17643</x:v>
      </x:c>
      <x:c r="C4171" s="3" t="n">
        <x:v>1</x:v>
      </x:c>
      <x:c r="D4171" s="51" t="n">
        <x:v>40513</x:v>
      </x:c>
      <x:c r="E4171" s="3" t="str">
        <x:v>Una compra</x:v>
      </x:c>
      <x:c r="F4171" s="13" t="n">
        <x:v>101.55</x:v>
      </x:c>
      <x:c r="G4171" s="13" t="n">
        <x:v>0</x:v>
      </x:c>
      <x:c r="H4171" s="13" t="n">
        <x:f>F4171-G4171</x:f>
        <x:v>101.55</x:v>
      </x:c>
      <x:c r="I4171" s="13" t="n">
        <x:f>IF(C4171=0,"n.a.",F4171/C4171)</x:f>
        <x:v>101.55</x:v>
      </x:c>
      <x:c r="J4171" s="3"/>
      <x:c r="K4171" s="3"/>
      <x:c r="L4171" s="3"/>
    </x:row>
    <x:row r="4172" ht="22" customHeight="1">
      <x:c r="A4172" s="3"/>
      <x:c r="B4172" s="3" t="str">
        <x:v>16006</x:v>
      </x:c>
      <x:c r="C4172" s="3" t="n">
        <x:v>1</x:v>
      </x:c>
      <x:c r="D4172" s="51" t="n">
        <x:v>40675</x:v>
      </x:c>
      <x:c r="E4172" s="3" t="str">
        <x:v>Una compra</x:v>
      </x:c>
      <x:c r="F4172" s="13" t="n">
        <x:v>101.4</x:v>
      </x:c>
      <x:c r="G4172" s="13" t="n">
        <x:v>0</x:v>
      </x:c>
      <x:c r="H4172" s="13" t="n">
        <x:f>F4172-G4172</x:f>
        <x:v>101.4</x:v>
      </x:c>
      <x:c r="I4172" s="13" t="n">
        <x:f>IF(C4172=0,"n.a.",F4172/C4172)</x:f>
        <x:v>101.4</x:v>
      </x:c>
      <x:c r="J4172" s="3"/>
      <x:c r="K4172" s="3"/>
      <x:c r="L4172" s="3"/>
    </x:row>
    <x:row r="4173" ht="22" customHeight="1">
      <x:c r="A4173" s="3"/>
      <x:c r="B4173" s="3" t="str">
        <x:v>18086</x:v>
      </x:c>
      <x:c r="C4173" s="3" t="n">
        <x:v>1</x:v>
      </x:c>
      <x:c r="D4173" s="51" t="n">
        <x:v>40612</x:v>
      </x:c>
      <x:c r="E4173" s="3" t="str">
        <x:v>Una compra</x:v>
      </x:c>
      <x:c r="F4173" s="13" t="n">
        <x:v>101.34</x:v>
      </x:c>
      <x:c r="G4173" s="13" t="n">
        <x:v>0</x:v>
      </x:c>
      <x:c r="H4173" s="13" t="n">
        <x:f>F4173-G4173</x:f>
        <x:v>101.34</x:v>
      </x:c>
      <x:c r="I4173" s="13" t="n">
        <x:f>IF(C4173=0,"n.a.",F4173/C4173)</x:f>
        <x:v>101.34</x:v>
      </x:c>
      <x:c r="J4173" s="3"/>
      <x:c r="K4173" s="3"/>
      <x:c r="L4173" s="3"/>
    </x:row>
    <x:row r="4174" ht="22" customHeight="1">
      <x:c r="A4174" s="3"/>
      <x:c r="B4174" s="3" t="str">
        <x:v>13101</x:v>
      </x:c>
      <x:c r="C4174" s="3" t="n">
        <x:v>1</x:v>
      </x:c>
      <x:c r="D4174" s="51" t="n">
        <x:v>40652</x:v>
      </x:c>
      <x:c r="E4174" s="3" t="str">
        <x:v>Una compra</x:v>
      </x:c>
      <x:c r="F4174" s="13" t="n">
        <x:v>101.19</x:v>
      </x:c>
      <x:c r="G4174" s="13" t="n">
        <x:v>0</x:v>
      </x:c>
      <x:c r="H4174" s="13" t="n">
        <x:f>F4174-G4174</x:f>
        <x:v>101.19</x:v>
      </x:c>
      <x:c r="I4174" s="13" t="n">
        <x:f>IF(C4174=0,"n.a.",F4174/C4174)</x:f>
        <x:v>101.19</x:v>
      </x:c>
      <x:c r="J4174" s="3"/>
      <x:c r="K4174" s="3"/>
      <x:c r="L4174" s="3"/>
    </x:row>
    <x:row r="4175" ht="22" customHeight="1">
      <x:c r="A4175" s="3"/>
      <x:c r="B4175" s="3" t="str">
        <x:v>16344</x:v>
      </x:c>
      <x:c r="C4175" s="3" t="n">
        <x:v>1</x:v>
      </x:c>
      <x:c r="D4175" s="51" t="n">
        <x:v>40728</x:v>
      </x:c>
      <x:c r="E4175" s="3" t="str">
        <x:v>Una compra</x:v>
      </x:c>
      <x:c r="F4175" s="13" t="n">
        <x:v>101.1</x:v>
      </x:c>
      <x:c r="G4175" s="13" t="n">
        <x:v>0</x:v>
      </x:c>
      <x:c r="H4175" s="13" t="n">
        <x:f>F4175-G4175</x:f>
        <x:v>101.1</x:v>
      </x:c>
      <x:c r="I4175" s="13" t="n">
        <x:f>IF(C4175=0,"n.a.",F4175/C4175)</x:f>
        <x:v>101.1</x:v>
      </x:c>
      <x:c r="J4175" s="3"/>
      <x:c r="K4175" s="3"/>
      <x:c r="L4175" s="3"/>
    </x:row>
    <x:row r="4176" ht="22" customHeight="1">
      <x:c r="A4176" s="3"/>
      <x:c r="B4176" s="3" t="str">
        <x:v>14946</x:v>
      </x:c>
      <x:c r="C4176" s="3" t="n">
        <x:v>1</x:v>
      </x:c>
      <x:c r="D4176" s="51" t="n">
        <x:v>40872</x:v>
      </x:c>
      <x:c r="E4176" s="3" t="str">
        <x:v>Una compra</x:v>
      </x:c>
      <x:c r="F4176" s="13" t="n">
        <x:v>100.9</x:v>
      </x:c>
      <x:c r="G4176" s="13" t="n">
        <x:v>0</x:v>
      </x:c>
      <x:c r="H4176" s="13" t="n">
        <x:f>F4176-G4176</x:f>
        <x:v>100.9</x:v>
      </x:c>
      <x:c r="I4176" s="13" t="n">
        <x:f>IF(C4176=0,"n.a.",F4176/C4176)</x:f>
        <x:v>100.9</x:v>
      </x:c>
      <x:c r="J4176" s="3"/>
      <x:c r="K4176" s="3"/>
      <x:c r="L4176" s="3"/>
    </x:row>
    <x:row r="4177" ht="22" customHeight="1">
      <x:c r="A4177" s="3"/>
      <x:c r="B4177" s="3" t="str">
        <x:v>17427</x:v>
      </x:c>
      <x:c r="C4177" s="3" t="n">
        <x:v>1</x:v>
      </x:c>
      <x:c r="D4177" s="51" t="n">
        <x:v>40815</x:v>
      </x:c>
      <x:c r="E4177" s="3" t="str">
        <x:v>Una compra</x:v>
      </x:c>
      <x:c r="F4177" s="13" t="n">
        <x:v>100.8</x:v>
      </x:c>
      <x:c r="G4177" s="13" t="n">
        <x:v>0</x:v>
      </x:c>
      <x:c r="H4177" s="13" t="n">
        <x:f>F4177-G4177</x:f>
        <x:v>100.8</x:v>
      </x:c>
      <x:c r="I4177" s="13" t="n">
        <x:f>IF(C4177=0,"n.a.",F4177/C4177)</x:f>
        <x:v>100.8</x:v>
      </x:c>
      <x:c r="J4177" s="3"/>
      <x:c r="K4177" s="3"/>
      <x:c r="L4177" s="3"/>
    </x:row>
    <x:row r="4178" ht="22" customHeight="1">
      <x:c r="A4178" s="3"/>
      <x:c r="B4178" s="3" t="str">
        <x:v>14371</x:v>
      </x:c>
      <x:c r="C4178" s="3" t="n">
        <x:v>1</x:v>
      </x:c>
      <x:c r="D4178" s="51" t="n">
        <x:v>40591</x:v>
      </x:c>
      <x:c r="E4178" s="3" t="str">
        <x:v>Una compra</x:v>
      </x:c>
      <x:c r="F4178" s="13" t="n">
        <x:v>100.5</x:v>
      </x:c>
      <x:c r="G4178" s="13" t="n">
        <x:v>0</x:v>
      </x:c>
      <x:c r="H4178" s="13" t="n">
        <x:f>F4178-G4178</x:f>
        <x:v>100.5</x:v>
      </x:c>
      <x:c r="I4178" s="13" t="n">
        <x:f>IF(C4178=0,"n.a.",F4178/C4178)</x:f>
        <x:v>100.5</x:v>
      </x:c>
      <x:c r="J4178" s="3"/>
      <x:c r="K4178" s="3"/>
      <x:c r="L4178" s="3"/>
    </x:row>
    <x:row r="4179" ht="22" customHeight="1">
      <x:c r="A4179" s="3"/>
      <x:c r="B4179" s="3" t="str">
        <x:v>15973</x:v>
      </x:c>
      <x:c r="C4179" s="3" t="n">
        <x:v>1</x:v>
      </x:c>
      <x:c r="D4179" s="51" t="n">
        <x:v>40520</x:v>
      </x:c>
      <x:c r="E4179" s="3" t="str">
        <x:v>Una compra</x:v>
      </x:c>
      <x:c r="F4179" s="13" t="n">
        <x:v>307.82</x:v>
      </x:c>
      <x:c r="G4179" s="13" t="n">
        <x:v>208.05</x:v>
      </x:c>
      <x:c r="H4179" s="13" t="n">
        <x:f>F4179-G4179</x:f>
        <x:v>99.76999999999998</x:v>
      </x:c>
      <x:c r="I4179" s="13" t="n">
        <x:f>IF(C4179=0,"n.a.",F4179/C4179)</x:f>
        <x:v>307.82</x:v>
      </x:c>
      <x:c r="J4179" s="3"/>
      <x:c r="K4179" s="3"/>
      <x:c r="L4179" s="3"/>
    </x:row>
    <x:row r="4180" ht="22" customHeight="1">
      <x:c r="A4180" s="3"/>
      <x:c r="B4180" s="3" t="str">
        <x:v>13703</x:v>
      </x:c>
      <x:c r="C4180" s="3" t="n">
        <x:v>1</x:v>
      </x:c>
      <x:c r="D4180" s="51" t="n">
        <x:v>40568</x:v>
      </x:c>
      <x:c r="E4180" s="3" t="str">
        <x:v>Una compra</x:v>
      </x:c>
      <x:c r="F4180" s="13" t="n">
        <x:v>99.5</x:v>
      </x:c>
      <x:c r="G4180" s="13" t="n">
        <x:v>0</x:v>
      </x:c>
      <x:c r="H4180" s="13" t="n">
        <x:f>F4180-G4180</x:f>
        <x:v>99.5</x:v>
      </x:c>
      <x:c r="I4180" s="13" t="n">
        <x:f>IF(C4180=0,"n.a.",F4180/C4180)</x:f>
        <x:v>99.5</x:v>
      </x:c>
      <x:c r="J4180" s="3"/>
      <x:c r="K4180" s="3"/>
      <x:c r="L4180" s="3"/>
    </x:row>
    <x:row r="4181" ht="22" customHeight="1">
      <x:c r="A4181" s="3"/>
      <x:c r="B4181" s="3" t="str">
        <x:v>17939</x:v>
      </x:c>
      <x:c r="C4181" s="3" t="n">
        <x:v>1</x:v>
      </x:c>
      <x:c r="D4181" s="51" t="n">
        <x:v>40727</x:v>
      </x:c>
      <x:c r="E4181" s="3" t="str">
        <x:v>Una compra</x:v>
      </x:c>
      <x:c r="F4181" s="13" t="n">
        <x:v>99.14</x:v>
      </x:c>
      <x:c r="G4181" s="13" t="n">
        <x:v>0</x:v>
      </x:c>
      <x:c r="H4181" s="13" t="n">
        <x:f>F4181-G4181</x:f>
        <x:v>99.14</x:v>
      </x:c>
      <x:c r="I4181" s="13" t="n">
        <x:f>IF(C4181=0,"n.a.",F4181/C4181)</x:f>
        <x:v>99.14</x:v>
      </x:c>
      <x:c r="J4181" s="3"/>
      <x:c r="K4181" s="3"/>
      <x:c r="L4181" s="3"/>
    </x:row>
    <x:row r="4182" ht="22" customHeight="1">
      <x:c r="A4182" s="3"/>
      <x:c r="B4182" s="3" t="str">
        <x:v>17746</x:v>
      </x:c>
      <x:c r="C4182" s="3" t="n">
        <x:v>1</x:v>
      </x:c>
      <x:c r="D4182" s="51" t="n">
        <x:v>40646</x:v>
      </x:c>
      <x:c r="E4182" s="3" t="str">
        <x:v>Una compra</x:v>
      </x:c>
      <x:c r="F4182" s="13" t="n">
        <x:v>110.25</x:v>
      </x:c>
      <x:c r="G4182" s="13" t="n">
        <x:v>11.45</x:v>
      </x:c>
      <x:c r="H4182" s="13" t="n">
        <x:f>F4182-G4182</x:f>
        <x:v>98.8</x:v>
      </x:c>
      <x:c r="I4182" s="13" t="n">
        <x:f>IF(C4182=0,"n.a.",F4182/C4182)</x:f>
        <x:v>110.25</x:v>
      </x:c>
      <x:c r="J4182" s="3"/>
      <x:c r="K4182" s="3"/>
      <x:c r="L4182" s="3"/>
    </x:row>
    <x:row r="4183" ht="22" customHeight="1">
      <x:c r="A4183" s="3"/>
      <x:c r="B4183" s="3" t="str">
        <x:v>15256</x:v>
      </x:c>
      <x:c r="C4183" s="3" t="n">
        <x:v>1</x:v>
      </x:c>
      <x:c r="D4183" s="51" t="n">
        <x:v>40738</x:v>
      </x:c>
      <x:c r="E4183" s="3" t="str">
        <x:v>Una compra</x:v>
      </x:c>
      <x:c r="F4183" s="13" t="n">
        <x:v>98.45</x:v>
      </x:c>
      <x:c r="G4183" s="13" t="n">
        <x:v>0</x:v>
      </x:c>
      <x:c r="H4183" s="13" t="n">
        <x:f>F4183-G4183</x:f>
        <x:v>98.45</x:v>
      </x:c>
      <x:c r="I4183" s="13" t="n">
        <x:f>IF(C4183=0,"n.a.",F4183/C4183)</x:f>
        <x:v>98.45</x:v>
      </x:c>
      <x:c r="J4183" s="3"/>
      <x:c r="K4183" s="3"/>
      <x:c r="L4183" s="3"/>
    </x:row>
    <x:row r="4184" ht="22" customHeight="1">
      <x:c r="A4184" s="3"/>
      <x:c r="B4184" s="3" t="str">
        <x:v>17538</x:v>
      </x:c>
      <x:c r="C4184" s="3" t="n">
        <x:v>1</x:v>
      </x:c>
      <x:c r="D4184" s="51" t="n">
        <x:v>40861</x:v>
      </x:c>
      <x:c r="E4184" s="3" t="str">
        <x:v>Una compra</x:v>
      </x:c>
      <x:c r="F4184" s="13" t="n">
        <x:v>98.42</x:v>
      </x:c>
      <x:c r="G4184" s="13" t="n">
        <x:v>0</x:v>
      </x:c>
      <x:c r="H4184" s="13" t="n">
        <x:f>F4184-G4184</x:f>
        <x:v>98.42</x:v>
      </x:c>
      <x:c r="I4184" s="13" t="n">
        <x:f>IF(C4184=0,"n.a.",F4184/C4184)</x:f>
        <x:v>98.42</x:v>
      </x:c>
      <x:c r="J4184" s="3"/>
      <x:c r="K4184" s="3"/>
      <x:c r="L4184" s="3"/>
    </x:row>
    <x:row r="4185" ht="22" customHeight="1">
      <x:c r="A4185" s="3"/>
      <x:c r="B4185" s="3" t="str">
        <x:v>17895</x:v>
      </x:c>
      <x:c r="C4185" s="3" t="n">
        <x:v>1</x:v>
      </x:c>
      <x:c r="D4185" s="51" t="n">
        <x:v>40842</x:v>
      </x:c>
      <x:c r="E4185" s="3" t="str">
        <x:v>Una compra</x:v>
      </x:c>
      <x:c r="F4185" s="13" t="n">
        <x:v>98</x:v>
      </x:c>
      <x:c r="G4185" s="13" t="n">
        <x:v>0</x:v>
      </x:c>
      <x:c r="H4185" s="13" t="n">
        <x:f>F4185-G4185</x:f>
        <x:v>98</x:v>
      </x:c>
      <x:c r="I4185" s="13" t="n">
        <x:f>IF(C4185=0,"n.a.",F4185/C4185)</x:f>
        <x:v>98</x:v>
      </x:c>
      <x:c r="J4185" s="3"/>
      <x:c r="K4185" s="3"/>
      <x:c r="L4185" s="3"/>
    </x:row>
    <x:row r="4186" ht="22" customHeight="1">
      <x:c r="A4186" s="3"/>
      <x:c r="B4186" s="3" t="str">
        <x:v>18033</x:v>
      </x:c>
      <x:c r="C4186" s="3" t="n">
        <x:v>1</x:v>
      </x:c>
      <x:c r="D4186" s="51" t="n">
        <x:v>40821</x:v>
      </x:c>
      <x:c r="E4186" s="3" t="str">
        <x:v>Una compra</x:v>
      </x:c>
      <x:c r="F4186" s="13" t="n">
        <x:v>97.97</x:v>
      </x:c>
      <x:c r="G4186" s="13" t="n">
        <x:v>0</x:v>
      </x:c>
      <x:c r="H4186" s="13" t="n">
        <x:f>F4186-G4186</x:f>
        <x:v>97.97</x:v>
      </x:c>
      <x:c r="I4186" s="13" t="n">
        <x:f>IF(C4186=0,"n.a.",F4186/C4186)</x:f>
        <x:v>97.97</x:v>
      </x:c>
      <x:c r="J4186" s="3"/>
      <x:c r="K4186" s="3"/>
      <x:c r="L4186" s="3"/>
    </x:row>
    <x:row r="4187" ht="22" customHeight="1">
      <x:c r="A4187" s="3"/>
      <x:c r="B4187" s="3" t="str">
        <x:v>15422</x:v>
      </x:c>
      <x:c r="C4187" s="3" t="n">
        <x:v>2</x:v>
      </x:c>
      <x:c r="D4187" s="51" t="n">
        <x:v>40563</x:v>
      </x:c>
      <x:c r="E4187" s="3" t="str">
        <x:v>Recurrente</x:v>
      </x:c>
      <x:c r="F4187" s="13" t="n">
        <x:v>97.7</x:v>
      </x:c>
      <x:c r="G4187" s="13" t="n">
        <x:v>0</x:v>
      </x:c>
      <x:c r="H4187" s="13" t="n">
        <x:f>F4187-G4187</x:f>
        <x:v>97.7</x:v>
      </x:c>
      <x:c r="I4187" s="13" t="n">
        <x:f>IF(C4187=0,"n.a.",F4187/C4187)</x:f>
        <x:v>48.85</x:v>
      </x:c>
      <x:c r="J4187" s="3"/>
      <x:c r="K4187" s="3"/>
      <x:c r="L4187" s="3"/>
    </x:row>
    <x:row r="4188" ht="22" customHeight="1">
      <x:c r="A4188" s="3"/>
      <x:c r="B4188" s="3" t="str">
        <x:v>18277</x:v>
      </x:c>
      <x:c r="C4188" s="3" t="n">
        <x:v>1</x:v>
      </x:c>
      <x:c r="D4188" s="51" t="n">
        <x:v>40828</x:v>
      </x:c>
      <x:c r="E4188" s="3" t="str">
        <x:v>Una compra</x:v>
      </x:c>
      <x:c r="F4188" s="13" t="n">
        <x:v>110.38</x:v>
      </x:c>
      <x:c r="G4188" s="13" t="n">
        <x:v>12.75</x:v>
      </x:c>
      <x:c r="H4188" s="13" t="n">
        <x:f>F4188-G4188</x:f>
        <x:v>97.63</x:v>
      </x:c>
      <x:c r="I4188" s="13" t="n">
        <x:f>IF(C4188=0,"n.a.",F4188/C4188)</x:f>
        <x:v>110.38</x:v>
      </x:c>
      <x:c r="J4188" s="3"/>
      <x:c r="K4188" s="3"/>
      <x:c r="L4188" s="3"/>
    </x:row>
    <x:row r="4189" ht="22" customHeight="1">
      <x:c r="A4189" s="3"/>
      <x:c r="B4189" s="3" t="str">
        <x:v>12984</x:v>
      </x:c>
      <x:c r="C4189" s="3" t="n">
        <x:v>1</x:v>
      </x:c>
      <x:c r="D4189" s="51" t="n">
        <x:v>40868</x:v>
      </x:c>
      <x:c r="E4189" s="3" t="str">
        <x:v>Una compra</x:v>
      </x:c>
      <x:c r="F4189" s="13" t="n">
        <x:v>97.5</x:v>
      </x:c>
      <x:c r="G4189" s="13" t="n">
        <x:v>0</x:v>
      </x:c>
      <x:c r="H4189" s="13" t="n">
        <x:f>F4189-G4189</x:f>
        <x:v>97.5</x:v>
      </x:c>
      <x:c r="I4189" s="13" t="n">
        <x:f>IF(C4189=0,"n.a.",F4189/C4189)</x:f>
        <x:v>97.5</x:v>
      </x:c>
      <x:c r="J4189" s="3"/>
      <x:c r="K4189" s="3"/>
      <x:c r="L4189" s="3"/>
    </x:row>
    <x:row r="4190" ht="22" customHeight="1">
      <x:c r="A4190" s="3"/>
      <x:c r="B4190" s="3" t="str">
        <x:v>17325</x:v>
      </x:c>
      <x:c r="C4190" s="3" t="n">
        <x:v>1</x:v>
      </x:c>
      <x:c r="D4190" s="51" t="n">
        <x:v>40606</x:v>
      </x:c>
      <x:c r="E4190" s="3" t="str">
        <x:v>Una compra</x:v>
      </x:c>
      <x:c r="F4190" s="13" t="n">
        <x:v>96.8</x:v>
      </x:c>
      <x:c r="G4190" s="13" t="n">
        <x:v>0</x:v>
      </x:c>
      <x:c r="H4190" s="13" t="n">
        <x:f>F4190-G4190</x:f>
        <x:v>96.8</x:v>
      </x:c>
      <x:c r="I4190" s="13" t="n">
        <x:f>IF(C4190=0,"n.a.",F4190/C4190)</x:f>
        <x:v>96.8</x:v>
      </x:c>
      <x:c r="J4190" s="3"/>
      <x:c r="K4190" s="3"/>
      <x:c r="L4190" s="3"/>
    </x:row>
    <x:row r="4191" ht="22" customHeight="1">
      <x:c r="A4191" s="3"/>
      <x:c r="B4191" s="3" t="str">
        <x:v>15216</x:v>
      </x:c>
      <x:c r="C4191" s="3" t="n">
        <x:v>1</x:v>
      </x:c>
      <x:c r="D4191" s="51" t="n">
        <x:v>40799</x:v>
      </x:c>
      <x:c r="E4191" s="3" t="str">
        <x:v>Una compra</x:v>
      </x:c>
      <x:c r="F4191" s="13" t="n">
        <x:v>96.6</x:v>
      </x:c>
      <x:c r="G4191" s="13" t="n">
        <x:v>0</x:v>
      </x:c>
      <x:c r="H4191" s="13" t="n">
        <x:f>F4191-G4191</x:f>
        <x:v>96.6</x:v>
      </x:c>
      <x:c r="I4191" s="13" t="n">
        <x:f>IF(C4191=0,"n.a.",F4191/C4191)</x:f>
        <x:v>96.6</x:v>
      </x:c>
      <x:c r="J4191" s="3"/>
      <x:c r="K4191" s="3"/>
      <x:c r="L4191" s="3"/>
    </x:row>
    <x:row r="4192" ht="22" customHeight="1">
      <x:c r="A4192" s="3"/>
      <x:c r="B4192" s="3" t="str">
        <x:v>14642</x:v>
      </x:c>
      <x:c r="C4192" s="3" t="n">
        <x:v>1</x:v>
      </x:c>
      <x:c r="D4192" s="51" t="n">
        <x:v>40828</x:v>
      </x:c>
      <x:c r="E4192" s="3" t="str">
        <x:v>Una compra</x:v>
      </x:c>
      <x:c r="F4192" s="13" t="n">
        <x:v>96.12</x:v>
      </x:c>
      <x:c r="G4192" s="13" t="n">
        <x:v>0</x:v>
      </x:c>
      <x:c r="H4192" s="13" t="n">
        <x:f>F4192-G4192</x:f>
        <x:v>96.12</x:v>
      </x:c>
      <x:c r="I4192" s="13" t="n">
        <x:f>IF(C4192=0,"n.a.",F4192/C4192)</x:f>
        <x:v>96.12</x:v>
      </x:c>
      <x:c r="J4192" s="3"/>
      <x:c r="K4192" s="3"/>
      <x:c r="L4192" s="3"/>
    </x:row>
    <x:row r="4193" ht="22" customHeight="1">
      <x:c r="A4193" s="3"/>
      <x:c r="B4193" s="3" t="str">
        <x:v>17024</x:v>
      </x:c>
      <x:c r="C4193" s="3" t="n">
        <x:v>3</x:v>
      </x:c>
      <x:c r="D4193" s="51" t="n">
        <x:v>40841</x:v>
      </x:c>
      <x:c r="E4193" s="3" t="str">
        <x:v>Recurrente</x:v>
      </x:c>
      <x:c r="F4193" s="13" t="n">
        <x:v>95.85</x:v>
      </x:c>
      <x:c r="G4193" s="13" t="n">
        <x:v>0</x:v>
      </x:c>
      <x:c r="H4193" s="13" t="n">
        <x:f>F4193-G4193</x:f>
        <x:v>95.85</x:v>
      </x:c>
      <x:c r="I4193" s="13" t="n">
        <x:f>IF(C4193=0,"n.a.",F4193/C4193)</x:f>
        <x:v>31.95</x:v>
      </x:c>
      <x:c r="J4193" s="3"/>
      <x:c r="K4193" s="3"/>
      <x:c r="L4193" s="3"/>
    </x:row>
    <x:row r="4194" ht="22" customHeight="1">
      <x:c r="A4194" s="3"/>
      <x:c r="B4194" s="3" t="str">
        <x:v>18249</x:v>
      </x:c>
      <x:c r="C4194" s="3" t="n">
        <x:v>1</x:v>
      </x:c>
      <x:c r="D4194" s="51" t="n">
        <x:v>40869</x:v>
      </x:c>
      <x:c r="E4194" s="3" t="str">
        <x:v>Una compra</x:v>
      </x:c>
      <x:c r="F4194" s="13" t="n">
        <x:v>95.34</x:v>
      </x:c>
      <x:c r="G4194" s="13" t="n">
        <x:v>0</x:v>
      </x:c>
      <x:c r="H4194" s="13" t="n">
        <x:f>F4194-G4194</x:f>
        <x:v>95.34</x:v>
      </x:c>
      <x:c r="I4194" s="13" t="n">
        <x:f>IF(C4194=0,"n.a.",F4194/C4194)</x:f>
        <x:v>95.34</x:v>
      </x:c>
      <x:c r="J4194" s="3"/>
      <x:c r="K4194" s="3"/>
      <x:c r="L4194" s="3"/>
    </x:row>
    <x:row r="4195" ht="22" customHeight="1">
      <x:c r="A4195" s="3"/>
      <x:c r="B4195" s="3" t="str">
        <x:v>16387</x:v>
      </x:c>
      <x:c r="C4195" s="3" t="n">
        <x:v>1</x:v>
      </x:c>
      <x:c r="D4195" s="51" t="n">
        <x:v>40564</x:v>
      </x:c>
      <x:c r="E4195" s="3" t="str">
        <x:v>Una compra</x:v>
      </x:c>
      <x:c r="F4195" s="13" t="n">
        <x:v>94.36</x:v>
      </x:c>
      <x:c r="G4195" s="13" t="n">
        <x:v>0</x:v>
      </x:c>
      <x:c r="H4195" s="13" t="n">
        <x:f>F4195-G4195</x:f>
        <x:v>94.36</x:v>
      </x:c>
      <x:c r="I4195" s="13" t="n">
        <x:f>IF(C4195=0,"n.a.",F4195/C4195)</x:f>
        <x:v>94.36</x:v>
      </x:c>
      <x:c r="J4195" s="3"/>
      <x:c r="K4195" s="3"/>
      <x:c r="L4195" s="3"/>
    </x:row>
    <x:row r="4196" ht="22" customHeight="1">
      <x:c r="A4196" s="3"/>
      <x:c r="B4196" s="3" t="str">
        <x:v>16073</x:v>
      </x:c>
      <x:c r="C4196" s="3" t="n">
        <x:v>1</x:v>
      </x:c>
      <x:c r="D4196" s="51" t="n">
        <x:v>40589</x:v>
      </x:c>
      <x:c r="E4196" s="3" t="str">
        <x:v>Una compra</x:v>
      </x:c>
      <x:c r="F4196" s="13" t="n">
        <x:v>122.4</x:v>
      </x:c>
      <x:c r="G4196" s="13" t="n">
        <x:v>28.05</x:v>
      </x:c>
      <x:c r="H4196" s="13" t="n">
        <x:f>F4196-G4196</x:f>
        <x:v>94.35000000000001</x:v>
      </x:c>
      <x:c r="I4196" s="13" t="n">
        <x:f>IF(C4196=0,"n.a.",F4196/C4196)</x:f>
        <x:v>122.4</x:v>
      </x:c>
      <x:c r="J4196" s="3"/>
      <x:c r="K4196" s="3"/>
      <x:c r="L4196" s="3"/>
    </x:row>
    <x:row r="4197" ht="22" customHeight="1">
      <x:c r="A4197" s="3"/>
      <x:c r="B4197" s="3" t="str">
        <x:v>15397</x:v>
      </x:c>
      <x:c r="C4197" s="3" t="n">
        <x:v>1</x:v>
      </x:c>
      <x:c r="D4197" s="51" t="n">
        <x:v>40597</x:v>
      </x:c>
      <x:c r="E4197" s="3" t="str">
        <x:v>Una compra</x:v>
      </x:c>
      <x:c r="F4197" s="13" t="n">
        <x:v>94</x:v>
      </x:c>
      <x:c r="G4197" s="13" t="n">
        <x:v>0</x:v>
      </x:c>
      <x:c r="H4197" s="13" t="n">
        <x:f>F4197-G4197</x:f>
        <x:v>94</x:v>
      </x:c>
      <x:c r="I4197" s="13" t="n">
        <x:f>IF(C4197=0,"n.a.",F4197/C4197)</x:f>
        <x:v>94</x:v>
      </x:c>
      <x:c r="J4197" s="3"/>
      <x:c r="K4197" s="3"/>
      <x:c r="L4197" s="3"/>
    </x:row>
    <x:row r="4198" ht="22" customHeight="1">
      <x:c r="A4198" s="3"/>
      <x:c r="B4198" s="3" t="str">
        <x:v>15428</x:v>
      </x:c>
      <x:c r="C4198" s="3" t="n">
        <x:v>1</x:v>
      </x:c>
      <x:c r="D4198" s="51" t="n">
        <x:v>40871</x:v>
      </x:c>
      <x:c r="E4198" s="3" t="str">
        <x:v>Una compra</x:v>
      </x:c>
      <x:c r="F4198" s="13" t="n">
        <x:v>93.78</x:v>
      </x:c>
      <x:c r="G4198" s="13" t="n">
        <x:v>0</x:v>
      </x:c>
      <x:c r="H4198" s="13" t="n">
        <x:f>F4198-G4198</x:f>
        <x:v>93.78</x:v>
      </x:c>
      <x:c r="I4198" s="13" t="n">
        <x:f>IF(C4198=0,"n.a.",F4198/C4198)</x:f>
        <x:v>93.78</x:v>
      </x:c>
      <x:c r="J4198" s="3"/>
      <x:c r="K4198" s="3"/>
      <x:c r="L4198" s="3"/>
    </x:row>
    <x:row r="4199" ht="22" customHeight="1">
      <x:c r="A4199" s="3"/>
      <x:c r="B4199" s="3" t="str">
        <x:v>18227</x:v>
      </x:c>
      <x:c r="C4199" s="3" t="n">
        <x:v>1</x:v>
      </x:c>
      <x:c r="D4199" s="51" t="n">
        <x:v>40669</x:v>
      </x:c>
      <x:c r="E4199" s="3" t="str">
        <x:v>Una compra</x:v>
      </x:c>
      <x:c r="F4199" s="13" t="n">
        <x:v>93.75</x:v>
      </x:c>
      <x:c r="G4199" s="13" t="n">
        <x:v>0</x:v>
      </x:c>
      <x:c r="H4199" s="13" t="n">
        <x:f>F4199-G4199</x:f>
        <x:v>93.75</x:v>
      </x:c>
      <x:c r="I4199" s="13" t="n">
        <x:f>IF(C4199=0,"n.a.",F4199/C4199)</x:f>
        <x:v>93.75</x:v>
      </x:c>
      <x:c r="J4199" s="3"/>
      <x:c r="K4199" s="3"/>
      <x:c r="L4199" s="3"/>
    </x:row>
    <x:row r="4200" ht="22" customHeight="1">
      <x:c r="A4200" s="3"/>
      <x:c r="B4200" s="3" t="str">
        <x:v>13283</x:v>
      </x:c>
      <x:c r="C4200" s="3" t="n">
        <x:v>2</x:v>
      </x:c>
      <x:c r="D4200" s="51" t="n">
        <x:v>40827</x:v>
      </x:c>
      <x:c r="E4200" s="3" t="str">
        <x:v>Recurrente</x:v>
      </x:c>
      <x:c r="F4200" s="13" t="n">
        <x:v>93.66</x:v>
      </x:c>
      <x:c r="G4200" s="13" t="n">
        <x:v>0</x:v>
      </x:c>
      <x:c r="H4200" s="13" t="n">
        <x:f>F4200-G4200</x:f>
        <x:v>93.66</x:v>
      </x:c>
      <x:c r="I4200" s="13" t="n">
        <x:f>IF(C4200=0,"n.a.",F4200/C4200)</x:f>
        <x:v>46.83</x:v>
      </x:c>
      <x:c r="J4200" s="3"/>
      <x:c r="K4200" s="3"/>
      <x:c r="L4200" s="3"/>
    </x:row>
    <x:row r="4201" ht="22" customHeight="1">
      <x:c r="A4201" s="3"/>
      <x:c r="B4201" s="3" t="str">
        <x:v>17991</x:v>
      </x:c>
      <x:c r="C4201" s="3" t="n">
        <x:v>2</x:v>
      </x:c>
      <x:c r="D4201" s="51" t="n">
        <x:v>40661</x:v>
      </x:c>
      <x:c r="E4201" s="3" t="str">
        <x:v>Recurrente</x:v>
      </x:c>
      <x:c r="F4201" s="13" t="n">
        <x:v>93.35</x:v>
      </x:c>
      <x:c r="G4201" s="13" t="n">
        <x:v>0</x:v>
      </x:c>
      <x:c r="H4201" s="13" t="n">
        <x:f>F4201-G4201</x:f>
        <x:v>93.35</x:v>
      </x:c>
      <x:c r="I4201" s="13" t="n">
        <x:f>IF(C4201=0,"n.a.",F4201/C4201)</x:f>
        <x:v>46.675</x:v>
      </x:c>
      <x:c r="J4201" s="3"/>
      <x:c r="K4201" s="3"/>
      <x:c r="L4201" s="3"/>
    </x:row>
    <x:row r="4202" ht="22" customHeight="1">
      <x:c r="A4202" s="3"/>
      <x:c r="B4202" s="3" t="str">
        <x:v>12821</x:v>
      </x:c>
      <x:c r="C4202" s="3" t="n">
        <x:v>1</x:v>
      </x:c>
      <x:c r="D4202" s="51" t="n">
        <x:v>40672</x:v>
      </x:c>
      <x:c r="E4202" s="3" t="str">
        <x:v>Una compra</x:v>
      </x:c>
      <x:c r="F4202" s="13" t="n">
        <x:v>92.72</x:v>
      </x:c>
      <x:c r="G4202" s="13" t="n">
        <x:v>0</x:v>
      </x:c>
      <x:c r="H4202" s="13" t="n">
        <x:f>F4202-G4202</x:f>
        <x:v>92.72</x:v>
      </x:c>
      <x:c r="I4202" s="13" t="n">
        <x:f>IF(C4202=0,"n.a.",F4202/C4202)</x:f>
        <x:v>92.72</x:v>
      </x:c>
      <x:c r="J4202" s="3"/>
      <x:c r="K4202" s="3"/>
      <x:c r="L4202" s="3"/>
    </x:row>
    <x:row r="4203" ht="22" customHeight="1">
      <x:c r="A4203" s="3"/>
      <x:c r="B4203" s="3" t="str">
        <x:v>14054</x:v>
      </x:c>
      <x:c r="C4203" s="3" t="n">
        <x:v>1</x:v>
      </x:c>
      <x:c r="D4203" s="51" t="n">
        <x:v>40821</x:v>
      </x:c>
      <x:c r="E4203" s="3" t="str">
        <x:v>Una compra</x:v>
      </x:c>
      <x:c r="F4203" s="13" t="n">
        <x:v>92.46</x:v>
      </x:c>
      <x:c r="G4203" s="13" t="n">
        <x:v>0</x:v>
      </x:c>
      <x:c r="H4203" s="13" t="n">
        <x:f>F4203-G4203</x:f>
        <x:v>92.46</x:v>
      </x:c>
      <x:c r="I4203" s="13" t="n">
        <x:f>IF(C4203=0,"n.a.",F4203/C4203)</x:f>
        <x:v>92.46</x:v>
      </x:c>
      <x:c r="J4203" s="3"/>
      <x:c r="K4203" s="3"/>
      <x:c r="L4203" s="3"/>
    </x:row>
    <x:row r="4204" ht="22" customHeight="1">
      <x:c r="A4204" s="3"/>
      <x:c r="B4204" s="3" t="str">
        <x:v>13160</x:v>
      </x:c>
      <x:c r="C4204" s="3" t="n">
        <x:v>1</x:v>
      </x:c>
      <x:c r="D4204" s="51" t="n">
        <x:v>40864</x:v>
      </x:c>
      <x:c r="E4204" s="3" t="str">
        <x:v>Una compra</x:v>
      </x:c>
      <x:c r="F4204" s="13" t="n">
        <x:v>91.8</x:v>
      </x:c>
      <x:c r="G4204" s="13" t="n">
        <x:v>0</x:v>
      </x:c>
      <x:c r="H4204" s="13" t="n">
        <x:f>F4204-G4204</x:f>
        <x:v>91.8</x:v>
      </x:c>
      <x:c r="I4204" s="13" t="n">
        <x:f>IF(C4204=0,"n.a.",F4204/C4204)</x:f>
        <x:v>91.8</x:v>
      </x:c>
      <x:c r="J4204" s="3"/>
      <x:c r="K4204" s="3"/>
      <x:c r="L4204" s="3"/>
    </x:row>
    <x:row r="4205" ht="22" customHeight="1">
      <x:c r="A4205" s="3"/>
      <x:c r="B4205" s="3" t="str">
        <x:v>13551</x:v>
      </x:c>
      <x:c r="C4205" s="3" t="n">
        <x:v>1</x:v>
      </x:c>
      <x:c r="D4205" s="51" t="n">
        <x:v>40567</x:v>
      </x:c>
      <x:c r="E4205" s="3" t="str">
        <x:v>Una compra</x:v>
      </x:c>
      <x:c r="F4205" s="13" t="n">
        <x:v>91.8</x:v>
      </x:c>
      <x:c r="G4205" s="13" t="n">
        <x:v>0</x:v>
      </x:c>
      <x:c r="H4205" s="13" t="n">
        <x:f>F4205-G4205</x:f>
        <x:v>91.8</x:v>
      </x:c>
      <x:c r="I4205" s="13" t="n">
        <x:f>IF(C4205=0,"n.a.",F4205/C4205)</x:f>
        <x:v>91.8</x:v>
      </x:c>
      <x:c r="J4205" s="3"/>
      <x:c r="K4205" s="3"/>
      <x:c r="L4205" s="3"/>
    </x:row>
    <x:row r="4206" ht="22" customHeight="1">
      <x:c r="A4206" s="3"/>
      <x:c r="B4206" s="3" t="str">
        <x:v>15488</x:v>
      </x:c>
      <x:c r="C4206" s="3" t="n">
        <x:v>1</x:v>
      </x:c>
      <x:c r="D4206" s="51" t="n">
        <x:v>40794</x:v>
      </x:c>
      <x:c r="E4206" s="3" t="str">
        <x:v>Una compra</x:v>
      </x:c>
      <x:c r="F4206" s="13" t="n">
        <x:v>91.32</x:v>
      </x:c>
      <x:c r="G4206" s="13" t="n">
        <x:v>0</x:v>
      </x:c>
      <x:c r="H4206" s="13" t="n">
        <x:f>F4206-G4206</x:f>
        <x:v>91.32</x:v>
      </x:c>
      <x:c r="I4206" s="13" t="n">
        <x:f>IF(C4206=0,"n.a.",F4206/C4206)</x:f>
        <x:v>91.32</x:v>
      </x:c>
      <x:c r="J4206" s="3"/>
      <x:c r="K4206" s="3"/>
      <x:c r="L4206" s="3"/>
    </x:row>
    <x:row r="4207" ht="22" customHeight="1">
      <x:c r="A4207" s="3"/>
      <x:c r="B4207" s="3" t="str">
        <x:v>13947</x:v>
      </x:c>
      <x:c r="C4207" s="3" t="n">
        <x:v>1</x:v>
      </x:c>
      <x:c r="D4207" s="51" t="n">
        <x:v>40821</x:v>
      </x:c>
      <x:c r="E4207" s="3" t="str">
        <x:v>Una compra</x:v>
      </x:c>
      <x:c r="F4207" s="13" t="n">
        <x:v>90.6</x:v>
      </x:c>
      <x:c r="G4207" s="13" t="n">
        <x:v>0</x:v>
      </x:c>
      <x:c r="H4207" s="13" t="n">
        <x:f>F4207-G4207</x:f>
        <x:v>90.6</x:v>
      </x:c>
      <x:c r="I4207" s="13" t="n">
        <x:f>IF(C4207=0,"n.a.",F4207/C4207)</x:f>
        <x:v>90.6</x:v>
      </x:c>
      <x:c r="J4207" s="3"/>
      <x:c r="K4207" s="3"/>
      <x:c r="L4207" s="3"/>
    </x:row>
    <x:row r="4208" ht="22" customHeight="1">
      <x:c r="A4208" s="3"/>
      <x:c r="B4208" s="3" t="str">
        <x:v>14353</x:v>
      </x:c>
      <x:c r="C4208" s="3" t="n">
        <x:v>1</x:v>
      </x:c>
      <x:c r="D4208" s="51" t="n">
        <x:v>40671</x:v>
      </x:c>
      <x:c r="E4208" s="3" t="str">
        <x:v>Una compra</x:v>
      </x:c>
      <x:c r="F4208" s="13" t="n">
        <x:v>90.6</x:v>
      </x:c>
      <x:c r="G4208" s="13" t="n">
        <x:v>0</x:v>
      </x:c>
      <x:c r="H4208" s="13" t="n">
        <x:f>F4208-G4208</x:f>
        <x:v>90.6</x:v>
      </x:c>
      <x:c r="I4208" s="13" t="n">
        <x:f>IF(C4208=0,"n.a.",F4208/C4208)</x:f>
        <x:v>90.6</x:v>
      </x:c>
      <x:c r="J4208" s="3"/>
      <x:c r="K4208" s="3"/>
      <x:c r="L4208" s="3"/>
    </x:row>
    <x:row r="4209" ht="22" customHeight="1">
      <x:c r="A4209" s="3"/>
      <x:c r="B4209" s="3" t="str">
        <x:v>16506</x:v>
      </x:c>
      <x:c r="C4209" s="3" t="n">
        <x:v>2</x:v>
      </x:c>
      <x:c r="D4209" s="51" t="n">
        <x:v>40867</x:v>
      </x:c>
      <x:c r="E4209" s="3" t="str">
        <x:v>Recurrente</x:v>
      </x:c>
      <x:c r="F4209" s="13" t="n">
        <x:v>90.3</x:v>
      </x:c>
      <x:c r="G4209" s="13" t="n">
        <x:v>0</x:v>
      </x:c>
      <x:c r="H4209" s="13" t="n">
        <x:f>F4209-G4209</x:f>
        <x:v>90.3</x:v>
      </x:c>
      <x:c r="I4209" s="13" t="n">
        <x:f>IF(C4209=0,"n.a.",F4209/C4209)</x:f>
        <x:v>45.15</x:v>
      </x:c>
      <x:c r="J4209" s="3"/>
      <x:c r="K4209" s="3"/>
      <x:c r="L4209" s="3"/>
    </x:row>
    <x:row r="4210" ht="22" customHeight="1">
      <x:c r="A4210" s="3"/>
      <x:c r="B4210" s="3" t="str">
        <x:v>15552</x:v>
      </x:c>
      <x:c r="C4210" s="3" t="n">
        <x:v>1</x:v>
      </x:c>
      <x:c r="D4210" s="51" t="n">
        <x:v>40669</x:v>
      </x:c>
      <x:c r="E4210" s="3" t="str">
        <x:v>Una compra</x:v>
      </x:c>
      <x:c r="F4210" s="13" t="n">
        <x:v>90.12</x:v>
      </x:c>
      <x:c r="G4210" s="13" t="n">
        <x:v>0</x:v>
      </x:c>
      <x:c r="H4210" s="13" t="n">
        <x:f>F4210-G4210</x:f>
        <x:v>90.12</x:v>
      </x:c>
      <x:c r="I4210" s="13" t="n">
        <x:f>IF(C4210=0,"n.a.",F4210/C4210)</x:f>
        <x:v>90.12</x:v>
      </x:c>
      <x:c r="J4210" s="3"/>
      <x:c r="K4210" s="3"/>
      <x:c r="L4210" s="3"/>
    </x:row>
    <x:row r="4211" ht="22" customHeight="1">
      <x:c r="A4211" s="3"/>
      <x:c r="B4211" s="3" t="str">
        <x:v>16597</x:v>
      </x:c>
      <x:c r="C4211" s="3" t="n">
        <x:v>1</x:v>
      </x:c>
      <x:c r="D4211" s="51" t="n">
        <x:v>40882</x:v>
      </x:c>
      <x:c r="E4211" s="3" t="str">
        <x:v>Una compra</x:v>
      </x:c>
      <x:c r="F4211" s="13" t="n">
        <x:v>90.04</x:v>
      </x:c>
      <x:c r="G4211" s="13" t="n">
        <x:v>0</x:v>
      </x:c>
      <x:c r="H4211" s="13" t="n">
        <x:f>F4211-G4211</x:f>
        <x:v>90.04</x:v>
      </x:c>
      <x:c r="I4211" s="13" t="n">
        <x:f>IF(C4211=0,"n.a.",F4211/C4211)</x:f>
        <x:v>90.04</x:v>
      </x:c>
      <x:c r="J4211" s="3"/>
      <x:c r="K4211" s="3"/>
      <x:c r="L4211" s="3"/>
    </x:row>
    <x:row r="4212" ht="22" customHeight="1">
      <x:c r="A4212" s="3"/>
      <x:c r="B4212" s="3" t="str">
        <x:v>14117</x:v>
      </x:c>
      <x:c r="C4212" s="3" t="n">
        <x:v>1</x:v>
      </x:c>
      <x:c r="D4212" s="51" t="n">
        <x:v>40743</x:v>
      </x:c>
      <x:c r="E4212" s="3" t="str">
        <x:v>Una compra</x:v>
      </x:c>
      <x:c r="F4212" s="13" t="n">
        <x:v>90</x:v>
      </x:c>
      <x:c r="G4212" s="13" t="n">
        <x:v>0</x:v>
      </x:c>
      <x:c r="H4212" s="13" t="n">
        <x:f>F4212-G4212</x:f>
        <x:v>90</x:v>
      </x:c>
      <x:c r="I4212" s="13" t="n">
        <x:f>IF(C4212=0,"n.a.",F4212/C4212)</x:f>
        <x:v>90</x:v>
      </x:c>
      <x:c r="J4212" s="3"/>
      <x:c r="K4212" s="3"/>
      <x:c r="L4212" s="3"/>
    </x:row>
    <x:row r="4213" ht="22" customHeight="1">
      <x:c r="A4213" s="3"/>
      <x:c r="B4213" s="3" t="str">
        <x:v>14219</x:v>
      </x:c>
      <x:c r="C4213" s="3" t="n">
        <x:v>1</x:v>
      </x:c>
      <x:c r="D4213" s="51" t="n">
        <x:v>40882</x:v>
      </x:c>
      <x:c r="E4213" s="3" t="str">
        <x:v>Una compra</x:v>
      </x:c>
      <x:c r="F4213" s="13" t="n">
        <x:v>89.94</x:v>
      </x:c>
      <x:c r="G4213" s="13" t="n">
        <x:v>0</x:v>
      </x:c>
      <x:c r="H4213" s="13" t="n">
        <x:f>F4213-G4213</x:f>
        <x:v>89.94</x:v>
      </x:c>
      <x:c r="I4213" s="13" t="n">
        <x:f>IF(C4213=0,"n.a.",F4213/C4213)</x:f>
        <x:v>89.94</x:v>
      </x:c>
      <x:c r="J4213" s="3"/>
      <x:c r="K4213" s="3"/>
      <x:c r="L4213" s="3"/>
    </x:row>
    <x:row r="4214" ht="22" customHeight="1">
      <x:c r="A4214" s="3"/>
      <x:c r="B4214" s="3" t="str">
        <x:v>14436</x:v>
      </x:c>
      <x:c r="C4214" s="3" t="n">
        <x:v>1</x:v>
      </x:c>
      <x:c r="D4214" s="51" t="n">
        <x:v>40788</x:v>
      </x:c>
      <x:c r="E4214" s="3" t="str">
        <x:v>Una compra</x:v>
      </x:c>
      <x:c r="F4214" s="13" t="n">
        <x:v>89.06</x:v>
      </x:c>
      <x:c r="G4214" s="13" t="n">
        <x:v>0</x:v>
      </x:c>
      <x:c r="H4214" s="13" t="n">
        <x:f>F4214-G4214</x:f>
        <x:v>89.06</x:v>
      </x:c>
      <x:c r="I4214" s="13" t="n">
        <x:f>IF(C4214=0,"n.a.",F4214/C4214)</x:f>
        <x:v>89.06</x:v>
      </x:c>
      <x:c r="J4214" s="3"/>
      <x:c r="K4214" s="3"/>
      <x:c r="L4214" s="3"/>
    </x:row>
    <x:row r="4215" ht="22" customHeight="1">
      <x:c r="A4215" s="3"/>
      <x:c r="B4215" s="3" t="str">
        <x:v>12353</x:v>
      </x:c>
      <x:c r="C4215" s="3" t="n">
        <x:v>1</x:v>
      </x:c>
      <x:c r="D4215" s="51" t="n">
        <x:v>40682</x:v>
      </x:c>
      <x:c r="E4215" s="3" t="str">
        <x:v>Una compra</x:v>
      </x:c>
      <x:c r="F4215" s="13" t="n">
        <x:v>89</x:v>
      </x:c>
      <x:c r="G4215" s="13" t="n">
        <x:v>0</x:v>
      </x:c>
      <x:c r="H4215" s="13" t="n">
        <x:f>F4215-G4215</x:f>
        <x:v>89</x:v>
      </x:c>
      <x:c r="I4215" s="13" t="n">
        <x:f>IF(C4215=0,"n.a.",F4215/C4215)</x:f>
        <x:v>89</x:v>
      </x:c>
      <x:c r="J4215" s="3"/>
      <x:c r="K4215" s="3"/>
      <x:c r="L4215" s="3"/>
    </x:row>
    <x:row r="4216" ht="22" customHeight="1">
      <x:c r="A4216" s="3"/>
      <x:c r="B4216" s="3" t="str">
        <x:v>15212</x:v>
      </x:c>
      <x:c r="C4216" s="3" t="n">
        <x:v>1</x:v>
      </x:c>
      <x:c r="D4216" s="51" t="n">
        <x:v>40645</x:v>
      </x:c>
      <x:c r="E4216" s="3" t="str">
        <x:v>Una compra</x:v>
      </x:c>
      <x:c r="F4216" s="13" t="n">
        <x:v>101.8</x:v>
      </x:c>
      <x:c r="G4216" s="13" t="n">
        <x:v>12.85</x:v>
      </x:c>
      <x:c r="H4216" s="13" t="n">
        <x:f>F4216-G4216</x:f>
        <x:v>88.95</x:v>
      </x:c>
      <x:c r="I4216" s="13" t="n">
        <x:f>IF(C4216=0,"n.a.",F4216/C4216)</x:f>
        <x:v>101.8</x:v>
      </x:c>
      <x:c r="J4216" s="3"/>
      <x:c r="K4216" s="3"/>
      <x:c r="L4216" s="3"/>
    </x:row>
    <x:row r="4217" ht="22" customHeight="1">
      <x:c r="A4217" s="3"/>
      <x:c r="B4217" s="3" t="str">
        <x:v>15083</x:v>
      </x:c>
      <x:c r="C4217" s="3" t="n">
        <x:v>1</x:v>
      </x:c>
      <x:c r="D4217" s="51" t="n">
        <x:v>40630</x:v>
      </x:c>
      <x:c r="E4217" s="3" t="str">
        <x:v>Una compra</x:v>
      </x:c>
      <x:c r="F4217" s="13" t="n">
        <x:v>88.2</x:v>
      </x:c>
      <x:c r="G4217" s="13" t="n">
        <x:v>0</x:v>
      </x:c>
      <x:c r="H4217" s="13" t="n">
        <x:f>F4217-G4217</x:f>
        <x:v>88.2</x:v>
      </x:c>
      <x:c r="I4217" s="13" t="n">
        <x:f>IF(C4217=0,"n.a.",F4217/C4217)</x:f>
        <x:v>88.2</x:v>
      </x:c>
      <x:c r="J4217" s="3"/>
      <x:c r="K4217" s="3"/>
      <x:c r="L4217" s="3"/>
    </x:row>
    <x:row r="4218" ht="22" customHeight="1">
      <x:c r="A4218" s="3"/>
      <x:c r="B4218" s="3" t="str">
        <x:v>18084</x:v>
      </x:c>
      <x:c r="C4218" s="3" t="n">
        <x:v>1</x:v>
      </x:c>
      <x:c r="D4218" s="51" t="n">
        <x:v>40870</x:v>
      </x:c>
      <x:c r="E4218" s="3" t="str">
        <x:v>Una compra</x:v>
      </x:c>
      <x:c r="F4218" s="13" t="n">
        <x:v>90.48</x:v>
      </x:c>
      <x:c r="G4218" s="13" t="n">
        <x:v>2.95</x:v>
      </x:c>
      <x:c r="H4218" s="13" t="n">
        <x:f>F4218-G4218</x:f>
        <x:v>87.53</x:v>
      </x:c>
      <x:c r="I4218" s="13" t="n">
        <x:f>IF(C4218=0,"n.a.",F4218/C4218)</x:f>
        <x:v>90.48</x:v>
      </x:c>
      <x:c r="J4218" s="3"/>
      <x:c r="K4218" s="3"/>
      <x:c r="L4218" s="3"/>
    </x:row>
    <x:row r="4219" ht="22" customHeight="1">
      <x:c r="A4219" s="3"/>
      <x:c r="B4219" s="3" t="str">
        <x:v>15180</x:v>
      </x:c>
      <x:c r="C4219" s="3" t="n">
        <x:v>1</x:v>
      </x:c>
      <x:c r="D4219" s="51" t="n">
        <x:v>40519</x:v>
      </x:c>
      <x:c r="E4219" s="3" t="str">
        <x:v>Una compra</x:v>
      </x:c>
      <x:c r="F4219" s="13" t="n">
        <x:v>87.5</x:v>
      </x:c>
      <x:c r="G4219" s="13" t="n">
        <x:v>0</x:v>
      </x:c>
      <x:c r="H4219" s="13" t="n">
        <x:f>F4219-G4219</x:f>
        <x:v>87.5</x:v>
      </x:c>
      <x:c r="I4219" s="13" t="n">
        <x:f>IF(C4219=0,"n.a.",F4219/C4219)</x:f>
        <x:v>87.5</x:v>
      </x:c>
      <x:c r="J4219" s="3"/>
      <x:c r="K4219" s="3"/>
      <x:c r="L4219" s="3"/>
    </x:row>
    <x:row r="4220" ht="22" customHeight="1">
      <x:c r="A4220" s="3"/>
      <x:c r="B4220" s="3" t="str">
        <x:v>13296</x:v>
      </x:c>
      <x:c r="C4220" s="3" t="n">
        <x:v>1</x:v>
      </x:c>
      <x:c r="D4220" s="51" t="n">
        <x:v>40749</x:v>
      </x:c>
      <x:c r="E4220" s="3" t="str">
        <x:v>Una compra</x:v>
      </x:c>
      <x:c r="F4220" s="13" t="n">
        <x:v>87.4</x:v>
      </x:c>
      <x:c r="G4220" s="13" t="n">
        <x:v>0</x:v>
      </x:c>
      <x:c r="H4220" s="13" t="n">
        <x:f>F4220-G4220</x:f>
        <x:v>87.4</x:v>
      </x:c>
      <x:c r="I4220" s="13" t="n">
        <x:f>IF(C4220=0,"n.a.",F4220/C4220)</x:f>
        <x:v>87.4</x:v>
      </x:c>
      <x:c r="J4220" s="3"/>
      <x:c r="K4220" s="3"/>
      <x:c r="L4220" s="3"/>
    </x:row>
    <x:row r="4221" ht="22" customHeight="1">
      <x:c r="A4221" s="3"/>
      <x:c r="B4221" s="3" t="str">
        <x:v>16498</x:v>
      </x:c>
      <x:c r="C4221" s="3" t="n">
        <x:v>2</x:v>
      </x:c>
      <x:c r="D4221" s="51" t="n">
        <x:v>40725</x:v>
      </x:c>
      <x:c r="E4221" s="3" t="str">
        <x:v>Recurrente</x:v>
      </x:c>
      <x:c r="F4221" s="13" t="n">
        <x:v>100.97</x:v>
      </x:c>
      <x:c r="G4221" s="13" t="n">
        <x:v>14.85</x:v>
      </x:c>
      <x:c r="H4221" s="13" t="n">
        <x:f>F4221-G4221</x:f>
        <x:v>86.12</x:v>
      </x:c>
      <x:c r="I4221" s="13" t="n">
        <x:f>IF(C4221=0,"n.a.",F4221/C4221)</x:f>
        <x:v>50.485</x:v>
      </x:c>
      <x:c r="J4221" s="3"/>
      <x:c r="K4221" s="3"/>
      <x:c r="L4221" s="3"/>
    </x:row>
    <x:row r="4222" ht="22" customHeight="1">
      <x:c r="A4222" s="3"/>
      <x:c r="B4222" s="3" t="str">
        <x:v>12814</x:v>
      </x:c>
      <x:c r="C4222" s="3" t="n">
        <x:v>1</x:v>
      </x:c>
      <x:c r="D4222" s="51" t="n">
        <x:v>40785</x:v>
      </x:c>
      <x:c r="E4222" s="3" t="str">
        <x:v>Una compra</x:v>
      </x:c>
      <x:c r="F4222" s="13" t="n">
        <x:v>85.92</x:v>
      </x:c>
      <x:c r="G4222" s="13" t="n">
        <x:v>0</x:v>
      </x:c>
      <x:c r="H4222" s="13" t="n">
        <x:f>F4222-G4222</x:f>
        <x:v>85.92</x:v>
      </x:c>
      <x:c r="I4222" s="13" t="n">
        <x:f>IF(C4222=0,"n.a.",F4222/C4222)</x:f>
        <x:v>85.92</x:v>
      </x:c>
      <x:c r="J4222" s="3"/>
      <x:c r="K4222" s="3"/>
      <x:c r="L4222" s="3"/>
    </x:row>
    <x:row r="4223" ht="22" customHeight="1">
      <x:c r="A4223" s="3"/>
      <x:c r="B4223" s="3" t="str">
        <x:v>15541</x:v>
      </x:c>
      <x:c r="C4223" s="3" t="n">
        <x:v>1</x:v>
      </x:c>
      <x:c r="D4223" s="51" t="n">
        <x:v>40772</x:v>
      </x:c>
      <x:c r="E4223" s="3" t="str">
        <x:v>Una compra</x:v>
      </x:c>
      <x:c r="F4223" s="13" t="n">
        <x:v>85.13</x:v>
      </x:c>
      <x:c r="G4223" s="13" t="n">
        <x:v>0</x:v>
      </x:c>
      <x:c r="H4223" s="13" t="n">
        <x:f>F4223-G4223</x:f>
        <x:v>85.13</x:v>
      </x:c>
      <x:c r="I4223" s="13" t="n">
        <x:f>IF(C4223=0,"n.a.",F4223/C4223)</x:f>
        <x:v>85.13</x:v>
      </x:c>
      <x:c r="J4223" s="3"/>
      <x:c r="K4223" s="3"/>
      <x:c r="L4223" s="3"/>
    </x:row>
    <x:row r="4224" ht="22" customHeight="1">
      <x:c r="A4224" s="3"/>
      <x:c r="B4224" s="3" t="str">
        <x:v>13841</x:v>
      </x:c>
      <x:c r="C4224" s="3" t="n">
        <x:v>1</x:v>
      </x:c>
      <x:c r="D4224" s="51" t="n">
        <x:v>40634</x:v>
      </x:c>
      <x:c r="E4224" s="3" t="str">
        <x:v>Una compra</x:v>
      </x:c>
      <x:c r="F4224" s="13" t="n">
        <x:v>85</x:v>
      </x:c>
      <x:c r="G4224" s="13" t="n">
        <x:v>0</x:v>
      </x:c>
      <x:c r="H4224" s="13" t="n">
        <x:f>F4224-G4224</x:f>
        <x:v>85</x:v>
      </x:c>
      <x:c r="I4224" s="13" t="n">
        <x:f>IF(C4224=0,"n.a.",F4224/C4224)</x:f>
        <x:v>85</x:v>
      </x:c>
      <x:c r="J4224" s="3"/>
      <x:c r="K4224" s="3"/>
      <x:c r="L4224" s="3"/>
    </x:row>
    <x:row r="4225" ht="22" customHeight="1">
      <x:c r="A4225" s="3"/>
      <x:c r="B4225" s="3" t="str">
        <x:v>13666</x:v>
      </x:c>
      <x:c r="C4225" s="3" t="n">
        <x:v>3</x:v>
      </x:c>
      <x:c r="D4225" s="51" t="n">
        <x:v>40826</x:v>
      </x:c>
      <x:c r="E4225" s="3" t="str">
        <x:v>Recurrente</x:v>
      </x:c>
      <x:c r="F4225" s="13" t="n">
        <x:v>84.65</x:v>
      </x:c>
      <x:c r="G4225" s="13" t="n">
        <x:v>0</x:v>
      </x:c>
      <x:c r="H4225" s="13" t="n">
        <x:f>F4225-G4225</x:f>
        <x:v>84.65</x:v>
      </x:c>
      <x:c r="I4225" s="13" t="n">
        <x:f>IF(C4225=0,"n.a.",F4225/C4225)</x:f>
        <x:v>28.21666666666667</x:v>
      </x:c>
      <x:c r="J4225" s="3"/>
      <x:c r="K4225" s="3"/>
      <x:c r="L4225" s="3"/>
    </x:row>
    <x:row r="4226" ht="22" customHeight="1">
      <x:c r="A4226" s="3"/>
      <x:c r="B4226" s="3" t="str">
        <x:v>17309</x:v>
      </x:c>
      <x:c r="C4226" s="3" t="n">
        <x:v>1</x:v>
      </x:c>
      <x:c r="D4226" s="51" t="n">
        <x:v>40791</x:v>
      </x:c>
      <x:c r="E4226" s="3" t="str">
        <x:v>Una compra</x:v>
      </x:c>
      <x:c r="F4226" s="13" t="n">
        <x:v>82.75</x:v>
      </x:c>
      <x:c r="G4226" s="13" t="n">
        <x:v>0</x:v>
      </x:c>
      <x:c r="H4226" s="13" t="n">
        <x:f>F4226-G4226</x:f>
        <x:v>82.75</x:v>
      </x:c>
      <x:c r="I4226" s="13" t="n">
        <x:f>IF(C4226=0,"n.a.",F4226/C4226)</x:f>
        <x:v>82.75</x:v>
      </x:c>
      <x:c r="J4226" s="3"/>
      <x:c r="K4226" s="3"/>
      <x:c r="L4226" s="3"/>
    </x:row>
    <x:row r="4227" ht="22" customHeight="1">
      <x:c r="A4227" s="3"/>
      <x:c r="B4227" s="3" t="str">
        <x:v>16424</x:v>
      </x:c>
      <x:c r="C4227" s="3" t="n">
        <x:v>1</x:v>
      </x:c>
      <x:c r="D4227" s="51" t="n">
        <x:v>40695</x:v>
      </x:c>
      <x:c r="E4227" s="3" t="str">
        <x:v>Una compra</x:v>
      </x:c>
      <x:c r="F4227" s="13" t="n">
        <x:v>133.56</x:v>
      </x:c>
      <x:c r="G4227" s="13" t="n">
        <x:v>51</x:v>
      </x:c>
      <x:c r="H4227" s="13" t="n">
        <x:f>F4227-G4227</x:f>
        <x:v>82.56</x:v>
      </x:c>
      <x:c r="I4227" s="13" t="n">
        <x:f>IF(C4227=0,"n.a.",F4227/C4227)</x:f>
        <x:v>133.56</x:v>
      </x:c>
      <x:c r="J4227" s="3"/>
      <x:c r="K4227" s="3"/>
      <x:c r="L4227" s="3"/>
    </x:row>
    <x:row r="4228" ht="22" customHeight="1">
      <x:c r="A4228" s="3"/>
      <x:c r="B4228" s="3" t="str">
        <x:v>13006</x:v>
      </x:c>
      <x:c r="C4228" s="3" t="n">
        <x:v>1</x:v>
      </x:c>
      <x:c r="D4228" s="51" t="n">
        <x:v>40830</x:v>
      </x:c>
      <x:c r="E4228" s="3" t="str">
        <x:v>Una compra</x:v>
      </x:c>
      <x:c r="F4228" s="13" t="n">
        <x:v>81.57</x:v>
      </x:c>
      <x:c r="G4228" s="13" t="n">
        <x:v>0</x:v>
      </x:c>
      <x:c r="H4228" s="13" t="n">
        <x:f>F4228-G4228</x:f>
        <x:v>81.57</x:v>
      </x:c>
      <x:c r="I4228" s="13" t="n">
        <x:f>IF(C4228=0,"n.a.",F4228/C4228)</x:f>
        <x:v>81.57</x:v>
      </x:c>
      <x:c r="J4228" s="3"/>
      <x:c r="K4228" s="3"/>
      <x:c r="L4228" s="3"/>
    </x:row>
    <x:row r="4229" ht="22" customHeight="1">
      <x:c r="A4229" s="3"/>
      <x:c r="B4229" s="3" t="str">
        <x:v>17620</x:v>
      </x:c>
      <x:c r="C4229" s="3" t="n">
        <x:v>1</x:v>
      </x:c>
      <x:c r="D4229" s="51" t="n">
        <x:v>40827</x:v>
      </x:c>
      <x:c r="E4229" s="3" t="str">
        <x:v>Una compra</x:v>
      </x:c>
      <x:c r="F4229" s="13" t="n">
        <x:v>81.44</x:v>
      </x:c>
      <x:c r="G4229" s="13" t="n">
        <x:v>0</x:v>
      </x:c>
      <x:c r="H4229" s="13" t="n">
        <x:f>F4229-G4229</x:f>
        <x:v>81.44</x:v>
      </x:c>
      <x:c r="I4229" s="13" t="n">
        <x:f>IF(C4229=0,"n.a.",F4229/C4229)</x:f>
        <x:v>81.44</x:v>
      </x:c>
      <x:c r="J4229" s="3"/>
      <x:c r="K4229" s="3"/>
      <x:c r="L4229" s="3"/>
    </x:row>
    <x:row r="4230" ht="22" customHeight="1">
      <x:c r="A4230" s="3"/>
      <x:c r="B4230" s="3" t="str">
        <x:v>18281</x:v>
      </x:c>
      <x:c r="C4230" s="3" t="n">
        <x:v>1</x:v>
      </x:c>
      <x:c r="D4230" s="51" t="n">
        <x:v>40706</x:v>
      </x:c>
      <x:c r="E4230" s="3" t="str">
        <x:v>Una compra</x:v>
      </x:c>
      <x:c r="F4230" s="13" t="n">
        <x:v>80.82</x:v>
      </x:c>
      <x:c r="G4230" s="13" t="n">
        <x:v>0</x:v>
      </x:c>
      <x:c r="H4230" s="13" t="n">
        <x:f>F4230-G4230</x:f>
        <x:v>80.82</x:v>
      </x:c>
      <x:c r="I4230" s="13" t="n">
        <x:f>IF(C4230=0,"n.a.",F4230/C4230)</x:f>
        <x:v>80.82</x:v>
      </x:c>
      <x:c r="J4230" s="3"/>
      <x:c r="K4230" s="3"/>
      <x:c r="L4230" s="3"/>
    </x:row>
    <x:row r="4231" ht="22" customHeight="1">
      <x:c r="A4231" s="3"/>
      <x:c r="B4231" s="3" t="str">
        <x:v>16789</x:v>
      </x:c>
      <x:c r="C4231" s="3" t="n">
        <x:v>1</x:v>
      </x:c>
      <x:c r="D4231" s="51" t="n">
        <x:v>40878</x:v>
      </x:c>
      <x:c r="E4231" s="3" t="str">
        <x:v>Una compra</x:v>
      </x:c>
      <x:c r="F4231" s="13" t="n">
        <x:v>80.8</x:v>
      </x:c>
      <x:c r="G4231" s="13" t="n">
        <x:v>0</x:v>
      </x:c>
      <x:c r="H4231" s="13" t="n">
        <x:f>F4231-G4231</x:f>
        <x:v>80.8</x:v>
      </x:c>
      <x:c r="I4231" s="13" t="n">
        <x:f>IF(C4231=0,"n.a.",F4231/C4231)</x:f>
        <x:v>80.8</x:v>
      </x:c>
      <x:c r="J4231" s="3"/>
      <x:c r="K4231" s="3"/>
      <x:c r="L4231" s="3"/>
    </x:row>
    <x:row r="4232" ht="22" customHeight="1">
      <x:c r="A4232" s="3"/>
      <x:c r="B4232" s="3" t="str">
        <x:v>13967</x:v>
      </x:c>
      <x:c r="C4232" s="3" t="n">
        <x:v>1</x:v>
      </x:c>
      <x:c r="D4232" s="51" t="n">
        <x:v>40741</x:v>
      </x:c>
      <x:c r="E4232" s="3" t="str">
        <x:v>Una compra</x:v>
      </x:c>
      <x:c r="F4232" s="13" t="n">
        <x:v>80.7</x:v>
      </x:c>
      <x:c r="G4232" s="13" t="n">
        <x:v>0</x:v>
      </x:c>
      <x:c r="H4232" s="13" t="n">
        <x:f>F4232-G4232</x:f>
        <x:v>80.7</x:v>
      </x:c>
      <x:c r="I4232" s="13" t="n">
        <x:f>IF(C4232=0,"n.a.",F4232/C4232)</x:f>
        <x:v>80.7</x:v>
      </x:c>
      <x:c r="J4232" s="3"/>
      <x:c r="K4232" s="3"/>
      <x:c r="L4232" s="3"/>
    </x:row>
    <x:row r="4233" ht="22" customHeight="1">
      <x:c r="A4233" s="3"/>
      <x:c r="B4233" s="3" t="str">
        <x:v>17752</x:v>
      </x:c>
      <x:c r="C4233" s="3" t="n">
        <x:v>1</x:v>
      </x:c>
      <x:c r="D4233" s="51" t="n">
        <x:v>40527</x:v>
      </x:c>
      <x:c r="E4233" s="3" t="str">
        <x:v>Una compra</x:v>
      </x:c>
      <x:c r="F4233" s="13" t="n">
        <x:v>80.64</x:v>
      </x:c>
      <x:c r="G4233" s="13" t="n">
        <x:v>0</x:v>
      </x:c>
      <x:c r="H4233" s="13" t="n">
        <x:f>F4233-G4233</x:f>
        <x:v>80.64</x:v>
      </x:c>
      <x:c r="I4233" s="13" t="n">
        <x:f>IF(C4233=0,"n.a.",F4233/C4233)</x:f>
        <x:v>80.64</x:v>
      </x:c>
      <x:c r="J4233" s="3"/>
      <x:c r="K4233" s="3"/>
      <x:c r="L4233" s="3"/>
    </x:row>
    <x:row r="4234" ht="22" customHeight="1">
      <x:c r="A4234" s="3"/>
      <x:c r="B4234" s="3" t="str">
        <x:v>14109</x:v>
      </x:c>
      <x:c r="C4234" s="3" t="n">
        <x:v>1</x:v>
      </x:c>
      <x:c r="D4234" s="51" t="n">
        <x:v>40814</x:v>
      </x:c>
      <x:c r="E4234" s="3" t="str">
        <x:v>Una compra</x:v>
      </x:c>
      <x:c r="F4234" s="13" t="n">
        <x:v>144.2</x:v>
      </x:c>
      <x:c r="G4234" s="13" t="n">
        <x:v>64</x:v>
      </x:c>
      <x:c r="H4234" s="13" t="n">
        <x:f>F4234-G4234</x:f>
        <x:v>80.19999999999999</x:v>
      </x:c>
      <x:c r="I4234" s="13" t="n">
        <x:f>IF(C4234=0,"n.a.",F4234/C4234)</x:f>
        <x:v>144.2</x:v>
      </x:c>
      <x:c r="J4234" s="3"/>
      <x:c r="K4234" s="3"/>
      <x:c r="L4234" s="3"/>
    </x:row>
    <x:row r="4235" ht="22" customHeight="1">
      <x:c r="A4235" s="3"/>
      <x:c r="B4235" s="3" t="str">
        <x:v>13747</x:v>
      </x:c>
      <x:c r="C4235" s="3" t="n">
        <x:v>1</x:v>
      </x:c>
      <x:c r="D4235" s="51" t="n">
        <x:v>40513</x:v>
      </x:c>
      <x:c r="E4235" s="3" t="str">
        <x:v>Una compra</x:v>
      </x:c>
      <x:c r="F4235" s="13" t="n">
        <x:v>79.6</x:v>
      </x:c>
      <x:c r="G4235" s="13" t="n">
        <x:v>0</x:v>
      </x:c>
      <x:c r="H4235" s="13" t="n">
        <x:f>F4235-G4235</x:f>
        <x:v>79.6</x:v>
      </x:c>
      <x:c r="I4235" s="13" t="n">
        <x:f>IF(C4235=0,"n.a.",F4235/C4235)</x:f>
        <x:v>79.6</x:v>
      </x:c>
      <x:c r="J4235" s="3"/>
      <x:c r="K4235" s="3"/>
      <x:c r="L4235" s="3"/>
    </x:row>
    <x:row r="4236" ht="22" customHeight="1">
      <x:c r="A4236" s="3"/>
      <x:c r="B4236" s="3" t="str">
        <x:v>13651</x:v>
      </x:c>
      <x:c r="C4236" s="3" t="n">
        <x:v>1</x:v>
      </x:c>
      <x:c r="D4236" s="51" t="n">
        <x:v>40847</x:v>
      </x:c>
      <x:c r="E4236" s="3" t="str">
        <x:v>Una compra</x:v>
      </x:c>
      <x:c r="F4236" s="13" t="n">
        <x:v>79.2</x:v>
      </x:c>
      <x:c r="G4236" s="13" t="n">
        <x:v>0</x:v>
      </x:c>
      <x:c r="H4236" s="13" t="n">
        <x:f>F4236-G4236</x:f>
        <x:v>79.2</x:v>
      </x:c>
      <x:c r="I4236" s="13" t="n">
        <x:f>IF(C4236=0,"n.a.",F4236/C4236)</x:f>
        <x:v>79.2</x:v>
      </x:c>
      <x:c r="J4236" s="3"/>
      <x:c r="K4236" s="3"/>
      <x:c r="L4236" s="3"/>
    </x:row>
    <x:row r="4237" ht="22" customHeight="1">
      <x:c r="A4237" s="3"/>
      <x:c r="B4237" s="3" t="str">
        <x:v>15753</x:v>
      </x:c>
      <x:c r="C4237" s="3" t="n">
        <x:v>1</x:v>
      </x:c>
      <x:c r="D4237" s="51" t="n">
        <x:v>40582</x:v>
      </x:c>
      <x:c r="E4237" s="3" t="str">
        <x:v>Una compra</x:v>
      </x:c>
      <x:c r="F4237" s="13" t="n">
        <x:v>79.2</x:v>
      </x:c>
      <x:c r="G4237" s="13" t="n">
        <x:v>0</x:v>
      </x:c>
      <x:c r="H4237" s="13" t="n">
        <x:f>F4237-G4237</x:f>
        <x:v>79.2</x:v>
      </x:c>
      <x:c r="I4237" s="13" t="n">
        <x:f>IF(C4237=0,"n.a.",F4237/C4237)</x:f>
        <x:v>79.2</x:v>
      </x:c>
      <x:c r="J4237" s="3"/>
      <x:c r="K4237" s="3"/>
      <x:c r="L4237" s="3"/>
    </x:row>
    <x:row r="4238" ht="22" customHeight="1">
      <x:c r="A4238" s="3"/>
      <x:c r="B4238" s="3" t="str">
        <x:v>16078</x:v>
      </x:c>
      <x:c r="C4238" s="3" t="n">
        <x:v>1</x:v>
      </x:c>
      <x:c r="D4238" s="51" t="n">
        <x:v>40603</x:v>
      </x:c>
      <x:c r="E4238" s="3" t="str">
        <x:v>Una compra</x:v>
      </x:c>
      <x:c r="F4238" s="13" t="n">
        <x:v>79.2</x:v>
      </x:c>
      <x:c r="G4238" s="13" t="n">
        <x:v>0</x:v>
      </x:c>
      <x:c r="H4238" s="13" t="n">
        <x:f>F4238-G4238</x:f>
        <x:v>79.2</x:v>
      </x:c>
      <x:c r="I4238" s="13" t="n">
        <x:f>IF(C4238=0,"n.a.",F4238/C4238)</x:f>
        <x:v>79.2</x:v>
      </x:c>
      <x:c r="J4238" s="3"/>
      <x:c r="K4238" s="3"/>
      <x:c r="L4238" s="3"/>
    </x:row>
    <x:row r="4239" ht="22" customHeight="1">
      <x:c r="A4239" s="3"/>
      <x:c r="B4239" s="3" t="str">
        <x:v>17942</x:v>
      </x:c>
      <x:c r="C4239" s="3" t="n">
        <x:v>1</x:v>
      </x:c>
      <x:c r="D4239" s="51" t="n">
        <x:v>40879</x:v>
      </x:c>
      <x:c r="E4239" s="3" t="str">
        <x:v>Una compra</x:v>
      </x:c>
      <x:c r="F4239" s="13" t="n">
        <x:v>77.5</x:v>
      </x:c>
      <x:c r="G4239" s="13" t="n">
        <x:v>0</x:v>
      </x:c>
      <x:c r="H4239" s="13" t="n">
        <x:f>F4239-G4239</x:f>
        <x:v>77.5</x:v>
      </x:c>
      <x:c r="I4239" s="13" t="n">
        <x:f>IF(C4239=0,"n.a.",F4239/C4239)</x:f>
        <x:v>77.5</x:v>
      </x:c>
      <x:c r="J4239" s="3"/>
      <x:c r="K4239" s="3"/>
      <x:c r="L4239" s="3"/>
    </x:row>
    <x:row r="4240" ht="22" customHeight="1">
      <x:c r="A4240" s="3"/>
      <x:c r="B4240" s="3" t="str">
        <x:v>12445</x:v>
      </x:c>
      <x:c r="C4240" s="3" t="n">
        <x:v>1</x:v>
      </x:c>
      <x:c r="D4240" s="51" t="n">
        <x:v>40864</x:v>
      </x:c>
      <x:c r="E4240" s="3" t="str">
        <x:v>Una compra</x:v>
      </x:c>
      <x:c r="F4240" s="13" t="n">
        <x:v>77.4</x:v>
      </x:c>
      <x:c r="G4240" s="13" t="n">
        <x:v>0</x:v>
      </x:c>
      <x:c r="H4240" s="13" t="n">
        <x:f>F4240-G4240</x:f>
        <x:v>77.4</x:v>
      </x:c>
      <x:c r="I4240" s="13" t="n">
        <x:f>IF(C4240=0,"n.a.",F4240/C4240)</x:f>
        <x:v>77.4</x:v>
      </x:c>
      <x:c r="J4240" s="3"/>
      <x:c r="K4240" s="3"/>
      <x:c r="L4240" s="3"/>
    </x:row>
    <x:row r="4241" ht="22" customHeight="1">
      <x:c r="A4241" s="3"/>
      <x:c r="B4241" s="3" t="str">
        <x:v>14785</x:v>
      </x:c>
      <x:c r="C4241" s="3" t="n">
        <x:v>2</x:v>
      </x:c>
      <x:c r="D4241" s="51" t="n">
        <x:v>40876</x:v>
      </x:c>
      <x:c r="E4241" s="3" t="str">
        <x:v>Recurrente</x:v>
      </x:c>
      <x:c r="F4241" s="13" t="n">
        <x:v>77.4</x:v>
      </x:c>
      <x:c r="G4241" s="13" t="n">
        <x:v>0</x:v>
      </x:c>
      <x:c r="H4241" s="13" t="n">
        <x:f>F4241-G4241</x:f>
        <x:v>77.4</x:v>
      </x:c>
      <x:c r="I4241" s="13" t="n">
        <x:f>IF(C4241=0,"n.a.",F4241/C4241)</x:f>
        <x:v>38.7</x:v>
      </x:c>
      <x:c r="J4241" s="3"/>
      <x:c r="K4241" s="3"/>
      <x:c r="L4241" s="3"/>
    </x:row>
    <x:row r="4242" ht="22" customHeight="1">
      <x:c r="A4242" s="3"/>
      <x:c r="B4242" s="3" t="str">
        <x:v>13132</x:v>
      </x:c>
      <x:c r="C4242" s="3" t="n">
        <x:v>1</x:v>
      </x:c>
      <x:c r="D4242" s="51" t="n">
        <x:v>40625</x:v>
      </x:c>
      <x:c r="E4242" s="3" t="str">
        <x:v>Una compra</x:v>
      </x:c>
      <x:c r="F4242" s="13" t="n">
        <x:v>77.3</x:v>
      </x:c>
      <x:c r="G4242" s="13" t="n">
        <x:v>0</x:v>
      </x:c>
      <x:c r="H4242" s="13" t="n">
        <x:f>F4242-G4242</x:f>
        <x:v>77.3</x:v>
      </x:c>
      <x:c r="I4242" s="13" t="n">
        <x:f>IF(C4242=0,"n.a.",F4242/C4242)</x:f>
        <x:v>77.3</x:v>
      </x:c>
      <x:c r="J4242" s="3"/>
      <x:c r="K4242" s="3"/>
      <x:c r="L4242" s="3"/>
    </x:row>
    <x:row r="4243" ht="22" customHeight="1">
      <x:c r="A4243" s="3"/>
      <x:c r="B4243" s="3" t="str">
        <x:v>12789</x:v>
      </x:c>
      <x:c r="C4243" s="3" t="n">
        <x:v>1</x:v>
      </x:c>
      <x:c r="D4243" s="51" t="n">
        <x:v>40821</x:v>
      </x:c>
      <x:c r="E4243" s="3" t="str">
        <x:v>Una compra</x:v>
      </x:c>
      <x:c r="F4243" s="13" t="n">
        <x:v>76.85</x:v>
      </x:c>
      <x:c r="G4243" s="13" t="n">
        <x:v>0</x:v>
      </x:c>
      <x:c r="H4243" s="13" t="n">
        <x:f>F4243-G4243</x:f>
        <x:v>76.85</x:v>
      </x:c>
      <x:c r="I4243" s="13" t="n">
        <x:f>IF(C4243=0,"n.a.",F4243/C4243)</x:f>
        <x:v>76.85</x:v>
      </x:c>
      <x:c r="J4243" s="3"/>
      <x:c r="K4243" s="3"/>
      <x:c r="L4243" s="3"/>
    </x:row>
    <x:row r="4244" ht="22" customHeight="1">
      <x:c r="A4244" s="3"/>
      <x:c r="B4244" s="3" t="str">
        <x:v>13992</x:v>
      </x:c>
      <x:c r="C4244" s="3" t="n">
        <x:v>1</x:v>
      </x:c>
      <x:c r="D4244" s="51" t="n">
        <x:v>40856</x:v>
      </x:c>
      <x:c r="E4244" s="3" t="str">
        <x:v>Una compra</x:v>
      </x:c>
      <x:c r="F4244" s="13" t="n">
        <x:v>76.8</x:v>
      </x:c>
      <x:c r="G4244" s="13" t="n">
        <x:v>0</x:v>
      </x:c>
      <x:c r="H4244" s="13" t="n">
        <x:f>F4244-G4244</x:f>
        <x:v>76.8</x:v>
      </x:c>
      <x:c r="I4244" s="13" t="n">
        <x:f>IF(C4244=0,"n.a.",F4244/C4244)</x:f>
        <x:v>76.8</x:v>
      </x:c>
      <x:c r="J4244" s="3"/>
      <x:c r="K4244" s="3"/>
      <x:c r="L4244" s="3"/>
    </x:row>
    <x:row r="4245" ht="22" customHeight="1">
      <x:c r="A4245" s="3"/>
      <x:c r="B4245" s="3" t="str">
        <x:v>14373</x:v>
      </x:c>
      <x:c r="C4245" s="3" t="n">
        <x:v>1</x:v>
      </x:c>
      <x:c r="D4245" s="51" t="n">
        <x:v>40528</x:v>
      </x:c>
      <x:c r="E4245" s="3" t="str">
        <x:v>Una compra</x:v>
      </x:c>
      <x:c r="F4245" s="13" t="n">
        <x:v>76.55</x:v>
      </x:c>
      <x:c r="G4245" s="13" t="n">
        <x:v>0</x:v>
      </x:c>
      <x:c r="H4245" s="13" t="n">
        <x:f>F4245-G4245</x:f>
        <x:v>76.55</x:v>
      </x:c>
      <x:c r="I4245" s="13" t="n">
        <x:f>IF(C4245=0,"n.a.",F4245/C4245)</x:f>
        <x:v>76.55</x:v>
      </x:c>
      <x:c r="J4245" s="3"/>
      <x:c r="K4245" s="3"/>
      <x:c r="L4245" s="3"/>
    </x:row>
    <x:row r="4246" ht="22" customHeight="1">
      <x:c r="A4246" s="3"/>
      <x:c r="B4246" s="3" t="str">
        <x:v>17536</x:v>
      </x:c>
      <x:c r="C4246" s="3" t="n">
        <x:v>1</x:v>
      </x:c>
      <x:c r="D4246" s="51" t="n">
        <x:v>40709</x:v>
      </x:c>
      <x:c r="E4246" s="3" t="str">
        <x:v>Una compra</x:v>
      </x:c>
      <x:c r="F4246" s="13" t="n">
        <x:v>76.5</x:v>
      </x:c>
      <x:c r="G4246" s="13" t="n">
        <x:v>0</x:v>
      </x:c>
      <x:c r="H4246" s="13" t="n">
        <x:f>F4246-G4246</x:f>
        <x:v>76.5</x:v>
      </x:c>
      <x:c r="I4246" s="13" t="n">
        <x:f>IF(C4246=0,"n.a.",F4246/C4246)</x:f>
        <x:v>76.5</x:v>
      </x:c>
      <x:c r="J4246" s="3"/>
      <x:c r="K4246" s="3"/>
      <x:c r="L4246" s="3"/>
    </x:row>
    <x:row r="4247" ht="22" customHeight="1">
      <x:c r="A4247" s="3"/>
      <x:c r="B4247" s="3" t="str">
        <x:v>14090</x:v>
      </x:c>
      <x:c r="C4247" s="3" t="n">
        <x:v>1</x:v>
      </x:c>
      <x:c r="D4247" s="51" t="n">
        <x:v>40562</x:v>
      </x:c>
      <x:c r="E4247" s="3" t="str">
        <x:v>Una compra</x:v>
      </x:c>
      <x:c r="F4247" s="13" t="n">
        <x:v>76.32</x:v>
      </x:c>
      <x:c r="G4247" s="13" t="n">
        <x:v>0</x:v>
      </x:c>
      <x:c r="H4247" s="13" t="n">
        <x:f>F4247-G4247</x:f>
        <x:v>76.32</x:v>
      </x:c>
      <x:c r="I4247" s="13" t="n">
        <x:f>IF(C4247=0,"n.a.",F4247/C4247)</x:f>
        <x:v>76.32</x:v>
      </x:c>
      <x:c r="J4247" s="3"/>
      <x:c r="K4247" s="3"/>
      <x:c r="L4247" s="3"/>
    </x:row>
    <x:row r="4248" ht="22" customHeight="1">
      <x:c r="A4248" s="3"/>
      <x:c r="B4248" s="3" t="str">
        <x:v>15668</x:v>
      </x:c>
      <x:c r="C4248" s="3" t="n">
        <x:v>1</x:v>
      </x:c>
      <x:c r="D4248" s="51" t="n">
        <x:v>40669</x:v>
      </x:c>
      <x:c r="E4248" s="3" t="str">
        <x:v>Una compra</x:v>
      </x:c>
      <x:c r="F4248" s="13" t="n">
        <x:v>76.32</x:v>
      </x:c>
      <x:c r="G4248" s="13" t="n">
        <x:v>0</x:v>
      </x:c>
      <x:c r="H4248" s="13" t="n">
        <x:f>F4248-G4248</x:f>
        <x:v>76.32</x:v>
      </x:c>
      <x:c r="I4248" s="13" t="n">
        <x:f>IF(C4248=0,"n.a.",F4248/C4248)</x:f>
        <x:v>76.32</x:v>
      </x:c>
      <x:c r="J4248" s="3"/>
      <x:c r="K4248" s="3"/>
      <x:c r="L4248" s="3"/>
    </x:row>
    <x:row r="4249" ht="22" customHeight="1">
      <x:c r="A4249" s="3"/>
      <x:c r="B4249" s="3" t="str">
        <x:v>16148</x:v>
      </x:c>
      <x:c r="C4249" s="3" t="n">
        <x:v>1</x:v>
      </x:c>
      <x:c r="D4249" s="51" t="n">
        <x:v>40590</x:v>
      </x:c>
      <x:c r="E4249" s="3" t="str">
        <x:v>Una compra</x:v>
      </x:c>
      <x:c r="F4249" s="13" t="n">
        <x:v>76.32</x:v>
      </x:c>
      <x:c r="G4249" s="13" t="n">
        <x:v>0</x:v>
      </x:c>
      <x:c r="H4249" s="13" t="n">
        <x:f>F4249-G4249</x:f>
        <x:v>76.32</x:v>
      </x:c>
      <x:c r="I4249" s="13" t="n">
        <x:f>IF(C4249=0,"n.a.",F4249/C4249)</x:f>
        <x:v>76.32</x:v>
      </x:c>
      <x:c r="J4249" s="3"/>
      <x:c r="K4249" s="3"/>
      <x:c r="L4249" s="3"/>
    </x:row>
    <x:row r="4250" ht="22" customHeight="1">
      <x:c r="A4250" s="3"/>
      <x:c r="B4250" s="3" t="str">
        <x:v>18113</x:v>
      </x:c>
      <x:c r="C4250" s="3" t="n">
        <x:v>1</x:v>
      </x:c>
      <x:c r="D4250" s="51" t="n">
        <x:v>40518</x:v>
      </x:c>
      <x:c r="E4250" s="3" t="str">
        <x:v>Una compra</x:v>
      </x:c>
      <x:c r="F4250" s="13" t="n">
        <x:v>76.32</x:v>
      </x:c>
      <x:c r="G4250" s="13" t="n">
        <x:v>0</x:v>
      </x:c>
      <x:c r="H4250" s="13" t="n">
        <x:f>F4250-G4250</x:f>
        <x:v>76.32</x:v>
      </x:c>
      <x:c r="I4250" s="13" t="n">
        <x:f>IF(C4250=0,"n.a.",F4250/C4250)</x:f>
        <x:v>76.32</x:v>
      </x:c>
      <x:c r="J4250" s="3"/>
      <x:c r="K4250" s="3"/>
      <x:c r="L4250" s="3"/>
    </x:row>
    <x:row r="4251" ht="22" customHeight="1">
      <x:c r="A4251" s="3"/>
      <x:c r="B4251" s="3" t="str">
        <x:v>17995</x:v>
      </x:c>
      <x:c r="C4251" s="3" t="n">
        <x:v>1</x:v>
      </x:c>
      <x:c r="D4251" s="51" t="n">
        <x:v>40605</x:v>
      </x:c>
      <x:c r="E4251" s="3" t="str">
        <x:v>Una compra</x:v>
      </x:c>
      <x:c r="F4251" s="13" t="n">
        <x:v>76.1</x:v>
      </x:c>
      <x:c r="G4251" s="13" t="n">
        <x:v>0</x:v>
      </x:c>
      <x:c r="H4251" s="13" t="n">
        <x:f>F4251-G4251</x:f>
        <x:v>76.1</x:v>
      </x:c>
      <x:c r="I4251" s="13" t="n">
        <x:f>IF(C4251=0,"n.a.",F4251/C4251)</x:f>
        <x:v>76.1</x:v>
      </x:c>
      <x:c r="J4251" s="3"/>
      <x:c r="K4251" s="3"/>
      <x:c r="L4251" s="3"/>
    </x:row>
    <x:row r="4252" ht="22" customHeight="1">
      <x:c r="A4252" s="3"/>
      <x:c r="B4252" s="3" t="str">
        <x:v>17628</x:v>
      </x:c>
      <x:c r="C4252" s="3" t="n">
        <x:v>1</x:v>
      </x:c>
      <x:c r="D4252" s="51" t="n">
        <x:v>40805</x:v>
      </x:c>
      <x:c r="E4252" s="3" t="str">
        <x:v>Una compra</x:v>
      </x:c>
      <x:c r="F4252" s="13" t="n">
        <x:v>75.75</x:v>
      </x:c>
      <x:c r="G4252" s="13" t="n">
        <x:v>0</x:v>
      </x:c>
      <x:c r="H4252" s="13" t="n">
        <x:f>F4252-G4252</x:f>
        <x:v>75.75</x:v>
      </x:c>
      <x:c r="I4252" s="13" t="n">
        <x:f>IF(C4252=0,"n.a.",F4252/C4252)</x:f>
        <x:v>75.75</x:v>
      </x:c>
      <x:c r="J4252" s="3"/>
      <x:c r="K4252" s="3"/>
      <x:c r="L4252" s="3"/>
    </x:row>
    <x:row r="4253" ht="22" customHeight="1">
      <x:c r="A4253" s="3"/>
      <x:c r="B4253" s="3" t="str">
        <x:v>16610</x:v>
      </x:c>
      <x:c r="C4253" s="3" t="n">
        <x:v>1</x:v>
      </x:c>
      <x:c r="D4253" s="51" t="n">
        <x:v>40667</x:v>
      </x:c>
      <x:c r="E4253" s="3" t="str">
        <x:v>Una compra</x:v>
      </x:c>
      <x:c r="F4253" s="13" t="n">
        <x:v>75.66</x:v>
      </x:c>
      <x:c r="G4253" s="13" t="n">
        <x:v>0</x:v>
      </x:c>
      <x:c r="H4253" s="13" t="n">
        <x:f>F4253-G4253</x:f>
        <x:v>75.66</x:v>
      </x:c>
      <x:c r="I4253" s="13" t="n">
        <x:f>IF(C4253=0,"n.a.",F4253/C4253)</x:f>
        <x:v>75.66</x:v>
      </x:c>
      <x:c r="J4253" s="3"/>
      <x:c r="K4253" s="3"/>
      <x:c r="L4253" s="3"/>
    </x:row>
    <x:row r="4254" ht="22" customHeight="1">
      <x:c r="A4254" s="3"/>
      <x:c r="B4254" s="3" t="str">
        <x:v>13403</x:v>
      </x:c>
      <x:c r="C4254" s="3" t="n">
        <x:v>1</x:v>
      </x:c>
      <x:c r="D4254" s="51" t="n">
        <x:v>40869</x:v>
      </x:c>
      <x:c r="E4254" s="3" t="str">
        <x:v>Una compra</x:v>
      </x:c>
      <x:c r="F4254" s="13" t="n">
        <x:v>75</x:v>
      </x:c>
      <x:c r="G4254" s="13" t="n">
        <x:v>0</x:v>
      </x:c>
      <x:c r="H4254" s="13" t="n">
        <x:f>F4254-G4254</x:f>
        <x:v>75</x:v>
      </x:c>
      <x:c r="I4254" s="13" t="n">
        <x:f>IF(C4254=0,"n.a.",F4254/C4254)</x:f>
        <x:v>75</x:v>
      </x:c>
      <x:c r="J4254" s="3"/>
      <x:c r="K4254" s="3"/>
      <x:c r="L4254" s="3"/>
    </x:row>
    <x:row r="4255" ht="22" customHeight="1">
      <x:c r="A4255" s="3"/>
      <x:c r="B4255" s="3" t="str">
        <x:v>16468</x:v>
      </x:c>
      <x:c r="C4255" s="3" t="n">
        <x:v>1</x:v>
      </x:c>
      <x:c r="D4255" s="51" t="n">
        <x:v>40812</x:v>
      </x:c>
      <x:c r="E4255" s="3" t="str">
        <x:v>Una compra</x:v>
      </x:c>
      <x:c r="F4255" s="13" t="n">
        <x:v>74.9</x:v>
      </x:c>
      <x:c r="G4255" s="13" t="n">
        <x:v>0</x:v>
      </x:c>
      <x:c r="H4255" s="13" t="n">
        <x:f>F4255-G4255</x:f>
        <x:v>74.9</x:v>
      </x:c>
      <x:c r="I4255" s="13" t="n">
        <x:f>IF(C4255=0,"n.a.",F4255/C4255)</x:f>
        <x:v>74.9</x:v>
      </x:c>
      <x:c r="J4255" s="3"/>
      <x:c r="K4255" s="3"/>
      <x:c r="L4255" s="3"/>
    </x:row>
    <x:row r="4256" ht="22" customHeight="1">
      <x:c r="A4256" s="3"/>
      <x:c r="B4256" s="3" t="str">
        <x:v>13095</x:v>
      </x:c>
      <x:c r="C4256" s="3" t="n">
        <x:v>1</x:v>
      </x:c>
      <x:c r="D4256" s="51" t="n">
        <x:v>40816</x:v>
      </x:c>
      <x:c r="E4256" s="3" t="str">
        <x:v>Una compra</x:v>
      </x:c>
      <x:c r="F4256" s="13" t="n">
        <x:v>74.4</x:v>
      </x:c>
      <x:c r="G4256" s="13" t="n">
        <x:v>0</x:v>
      </x:c>
      <x:c r="H4256" s="13" t="n">
        <x:f>F4256-G4256</x:f>
        <x:v>74.4</x:v>
      </x:c>
      <x:c r="I4256" s="13" t="n">
        <x:f>IF(C4256=0,"n.a.",F4256/C4256)</x:f>
        <x:v>74.4</x:v>
      </x:c>
      <x:c r="J4256" s="3"/>
      <x:c r="K4256" s="3"/>
      <x:c r="L4256" s="3"/>
    </x:row>
    <x:row r="4257" ht="22" customHeight="1">
      <x:c r="A4257" s="3"/>
      <x:c r="B4257" s="3" t="str">
        <x:v>18050</x:v>
      </x:c>
      <x:c r="C4257" s="3" t="n">
        <x:v>1</x:v>
      </x:c>
      <x:c r="D4257" s="51" t="n">
        <x:v>40527</x:v>
      </x:c>
      <x:c r="E4257" s="3" t="str">
        <x:v>Una compra</x:v>
      </x:c>
      <x:c r="F4257" s="13" t="n">
        <x:v>74.4</x:v>
      </x:c>
      <x:c r="G4257" s="13" t="n">
        <x:v>0</x:v>
      </x:c>
      <x:c r="H4257" s="13" t="n">
        <x:f>F4257-G4257</x:f>
        <x:v>74.4</x:v>
      </x:c>
      <x:c r="I4257" s="13" t="n">
        <x:f>IF(C4257=0,"n.a.",F4257/C4257)</x:f>
        <x:v>74.4</x:v>
      </x:c>
      <x:c r="J4257" s="3"/>
      <x:c r="K4257" s="3"/>
      <x:c r="L4257" s="3"/>
    </x:row>
    <x:row r="4258" ht="22" customHeight="1">
      <x:c r="A4258" s="3"/>
      <x:c r="B4258" s="3" t="str">
        <x:v>17960</x:v>
      </x:c>
      <x:c r="C4258" s="3" t="n">
        <x:v>1</x:v>
      </x:c>
      <x:c r="D4258" s="51" t="n">
        <x:v>40715</x:v>
      </x:c>
      <x:c r="E4258" s="3" t="str">
        <x:v>Una compra</x:v>
      </x:c>
      <x:c r="F4258" s="13" t="n">
        <x:v>73.78</x:v>
      </x:c>
      <x:c r="G4258" s="13" t="n">
        <x:v>0</x:v>
      </x:c>
      <x:c r="H4258" s="13" t="n">
        <x:f>F4258-G4258</x:f>
        <x:v>73.78</x:v>
      </x:c>
      <x:c r="I4258" s="13" t="n">
        <x:f>IF(C4258=0,"n.a.",F4258/C4258)</x:f>
        <x:v>73.78</x:v>
      </x:c>
      <x:c r="J4258" s="3"/>
      <x:c r="K4258" s="3"/>
      <x:c r="L4258" s="3"/>
    </x:row>
    <x:row r="4259" ht="22" customHeight="1">
      <x:c r="A4259" s="3"/>
      <x:c r="B4259" s="3" t="str">
        <x:v>12659</x:v>
      </x:c>
      <x:c r="C4259" s="3" t="n">
        <x:v>1</x:v>
      </x:c>
      <x:c r="D4259" s="51" t="n">
        <x:v>40857</x:v>
      </x:c>
      <x:c r="E4259" s="3" t="str">
        <x:v>Una compra</x:v>
      </x:c>
      <x:c r="F4259" s="13" t="n">
        <x:v>73.68</x:v>
      </x:c>
      <x:c r="G4259" s="13" t="n">
        <x:v>0</x:v>
      </x:c>
      <x:c r="H4259" s="13" t="n">
        <x:f>F4259-G4259</x:f>
        <x:v>73.68</x:v>
      </x:c>
      <x:c r="I4259" s="13" t="n">
        <x:f>IF(C4259=0,"n.a.",F4259/C4259)</x:f>
        <x:v>73.68</x:v>
      </x:c>
      <x:c r="J4259" s="3"/>
      <x:c r="K4259" s="3"/>
      <x:c r="L4259" s="3"/>
    </x:row>
    <x:row r="4260" ht="22" customHeight="1">
      <x:c r="A4260" s="3"/>
      <x:c r="B4260" s="3" t="str">
        <x:v>12506</x:v>
      </x:c>
      <x:c r="C4260" s="3" t="n">
        <x:v>1</x:v>
      </x:c>
      <x:c r="D4260" s="51" t="n">
        <x:v>40654</x:v>
      </x:c>
      <x:c r="E4260" s="3" t="str">
        <x:v>Una compra</x:v>
      </x:c>
      <x:c r="F4260" s="13" t="n">
        <x:v>73.5</x:v>
      </x:c>
      <x:c r="G4260" s="13" t="n">
        <x:v>0</x:v>
      </x:c>
      <x:c r="H4260" s="13" t="n">
        <x:f>F4260-G4260</x:f>
        <x:v>73.5</x:v>
      </x:c>
      <x:c r="I4260" s="13" t="n">
        <x:f>IF(C4260=0,"n.a.",F4260/C4260)</x:f>
        <x:v>73.5</x:v>
      </x:c>
      <x:c r="J4260" s="3"/>
      <x:c r="K4260" s="3"/>
      <x:c r="L4260" s="3"/>
    </x:row>
    <x:row r="4261" ht="22" customHeight="1">
      <x:c r="A4261" s="3"/>
      <x:c r="B4261" s="3" t="str">
        <x:v>18032</x:v>
      </x:c>
      <x:c r="C4261" s="3" t="n">
        <x:v>1</x:v>
      </x:c>
      <x:c r="D4261" s="51" t="n">
        <x:v>40552</x:v>
      </x:c>
      <x:c r="E4261" s="3" t="str">
        <x:v>Una compra</x:v>
      </x:c>
      <x:c r="F4261" s="13" t="n">
        <x:v>73.5</x:v>
      </x:c>
      <x:c r="G4261" s="13" t="n">
        <x:v>0</x:v>
      </x:c>
      <x:c r="H4261" s="13" t="n">
        <x:f>F4261-G4261</x:f>
        <x:v>73.5</x:v>
      </x:c>
      <x:c r="I4261" s="13" t="n">
        <x:f>IF(C4261=0,"n.a.",F4261/C4261)</x:f>
        <x:v>73.5</x:v>
      </x:c>
      <x:c r="J4261" s="3"/>
      <x:c r="K4261" s="3"/>
      <x:c r="L4261" s="3"/>
    </x:row>
    <x:row r="4262" ht="22" customHeight="1">
      <x:c r="A4262" s="3"/>
      <x:c r="B4262" s="3" t="str">
        <x:v>16171</x:v>
      </x:c>
      <x:c r="C4262" s="3" t="n">
        <x:v>1</x:v>
      </x:c>
      <x:c r="D4262" s="51" t="n">
        <x:v>40827</x:v>
      </x:c>
      <x:c r="E4262" s="3" t="str">
        <x:v>Una compra</x:v>
      </x:c>
      <x:c r="F4262" s="13" t="n">
        <x:v>73.2</x:v>
      </x:c>
      <x:c r="G4262" s="13" t="n">
        <x:v>0</x:v>
      </x:c>
      <x:c r="H4262" s="13" t="n">
        <x:f>F4262-G4262</x:f>
        <x:v>73.2</x:v>
      </x:c>
      <x:c r="I4262" s="13" t="n">
        <x:f>IF(C4262=0,"n.a.",F4262/C4262)</x:f>
        <x:v>73.2</x:v>
      </x:c>
      <x:c r="J4262" s="3"/>
      <x:c r="K4262" s="3"/>
      <x:c r="L4262" s="3"/>
    </x:row>
    <x:row r="4263" ht="22" customHeight="1">
      <x:c r="A4263" s="3"/>
      <x:c r="B4263" s="3" t="str">
        <x:v>17906</x:v>
      </x:c>
      <x:c r="C4263" s="3" t="n">
        <x:v>1</x:v>
      </x:c>
      <x:c r="D4263" s="51" t="n">
        <x:v>40639</x:v>
      </x:c>
      <x:c r="E4263" s="3" t="str">
        <x:v>Una compra</x:v>
      </x:c>
      <x:c r="F4263" s="13" t="n">
        <x:v>72.9</x:v>
      </x:c>
      <x:c r="G4263" s="13" t="n">
        <x:v>0</x:v>
      </x:c>
      <x:c r="H4263" s="13" t="n">
        <x:f>F4263-G4263</x:f>
        <x:v>72.9</x:v>
      </x:c>
      <x:c r="I4263" s="13" t="n">
        <x:f>IF(C4263=0,"n.a.",F4263/C4263)</x:f>
        <x:v>72.9</x:v>
      </x:c>
      <x:c r="J4263" s="3"/>
      <x:c r="K4263" s="3"/>
      <x:c r="L4263" s="3"/>
    </x:row>
    <x:row r="4264" ht="22" customHeight="1">
      <x:c r="A4264" s="3"/>
      <x:c r="B4264" s="3" t="str">
        <x:v>13686</x:v>
      </x:c>
      <x:c r="C4264" s="3" t="n">
        <x:v>1</x:v>
      </x:c>
      <x:c r="D4264" s="51" t="n">
        <x:v>40704</x:v>
      </x:c>
      <x:c r="E4264" s="3" t="str">
        <x:v>Una compra</x:v>
      </x:c>
      <x:c r="F4264" s="13" t="n">
        <x:v>72</x:v>
      </x:c>
      <x:c r="G4264" s="13" t="n">
        <x:v>0</x:v>
      </x:c>
      <x:c r="H4264" s="13" t="n">
        <x:f>F4264-G4264</x:f>
        <x:v>72</x:v>
      </x:c>
      <x:c r="I4264" s="13" t="n">
        <x:f>IF(C4264=0,"n.a.",F4264/C4264)</x:f>
        <x:v>72</x:v>
      </x:c>
      <x:c r="J4264" s="3"/>
      <x:c r="K4264" s="3"/>
      <x:c r="L4264" s="3"/>
    </x:row>
    <x:row r="4265" ht="22" customHeight="1">
      <x:c r="A4265" s="3"/>
      <x:c r="B4265" s="3" t="str">
        <x:v>13938</x:v>
      </x:c>
      <x:c r="C4265" s="3" t="n">
        <x:v>1</x:v>
      </x:c>
      <x:c r="D4265" s="51" t="n">
        <x:v>40851</x:v>
      </x:c>
      <x:c r="E4265" s="3" t="str">
        <x:v>Una compra</x:v>
      </x:c>
      <x:c r="F4265" s="13" t="n">
        <x:v>71.66</x:v>
      </x:c>
      <x:c r="G4265" s="13" t="n">
        <x:v>0</x:v>
      </x:c>
      <x:c r="H4265" s="13" t="n">
        <x:f>F4265-G4265</x:f>
        <x:v>71.66</x:v>
      </x:c>
      <x:c r="I4265" s="13" t="n">
        <x:f>IF(C4265=0,"n.a.",F4265/C4265)</x:f>
        <x:v>71.66</x:v>
      </x:c>
      <x:c r="J4265" s="3"/>
      <x:c r="K4265" s="3"/>
      <x:c r="L4265" s="3"/>
    </x:row>
    <x:row r="4266" ht="22" customHeight="1">
      <x:c r="A4266" s="3"/>
      <x:c r="B4266" s="3" t="str">
        <x:v>13185</x:v>
      </x:c>
      <x:c r="C4266" s="3" t="n">
        <x:v>1</x:v>
      </x:c>
      <x:c r="D4266" s="51" t="n">
        <x:v>40619</x:v>
      </x:c>
      <x:c r="E4266" s="3" t="str">
        <x:v>Una compra</x:v>
      </x:c>
      <x:c r="F4266" s="13" t="n">
        <x:v>71.4</x:v>
      </x:c>
      <x:c r="G4266" s="13" t="n">
        <x:v>0</x:v>
      </x:c>
      <x:c r="H4266" s="13" t="n">
        <x:f>F4266-G4266</x:f>
        <x:v>71.4</x:v>
      </x:c>
      <x:c r="I4266" s="13" t="n">
        <x:f>IF(C4266=0,"n.a.",F4266/C4266)</x:f>
        <x:v>71.4</x:v>
      </x:c>
      <x:c r="J4266" s="3"/>
      <x:c r="K4266" s="3"/>
      <x:c r="L4266" s="3"/>
    </x:row>
    <x:row r="4267" ht="22" customHeight="1">
      <x:c r="A4267" s="3"/>
      <x:c r="B4267" s="3" t="str">
        <x:v>12686</x:v>
      </x:c>
      <x:c r="C4267" s="3" t="n">
        <x:v>1</x:v>
      </x:c>
      <x:c r="D4267" s="51" t="n">
        <x:v>40515</x:v>
      </x:c>
      <x:c r="E4267" s="3" t="str">
        <x:v>Una compra</x:v>
      </x:c>
      <x:c r="F4267" s="13" t="n">
        <x:v>71.14</x:v>
      </x:c>
      <x:c r="G4267" s="13" t="n">
        <x:v>0</x:v>
      </x:c>
      <x:c r="H4267" s="13" t="n">
        <x:f>F4267-G4267</x:f>
        <x:v>71.14</x:v>
      </x:c>
      <x:c r="I4267" s="13" t="n">
        <x:f>IF(C4267=0,"n.a.",F4267/C4267)</x:f>
        <x:v>71.14</x:v>
      </x:c>
      <x:c r="J4267" s="3"/>
      <x:c r="K4267" s="3"/>
      <x:c r="L4267" s="3"/>
    </x:row>
    <x:row r="4268" ht="22" customHeight="1">
      <x:c r="A4268" s="3"/>
      <x:c r="B4268" s="3" t="str">
        <x:v>17022</x:v>
      </x:c>
      <x:c r="C4268" s="3" t="n">
        <x:v>1</x:v>
      </x:c>
      <x:c r="D4268" s="51" t="n">
        <x:v>40855</x:v>
      </x:c>
      <x:c r="E4268" s="3" t="str">
        <x:v>Una compra</x:v>
      </x:c>
      <x:c r="F4268" s="13" t="n">
        <x:v>71</x:v>
      </x:c>
      <x:c r="G4268" s="13" t="n">
        <x:v>0</x:v>
      </x:c>
      <x:c r="H4268" s="13" t="n">
        <x:f>F4268-G4268</x:f>
        <x:v>71</x:v>
      </x:c>
      <x:c r="I4268" s="13" t="n">
        <x:f>IF(C4268=0,"n.a.",F4268/C4268)</x:f>
        <x:v>71</x:v>
      </x:c>
      <x:c r="J4268" s="3"/>
      <x:c r="K4268" s="3"/>
      <x:c r="L4268" s="3"/>
    </x:row>
    <x:row r="4269" ht="22" customHeight="1">
      <x:c r="A4269" s="3"/>
      <x:c r="B4269" s="3" t="str">
        <x:v>16581</x:v>
      </x:c>
      <x:c r="C4269" s="3" t="n">
        <x:v>1</x:v>
      </x:c>
      <x:c r="D4269" s="51" t="n">
        <x:v>40704</x:v>
      </x:c>
      <x:c r="E4269" s="3" t="str">
        <x:v>Una compra</x:v>
      </x:c>
      <x:c r="F4269" s="13" t="n">
        <x:v>105.84</x:v>
      </x:c>
      <x:c r="G4269" s="13" t="n">
        <x:v>35.4</x:v>
      </x:c>
      <x:c r="H4269" s="13" t="n">
        <x:f>F4269-G4269</x:f>
        <x:v>70.44</x:v>
      </x:c>
      <x:c r="I4269" s="13" t="n">
        <x:f>IF(C4269=0,"n.a.",F4269/C4269)</x:f>
        <x:v>105.84</x:v>
      </x:c>
      <x:c r="J4269" s="3"/>
      <x:c r="K4269" s="3"/>
      <x:c r="L4269" s="3"/>
    </x:row>
    <x:row r="4270" ht="22" customHeight="1">
      <x:c r="A4270" s="3"/>
      <x:c r="B4270" s="3" t="str">
        <x:v>18037</x:v>
      </x:c>
      <x:c r="C4270" s="3" t="n">
        <x:v>6</x:v>
      </x:c>
      <x:c r="D4270" s="51" t="n">
        <x:v>40732</x:v>
      </x:c>
      <x:c r="E4270" s="3" t="str">
        <x:v>Recurrente</x:v>
      </x:c>
      <x:c r="F4270" s="13" t="n">
        <x:v>70.02</x:v>
      </x:c>
      <x:c r="G4270" s="13" t="n">
        <x:v>0</x:v>
      </x:c>
      <x:c r="H4270" s="13" t="n">
        <x:f>F4270-G4270</x:f>
        <x:v>70.02</x:v>
      </x:c>
      <x:c r="I4270" s="13" t="n">
        <x:f>IF(C4270=0,"n.a.",F4270/C4270)</x:f>
        <x:v>11.67</x:v>
      </x:c>
      <x:c r="J4270" s="3"/>
      <x:c r="K4270" s="3"/>
      <x:c r="L4270" s="3"/>
    </x:row>
    <x:row r="4271" ht="22" customHeight="1">
      <x:c r="A4271" s="3"/>
      <x:c r="B4271" s="3" t="str">
        <x:v>12401</x:v>
      </x:c>
      <x:c r="C4271" s="3" t="n">
        <x:v>1</x:v>
      </x:c>
      <x:c r="D4271" s="51" t="n">
        <x:v>40583</x:v>
      </x:c>
      <x:c r="E4271" s="3" t="str">
        <x:v>Una compra</x:v>
      </x:c>
      <x:c r="F4271" s="13" t="n">
        <x:v>69.3</x:v>
      </x:c>
      <x:c r="G4271" s="13" t="n">
        <x:v>0</x:v>
      </x:c>
      <x:c r="H4271" s="13" t="n">
        <x:f>F4271-G4271</x:f>
        <x:v>69.3</x:v>
      </x:c>
      <x:c r="I4271" s="13" t="n">
        <x:f>IF(C4271=0,"n.a.",F4271/C4271)</x:f>
        <x:v>69.3</x:v>
      </x:c>
      <x:c r="J4271" s="3"/>
      <x:c r="K4271" s="3"/>
      <x:c r="L4271" s="3"/>
    </x:row>
    <x:row r="4272" ht="22" customHeight="1">
      <x:c r="A4272" s="3"/>
      <x:c r="B4272" s="3" t="str">
        <x:v>15863</x:v>
      </x:c>
      <x:c r="C4272" s="3" t="n">
        <x:v>2</x:v>
      </x:c>
      <x:c r="D4272" s="51" t="n">
        <x:v>40861</x:v>
      </x:c>
      <x:c r="E4272" s="3" t="str">
        <x:v>Recurrente</x:v>
      </x:c>
      <x:c r="F4272" s="13" t="n">
        <x:v>68.84</x:v>
      </x:c>
      <x:c r="G4272" s="13" t="n">
        <x:v>0</x:v>
      </x:c>
      <x:c r="H4272" s="13" t="n">
        <x:f>F4272-G4272</x:f>
        <x:v>68.84</x:v>
      </x:c>
      <x:c r="I4272" s="13" t="n">
        <x:f>IF(C4272=0,"n.a.",F4272/C4272)</x:f>
        <x:v>34.42</x:v>
      </x:c>
      <x:c r="J4272" s="3"/>
      <x:c r="K4272" s="3"/>
      <x:c r="L4272" s="3"/>
    </x:row>
    <x:row r="4273" ht="22" customHeight="1">
      <x:c r="A4273" s="3"/>
      <x:c r="B4273" s="3" t="str">
        <x:v>14393</x:v>
      </x:c>
      <x:c r="C4273" s="3" t="n">
        <x:v>1</x:v>
      </x:c>
      <x:c r="D4273" s="51" t="n">
        <x:v>40668</x:v>
      </x:c>
      <x:c r="E4273" s="3" t="str">
        <x:v>Una compra</x:v>
      </x:c>
      <x:c r="F4273" s="13" t="n">
        <x:v>67.95</x:v>
      </x:c>
      <x:c r="G4273" s="13" t="n">
        <x:v>0</x:v>
      </x:c>
      <x:c r="H4273" s="13" t="n">
        <x:f>F4273-G4273</x:f>
        <x:v>67.95</x:v>
      </x:c>
      <x:c r="I4273" s="13" t="n">
        <x:f>IF(C4273=0,"n.a.",F4273/C4273)</x:f>
        <x:v>67.95</x:v>
      </x:c>
      <x:c r="J4273" s="3"/>
      <x:c r="K4273" s="3"/>
      <x:c r="L4273" s="3"/>
    </x:row>
    <x:row r="4274" ht="22" customHeight="1">
      <x:c r="A4274" s="3"/>
      <x:c r="B4274" s="3" t="str">
        <x:v>12548</x:v>
      </x:c>
      <x:c r="C4274" s="3" t="n">
        <x:v>1</x:v>
      </x:c>
      <x:c r="D4274" s="51" t="n">
        <x:v>40720</x:v>
      </x:c>
      <x:c r="E4274" s="3" t="str">
        <x:v>Una compra</x:v>
      </x:c>
      <x:c r="F4274" s="13" t="n">
        <x:v>67.2</x:v>
      </x:c>
      <x:c r="G4274" s="13" t="n">
        <x:v>0</x:v>
      </x:c>
      <x:c r="H4274" s="13" t="n">
        <x:f>F4274-G4274</x:f>
        <x:v>67.2</x:v>
      </x:c>
      <x:c r="I4274" s="13" t="n">
        <x:f>IF(C4274=0,"n.a.",F4274/C4274)</x:f>
        <x:v>67.2</x:v>
      </x:c>
      <x:c r="J4274" s="3"/>
      <x:c r="K4274" s="3"/>
      <x:c r="L4274" s="3"/>
    </x:row>
    <x:row r="4275" ht="22" customHeight="1">
      <x:c r="A4275" s="3"/>
      <x:c r="B4275" s="3" t="str">
        <x:v>17382</x:v>
      </x:c>
      <x:c r="C4275" s="3" t="n">
        <x:v>1</x:v>
      </x:c>
      <x:c r="D4275" s="51" t="n">
        <x:v>40821</x:v>
      </x:c>
      <x:c r="E4275" s="3" t="str">
        <x:v>Una compra</x:v>
      </x:c>
      <x:c r="F4275" s="13" t="n">
        <x:v>65.4</x:v>
      </x:c>
      <x:c r="G4275" s="13" t="n">
        <x:v>0</x:v>
      </x:c>
      <x:c r="H4275" s="13" t="n">
        <x:f>F4275-G4275</x:f>
        <x:v>65.4</x:v>
      </x:c>
      <x:c r="I4275" s="13" t="n">
        <x:f>IF(C4275=0,"n.a.",F4275/C4275)</x:f>
        <x:v>65.4</x:v>
      </x:c>
      <x:c r="J4275" s="3"/>
      <x:c r="K4275" s="3"/>
      <x:c r="L4275" s="3"/>
    </x:row>
    <x:row r="4276" ht="22" customHeight="1">
      <x:c r="A4276" s="3"/>
      <x:c r="B4276" s="3" t="str">
        <x:v>17747</x:v>
      </x:c>
      <x:c r="C4276" s="3" t="n">
        <x:v>1</x:v>
      </x:c>
      <x:c r="D4276" s="51" t="n">
        <x:v>40774</x:v>
      </x:c>
      <x:c r="E4276" s="3" t="str">
        <x:v>Una compra</x:v>
      </x:c>
      <x:c r="F4276" s="13" t="n">
        <x:v>71.4</x:v>
      </x:c>
      <x:c r="G4276" s="13" t="n">
        <x:v>6.75</x:v>
      </x:c>
      <x:c r="H4276" s="13" t="n">
        <x:f>F4276-G4276</x:f>
        <x:v>64.65</x:v>
      </x:c>
      <x:c r="I4276" s="13" t="n">
        <x:f>IF(C4276=0,"n.a.",F4276/C4276)</x:f>
        <x:v>71.4</x:v>
      </x:c>
      <x:c r="J4276" s="3"/>
      <x:c r="K4276" s="3"/>
      <x:c r="L4276" s="3"/>
    </x:row>
    <x:row r="4277" ht="22" customHeight="1">
      <x:c r="A4277" s="3"/>
      <x:c r="B4277" s="3" t="str">
        <x:v>13684</x:v>
      </x:c>
      <x:c r="C4277" s="3" t="n">
        <x:v>1</x:v>
      </x:c>
      <x:c r="D4277" s="51" t="n">
        <x:v>40601</x:v>
      </x:c>
      <x:c r="E4277" s="3" t="str">
        <x:v>Una compra</x:v>
      </x:c>
      <x:c r="F4277" s="13" t="n">
        <x:v>67.23</x:v>
      </x:c>
      <x:c r="G4277" s="13" t="n">
        <x:v>3</x:v>
      </x:c>
      <x:c r="H4277" s="13" t="n">
        <x:f>F4277-G4277</x:f>
        <x:v>64.23</x:v>
      </x:c>
      <x:c r="I4277" s="13" t="n">
        <x:f>IF(C4277=0,"n.a.",F4277/C4277)</x:f>
        <x:v>67.23</x:v>
      </x:c>
      <x:c r="J4277" s="3"/>
      <x:c r="K4277" s="3"/>
      <x:c r="L4277" s="3"/>
    </x:row>
    <x:row r="4278" ht="22" customHeight="1">
      <x:c r="A4278" s="3"/>
      <x:c r="B4278" s="3" t="str">
        <x:v>13130</x:v>
      </x:c>
      <x:c r="C4278" s="3" t="n">
        <x:v>1</x:v>
      </x:c>
      <x:c r="D4278" s="51" t="n">
        <x:v>40792</x:v>
      </x:c>
      <x:c r="E4278" s="3" t="str">
        <x:v>Una compra</x:v>
      </x:c>
      <x:c r="F4278" s="13" t="n">
        <x:v>64</x:v>
      </x:c>
      <x:c r="G4278" s="13" t="n">
        <x:v>0</x:v>
      </x:c>
      <x:c r="H4278" s="13" t="n">
        <x:f>F4278-G4278</x:f>
        <x:v>64</x:v>
      </x:c>
      <x:c r="I4278" s="13" t="n">
        <x:f>IF(C4278=0,"n.a.",F4278/C4278)</x:f>
        <x:v>64</x:v>
      </x:c>
      <x:c r="J4278" s="3"/>
      <x:c r="K4278" s="3"/>
      <x:c r="L4278" s="3"/>
    </x:row>
    <x:row r="4279" ht="22" customHeight="1">
      <x:c r="A4279" s="3"/>
      <x:c r="B4279" s="3" t="str">
        <x:v>13302</x:v>
      </x:c>
      <x:c r="C4279" s="3" t="n">
        <x:v>1</x:v>
      </x:c>
      <x:c r="D4279" s="51" t="n">
        <x:v>40731</x:v>
      </x:c>
      <x:c r="E4279" s="3" t="str">
        <x:v>Una compra</x:v>
      </x:c>
      <x:c r="F4279" s="13" t="n">
        <x:v>63.75</x:v>
      </x:c>
      <x:c r="G4279" s="13" t="n">
        <x:v>0</x:v>
      </x:c>
      <x:c r="H4279" s="13" t="n">
        <x:f>F4279-G4279</x:f>
        <x:v>63.75</x:v>
      </x:c>
      <x:c r="I4279" s="13" t="n">
        <x:f>IF(C4279=0,"n.a.",F4279/C4279)</x:f>
        <x:v>63.75</x:v>
      </x:c>
      <x:c r="J4279" s="3"/>
      <x:c r="K4279" s="3"/>
      <x:c r="L4279" s="3"/>
    </x:row>
    <x:row r="4280" ht="22" customHeight="1">
      <x:c r="A4280" s="3"/>
      <x:c r="B4280" s="3" t="str">
        <x:v>17263</x:v>
      </x:c>
      <x:c r="C4280" s="3" t="n">
        <x:v>1</x:v>
      </x:c>
      <x:c r="D4280" s="51" t="n">
        <x:v>40678</x:v>
      </x:c>
      <x:c r="E4280" s="3" t="str">
        <x:v>Una compra</x:v>
      </x:c>
      <x:c r="F4280" s="13" t="n">
        <x:v>63.44</x:v>
      </x:c>
      <x:c r="G4280" s="13" t="n">
        <x:v>0</x:v>
      </x:c>
      <x:c r="H4280" s="13" t="n">
        <x:f>F4280-G4280</x:f>
        <x:v>63.44</x:v>
      </x:c>
      <x:c r="I4280" s="13" t="n">
        <x:f>IF(C4280=0,"n.a.",F4280/C4280)</x:f>
        <x:v>63.44</x:v>
      </x:c>
      <x:c r="J4280" s="3"/>
      <x:c r="K4280" s="3"/>
      <x:c r="L4280" s="3"/>
    </x:row>
    <x:row r="4281" ht="22" customHeight="1">
      <x:c r="A4281" s="3"/>
      <x:c r="B4281" s="3" t="str">
        <x:v>14437</x:v>
      </x:c>
      <x:c r="C4281" s="3" t="n">
        <x:v>1</x:v>
      </x:c>
      <x:c r="D4281" s="51" t="n">
        <x:v>40521</x:v>
      </x:c>
      <x:c r="E4281" s="3" t="str">
        <x:v>Una compra</x:v>
      </x:c>
      <x:c r="F4281" s="13" t="n">
        <x:v>63</x:v>
      </x:c>
      <x:c r="G4281" s="13" t="n">
        <x:v>0</x:v>
      </x:c>
      <x:c r="H4281" s="13" t="n">
        <x:f>F4281-G4281</x:f>
        <x:v>63</x:v>
      </x:c>
      <x:c r="I4281" s="13" t="n">
        <x:f>IF(C4281=0,"n.a.",F4281/C4281)</x:f>
        <x:v>63</x:v>
      </x:c>
      <x:c r="J4281" s="3"/>
      <x:c r="K4281" s="3"/>
      <x:c r="L4281" s="3"/>
    </x:row>
    <x:row r="4282" ht="22" customHeight="1">
      <x:c r="A4282" s="3"/>
      <x:c r="B4282" s="3" t="str">
        <x:v>14840</x:v>
      </x:c>
      <x:c r="C4282" s="3" t="n">
        <x:v>1</x:v>
      </x:c>
      <x:c r="D4282" s="51" t="n">
        <x:v>40619</x:v>
      </x:c>
      <x:c r="E4282" s="3" t="str">
        <x:v>Una compra</x:v>
      </x:c>
      <x:c r="F4282" s="13" t="n">
        <x:v>62.85</x:v>
      </x:c>
      <x:c r="G4282" s="13" t="n">
        <x:v>0</x:v>
      </x:c>
      <x:c r="H4282" s="13" t="n">
        <x:f>F4282-G4282</x:f>
        <x:v>62.85</x:v>
      </x:c>
      <x:c r="I4282" s="13" t="n">
        <x:f>IF(C4282=0,"n.a.",F4282/C4282)</x:f>
        <x:v>62.85</x:v>
      </x:c>
      <x:c r="J4282" s="3"/>
      <x:c r="K4282" s="3"/>
      <x:c r="L4282" s="3"/>
    </x:row>
    <x:row r="4283" ht="22" customHeight="1">
      <x:c r="A4283" s="3"/>
      <x:c r="B4283" s="3" t="str">
        <x:v>13218</x:v>
      </x:c>
      <x:c r="C4283" s="3" t="n">
        <x:v>1</x:v>
      </x:c>
      <x:c r="D4283" s="51" t="n">
        <x:v>40759</x:v>
      </x:c>
      <x:c r="E4283" s="3" t="str">
        <x:v>Una compra</x:v>
      </x:c>
      <x:c r="F4283" s="13" t="n">
        <x:v>62.64</x:v>
      </x:c>
      <x:c r="G4283" s="13" t="n">
        <x:v>0</x:v>
      </x:c>
      <x:c r="H4283" s="13" t="n">
        <x:f>F4283-G4283</x:f>
        <x:v>62.64</x:v>
      </x:c>
      <x:c r="I4283" s="13" t="n">
        <x:f>IF(C4283=0,"n.a.",F4283/C4283)</x:f>
        <x:v>62.64</x:v>
      </x:c>
      <x:c r="J4283" s="3"/>
      <x:c r="K4283" s="3"/>
      <x:c r="L4283" s="3"/>
    </x:row>
    <x:row r="4284" ht="22" customHeight="1">
      <x:c r="A4284" s="3"/>
      <x:c r="B4284" s="3" t="str">
        <x:v>15516</x:v>
      </x:c>
      <x:c r="C4284" s="3" t="n">
        <x:v>3</x:v>
      </x:c>
      <x:c r="D4284" s="51" t="n">
        <x:v>40842</x:v>
      </x:c>
      <x:c r="E4284" s="3" t="str">
        <x:v>Recurrente</x:v>
      </x:c>
      <x:c r="F4284" s="13" t="n">
        <x:v>62.43</x:v>
      </x:c>
      <x:c r="G4284" s="13" t="n">
        <x:v>0</x:v>
      </x:c>
      <x:c r="H4284" s="13" t="n">
        <x:f>F4284-G4284</x:f>
        <x:v>62.43</x:v>
      </x:c>
      <x:c r="I4284" s="13" t="n">
        <x:f>IF(C4284=0,"n.a.",F4284/C4284)</x:f>
        <x:v>20.81</x:v>
      </x:c>
      <x:c r="J4284" s="3"/>
      <x:c r="K4284" s="3"/>
      <x:c r="L4284" s="3"/>
    </x:row>
    <x:row r="4285" ht="22" customHeight="1">
      <x:c r="A4285" s="3"/>
      <x:c r="B4285" s="3" t="str">
        <x:v>15729</x:v>
      </x:c>
      <x:c r="C4285" s="3" t="n">
        <x:v>1</x:v>
      </x:c>
      <x:c r="D4285" s="51" t="n">
        <x:v>40674</x:v>
      </x:c>
      <x:c r="E4285" s="3" t="str">
        <x:v>Una compra</x:v>
      </x:c>
      <x:c r="F4285" s="13" t="n">
        <x:v>85</x:v>
      </x:c>
      <x:c r="G4285" s="13" t="n">
        <x:v>23</x:v>
      </x:c>
      <x:c r="H4285" s="13" t="n">
        <x:f>F4285-G4285</x:f>
        <x:v>62</x:v>
      </x:c>
      <x:c r="I4285" s="13" t="n">
        <x:f>IF(C4285=0,"n.a.",F4285/C4285)</x:f>
        <x:v>85</x:v>
      </x:c>
      <x:c r="J4285" s="3"/>
      <x:c r="K4285" s="3"/>
      <x:c r="L4285" s="3"/>
    </x:row>
    <x:row r="4286" ht="22" customHeight="1">
      <x:c r="A4286" s="3"/>
      <x:c r="B4286" s="3" t="str">
        <x:v>13194</x:v>
      </x:c>
      <x:c r="C4286" s="3" t="n">
        <x:v>1</x:v>
      </x:c>
      <x:c r="D4286" s="51" t="n">
        <x:v>40751</x:v>
      </x:c>
      <x:c r="E4286" s="3" t="str">
        <x:v>Una compra</x:v>
      </x:c>
      <x:c r="F4286" s="13" t="n">
        <x:v>60.7</x:v>
      </x:c>
      <x:c r="G4286" s="13" t="n">
        <x:v>0</x:v>
      </x:c>
      <x:c r="H4286" s="13" t="n">
        <x:f>F4286-G4286</x:f>
        <x:v>60.7</x:v>
      </x:c>
      <x:c r="I4286" s="13" t="n">
        <x:f>IF(C4286=0,"n.a.",F4286/C4286)</x:f>
        <x:v>60.7</x:v>
      </x:c>
      <x:c r="J4286" s="3"/>
      <x:c r="K4286" s="3"/>
      <x:c r="L4286" s="3"/>
    </x:row>
    <x:row r="4287" ht="22" customHeight="1">
      <x:c r="A4287" s="3"/>
      <x:c r="B4287" s="3" t="str">
        <x:v>12504</x:v>
      </x:c>
      <x:c r="C4287" s="3" t="n">
        <x:v>2</x:v>
      </x:c>
      <x:c r="D4287" s="51" t="n">
        <x:v>40868</x:v>
      </x:c>
      <x:c r="E4287" s="3" t="str">
        <x:v>Recurrente</x:v>
      </x:c>
      <x:c r="F4287" s="13" t="n">
        <x:v>428.05</x:v>
      </x:c>
      <x:c r="G4287" s="13" t="n">
        <x:v>368.05</x:v>
      </x:c>
      <x:c r="H4287" s="13" t="n">
        <x:f>F4287-G4287</x:f>
        <x:v>60</x:v>
      </x:c>
      <x:c r="I4287" s="13" t="n">
        <x:f>IF(C4287=0,"n.a.",F4287/C4287)</x:f>
        <x:v>214.025</x:v>
      </x:c>
      <x:c r="J4287" s="3"/>
      <x:c r="K4287" s="3"/>
      <x:c r="L4287" s="3"/>
    </x:row>
    <x:row r="4288" ht="22" customHeight="1">
      <x:c r="A4288" s="3"/>
      <x:c r="B4288" s="3" t="str">
        <x:v>17174</x:v>
      </x:c>
      <x:c r="C4288" s="3" t="n">
        <x:v>1</x:v>
      </x:c>
      <x:c r="D4288" s="51" t="n">
        <x:v>40669</x:v>
      </x:c>
      <x:c r="E4288" s="3" t="str">
        <x:v>Una compra</x:v>
      </x:c>
      <x:c r="F4288" s="13" t="n">
        <x:v>59.9</x:v>
      </x:c>
      <x:c r="G4288" s="13" t="n">
        <x:v>0</x:v>
      </x:c>
      <x:c r="H4288" s="13" t="n">
        <x:f>F4288-G4288</x:f>
        <x:v>59.9</x:v>
      </x:c>
      <x:c r="I4288" s="13" t="n">
        <x:f>IF(C4288=0,"n.a.",F4288/C4288)</x:f>
        <x:v>59.9</x:v>
      </x:c>
      <x:c r="J4288" s="3"/>
      <x:c r="K4288" s="3"/>
      <x:c r="L4288" s="3"/>
    </x:row>
    <x:row r="4289" ht="22" customHeight="1">
      <x:c r="A4289" s="3"/>
      <x:c r="B4289" s="3" t="str">
        <x:v>13391</x:v>
      </x:c>
      <x:c r="C4289" s="3" t="n">
        <x:v>1</x:v>
      </x:c>
      <x:c r="D4289" s="51" t="n">
        <x:v>40683</x:v>
      </x:c>
      <x:c r="E4289" s="3" t="str">
        <x:v>Una compra</x:v>
      </x:c>
      <x:c r="F4289" s="13" t="n">
        <x:v>59.8</x:v>
      </x:c>
      <x:c r="G4289" s="13" t="n">
        <x:v>0</x:v>
      </x:c>
      <x:c r="H4289" s="13" t="n">
        <x:f>F4289-G4289</x:f>
        <x:v>59.8</x:v>
      </x:c>
      <x:c r="I4289" s="13" t="n">
        <x:f>IF(C4289=0,"n.a.",F4289/C4289)</x:f>
        <x:v>59.8</x:v>
      </x:c>
      <x:c r="J4289" s="3"/>
      <x:c r="K4289" s="3"/>
      <x:c r="L4289" s="3"/>
    </x:row>
    <x:row r="4290" ht="22" customHeight="1">
      <x:c r="A4290" s="3"/>
      <x:c r="B4290" s="3" t="str">
        <x:v>13106</x:v>
      </x:c>
      <x:c r="C4290" s="3" t="n">
        <x:v>1</x:v>
      </x:c>
      <x:c r="D4290" s="51" t="n">
        <x:v>40753</x:v>
      </x:c>
      <x:c r="E4290" s="3" t="str">
        <x:v>Una compra</x:v>
      </x:c>
      <x:c r="F4290" s="13" t="n">
        <x:v>76.5</x:v>
      </x:c>
      <x:c r="G4290" s="13" t="n">
        <x:v>17</x:v>
      </x:c>
      <x:c r="H4290" s="13" t="n">
        <x:f>F4290-G4290</x:f>
        <x:v>59.5</x:v>
      </x:c>
      <x:c r="I4290" s="13" t="n">
        <x:f>IF(C4290=0,"n.a.",F4290/C4290)</x:f>
        <x:v>76.5</x:v>
      </x:c>
      <x:c r="J4290" s="3"/>
      <x:c r="K4290" s="3"/>
      <x:c r="L4290" s="3"/>
    </x:row>
    <x:row r="4291" ht="22" customHeight="1">
      <x:c r="A4291" s="3"/>
      <x:c r="B4291" s="3" t="str">
        <x:v>13682</x:v>
      </x:c>
      <x:c r="C4291" s="3" t="n">
        <x:v>1</x:v>
      </x:c>
      <x:c r="D4291" s="51" t="n">
        <x:v>40699</x:v>
      </x:c>
      <x:c r="E4291" s="3" t="str">
        <x:v>Una compra</x:v>
      </x:c>
      <x:c r="F4291" s="13" t="n">
        <x:v>59.5</x:v>
      </x:c>
      <x:c r="G4291" s="13" t="n">
        <x:v>0</x:v>
      </x:c>
      <x:c r="H4291" s="13" t="n">
        <x:f>F4291-G4291</x:f>
        <x:v>59.5</x:v>
      </x:c>
      <x:c r="I4291" s="13" t="n">
        <x:f>IF(C4291=0,"n.a.",F4291/C4291)</x:f>
        <x:v>59.5</x:v>
      </x:c>
      <x:c r="J4291" s="3"/>
      <x:c r="K4291" s="3"/>
      <x:c r="L4291" s="3"/>
    </x:row>
    <x:row r="4292" ht="22" customHeight="1">
      <x:c r="A4292" s="3"/>
      <x:c r="B4292" s="3" t="str">
        <x:v>14957</x:v>
      </x:c>
      <x:c r="C4292" s="3" t="n">
        <x:v>1</x:v>
      </x:c>
      <x:c r="D4292" s="51" t="n">
        <x:v>40633</x:v>
      </x:c>
      <x:c r="E4292" s="3" t="str">
        <x:v>Una compra</x:v>
      </x:c>
      <x:c r="F4292" s="13" t="n">
        <x:v>58.49</x:v>
      </x:c>
      <x:c r="G4292" s="13" t="n">
        <x:v>0</x:v>
      </x:c>
      <x:c r="H4292" s="13" t="n">
        <x:f>F4292-G4292</x:f>
        <x:v>58.49</x:v>
      </x:c>
      <x:c r="I4292" s="13" t="n">
        <x:f>IF(C4292=0,"n.a.",F4292/C4292)</x:f>
        <x:v>58.49</x:v>
      </x:c>
      <x:c r="J4292" s="3"/>
      <x:c r="K4292" s="3"/>
      <x:c r="L4292" s="3"/>
    </x:row>
    <x:row r="4293" ht="22" customHeight="1">
      <x:c r="A4293" s="3"/>
      <x:c r="B4293" s="3" t="str">
        <x:v>13080</x:v>
      </x:c>
      <x:c r="C4293" s="3" t="n">
        <x:v>1</x:v>
      </x:c>
      <x:c r="D4293" s="51" t="n">
        <x:v>40707</x:v>
      </x:c>
      <x:c r="E4293" s="3" t="str">
        <x:v>Una compra</x:v>
      </x:c>
      <x:c r="F4293" s="13" t="n">
        <x:v>58.08</x:v>
      </x:c>
      <x:c r="G4293" s="13" t="n">
        <x:v>0</x:v>
      </x:c>
      <x:c r="H4293" s="13" t="n">
        <x:f>F4293-G4293</x:f>
        <x:v>58.08</x:v>
      </x:c>
      <x:c r="I4293" s="13" t="n">
        <x:f>IF(C4293=0,"n.a.",F4293/C4293)</x:f>
        <x:v>58.08</x:v>
      </x:c>
      <x:c r="J4293" s="3"/>
      <x:c r="K4293" s="3"/>
      <x:c r="L4293" s="3"/>
    </x:row>
    <x:row r="4294" ht="22" customHeight="1">
      <x:c r="A4294" s="3"/>
      <x:c r="B4294" s="3" t="str">
        <x:v>17775</x:v>
      </x:c>
      <x:c r="C4294" s="3" t="n">
        <x:v>1</x:v>
      </x:c>
      <x:c r="D4294" s="51" t="n">
        <x:v>40632</x:v>
      </x:c>
      <x:c r="E4294" s="3" t="str">
        <x:v>Una compra</x:v>
      </x:c>
      <x:c r="F4294" s="13" t="n">
        <x:v>56.4</x:v>
      </x:c>
      <x:c r="G4294" s="13" t="n">
        <x:v>0</x:v>
      </x:c>
      <x:c r="H4294" s="13" t="n">
        <x:f>F4294-G4294</x:f>
        <x:v>56.4</x:v>
      </x:c>
      <x:c r="I4294" s="13" t="n">
        <x:f>IF(C4294=0,"n.a.",F4294/C4294)</x:f>
        <x:v>56.4</x:v>
      </x:c>
      <x:c r="J4294" s="3"/>
      <x:c r="K4294" s="3"/>
      <x:c r="L4294" s="3"/>
    </x:row>
    <x:row r="4295" ht="22" customHeight="1">
      <x:c r="A4295" s="3"/>
      <x:c r="B4295" s="3" t="str">
        <x:v>15899</x:v>
      </x:c>
      <x:c r="C4295" s="3" t="n">
        <x:v>1</x:v>
      </x:c>
      <x:c r="D4295" s="51" t="n">
        <x:v>40518</x:v>
      </x:c>
      <x:c r="E4295" s="3" t="str">
        <x:v>Una compra</x:v>
      </x:c>
      <x:c r="F4295" s="13" t="n">
        <x:v>56.25</x:v>
      </x:c>
      <x:c r="G4295" s="13" t="n">
        <x:v>0</x:v>
      </x:c>
      <x:c r="H4295" s="13" t="n">
        <x:f>F4295-G4295</x:f>
        <x:v>56.25</x:v>
      </x:c>
      <x:c r="I4295" s="13" t="n">
        <x:f>IF(C4295=0,"n.a.",F4295/C4295)</x:f>
        <x:v>56.25</x:v>
      </x:c>
      <x:c r="J4295" s="3"/>
      <x:c r="K4295" s="3"/>
      <x:c r="L4295" s="3"/>
    </x:row>
    <x:row r="4296" ht="22" customHeight="1">
      <x:c r="A4296" s="3"/>
      <x:c r="B4296" s="3" t="str">
        <x:v>13366</x:v>
      </x:c>
      <x:c r="C4296" s="3" t="n">
        <x:v>1</x:v>
      </x:c>
      <x:c r="D4296" s="51" t="n">
        <x:v>40836</x:v>
      </x:c>
      <x:c r="E4296" s="3" t="str">
        <x:v>Una compra</x:v>
      </x:c>
      <x:c r="F4296" s="13" t="n">
        <x:v>56.16</x:v>
      </x:c>
      <x:c r="G4296" s="13" t="n">
        <x:v>0</x:v>
      </x:c>
      <x:c r="H4296" s="13" t="n">
        <x:f>F4296-G4296</x:f>
        <x:v>56.16</x:v>
      </x:c>
      <x:c r="I4296" s="13" t="n">
        <x:f>IF(C4296=0,"n.a.",F4296/C4296)</x:f>
        <x:v>56.16</x:v>
      </x:c>
      <x:c r="J4296" s="3"/>
      <x:c r="K4296" s="3"/>
      <x:c r="L4296" s="3"/>
    </x:row>
    <x:row r="4297" ht="22" customHeight="1">
      <x:c r="A4297" s="3"/>
      <x:c r="B4297" s="3" t="str">
        <x:v>14760</x:v>
      </x:c>
      <x:c r="C4297" s="3" t="n">
        <x:v>1</x:v>
      </x:c>
      <x:c r="D4297" s="51" t="n">
        <x:v>40589</x:v>
      </x:c>
      <x:c r="E4297" s="3" t="str">
        <x:v>Una compra</x:v>
      </x:c>
      <x:c r="F4297" s="13" t="n">
        <x:v>89.2</x:v>
      </x:c>
      <x:c r="G4297" s="13" t="n">
        <x:v>35.4</x:v>
      </x:c>
      <x:c r="H4297" s="13" t="n">
        <x:f>F4297-G4297</x:f>
        <x:v>53.800000000000004</x:v>
      </x:c>
      <x:c r="I4297" s="13" t="n">
        <x:f>IF(C4297=0,"n.a.",F4297/C4297)</x:f>
        <x:v>89.2</x:v>
      </x:c>
      <x:c r="J4297" s="3"/>
      <x:c r="K4297" s="3"/>
      <x:c r="L4297" s="3"/>
    </x:row>
    <x:row r="4298" ht="22" customHeight="1">
      <x:c r="A4298" s="3"/>
      <x:c r="B4298" s="3" t="str">
        <x:v>16349</x:v>
      </x:c>
      <x:c r="C4298" s="3" t="n">
        <x:v>1</x:v>
      </x:c>
      <x:c r="D4298" s="51" t="n">
        <x:v>40596</x:v>
      </x:c>
      <x:c r="E4298" s="3" t="str">
        <x:v>Una compra</x:v>
      </x:c>
      <x:c r="F4298" s="13" t="n">
        <x:v>53.5</x:v>
      </x:c>
      <x:c r="G4298" s="13" t="n">
        <x:v>0</x:v>
      </x:c>
      <x:c r="H4298" s="13" t="n">
        <x:f>F4298-G4298</x:f>
        <x:v>53.5</x:v>
      </x:c>
      <x:c r="I4298" s="13" t="n">
        <x:f>IF(C4298=0,"n.a.",F4298/C4298)</x:f>
        <x:v>53.5</x:v>
      </x:c>
      <x:c r="J4298" s="3"/>
      <x:c r="K4298" s="3"/>
      <x:c r="L4298" s="3"/>
    </x:row>
    <x:row r="4299" ht="22" customHeight="1">
      <x:c r="A4299" s="3"/>
      <x:c r="B4299" s="3" t="str">
        <x:v>15504</x:v>
      </x:c>
      <x:c r="C4299" s="3" t="n">
        <x:v>1</x:v>
      </x:c>
      <x:c r="D4299" s="51" t="n">
        <x:v>40805</x:v>
      </x:c>
      <x:c r="E4299" s="3" t="str">
        <x:v>Una compra</x:v>
      </x:c>
      <x:c r="F4299" s="13" t="n">
        <x:v>52.83</x:v>
      </x:c>
      <x:c r="G4299" s="13" t="n">
        <x:v>0</x:v>
      </x:c>
      <x:c r="H4299" s="13" t="n">
        <x:f>F4299-G4299</x:f>
        <x:v>52.83</x:v>
      </x:c>
      <x:c r="I4299" s="13" t="n">
        <x:f>IF(C4299=0,"n.a.",F4299/C4299)</x:f>
        <x:v>52.83</x:v>
      </x:c>
      <x:c r="J4299" s="3"/>
      <x:c r="K4299" s="3"/>
      <x:c r="L4299" s="3"/>
    </x:row>
    <x:row r="4300" ht="22" customHeight="1">
      <x:c r="A4300" s="3"/>
      <x:c r="B4300" s="3" t="str">
        <x:v>14865</x:v>
      </x:c>
      <x:c r="C4300" s="3" t="n">
        <x:v>2</x:v>
      </x:c>
      <x:c r="D4300" s="51" t="n">
        <x:v>40879</x:v>
      </x:c>
      <x:c r="E4300" s="3" t="str">
        <x:v>Recurrente</x:v>
      </x:c>
      <x:c r="F4300" s="13" t="n">
        <x:v>52.2</x:v>
      </x:c>
      <x:c r="G4300" s="13" t="n">
        <x:v>0</x:v>
      </x:c>
      <x:c r="H4300" s="13" t="n">
        <x:f>F4300-G4300</x:f>
        <x:v>52.2</x:v>
      </x:c>
      <x:c r="I4300" s="13" t="n">
        <x:f>IF(C4300=0,"n.a.",F4300/C4300)</x:f>
        <x:v>26.1</x:v>
      </x:c>
      <x:c r="J4300" s="3"/>
      <x:c r="K4300" s="3"/>
      <x:c r="L4300" s="3"/>
    </x:row>
    <x:row r="4301" ht="22" customHeight="1">
      <x:c r="A4301" s="3"/>
      <x:c r="B4301" s="3" t="str">
        <x:v>14682</x:v>
      </x:c>
      <x:c r="C4301" s="3" t="n">
        <x:v>2</x:v>
      </x:c>
      <x:c r="D4301" s="51" t="n">
        <x:v>40699</x:v>
      </x:c>
      <x:c r="E4301" s="3" t="str">
        <x:v>Recurrente</x:v>
      </x:c>
      <x:c r="F4301" s="13" t="n">
        <x:v>52</x:v>
      </x:c>
      <x:c r="G4301" s="13" t="n">
        <x:v>0</x:v>
      </x:c>
      <x:c r="H4301" s="13" t="n">
        <x:f>F4301-G4301</x:f>
        <x:v>52</x:v>
      </x:c>
      <x:c r="I4301" s="13" t="n">
        <x:f>IF(C4301=0,"n.a.",F4301/C4301)</x:f>
        <x:v>26</x:v>
      </x:c>
      <x:c r="J4301" s="3"/>
      <x:c r="K4301" s="3"/>
      <x:c r="L4301" s="3"/>
    </x:row>
    <x:row r="4302" ht="22" customHeight="1">
      <x:c r="A4302" s="3"/>
      <x:c r="B4302" s="3" t="str">
        <x:v>15313</x:v>
      </x:c>
      <x:c r="C4302" s="3" t="n">
        <x:v>1</x:v>
      </x:c>
      <x:c r="D4302" s="51" t="n">
        <x:v>40776</x:v>
      </x:c>
      <x:c r="E4302" s="3" t="str">
        <x:v>Una compra</x:v>
      </x:c>
      <x:c r="F4302" s="13" t="n">
        <x:v>52</x:v>
      </x:c>
      <x:c r="G4302" s="13" t="n">
        <x:v>0</x:v>
      </x:c>
      <x:c r="H4302" s="13" t="n">
        <x:f>F4302-G4302</x:f>
        <x:v>52</x:v>
      </x:c>
      <x:c r="I4302" s="13" t="n">
        <x:f>IF(C4302=0,"n.a.",F4302/C4302)</x:f>
        <x:v>52</x:v>
      </x:c>
      <x:c r="J4302" s="3"/>
      <x:c r="K4302" s="3"/>
      <x:c r="L4302" s="3"/>
    </x:row>
    <x:row r="4303" ht="22" customHeight="1">
      <x:c r="A4303" s="3"/>
      <x:c r="B4303" s="3" t="str">
        <x:v>17844</x:v>
      </x:c>
      <x:c r="C4303" s="3" t="n">
        <x:v>1</x:v>
      </x:c>
      <x:c r="D4303" s="51" t="n">
        <x:v>40780</x:v>
      </x:c>
      <x:c r="E4303" s="3" t="str">
        <x:v>Una compra</x:v>
      </x:c>
      <x:c r="F4303" s="13" t="n">
        <x:v>51.56</x:v>
      </x:c>
      <x:c r="G4303" s="13" t="n">
        <x:v>0</x:v>
      </x:c>
      <x:c r="H4303" s="13" t="n">
        <x:f>F4303-G4303</x:f>
        <x:v>51.56</x:v>
      </x:c>
      <x:c r="I4303" s="13" t="n">
        <x:f>IF(C4303=0,"n.a.",F4303/C4303)</x:f>
        <x:v>51.56</x:v>
      </x:c>
      <x:c r="J4303" s="3"/>
      <x:c r="K4303" s="3"/>
      <x:c r="L4303" s="3"/>
    </x:row>
    <x:row r="4304" ht="22" customHeight="1">
      <x:c r="A4304" s="3"/>
      <x:c r="B4304" s="3" t="str">
        <x:v>14351</x:v>
      </x:c>
      <x:c r="C4304" s="3" t="n">
        <x:v>1</x:v>
      </x:c>
      <x:c r="D4304" s="51" t="n">
        <x:v>40722</x:v>
      </x:c>
      <x:c r="E4304" s="3" t="str">
        <x:v>Una compra</x:v>
      </x:c>
      <x:c r="F4304" s="13" t="n">
        <x:v>51</x:v>
      </x:c>
      <x:c r="G4304" s="13" t="n">
        <x:v>0</x:v>
      </x:c>
      <x:c r="H4304" s="13" t="n">
        <x:f>F4304-G4304</x:f>
        <x:v>51</x:v>
      </x:c>
      <x:c r="I4304" s="13" t="n">
        <x:f>IF(C4304=0,"n.a.",F4304/C4304)</x:f>
        <x:v>51</x:v>
      </x:c>
      <x:c r="J4304" s="3"/>
      <x:c r="K4304" s="3"/>
      <x:c r="L4304" s="3"/>
    </x:row>
    <x:row r="4305" ht="22" customHeight="1">
      <x:c r="A4305" s="3"/>
      <x:c r="B4305" s="3" t="str">
        <x:v>13011</x:v>
      </x:c>
      <x:c r="C4305" s="3" t="n">
        <x:v>1</x:v>
      </x:c>
      <x:c r="D4305" s="51" t="n">
        <x:v>40514</x:v>
      </x:c>
      <x:c r="E4305" s="3" t="str">
        <x:v>Una compra</x:v>
      </x:c>
      <x:c r="F4305" s="13" t="n">
        <x:v>50.55</x:v>
      </x:c>
      <x:c r="G4305" s="13" t="n">
        <x:v>0</x:v>
      </x:c>
      <x:c r="H4305" s="13" t="n">
        <x:f>F4305-G4305</x:f>
        <x:v>50.55</x:v>
      </x:c>
      <x:c r="I4305" s="13" t="n">
        <x:f>IF(C4305=0,"n.a.",F4305/C4305)</x:f>
        <x:v>50.55</x:v>
      </x:c>
      <x:c r="J4305" s="3"/>
      <x:c r="K4305" s="3"/>
      <x:c r="L4305" s="3"/>
    </x:row>
    <x:row r="4306" ht="22" customHeight="1">
      <x:c r="A4306" s="3"/>
      <x:c r="B4306" s="3" t="str">
        <x:v>18184</x:v>
      </x:c>
      <x:c r="C4306" s="3" t="n">
        <x:v>1</x:v>
      </x:c>
      <x:c r="D4306" s="51" t="n">
        <x:v>40871</x:v>
      </x:c>
      <x:c r="E4306" s="3" t="str">
        <x:v>Una compra</x:v>
      </x:c>
      <x:c r="F4306" s="13" t="n">
        <x:v>49.8</x:v>
      </x:c>
      <x:c r="G4306" s="13" t="n">
        <x:v>0</x:v>
      </x:c>
      <x:c r="H4306" s="13" t="n">
        <x:f>F4306-G4306</x:f>
        <x:v>49.8</x:v>
      </x:c>
      <x:c r="I4306" s="13" t="n">
        <x:f>IF(C4306=0,"n.a.",F4306/C4306)</x:f>
        <x:v>49.8</x:v>
      </x:c>
      <x:c r="J4306" s="3"/>
      <x:c r="K4306" s="3"/>
      <x:c r="L4306" s="3"/>
    </x:row>
    <x:row r="4307" ht="22" customHeight="1">
      <x:c r="A4307" s="3"/>
      <x:c r="B4307" s="3" t="str">
        <x:v>14821</x:v>
      </x:c>
      <x:c r="C4307" s="3" t="n">
        <x:v>1</x:v>
      </x:c>
      <x:c r="D4307" s="51" t="n">
        <x:v>40520</x:v>
      </x:c>
      <x:c r="E4307" s="3" t="str">
        <x:v>Una compra</x:v>
      </x:c>
      <x:c r="F4307" s="13" t="n">
        <x:v>48.8</x:v>
      </x:c>
      <x:c r="G4307" s="13" t="n">
        <x:v>0</x:v>
      </x:c>
      <x:c r="H4307" s="13" t="n">
        <x:f>F4307-G4307</x:f>
        <x:v>48.8</x:v>
      </x:c>
      <x:c r="I4307" s="13" t="n">
        <x:f>IF(C4307=0,"n.a.",F4307/C4307)</x:f>
        <x:v>48.8</x:v>
      </x:c>
      <x:c r="J4307" s="3"/>
      <x:c r="K4307" s="3"/>
      <x:c r="L4307" s="3"/>
    </x:row>
    <x:row r="4308" ht="22" customHeight="1">
      <x:c r="A4308" s="3"/>
      <x:c r="B4308" s="3" t="str">
        <x:v>15603</x:v>
      </x:c>
      <x:c r="C4308" s="3" t="n">
        <x:v>1</x:v>
      </x:c>
      <x:c r="D4308" s="51" t="n">
        <x:v>40808</x:v>
      </x:c>
      <x:c r="E4308" s="3" t="str">
        <x:v>Una compra</x:v>
      </x:c>
      <x:c r="F4308" s="13" t="n">
        <x:v>48.48</x:v>
      </x:c>
      <x:c r="G4308" s="13" t="n">
        <x:v>0</x:v>
      </x:c>
      <x:c r="H4308" s="13" t="n">
        <x:f>F4308-G4308</x:f>
        <x:v>48.48</x:v>
      </x:c>
      <x:c r="I4308" s="13" t="n">
        <x:f>IF(C4308=0,"n.a.",F4308/C4308)</x:f>
        <x:v>48.48</x:v>
      </x:c>
      <x:c r="J4308" s="3"/>
      <x:c r="K4308" s="3"/>
      <x:c r="L4308" s="3"/>
    </x:row>
    <x:row r="4309" ht="22" customHeight="1">
      <x:c r="A4309" s="3"/>
      <x:c r="B4309" s="3" t="str">
        <x:v>14080</x:v>
      </x:c>
      <x:c r="C4309" s="3" t="n">
        <x:v>1</x:v>
      </x:c>
      <x:c r="D4309" s="51" t="n">
        <x:v>40854</x:v>
      </x:c>
      <x:c r="E4309" s="3" t="str">
        <x:v>Una compra</x:v>
      </x:c>
      <x:c r="F4309" s="13" t="n">
        <x:v>45.6</x:v>
      </x:c>
      <x:c r="G4309" s="13" t="n">
        <x:v>0</x:v>
      </x:c>
      <x:c r="H4309" s="13" t="n">
        <x:f>F4309-G4309</x:f>
        <x:v>45.6</x:v>
      </x:c>
      <x:c r="I4309" s="13" t="n">
        <x:f>IF(C4309=0,"n.a.",F4309/C4309)</x:f>
        <x:v>45.6</x:v>
      </x:c>
      <x:c r="J4309" s="3"/>
      <x:c r="K4309" s="3"/>
      <x:c r="L4309" s="3"/>
    </x:row>
    <x:row r="4310" ht="22" customHeight="1">
      <x:c r="A4310" s="3"/>
      <x:c r="B4310" s="3" t="str">
        <x:v>12665</x:v>
      </x:c>
      <x:c r="C4310" s="3" t="n">
        <x:v>1</x:v>
      </x:c>
      <x:c r="D4310" s="51" t="n">
        <x:v>40562</x:v>
      </x:c>
      <x:c r="E4310" s="3" t="str">
        <x:v>Una compra</x:v>
      </x:c>
      <x:c r="F4310" s="13" t="n">
        <x:v>45</x:v>
      </x:c>
      <x:c r="G4310" s="13" t="n">
        <x:v>1.25</x:v>
      </x:c>
      <x:c r="H4310" s="13" t="n">
        <x:f>F4310-G4310</x:f>
        <x:v>43.75</x:v>
      </x:c>
      <x:c r="I4310" s="13" t="n">
        <x:f>IF(C4310=0,"n.a.",F4310/C4310)</x:f>
        <x:v>45</x:v>
      </x:c>
      <x:c r="J4310" s="3"/>
      <x:c r="K4310" s="3"/>
      <x:c r="L4310" s="3"/>
    </x:row>
    <x:row r="4311" ht="22" customHeight="1">
      <x:c r="A4311" s="3"/>
      <x:c r="B4311" s="3" t="str">
        <x:v>15423</x:v>
      </x:c>
      <x:c r="C4311" s="3" t="n">
        <x:v>1</x:v>
      </x:c>
      <x:c r="D4311" s="51" t="n">
        <x:v>40848</x:v>
      </x:c>
      <x:c r="E4311" s="3" t="str">
        <x:v>Una compra</x:v>
      </x:c>
      <x:c r="F4311" s="13" t="n">
        <x:v>43.5</x:v>
      </x:c>
      <x:c r="G4311" s="13" t="n">
        <x:v>0</x:v>
      </x:c>
      <x:c r="H4311" s="13" t="n">
        <x:f>F4311-G4311</x:f>
        <x:v>43.5</x:v>
      </x:c>
      <x:c r="I4311" s="13" t="n">
        <x:f>IF(C4311=0,"n.a.",F4311/C4311)</x:f>
        <x:v>43.5</x:v>
      </x:c>
      <x:c r="J4311" s="3"/>
      <x:c r="K4311" s="3"/>
      <x:c r="L4311" s="3"/>
    </x:row>
    <x:row r="4312" ht="22" customHeight="1">
      <x:c r="A4312" s="3"/>
      <x:c r="B4312" s="3" t="str">
        <x:v>14300</x:v>
      </x:c>
      <x:c r="C4312" s="3" t="n">
        <x:v>1</x:v>
      </x:c>
      <x:c r="D4312" s="51" t="n">
        <x:v>40868</x:v>
      </x:c>
      <x:c r="E4312" s="3" t="str">
        <x:v>Una compra</x:v>
      </x:c>
      <x:c r="F4312" s="13" t="n">
        <x:v>43.2</x:v>
      </x:c>
      <x:c r="G4312" s="13" t="n">
        <x:v>0</x:v>
      </x:c>
      <x:c r="H4312" s="13" t="n">
        <x:f>F4312-G4312</x:f>
        <x:v>43.2</x:v>
      </x:c>
      <x:c r="I4312" s="13" t="n">
        <x:f>IF(C4312=0,"n.a.",F4312/C4312)</x:f>
        <x:v>43.2</x:v>
      </x:c>
      <x:c r="J4312" s="3"/>
      <x:c r="K4312" s="3"/>
      <x:c r="L4312" s="3"/>
    </x:row>
    <x:row r="4313" ht="22" customHeight="1">
      <x:c r="A4313" s="3"/>
      <x:c r="B4313" s="3" t="str">
        <x:v>15992</x:v>
      </x:c>
      <x:c r="C4313" s="3" t="n">
        <x:v>1</x:v>
      </x:c>
      <x:c r="D4313" s="51" t="n">
        <x:v>40883</x:v>
      </x:c>
      <x:c r="E4313" s="3" t="str">
        <x:v>Una compra</x:v>
      </x:c>
      <x:c r="F4313" s="13" t="n">
        <x:v>41.99</x:v>
      </x:c>
      <x:c r="G4313" s="13" t="n">
        <x:v>0</x:v>
      </x:c>
      <x:c r="H4313" s="13" t="n">
        <x:f>F4313-G4313</x:f>
        <x:v>41.99</x:v>
      </x:c>
      <x:c r="I4313" s="13" t="n">
        <x:f>IF(C4313=0,"n.a.",F4313/C4313)</x:f>
        <x:v>41.99</x:v>
      </x:c>
      <x:c r="J4313" s="3"/>
      <x:c r="K4313" s="3"/>
      <x:c r="L4313" s="3"/>
    </x:row>
    <x:row r="4314" ht="22" customHeight="1">
      <x:c r="A4314" s="3"/>
      <x:c r="B4314" s="3" t="str">
        <x:v>13832</x:v>
      </x:c>
      <x:c r="C4314" s="3" t="n">
        <x:v>1</x:v>
      </x:c>
      <x:c r="D4314" s="51" t="n">
        <x:v>40867</x:v>
      </x:c>
      <x:c r="E4314" s="3" t="str">
        <x:v>Una compra</x:v>
      </x:c>
      <x:c r="F4314" s="13" t="n">
        <x:v>52.2</x:v>
      </x:c>
      <x:c r="G4314" s="13" t="n">
        <x:v>11.25</x:v>
      </x:c>
      <x:c r="H4314" s="13" t="n">
        <x:f>F4314-G4314</x:f>
        <x:v>40.95</x:v>
      </x:c>
      <x:c r="I4314" s="13" t="n">
        <x:f>IF(C4314=0,"n.a.",F4314/C4314)</x:f>
        <x:v>52.2</x:v>
      </x:c>
      <x:c r="J4314" s="3"/>
      <x:c r="K4314" s="3"/>
      <x:c r="L4314" s="3"/>
    </x:row>
    <x:row r="4315" ht="22" customHeight="1">
      <x:c r="A4315" s="3"/>
      <x:c r="B4315" s="3" t="str">
        <x:v>15178</x:v>
      </x:c>
      <x:c r="C4315" s="3" t="n">
        <x:v>1</x:v>
      </x:c>
      <x:c r="D4315" s="51" t="n">
        <x:v>40626</x:v>
      </x:c>
      <x:c r="E4315" s="3" t="str">
        <x:v>Una compra</x:v>
      </x:c>
      <x:c r="F4315" s="13" t="n">
        <x:v>40.5</x:v>
      </x:c>
      <x:c r="G4315" s="13" t="n">
        <x:v>0</x:v>
      </x:c>
      <x:c r="H4315" s="13" t="n">
        <x:f>F4315-G4315</x:f>
        <x:v>40.5</x:v>
      </x:c>
      <x:c r="I4315" s="13" t="n">
        <x:f>IF(C4315=0,"n.a.",F4315/C4315)</x:f>
        <x:v>40.5</x:v>
      </x:c>
      <x:c r="J4315" s="3"/>
      <x:c r="K4315" s="3"/>
      <x:c r="L4315" s="3"/>
    </x:row>
    <x:row r="4316" ht="22" customHeight="1">
      <x:c r="A4316" s="3"/>
      <x:c r="B4316" s="3" t="str">
        <x:v>14589</x:v>
      </x:c>
      <x:c r="C4316" s="3" t="n">
        <x:v>1</x:v>
      </x:c>
      <x:c r="D4316" s="51" t="n">
        <x:v>40515</x:v>
      </x:c>
      <x:c r="E4316" s="3" t="str">
        <x:v>Una compra</x:v>
      </x:c>
      <x:c r="F4316" s="13" t="n">
        <x:v>39.75</x:v>
      </x:c>
      <x:c r="G4316" s="13" t="n">
        <x:v>0</x:v>
      </x:c>
      <x:c r="H4316" s="13" t="n">
        <x:f>F4316-G4316</x:f>
        <x:v>39.75</x:v>
      </x:c>
      <x:c r="I4316" s="13" t="n">
        <x:f>IF(C4316=0,"n.a.",F4316/C4316)</x:f>
        <x:v>39.75</x:v>
      </x:c>
      <x:c r="J4316" s="3"/>
      <x:c r="K4316" s="3"/>
      <x:c r="L4316" s="3"/>
    </x:row>
    <x:row r="4317" ht="22" customHeight="1">
      <x:c r="A4317" s="3"/>
      <x:c r="B4317" s="3" t="str">
        <x:v>12977</x:v>
      </x:c>
      <x:c r="C4317" s="3" t="n">
        <x:v>1</x:v>
      </x:c>
      <x:c r="D4317" s="51" t="n">
        <x:v>40730</x:v>
      </x:c>
      <x:c r="E4317" s="3" t="str">
        <x:v>Una compra</x:v>
      </x:c>
      <x:c r="F4317" s="13" t="n">
        <x:v>39.24</x:v>
      </x:c>
      <x:c r="G4317" s="13" t="n">
        <x:v>0</x:v>
      </x:c>
      <x:c r="H4317" s="13" t="n">
        <x:f>F4317-G4317</x:f>
        <x:v>39.24</x:v>
      </x:c>
      <x:c r="I4317" s="13" t="n">
        <x:f>IF(C4317=0,"n.a.",F4317/C4317)</x:f>
        <x:v>39.24</x:v>
      </x:c>
      <x:c r="J4317" s="3"/>
      <x:c r="K4317" s="3"/>
      <x:c r="L4317" s="3"/>
    </x:row>
    <x:row r="4318" ht="22" customHeight="1">
      <x:c r="A4318" s="3"/>
      <x:c r="B4318" s="3" t="str">
        <x:v>16659</x:v>
      </x:c>
      <x:c r="C4318" s="3" t="n">
        <x:v>1</x:v>
      </x:c>
      <x:c r="D4318" s="51" t="n">
        <x:v>40697</x:v>
      </x:c>
      <x:c r="E4318" s="3" t="str">
        <x:v>Una compra</x:v>
      </x:c>
      <x:c r="F4318" s="13" t="n">
        <x:v>39.12</x:v>
      </x:c>
      <x:c r="G4318" s="13" t="n">
        <x:v>0</x:v>
      </x:c>
      <x:c r="H4318" s="13" t="n">
        <x:f>F4318-G4318</x:f>
        <x:v>39.12</x:v>
      </x:c>
      <x:c r="I4318" s="13" t="n">
        <x:f>IF(C4318=0,"n.a.",F4318/C4318)</x:f>
        <x:v>39.12</x:v>
      </x:c>
      <x:c r="J4318" s="3"/>
      <x:c r="K4318" s="3"/>
      <x:c r="L4318" s="3"/>
    </x:row>
    <x:row r="4319" ht="22" customHeight="1">
      <x:c r="A4319" s="3"/>
      <x:c r="B4319" s="3" t="str">
        <x:v>18019</x:v>
      </x:c>
      <x:c r="C4319" s="3" t="n">
        <x:v>1</x:v>
      </x:c>
      <x:c r="D4319" s="51" t="n">
        <x:v>40835</x:v>
      </x:c>
      <x:c r="E4319" s="3" t="str">
        <x:v>Una compra</x:v>
      </x:c>
      <x:c r="F4319" s="13" t="n">
        <x:v>38.45</x:v>
      </x:c>
      <x:c r="G4319" s="13" t="n">
        <x:v>0</x:v>
      </x:c>
      <x:c r="H4319" s="13" t="n">
        <x:f>F4319-G4319</x:f>
        <x:v>38.45</x:v>
      </x:c>
      <x:c r="I4319" s="13" t="n">
        <x:f>IF(C4319=0,"n.a.",F4319/C4319)</x:f>
        <x:v>38.45</x:v>
      </x:c>
      <x:c r="J4319" s="3"/>
      <x:c r="K4319" s="3"/>
      <x:c r="L4319" s="3"/>
    </x:row>
    <x:row r="4320" ht="22" customHeight="1">
      <x:c r="A4320" s="3"/>
      <x:c r="B4320" s="3" t="str">
        <x:v>12855</x:v>
      </x:c>
      <x:c r="C4320" s="3" t="n">
        <x:v>1</x:v>
      </x:c>
      <x:c r="D4320" s="51" t="n">
        <x:v>40514</x:v>
      </x:c>
      <x:c r="E4320" s="3" t="str">
        <x:v>Una compra</x:v>
      </x:c>
      <x:c r="F4320" s="13" t="n">
        <x:v>38.1</x:v>
      </x:c>
      <x:c r="G4320" s="13" t="n">
        <x:v>0</x:v>
      </x:c>
      <x:c r="H4320" s="13" t="n">
        <x:f>F4320-G4320</x:f>
        <x:v>38.1</x:v>
      </x:c>
      <x:c r="I4320" s="13" t="n">
        <x:f>IF(C4320=0,"n.a.",F4320/C4320)</x:f>
        <x:v>38.1</x:v>
      </x:c>
      <x:c r="J4320" s="3"/>
      <x:c r="K4320" s="3"/>
      <x:c r="L4320" s="3"/>
    </x:row>
    <x:row r="4321" ht="22" customHeight="1">
      <x:c r="A4321" s="3"/>
      <x:c r="B4321" s="3" t="str">
        <x:v>16162</x:v>
      </x:c>
      <x:c r="C4321" s="3" t="n">
        <x:v>1</x:v>
      </x:c>
      <x:c r="D4321" s="51" t="n">
        <x:v>40634</x:v>
      </x:c>
      <x:c r="E4321" s="3" t="str">
        <x:v>Una compra</x:v>
      </x:c>
      <x:c r="F4321" s="13" t="n">
        <x:v>37.4</x:v>
      </x:c>
      <x:c r="G4321" s="13" t="n">
        <x:v>0</x:v>
      </x:c>
      <x:c r="H4321" s="13" t="n">
        <x:f>F4321-G4321</x:f>
        <x:v>37.4</x:v>
      </x:c>
      <x:c r="I4321" s="13" t="n">
        <x:f>IF(C4321=0,"n.a.",F4321/C4321)</x:f>
        <x:v>37.4</x:v>
      </x:c>
      <x:c r="J4321" s="3"/>
      <x:c r="K4321" s="3"/>
      <x:c r="L4321" s="3"/>
    </x:row>
    <x:row r="4322" ht="22" customHeight="1">
      <x:c r="A4322" s="3"/>
      <x:c r="B4322" s="3" t="str">
        <x:v>17816</x:v>
      </x:c>
      <x:c r="C4322" s="3" t="n">
        <x:v>4</x:v>
      </x:c>
      <x:c r="D4322" s="51" t="n">
        <x:v>40850</x:v>
      </x:c>
      <x:c r="E4322" s="3" t="str">
        <x:v>Recurrente</x:v>
      </x:c>
      <x:c r="F4322" s="13" t="n">
        <x:v>36.56</x:v>
      </x:c>
      <x:c r="G4322" s="13" t="n">
        <x:v>0</x:v>
      </x:c>
      <x:c r="H4322" s="13" t="n">
        <x:f>F4322-G4322</x:f>
        <x:v>36.56</x:v>
      </x:c>
      <x:c r="I4322" s="13" t="n">
        <x:f>IF(C4322=0,"n.a.",F4322/C4322)</x:f>
        <x:v>9.14</x:v>
      </x:c>
      <x:c r="J4322" s="3"/>
      <x:c r="K4322" s="3"/>
      <x:c r="L4322" s="3"/>
    </x:row>
    <x:row r="4323" ht="22" customHeight="1">
      <x:c r="A4323" s="3"/>
      <x:c r="B4323" s="3" t="str">
        <x:v>15940</x:v>
      </x:c>
      <x:c r="C4323" s="3" t="n">
        <x:v>1</x:v>
      </x:c>
      <x:c r="D4323" s="51" t="n">
        <x:v>40575</x:v>
      </x:c>
      <x:c r="E4323" s="3" t="str">
        <x:v>Una compra</x:v>
      </x:c>
      <x:c r="F4323" s="13" t="n">
        <x:v>35.8</x:v>
      </x:c>
      <x:c r="G4323" s="13" t="n">
        <x:v>0</x:v>
      </x:c>
      <x:c r="H4323" s="13" t="n">
        <x:f>F4323-G4323</x:f>
        <x:v>35.8</x:v>
      </x:c>
      <x:c r="I4323" s="13" t="n">
        <x:f>IF(C4323=0,"n.a.",F4323/C4323)</x:f>
        <x:v>35.8</x:v>
      </x:c>
      <x:c r="J4323" s="3"/>
      <x:c r="K4323" s="3"/>
      <x:c r="L4323" s="3"/>
    </x:row>
    <x:row r="4324" ht="22" customHeight="1">
      <x:c r="A4324" s="3"/>
      <x:c r="B4324" s="3" t="str">
        <x:v>14576</x:v>
      </x:c>
      <x:c r="C4324" s="3" t="n">
        <x:v>1</x:v>
      </x:c>
      <x:c r="D4324" s="51" t="n">
        <x:v>40514</x:v>
      </x:c>
      <x:c r="E4324" s="3" t="str">
        <x:v>Una compra</x:v>
      </x:c>
      <x:c r="F4324" s="13" t="n">
        <x:v>35.4</x:v>
      </x:c>
      <x:c r="G4324" s="13" t="n">
        <x:v>0</x:v>
      </x:c>
      <x:c r="H4324" s="13" t="n">
        <x:f>F4324-G4324</x:f>
        <x:v>35.4</x:v>
      </x:c>
      <x:c r="I4324" s="13" t="n">
        <x:f>IF(C4324=0,"n.a.",F4324/C4324)</x:f>
        <x:v>35.4</x:v>
      </x:c>
      <x:c r="J4324" s="3"/>
      <x:c r="K4324" s="3"/>
      <x:c r="L4324" s="3"/>
    </x:row>
    <x:row r="4325" ht="22" customHeight="1">
      <x:c r="A4325" s="3"/>
      <x:c r="B4325" s="3" t="str">
        <x:v>16856</x:v>
      </x:c>
      <x:c r="C4325" s="3" t="n">
        <x:v>1</x:v>
      </x:c>
      <x:c r="D4325" s="51" t="n">
        <x:v>40872</x:v>
      </x:c>
      <x:c r="E4325" s="3" t="str">
        <x:v>Una compra</x:v>
      </x:c>
      <x:c r="F4325" s="13" t="n">
        <x:v>35.4</x:v>
      </x:c>
      <x:c r="G4325" s="13" t="n">
        <x:v>0</x:v>
      </x:c>
      <x:c r="H4325" s="13" t="n">
        <x:f>F4325-G4325</x:f>
        <x:v>35.4</x:v>
      </x:c>
      <x:c r="I4325" s="13" t="n">
        <x:f>IF(C4325=0,"n.a.",F4325/C4325)</x:f>
        <x:v>35.4</x:v>
      </x:c>
      <x:c r="J4325" s="3"/>
      <x:c r="K4325" s="3"/>
      <x:c r="L4325" s="3"/>
    </x:row>
    <x:row r="4326" ht="22" customHeight="1">
      <x:c r="A4326" s="3"/>
      <x:c r="B4326" s="3" t="str">
        <x:v>17831</x:v>
      </x:c>
      <x:c r="C4326" s="3" t="n">
        <x:v>1</x:v>
      </x:c>
      <x:c r="D4326" s="51" t="n">
        <x:v>40853</x:v>
      </x:c>
      <x:c r="E4326" s="3" t="str">
        <x:v>Una compra</x:v>
      </x:c>
      <x:c r="F4326" s="13" t="n">
        <x:v>35.4</x:v>
      </x:c>
      <x:c r="G4326" s="13" t="n">
        <x:v>0</x:v>
      </x:c>
      <x:c r="H4326" s="13" t="n">
        <x:f>F4326-G4326</x:f>
        <x:v>35.4</x:v>
      </x:c>
      <x:c r="I4326" s="13" t="n">
        <x:f>IF(C4326=0,"n.a.",F4326/C4326)</x:f>
        <x:v>35.4</x:v>
      </x:c>
      <x:c r="J4326" s="3"/>
      <x:c r="K4326" s="3"/>
      <x:c r="L4326" s="3"/>
    </x:row>
    <x:row r="4327" ht="22" customHeight="1">
      <x:c r="A4327" s="3"/>
      <x:c r="B4327" s="3" t="str">
        <x:v>15744</x:v>
      </x:c>
      <x:c r="C4327" s="3" t="n">
        <x:v>1</x:v>
      </x:c>
      <x:c r="D4327" s="51" t="n">
        <x:v>40809</x:v>
      </x:c>
      <x:c r="E4327" s="3" t="str">
        <x:v>Una compra</x:v>
      </x:c>
      <x:c r="F4327" s="13" t="n">
        <x:v>34.8</x:v>
      </x:c>
      <x:c r="G4327" s="13" t="n">
        <x:v>0</x:v>
      </x:c>
      <x:c r="H4327" s="13" t="n">
        <x:f>F4327-G4327</x:f>
        <x:v>34.8</x:v>
      </x:c>
      <x:c r="I4327" s="13" t="n">
        <x:f>IF(C4327=0,"n.a.",F4327/C4327)</x:f>
        <x:v>34.8</x:v>
      </x:c>
      <x:c r="J4327" s="3"/>
      <x:c r="K4327" s="3"/>
      <x:c r="L4327" s="3"/>
    </x:row>
    <x:row r="4328" ht="22" customHeight="1">
      <x:c r="A4328" s="3"/>
      <x:c r="B4328" s="3" t="str">
        <x:v>16765</x:v>
      </x:c>
      <x:c r="C4328" s="3" t="n">
        <x:v>1</x:v>
      </x:c>
      <x:c r="D4328" s="51" t="n">
        <x:v>40592</x:v>
      </x:c>
      <x:c r="E4328" s="3" t="str">
        <x:v>Una compra</x:v>
      </x:c>
      <x:c r="F4328" s="13" t="n">
        <x:v>34</x:v>
      </x:c>
      <x:c r="G4328" s="13" t="n">
        <x:v>0</x:v>
      </x:c>
      <x:c r="H4328" s="13" t="n">
        <x:f>F4328-G4328</x:f>
        <x:v>34</x:v>
      </x:c>
      <x:c r="I4328" s="13" t="n">
        <x:f>IF(C4328=0,"n.a.",F4328/C4328)</x:f>
        <x:v>34</x:v>
      </x:c>
      <x:c r="J4328" s="3"/>
      <x:c r="K4328" s="3"/>
      <x:c r="L4328" s="3"/>
    </x:row>
    <x:row r="4329" ht="22" customHeight="1">
      <x:c r="A4329" s="3"/>
      <x:c r="B4329" s="3" t="str">
        <x:v>17408</x:v>
      </x:c>
      <x:c r="C4329" s="3" t="n">
        <x:v>1</x:v>
      </x:c>
      <x:c r="D4329" s="51" t="n">
        <x:v>40723</x:v>
      </x:c>
      <x:c r="E4329" s="3" t="str">
        <x:v>Una compra</x:v>
      </x:c>
      <x:c r="F4329" s="13" t="n">
        <x:v>32.65</x:v>
      </x:c>
      <x:c r="G4329" s="13" t="n">
        <x:v>0</x:v>
      </x:c>
      <x:c r="H4329" s="13" t="n">
        <x:f>F4329-G4329</x:f>
        <x:v>32.65</x:v>
      </x:c>
      <x:c r="I4329" s="13" t="n">
        <x:f>IF(C4329=0,"n.a.",F4329/C4329)</x:f>
        <x:v>32.65</x:v>
      </x:c>
      <x:c r="J4329" s="3"/>
      <x:c r="K4329" s="3"/>
      <x:c r="L4329" s="3"/>
    </x:row>
    <x:row r="4330" ht="22" customHeight="1">
      <x:c r="A4330" s="3"/>
      <x:c r="B4330" s="3" t="str">
        <x:v>13120</x:v>
      </x:c>
      <x:c r="C4330" s="3" t="n">
        <x:v>1</x:v>
      </x:c>
      <x:c r="D4330" s="51" t="n">
        <x:v>40648</x:v>
      </x:c>
      <x:c r="E4330" s="3" t="str">
        <x:v>Una compra</x:v>
      </x:c>
      <x:c r="F4330" s="13" t="n">
        <x:v>30.6</x:v>
      </x:c>
      <x:c r="G4330" s="13" t="n">
        <x:v>0</x:v>
      </x:c>
      <x:c r="H4330" s="13" t="n">
        <x:f>F4330-G4330</x:f>
        <x:v>30.6</x:v>
      </x:c>
      <x:c r="I4330" s="13" t="n">
        <x:f>IF(C4330=0,"n.a.",F4330/C4330)</x:f>
        <x:v>30.6</x:v>
      </x:c>
      <x:c r="J4330" s="3"/>
      <x:c r="K4330" s="3"/>
      <x:c r="L4330" s="3"/>
    </x:row>
    <x:row r="4331" ht="22" customHeight="1">
      <x:c r="A4331" s="3"/>
      <x:c r="B4331" s="3" t="str">
        <x:v>15657</x:v>
      </x:c>
      <x:c r="C4331" s="3" t="n">
        <x:v>1</x:v>
      </x:c>
      <x:c r="D4331" s="51" t="n">
        <x:v>40864</x:v>
      </x:c>
      <x:c r="E4331" s="3" t="str">
        <x:v>Una compra</x:v>
      </x:c>
      <x:c r="F4331" s="13" t="n">
        <x:v>30</x:v>
      </x:c>
      <x:c r="G4331" s="13" t="n">
        <x:v>0</x:v>
      </x:c>
      <x:c r="H4331" s="13" t="n">
        <x:f>F4331-G4331</x:f>
        <x:v>30</x:v>
      </x:c>
      <x:c r="I4331" s="13" t="n">
        <x:f>IF(C4331=0,"n.a.",F4331/C4331)</x:f>
        <x:v>30</x:v>
      </x:c>
      <x:c r="J4331" s="3"/>
      <x:c r="K4331" s="3"/>
      <x:c r="L4331" s="3"/>
    </x:row>
    <x:row r="4332" ht="22" customHeight="1">
      <x:c r="A4332" s="3"/>
      <x:c r="B4332" s="3" t="str">
        <x:v>17102</x:v>
      </x:c>
      <x:c r="C4332" s="3" t="n">
        <x:v>1</x:v>
      </x:c>
      <x:c r="D4332" s="51" t="n">
        <x:v>40625</x:v>
      </x:c>
      <x:c r="E4332" s="3" t="str">
        <x:v>Una compra</x:v>
      </x:c>
      <x:c r="F4332" s="13" t="n">
        <x:v>25.5</x:v>
      </x:c>
      <x:c r="G4332" s="13" t="n">
        <x:v>0</x:v>
      </x:c>
      <x:c r="H4332" s="13" t="n">
        <x:f>F4332-G4332</x:f>
        <x:v>25.5</x:v>
      </x:c>
      <x:c r="I4332" s="13" t="n">
        <x:f>IF(C4332=0,"n.a.",F4332/C4332)</x:f>
        <x:v>25.5</x:v>
      </x:c>
      <x:c r="J4332" s="3"/>
      <x:c r="K4332" s="3"/>
      <x:c r="L4332" s="3"/>
    </x:row>
    <x:row r="4333" ht="22" customHeight="1">
      <x:c r="A4333" s="3"/>
      <x:c r="B4333" s="3" t="str">
        <x:v>16257</x:v>
      </x:c>
      <x:c r="C4333" s="3" t="n">
        <x:v>1</x:v>
      </x:c>
      <x:c r="D4333" s="51" t="n">
        <x:v>40710</x:v>
      </x:c>
      <x:c r="E4333" s="3" t="str">
        <x:v>Una compra</x:v>
      </x:c>
      <x:c r="F4333" s="13" t="n">
        <x:v>21.95</x:v>
      </x:c>
      <x:c r="G4333" s="13" t="n">
        <x:v>0</x:v>
      </x:c>
      <x:c r="H4333" s="13" t="n">
        <x:f>F4333-G4333</x:f>
        <x:v>21.95</x:v>
      </x:c>
      <x:c r="I4333" s="13" t="n">
        <x:f>IF(C4333=0,"n.a.",F4333/C4333)</x:f>
        <x:v>21.95</x:v>
      </x:c>
      <x:c r="J4333" s="3"/>
      <x:c r="K4333" s="3"/>
      <x:c r="L4333" s="3"/>
    </x:row>
    <x:row r="4334" ht="22" customHeight="1">
      <x:c r="A4334" s="3"/>
      <x:c r="B4334" s="3" t="str">
        <x:v>16953</x:v>
      </x:c>
      <x:c r="C4334" s="3" t="n">
        <x:v>1</x:v>
      </x:c>
      <x:c r="D4334" s="51" t="n">
        <x:v>40856</x:v>
      </x:c>
      <x:c r="E4334" s="3" t="str">
        <x:v>Una compra</x:v>
      </x:c>
      <x:c r="F4334" s="13" t="n">
        <x:v>20.8</x:v>
      </x:c>
      <x:c r="G4334" s="13" t="n">
        <x:v>0</x:v>
      </x:c>
      <x:c r="H4334" s="13" t="n">
        <x:f>F4334-G4334</x:f>
        <x:v>20.8</x:v>
      </x:c>
      <x:c r="I4334" s="13" t="n">
        <x:f>IF(C4334=0,"n.a.",F4334/C4334)</x:f>
        <x:v>20.8</x:v>
      </x:c>
      <x:c r="J4334" s="3"/>
      <x:c r="K4334" s="3"/>
      <x:c r="L4334" s="3"/>
    </x:row>
    <x:row r="4335" ht="22" customHeight="1">
      <x:c r="A4335" s="3"/>
      <x:c r="B4335" s="3" t="str">
        <x:v>17986</x:v>
      </x:c>
      <x:c r="C4335" s="3" t="n">
        <x:v>1</x:v>
      </x:c>
      <x:c r="D4335" s="51" t="n">
        <x:v>40830</x:v>
      </x:c>
      <x:c r="E4335" s="3" t="str">
        <x:v>Una compra</x:v>
      </x:c>
      <x:c r="F4335" s="13" t="n">
        <x:v>20.8</x:v>
      </x:c>
      <x:c r="G4335" s="13" t="n">
        <x:v>0</x:v>
      </x:c>
      <x:c r="H4335" s="13" t="n">
        <x:f>F4335-G4335</x:f>
        <x:v>20.8</x:v>
      </x:c>
      <x:c r="I4335" s="13" t="n">
        <x:f>IF(C4335=0,"n.a.",F4335/C4335)</x:f>
        <x:v>20.8</x:v>
      </x:c>
      <x:c r="J4335" s="3"/>
      <x:c r="K4335" s="3"/>
      <x:c r="L4335" s="3"/>
    </x:row>
    <x:row r="4336" ht="22" customHeight="1">
      <x:c r="A4336" s="3"/>
      <x:c r="B4336" s="3" t="str">
        <x:v>16093</x:v>
      </x:c>
      <x:c r="C4336" s="3" t="n">
        <x:v>1</x:v>
      </x:c>
      <x:c r="D4336" s="51" t="n">
        <x:v>40780</x:v>
      </x:c>
      <x:c r="E4336" s="3" t="str">
        <x:v>Una compra</x:v>
      </x:c>
      <x:c r="F4336" s="13" t="n">
        <x:v>17</x:v>
      </x:c>
      <x:c r="G4336" s="13" t="n">
        <x:v>0</x:v>
      </x:c>
      <x:c r="H4336" s="13" t="n">
        <x:f>F4336-G4336</x:f>
        <x:v>17</x:v>
      </x:c>
      <x:c r="I4336" s="13" t="n">
        <x:f>IF(C4336=0,"n.a.",F4336/C4336)</x:f>
        <x:v>17</x:v>
      </x:c>
      <x:c r="J4336" s="3"/>
      <x:c r="K4336" s="3"/>
      <x:c r="L4336" s="3"/>
    </x:row>
    <x:row r="4337" ht="22" customHeight="1">
      <x:c r="A4337" s="3"/>
      <x:c r="B4337" s="3" t="str">
        <x:v>13307</x:v>
      </x:c>
      <x:c r="C4337" s="3" t="n">
        <x:v>1</x:v>
      </x:c>
      <x:c r="D4337" s="51" t="n">
        <x:v>40766</x:v>
      </x:c>
      <x:c r="E4337" s="3" t="str">
        <x:v>Una compra</x:v>
      </x:c>
      <x:c r="F4337" s="13" t="n">
        <x:v>15</x:v>
      </x:c>
      <x:c r="G4337" s="13" t="n">
        <x:v>0</x:v>
      </x:c>
      <x:c r="H4337" s="13" t="n">
        <x:f>F4337-G4337</x:f>
        <x:v>15</x:v>
      </x:c>
      <x:c r="I4337" s="13" t="n">
        <x:f>IF(C4337=0,"n.a.",F4337/C4337)</x:f>
        <x:v>15</x:v>
      </x:c>
      <x:c r="J4337" s="3"/>
      <x:c r="K4337" s="3"/>
      <x:c r="L4337" s="3"/>
    </x:row>
    <x:row r="4338" ht="22" customHeight="1">
      <x:c r="A4338" s="3"/>
      <x:c r="B4338" s="3" t="str">
        <x:v>17763</x:v>
      </x:c>
      <x:c r="C4338" s="3" t="n">
        <x:v>1</x:v>
      </x:c>
      <x:c r="D4338" s="51" t="n">
        <x:v>40623</x:v>
      </x:c>
      <x:c r="E4338" s="3" t="str">
        <x:v>Una compra</x:v>
      </x:c>
      <x:c r="F4338" s="13" t="n">
        <x:v>15</x:v>
      </x:c>
      <x:c r="G4338" s="13" t="n">
        <x:v>0</x:v>
      </x:c>
      <x:c r="H4338" s="13" t="n">
        <x:f>F4338-G4338</x:f>
        <x:v>15</x:v>
      </x:c>
      <x:c r="I4338" s="13" t="n">
        <x:f>IF(C4338=0,"n.a.",F4338/C4338)</x:f>
        <x:v>15</x:v>
      </x:c>
      <x:c r="J4338" s="3"/>
      <x:c r="K4338" s="3"/>
      <x:c r="L4338" s="3"/>
    </x:row>
    <x:row r="4339" ht="22" customHeight="1">
      <x:c r="A4339" s="3"/>
      <x:c r="B4339" s="3" t="str">
        <x:v>17900</x:v>
      </x:c>
      <x:c r="C4339" s="3" t="n">
        <x:v>2</x:v>
      </x:c>
      <x:c r="D4339" s="51" t="n">
        <x:v>40696</x:v>
      </x:c>
      <x:c r="E4339" s="3" t="str">
        <x:v>Recurrente</x:v>
      </x:c>
      <x:c r="F4339" s="13" t="n">
        <x:v>112.2</x:v>
      </x:c>
      <x:c r="G4339" s="13" t="n">
        <x:v>97.2</x:v>
      </x:c>
      <x:c r="H4339" s="13" t="n">
        <x:f>F4339-G4339</x:f>
        <x:v>15</x:v>
      </x:c>
      <x:c r="I4339" s="13" t="n">
        <x:f>IF(C4339=0,"n.a.",F4339/C4339)</x:f>
        <x:v>56.1</x:v>
      </x:c>
      <x:c r="J4339" s="3"/>
      <x:c r="K4339" s="3"/>
      <x:c r="L4339" s="3"/>
    </x:row>
    <x:row r="4340" ht="22" customHeight="1">
      <x:c r="A4340" s="3"/>
      <x:c r="B4340" s="3" t="str">
        <x:v>17956</x:v>
      </x:c>
      <x:c r="C4340" s="3" t="n">
        <x:v>1</x:v>
      </x:c>
      <x:c r="D4340" s="51" t="n">
        <x:v>40637</x:v>
      </x:c>
      <x:c r="E4340" s="3" t="str">
        <x:v>Una compra</x:v>
      </x:c>
      <x:c r="F4340" s="13" t="n">
        <x:v>12.75</x:v>
      </x:c>
      <x:c r="G4340" s="13" t="n">
        <x:v>0</x:v>
      </x:c>
      <x:c r="H4340" s="13" t="n">
        <x:f>F4340-G4340</x:f>
        <x:v>12.75</x:v>
      </x:c>
      <x:c r="I4340" s="13" t="n">
        <x:f>IF(C4340=0,"n.a.",F4340/C4340)</x:f>
        <x:v>12.75</x:v>
      </x:c>
      <x:c r="J4340" s="3"/>
      <x:c r="K4340" s="3"/>
      <x:c r="L4340" s="3"/>
    </x:row>
    <x:row r="4341" ht="22" customHeight="1">
      <x:c r="A4341" s="3"/>
      <x:c r="B4341" s="3" t="str">
        <x:v>18072</x:v>
      </x:c>
      <x:c r="C4341" s="3" t="n">
        <x:v>1</x:v>
      </x:c>
      <x:c r="D4341" s="51" t="n">
        <x:v>40701</x:v>
      </x:c>
      <x:c r="E4341" s="3" t="str">
        <x:v>Una compra</x:v>
      </x:c>
      <x:c r="F4341" s="13" t="n">
        <x:v>247.44</x:v>
      </x:c>
      <x:c r="G4341" s="13" t="n">
        <x:v>235.2</x:v>
      </x:c>
      <x:c r="H4341" s="13" t="n">
        <x:f>F4341-G4341</x:f>
        <x:v>12.240000000000009</x:v>
      </x:c>
      <x:c r="I4341" s="13" t="n">
        <x:f>IF(C4341=0,"n.a.",F4341/C4341)</x:f>
        <x:v>247.44</x:v>
      </x:c>
      <x:c r="J4341" s="3"/>
      <x:c r="K4341" s="3"/>
      <x:c r="L4341" s="3"/>
    </x:row>
    <x:row r="4342" ht="22" customHeight="1">
      <x:c r="A4342" s="3"/>
      <x:c r="B4342" s="3" t="str">
        <x:v>16454</x:v>
      </x:c>
      <x:c r="C4342" s="3" t="n">
        <x:v>1</x:v>
      </x:c>
      <x:c r="D4342" s="51" t="n">
        <x:v>40822</x:v>
      </x:c>
      <x:c r="E4342" s="3" t="str">
        <x:v>Una compra</x:v>
      </x:c>
      <x:c r="F4342" s="13" t="n">
        <x:v>5.9</x:v>
      </x:c>
      <x:c r="G4342" s="13" t="n">
        <x:v>0</x:v>
      </x:c>
      <x:c r="H4342" s="13" t="n">
        <x:f>F4342-G4342</x:f>
        <x:v>5.9</x:v>
      </x:c>
      <x:c r="I4342" s="13" t="n">
        <x:f>IF(C4342=0,"n.a.",F4342/C4342)</x:f>
        <x:v>5.9</x:v>
      </x:c>
      <x:c r="J4342" s="3"/>
      <x:c r="K4342" s="3"/>
      <x:c r="L4342" s="3"/>
    </x:row>
    <x:row r="4343" ht="22" customHeight="1">
      <x:c r="A4343" s="3"/>
      <x:c r="B4343" s="3" t="str">
        <x:v>16738</x:v>
      </x:c>
      <x:c r="C4343" s="3" t="n">
        <x:v>1</x:v>
      </x:c>
      <x:c r="D4343" s="51" t="n">
        <x:v>40589</x:v>
      </x:c>
      <x:c r="E4343" s="3" t="str">
        <x:v>Una compra</x:v>
      </x:c>
      <x:c r="F4343" s="13" t="n">
        <x:v>3.75</x:v>
      </x:c>
      <x:c r="G4343" s="13" t="n">
        <x:v>0</x:v>
      </x:c>
      <x:c r="H4343" s="13" t="n">
        <x:f>F4343-G4343</x:f>
        <x:v>3.75</x:v>
      </x:c>
      <x:c r="I4343" s="13" t="n">
        <x:f>IF(C4343=0,"n.a.",F4343/C4343)</x:f>
        <x:v>3.75</x:v>
      </x:c>
      <x:c r="J4343" s="3"/>
      <x:c r="K4343" s="3"/>
      <x:c r="L4343" s="3"/>
    </x:row>
    <x:row r="4344" ht="22" customHeight="1">
      <x:c r="A4344" s="3"/>
      <x:c r="B4344" s="3" t="str">
        <x:v>16446</x:v>
      </x:c>
      <x:c r="C4344" s="3" t="n">
        <x:v>2</x:v>
      </x:c>
      <x:c r="D4344" s="51" t="n">
        <x:v>40886</x:v>
      </x:c>
      <x:c r="E4344" s="3" t="str">
        <x:v>Recurrente</x:v>
      </x:c>
      <x:c r="F4344" s="13" t="n">
        <x:v>168472.5</x:v>
      </x:c>
      <x:c r="G4344" s="13" t="n">
        <x:v>168469.6</x:v>
      </x:c>
      <x:c r="H4344" s="13" t="n">
        <x:f>F4344-G4344</x:f>
        <x:v>2.8999999999941792</x:v>
      </x:c>
      <x:c r="I4344" s="13" t="n">
        <x:f>IF(C4344=0,"n.a.",F4344/C4344)</x:f>
        <x:v>84236.25</x:v>
      </x:c>
      <x:c r="J4344" s="3"/>
      <x:c r="K4344" s="3"/>
      <x:c r="L4344" s="3"/>
    </x:row>
    <x:row r="4345" ht="22" customHeight="1">
      <x:c r="A4345" s="3"/>
      <x:c r="B4345" s="3" t="str">
        <x:v>12346</x:v>
      </x:c>
      <x:c r="C4345" s="3" t="n">
        <x:v>1</x:v>
      </x:c>
      <x:c r="D4345" s="51" t="n">
        <x:v>40561</x:v>
      </x:c>
      <x:c r="E4345" s="3" t="str">
        <x:v>Una compra</x:v>
      </x:c>
      <x:c r="F4345" s="13" t="n">
        <x:v>77183.6</x:v>
      </x:c>
      <x:c r="G4345" s="13" t="n">
        <x:v>77183.6</x:v>
      </x:c>
      <x:c r="H4345" s="13" t="n">
        <x:f>F4345-G4345</x:f>
        <x:v>0</x:v>
      </x:c>
      <x:c r="I4345" s="13" t="n">
        <x:f>IF(C4345=0,"n.a.",F4345/C4345)</x:f>
        <x:v>77183.6</x:v>
      </x:c>
      <x:c r="J4345" s="3"/>
      <x:c r="K4345" s="3"/>
      <x:c r="L4345" s="3"/>
    </x:row>
    <x:row r="4346" ht="22" customHeight="1">
      <x:c r="A4346" s="3"/>
      <x:c r="B4346" s="3" t="str">
        <x:v>12454</x:v>
      </x:c>
      <x:c r="C4346" s="3" t="n">
        <x:v>1</x:v>
      </x:c>
      <x:c r="D4346" s="51" t="n">
        <x:v>40830</x:v>
      </x:c>
      <x:c r="E4346" s="3" t="str">
        <x:v>Una compra</x:v>
      </x:c>
      <x:c r="F4346" s="13" t="n">
        <x:v>3528.34</x:v>
      </x:c>
      <x:c r="G4346" s="13" t="n">
        <x:v>3528.34</x:v>
      </x:c>
      <x:c r="H4346" s="13" t="n">
        <x:f>F4346-G4346</x:f>
        <x:v>0</x:v>
      </x:c>
      <x:c r="I4346" s="13" t="n">
        <x:f>IF(C4346=0,"n.a.",F4346/C4346)</x:f>
        <x:v>3528.34</x:v>
      </x:c>
      <x:c r="J4346" s="3"/>
      <x:c r="K4346" s="3"/>
      <x:c r="L4346" s="3"/>
    </x:row>
    <x:row r="4347" ht="22" customHeight="1">
      <x:c r="A4347" s="3"/>
      <x:c r="B4347" s="3" t="str">
        <x:v>12558</x:v>
      </x:c>
      <x:c r="C4347" s="3" t="n">
        <x:v>1</x:v>
      </x:c>
      <x:c r="D4347" s="51" t="n">
        <x:v>40879</x:v>
      </x:c>
      <x:c r="E4347" s="3" t="str">
        <x:v>Una compra</x:v>
      </x:c>
      <x:c r="F4347" s="13" t="n">
        <x:v>269.96</x:v>
      </x:c>
      <x:c r="G4347" s="13" t="n">
        <x:v>269.96</x:v>
      </x:c>
      <x:c r="H4347" s="13" t="n">
        <x:f>F4347-G4347</x:f>
        <x:v>0</x:v>
      </x:c>
      <x:c r="I4347" s="13" t="n">
        <x:f>IF(C4347=0,"n.a.",F4347/C4347)</x:f>
        <x:v>269.96</x:v>
      </x:c>
      <x:c r="J4347" s="3"/>
      <x:c r="K4347" s="3"/>
      <x:c r="L4347" s="3"/>
    </x:row>
    <x:row r="4348" ht="22" customHeight="1">
      <x:c r="A4348" s="3"/>
      <x:c r="B4348" s="3" t="str">
        <x:v>12607</x:v>
      </x:c>
      <x:c r="C4348" s="3" t="n">
        <x:v>1</x:v>
      </x:c>
      <x:c r="D4348" s="51" t="n">
        <x:v>40826</x:v>
      </x:c>
      <x:c r="E4348" s="3" t="str">
        <x:v>Una compra</x:v>
      </x:c>
      <x:c r="F4348" s="13" t="n">
        <x:v>1579.51</x:v>
      </x:c>
      <x:c r="G4348" s="13" t="n">
        <x:v>1579.51</x:v>
      </x:c>
      <x:c r="H4348" s="13" t="n">
        <x:f>F4348-G4348</x:f>
        <x:v>0</x:v>
      </x:c>
      <x:c r="I4348" s="13" t="n">
        <x:f>IF(C4348=0,"n.a.",F4348/C4348)</x:f>
        <x:v>1579.51</x:v>
      </x:c>
      <x:c r="J4348" s="3"/>
      <x:c r="K4348" s="3"/>
      <x:c r="L4348" s="3"/>
    </x:row>
    <x:row r="4349" ht="22" customHeight="1">
      <x:c r="A4349" s="3"/>
      <x:c r="B4349" s="3" t="str">
        <x:v>13364</x:v>
      </x:c>
      <x:c r="C4349" s="3" t="n">
        <x:v>1</x:v>
      </x:c>
      <x:c r="D4349" s="51" t="n">
        <x:v>40815</x:v>
      </x:c>
      <x:c r="E4349" s="3" t="str">
        <x:v>Una compra</x:v>
      </x:c>
      <x:c r="F4349" s="13" t="n">
        <x:v>134.96</x:v>
      </x:c>
      <x:c r="G4349" s="13" t="n">
        <x:v>134.96</x:v>
      </x:c>
      <x:c r="H4349" s="13" t="n">
        <x:f>F4349-G4349</x:f>
        <x:v>0</x:v>
      </x:c>
      <x:c r="I4349" s="13" t="n">
        <x:f>IF(C4349=0,"n.a.",F4349/C4349)</x:f>
        <x:v>134.96</x:v>
      </x:c>
      <x:c r="J4349" s="3"/>
      <x:c r="K4349" s="3"/>
      <x:c r="L4349" s="3"/>
    </x:row>
    <x:row r="4350" ht="22" customHeight="1">
      <x:c r="A4350" s="3"/>
      <x:c r="B4350" s="3" t="str">
        <x:v>13672</x:v>
      </x:c>
      <x:c r="C4350" s="3" t="n">
        <x:v>2</x:v>
      </x:c>
      <x:c r="D4350" s="51" t="n">
        <x:v>40585</x:v>
      </x:c>
      <x:c r="E4350" s="3" t="str">
        <x:v>Recurrente</x:v>
      </x:c>
      <x:c r="F4350" s="13" t="n">
        <x:v>186.39</x:v>
      </x:c>
      <x:c r="G4350" s="13" t="n">
        <x:v>186.39</x:v>
      </x:c>
      <x:c r="H4350" s="13" t="n">
        <x:f>F4350-G4350</x:f>
        <x:v>0</x:v>
      </x:c>
      <x:c r="I4350" s="13" t="n">
        <x:f>IF(C4350=0,"n.a.",F4350/C4350)</x:f>
        <x:v>93.195</x:v>
      </x:c>
      <x:c r="J4350" s="3"/>
      <x:c r="K4350" s="3"/>
      <x:c r="L4350" s="3"/>
    </x:row>
    <x:row r="4351" ht="22" customHeight="1">
      <x:c r="A4351" s="3"/>
      <x:c r="B4351" s="3" t="str">
        <x:v>13762</x:v>
      </x:c>
      <x:c r="C4351" s="3" t="n">
        <x:v>1</x:v>
      </x:c>
      <x:c r="D4351" s="51" t="n">
        <x:v>40668</x:v>
      </x:c>
      <x:c r="E4351" s="3" t="str">
        <x:v>Una compra</x:v>
      </x:c>
      <x:c r="F4351" s="13" t="n">
        <x:v>306.72</x:v>
      </x:c>
      <x:c r="G4351" s="13" t="n">
        <x:v>306.72</x:v>
      </x:c>
      <x:c r="H4351" s="13" t="n">
        <x:f>F4351-G4351</x:f>
        <x:v>0</x:v>
      </x:c>
      <x:c r="I4351" s="13" t="n">
        <x:f>IF(C4351=0,"n.a.",F4351/C4351)</x:f>
        <x:v>306.72</x:v>
      </x:c>
      <x:c r="J4351" s="3"/>
      <x:c r="K4351" s="3"/>
      <x:c r="L4351" s="3"/>
    </x:row>
    <x:row r="4352" ht="22" customHeight="1">
      <x:c r="A4352" s="3"/>
      <x:c r="B4352" s="3" t="str">
        <x:v>14557</x:v>
      </x:c>
      <x:c r="C4352" s="3" t="n">
        <x:v>1</x:v>
      </x:c>
      <x:c r="D4352" s="51" t="n">
        <x:v>40801</x:v>
      </x:c>
      <x:c r="E4352" s="3" t="str">
        <x:v>Una compra</x:v>
      </x:c>
      <x:c r="F4352" s="13" t="n">
        <x:v>788.38</x:v>
      </x:c>
      <x:c r="G4352" s="13" t="n">
        <x:v>788.38</x:v>
      </x:c>
      <x:c r="H4352" s="13" t="n">
        <x:f>F4352-G4352</x:f>
        <x:v>0</x:v>
      </x:c>
      <x:c r="I4352" s="13" t="n">
        <x:f>IF(C4352=0,"n.a.",F4352/C4352)</x:f>
        <x:v>788.38</x:v>
      </x:c>
      <x:c r="J4352" s="3"/>
      <x:c r="K4352" s="3"/>
      <x:c r="L4352" s="3"/>
    </x:row>
    <x:row r="4353" ht="22" customHeight="1">
      <x:c r="A4353" s="3"/>
      <x:c r="B4353" s="3" t="str">
        <x:v>14792</x:v>
      </x:c>
      <x:c r="C4353" s="3" t="n">
        <x:v>1</x:v>
      </x:c>
      <x:c r="D4353" s="51" t="n">
        <x:v>40823</x:v>
      </x:c>
      <x:c r="E4353" s="3" t="str">
        <x:v>Una compra</x:v>
      </x:c>
      <x:c r="F4353" s="13" t="n">
        <x:v>6.2</x:v>
      </x:c>
      <x:c r="G4353" s="13" t="n">
        <x:v>6.2</x:v>
      </x:c>
      <x:c r="H4353" s="13" t="n">
        <x:f>F4353-G4353</x:f>
        <x:v>0</x:v>
      </x:c>
      <x:c r="I4353" s="13" t="n">
        <x:f>IF(C4353=0,"n.a.",F4353/C4353)</x:f>
        <x:v>6.2</x:v>
      </x:c>
      <x:c r="J4353" s="3"/>
      <x:c r="K4353" s="3"/>
      <x:c r="L4353" s="3"/>
    </x:row>
    <x:row r="4354" ht="22" customHeight="1">
      <x:c r="A4354" s="3"/>
      <x:c r="B4354" s="3" t="str">
        <x:v>16878</x:v>
      </x:c>
      <x:c r="C4354" s="3" t="n">
        <x:v>1</x:v>
      </x:c>
      <x:c r="D4354" s="51" t="n">
        <x:v>40802</x:v>
      </x:c>
      <x:c r="E4354" s="3" t="str">
        <x:v>Una compra</x:v>
      </x:c>
      <x:c r="F4354" s="13" t="n">
        <x:v>13.3</x:v>
      </x:c>
      <x:c r="G4354" s="13" t="n">
        <x:v>13.3</x:v>
      </x:c>
      <x:c r="H4354" s="13" t="n">
        <x:f>F4354-G4354</x:f>
        <x:v>0</x:v>
      </x:c>
      <x:c r="I4354" s="13" t="n">
        <x:f>IF(C4354=0,"n.a.",F4354/C4354)</x:f>
        <x:v>13.3</x:v>
      </x:c>
      <x:c r="J4354" s="3"/>
      <x:c r="K4354" s="3"/>
      <x:c r="L4354" s="3"/>
    </x:row>
    <x:row r="4355" ht="22" customHeight="1">
      <x:c r="A4355" s="3"/>
      <x:c r="B4355" s="3" t="str">
        <x:v>18268</x:v>
      </x:c>
      <x:c r="C4355" s="3" t="n">
        <x:v>1</x:v>
      </x:c>
      <x:c r="D4355" s="51" t="n">
        <x:v>40752</x:v>
      </x:c>
      <x:c r="E4355" s="3" t="str">
        <x:v>Una compra</x:v>
      </x:c>
      <x:c r="F4355" s="13" t="n">
        <x:v>25.5</x:v>
      </x:c>
      <x:c r="G4355" s="13" t="n">
        <x:v>25.5</x:v>
      </x:c>
      <x:c r="H4355" s="13" t="n">
        <x:f>F4355-G4355</x:f>
        <x:v>0</x:v>
      </x:c>
      <x:c r="I4355" s="13" t="n">
        <x:f>IF(C4355=0,"n.a.",F4355/C4355)</x:f>
        <x:v>25.5</x:v>
      </x:c>
      <x:c r="J4355" s="3"/>
      <x:c r="K4355" s="3"/>
      <x:c r="L4355" s="3"/>
    </x:row>
    <x:row r="4356" ht="22" customHeight="1">
      <x:c r="A4356" s="3"/>
      <x:c r="B4356" s="3" t="str">
        <x:v>18274</x:v>
      </x:c>
      <x:c r="C4356" s="3" t="n">
        <x:v>1</x:v>
      </x:c>
      <x:c r="D4356" s="51" t="n">
        <x:v>40856</x:v>
      </x:c>
      <x:c r="E4356" s="3" t="str">
        <x:v>Una compra</x:v>
      </x:c>
      <x:c r="F4356" s="13" t="n">
        <x:v>175.92</x:v>
      </x:c>
      <x:c r="G4356" s="13" t="n">
        <x:v>175.92</x:v>
      </x:c>
      <x:c r="H4356" s="13" t="n">
        <x:f>F4356-G4356</x:f>
        <x:v>0</x:v>
      </x:c>
      <x:c r="I4356" s="13" t="n">
        <x:f>IF(C4356=0,"n.a.",F4356/C4356)</x:f>
        <x:v>175.92</x:v>
      </x:c>
      <x:c r="J4356" s="3"/>
      <x:c r="K4356" s="3"/>
      <x:c r="L4356" s="3"/>
    </x:row>
    <x:row r="4357" ht="22" customHeight="1">
      <x:c r="A4357" s="3"/>
      <x:c r="B4357" s="3" t="str">
        <x:v>16995</x:v>
      </x:c>
      <x:c r="C4357" s="3" t="n">
        <x:v>0</x:v>
      </x:c>
      <x:c r="D4357" s="51"/>
      <x:c r="E4357" s="3" t="str">
        <x:v>Solo abonos</x:v>
      </x:c>
      <x:c r="F4357" s="13" t="n">
        <x:v>0</x:v>
      </x:c>
      <x:c r="G4357" s="13" t="n">
        <x:v>1.25</x:v>
      </x:c>
      <x:c r="H4357" s="13" t="n">
        <x:f>F4357-G4357</x:f>
        <x:v>-1.25</x:v>
      </x:c>
      <x:c r="I4357" s="13" t="str">
        <x:f>IF(C4357=0,"n.a.",F4357/C4357)</x:f>
        <x:v>n.a.</x:v>
      </x:c>
      <x:c r="J4357" s="3"/>
      <x:c r="K4357" s="3"/>
      <x:c r="L4357" s="3"/>
    </x:row>
    <x:row r="4358" ht="22" customHeight="1">
      <x:c r="A4358" s="3"/>
      <x:c r="B4358" s="3" t="str">
        <x:v>14679</x:v>
      </x:c>
      <x:c r="C4358" s="3" t="n">
        <x:v>0</x:v>
      </x:c>
      <x:c r="D4358" s="51"/>
      <x:c r="E4358" s="3" t="str">
        <x:v>Solo abonos</x:v>
      </x:c>
      <x:c r="F4358" s="13" t="n">
        <x:v>0</x:v>
      </x:c>
      <x:c r="G4358" s="13" t="n">
        <x:v>2.55</x:v>
      </x:c>
      <x:c r="H4358" s="13" t="n">
        <x:f>F4358-G4358</x:f>
        <x:v>-2.55</x:v>
      </x:c>
      <x:c r="I4358" s="13" t="str">
        <x:f>IF(C4358=0,"n.a.",F4358/C4358)</x:f>
        <x:v>n.a.</x:v>
      </x:c>
      <x:c r="J4358" s="3"/>
      <x:c r="K4358" s="3"/>
      <x:c r="L4358" s="3"/>
    </x:row>
    <x:row r="4359" ht="22" customHeight="1">
      <x:c r="A4359" s="3"/>
      <x:c r="B4359" s="3" t="str">
        <x:v>16428</x:v>
      </x:c>
      <x:c r="C4359" s="3" t="n">
        <x:v>0</x:v>
      </x:c>
      <x:c r="D4359" s="51"/>
      <x:c r="E4359" s="3" t="str">
        <x:v>Solo abonos</x:v>
      </x:c>
      <x:c r="F4359" s="13" t="n">
        <x:v>0</x:v>
      </x:c>
      <x:c r="G4359" s="13" t="n">
        <x:v>2.95</x:v>
      </x:c>
      <x:c r="H4359" s="13" t="n">
        <x:f>F4359-G4359</x:f>
        <x:v>-2.95</x:v>
      </x:c>
      <x:c r="I4359" s="13" t="str">
        <x:f>IF(C4359=0,"n.a.",F4359/C4359)</x:f>
        <x:v>n.a.</x:v>
      </x:c>
      <x:c r="J4359" s="3"/>
      <x:c r="K4359" s="3"/>
      <x:c r="L4359" s="3"/>
    </x:row>
    <x:row r="4360" ht="22" customHeight="1">
      <x:c r="A4360" s="3"/>
      <x:c r="B4360" s="3" t="str">
        <x:v>12943</x:v>
      </x:c>
      <x:c r="C4360" s="3" t="n">
        <x:v>0</x:v>
      </x:c>
      <x:c r="D4360" s="51"/>
      <x:c r="E4360" s="3" t="str">
        <x:v>Solo abonos</x:v>
      </x:c>
      <x:c r="F4360" s="13" t="n">
        <x:v>0</x:v>
      </x:c>
      <x:c r="G4360" s="13" t="n">
        <x:v>3.75</x:v>
      </x:c>
      <x:c r="H4360" s="13" t="n">
        <x:f>F4360-G4360</x:f>
        <x:v>-3.75</x:v>
      </x:c>
      <x:c r="I4360" s="13" t="str">
        <x:f>IF(C4360=0,"n.a.",F4360/C4360)</x:f>
        <x:v>n.a.</x:v>
      </x:c>
      <x:c r="J4360" s="3"/>
      <x:c r="K4360" s="3"/>
      <x:c r="L4360" s="3"/>
    </x:row>
    <x:row r="4361" ht="22" customHeight="1">
      <x:c r="A4361" s="3"/>
      <x:c r="B4361" s="3" t="str">
        <x:v>12605</x:v>
      </x:c>
      <x:c r="C4361" s="3" t="n">
        <x:v>0</x:v>
      </x:c>
      <x:c r="D4361" s="51"/>
      <x:c r="E4361" s="3" t="str">
        <x:v>Solo abonos</x:v>
      </x:c>
      <x:c r="F4361" s="13" t="n">
        <x:v>0</x:v>
      </x:c>
      <x:c r="G4361" s="13" t="n">
        <x:v>7.5</x:v>
      </x:c>
      <x:c r="H4361" s="13" t="n">
        <x:f>F4361-G4361</x:f>
        <x:v>-7.5</x:v>
      </x:c>
      <x:c r="I4361" s="13" t="str">
        <x:f>IF(C4361=0,"n.a.",F4361/C4361)</x:f>
        <x:v>n.a.</x:v>
      </x:c>
      <x:c r="J4361" s="3"/>
      <x:c r="K4361" s="3"/>
      <x:c r="L4361" s="3"/>
    </x:row>
    <x:row r="4362" ht="22" customHeight="1">
      <x:c r="A4362" s="3"/>
      <x:c r="B4362" s="3" t="str">
        <x:v>16138</x:v>
      </x:c>
      <x:c r="C4362" s="3" t="n">
        <x:v>0</x:v>
      </x:c>
      <x:c r="D4362" s="51"/>
      <x:c r="E4362" s="3" t="str">
        <x:v>Solo abonos</x:v>
      </x:c>
      <x:c r="F4362" s="13" t="n">
        <x:v>0</x:v>
      </x:c>
      <x:c r="G4362" s="13" t="n">
        <x:v>7.95</x:v>
      </x:c>
      <x:c r="H4362" s="13" t="n">
        <x:f>F4362-G4362</x:f>
        <x:v>-7.95</x:v>
      </x:c>
      <x:c r="I4362" s="13" t="str">
        <x:f>IF(C4362=0,"n.a.",F4362/C4362)</x:f>
        <x:v>n.a.</x:v>
      </x:c>
      <x:c r="J4362" s="3"/>
      <x:c r="K4362" s="3"/>
      <x:c r="L4362" s="3"/>
    </x:row>
    <x:row r="4363" ht="22" customHeight="1">
      <x:c r="A4363" s="3"/>
      <x:c r="B4363" s="3" t="str">
        <x:v>17547</x:v>
      </x:c>
      <x:c r="C4363" s="3" t="n">
        <x:v>0</x:v>
      </x:c>
      <x:c r="D4363" s="51"/>
      <x:c r="E4363" s="3" t="str">
        <x:v>Solo abonos</x:v>
      </x:c>
      <x:c r="F4363" s="13" t="n">
        <x:v>0</x:v>
      </x:c>
      <x:c r="G4363" s="13" t="n">
        <x:v>11.8</x:v>
      </x:c>
      <x:c r="H4363" s="13" t="n">
        <x:f>F4363-G4363</x:f>
        <x:v>-11.8</x:v>
      </x:c>
      <x:c r="I4363" s="13" t="str">
        <x:f>IF(C4363=0,"n.a.",F4363/C4363)</x:f>
        <x:v>n.a.</x:v>
      </x:c>
      <x:c r="J4363" s="3"/>
      <x:c r="K4363" s="3"/>
      <x:c r="L4363" s="3"/>
    </x:row>
    <x:row r="4364" ht="22" customHeight="1">
      <x:c r="A4364" s="3"/>
      <x:c r="B4364" s="3" t="str">
        <x:v>12870</x:v>
      </x:c>
      <x:c r="C4364" s="3" t="n">
        <x:v>0</x:v>
      </x:c>
      <x:c r="D4364" s="51"/>
      <x:c r="E4364" s="3" t="str">
        <x:v>Solo abonos</x:v>
      </x:c>
      <x:c r="F4364" s="13" t="n">
        <x:v>0</x:v>
      </x:c>
      <x:c r="G4364" s="13" t="n">
        <x:v>14.9</x:v>
      </x:c>
      <x:c r="H4364" s="13" t="n">
        <x:f>F4364-G4364</x:f>
        <x:v>-14.9</x:v>
      </x:c>
      <x:c r="I4364" s="13" t="str">
        <x:f>IF(C4364=0,"n.a.",F4364/C4364)</x:f>
        <x:v>n.a.</x:v>
      </x:c>
      <x:c r="J4364" s="3"/>
      <x:c r="K4364" s="3"/>
      <x:c r="L4364" s="3"/>
    </x:row>
    <x:row r="4365" ht="22" customHeight="1">
      <x:c r="A4365" s="3"/>
      <x:c r="B4365" s="3" t="str">
        <x:v>14777</x:v>
      </x:c>
      <x:c r="C4365" s="3" t="n">
        <x:v>0</x:v>
      </x:c>
      <x:c r="D4365" s="51"/>
      <x:c r="E4365" s="3" t="str">
        <x:v>Solo abonos</x:v>
      </x:c>
      <x:c r="F4365" s="13" t="n">
        <x:v>0</x:v>
      </x:c>
      <x:c r="G4365" s="13" t="n">
        <x:v>17.45</x:v>
      </x:c>
      <x:c r="H4365" s="13" t="n">
        <x:f>F4365-G4365</x:f>
        <x:v>-17.45</x:v>
      </x:c>
      <x:c r="I4365" s="13" t="str">
        <x:f>IF(C4365=0,"n.a.",F4365/C4365)</x:f>
        <x:v>n.a.</x:v>
      </x:c>
      <x:c r="J4365" s="3"/>
      <x:c r="K4365" s="3"/>
      <x:c r="L4365" s="3"/>
    </x:row>
    <x:row r="4366" ht="22" customHeight="1">
      <x:c r="A4366" s="3"/>
      <x:c r="B4366" s="3" t="str">
        <x:v>14119</x:v>
      </x:c>
      <x:c r="C4366" s="3" t="n">
        <x:v>0</x:v>
      </x:c>
      <x:c r="D4366" s="51"/>
      <x:c r="E4366" s="3" t="str">
        <x:v>Solo abonos</x:v>
      </x:c>
      <x:c r="F4366" s="13" t="n">
        <x:v>0</x:v>
      </x:c>
      <x:c r="G4366" s="13" t="n">
        <x:v>19.9</x:v>
      </x:c>
      <x:c r="H4366" s="13" t="n">
        <x:f>F4366-G4366</x:f>
        <x:v>-19.9</x:v>
      </x:c>
      <x:c r="I4366" s="13" t="str">
        <x:f>IF(C4366=0,"n.a.",F4366/C4366)</x:f>
        <x:v>n.a.</x:v>
      </x:c>
      <x:c r="J4366" s="3"/>
      <x:c r="K4366" s="3"/>
      <x:c r="L4366" s="3"/>
    </x:row>
    <x:row r="4367" ht="22" customHeight="1">
      <x:c r="A4367" s="3"/>
      <x:c r="B4367" s="3" t="str">
        <x:v>14627</x:v>
      </x:c>
      <x:c r="C4367" s="3" t="n">
        <x:v>0</x:v>
      </x:c>
      <x:c r="D4367" s="51"/>
      <x:c r="E4367" s="3" t="str">
        <x:v>Solo abonos</x:v>
      </x:c>
      <x:c r="F4367" s="13" t="n">
        <x:v>0</x:v>
      </x:c>
      <x:c r="G4367" s="13" t="n">
        <x:v>21.85</x:v>
      </x:c>
      <x:c r="H4367" s="13" t="n">
        <x:f>F4367-G4367</x:f>
        <x:v>-21.85</x:v>
      </x:c>
      <x:c r="I4367" s="13" t="str">
        <x:f>IF(C4367=0,"n.a.",F4367/C4367)</x:f>
        <x:v>n.a.</x:v>
      </x:c>
      <x:c r="J4367" s="3"/>
      <x:c r="K4367" s="3"/>
      <x:c r="L4367" s="3"/>
    </x:row>
    <x:row r="4368" ht="22" customHeight="1">
      <x:c r="A4368" s="3"/>
      <x:c r="B4368" s="3" t="str">
        <x:v>17820</x:v>
      </x:c>
      <x:c r="C4368" s="3" t="n">
        <x:v>0</x:v>
      </x:c>
      <x:c r="D4368" s="51"/>
      <x:c r="E4368" s="3" t="str">
        <x:v>Solo abonos</x:v>
      </x:c>
      <x:c r="F4368" s="13" t="n">
        <x:v>0</x:v>
      </x:c>
      <x:c r="G4368" s="13" t="n">
        <x:v>24.05</x:v>
      </x:c>
      <x:c r="H4368" s="13" t="n">
        <x:f>F4368-G4368</x:f>
        <x:v>-24.05</x:v>
      </x:c>
      <x:c r="I4368" s="13" t="str">
        <x:f>IF(C4368=0,"n.a.",F4368/C4368)</x:f>
        <x:v>n.a.</x:v>
      </x:c>
      <x:c r="J4368" s="3"/>
      <x:c r="K4368" s="3"/>
      <x:c r="L4368" s="3"/>
    </x:row>
    <x:row r="4369" ht="22" customHeight="1">
      <x:c r="A4369" s="3"/>
      <x:c r="B4369" s="3" t="str">
        <x:v>16061</x:v>
      </x:c>
      <x:c r="C4369" s="3" t="n">
        <x:v>0</x:v>
      </x:c>
      <x:c r="D4369" s="51"/>
      <x:c r="E4369" s="3" t="str">
        <x:v>Solo abonos</x:v>
      </x:c>
      <x:c r="F4369" s="13" t="n">
        <x:v>0</x:v>
      </x:c>
      <x:c r="G4369" s="13" t="n">
        <x:v>29.95</x:v>
      </x:c>
      <x:c r="H4369" s="13" t="n">
        <x:f>F4369-G4369</x:f>
        <x:v>-29.95</x:v>
      </x:c>
      <x:c r="I4369" s="13" t="str">
        <x:f>IF(C4369=0,"n.a.",F4369/C4369)</x:f>
        <x:v>n.a.</x:v>
      </x:c>
      <x:c r="J4369" s="3"/>
      <x:c r="K4369" s="3"/>
      <x:c r="L4369" s="3"/>
    </x:row>
    <x:row r="4370" ht="22" customHeight="1">
      <x:c r="A4370" s="3"/>
      <x:c r="B4370" s="3" t="str">
        <x:v>16579</x:v>
      </x:c>
      <x:c r="C4370" s="3" t="n">
        <x:v>0</x:v>
      </x:c>
      <x:c r="D4370" s="51"/>
      <x:c r="E4370" s="3" t="str">
        <x:v>Solo abonos</x:v>
      </x:c>
      <x:c r="F4370" s="13" t="n">
        <x:v>0</x:v>
      </x:c>
      <x:c r="G4370" s="13" t="n">
        <x:v>30.6</x:v>
      </x:c>
      <x:c r="H4370" s="13" t="n">
        <x:f>F4370-G4370</x:f>
        <x:v>-30.6</x:v>
      </x:c>
      <x:c r="I4370" s="13" t="str">
        <x:f>IF(C4370=0,"n.a.",F4370/C4370)</x:f>
        <x:v>n.a.</x:v>
      </x:c>
      <x:c r="J4370" s="3"/>
      <x:c r="K4370" s="3"/>
      <x:c r="L4370" s="3"/>
    </x:row>
    <x:row r="4371" ht="22" customHeight="1">
      <x:c r="A4371" s="3"/>
      <x:c r="B4371" s="3" t="str">
        <x:v>16262</x:v>
      </x:c>
      <x:c r="C4371" s="3" t="n">
        <x:v>0</x:v>
      </x:c>
      <x:c r="D4371" s="51"/>
      <x:c r="E4371" s="3" t="str">
        <x:v>Solo abonos</x:v>
      </x:c>
      <x:c r="F4371" s="13" t="n">
        <x:v>0</x:v>
      </x:c>
      <x:c r="G4371" s="13" t="n">
        <x:v>31.65</x:v>
      </x:c>
      <x:c r="H4371" s="13" t="n">
        <x:f>F4371-G4371</x:f>
        <x:v>-31.65</x:v>
      </x:c>
      <x:c r="I4371" s="13" t="str">
        <x:f>IF(C4371=0,"n.a.",F4371/C4371)</x:f>
        <x:v>n.a.</x:v>
      </x:c>
      <x:c r="J4371" s="3"/>
      <x:c r="K4371" s="3"/>
      <x:c r="L4371" s="3"/>
    </x:row>
    <x:row r="4372" ht="22" customHeight="1">
      <x:c r="A4372" s="3"/>
      <x:c r="B4372" s="3" t="str">
        <x:v>13693</x:v>
      </x:c>
      <x:c r="C4372" s="3" t="n">
        <x:v>0</x:v>
      </x:c>
      <x:c r="D4372" s="51"/>
      <x:c r="E4372" s="3" t="str">
        <x:v>Solo abonos</x:v>
      </x:c>
      <x:c r="F4372" s="13" t="n">
        <x:v>0</x:v>
      </x:c>
      <x:c r="G4372" s="13" t="n">
        <x:v>32</x:v>
      </x:c>
      <x:c r="H4372" s="13" t="n">
        <x:f>F4372-G4372</x:f>
        <x:v>-32</x:v>
      </x:c>
      <x:c r="I4372" s="13" t="str">
        <x:f>IF(C4372=0,"n.a.",F4372/C4372)</x:f>
        <x:v>n.a.</x:v>
      </x:c>
      <x:c r="J4372" s="3"/>
      <x:c r="K4372" s="3"/>
      <x:c r="L4372" s="3"/>
    </x:row>
    <x:row r="4373" ht="22" customHeight="1">
      <x:c r="A4373" s="3"/>
      <x:c r="B4373" s="3" t="str">
        <x:v>18141</x:v>
      </x:c>
      <x:c r="C4373" s="3" t="n">
        <x:v>0</x:v>
      </x:c>
      <x:c r="D4373" s="51"/>
      <x:c r="E4373" s="3" t="str">
        <x:v>Solo abonos</x:v>
      </x:c>
      <x:c r="F4373" s="13" t="n">
        <x:v>0</x:v>
      </x:c>
      <x:c r="G4373" s="13" t="n">
        <x:v>35.4</x:v>
      </x:c>
      <x:c r="H4373" s="13" t="n">
        <x:f>F4373-G4373</x:f>
        <x:v>-35.4</x:v>
      </x:c>
      <x:c r="I4373" s="13" t="str">
        <x:f>IF(C4373=0,"n.a.",F4373/C4373)</x:f>
        <x:v>n.a.</x:v>
      </x:c>
      <x:c r="J4373" s="3"/>
      <x:c r="K4373" s="3"/>
      <x:c r="L4373" s="3"/>
    </x:row>
    <x:row r="4374" ht="22" customHeight="1">
      <x:c r="A4374" s="3"/>
      <x:c r="B4374" s="3" t="str">
        <x:v>18256</x:v>
      </x:c>
      <x:c r="C4374" s="3" t="n">
        <x:v>0</x:v>
      </x:c>
      <x:c r="D4374" s="51"/>
      <x:c r="E4374" s="3" t="str">
        <x:v>Solo abonos</x:v>
      </x:c>
      <x:c r="F4374" s="13" t="n">
        <x:v>0</x:v>
      </x:c>
      <x:c r="G4374" s="13" t="n">
        <x:v>50.1</x:v>
      </x:c>
      <x:c r="H4374" s="13" t="n">
        <x:f>F4374-G4374</x:f>
        <x:v>-50.1</x:v>
      </x:c>
      <x:c r="I4374" s="13" t="str">
        <x:f>IF(C4374=0,"n.a.",F4374/C4374)</x:f>
        <x:v>n.a.</x:v>
      </x:c>
      <x:c r="J4374" s="3"/>
      <x:c r="K4374" s="3"/>
      <x:c r="L4374" s="3"/>
    </x:row>
    <x:row r="4375" ht="22" customHeight="1">
      <x:c r="A4375" s="3"/>
      <x:c r="B4375" s="3" t="str">
        <x:v>15638</x:v>
      </x:c>
      <x:c r="C4375" s="3" t="n">
        <x:v>0</x:v>
      </x:c>
      <x:c r="D4375" s="51"/>
      <x:c r="E4375" s="3" t="str">
        <x:v>Solo abonos</x:v>
      </x:c>
      <x:c r="F4375" s="13" t="n">
        <x:v>0</x:v>
      </x:c>
      <x:c r="G4375" s="13" t="n">
        <x:v>94</x:v>
      </x:c>
      <x:c r="H4375" s="13" t="n">
        <x:f>F4375-G4375</x:f>
        <x:v>-94</x:v>
      </x:c>
      <x:c r="I4375" s="13" t="str">
        <x:f>IF(C4375=0,"n.a.",F4375/C4375)</x:f>
        <x:v>n.a.</x:v>
      </x:c>
      <x:c r="J4375" s="3"/>
      <x:c r="K4375" s="3"/>
      <x:c r="L4375" s="3"/>
    </x:row>
    <x:row r="4376" ht="22" customHeight="1">
      <x:c r="A4376" s="3"/>
      <x:c r="B4376" s="3" t="str">
        <x:v>16546</x:v>
      </x:c>
      <x:c r="C4376" s="3" t="n">
        <x:v>2</x:v>
      </x:c>
      <x:c r="D4376" s="51" t="n">
        <x:v>40596</x:v>
      </x:c>
      <x:c r="E4376" s="3" t="str">
        <x:v>Recurrente</x:v>
      </x:c>
      <x:c r="F4376" s="13" t="n">
        <x:v>787.15</x:v>
      </x:c>
      <x:c r="G4376" s="13" t="n">
        <x:v>883.08</x:v>
      </x:c>
      <x:c r="H4376" s="13" t="n">
        <x:f>F4376-G4376</x:f>
        <x:v>-95.93000000000006</x:v>
      </x:c>
      <x:c r="I4376" s="13" t="n">
        <x:f>IF(C4376=0,"n.a.",F4376/C4376)</x:f>
        <x:v>393.575</x:v>
      </x:c>
      <x:c r="J4376" s="3"/>
      <x:c r="K4376" s="3"/>
      <x:c r="L4376" s="3"/>
    </x:row>
    <x:row r="4377" ht="22" customHeight="1">
      <x:c r="A4377" s="3"/>
      <x:c r="B4377" s="3" t="str">
        <x:v>13829</x:v>
      </x:c>
      <x:c r="C4377" s="3" t="n">
        <x:v>0</x:v>
      </x:c>
      <x:c r="D4377" s="51"/>
      <x:c r="E4377" s="3" t="str">
        <x:v>Solo abonos</x:v>
      </x:c>
      <x:c r="F4377" s="13" t="n">
        <x:v>0</x:v>
      </x:c>
      <x:c r="G4377" s="13" t="n">
        <x:v>102</x:v>
      </x:c>
      <x:c r="H4377" s="13" t="n">
        <x:f>F4377-G4377</x:f>
        <x:v>-102</x:v>
      </x:c>
      <x:c r="I4377" s="13" t="str">
        <x:f>IF(C4377=0,"n.a.",F4377/C4377)</x:f>
        <x:v>n.a.</x:v>
      </x:c>
      <x:c r="J4377" s="3"/>
      <x:c r="K4377" s="3"/>
      <x:c r="L4377" s="3"/>
    </x:row>
    <x:row r="4378" ht="22" customHeight="1">
      <x:c r="A4378" s="3"/>
      <x:c r="B4378" s="3" t="str">
        <x:v>13958</x:v>
      </x:c>
      <x:c r="C4378" s="3" t="n">
        <x:v>0</x:v>
      </x:c>
      <x:c r="D4378" s="51"/>
      <x:c r="E4378" s="3" t="str">
        <x:v>Solo abonos</x:v>
      </x:c>
      <x:c r="F4378" s="13" t="n">
        <x:v>0</x:v>
      </x:c>
      <x:c r="G4378" s="13" t="n">
        <x:v>102.45</x:v>
      </x:c>
      <x:c r="H4378" s="13" t="n">
        <x:f>F4378-G4378</x:f>
        <x:v>-102.45</x:v>
      </x:c>
      <x:c r="I4378" s="13" t="str">
        <x:f>IF(C4378=0,"n.a.",F4378/C4378)</x:f>
        <x:v>n.a.</x:v>
      </x:c>
      <x:c r="J4378" s="3"/>
      <x:c r="K4378" s="3"/>
      <x:c r="L4378" s="3"/>
    </x:row>
    <x:row r="4379" ht="22" customHeight="1">
      <x:c r="A4379" s="3"/>
      <x:c r="B4379" s="3" t="str">
        <x:v>15728</x:v>
      </x:c>
      <x:c r="C4379" s="3" t="n">
        <x:v>0</x:v>
      </x:c>
      <x:c r="D4379" s="51"/>
      <x:c r="E4379" s="3" t="str">
        <x:v>Solo abonos</x:v>
      </x:c>
      <x:c r="F4379" s="13" t="n">
        <x:v>0</x:v>
      </x:c>
      <x:c r="G4379" s="13" t="n">
        <x:v>134.8</x:v>
      </x:c>
      <x:c r="H4379" s="13" t="n">
        <x:f>F4379-G4379</x:f>
        <x:v>-134.8</x:v>
      </x:c>
      <x:c r="I4379" s="13" t="str">
        <x:f>IF(C4379=0,"n.a.",F4379/C4379)</x:f>
        <x:v>n.a.</x:v>
      </x:c>
      <x:c r="J4379" s="3"/>
      <x:c r="K4379" s="3"/>
      <x:c r="L4379" s="3"/>
    </x:row>
    <x:row r="4380" ht="22" customHeight="1">
      <x:c r="A4380" s="3"/>
      <x:c r="B4380" s="3" t="str">
        <x:v>17548</x:v>
      </x:c>
      <x:c r="C4380" s="3" t="n">
        <x:v>1</x:v>
      </x:c>
      <x:c r="D4380" s="51" t="n">
        <x:v>40653</x:v>
      </x:c>
      <x:c r="E4380" s="3" t="str">
        <x:v>Una compra</x:v>
      </x:c>
      <x:c r="F4380" s="13" t="n">
        <x:v>103.3</x:v>
      </x:c>
      <x:c r="G4380" s="13" t="n">
        <x:v>244.78</x:v>
      </x:c>
      <x:c r="H4380" s="13" t="n">
        <x:f>F4380-G4380</x:f>
        <x:v>-141.48000000000002</x:v>
      </x:c>
      <x:c r="I4380" s="13" t="n">
        <x:f>IF(C4380=0,"n.a.",F4380/C4380)</x:f>
        <x:v>103.3</x:v>
      </x:c>
      <x:c r="J4380" s="3"/>
      <x:c r="K4380" s="3"/>
      <x:c r="L4380" s="3"/>
    </x:row>
    <x:row r="4381" ht="22" customHeight="1">
      <x:c r="A4381" s="3"/>
      <x:c r="B4381" s="3" t="str">
        <x:v>17307</x:v>
      </x:c>
      <x:c r="C4381" s="3" t="n">
        <x:v>0</x:v>
      </x:c>
      <x:c r="D4381" s="51"/>
      <x:c r="E4381" s="3" t="str">
        <x:v>Solo abonos</x:v>
      </x:c>
      <x:c r="F4381" s="13" t="n">
        <x:v>0</x:v>
      </x:c>
      <x:c r="G4381" s="13" t="n">
        <x:v>152.64</x:v>
      </x:c>
      <x:c r="H4381" s="13" t="n">
        <x:f>F4381-G4381</x:f>
        <x:v>-152.64</x:v>
      </x:c>
      <x:c r="I4381" s="13" t="str">
        <x:f>IF(C4381=0,"n.a.",F4381/C4381)</x:f>
        <x:v>n.a.</x:v>
      </x:c>
      <x:c r="J4381" s="3"/>
      <x:c r="K4381" s="3"/>
      <x:c r="L4381" s="3"/>
    </x:row>
    <x:row r="4382" ht="22" customHeight="1">
      <x:c r="A4382" s="3"/>
      <x:c r="B4382" s="3" t="str">
        <x:v>12666</x:v>
      </x:c>
      <x:c r="C4382" s="3" t="n">
        <x:v>0</x:v>
      </x:c>
      <x:c r="D4382" s="51"/>
      <x:c r="E4382" s="3" t="str">
        <x:v>Solo abonos</x:v>
      </x:c>
      <x:c r="F4382" s="13" t="n">
        <x:v>0</x:v>
      </x:c>
      <x:c r="G4382" s="13" t="n">
        <x:v>227.44</x:v>
      </x:c>
      <x:c r="H4382" s="13" t="n">
        <x:f>F4382-G4382</x:f>
        <x:v>-227.44</x:v>
      </x:c>
      <x:c r="I4382" s="13" t="str">
        <x:f>IF(C4382=0,"n.a.",F4382/C4382)</x:f>
        <x:v>n.a.</x:v>
      </x:c>
      <x:c r="J4382" s="3"/>
      <x:c r="K4382" s="3"/>
      <x:c r="L4382" s="3"/>
    </x:row>
    <x:row r="4383" ht="22" customHeight="1">
      <x:c r="A4383" s="3"/>
      <x:c r="B4383" s="3" t="str">
        <x:v>16252</x:v>
      </x:c>
      <x:c r="C4383" s="3" t="n">
        <x:v>0</x:v>
      </x:c>
      <x:c r="D4383" s="51"/>
      <x:c r="E4383" s="3" t="str">
        <x:v>Solo abonos</x:v>
      </x:c>
      <x:c r="F4383" s="13" t="n">
        <x:v>0</x:v>
      </x:c>
      <x:c r="G4383" s="13" t="n">
        <x:v>295.09</x:v>
      </x:c>
      <x:c r="H4383" s="13" t="n">
        <x:f>F4383-G4383</x:f>
        <x:v>-295.09</x:v>
      </x:c>
      <x:c r="I4383" s="13" t="str">
        <x:f>IF(C4383=0,"n.a.",F4383/C4383)</x:f>
        <x:v>n.a.</x:v>
      </x:c>
      <x:c r="J4383" s="3"/>
      <x:c r="K4383" s="3"/>
      <x:c r="L4383" s="3"/>
    </x:row>
    <x:row r="4384" ht="22" customHeight="1">
      <x:c r="A4384" s="3"/>
      <x:c r="B4384" s="3" t="str">
        <x:v>16742</x:v>
      </x:c>
      <x:c r="C4384" s="3" t="n">
        <x:v>0</x:v>
      </x:c>
      <x:c r="D4384" s="51"/>
      <x:c r="E4384" s="3" t="str">
        <x:v>Solo abonos</x:v>
      </x:c>
      <x:c r="F4384" s="13" t="n">
        <x:v>0</x:v>
      </x:c>
      <x:c r="G4384" s="13" t="n">
        <x:v>464.9</x:v>
      </x:c>
      <x:c r="H4384" s="13" t="n">
        <x:f>F4384-G4384</x:f>
        <x:v>-464.9</x:v>
      </x:c>
      <x:c r="I4384" s="13" t="str">
        <x:f>IF(C4384=0,"n.a.",F4384/C4384)</x:f>
        <x:v>n.a.</x:v>
      </x:c>
      <x:c r="J4384" s="3"/>
      <x:c r="K4384" s="3"/>
      <x:c r="L4384" s="3"/>
    </x:row>
    <x:row r="4385" ht="22" customHeight="1">
      <x:c r="A4385" s="3"/>
      <x:c r="B4385" s="3" t="str">
        <x:v>15823</x:v>
      </x:c>
      <x:c r="C4385" s="3" t="n">
        <x:v>0</x:v>
      </x:c>
      <x:c r="D4385" s="51"/>
      <x:c r="E4385" s="3" t="str">
        <x:v>Solo abonos</x:v>
      </x:c>
      <x:c r="F4385" s="13" t="n">
        <x:v>0</x:v>
      </x:c>
      <x:c r="G4385" s="13" t="n">
        <x:v>811.86</x:v>
      </x:c>
      <x:c r="H4385" s="13" t="n">
        <x:f>F4385-G4385</x:f>
        <x:v>-811.86</x:v>
      </x:c>
      <x:c r="I4385" s="13" t="str">
        <x:f>IF(C4385=0,"n.a.",F4385/C4385)</x:f>
        <x:v>n.a.</x:v>
      </x:c>
      <x:c r="J4385" s="3"/>
      <x:c r="K4385" s="3"/>
      <x:c r="L4385" s="3"/>
    </x:row>
    <x:row r="4386" ht="22" customHeight="1">
      <x:c r="A4386" s="3"/>
      <x:c r="B4386" s="3" t="str">
        <x:v>14213</x:v>
      </x:c>
      <x:c r="C4386" s="3" t="n">
        <x:v>0</x:v>
      </x:c>
      <x:c r="D4386" s="51"/>
      <x:c r="E4386" s="3" t="str">
        <x:v>Solo abonos</x:v>
      </x:c>
      <x:c r="F4386" s="13" t="n">
        <x:v>0</x:v>
      </x:c>
      <x:c r="G4386" s="13" t="n">
        <x:v>1192.2</x:v>
      </x:c>
      <x:c r="H4386" s="13" t="n">
        <x:f>F4386-G4386</x:f>
        <x:v>-1192.2</x:v>
      </x:c>
      <x:c r="I4386" s="13" t="str">
        <x:f>IF(C4386=0,"n.a.",F4386/C4386)</x:f>
        <x:v>n.a.</x:v>
      </x:c>
      <x:c r="J4386" s="3"/>
      <x:c r="K4386" s="3"/>
      <x:c r="L4386" s="3"/>
    </x:row>
    <x:row r="4387" ht="22" customHeight="1">
      <x:c r="A4387" s="3"/>
      <x:c r="B4387" s="3"/>
      <x:c r="C4387" s="3"/>
      <x:c r="D4387" s="3"/>
      <x:c r="E4387" s="3"/>
      <x:c r="F4387" s="3"/>
      <x:c r="G4387" s="3"/>
      <x:c r="H4387" s="3"/>
      <x:c r="I4387" s="3"/>
      <x:c r="J4387" s="3"/>
      <x:c r="K4387" s="3"/>
      <x:c r="L4387" s="3"/>
    </x:row>
    <x:row r="4388" ht="22" customHeight="1">
      <x:c r="A4388" s="3"/>
      <x:c r="B4388" s="3"/>
      <x:c r="C4388" s="3"/>
      <x:c r="D4388" s="3"/>
      <x:c r="E4388" s="3"/>
      <x:c r="F4388" s="3"/>
      <x:c r="G4388" s="3"/>
      <x:c r="H4388" s="3"/>
      <x:c r="I4388" s="3"/>
      <x:c r="J4388" s="3"/>
      <x:c r="K4388" s="3"/>
      <x:c r="L4388" s="3"/>
    </x:row>
    <x:row r="4389" ht="22" customHeight="1">
      <x:c r="A4389" s="3"/>
      <x:c r="B4389" s="3"/>
      <x:c r="C4389" s="3"/>
      <x:c r="D4389" s="3"/>
      <x:c r="E4389" s="3"/>
      <x:c r="F4389" s="3"/>
      <x:c r="G4389" s="3"/>
      <x:c r="H4389" s="3"/>
      <x:c r="I4389" s="3"/>
      <x:c r="J4389" s="3"/>
      <x:c r="K4389" s="3"/>
      <x:c r="L4389" s="3"/>
    </x:row>
    <x:row r="4390" ht="22" customHeight="1">
      <x:c r="A4390" s="3"/>
      <x:c r="B4390" s="3"/>
      <x:c r="C4390" s="3"/>
      <x:c r="D4390" s="3"/>
      <x:c r="E4390" s="3"/>
      <x:c r="F4390" s="3"/>
      <x:c r="G4390" s="3"/>
      <x:c r="H4390" s="3"/>
      <x:c r="I4390" s="3"/>
      <x:c r="J4390" s="3"/>
      <x:c r="K4390" s="3"/>
      <x:c r="L4390" s="3"/>
    </x:row>
    <x:row r="4391" ht="22" customHeight="1">
      <x:c r="A4391" s="3"/>
      <x:c r="B4391" s="3"/>
      <x:c r="C4391" s="3"/>
      <x:c r="D4391" s="3"/>
      <x:c r="E4391" s="3"/>
      <x:c r="F4391" s="3"/>
      <x:c r="G4391" s="3"/>
      <x:c r="H4391" s="3"/>
      <x:c r="I4391" s="3"/>
      <x:c r="J4391" s="3"/>
      <x:c r="K4391" s="3"/>
      <x:c r="L4391" s="3"/>
    </x:row>
    <x:row r="4392" ht="22" customHeight="1">
      <x:c r="A4392" s="3"/>
      <x:c r="B4392" s="3"/>
      <x:c r="C4392" s="3"/>
      <x:c r="D4392" s="3"/>
      <x:c r="E4392" s="3"/>
      <x:c r="F4392" s="3"/>
      <x:c r="G4392" s="3"/>
      <x:c r="H4392" s="3"/>
      <x:c r="I4392" s="3"/>
      <x:c r="J4392" s="3"/>
      <x:c r="K4392" s="3"/>
      <x:c r="L4392" s="3"/>
    </x:row>
  </x:sheetData>
  <x:pageMargins left="0.7" right="0.7" top="0.75" bottom="0.75" header="0.3" footer="0.3"/>
  <x:drawing xmlns:r="http://schemas.openxmlformats.org/officeDocument/2006/relationships" r:id="Rfc7d2baa238942ca"/>
  <x:tableParts count="1">
    <x:tablePart xmlns:r="http://schemas.openxmlformats.org/officeDocument/2006/relationships" r:id="Ra4902671777b4d6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24" topLeftCell="A25" activePane="bottomLeft" state="frozen"/>
    </x:sheetView>
  </x:sheetViews>
  <x:sheetFormatPr defaultRowHeight="15"/>
  <x:cols>
    <x:col min="1" max="1" width="3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3"/>
      <x:c r="B2" s="4" t="str">
        <x:v>RETAIL / SIGNAL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7"/>
      <x:c r="N2" s="47"/>
      <x:c r="O2" s="47"/>
    </x:row>
    <x:row r="3" ht="34" customHeight="1">
      <x:c r="A3" s="3"/>
      <x:c r="B3" s="5" t="str">
        <x:v>Mercados internacionales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48"/>
      <x:c r="N3" s="48"/>
      <x:c r="O3" s="48"/>
    </x:row>
    <x:row r="4" ht="22" customHeight="1">
      <x:c r="A4" s="3"/>
      <x:c r="B4" s="7" t="str">
        <x:v>Periodo completo. El país describe al cliente, no garantiza el destino del envío.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50"/>
      <x:c r="N4" s="50"/>
      <x:c r="O4" s="50"/>
    </x:row>
    <x:row r="5" ht="2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22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22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22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2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2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22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22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22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30" customHeight="1">
      <x:c r="A24" s="3"/>
      <x:c r="B24" s="12" t="str">
        <x:v>País</x:v>
      </x:c>
      <x:c r="C24" s="12" t="str">
        <x:v>Bruto GBP</x:v>
      </x:c>
      <x:c r="D24" s="12" t="str">
        <x:v>Abonos GBP</x:v>
      </x:c>
      <x:c r="E24" s="12" t="str">
        <x:v>Neto GBP</x:v>
      </x:c>
      <x:c r="F24" s="12" t="str">
        <x:v>Pedidos</x:v>
      </x:c>
      <x:c r="G24" s="12" t="str">
        <x:v>Clientes</x:v>
      </x:c>
      <x:c r="H24" s="12" t="str">
        <x:v>Ticket GBP</x:v>
      </x:c>
      <x:c r="I24" s="12" t="str">
        <x:v>Abonos / bruto</x:v>
      </x:c>
      <x:c r="J24" s="3"/>
      <x:c r="K24" s="3"/>
      <x:c r="L24" s="3"/>
    </x:row>
    <x:row r="25" ht="22" customHeight="1">
      <x:c r="A25" s="3"/>
      <x:c r="B25" s="3" t="str">
        <x:v>United Kingdom</x:v>
      </x:c>
      <x:c r="C25" s="13" t="n">
        <x:v>8747561.663</x:v>
      </x:c>
      <x:c r="D25" s="13" t="n">
        <x:v>445843.38</x:v>
      </x:c>
      <x:c r="E25" s="13" t="n">
        <x:f>C25-D25</x:f>
        <x:v>8301718.283000001</x:v>
      </x:c>
      <x:c r="F25" s="3" t="n">
        <x:v>17901</x:v>
      </x:c>
      <x:c r="G25" s="3" t="n">
        <x:v>3916</x:v>
      </x:c>
      <x:c r="H25" s="13" t="n">
        <x:f>IF(F25=0,"n.a.",C25/F25)</x:f>
        <x:v>488.6632960728451</x:v>
      </x:c>
      <x:c r="I25" s="15" t="n">
        <x:f>IF(C25=0,"n.a.",D25/C25)</x:f>
        <x:v>0.050967732172247045</x:v>
      </x:c>
      <x:c r="J25" s="3"/>
      <x:c r="K25" s="3"/>
      <x:c r="L25" s="3"/>
    </x:row>
    <x:row r="26" ht="22" customHeight="1">
      <x:c r="A26" s="3"/>
      <x:c r="B26" s="3" t="str">
        <x:v>Netherlands</x:v>
      </x:c>
      <x:c r="C26" s="13" t="n">
        <x:v>283889.34</x:v>
      </x:c>
      <x:c r="D26" s="13" t="n">
        <x:v>409.8</x:v>
      </x:c>
      <x:c r="E26" s="13" t="n">
        <x:f>C26-D26</x:f>
        <x:v>283479.54000000004</x:v>
      </x:c>
      <x:c r="F26" s="3" t="n">
        <x:v>93</x:v>
      </x:c>
      <x:c r="G26" s="3" t="n">
        <x:v>9</x:v>
      </x:c>
      <x:c r="H26" s="13" t="n">
        <x:f>IF(F26=0,"n.a.",C26/F26)</x:f>
        <x:v>3052.573548387097</x:v>
      </x:c>
      <x:c r="I26" s="15" t="n">
        <x:f>IF(C26=0,"n.a.",D26/C26)</x:f>
        <x:v>0.0014435202110794298</x:v>
      </x:c>
      <x:c r="J26" s="3"/>
      <x:c r="K26" s="3"/>
      <x:c r="L26" s="3"/>
    </x:row>
    <x:row r="27" ht="22" customHeight="1">
      <x:c r="A27" s="3"/>
      <x:c r="B27" s="3" t="str">
        <x:v>EIRE</x:v>
      </x:c>
      <x:c r="C27" s="13" t="n">
        <x:v>271164.3</x:v>
      </x:c>
      <x:c r="D27" s="13" t="n">
        <x:v>11500.84</x:v>
      </x:c>
      <x:c r="E27" s="13" t="n">
        <x:f>C27-D27</x:f>
        <x:v>259663.46</x:v>
      </x:c>
      <x:c r="F27" s="3" t="n">
        <x:v>282</x:v>
      </x:c>
      <x:c r="G27" s="3" t="n">
        <x:v>3</x:v>
      </x:c>
      <x:c r="H27" s="13" t="n">
        <x:f>IF(F27=0,"n.a.",C27/F27)</x:f>
        <x:v>961.5755319148935</x:v>
      </x:c>
      <x:c r="I27" s="15" t="n">
        <x:f>IF(C27=0,"n.a.",D27/C27)</x:f>
        <x:v>0.042412810240876106</x:v>
      </x:c>
      <x:c r="J27" s="3"/>
      <x:c r="K27" s="3"/>
      <x:c r="L27" s="3"/>
    </x:row>
    <x:row r="28" ht="22" customHeight="1">
      <x:c r="A28" s="3"/>
      <x:c r="B28" s="3" t="str">
        <x:v>Germany</x:v>
      </x:c>
      <x:c r="C28" s="13" t="n">
        <x:v>205569.89</x:v>
      </x:c>
      <x:c r="D28" s="13" t="n">
        <x:v>4761.49</x:v>
      </x:c>
      <x:c r="E28" s="13" t="n">
        <x:f>C28-D28</x:f>
        <x:v>200808.40000000002</x:v>
      </x:c>
      <x:c r="F28" s="3" t="n">
        <x:v>443</x:v>
      </x:c>
      <x:c r="G28" s="3" t="n">
        <x:v>94</x:v>
      </x:c>
      <x:c r="H28" s="13" t="n">
        <x:f>IF(F28=0,"n.a.",C28/F28)</x:f>
        <x:v>464.04038374717834</x:v>
      </x:c>
      <x:c r="I28" s="15" t="n">
        <x:f>IF(C28=0,"n.a.",D28/C28)</x:f>
        <x:v>0.023162390172996636</x:v>
      </x:c>
      <x:c r="J28" s="3"/>
      <x:c r="K28" s="3"/>
      <x:c r="L28" s="3"/>
    </x:row>
    <x:row r="29" ht="22" customHeight="1">
      <x:c r="A29" s="3"/>
      <x:c r="B29" s="3" t="str">
        <x:v>France</x:v>
      </x:c>
      <x:c r="C29" s="13" t="n">
        <x:v>184582.74</x:v>
      </x:c>
      <x:c r="D29" s="13" t="n">
        <x:v>2419.35</x:v>
      </x:c>
      <x:c r="E29" s="13" t="n">
        <x:f>C29-D29</x:f>
        <x:v>182163.38999999998</x:v>
      </x:c>
      <x:c r="F29" s="3" t="n">
        <x:v>382</x:v>
      </x:c>
      <x:c r="G29" s="3" t="n">
        <x:v>87</x:v>
      </x:c>
      <x:c r="H29" s="13" t="n">
        <x:f>IF(F29=0,"n.a.",C29/F29)</x:f>
        <x:v>483.200890052356</x:v>
      </x:c>
      <x:c r="I29" s="15" t="n">
        <x:f>IF(C29=0,"n.a.",D29/C29)</x:f>
        <x:v>0.013107130168292009</x:v>
      </x:c>
      <x:c r="J29" s="3"/>
      <x:c r="K29" s="3"/>
      <x:c r="L29" s="3"/>
    </x:row>
    <x:row r="30" ht="22" customHeight="1">
      <x:c r="A30" s="3"/>
      <x:c r="B30" s="3" t="str">
        <x:v>Australia</x:v>
      </x:c>
      <x:c r="C30" s="13" t="n">
        <x:v>138171.31</x:v>
      </x:c>
      <x:c r="D30" s="13" t="n">
        <x:v>1181.31</x:v>
      </x:c>
      <x:c r="E30" s="13" t="n">
        <x:f>C30-D30</x:f>
        <x:v>136990</x:v>
      </x:c>
      <x:c r="F30" s="3" t="n">
        <x:v>56</x:v>
      </x:c>
      <x:c r="G30" s="3" t="n">
        <x:v>9</x:v>
      </x:c>
      <x:c r="H30" s="13" t="n">
        <x:f>IF(F30=0,"n.a.",C30/F30)</x:f>
        <x:v>2467.3448214285713</x:v>
      </x:c>
      <x:c r="I30" s="15" t="n">
        <x:f>IF(C30=0,"n.a.",D30/C30)</x:f>
        <x:v>0.008549604111012627</x:v>
      </x:c>
      <x:c r="J30" s="3"/>
      <x:c r="K30" s="3"/>
      <x:c r="L30" s="3"/>
    </x:row>
    <x:row r="31" ht="22" customHeight="1">
      <x:c r="A31" s="3"/>
      <x:c r="B31" s="3" t="str">
        <x:v>Switzerland</x:v>
      </x:c>
      <x:c r="C31" s="13" t="n">
        <x:v>53087.9</x:v>
      </x:c>
      <x:c r="D31" s="13" t="n">
        <x:v>582.55</x:v>
      </x:c>
      <x:c r="E31" s="13" t="n">
        <x:f>C31-D31</x:f>
        <x:v>52505.35</x:v>
      </x:c>
      <x:c r="F31" s="3" t="n">
        <x:v>50</x:v>
      </x:c>
      <x:c r="G31" s="3" t="n">
        <x:v>21</x:v>
      </x:c>
      <x:c r="H31" s="13" t="n">
        <x:f>IF(F31=0,"n.a.",C31/F31)</x:f>
        <x:v>1061.758</x:v>
      </x:c>
      <x:c r="I31" s="15" t="n">
        <x:f>IF(C31=0,"n.a.",D31/C31)</x:f>
        <x:v>0.010973310302347614</x:v>
      </x:c>
      <x:c r="J31" s="3"/>
      <x:c r="K31" s="3"/>
      <x:c r="L31" s="3"/>
    </x:row>
    <x:row r="32" ht="22" customHeight="1">
      <x:c r="A32" s="3"/>
      <x:c r="B32" s="3" t="str">
        <x:v>Spain</x:v>
      </x:c>
      <x:c r="C32" s="13" t="n">
        <x:v>55725.11</x:v>
      </x:c>
      <x:c r="D32" s="13" t="n">
        <x:v>3959.91</x:v>
      </x:c>
      <x:c r="E32" s="13" t="n">
        <x:f>C32-D32</x:f>
        <x:v>51765.2</x:v>
      </x:c>
      <x:c r="F32" s="3" t="n">
        <x:v>88</x:v>
      </x:c>
      <x:c r="G32" s="3" t="n">
        <x:v>30</x:v>
      </x:c>
      <x:c r="H32" s="13" t="n">
        <x:f>IF(F32=0,"n.a.",C32/F32)</x:f>
        <x:v>633.2398863636364</x:v>
      </x:c>
      <x:c r="I32" s="15" t="n">
        <x:f>IF(C32=0,"n.a.",D32/C32)</x:f>
        <x:v>0.07106150171798674</x:v>
      </x:c>
      <x:c r="J32" s="3"/>
      <x:c r="K32" s="3"/>
      <x:c r="L32" s="3"/>
    </x:row>
    <x:row r="33" ht="22" customHeight="1">
      <x:c r="A33" s="3"/>
      <x:c r="B33" s="3" t="str">
        <x:v>Belgium</x:v>
      </x:c>
      <x:c r="C33" s="13" t="n">
        <x:v>36927.34</x:v>
      </x:c>
      <x:c r="D33" s="13" t="n">
        <x:v>264.38</x:v>
      </x:c>
      <x:c r="E33" s="13" t="n">
        <x:f>C33-D33</x:f>
        <x:v>36662.96</x:v>
      </x:c>
      <x:c r="F33" s="3" t="n">
        <x:v>98</x:v>
      </x:c>
      <x:c r="G33" s="3" t="n">
        <x:v>25</x:v>
      </x:c>
      <x:c r="H33" s="13" t="n">
        <x:f>IF(F33=0,"n.a.",C33/F33)</x:f>
        <x:v>376.8095918367347</x:v>
      </x:c>
      <x:c r="I33" s="15" t="n">
        <x:f>IF(C33=0,"n.a.",D33/C33)</x:f>
        <x:v>0.007159465046764809</x:v>
      </x:c>
      <x:c r="J33" s="3"/>
      <x:c r="K33" s="3"/>
      <x:c r="L33" s="3"/>
    </x:row>
    <x:row r="34" ht="22" customHeight="1">
      <x:c r="A34" s="3"/>
      <x:c r="B34" s="3" t="str">
        <x:v>Japan</x:v>
      </x:c>
      <x:c r="C34" s="13" t="n">
        <x:v>37416.37</x:v>
      </x:c>
      <x:c r="D34" s="13" t="n">
        <x:v>1996.58</x:v>
      </x:c>
      <x:c r="E34" s="13" t="n">
        <x:f>C34-D34</x:f>
        <x:v>35419.79</x:v>
      </x:c>
      <x:c r="F34" s="3" t="n">
        <x:v>19</x:v>
      </x:c>
      <x:c r="G34" s="3" t="n">
        <x:v>8</x:v>
      </x:c>
      <x:c r="H34" s="13" t="n">
        <x:f>IF(F34=0,"n.a.",C34/F34)</x:f>
        <x:v>1969.2826315789475</x:v>
      </x:c>
      <x:c r="I34" s="15" t="n">
        <x:f>IF(C34=0,"n.a.",D34/C34)</x:f>
        <x:v>0.05336113578094293</x:v>
      </x:c>
      <x:c r="J34" s="3"/>
      <x:c r="K34" s="3"/>
      <x:c r="L34" s="3"/>
    </x:row>
    <x:row r="35" ht="22" customHeight="1">
      <x:c r="A35" s="3"/>
      <x:c r="B35" s="3" t="str">
        <x:v>Sweden</x:v>
      </x:c>
      <x:c r="C35" s="13" t="n">
        <x:v>36839.33</x:v>
      </x:c>
      <x:c r="D35" s="13" t="n">
        <x:v>1662.42</x:v>
      </x:c>
      <x:c r="E35" s="13" t="n">
        <x:f>C35-D35</x:f>
        <x:v>35176.91</x:v>
      </x:c>
      <x:c r="F35" s="3" t="n">
        <x:v>34</x:v>
      </x:c>
      <x:c r="G35" s="3" t="n">
        <x:v>8</x:v>
      </x:c>
      <x:c r="H35" s="13" t="n">
        <x:f>IF(F35=0,"n.a.",C35/F35)</x:f>
        <x:v>1083.509705882353</x:v>
      </x:c>
      <x:c r="I35" s="15" t="n">
        <x:f>IF(C35=0,"n.a.",D35/C35)</x:f>
        <x:v>0.045126227865707656</x:v>
      </x:c>
      <x:c r="J35" s="3"/>
      <x:c r="K35" s="3"/>
      <x:c r="L35" s="3"/>
    </x:row>
    <x:row r="36" ht="22" customHeight="1">
      <x:c r="A36" s="3"/>
      <x:c r="B36" s="3" t="str">
        <x:v>Norway</x:v>
      </x:c>
      <x:c r="C36" s="13" t="n">
        <x:v>32454.64</x:v>
      </x:c>
      <x:c r="D36" s="13" t="n">
        <x:v>161.68</x:v>
      </x:c>
      <x:c r="E36" s="13" t="n">
        <x:f>C36-D36</x:f>
        <x:v>32292.96</x:v>
      </x:c>
      <x:c r="F36" s="3" t="n">
        <x:v>32</x:v>
      </x:c>
      <x:c r="G36" s="3" t="n">
        <x:v>10</x:v>
      </x:c>
      <x:c r="H36" s="13" t="n">
        <x:f>IF(F36=0,"n.a.",C36/F36)</x:f>
        <x:v>1014.2075</x:v>
      </x:c>
      <x:c r="I36" s="15" t="n">
        <x:f>IF(C36=0,"n.a.",D36/C36)</x:f>
        <x:v>0.0049817221820978455</x:v>
      </x:c>
      <x:c r="J36" s="3"/>
      <x:c r="K36" s="3"/>
      <x:c r="L36" s="3"/>
    </x:row>
    <x:row r="37" ht="22" customHeight="1">
      <x:c r="A37" s="3"/>
      <x:c r="B37" s="3" t="str">
        <x:v>Portugal</x:v>
      </x:c>
      <x:c r="C37" s="13" t="n">
        <x:v>27015.16</x:v>
      </x:c>
      <x:c r="D37" s="13" t="n">
        <x:v>143.64</x:v>
      </x:c>
      <x:c r="E37" s="13" t="n">
        <x:f>C37-D37</x:f>
        <x:v>26871.52</x:v>
      </x:c>
      <x:c r="F37" s="3" t="n">
        <x:v>50</x:v>
      </x:c>
      <x:c r="G37" s="3" t="n">
        <x:v>19</x:v>
      </x:c>
      <x:c r="H37" s="13" t="n">
        <x:f>IF(F37=0,"n.a.",C37/F37)</x:f>
        <x:v>540.3032</x:v>
      </x:c>
      <x:c r="I37" s="15" t="n">
        <x:f>IF(C37=0,"n.a.",D37/C37)</x:f>
        <x:v>0.00531701459476827</x:v>
      </x:c>
      <x:c r="J37" s="3"/>
      <x:c r="K37" s="3"/>
      <x:c r="L37" s="3"/>
    </x:row>
    <x:row r="38" ht="22" customHeight="1">
      <x:c r="A38" s="3"/>
      <x:c r="B38" s="3" t="str">
        <x:v>Channel Islands</x:v>
      </x:c>
      <x:c r="C38" s="13" t="n">
        <x:v>20007.44</x:v>
      </x:c>
      <x:c r="D38" s="13" t="n">
        <x:v>71.15</x:v>
      </x:c>
      <x:c r="E38" s="13" t="n">
        <x:f>C38-D38</x:f>
        <x:v>19936.289999999997</x:v>
      </x:c>
      <x:c r="F38" s="3" t="n">
        <x:v>25</x:v>
      </x:c>
      <x:c r="G38" s="3" t="n">
        <x:v>9</x:v>
      </x:c>
      <x:c r="H38" s="13" t="n">
        <x:f>IF(F38=0,"n.a.",C38/F38)</x:f>
        <x:v>800.2976</x:v>
      </x:c>
      <x:c r="I38" s="15" t="n">
        <x:f>IF(C38=0,"n.a.",D38/C38)</x:f>
        <x:v>0.0035561771021180126</x:v>
      </x:c>
      <x:c r="J38" s="3"/>
      <x:c r="K38" s="3"/>
      <x:c r="L38" s="3"/>
    </x:row>
    <x:row r="39" ht="22" customHeight="1">
      <x:c r="A39" s="3"/>
      <x:c r="B39" s="3" t="str">
        <x:v>Finland</x:v>
      </x:c>
      <x:c r="C39" s="13" t="n">
        <x:v>18344.88</x:v>
      </x:c>
      <x:c r="D39" s="13" t="n">
        <x:v>41.34</x:v>
      </x:c>
      <x:c r="E39" s="13" t="n">
        <x:f>C39-D39</x:f>
        <x:v>18303.54</x:v>
      </x:c>
      <x:c r="F39" s="3" t="n">
        <x:v>40</x:v>
      </x:c>
      <x:c r="G39" s="3" t="n">
        <x:v>12</x:v>
      </x:c>
      <x:c r="H39" s="13" t="n">
        <x:f>IF(F39=0,"n.a.",C39/F39)</x:f>
        <x:v>458.622</x:v>
      </x:c>
      <x:c r="I39" s="15" t="n">
        <x:f>IF(C39=0,"n.a.",D39/C39)</x:f>
        <x:v>0.002253489802059212</x:v>
      </x:c>
      <x:c r="J39" s="3"/>
      <x:c r="K39" s="3"/>
      <x:c r="L39" s="3"/>
    </x:row>
    <x:row r="40" ht="22" customHeight="1">
      <x:c r="A40" s="3"/>
      <x:c r="B40" s="3" t="str">
        <x:v>Denmark</x:v>
      </x:c>
      <x:c r="C40" s="13" t="n">
        <x:v>18211.34</x:v>
      </x:c>
      <x:c r="D40" s="13" t="n">
        <x:v>169.2</x:v>
      </x:c>
      <x:c r="E40" s="13" t="n">
        <x:f>C40-D40</x:f>
        <x:v>18042.14</x:v>
      </x:c>
      <x:c r="F40" s="3" t="n">
        <x:v>18</x:v>
      </x:c>
      <x:c r="G40" s="3" t="n">
        <x:v>9</x:v>
      </x:c>
      <x:c r="H40" s="13" t="n">
        <x:f>IF(F40=0,"n.a.",C40/F40)</x:f>
        <x:v>1011.7411111111111</x:v>
      </x:c>
      <x:c r="I40" s="15" t="n">
        <x:f>IF(C40=0,"n.a.",D40/C40)</x:f>
        <x:v>0.009290914342382273</x:v>
      </x:c>
      <x:c r="J40" s="3"/>
      <x:c r="K40" s="3"/>
      <x:c r="L40" s="3"/>
    </x:row>
    <x:row r="41" ht="22" customHeight="1">
      <x:c r="A41" s="3"/>
      <x:c r="B41" s="3" t="str">
        <x:v>Italy</x:v>
      </x:c>
      <x:c r="C41" s="13" t="n">
        <x:v>15820.24</x:v>
      </x:c>
      <x:c r="D41" s="13" t="n">
        <x:v>543.9</x:v>
      </x:c>
      <x:c r="E41" s="13" t="n">
        <x:f>C41-D41</x:f>
        <x:v>15276.34</x:v>
      </x:c>
      <x:c r="F41" s="3" t="n">
        <x:v>35</x:v>
      </x:c>
      <x:c r="G41" s="3" t="n">
        <x:v>14</x:v>
      </x:c>
      <x:c r="H41" s="13" t="n">
        <x:f>IF(F41=0,"n.a.",C41/F41)</x:f>
        <x:v>452.00685714285714</x:v>
      </x:c>
      <x:c r="I41" s="15" t="n">
        <x:f>IF(C41=0,"n.a.",D41/C41)</x:f>
        <x:v>0.034380009405672735</x:v>
      </x:c>
      <x:c r="J41" s="3"/>
      <x:c r="K41" s="3"/>
      <x:c r="L41" s="3"/>
    </x:row>
    <x:row r="42" ht="22" customHeight="1">
      <x:c r="A42" s="3"/>
      <x:c r="B42" s="3" t="str">
        <x:v>Cyprus</x:v>
      </x:c>
      <x:c r="C42" s="13" t="n">
        <x:v>13254.69</x:v>
      </x:c>
      <x:c r="D42" s="13" t="n">
        <x:v>323.4</x:v>
      </x:c>
      <x:c r="E42" s="13" t="n">
        <x:f>C42-D42</x:f>
        <x:v>12931.29</x:v>
      </x:c>
      <x:c r="F42" s="3" t="n">
        <x:v>14</x:v>
      </x:c>
      <x:c r="G42" s="3" t="n">
        <x:v>8</x:v>
      </x:c>
      <x:c r="H42" s="13" t="n">
        <x:f>IF(F42=0,"n.a.",C42/F42)</x:f>
        <x:v>946.7635714285715</x:v>
      </x:c>
      <x:c r="I42" s="15" t="n">
        <x:f>IF(C42=0,"n.a.",D42/C42)</x:f>
        <x:v>0.024398910876074806</x:v>
      </x:c>
      <x:c r="J42" s="3"/>
      <x:c r="K42" s="3"/>
      <x:c r="L42" s="3"/>
    </x:row>
    <x:row r="43" ht="22" customHeight="1">
      <x:c r="A43" s="3"/>
      <x:c r="B43" s="3" t="str">
        <x:v>Hong Kong</x:v>
      </x:c>
      <x:c r="C43" s="13" t="n">
        <x:v>9952.99</x:v>
      </x:c>
      <x:c r="D43" s="13" t="n">
        <x:v>10.95</x:v>
      </x:c>
      <x:c r="E43" s="13" t="n">
        <x:f>C43-D43</x:f>
        <x:v>9942.039999999999</x:v>
      </x:c>
      <x:c r="F43" s="3" t="n">
        <x:v>7</x:v>
      </x:c>
      <x:c r="G43" s="3" t="n">
        <x:v>0</x:v>
      </x:c>
      <x:c r="H43" s="13" t="n">
        <x:f>IF(F43=0,"n.a.",C43/F43)</x:f>
        <x:v>1421.8557142857142</x:v>
      </x:c>
      <x:c r="I43" s="15" t="n">
        <x:f>IF(C43=0,"n.a.",D43/C43)</x:f>
        <x:v>0.0011001719081401668</x:v>
      </x:c>
      <x:c r="J43" s="3"/>
      <x:c r="K43" s="3"/>
      <x:c r="L43" s="3"/>
    </x:row>
    <x:row r="44" ht="22" customHeight="1">
      <x:c r="A44" s="3"/>
      <x:c r="B44" s="3" t="str">
        <x:v>Singapore</x:v>
      </x:c>
      <x:c r="C44" s="13" t="n">
        <x:v>9120.39</x:v>
      </x:c>
      <x:c r="D44" s="13" t="n">
        <x:v>0</x:v>
      </x:c>
      <x:c r="E44" s="13" t="n">
        <x:f>C44-D44</x:f>
        <x:v>9120.39</x:v>
      </x:c>
      <x:c r="F44" s="3" t="n">
        <x:v>4</x:v>
      </x:c>
      <x:c r="G44" s="3" t="n">
        <x:v>1</x:v>
      </x:c>
      <x:c r="H44" s="13" t="n">
        <x:f>IF(F44=0,"n.a.",C44/F44)</x:f>
        <x:v>2280.0975</x:v>
      </x:c>
      <x:c r="I44" s="15" t="n">
        <x:f>IF(C44=0,"n.a.",D44/C44)</x:f>
        <x:v>0</x:v>
      </x:c>
      <x:c r="J44" s="3"/>
      <x:c r="K44" s="3"/>
      <x:c r="L44" s="3"/>
    </x:row>
    <x:row r="45" ht="22" customHeight="1">
      <x:c r="A45" s="3"/>
      <x:c r="B45" s="3" t="str">
        <x:v>Austria</x:v>
      </x:c>
      <x:c r="C45" s="13" t="n">
        <x:v>8742.68</x:v>
      </x:c>
      <x:c r="D45" s="13" t="n">
        <x:v>44.36</x:v>
      </x:c>
      <x:c r="E45" s="13" t="n">
        <x:f>C45-D45</x:f>
        <x:v>8698.32</x:v>
      </x:c>
      <x:c r="F45" s="3" t="n">
        <x:v>17</x:v>
      </x:c>
      <x:c r="G45" s="3" t="n">
        <x:v>11</x:v>
      </x:c>
      <x:c r="H45" s="13" t="n">
        <x:f>IF(F45=0,"n.a.",C45/F45)</x:f>
        <x:v>514.275294117647</x:v>
      </x:c>
      <x:c r="I45" s="15" t="n">
        <x:f>IF(C45=0,"n.a.",D45/C45)</x:f>
        <x:v>0.005073959014855856</x:v>
      </x:c>
      <x:c r="J45" s="3"/>
      <x:c r="K45" s="3"/>
      <x:c r="L45" s="3"/>
    </x:row>
    <x:row r="46" ht="22" customHeight="1">
      <x:c r="A46" s="3"/>
      <x:c r="B46" s="3" t="str">
        <x:v>Israel</x:v>
      </x:c>
      <x:c r="C46" s="13" t="n">
        <x:v>8135.26</x:v>
      </x:c>
      <x:c r="D46" s="13" t="n">
        <x:v>227.44</x:v>
      </x:c>
      <x:c r="E46" s="13" t="n">
        <x:f>C46-D46</x:f>
        <x:v>7907.820000000001</x:v>
      </x:c>
      <x:c r="F46" s="3" t="n">
        <x:v>8</x:v>
      </x:c>
      <x:c r="G46" s="3" t="n">
        <x:v>3</x:v>
      </x:c>
      <x:c r="H46" s="13" t="n">
        <x:f>IF(F46=0,"n.a.",C46/F46)</x:f>
        <x:v>1016.9075</x:v>
      </x:c>
      <x:c r="I46" s="15" t="n">
        <x:f>IF(C46=0,"n.a.",D46/C46)</x:f>
        <x:v>0.02795731175156049</x:v>
      </x:c>
      <x:c r="J46" s="3"/>
      <x:c r="K46" s="3"/>
      <x:c r="L46" s="3"/>
    </x:row>
    <x:row r="47" ht="22" customHeight="1">
      <x:c r="A47" s="3"/>
      <x:c r="B47" s="3" t="str">
        <x:v>Poland</x:v>
      </x:c>
      <x:c r="C47" s="13" t="n">
        <x:v>6974.65</x:v>
      </x:c>
      <x:c r="D47" s="13" t="n">
        <x:v>121.51</x:v>
      </x:c>
      <x:c r="E47" s="13" t="n">
        <x:f>C47-D47</x:f>
        <x:v>6853.139999999999</x:v>
      </x:c>
      <x:c r="F47" s="3" t="n">
        <x:v>19</x:v>
      </x:c>
      <x:c r="G47" s="3" t="n">
        <x:v>6</x:v>
      </x:c>
      <x:c r="H47" s="13" t="n">
        <x:f>IF(F47=0,"n.a.",C47/F47)</x:f>
        <x:v>367.08684210526314</x:v>
      </x:c>
      <x:c r="I47" s="15" t="n">
        <x:f>IF(C47=0,"n.a.",D47/C47)</x:f>
        <x:v>0.01742166273576452</x:v>
      </x:c>
      <x:c r="J47" s="3"/>
      <x:c r="K47" s="3"/>
      <x:c r="L47" s="3"/>
    </x:row>
    <x:row r="48" ht="22" customHeight="1">
      <x:c r="A48" s="3"/>
      <x:c r="B48" s="3" t="str">
        <x:v>Unspecified</x:v>
      </x:c>
      <x:c r="C48" s="13" t="n">
        <x:v>4749.79</x:v>
      </x:c>
      <x:c r="D48" s="13" t="n">
        <x:v>0</x:v>
      </x:c>
      <x:c r="E48" s="13" t="n">
        <x:f>C48-D48</x:f>
        <x:v>4749.79</x:v>
      </x:c>
      <x:c r="F48" s="3" t="n">
        <x:v>13</x:v>
      </x:c>
      <x:c r="G48" s="3" t="n">
        <x:v>4</x:v>
      </x:c>
      <x:c r="H48" s="13" t="n">
        <x:f>IF(F48=0,"n.a.",C48/F48)</x:f>
        <x:v>365.36846153846153</x:v>
      </x:c>
      <x:c r="I48" s="15" t="n">
        <x:f>IF(C48=0,"n.a.",D48/C48)</x:f>
        <x:v>0</x:v>
      </x:c>
      <x:c r="J48" s="3"/>
      <x:c r="K48" s="3"/>
      <x:c r="L48" s="3"/>
    </x:row>
    <x:row r="49" ht="22" customHeight="1">
      <x:c r="A49" s="3"/>
      <x:c r="B49" s="3" t="str">
        <x:v>Greece</x:v>
      </x:c>
      <x:c r="C49" s="13" t="n">
        <x:v>4425.52</x:v>
      </x:c>
      <x:c r="D49" s="13" t="n">
        <x:v>0</x:v>
      </x:c>
      <x:c r="E49" s="13" t="n">
        <x:f>C49-D49</x:f>
        <x:v>4425.52</x:v>
      </x:c>
      <x:c r="F49" s="3" t="n">
        <x:v>5</x:v>
      </x:c>
      <x:c r="G49" s="3" t="n">
        <x:v>4</x:v>
      </x:c>
      <x:c r="H49" s="13" t="n">
        <x:f>IF(F49=0,"n.a.",C49/F49)</x:f>
        <x:v>885.104</x:v>
      </x:c>
      <x:c r="I49" s="15" t="n">
        <x:f>IF(C49=0,"n.a.",D49/C49)</x:f>
        <x:v>0</x:v>
      </x:c>
      <x:c r="J49" s="3"/>
      <x:c r="K49" s="3"/>
      <x:c r="L49" s="3"/>
    </x:row>
    <x:row r="50" ht="22" customHeight="1">
      <x:c r="A50" s="3"/>
      <x:c r="B50" s="3" t="str">
        <x:v>Iceland</x:v>
      </x:c>
      <x:c r="C50" s="13" t="n">
        <x:v>4310</x:v>
      </x:c>
      <x:c r="D50" s="13" t="n">
        <x:v>0</x:v>
      </x:c>
      <x:c r="E50" s="13" t="n">
        <x:f>C50-D50</x:f>
        <x:v>4310</x:v>
      </x:c>
      <x:c r="F50" s="3" t="n">
        <x:v>7</x:v>
      </x:c>
      <x:c r="G50" s="3" t="n">
        <x:v>1</x:v>
      </x:c>
      <x:c r="H50" s="13" t="n">
        <x:f>IF(F50=0,"n.a.",C50/F50)</x:f>
        <x:v>615.7142857142857</x:v>
      </x:c>
      <x:c r="I50" s="15" t="n">
        <x:f>IF(C50=0,"n.a.",D50/C50)</x:f>
        <x:v>0</x:v>
      </x:c>
      <x:c r="J50" s="3"/>
      <x:c r="K50" s="3"/>
      <x:c r="L50" s="3"/>
    </x:row>
    <x:row r="51" ht="22" customHeight="1">
      <x:c r="A51" s="3"/>
      <x:c r="B51" s="3" t="str">
        <x:v>Canada</x:v>
      </x:c>
      <x:c r="C51" s="13" t="n">
        <x:v>3115.44</x:v>
      </x:c>
      <x:c r="D51" s="13" t="n">
        <x:v>0</x:v>
      </x:c>
      <x:c r="E51" s="13" t="n">
        <x:f>C51-D51</x:f>
        <x:v>3115.44</x:v>
      </x:c>
      <x:c r="F51" s="3" t="n">
        <x:v>5</x:v>
      </x:c>
      <x:c r="G51" s="3" t="n">
        <x:v>4</x:v>
      </x:c>
      <x:c r="H51" s="13" t="n">
        <x:f>IF(F51=0,"n.a.",C51/F51)</x:f>
        <x:v>623.088</x:v>
      </x:c>
      <x:c r="I51" s="15" t="n">
        <x:f>IF(C51=0,"n.a.",D51/C51)</x:f>
        <x:v>0</x:v>
      </x:c>
      <x:c r="J51" s="3"/>
      <x:c r="K51" s="3"/>
      <x:c r="L51" s="3"/>
    </x:row>
    <x:row r="52" ht="22" customHeight="1">
      <x:c r="A52" s="3"/>
      <x:c r="B52" s="3" t="str">
        <x:v>Malta</x:v>
      </x:c>
      <x:c r="C52" s="13" t="n">
        <x:v>2070.59</x:v>
      </x:c>
      <x:c r="D52" s="13" t="n">
        <x:v>90.12</x:v>
      </x:c>
      <x:c r="E52" s="13" t="n">
        <x:f>C52-D52</x:f>
        <x:v>1980.4700000000003</x:v>
      </x:c>
      <x:c r="F52" s="3" t="n">
        <x:v>5</x:v>
      </x:c>
      <x:c r="G52" s="3" t="n">
        <x:v>2</x:v>
      </x:c>
      <x:c r="H52" s="13" t="n">
        <x:f>IF(F52=0,"n.a.",C52/F52)</x:f>
        <x:v>414.11800000000005</x:v>
      </x:c>
      <x:c r="I52" s="15" t="n">
        <x:f>IF(C52=0,"n.a.",D52/C52)</x:f>
        <x:v>0.043523826542193285</x:v>
      </x:c>
      <x:c r="J52" s="3"/>
      <x:c r="K52" s="3"/>
      <x:c r="L52" s="3"/>
    </x:row>
    <x:row r="53" ht="22" customHeight="1">
      <x:c r="A53" s="3"/>
      <x:c r="B53" s="3" t="str">
        <x:v>United Arab Emirates</x:v>
      </x:c>
      <x:c r="C53" s="13" t="n">
        <x:v>1864.78</x:v>
      </x:c>
      <x:c r="D53" s="13" t="n">
        <x:v>0</x:v>
      </x:c>
      <x:c r="E53" s="13" t="n">
        <x:f>C53-D53</x:f>
        <x:v>1864.78</x:v>
      </x:c>
      <x:c r="F53" s="3" t="n">
        <x:v>2</x:v>
      </x:c>
      <x:c r="G53" s="3" t="n">
        <x:v>2</x:v>
      </x:c>
      <x:c r="H53" s="13" t="n">
        <x:f>IF(F53=0,"n.a.",C53/F53)</x:f>
        <x:v>932.39</x:v>
      </x:c>
      <x:c r="I53" s="15" t="n">
        <x:f>IF(C53=0,"n.a.",D53/C53)</x:f>
        <x:v>0</x:v>
      </x:c>
      <x:c r="J53" s="3"/>
      <x:c r="K53" s="3"/>
      <x:c r="L53" s="3"/>
    </x:row>
    <x:row r="54" ht="22" customHeight="1">
      <x:c r="A54" s="3"/>
      <x:c r="B54" s="3" t="str">
        <x:v>USA</x:v>
      </x:c>
      <x:c r="C54" s="13" t="n">
        <x:v>3580.39</x:v>
      </x:c>
      <x:c r="D54" s="13" t="n">
        <x:v>1849.47</x:v>
      </x:c>
      <x:c r="E54" s="13" t="n">
        <x:f>C54-D54</x:f>
        <x:v>1730.9199999999998</x:v>
      </x:c>
      <x:c r="F54" s="3" t="n">
        <x:v>5</x:v>
      </x:c>
      <x:c r="G54" s="3" t="n">
        <x:v>4</x:v>
      </x:c>
      <x:c r="H54" s="13" t="n">
        <x:f>IF(F54=0,"n.a.",C54/F54)</x:f>
        <x:v>716.078</x:v>
      </x:c>
      <x:c r="I54" s="15" t="n">
        <x:f>IF(C54=0,"n.a.",D54/C54)</x:f>
        <x:v>0.5165554590421714</x:v>
      </x:c>
      <x:c r="J54" s="3"/>
      <x:c r="K54" s="3"/>
      <x:c r="L54" s="3"/>
    </x:row>
    <x:row r="55" ht="22" customHeight="1">
      <x:c r="A55" s="3"/>
      <x:c r="B55" s="3" t="str">
        <x:v>Lebanon</x:v>
      </x:c>
      <x:c r="C55" s="13" t="n">
        <x:v>1693.88</x:v>
      </x:c>
      <x:c r="D55" s="13" t="n">
        <x:v>0</x:v>
      </x:c>
      <x:c r="E55" s="13" t="n">
        <x:f>C55-D55</x:f>
        <x:v>1693.88</x:v>
      </x:c>
      <x:c r="F55" s="3" t="n">
        <x:v>1</x:v>
      </x:c>
      <x:c r="G55" s="3" t="n">
        <x:v>1</x:v>
      </x:c>
      <x:c r="H55" s="13" t="n">
        <x:f>IF(F55=0,"n.a.",C55/F55)</x:f>
        <x:v>1693.88</x:v>
      </x:c>
      <x:c r="I55" s="15" t="n">
        <x:f>IF(C55=0,"n.a.",D55/C55)</x:f>
        <x:v>0</x:v>
      </x:c>
      <x:c r="J55" s="3"/>
      <x:c r="K55" s="3"/>
      <x:c r="L55" s="3"/>
    </x:row>
    <x:row r="56" ht="22" customHeight="1">
      <x:c r="A56" s="3"/>
      <x:c r="B56" s="3" t="str">
        <x:v>Lithuania</x:v>
      </x:c>
      <x:c r="C56" s="13" t="n">
        <x:v>1661.06</x:v>
      </x:c>
      <x:c r="D56" s="13" t="n">
        <x:v>0</x:v>
      </x:c>
      <x:c r="E56" s="13" t="n">
        <x:f>C56-D56</x:f>
        <x:v>1661.06</x:v>
      </x:c>
      <x:c r="F56" s="3" t="n">
        <x:v>4</x:v>
      </x:c>
      <x:c r="G56" s="3" t="n">
        <x:v>1</x:v>
      </x:c>
      <x:c r="H56" s="13" t="n">
        <x:f>IF(F56=0,"n.a.",C56/F56)</x:f>
        <x:v>415.265</x:v>
      </x:c>
      <x:c r="I56" s="15" t="n">
        <x:f>IF(C56=0,"n.a.",D56/C56)</x:f>
        <x:v>0</x:v>
      </x:c>
      <x:c r="J56" s="3"/>
      <x:c r="K56" s="3"/>
      <x:c r="L56" s="3"/>
    </x:row>
    <x:row r="57" ht="22" customHeight="1">
      <x:c r="A57" s="3"/>
      <x:c r="B57" s="3" t="str">
        <x:v>European Community</x:v>
      </x:c>
      <x:c r="C57" s="13" t="n">
        <x:v>1159.25</x:v>
      </x:c>
      <x:c r="D57" s="13" t="n">
        <x:v>8.5</x:v>
      </x:c>
      <x:c r="E57" s="13" t="n">
        <x:f>C57-D57</x:f>
        <x:v>1150.75</x:v>
      </x:c>
      <x:c r="F57" s="3" t="n">
        <x:v>3</x:v>
      </x:c>
      <x:c r="G57" s="3" t="n">
        <x:v>1</x:v>
      </x:c>
      <x:c r="H57" s="13" t="n">
        <x:f>IF(F57=0,"n.a.",C57/F57)</x:f>
        <x:v>386.4166666666667</x:v>
      </x:c>
      <x:c r="I57" s="15" t="n">
        <x:f>IF(C57=0,"n.a.",D57/C57)</x:f>
        <x:v>0.007332326935518654</x:v>
      </x:c>
      <x:c r="J57" s="3"/>
      <x:c r="K57" s="3"/>
      <x:c r="L57" s="3"/>
    </x:row>
    <x:row r="58" ht="22" customHeight="1">
      <x:c r="A58" s="3"/>
      <x:c r="B58" s="3" t="str">
        <x:v>Brazil</x:v>
      </x:c>
      <x:c r="C58" s="13" t="n">
        <x:v>1143.6</x:v>
      </x:c>
      <x:c r="D58" s="13" t="n">
        <x:v>0</x:v>
      </x:c>
      <x:c r="E58" s="13" t="n">
        <x:f>C58-D58</x:f>
        <x:v>1143.6</x:v>
      </x:c>
      <x:c r="F58" s="3" t="n">
        <x:v>1</x:v>
      </x:c>
      <x:c r="G58" s="3" t="n">
        <x:v>1</x:v>
      </x:c>
      <x:c r="H58" s="13" t="n">
        <x:f>IF(F58=0,"n.a.",C58/F58)</x:f>
        <x:v>1143.6</x:v>
      </x:c>
      <x:c r="I58" s="15" t="n">
        <x:f>IF(C58=0,"n.a.",D58/C58)</x:f>
        <x:v>0</x:v>
      </x:c>
      <x:c r="J58" s="3"/>
      <x:c r="K58" s="3"/>
      <x:c r="L58" s="3"/>
    </x:row>
    <x:row r="59" ht="22" customHeight="1">
      <x:c r="A59" s="3"/>
      <x:c r="B59" s="3" t="str">
        <x:v>RSA</x:v>
      </x:c>
      <x:c r="C59" s="13" t="n">
        <x:v>1002.31</x:v>
      </x:c>
      <x:c r="D59" s="13" t="n">
        <x:v>0</x:v>
      </x:c>
      <x:c r="E59" s="13" t="n">
        <x:f>C59-D59</x:f>
        <x:v>1002.31</x:v>
      </x:c>
      <x:c r="F59" s="3" t="n">
        <x:v>1</x:v>
      </x:c>
      <x:c r="G59" s="3" t="n">
        <x:v>1</x:v>
      </x:c>
      <x:c r="H59" s="13" t="n">
        <x:f>IF(F59=0,"n.a.",C59/F59)</x:f>
        <x:v>1002.31</x:v>
      </x:c>
      <x:c r="I59" s="15" t="n">
        <x:f>IF(C59=0,"n.a.",D59/C59)</x:f>
        <x:v>0</x:v>
      </x:c>
      <x:c r="J59" s="3"/>
      <x:c r="K59" s="3"/>
      <x:c r="L59" s="3"/>
    </x:row>
    <x:row r="60" ht="22" customHeight="1">
      <x:c r="A60" s="3"/>
      <x:c r="B60" s="3" t="str">
        <x:v>Czech Republic</x:v>
      </x:c>
      <x:c r="C60" s="13" t="n">
        <x:v>786.74</x:v>
      </x:c>
      <x:c r="D60" s="13" t="n">
        <x:v>115.02</x:v>
      </x:c>
      <x:c r="E60" s="13" t="n">
        <x:f>C60-D60</x:f>
        <x:v>671.72</x:v>
      </x:c>
      <x:c r="F60" s="3" t="n">
        <x:v>2</x:v>
      </x:c>
      <x:c r="G60" s="3" t="n">
        <x:v>1</x:v>
      </x:c>
      <x:c r="H60" s="13" t="n">
        <x:f>IF(F60=0,"n.a.",C60/F60)</x:f>
        <x:v>393.37</x:v>
      </x:c>
      <x:c r="I60" s="15" t="n">
        <x:f>IF(C60=0,"n.a.",D60/C60)</x:f>
        <x:v>0.1461982357576836</x:v>
      </x:c>
      <x:c r="J60" s="3"/>
      <x:c r="K60" s="3"/>
      <x:c r="L60" s="3"/>
    </x:row>
    <x:row r="61" ht="22" customHeight="1">
      <x:c r="A61" s="3"/>
      <x:c r="B61" s="3" t="str">
        <x:v>Bahrain</x:v>
      </x:c>
      <x:c r="C61" s="13" t="n">
        <x:v>754.14</x:v>
      </x:c>
      <x:c r="D61" s="13" t="n">
        <x:v>205.74</x:v>
      </x:c>
      <x:c r="E61" s="13" t="n">
        <x:f>C61-D61</x:f>
        <x:v>548.4</x:v>
      </x:c>
      <x:c r="F61" s="3" t="n">
        <x:v>3</x:v>
      </x:c>
      <x:c r="G61" s="3" t="n">
        <x:v>2</x:v>
      </x:c>
      <x:c r="H61" s="13" t="n">
        <x:f>IF(F61=0,"n.a.",C61/F61)</x:f>
        <x:v>251.38</x:v>
      </x:c>
      <x:c r="I61" s="15" t="n">
        <x:f>IF(C61=0,"n.a.",D61/C61)</x:f>
        <x:v>0.27281406635372746</x:v>
      </x:c>
      <x:c r="J61" s="3"/>
      <x:c r="K61" s="3"/>
      <x:c r="L61" s="3"/>
    </x:row>
    <x:row r="62" ht="22" customHeight="1">
      <x:c r="A62" s="3"/>
      <x:c r="B62" s="3" t="str">
        <x:v>Saudi Arabia</x:v>
      </x:c>
      <x:c r="C62" s="13" t="n">
        <x:v>145.92</x:v>
      </x:c>
      <x:c r="D62" s="13" t="n">
        <x:v>14.75</x:v>
      </x:c>
      <x:c r="E62" s="13" t="n">
        <x:f>C62-D62</x:f>
        <x:v>131.17</x:v>
      </x:c>
      <x:c r="F62" s="3" t="n">
        <x:v>1</x:v>
      </x:c>
      <x:c r="G62" s="3" t="n">
        <x:v>1</x:v>
      </x:c>
      <x:c r="H62" s="13" t="n">
        <x:f>IF(F62=0,"n.a.",C62/F62)</x:f>
        <x:v>145.92</x:v>
      </x:c>
      <x:c r="I62" s="15" t="n">
        <x:f>IF(C62=0,"n.a.",D62/C62)</x:f>
        <x:v>0.10108278508771931</x:v>
      </x:c>
      <x:c r="J62" s="3"/>
      <x:c r="K62" s="3"/>
      <x:c r="L62" s="3"/>
    </x:row>
    <x:row r="63" ht="22" customHeight="1">
      <x:c r="A63" s="3"/>
      <x:c r="B63" s="3"/>
      <x:c r="C63" s="13"/>
      <x:c r="D63" s="13"/>
      <x:c r="E63" s="13"/>
      <x:c r="F63" s="3"/>
      <x:c r="G63" s="3"/>
      <x:c r="H63" s="13"/>
      <x:c r="I63" s="15"/>
      <x:c r="J63" s="3"/>
      <x:c r="K63" s="3"/>
      <x:c r="L63" s="3"/>
    </x:row>
    <x:row r="64" ht="22" customHeight="1">
      <x:c r="A64" s="3"/>
      <x:c r="B64" s="3"/>
      <x:c r="C64" s="13"/>
      <x:c r="D64" s="13"/>
      <x:c r="E64" s="13"/>
      <x:c r="F64" s="3"/>
      <x:c r="G64" s="3"/>
      <x:c r="H64" s="13"/>
      <x:c r="I64" s="15"/>
      <x:c r="J64" s="3"/>
      <x:c r="K64" s="3"/>
      <x:c r="L64" s="3"/>
    </x:row>
    <x:row r="65" ht="22" customHeight="1">
      <x:c r="A65" s="3"/>
      <x:c r="B65" s="3"/>
      <x:c r="C65" s="13"/>
      <x:c r="D65" s="13"/>
      <x:c r="E65" s="13"/>
      <x:c r="F65" s="3"/>
      <x:c r="G65" s="3"/>
      <x:c r="H65" s="13"/>
      <x:c r="I65" s="15"/>
      <x:c r="J65" s="3"/>
      <x:c r="K65" s="3"/>
      <x:c r="L65" s="3"/>
    </x:row>
    <x:row r="66" ht="22" customHeight="1">
      <x:c r="A66" s="3"/>
      <x:c r="B66" s="3"/>
      <x:c r="C66" s="13"/>
      <x:c r="D66" s="13"/>
      <x:c r="E66" s="13"/>
      <x:c r="F66" s="3"/>
      <x:c r="G66" s="3"/>
      <x:c r="H66" s="13"/>
      <x:c r="I66" s="15"/>
      <x:c r="J66" s="3"/>
      <x:c r="K66" s="3"/>
      <x:c r="L66" s="3"/>
    </x:row>
    <x:row r="67" ht="22" customHeight="1">
      <x:c r="A67" s="3"/>
      <x:c r="B67" s="3"/>
      <x:c r="C67" s="13"/>
      <x:c r="D67" s="13"/>
      <x:c r="E67" s="13"/>
      <x:c r="F67" s="3"/>
      <x:c r="G67" s="3"/>
      <x:c r="H67" s="13"/>
      <x:c r="I67" s="15"/>
      <x:c r="J67" s="3"/>
      <x:c r="K67" s="3"/>
      <x:c r="L67" s="3"/>
    </x:row>
    <x:row r="68" ht="22" customHeight="1">
      <x:c r="A68" s="3"/>
      <x:c r="B68" s="3"/>
      <x:c r="C68" s="13"/>
      <x:c r="D68" s="13"/>
      <x:c r="E68" s="13"/>
      <x:c r="F68" s="3"/>
      <x:c r="G68" s="3"/>
      <x:c r="H68" s="13"/>
      <x:c r="I68" s="15"/>
      <x:c r="J68" s="3"/>
      <x:c r="K68" s="3"/>
      <x:c r="L68" s="3"/>
    </x:row>
    <x:row r="69">
      <x:c r="C69" s="46"/>
      <x:c r="D69" s="46"/>
      <x:c r="E69" s="46"/>
      <x:c r="H69" s="46"/>
      <x:c r="I69" s="52"/>
    </x:row>
    <x:row r="70">
      <x:c r="C70" s="46"/>
      <x:c r="D70" s="46"/>
      <x:c r="E70" s="46"/>
      <x:c r="H70" s="46"/>
      <x:c r="I70" s="52"/>
    </x:row>
  </x:sheetData>
  <x:pageMargins left="0.7" right="0.7" top="0.75" bottom="0.75" header="0.3" footer="0.3"/>
  <x:drawing xmlns:r="http://schemas.openxmlformats.org/officeDocument/2006/relationships" r:id="R00557178c4e7499c"/>
  <x:tableParts count="1">
    <x:tablePart xmlns:r="http://schemas.openxmlformats.org/officeDocument/2006/relationships" r:id="R1f841cec1bc647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2" hidden="0" customWidth="1"/>
    <x:col min="3" max="3" width="1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2" customHeight="1">
      <x:c r="A2" s="3"/>
      <x:c r="B2" s="4" t="str">
        <x:v>RETAIL / SIGNAL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34" customHeight="1">
      <x:c r="A3" s="3"/>
      <x:c r="B3" s="5" t="str">
        <x:v>Guía de uso y métricas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 ht="22" customHeight="1">
      <x:c r="A4" s="3"/>
      <x:c r="B4" s="7" t="str">
        <x:v>Proyecto de portafolio con datos históricos públicos; no es un encargo de un cliente.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</x:row>
    <x:row r="5" ht="2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ht="34" customHeight="1">
      <x:c r="A6" s="3"/>
      <x:c r="B6" s="3" t="str">
        <x:v>Inicio</x:v>
      </x:c>
      <x:c r="C6" s="54" t="str">
        <x:v>Resumen contiene las tarjetas y tendencias; seleccione mes/país en Filtros.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ht="34" customHeight="1">
      <x:c r="A7" s="3"/>
      <x:c r="B7" s="3" t="str">
        <x:v>Productos</x:v>
      </x:c>
      <x:c r="C7" s="54" t="str">
        <x:v>Códigos normalizados a mayúsculas; todas las líneas se conservan. Tabla completa del periodo total.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</x:row>
    <x:row r="8" ht="34" customHeight="1">
      <x:c r="A8" s="3"/>
      <x:c r="B8" s="3" t="str">
        <x:v>Clientes</x:v>
      </x:c>
      <x:c r="C8" s="54" t="str">
        <x:v>La recurrencia significa dos o más facturas positivas distintas durante el periodo.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 ht="34" customHeight="1">
      <x:c r="A9" s="3"/>
      <x:c r="B9" s="3" t="str">
        <x:v>Bruto</x:v>
      </x:c>
      <x:c r="C9" s="54" t="str">
        <x:v>Suma de Quantity × UnitPrice para líneas elegibles positivas de productos.</x:v>
      </x:c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 ht="34" customHeight="1">
      <x:c r="A10" s="3"/>
      <x:c r="B10" s="3" t="str">
        <x:v>Abonos</x:v>
      </x:c>
      <x:c r="C10" s="54" t="str">
        <x:v>Valor positivo del importe de documentos C con cantidad negativa y precio positivo.</x:v>
      </x:c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</x:row>
    <x:row r="11" ht="34" customHeight="1">
      <x:c r="A11" s="3"/>
      <x:c r="B11" s="3" t="str">
        <x:v>Neto</x:v>
      </x:c>
      <x:c r="C11" s="54" t="str">
        <x:v>Bruto menos abonos; incluye el abono en su fecha y no reexpresa ventas históricas.</x:v>
      </x:c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 ht="34" customHeight="1">
      <x:c r="A12" s="3"/>
      <x:c r="B12" s="3" t="str">
        <x:v>Pedidos</x:v>
      </x:c>
      <x:c r="C12" s="54" t="str">
        <x:v>Facturas distintas con al menos una línea positiva de producto.</x:v>
      </x:c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 ht="34" customHeight="1">
      <x:c r="A13" s="3"/>
      <x:c r="B13" s="3" t="str">
        <x:v>Ticket</x:v>
      </x:c>
      <x:c r="C13" s="54" t="str">
        <x:v>Ventas brutas de productos / pedidos de productos. No incluye envío.</x:v>
      </x:c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</x:row>
    <x:row r="14" ht="34" customHeight="1">
      <x:c r="A14" s="3"/>
      <x:c r="B14" s="3" t="str">
        <x:v>Clientes</x:v>
      </x:c>
      <x:c r="C14" s="54" t="str">
        <x:v>Clientes identificados con al menos una compra en la selección.</x:v>
      </x:c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 ht="34" customHeight="1">
      <x:c r="A15" s="3"/>
      <x:c r="B15" s="3" t="str">
        <x:v>Cobertura</x:v>
      </x:c>
      <x:c r="C15" s="54" t="str">
        <x:v>Bruto con CustomerID conocido / bruto de productos.</x:v>
      </x:c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  <x:row r="16" ht="34" customHeight="1">
      <x:c r="A16" s="3"/>
      <x:c r="B16" s="3" t="str">
        <x:v>Moneda</x:v>
      </x:c>
      <x:c r="C16" s="54" t="str">
        <x:v>GBP; se conservan milésimas en los controles, se muestran dos decimales en ventas.</x:v>
      </x:c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</x:row>
    <x:row r="17" ht="34" customHeight="1">
      <x:c r="A17" s="3"/>
      <x:c r="B17" s="3" t="str">
        <x:v>Original</x:v>
      </x:c>
      <x:c r="C17" s="54" t="str">
        <x:v>541.909 filas. Copia sin modificar en la carpeta original suministrada.</x:v>
      </x:c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</x:row>
    <x:row r="18" ht="34" customHeight="1">
      <x:c r="A18" s="3"/>
      <x:c r="B18" s="3" t="str">
        <x:v>Procesamiento</x:v>
      </x:c>
      <x:c r="C18" s="54" t="str">
        <x:v>src/analyze.py genera los CSV y analysis/results.json.</x:v>
      </x:c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</x:row>
    <x:row r="19" ht="34" customHeight="1">
      <x:c r="A19" s="3"/>
      <x:c r="B19" s="3" t="str">
        <x:v>Libro</x:v>
      </x:c>
      <x:c r="C19" s="54" t="str">
        <x:v>Los agregados son una extracción completa. Cambiar filtros recalcula; nueva fuente requiere reconstrucción.</x:v>
      </x:c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</x:row>
    <x:row r="20" ht="34" customHeight="1">
      <x:c r="A20" s="3"/>
      <x:c r="B20" s="3" t="str">
        <x:v>Excel</x:v>
      </x:c>
      <x:c r="C20" s="54" t="str">
        <x:v>No se incluyen 536.465 líneas en el libro. Están completas en FactTransactions.csv.</x:v>
      </x:c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</x:row>
    <x:row r="21" ht="34" customHeight="1">
      <x:c r="A21" s="3"/>
      <x:c r="B21" s="3" t="str">
        <x:v>Power BI</x:v>
      </x:c>
      <x:c r="C21" s="54" t="str">
        <x:v>Modelo y reporte editable en powerbi. Consultar las instrucciones de actualización.</x:v>
      </x:c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</x:row>
    <x:row r="22" ht="34" customHeight="1">
      <x:c r="A22" s="3"/>
      <x:c r="B22" s="3" t="str">
        <x:v>Verificación</x:v>
      </x:c>
      <x:c r="C22" s="54" t="str">
        <x:v>Controles independientes en SQLite y comparación de filtros/fórmulas del libro.</x:v>
      </x:c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</x:row>
    <x:row r="23" ht="34" customHeight="1">
      <x:c r="A23" s="3"/>
      <x:c r="B23" s="3" t="str">
        <x:v>Fuente</x:v>
      </x:c>
      <x:c r="C23" s="54" t="str">
        <x:v>Daqing Chen (2015), Online Retail, UCI. https://doi.org/10.24432/C5BW33</x:v>
      </x:c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</x:row>
    <x:row r="24" ht="34" customHeight="1">
      <x:c r="A24" s="3"/>
      <x:c r="B24" s="3" t="str">
        <x:v>Licencia datos</x:v>
      </x:c>
      <x:c r="C24" s="54" t="str">
        <x:v>CC BY 4.0. Se indican modificaciones y se conserva atribución.</x:v>
      </x:c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</x:row>
    <x:row r="25" ht="34" customHeight="1">
      <x:c r="A25" s="3"/>
      <x:c r="B25" s="3" t="str">
        <x:v>Límite temporal</x:v>
      </x:c>
      <x:c r="C25" s="54" t="str">
        <x:v>2010-12-01 a 2011-12-09; diciembre 2011 incompleto. Un ciclo no prueba estacionalidad.</x:v>
      </x:c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</x:row>
    <x:row r="26" ht="34" customHeight="1">
      <x:c r="A26" s="3"/>
      <x:c r="B26" s="3" t="str">
        <x:v>Límite comercial</x:v>
      </x:c>
      <x:c r="C26" s="54" t="str">
        <x:v>Los abonos pueden representar cancelación, devolución o corrección; no se conoce la causa.</x:v>
      </x:c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</x:row>
    <x:row r="27" ht="34" customHeight="1">
      <x:c r="A27" s="3"/>
      <x:c r="B27" s="3"/>
      <x:c r="C27" s="54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</x:row>
  </x:sheetData>
  <x:pageMargins left="0.7" right="0.7" top="0.75" bottom="0.75" header="0.3" footer="0.3"/>
</x:worksheet>
</file>